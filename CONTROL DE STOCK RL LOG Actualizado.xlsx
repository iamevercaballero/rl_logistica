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730" tabRatio="665" firstSheet="4" activeTab="4"/>
  </bookViews>
  <sheets>
    <sheet name="Hoja1" sheetId="5" state="hidden" r:id="rId1"/>
    <sheet name="Hoja4" sheetId="8" state="hidden" r:id="rId2"/>
    <sheet name="Hoja3" sheetId="7" state="hidden" r:id="rId3"/>
    <sheet name="Hoja2" sheetId="6" state="hidden" r:id="rId4"/>
    <sheet name="Entrada" sheetId="1" r:id="rId5"/>
    <sheet name="Salida" sheetId="2" r:id="rId6"/>
    <sheet name="Stock Diario" sheetId="3" r:id="rId7"/>
    <sheet name="REPR. INTERLAYERS" sheetId="4" r:id="rId8"/>
  </sheets>
  <externalReferences>
    <externalReference r:id="rId9"/>
  </externalReferences>
  <definedNames>
    <definedName name="_xlnm._FilterDatabase" localSheetId="0" hidden="1">Hoja1!$C$70:$E$78</definedName>
    <definedName name="_xlnm._FilterDatabase" localSheetId="4" hidden="1">Entrada!$A$6:$S$3166</definedName>
    <definedName name="_xlnm._FilterDatabase" localSheetId="5" hidden="1">Salida!$B$6:$N$7041</definedName>
    <definedName name="_xlnm._FilterDatabase" localSheetId="6" hidden="1">'Stock Diario'!$A$8:$Q$784</definedName>
    <definedName name="Aprobador1_1">#REF!</definedName>
    <definedName name="Aprobador2_1">#REF!</definedName>
    <definedName name="_xlnm.Print_Area" localSheetId="4">Entrada!#REF!</definedName>
    <definedName name="_xlnm.Print_Area" localSheetId="6">'Stock Diario'!$B$9:$J$421</definedName>
    <definedName name="Empresa">#REF!</definedName>
    <definedName name="Instancia1">#REF!</definedName>
    <definedName name="Instancia2">#REF!</definedName>
    <definedName name="Leyenda">#REF!</definedName>
    <definedName name="rangodatosdatos">#REF!</definedName>
    <definedName name="_xlnm.Print_Titles" localSheetId="6">'Stock Diario'!$8:$8</definedName>
    <definedName name="Usuari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HP</author>
  </authors>
  <commentList>
    <comment ref="I4694" authorId="0">
      <text>
        <r>
          <rPr>
            <b/>
            <sz val="9"/>
            <rFont val="Tahoma"/>
            <charset val="134"/>
          </rPr>
          <t>HP:</t>
        </r>
        <r>
          <rPr>
            <sz val="9"/>
            <rFont val="Tahoma"/>
            <charset val="134"/>
          </rPr>
          <t xml:space="preserve">
8672582403 
</t>
        </r>
      </text>
    </comment>
    <comment ref="G4729" authorId="0">
      <text>
        <r>
          <rPr>
            <b/>
            <sz val="9"/>
            <rFont val="Tahoma"/>
            <charset val="134"/>
          </rPr>
          <t>HP:</t>
        </r>
        <r>
          <rPr>
            <sz val="9"/>
            <rFont val="Tahoma"/>
            <charset val="134"/>
          </rPr>
          <t xml:space="preserve">
6000
</t>
        </r>
      </text>
    </comment>
    <comment ref="G5700" authorId="0">
      <text>
        <r>
          <rPr>
            <b/>
            <sz val="9"/>
            <rFont val="Tahoma"/>
            <charset val="134"/>
          </rPr>
          <t>HP:</t>
        </r>
        <r>
          <rPr>
            <sz val="9"/>
            <rFont val="Tahoma"/>
            <charset val="134"/>
          </rPr>
          <t xml:space="preserve">
2306,95 pendiente
8720512636 </t>
        </r>
      </text>
    </comment>
    <comment ref="G5701" authorId="0">
      <text>
        <r>
          <rPr>
            <b/>
            <sz val="9"/>
            <rFont val="Tahoma"/>
            <charset val="134"/>
          </rPr>
          <t>HP:</t>
        </r>
        <r>
          <rPr>
            <sz val="9"/>
            <rFont val="Tahoma"/>
            <charset val="134"/>
          </rPr>
          <t xml:space="preserve">
pendiente de traspaso 3426,25
</t>
        </r>
      </text>
    </comment>
    <comment ref="G5998" authorId="0">
      <text>
        <r>
          <rPr>
            <b/>
            <sz val="9"/>
            <rFont val="Tahoma"/>
            <charset val="134"/>
          </rPr>
          <t>HP:</t>
        </r>
        <r>
          <rPr>
            <sz val="9"/>
            <rFont val="Tahoma"/>
            <charset val="134"/>
          </rPr>
          <t xml:space="preserve">
469 ok
</t>
        </r>
      </text>
    </comment>
    <comment ref="G6072" authorId="0">
      <text>
        <r>
          <rPr>
            <b/>
            <sz val="9"/>
            <rFont val="Tahoma"/>
            <charset val="134"/>
          </rPr>
          <t>HP:</t>
        </r>
        <r>
          <rPr>
            <sz val="9"/>
            <rFont val="Tahoma"/>
            <charset val="134"/>
          </rPr>
          <t xml:space="preserve">
1600 ok
</t>
        </r>
      </text>
    </comment>
    <comment ref="G6082" authorId="0">
      <text>
        <r>
          <rPr>
            <b/>
            <sz val="9"/>
            <rFont val="Tahoma"/>
            <charset val="134"/>
          </rPr>
          <t>HP:</t>
        </r>
        <r>
          <rPr>
            <sz val="9"/>
            <rFont val="Tahoma"/>
            <charset val="134"/>
          </rPr>
          <t xml:space="preserve">
360 YA TRANSPASADO 
720 FALTA 
</t>
        </r>
      </text>
    </comment>
    <comment ref="I6082" authorId="0">
      <text>
        <r>
          <rPr>
            <b/>
            <sz val="9"/>
            <rFont val="Tahoma"/>
            <charset val="134"/>
          </rPr>
          <t>HP:</t>
        </r>
        <r>
          <rPr>
            <sz val="9"/>
            <rFont val="Tahoma"/>
            <charset val="134"/>
          </rPr>
          <t xml:space="preserve">
8727798509 
</t>
        </r>
      </text>
    </comment>
  </commentList>
</comments>
</file>

<file path=xl/sharedStrings.xml><?xml version="1.0" encoding="utf-8"?>
<sst xmlns="http://schemas.openxmlformats.org/spreadsheetml/2006/main" count="65785" uniqueCount="3140">
  <si>
    <t>Cantidad encanastado entero</t>
  </si>
  <si>
    <t>Cantidad encanastado varias cajas sualtas</t>
  </si>
  <si>
    <t>total</t>
  </si>
  <si>
    <t>total en piso</t>
  </si>
  <si>
    <t>entrada</t>
  </si>
  <si>
    <t>salida</t>
  </si>
  <si>
    <t>Código</t>
  </si>
  <si>
    <t>Descripción</t>
  </si>
  <si>
    <t>FISICO</t>
  </si>
  <si>
    <t>SAP</t>
  </si>
  <si>
    <t>DIF</t>
  </si>
  <si>
    <t>OBS</t>
  </si>
  <si>
    <t>TAPA LATA PLATEADA CDL</t>
  </si>
  <si>
    <t>TAPA PARA LATA BUD  66 NEGRA Y ROJA</t>
  </si>
  <si>
    <t xml:space="preserve">TAPA PARA LATA PILSEN </t>
  </si>
  <si>
    <t>TAPA PARA LATA PLATEADA + TAB DORADO</t>
  </si>
  <si>
    <t xml:space="preserve">TAPA LATA PLATEADA CDL ir </t>
  </si>
  <si>
    <t>INTERLAYER CARTON  115X92</t>
  </si>
  <si>
    <t>INGRESO DE HOY 9600</t>
  </si>
  <si>
    <t>INTERLAYER CARTON 116 X 97M.</t>
  </si>
  <si>
    <t>PENDIENTE DE TRASPASO 1800</t>
  </si>
  <si>
    <t>INTERLAYER P/LT 269 MED 119 X 92 CM</t>
  </si>
  <si>
    <t>INGRESO DE HOY 6000</t>
  </si>
  <si>
    <t>FILM STRETCH MANUAL</t>
  </si>
  <si>
    <t xml:space="preserve">FILM STRETCH WRAP 22 MIC AUT </t>
  </si>
  <si>
    <t>FILM PILSEN CLASICA 12L 355CC 65MIC</t>
  </si>
  <si>
    <t>FILM SKOL 269 15L 65 MIC</t>
  </si>
  <si>
    <t>FILM TMC BUD 66 310CC 65MIC</t>
  </si>
  <si>
    <t>FILM TMC SUBZERO 269CC 65MIC</t>
  </si>
  <si>
    <t>FILM TMC SKOL 269CCX15 PROMO</t>
  </si>
  <si>
    <t>FILM TMC OURO FINO 269CC 15L PACK PROMOCIONAL</t>
  </si>
  <si>
    <t>LOTE</t>
  </si>
  <si>
    <t xml:space="preserve">VENCE </t>
  </si>
  <si>
    <t>CARREGENINA WHIRFLOC T</t>
  </si>
  <si>
    <t>s/d</t>
  </si>
  <si>
    <t>ETIQUETA BRAHMA 340CC MUSICAL</t>
  </si>
  <si>
    <t>COLLARIIN BRAHMA 340CC MUSICAL</t>
  </si>
  <si>
    <t xml:space="preserve">TAPA BUDWEISER 66 PARAGUAY </t>
  </si>
  <si>
    <t>S/D</t>
  </si>
  <si>
    <t xml:space="preserve">ROHLA MET BRAHMA 340CC </t>
  </si>
  <si>
    <t>CAJA DE CARTON BUD 66 275 CC</t>
  </si>
  <si>
    <t>CAJA DE CARTON SKOL 275CC</t>
  </si>
  <si>
    <t>CODIGO</t>
  </si>
  <si>
    <t>MATERIAL</t>
  </si>
  <si>
    <t>BOTELLA LUNA 275CC FLINT</t>
  </si>
  <si>
    <t>L0019</t>
  </si>
  <si>
    <t>L0020</t>
  </si>
  <si>
    <t>L0021</t>
  </si>
  <si>
    <t>L0022</t>
  </si>
  <si>
    <t>L0023</t>
  </si>
  <si>
    <t>L0024</t>
  </si>
  <si>
    <t>L0025</t>
  </si>
  <si>
    <t>L0026</t>
  </si>
  <si>
    <t>20-21-23-19</t>
  </si>
  <si>
    <t>19-21-23</t>
  </si>
  <si>
    <t>19-21</t>
  </si>
  <si>
    <t>19-20-22</t>
  </si>
  <si>
    <t>20-22</t>
  </si>
  <si>
    <t>22-24</t>
  </si>
  <si>
    <t>20-21-23</t>
  </si>
  <si>
    <t>21-23-24-25</t>
  </si>
  <si>
    <t>23-25</t>
  </si>
  <si>
    <t>24-25-26</t>
  </si>
  <si>
    <t>23-24-25</t>
  </si>
  <si>
    <t xml:space="preserve">3 palet encontré con #TA61M </t>
  </si>
  <si>
    <t>OP 1609</t>
  </si>
  <si>
    <t>Turno B 5</t>
  </si>
  <si>
    <t>Turno C2</t>
  </si>
  <si>
    <t>Turno D 2</t>
  </si>
  <si>
    <t>Turno A 4</t>
  </si>
  <si>
    <t>Total de palet 13</t>
  </si>
  <si>
    <t>TURNO</t>
  </si>
  <si>
    <t>CANTIDAD DE PALET</t>
  </si>
  <si>
    <t>#TA61M</t>
  </si>
  <si>
    <t>B</t>
  </si>
  <si>
    <t>C</t>
  </si>
  <si>
    <t>D</t>
  </si>
  <si>
    <t>A</t>
  </si>
  <si>
    <t xml:space="preserve">TOTAL </t>
  </si>
  <si>
    <t>COLLARIN OURO FINO 940CC RGB NVBI VERT</t>
  </si>
  <si>
    <t>TS</t>
  </si>
  <si>
    <t>ETIQUETA OURO FINO 340CC RGB NVBI VERT</t>
  </si>
  <si>
    <t>KG</t>
  </si>
  <si>
    <t>001-001-0001713</t>
  </si>
  <si>
    <t>ROTULO FRONT PILSEN NVBI 340 CC</t>
  </si>
  <si>
    <t>ROTULO NECK OURO FINO 340</t>
  </si>
  <si>
    <t>TAPA BRAHMITA 340 PARAGUAY</t>
  </si>
  <si>
    <t>3287-00002659</t>
  </si>
  <si>
    <t>001-001-0001712</t>
  </si>
  <si>
    <t>TAPA PILSEN 940C/CODIGO DE BARRAS</t>
  </si>
  <si>
    <t>3287-00002999</t>
  </si>
  <si>
    <t xml:space="preserve">ROLHA MET BRAHMA 940CC </t>
  </si>
  <si>
    <t>UN</t>
  </si>
  <si>
    <t>1253/2025</t>
  </si>
  <si>
    <t>1254/2025</t>
  </si>
  <si>
    <t>001-002-0002944</t>
  </si>
  <si>
    <t>001-001-002606</t>
  </si>
  <si>
    <t>001-002-0002945</t>
  </si>
  <si>
    <t>001-001-0002608</t>
  </si>
  <si>
    <t>001-002-0002947</t>
  </si>
  <si>
    <t>001-001-0002612</t>
  </si>
  <si>
    <t>001-002-0002948</t>
  </si>
  <si>
    <t>001-001-0002618</t>
  </si>
  <si>
    <t>001-002-0002949</t>
  </si>
  <si>
    <t>001-001-002624</t>
  </si>
  <si>
    <t>001-002-0002950</t>
  </si>
  <si>
    <t>001-001-0002640</t>
  </si>
  <si>
    <t>001-002-0002974</t>
  </si>
  <si>
    <t>001-001-0002649</t>
  </si>
  <si>
    <t>001-002-0002975</t>
  </si>
  <si>
    <t>001-001-0002665</t>
  </si>
  <si>
    <t>001-002-0002976</t>
  </si>
  <si>
    <t>001-001-00002674</t>
  </si>
  <si>
    <t>001-002-0002977</t>
  </si>
  <si>
    <t>001-001-002681</t>
  </si>
  <si>
    <t>001-002-0002978</t>
  </si>
  <si>
    <t>001-001-002682</t>
  </si>
  <si>
    <t>001-002-0002983</t>
  </si>
  <si>
    <t>001-001-002694</t>
  </si>
  <si>
    <t>001-002-0002984</t>
  </si>
  <si>
    <t>001-001-0002702</t>
  </si>
  <si>
    <t>001-002-0002985</t>
  </si>
  <si>
    <t>001-001-0002704</t>
  </si>
  <si>
    <t>001-002-0003001</t>
  </si>
  <si>
    <t>001-001-0002712</t>
  </si>
  <si>
    <t>001-002-0003002</t>
  </si>
  <si>
    <t>001-001-0002718</t>
  </si>
  <si>
    <t>001-002-0003028</t>
  </si>
  <si>
    <t>001-001-0002722</t>
  </si>
  <si>
    <t>001-002-0003029</t>
  </si>
  <si>
    <t>001-001-0002726</t>
  </si>
  <si>
    <t>001-002-0003067</t>
  </si>
  <si>
    <t>001-001-0002734</t>
  </si>
  <si>
    <t>001-002-0003073</t>
  </si>
  <si>
    <t>001-001-0002747</t>
  </si>
  <si>
    <t>001-002-0003075</t>
  </si>
  <si>
    <t>001-001-002774</t>
  </si>
  <si>
    <t>001-002-0003076</t>
  </si>
  <si>
    <t>001-002-0003077</t>
  </si>
  <si>
    <t>001-002-0003078</t>
  </si>
  <si>
    <t>001-002-0003079</t>
  </si>
  <si>
    <t>001-002-0003080</t>
  </si>
  <si>
    <t>001-002-0003117</t>
  </si>
  <si>
    <t>001-002-0003118</t>
  </si>
  <si>
    <t>001-002-0003119</t>
  </si>
  <si>
    <t xml:space="preserve">MATERIAL </t>
  </si>
  <si>
    <t xml:space="preserve">LOTE </t>
  </si>
  <si>
    <t xml:space="preserve">TOTAL EN TS </t>
  </si>
  <si>
    <t xml:space="preserve">PALET ENCANASTADO </t>
  </si>
  <si>
    <t>LOTE 154</t>
  </si>
  <si>
    <t>LOTE 155</t>
  </si>
  <si>
    <t>LOTE 002</t>
  </si>
  <si>
    <t>LOTE 004</t>
  </si>
  <si>
    <t>BOTELLA BUD 66 275CC</t>
  </si>
  <si>
    <t>LOTE 009</t>
  </si>
  <si>
    <t>LOTE 0010</t>
  </si>
  <si>
    <t>LOTE 0008</t>
  </si>
  <si>
    <t>LOTE 0011</t>
  </si>
  <si>
    <t>ENTRADA INSUMOS RL SERVICIO LOGISTICO</t>
  </si>
  <si>
    <t>FECHA DE INGRESO</t>
  </si>
  <si>
    <t>FECHA DE DESCARGA</t>
  </si>
  <si>
    <t>Código Material</t>
  </si>
  <si>
    <t>DESCRIPCIÓN</t>
  </si>
  <si>
    <t>TOTAL PALETAS</t>
  </si>
  <si>
    <t>TOTAL UNIDADES</t>
  </si>
  <si>
    <t>UM</t>
  </si>
  <si>
    <t>PALETAS IR</t>
  </si>
  <si>
    <t>N° REMITO</t>
  </si>
  <si>
    <t>MIC / DTA</t>
  </si>
  <si>
    <t>PROVEEDOR</t>
  </si>
  <si>
    <t>TRANSPORTADORA</t>
  </si>
  <si>
    <t>CONDUCTOR</t>
  </si>
  <si>
    <t>ENCARGADO DE LA RECEPCIÓN</t>
  </si>
  <si>
    <t>OBSERVACIONES</t>
  </si>
  <si>
    <t>ETIQUETA BRAHMA SD+W 940CC RGB</t>
  </si>
  <si>
    <t>AMBEV</t>
  </si>
  <si>
    <t>WINNER LOGISTICA</t>
  </si>
  <si>
    <t>PABLO RODRIGUEZ</t>
  </si>
  <si>
    <t>CYNTHIA CABALLERO</t>
  </si>
  <si>
    <t>ETIQUETA BRAHMA NECK 940CC RGB</t>
  </si>
  <si>
    <t>TAPA CORONA SKOL 940CC</t>
  </si>
  <si>
    <t>ARNALDO FERREIRA</t>
  </si>
  <si>
    <t>TAPA CORONA PILSEN NVBI 940 CC</t>
  </si>
  <si>
    <t>ROLHA  AB  BUD 66 PARAGUAY CX10,0MIL</t>
  </si>
  <si>
    <t>TAPA CORONA BRAHMA 940 CC</t>
  </si>
  <si>
    <t>CANPACK</t>
  </si>
  <si>
    <t>TAPA PILSEN DORADA 940CC</t>
  </si>
  <si>
    <t>ROLHA MET BRAHMA 940 CC  PARAG CX10,7MIL</t>
  </si>
  <si>
    <t>ASPERA ROASTED MALT BEER</t>
  </si>
  <si>
    <t>ASPERA</t>
  </si>
  <si>
    <t>TAPA CORONA PILSEN NVBI 340 CC</t>
  </si>
  <si>
    <t>ADHESIVO SINTETICO COLTEC SA97</t>
  </si>
  <si>
    <t>COLTEC</t>
  </si>
  <si>
    <t>NELSON SEGOVIA</t>
  </si>
  <si>
    <t>TECNICOM</t>
  </si>
  <si>
    <t>ESTABILIZ.  COLOIDAL "PVPP"  (NO REG.)</t>
  </si>
  <si>
    <t>ASHLAND</t>
  </si>
  <si>
    <t>GIN DIALCOOL</t>
  </si>
  <si>
    <t>LTS</t>
  </si>
  <si>
    <t>DIACOOL</t>
  </si>
  <si>
    <t>AROSUCO</t>
  </si>
  <si>
    <t>YAGUARETE</t>
  </si>
  <si>
    <t>ROTULO BACK PILSEN NVBI 340 CC</t>
  </si>
  <si>
    <t>FILM SKOL 269X15</t>
  </si>
  <si>
    <t>SILICA GEL XEROGEL DARACLAR 7500 FF</t>
  </si>
  <si>
    <t>DARACLAV</t>
  </si>
  <si>
    <t>ANTIESPUMANTE FERMCAP S</t>
  </si>
  <si>
    <t>UY241822738&amp;22UY035734J</t>
  </si>
  <si>
    <t xml:space="preserve">KERRY </t>
  </si>
  <si>
    <t>AGROLOGISTICA</t>
  </si>
  <si>
    <t>WILFRIDO CARDOZO</t>
  </si>
  <si>
    <t>ROTULO FRONT PILSEN NVBI 940 CC</t>
  </si>
  <si>
    <t>TIERRA FILTRANTE FIBRA CELBH40</t>
  </si>
  <si>
    <t>CELITE</t>
  </si>
  <si>
    <t>PAPEL CIRC 320MM WHATMAN/10311853</t>
  </si>
  <si>
    <t>FILTRO TRAP SARTORIUS  5502542P3-G 5UM</t>
  </si>
  <si>
    <t>LAB.COSTANZO</t>
  </si>
  <si>
    <t xml:space="preserve">CUADROS DE MADERA DESCARTABLES </t>
  </si>
  <si>
    <t>ETIQUETA CUERPO SKOL 940 CC RGB</t>
  </si>
  <si>
    <t>ROTULO NECK PILSEN NVBI 940 CC</t>
  </si>
  <si>
    <t>ETIQ. COLLARIN SKOL 940 CC RGB</t>
  </si>
  <si>
    <t>CONTRA ETIQUETA SKOL 940 CC RGB</t>
  </si>
  <si>
    <t>CONTRAETIQUETA BUD 66 710 CC</t>
  </si>
  <si>
    <t>ETIQUETA AUTOADHESIVA BUD66 550CC SD</t>
  </si>
  <si>
    <t xml:space="preserve"> </t>
  </si>
  <si>
    <t>ROTULO NECK PILSEN NVBI 340 CC</t>
  </si>
  <si>
    <t>CORRUGADORA PY SA</t>
  </si>
  <si>
    <t>CAJA CARTON BUD66 6X310CC LINEA</t>
  </si>
  <si>
    <t>INTERPACK</t>
  </si>
  <si>
    <t xml:space="preserve">PALLET DESCARTABLES </t>
  </si>
  <si>
    <t>BALL</t>
  </si>
  <si>
    <t>YAGUARETE/CP</t>
  </si>
  <si>
    <t>FILM TERM PILSEN NVBI 12 LT 269 D/V 80</t>
  </si>
  <si>
    <t>PETROPACK</t>
  </si>
  <si>
    <t>CP</t>
  </si>
  <si>
    <t>LOGISTICA MAV</t>
  </si>
  <si>
    <t>JULIO VAZQUEZ</t>
  </si>
  <si>
    <t>TAPA PARA LATA COLOR</t>
  </si>
  <si>
    <t>REPROMAX</t>
  </si>
  <si>
    <t>GUILLERMO TORRES</t>
  </si>
  <si>
    <t>CRISTHIAN ROJAS</t>
  </si>
  <si>
    <t>ESTUCHE CARTUL. 6 LT BUD  66 354 CC</t>
  </si>
  <si>
    <t>FILM TERM. OURO FINO 354 CCX12 NVBI80 UM</t>
  </si>
  <si>
    <t>BOLSIPLAST SA</t>
  </si>
  <si>
    <t>FILM TMC PILSEN EXTRA 310CCX12 80 UM</t>
  </si>
  <si>
    <t>TAPA CORONA PILSEN 940 CC NVBI</t>
  </si>
  <si>
    <t>TAPA CORONA BUD LIGHT 340 RGB</t>
  </si>
  <si>
    <t>FILM ANTARCTICA ORIGINAL 269CC X12 80 UM</t>
  </si>
  <si>
    <t>FILM BRAHMITA 269</t>
  </si>
  <si>
    <t>FILM PILSEN 354</t>
  </si>
  <si>
    <t>FILM BUD 66 310</t>
  </si>
  <si>
    <t>FILM BUD 66 269 ASUNCIONICO</t>
  </si>
  <si>
    <t>FILM TMEBUD66 269CCX12</t>
  </si>
  <si>
    <t>FILM OURO FINO 269 80MIC</t>
  </si>
  <si>
    <t>FILM SKOL 310 CC</t>
  </si>
  <si>
    <t>FILM TMC SKOL 269C CX 12 LT D/V 80 UM</t>
  </si>
  <si>
    <t>TIERRA FILTRANTE HYFLO S.C.</t>
  </si>
  <si>
    <t>TIERRA FILTRANTE STANDARD S.C.</t>
  </si>
  <si>
    <t>ETIQUETA PILSEN ÑANDE BLANCA 620CC</t>
  </si>
  <si>
    <t>SA IGRA</t>
  </si>
  <si>
    <t>COLLARIN PILSEN ÑANDE BLANCA 620CC</t>
  </si>
  <si>
    <t>CONTRAETIQUETA PILSEN ÑANDE BLANCA 620CC</t>
  </si>
  <si>
    <t>CORRUGADORA</t>
  </si>
  <si>
    <t>MAURO BENITEZ</t>
  </si>
  <si>
    <t>ESTUCHE CARTUL. 6 BOT BUD 330 CC (MANUAL</t>
  </si>
  <si>
    <t>TAPA CORONA PILSEN ÑDE NEGRA</t>
  </si>
  <si>
    <t>TAPA CORONA PILSEN ÑDE BLANCA</t>
  </si>
  <si>
    <t>ESTUCHE CARTUL. 6 LT BUD 354 CC</t>
  </si>
  <si>
    <t>BANDEJA CARTON P/4 PACK 6 LTA</t>
  </si>
  <si>
    <t>ADHESIVO HOT MELT (AUTOMATICO)</t>
  </si>
  <si>
    <t>TECHNOMELT</t>
  </si>
  <si>
    <t>ESTUCHE BUD LIGHT 354 CC X 6</t>
  </si>
  <si>
    <t>ROLHA MET BUD 340CC PARAGUAY CX10,0MIL</t>
  </si>
  <si>
    <t>TAPA CORONA BUD REGULAR 710 CC</t>
  </si>
  <si>
    <t>BANDEJA CARTON 4X6 LT BUD 66 310 CC</t>
  </si>
  <si>
    <t>ROBERTO BENITEZ</t>
  </si>
  <si>
    <t>FILM PIL NANDE NEGRA X12 LT 269 D/V 80</t>
  </si>
  <si>
    <t>FILM TERMOC. NORTE 269 CC X 12 LT D /V</t>
  </si>
  <si>
    <t>FILM TERMOC. NORTE 354 CC X 12 LT D /V</t>
  </si>
  <si>
    <t>FILM T. PILSEN ÑDE NEGRA 12 LT 269 D/V</t>
  </si>
  <si>
    <t>FILM PILSEN 269CC X12 ED. COPA AMERICA</t>
  </si>
  <si>
    <t>FILM T. PILSEN ÑDE BLANCA 12 LT 269 D/V</t>
  </si>
  <si>
    <t>FILM TERMOC. PILSEN 12 LT  DOBLE VÍA</t>
  </si>
  <si>
    <t>FILM TERM. PILSEN ÑANDE 12 LT  269 D/V</t>
  </si>
  <si>
    <t>FILM TERM. PILSEN NVBI 12 LT 354 D/V</t>
  </si>
  <si>
    <t>INDIVIDUALES IMPRESOS EN PAPEL DIARIO</t>
  </si>
  <si>
    <t>GRAFIPLUS</t>
  </si>
  <si>
    <t>UY241822797-22UYU039861Y</t>
  </si>
  <si>
    <t>JORGE FLEITAS</t>
  </si>
  <si>
    <t>CELINA</t>
  </si>
  <si>
    <t>0007-00002570</t>
  </si>
  <si>
    <t>22AR164039G</t>
  </si>
  <si>
    <t>DARIO NICIPURENCO</t>
  </si>
  <si>
    <t>PALLETS CON TERMITAS</t>
  </si>
  <si>
    <t>ETIQUETA PILSEN ÑANDE 620 CC OW</t>
  </si>
  <si>
    <t>COLLARIN PILSEN ÑANDE 620 CC OW</t>
  </si>
  <si>
    <t>CONTRAETIQUETA PILSEN ÑANDE 620 CC OW</t>
  </si>
  <si>
    <t>COLLARIN BUD LIGHT 340 RGB</t>
  </si>
  <si>
    <t>ETIQUETA BUD LIGHT 340 RGB</t>
  </si>
  <si>
    <t>ETIQUETA PILSEN ÑANDE NEGRA 330CC</t>
  </si>
  <si>
    <t>COLLARIN PILSEN ÑANDE 330 CC</t>
  </si>
  <si>
    <t>CONTRAETIQUETA PILSEN ÑANDE 330 CC</t>
  </si>
  <si>
    <t>ETIQUETA PILSEN ÑANDE 330 CC</t>
  </si>
  <si>
    <t>CONTRAETIQUETA PILSEN ÑANDE NEGRA 620CC</t>
  </si>
  <si>
    <t>ETIQUETA PILSEN ÑANDE NEGRA 620CC</t>
  </si>
  <si>
    <t>COLLARIN PILSEN ÑANDE NEGRA 620CC</t>
  </si>
  <si>
    <t>COLLARIN PILSEN ÑANDE NEGRA 330CC</t>
  </si>
  <si>
    <t>CONTRAETIQUETA PILSEN ÑANDE NEGRA 330CC</t>
  </si>
  <si>
    <t>ETIQUETA PILSEN ÑANDE BLANCA 330CC</t>
  </si>
  <si>
    <t>COLLARIN PILSEN ÑANDE BLANCA 330CC</t>
  </si>
  <si>
    <t>CONTRAETIQUETA PILSEN ÑANDE BLANCA 330CC</t>
  </si>
  <si>
    <t>COLLARIN BUD 66 330 CC</t>
  </si>
  <si>
    <t>ETIQUETA BUDWEISER 66 330 CC</t>
  </si>
  <si>
    <t>COLLARIN BUD 66 710 CC</t>
  </si>
  <si>
    <t>ETIQUETA BUD 66 710 CC</t>
  </si>
  <si>
    <t xml:space="preserve">CERVEPAR </t>
  </si>
  <si>
    <t xml:space="preserve">PALLET INDUSTRIALES </t>
  </si>
  <si>
    <t>ZUNCHOS REUTILIZADOS</t>
  </si>
  <si>
    <t xml:space="preserve">JAUSER </t>
  </si>
  <si>
    <t>RUBEN BENITEZ</t>
  </si>
  <si>
    <t>VICENTE MARECOS</t>
  </si>
  <si>
    <t>JAGUARETE/CORRUGADORA</t>
  </si>
  <si>
    <t>FILM TERM. CRISTAL 269 12 LT D/V 50 MIC</t>
  </si>
  <si>
    <t>22UY044683M</t>
  </si>
  <si>
    <t xml:space="preserve">KERRY INGREDIENTS </t>
  </si>
  <si>
    <t xml:space="preserve">DARIO ALEMAN </t>
  </si>
  <si>
    <t>REPROMAQ</t>
  </si>
  <si>
    <t>VICTOR NOGUERA</t>
  </si>
  <si>
    <t xml:space="preserve">ETIQUETA PILSEN ÑANDE CHOP 20 L </t>
  </si>
  <si>
    <t xml:space="preserve">ETIQUETA PILSEN ÑANDE BLANCA CHOP 30L </t>
  </si>
  <si>
    <t>NE30849V2</t>
  </si>
  <si>
    <t>NE30851V2</t>
  </si>
  <si>
    <t>VICTOR CAÑETE</t>
  </si>
  <si>
    <t>NE30867V2</t>
  </si>
  <si>
    <t>NE30875V2</t>
  </si>
  <si>
    <t>NE30876V2</t>
  </si>
  <si>
    <t>NE30880V2</t>
  </si>
  <si>
    <t>NE30881V2</t>
  </si>
  <si>
    <t xml:space="preserve">FILM  CRISTAL DE 80 MIC </t>
  </si>
  <si>
    <t>FILM TERMOC. BRAHMA 269 CC X12 LTDA.D.VI</t>
  </si>
  <si>
    <t>CAJA DE CARTON BUD 1000CCX6</t>
  </si>
  <si>
    <t>NE30885V2</t>
  </si>
  <si>
    <t>INGRAF</t>
  </si>
  <si>
    <t>CESAR DUARTE</t>
  </si>
  <si>
    <t>NE30890V2</t>
  </si>
  <si>
    <t>EDGAR IBARRA</t>
  </si>
  <si>
    <t>CAJA DE CARTON BUD 4 PACK 330CC</t>
  </si>
  <si>
    <t xml:space="preserve">BANDEJA BUD LIGHT 354CC </t>
  </si>
  <si>
    <t>NE30905V2</t>
  </si>
  <si>
    <t>NE30913V2</t>
  </si>
  <si>
    <t>NE30914V2</t>
  </si>
  <si>
    <t>GUSTAVO BENITEZ</t>
  </si>
  <si>
    <t xml:space="preserve">FILM TERMO TRANSPARENTE BUD 354X24 </t>
  </si>
  <si>
    <t>JUAN VALDEZ</t>
  </si>
  <si>
    <t>Azucar Cristal Saco 50 kg</t>
  </si>
  <si>
    <t>AZPA</t>
  </si>
  <si>
    <t>AMERICA DEL SUR TRANSPORTE</t>
  </si>
  <si>
    <t>RAUL PEREIRA</t>
  </si>
  <si>
    <t>CCL</t>
  </si>
  <si>
    <t xml:space="preserve">CONTRAETIQUETA  AUTOHAD. BUD 66 710 CC </t>
  </si>
  <si>
    <t>COLLARIN AUTOADHESIVA BUD66 550CC SD</t>
  </si>
  <si>
    <t>TAPA_CORONA_BRAHMA_PO_340 CC</t>
  </si>
  <si>
    <t>ANGEL ENCINA</t>
  </si>
  <si>
    <t>ADRIAN GONZALEZ</t>
  </si>
  <si>
    <t>JOSE SUAREZ</t>
  </si>
  <si>
    <t>22UY0482985</t>
  </si>
  <si>
    <t>CS REPUESTOS SA</t>
  </si>
  <si>
    <t>LUIS ARZA</t>
  </si>
  <si>
    <t>CAJA  BUD 66 4X6 330CC</t>
  </si>
  <si>
    <t>ESTUCHES BUD 66 X6 330CC</t>
  </si>
  <si>
    <t>ESTUCHES STELLA ART. 250CC</t>
  </si>
  <si>
    <t>BANDEJA STELLA ART 250CC</t>
  </si>
  <si>
    <t>CAJA CART HOEGAARDEN ROSEE X6 330CC</t>
  </si>
  <si>
    <t>ESTUCHE PATAGONIA BOHEMIAN PIL 473 CCX6</t>
  </si>
  <si>
    <t>ESTUCHE CARTUL PATAGONIA X10 269CC</t>
  </si>
  <si>
    <t>CAJA CARTON PILSEN EXTRA 310CCX6</t>
  </si>
  <si>
    <t>CAJA CARTON BRAHMITA 269CCX10</t>
  </si>
  <si>
    <t>CAJA CART PATAG BOHEMIA PIL X6 269CC</t>
  </si>
  <si>
    <t>CAJA CART PATAG AMBER LAGER X6 269CC</t>
  </si>
  <si>
    <t>CAJA CART PATAG HOPPY LAGER X6 269CC</t>
  </si>
  <si>
    <t>CAJA CART PATAGONIA WEISSE X6 269CC</t>
  </si>
  <si>
    <t>CAJA CARTOM BUD 66 BRAVE X 310 CC MANUAL</t>
  </si>
  <si>
    <t>CAJA BRAHMITA POMELO 340CC X 6 OW</t>
  </si>
  <si>
    <t>VICTOR RODRIGUEZ</t>
  </si>
  <si>
    <t>BR188517512</t>
  </si>
  <si>
    <t xml:space="preserve">COATA EXPRESS </t>
  </si>
  <si>
    <t>DANIEL ESCOBAR</t>
  </si>
  <si>
    <t xml:space="preserve">ETIQUETA OURO FINO 940CC RGB NVBI VERT </t>
  </si>
  <si>
    <t>ANCHOR PACKAGING</t>
  </si>
  <si>
    <t>JOSÉ GARCIA</t>
  </si>
  <si>
    <t>NE31596V2</t>
  </si>
  <si>
    <t>CELINE</t>
  </si>
  <si>
    <t>JAUSER</t>
  </si>
  <si>
    <t>22UY068031F</t>
  </si>
  <si>
    <t xml:space="preserve">GRUPO NORTE SUR </t>
  </si>
  <si>
    <t>PATRICIO GARCETE</t>
  </si>
  <si>
    <t>00002-00000561</t>
  </si>
  <si>
    <t>22AR252936K</t>
  </si>
  <si>
    <t>CRISTIAN GRACIA</t>
  </si>
  <si>
    <t>G0220016</t>
  </si>
  <si>
    <t>22UY068258Z</t>
  </si>
  <si>
    <t>KVS SRL</t>
  </si>
  <si>
    <t>DEIGO VALENZUELA</t>
  </si>
  <si>
    <t>22UY068257P</t>
  </si>
  <si>
    <t>LIDER EXPRESS</t>
  </si>
  <si>
    <t>CLAUDELINO PERALTA</t>
  </si>
  <si>
    <t>TAPA CORONA OURO FINO 940 CC</t>
  </si>
  <si>
    <t>TAPA CORONA OURO FINO 340CC</t>
  </si>
  <si>
    <t>22Y070574K</t>
  </si>
  <si>
    <t>ARNALDO GONZALEZ</t>
  </si>
  <si>
    <t>22YUY070577N</t>
  </si>
  <si>
    <t>EL QUIJOTE SRL</t>
  </si>
  <si>
    <t>HECTOR VILLALBA</t>
  </si>
  <si>
    <t>22AR2636954</t>
  </si>
  <si>
    <t>LIBERTAD SA</t>
  </si>
  <si>
    <t>AKIHITO SOZAKI</t>
  </si>
  <si>
    <t>MAV</t>
  </si>
  <si>
    <t>ARNALDO MARMOL</t>
  </si>
  <si>
    <t>ELIO DIAZ</t>
  </si>
  <si>
    <t>22AE270753H</t>
  </si>
  <si>
    <t xml:space="preserve">TAPA BRAHMA 940 PARAGUAY </t>
  </si>
  <si>
    <t>3287-0000744</t>
  </si>
  <si>
    <t>22AR283341E</t>
  </si>
  <si>
    <t xml:space="preserve">QUILMES </t>
  </si>
  <si>
    <t>TRANSPORTADORA FRANCO</t>
  </si>
  <si>
    <t>JUAN DOMINGUEZ</t>
  </si>
  <si>
    <t>HOT MELT P/CAJS JETMELT EC3762Q</t>
  </si>
  <si>
    <t>HOTMEL</t>
  </si>
  <si>
    <t>JOSE GARCIA</t>
  </si>
  <si>
    <t>22/23</t>
  </si>
  <si>
    <t>BR188517554</t>
  </si>
  <si>
    <t>COSTA EXPRESS</t>
  </si>
  <si>
    <t>JORGE RIZAK</t>
  </si>
  <si>
    <t xml:space="preserve">BOOSTER X 22KG </t>
  </si>
  <si>
    <t>GRUPO BIO SACI</t>
  </si>
  <si>
    <t>SERGIO CABALLERO</t>
  </si>
  <si>
    <t>PRECINTO SEG AUTOADHES BUD 66</t>
  </si>
  <si>
    <t>FILM BUD 66 269 CC</t>
  </si>
  <si>
    <t>FILM BUD 66 354CC</t>
  </si>
  <si>
    <t>FILM BRAHAMA PMELOS 296</t>
  </si>
  <si>
    <t>FILM BRAHAMA 354</t>
  </si>
  <si>
    <t xml:space="preserve">FILM BRAHMA MUSICA EDISION LIMITADA </t>
  </si>
  <si>
    <t xml:space="preserve">COLLARIN SKOL 600CC OW VERT </t>
  </si>
  <si>
    <t>BR188517575</t>
  </si>
  <si>
    <t>ETIQ FRENTE SKOL 600CC OW VERT</t>
  </si>
  <si>
    <t>ETIQUETA BRAHMA 940CC RGB QR VERT</t>
  </si>
  <si>
    <t>ETIQUETA BRAHAMA QR 340 CC RGB  VERT</t>
  </si>
  <si>
    <t>WALTER BRACHO</t>
  </si>
  <si>
    <t>3287-0752</t>
  </si>
  <si>
    <t>22AR2952713</t>
  </si>
  <si>
    <t xml:space="preserve">SERGIO PALACIOS </t>
  </si>
  <si>
    <t>22AR2953182</t>
  </si>
  <si>
    <t>JOSE MONGES</t>
  </si>
  <si>
    <t>INSUMAQ</t>
  </si>
  <si>
    <t>RODOLFO GUGGIAR</t>
  </si>
  <si>
    <t>FILM CRISTAL ANTIADERENTE</t>
  </si>
  <si>
    <t>FILM CRISTAL AGRUPADOR 4X6</t>
  </si>
  <si>
    <t>FIL PILSEN EXTRA OLIMPIA 269</t>
  </si>
  <si>
    <t>22AR305867M</t>
  </si>
  <si>
    <t xml:space="preserve">CRISTIAN MOREL </t>
  </si>
  <si>
    <t>22AR305957M</t>
  </si>
  <si>
    <t>ELISANDRO BENITEZ</t>
  </si>
  <si>
    <t>G0220025</t>
  </si>
  <si>
    <t>UY2418221295</t>
  </si>
  <si>
    <t>JORGE VERA</t>
  </si>
  <si>
    <t xml:space="preserve">TAPA BUD 66 </t>
  </si>
  <si>
    <t>UY2418221296</t>
  </si>
  <si>
    <t xml:space="preserve">CRISTOBAL GENES </t>
  </si>
  <si>
    <t>UY2418221248</t>
  </si>
  <si>
    <t>DAVID ESPINOLA</t>
  </si>
  <si>
    <t>IMPACKTA</t>
  </si>
  <si>
    <t xml:space="preserve">JUAN </t>
  </si>
  <si>
    <t>BR188517603</t>
  </si>
  <si>
    <t xml:space="preserve">ROTULO FRONT BRAHMITA 340 </t>
  </si>
  <si>
    <t>BR188517602</t>
  </si>
  <si>
    <t>LUIS GIMENEZ</t>
  </si>
  <si>
    <t>ROTULO FRONT PILSEN 710</t>
  </si>
  <si>
    <t>ROTULO NECK PILSEN 710</t>
  </si>
  <si>
    <t>ROTULO BACK PILSEN 710</t>
  </si>
  <si>
    <t>22UY080211W</t>
  </si>
  <si>
    <t>ELISEO ALMADA</t>
  </si>
  <si>
    <t>22UY080208F</t>
  </si>
  <si>
    <t>TSM</t>
  </si>
  <si>
    <t>CARLOS PEREZ</t>
  </si>
  <si>
    <t>22UY085244K</t>
  </si>
  <si>
    <t>22UY085241H</t>
  </si>
  <si>
    <t>HEBER GONZALEZ</t>
  </si>
  <si>
    <t>22UY085242X</t>
  </si>
  <si>
    <t>MIGUEL DELGADO</t>
  </si>
  <si>
    <t>22UY085243J</t>
  </si>
  <si>
    <t xml:space="preserve">AUGUSTO GINI </t>
  </si>
  <si>
    <t>22UY076942P</t>
  </si>
  <si>
    <t>ARJ</t>
  </si>
  <si>
    <t>JUAN LEGUIZAMON</t>
  </si>
  <si>
    <t>SAL INDUSTRIAL 50KG</t>
  </si>
  <si>
    <t xml:space="preserve">CHACOMER </t>
  </si>
  <si>
    <t xml:space="preserve">CRISTIAN MONTIEL </t>
  </si>
  <si>
    <t>22UY090217G</t>
  </si>
  <si>
    <t>TMG</t>
  </si>
  <si>
    <t>CRISTIAN FRANCO</t>
  </si>
  <si>
    <t>CONTRAETIQUETA BUD 66 330CC</t>
  </si>
  <si>
    <t xml:space="preserve">CAJA PILSEN ÑANDE 6X620 MANUAL </t>
  </si>
  <si>
    <t>NE33171V2</t>
  </si>
  <si>
    <t>CRISTIAN ROJAS</t>
  </si>
  <si>
    <t>TINTA NEGRA V410-D</t>
  </si>
  <si>
    <t>PC</t>
  </si>
  <si>
    <t>E+K PARAGUAYA SA</t>
  </si>
  <si>
    <t>E+K PARAGUAYA</t>
  </si>
  <si>
    <t>ARIEL MACHUCA</t>
  </si>
  <si>
    <t>TINTA NEGRA V505-D</t>
  </si>
  <si>
    <t>ISUMAQ SRL</t>
  </si>
  <si>
    <t>ISUMAQ</t>
  </si>
  <si>
    <t>DIEGO RODRIGUEZ</t>
  </si>
  <si>
    <t>JUAN FIGUEREDO</t>
  </si>
  <si>
    <t>2960R3552</t>
  </si>
  <si>
    <t>22AR365742K</t>
  </si>
  <si>
    <t>MARCIAL BENITEZ</t>
  </si>
  <si>
    <t>22AR3637702</t>
  </si>
  <si>
    <t>JOSE SUEREZ</t>
  </si>
  <si>
    <t>BR676301053</t>
  </si>
  <si>
    <t>TIREX</t>
  </si>
  <si>
    <t>MILTON RIBEIRO</t>
  </si>
  <si>
    <t>ROTULO ORIGINAL 600 PY CX32MIL</t>
  </si>
  <si>
    <t>22AR372181F</t>
  </si>
  <si>
    <t>EL NUEVO PARAGUAYO</t>
  </si>
  <si>
    <t>JUAN ALCARAZ</t>
  </si>
  <si>
    <t>22AR385969A</t>
  </si>
  <si>
    <t>JULIO GOMEZ</t>
  </si>
  <si>
    <t xml:space="preserve">TAPA SUBZERO PARAGUAY </t>
  </si>
  <si>
    <t>FREDDY CASCO</t>
  </si>
  <si>
    <t xml:space="preserve">CYNTHIA CABALLERO </t>
  </si>
  <si>
    <t>22UY103776L</t>
  </si>
  <si>
    <t>TOMAS TORRES</t>
  </si>
  <si>
    <t>JOEL CABALLERO</t>
  </si>
  <si>
    <t>G0220029</t>
  </si>
  <si>
    <t>22UY107850X</t>
  </si>
  <si>
    <t>JM TRANSPORTE</t>
  </si>
  <si>
    <t>CLEMENTE SEGOVIA</t>
  </si>
  <si>
    <t>JAVIER CABRERA</t>
  </si>
  <si>
    <t>A 224</t>
  </si>
  <si>
    <t>22UY111005S</t>
  </si>
  <si>
    <t>WILL L. SMITH S.A.U</t>
  </si>
  <si>
    <t>MIGUEL CESPEDES</t>
  </si>
  <si>
    <t>22AR394284L</t>
  </si>
  <si>
    <t xml:space="preserve">VICTOR LOVERA </t>
  </si>
  <si>
    <t>22AR3941870</t>
  </si>
  <si>
    <t>RICARDO GOMEZ</t>
  </si>
  <si>
    <t>BR676301087</t>
  </si>
  <si>
    <t>CENTENARIO RODRIGUEZ</t>
  </si>
  <si>
    <t>BR676301097</t>
  </si>
  <si>
    <t>PEDRO SILVA</t>
  </si>
  <si>
    <t>ETI CUERPO PILSEN ANIVERSARIO 340 CC</t>
  </si>
  <si>
    <t>CONTRAETIQUETA  PILSEN ANIVERSARIO 940CC</t>
  </si>
  <si>
    <t xml:space="preserve">CONTRAETIQUETA PILSEN ANIVERSARIO 340CC </t>
  </si>
  <si>
    <t>COLLARIN PILSEN ANIVERSARIO 340 CC</t>
  </si>
  <si>
    <t>COLLARIN PILSEN ANIVERSARIO 940 CC</t>
  </si>
  <si>
    <t>ETIQCUERPO PILSEN ANIVERSARIO 940CC</t>
  </si>
  <si>
    <t>FILTRO TRAP SARTORIUS 5502501P3-G 8 UM</t>
  </si>
  <si>
    <t>LABCO</t>
  </si>
  <si>
    <t>IVAN SOTELO</t>
  </si>
  <si>
    <t>FILTRO TRAP SARTORIUS 5502520P3-G 20 UM</t>
  </si>
  <si>
    <t xml:space="preserve">EXTRACTO AROM FRUTOS ROJOS </t>
  </si>
  <si>
    <t>BR7639688</t>
  </si>
  <si>
    <t>GIVAUDAN DO BRASIL</t>
  </si>
  <si>
    <t>GHELERE</t>
  </si>
  <si>
    <t>ESTEBAN OLMEDO</t>
  </si>
  <si>
    <t xml:space="preserve">ACIDO CITRICO </t>
  </si>
  <si>
    <t>MATER PRIM</t>
  </si>
  <si>
    <t xml:space="preserve">MATER PRIM </t>
  </si>
  <si>
    <t>EVER SANCHEZ</t>
  </si>
  <si>
    <t>FILM TERMO SKOL P BOTELLA 600X6</t>
  </si>
  <si>
    <t>BR676301103</t>
  </si>
  <si>
    <t>GRACE</t>
  </si>
  <si>
    <t>CRISTIAN RAMIREZ</t>
  </si>
  <si>
    <t>MARIO ROA</t>
  </si>
  <si>
    <t xml:space="preserve">KG </t>
  </si>
  <si>
    <t>22UY114342C</t>
  </si>
  <si>
    <t>ARSENIO CABRERA</t>
  </si>
  <si>
    <t>22UY114341B</t>
  </si>
  <si>
    <t>ANIBAL MEDINA</t>
  </si>
  <si>
    <t>031-003-004320</t>
  </si>
  <si>
    <t>SERGIO RAMIREZ</t>
  </si>
  <si>
    <t>22AR408258K</t>
  </si>
  <si>
    <t>JUAN MOREL</t>
  </si>
  <si>
    <t>TAPA OURO FINO 340CC</t>
  </si>
  <si>
    <t>TAPA OURO FINO 940CC</t>
  </si>
  <si>
    <t>FREDY DELGADO</t>
  </si>
  <si>
    <t>JOSE LOPEZ</t>
  </si>
  <si>
    <t xml:space="preserve">ROLHA MET BUDWIESER </t>
  </si>
  <si>
    <t>JULIO MOREL</t>
  </si>
  <si>
    <t>BR676301104</t>
  </si>
  <si>
    <t>RAFAEL PEREIRA</t>
  </si>
  <si>
    <t>006-002-8748</t>
  </si>
  <si>
    <t>PAD 269X18</t>
  </si>
  <si>
    <t>FILM SKOL 269 15  LATAS</t>
  </si>
  <si>
    <t xml:space="preserve">FILM TERMO BUDWEISER 66 354CC 12L </t>
  </si>
  <si>
    <t>BR676301112</t>
  </si>
  <si>
    <t>GUILLERMO LUCIANO</t>
  </si>
  <si>
    <t>BR676301111</t>
  </si>
  <si>
    <t xml:space="preserve">MARCELO </t>
  </si>
  <si>
    <t>ROLHA MET.  ORIGINAL NEW 0,21C10,5 MI</t>
  </si>
  <si>
    <t>BR188517681</t>
  </si>
  <si>
    <t>ACOSTA</t>
  </si>
  <si>
    <t>FLORENCIO CABRAL</t>
  </si>
  <si>
    <t>BLAS ATIEZA</t>
  </si>
  <si>
    <t>DIVOSAN TC 86</t>
  </si>
  <si>
    <t xml:space="preserve">ELIODORO PINTASILGO </t>
  </si>
  <si>
    <t>22AR432902D</t>
  </si>
  <si>
    <t>TAPA SKOL PARAGUAY</t>
  </si>
  <si>
    <t>FILM LAMINA TERMO PILSEN CLASICA 12L 355CC</t>
  </si>
  <si>
    <t xml:space="preserve">SODA CAUSTICA </t>
  </si>
  <si>
    <t xml:space="preserve">FILM TERMO PILSEN EXTRA PURA MALTA 269CC 6L </t>
  </si>
  <si>
    <t>BR676301163</t>
  </si>
  <si>
    <t>ROBERTO BERSA</t>
  </si>
  <si>
    <t>PRECINTO SEG P/BARRIL S. ARTOIS</t>
  </si>
  <si>
    <t>ENVAPAR</t>
  </si>
  <si>
    <t>MARCELO MORALES</t>
  </si>
  <si>
    <t xml:space="preserve">PRECINTO COLA DE RATON </t>
  </si>
  <si>
    <t xml:space="preserve">SEGUPAK </t>
  </si>
  <si>
    <t>SEGUPAK</t>
  </si>
  <si>
    <t>JONATHAN MENDOZA</t>
  </si>
  <si>
    <t>GUSTAVO CAMPOS</t>
  </si>
  <si>
    <t>FRANCISCO DUARTE</t>
  </si>
  <si>
    <t>ALEXIS GUERRERO</t>
  </si>
  <si>
    <t>IMERYS</t>
  </si>
  <si>
    <t>ERICO MEZ</t>
  </si>
  <si>
    <t>VENANCIO SERVIN</t>
  </si>
  <si>
    <t xml:space="preserve">CAJA CARTON BUD66 6X269CC </t>
  </si>
  <si>
    <t>006-00215</t>
  </si>
  <si>
    <t>22AR4515762</t>
  </si>
  <si>
    <t>BENITEZ</t>
  </si>
  <si>
    <t>COLLARIN SKOL 940CC RGB NVBI VERT</t>
  </si>
  <si>
    <t>BR676301164</t>
  </si>
  <si>
    <t xml:space="preserve">JEFERSON </t>
  </si>
  <si>
    <t xml:space="preserve">ETIQUETA SKOL 940CC RGB VERT </t>
  </si>
  <si>
    <t>22UY120045A</t>
  </si>
  <si>
    <t>ALEJANDRO FIGUEREDO</t>
  </si>
  <si>
    <t>22UY126128H</t>
  </si>
  <si>
    <t>ARNALDO ROJAS</t>
  </si>
  <si>
    <t>22UY126126F</t>
  </si>
  <si>
    <t>JOEL FERREIRA</t>
  </si>
  <si>
    <t>22UY126129X</t>
  </si>
  <si>
    <t>22UY126127G</t>
  </si>
  <si>
    <t>3287-0891</t>
  </si>
  <si>
    <t>22AR469348R</t>
  </si>
  <si>
    <t>GRUPO NORTE SUR</t>
  </si>
  <si>
    <t xml:space="preserve">TAPA PILSEN 340CC PARAGUAY </t>
  </si>
  <si>
    <t>22AR469368Y</t>
  </si>
  <si>
    <t>BR676301184</t>
  </si>
  <si>
    <t>EVERTON MARCELO</t>
  </si>
  <si>
    <t>AST</t>
  </si>
  <si>
    <t xml:space="preserve">FIDEL BOGADO </t>
  </si>
  <si>
    <t>DANIEL AYALA</t>
  </si>
  <si>
    <t xml:space="preserve">PALLET INDUSTRIALES AZULES </t>
  </si>
  <si>
    <t>ALTIEN</t>
  </si>
  <si>
    <t>MANUEL RIVEROS</t>
  </si>
  <si>
    <t>ENZIMA ALPHALASE THP</t>
  </si>
  <si>
    <t>22AR479996A</t>
  </si>
  <si>
    <t>CMQ</t>
  </si>
  <si>
    <t>RUBEN GIMENEZ</t>
  </si>
  <si>
    <t>IMPAKTA</t>
  </si>
  <si>
    <t>22UY134368M</t>
  </si>
  <si>
    <t>NICOLAS</t>
  </si>
  <si>
    <t>BR676301185</t>
  </si>
  <si>
    <t>UNISAL</t>
  </si>
  <si>
    <t>MARIO ESPINOLA</t>
  </si>
  <si>
    <t>G0220033</t>
  </si>
  <si>
    <t>ATM</t>
  </si>
  <si>
    <t>BENJAMIN GIMENES</t>
  </si>
  <si>
    <t>TAPA CORONA PILSEN 340CC</t>
  </si>
  <si>
    <t>SERGIO SILVA</t>
  </si>
  <si>
    <t>TAPAS SKOL 940</t>
  </si>
  <si>
    <t>MARIO LOPEZ</t>
  </si>
  <si>
    <t>ASUPACK</t>
  </si>
  <si>
    <t>ALBERTO RODRIGUEZ</t>
  </si>
  <si>
    <t>MARCELO GONZALES</t>
  </si>
  <si>
    <t>DARIO FLORES</t>
  </si>
  <si>
    <t xml:space="preserve">LUIS CONGO </t>
  </si>
  <si>
    <t>22AR497398A</t>
  </si>
  <si>
    <t>ELADIO SAUCEDO</t>
  </si>
  <si>
    <t>22AR49705M</t>
  </si>
  <si>
    <t>JOSE TORRES</t>
  </si>
  <si>
    <t>JOSE TADEO</t>
  </si>
  <si>
    <t>RICARDO PEDROZO</t>
  </si>
  <si>
    <t>JORGE ACOSTA</t>
  </si>
  <si>
    <t>ROTULO NECK BRAHMITA PY 340ML NIV18 CX11</t>
  </si>
  <si>
    <t>BR676301189</t>
  </si>
  <si>
    <t>EDUARDO</t>
  </si>
  <si>
    <t>BR676301190</t>
  </si>
  <si>
    <t>FILM CRISTAL P/ BOTELLA 600X6 S/IMPR</t>
  </si>
  <si>
    <t>22UY134302A</t>
  </si>
  <si>
    <t>URSINO GOMEZ</t>
  </si>
  <si>
    <t>MARIO RODRIGUEZ</t>
  </si>
  <si>
    <t>JUAN  GONZALEZ</t>
  </si>
  <si>
    <t>22UY138633C</t>
  </si>
  <si>
    <t>22UY138634M</t>
  </si>
  <si>
    <t>EDGAR GAUTO</t>
  </si>
  <si>
    <t xml:space="preserve">VICTOR MORINIGO </t>
  </si>
  <si>
    <t>FILM CRISTAL AGRUPADOR  ANTIADHERENTE 310CC</t>
  </si>
  <si>
    <t>TADEO GARCIA</t>
  </si>
  <si>
    <t>BR676301227</t>
  </si>
  <si>
    <t xml:space="preserve">ANTONIO </t>
  </si>
  <si>
    <t>22AER533041W</t>
  </si>
  <si>
    <t>BR676301242</t>
  </si>
  <si>
    <t xml:space="preserve">NEDIO </t>
  </si>
  <si>
    <t>SOLVENTE P/TINTA NEGRA V705-D</t>
  </si>
  <si>
    <t xml:space="preserve">NESTOR BELTRAN </t>
  </si>
  <si>
    <t>SOLVENTE P/TINTA NEGRA V820-D</t>
  </si>
  <si>
    <t>DIEGO LEGUIZAMON</t>
  </si>
  <si>
    <t>G0220636</t>
  </si>
  <si>
    <t>22UY141381F</t>
  </si>
  <si>
    <t>TAPA SPAIN</t>
  </si>
  <si>
    <t>JUAN RODRIGUEZ</t>
  </si>
  <si>
    <t xml:space="preserve">PRECINTO AZUL PARA PILSEN </t>
  </si>
  <si>
    <t>ALBERTO BOGADO</t>
  </si>
  <si>
    <t>22UY141382G</t>
  </si>
  <si>
    <t xml:space="preserve">CESAR RAMON </t>
  </si>
  <si>
    <t>EMBRAGUEZ Y FRENOS</t>
  </si>
  <si>
    <t>3287-0001026</t>
  </si>
  <si>
    <t>22AR554597S</t>
  </si>
  <si>
    <t>FELIPE GALEANO</t>
  </si>
  <si>
    <t>22AR554518L</t>
  </si>
  <si>
    <t>GENENCOR</t>
  </si>
  <si>
    <t>22UY241755K</t>
  </si>
  <si>
    <t>ULISES FERNANDEZ</t>
  </si>
  <si>
    <t xml:space="preserve">FILM BRAHMITA CHOPP 269 </t>
  </si>
  <si>
    <t>22UY156880P</t>
  </si>
  <si>
    <t>IMEREYS</t>
  </si>
  <si>
    <t xml:space="preserve">JULIO MALDONADO </t>
  </si>
  <si>
    <t>018 001 000037</t>
  </si>
  <si>
    <t>EVERT MELGAREJO</t>
  </si>
  <si>
    <t>0002-000000643</t>
  </si>
  <si>
    <t>22AR560544H</t>
  </si>
  <si>
    <t>22AR560551F</t>
  </si>
  <si>
    <t>JORGE SANTACRUZ</t>
  </si>
  <si>
    <t>509/508</t>
  </si>
  <si>
    <t>G0220039</t>
  </si>
  <si>
    <t>22UY164773P</t>
  </si>
  <si>
    <t>LUIS FAREZ</t>
  </si>
  <si>
    <t>22UY164772Y</t>
  </si>
  <si>
    <t>TAPA PILSEN 710CC</t>
  </si>
  <si>
    <t>LUPULO EXTRACTO TETRAHOP</t>
  </si>
  <si>
    <t>22UY162236</t>
  </si>
  <si>
    <t>JOHN HAAS</t>
  </si>
  <si>
    <t>22UY165660L</t>
  </si>
  <si>
    <t>ARNALDO GIMENEZ</t>
  </si>
  <si>
    <t>22UY165661M</t>
  </si>
  <si>
    <t>22UY165664P</t>
  </si>
  <si>
    <t>22UY165659T</t>
  </si>
  <si>
    <t>A234</t>
  </si>
  <si>
    <t>GNS</t>
  </si>
  <si>
    <t>ANDRES LEZCANO</t>
  </si>
  <si>
    <t>FILM TERMO PILSEN´I 269CC</t>
  </si>
  <si>
    <t>kG</t>
  </si>
  <si>
    <t xml:space="preserve">ELEMENTO FILT AGUA SARTORIUS </t>
  </si>
  <si>
    <t>GABRIEL CARDOZO</t>
  </si>
  <si>
    <t>MALTA CARAMELO 30</t>
  </si>
  <si>
    <t>00002-000000443</t>
  </si>
  <si>
    <t>23AR014137A</t>
  </si>
  <si>
    <t xml:space="preserve">AGROINDUSTRIAL SUDESTE </t>
  </si>
  <si>
    <t>GUSTAVO ACOSTA</t>
  </si>
  <si>
    <t>0006-002-0000453</t>
  </si>
  <si>
    <t>3287-00001078</t>
  </si>
  <si>
    <t>ALCIDES SANABRIA</t>
  </si>
  <si>
    <t xml:space="preserve">GNS </t>
  </si>
  <si>
    <t>JUAN OVIEDO</t>
  </si>
  <si>
    <t>DIEGO GARCIA</t>
  </si>
  <si>
    <t xml:space="preserve"> CLORURO DE CALCIO CRISTALIZADO</t>
  </si>
  <si>
    <t xml:space="preserve">TERMA </t>
  </si>
  <si>
    <t>TERMA</t>
  </si>
  <si>
    <t>VICTOR ACOSTA</t>
  </si>
  <si>
    <t>TORRE CILINDRICA LUMISONA</t>
  </si>
  <si>
    <t>ROBERT GUZMAN</t>
  </si>
  <si>
    <t>HILDIO RAMIREZ</t>
  </si>
  <si>
    <t>GUSTAVO GONZALEZ</t>
  </si>
  <si>
    <t>22UY165594R</t>
  </si>
  <si>
    <t>MIGUEL MOREÑ</t>
  </si>
  <si>
    <t>DAVID CANTERO</t>
  </si>
  <si>
    <t>009-003-368</t>
  </si>
  <si>
    <t>Cloruro de zinc</t>
  </si>
  <si>
    <t>LASCA</t>
  </si>
  <si>
    <t>ALFREDO SOSA</t>
  </si>
  <si>
    <t>BR676301270</t>
  </si>
  <si>
    <t>ROGES MANENTI</t>
  </si>
  <si>
    <t>FRONT BRAHMA SUB ZERO 340</t>
  </si>
  <si>
    <t>CESAR RAMIREZ</t>
  </si>
  <si>
    <t>GUSTAVO OCAMPO</t>
  </si>
  <si>
    <t>TAPA LATA NEGRATAB NEGP CDL</t>
  </si>
  <si>
    <t>BR612801021</t>
  </si>
  <si>
    <t>BALL BRASIL</t>
  </si>
  <si>
    <t>ANCANTARA</t>
  </si>
  <si>
    <t>ENEURALDO ALEXANDRE</t>
  </si>
  <si>
    <t>VIRSO FERREIRA</t>
  </si>
  <si>
    <t>ARISTDIDES MARTINEZ</t>
  </si>
  <si>
    <t>NE40220V2</t>
  </si>
  <si>
    <t>NE4020223V2</t>
  </si>
  <si>
    <t>OSCAR MARTINEZ</t>
  </si>
  <si>
    <t>BR676301272</t>
  </si>
  <si>
    <t>PEDRO VALDEZ</t>
  </si>
  <si>
    <t>GUSTAVO OCAMPOS</t>
  </si>
  <si>
    <t>FREDY CASCO</t>
  </si>
  <si>
    <t>ETIQUETA BUD 66 710CC RGB</t>
  </si>
  <si>
    <t>00123SG436AR1</t>
  </si>
  <si>
    <t>ALAN RAMIREZ</t>
  </si>
  <si>
    <t>COLLARIN BUD 66 710CC RGB</t>
  </si>
  <si>
    <t>CONTRAETIQUETA BUD 66 710CC RGB</t>
  </si>
  <si>
    <t>VIDAL ARZAMENDIA</t>
  </si>
  <si>
    <t>JUAN GONZALEZ</t>
  </si>
  <si>
    <t>WILFRIDO SOSA</t>
  </si>
  <si>
    <t>BR676301273</t>
  </si>
  <si>
    <t xml:space="preserve">JOCEMIR APOLONIO </t>
  </si>
  <si>
    <t>GO23001</t>
  </si>
  <si>
    <t>23UY011927</t>
  </si>
  <si>
    <t>DARIO VILLAR</t>
  </si>
  <si>
    <t>23AR071635G</t>
  </si>
  <si>
    <t>MIGUEL GONZAEZ</t>
  </si>
  <si>
    <t>23AR071638J</t>
  </si>
  <si>
    <t xml:space="preserve">CARLOS MERZARIO </t>
  </si>
  <si>
    <t>G0230001</t>
  </si>
  <si>
    <t>23UY011926H</t>
  </si>
  <si>
    <t>INOCENCIO CANDIA</t>
  </si>
  <si>
    <t>coRRUGADORA</t>
  </si>
  <si>
    <t>TAPA PARA LATA BUD  66 PLATEADA Y ROJA</t>
  </si>
  <si>
    <t>1196/2023</t>
  </si>
  <si>
    <t>BR687523428</t>
  </si>
  <si>
    <t>ADAMES</t>
  </si>
  <si>
    <t>DIVARTE NASCIMIENTO</t>
  </si>
  <si>
    <t>1194/2023</t>
  </si>
  <si>
    <t>BR687523426</t>
  </si>
  <si>
    <t>ABL</t>
  </si>
  <si>
    <t>VANIO FUIDINO</t>
  </si>
  <si>
    <t>1195/2023</t>
  </si>
  <si>
    <t>BR687523427</t>
  </si>
  <si>
    <t>SERGIO</t>
  </si>
  <si>
    <t>23AR090186J</t>
  </si>
  <si>
    <t>CORRUGAORA</t>
  </si>
  <si>
    <t>ROBERTO RECALDE</t>
  </si>
  <si>
    <t>VICTOR GONZALEZ</t>
  </si>
  <si>
    <t>CERVEPAR</t>
  </si>
  <si>
    <t xml:space="preserve">JULIO MOREL </t>
  </si>
  <si>
    <t>COAGULANTE SULFATO DE ALUMINIO SIL 17%</t>
  </si>
  <si>
    <t>TAPA CORONA BRAHMA S.ZERO 340 CC</t>
  </si>
  <si>
    <t>G0230003</t>
  </si>
  <si>
    <t>23UY013060V</t>
  </si>
  <si>
    <t xml:space="preserve">AGROLOGISTICA </t>
  </si>
  <si>
    <t>ARNULFO GIMENEZ</t>
  </si>
  <si>
    <t>MINICHIP BUDWEISER</t>
  </si>
  <si>
    <t>3267-00001155</t>
  </si>
  <si>
    <t>23AR099783U</t>
  </si>
  <si>
    <t>3287-00001154</t>
  </si>
  <si>
    <t>CORONAPLAS</t>
  </si>
  <si>
    <t>PLE 23/13</t>
  </si>
  <si>
    <t>BR.6763.01274</t>
  </si>
  <si>
    <t>CCL INDUSTRIES</t>
  </si>
  <si>
    <t>ERNANDES DA COSTA</t>
  </si>
  <si>
    <t>CONTRAETIQUETA BUD 66 710CC RGB PSL LAV 45MIC</t>
  </si>
  <si>
    <t>ETIQUETA BUD 66 710CC  RGB PSL LAV 45 MIC</t>
  </si>
  <si>
    <t>COLLARIN BUD 66 710 CC RGB PSL LAV 45 MIC</t>
  </si>
  <si>
    <t>23UY020912X</t>
  </si>
  <si>
    <t>JULIO CANDIA</t>
  </si>
  <si>
    <t>DANIEL FERREIRA</t>
  </si>
  <si>
    <t>FOIL SKOL 940CCRGB</t>
  </si>
  <si>
    <t>001 /23</t>
  </si>
  <si>
    <t>BR676301275</t>
  </si>
  <si>
    <t>UNIKA</t>
  </si>
  <si>
    <t>RENATO DUARTE</t>
  </si>
  <si>
    <t>MANUEL LOPEZ</t>
  </si>
  <si>
    <t>ADOLFO ESPINOLA</t>
  </si>
  <si>
    <t>23AR144462F</t>
  </si>
  <si>
    <t>JORGE PRIETO</t>
  </si>
  <si>
    <t>23AR144464H</t>
  </si>
  <si>
    <t>ROBERTO MALDONADO</t>
  </si>
  <si>
    <t>NE41993V2</t>
  </si>
  <si>
    <t>23UY027010V</t>
  </si>
  <si>
    <t>ENZIMA AMYLEX 5T</t>
  </si>
  <si>
    <t>G0230005</t>
  </si>
  <si>
    <t>23UY032761H</t>
  </si>
  <si>
    <t>TAPON SPAIN</t>
  </si>
  <si>
    <t xml:space="preserve">LIDER </t>
  </si>
  <si>
    <t xml:space="preserve">DERLIS RIVEROS </t>
  </si>
  <si>
    <t>BR67630197</t>
  </si>
  <si>
    <t>NEDIO PELOZATTO</t>
  </si>
  <si>
    <t>32870000-1200</t>
  </si>
  <si>
    <t>23AR161528H</t>
  </si>
  <si>
    <t>JOSE FERNANDEZ</t>
  </si>
  <si>
    <t>G023006</t>
  </si>
  <si>
    <t>23UY0334674</t>
  </si>
  <si>
    <t>PARANA TRANSPORTE</t>
  </si>
  <si>
    <t>DARIO VILLA</t>
  </si>
  <si>
    <t>PEDRO IRALA</t>
  </si>
  <si>
    <t>002-0000542</t>
  </si>
  <si>
    <t>23AR172929Y</t>
  </si>
  <si>
    <t>GUSTAVO BORDON</t>
  </si>
  <si>
    <t>3287-0001106</t>
  </si>
  <si>
    <t>23AR173542G</t>
  </si>
  <si>
    <t>002-000543</t>
  </si>
  <si>
    <t>23AR1510438</t>
  </si>
  <si>
    <t>LOPULO PIP HVG HERCULES</t>
  </si>
  <si>
    <t>KGA</t>
  </si>
  <si>
    <t>22-01104.AR</t>
  </si>
  <si>
    <t>23UY040254D</t>
  </si>
  <si>
    <t>HVG</t>
  </si>
  <si>
    <t>ALEXIS LEGUIZAMON</t>
  </si>
  <si>
    <t>23UY047562M</t>
  </si>
  <si>
    <t>LUIS FARES</t>
  </si>
  <si>
    <t>ADHESIVO HB FULLER</t>
  </si>
  <si>
    <t>HB FULLER</t>
  </si>
  <si>
    <t>BR676301334</t>
  </si>
  <si>
    <t>EUGENIO LOPEZ</t>
  </si>
  <si>
    <t>A420</t>
  </si>
  <si>
    <t>23UY058626P</t>
  </si>
  <si>
    <t>OSVALDO KLANER</t>
  </si>
  <si>
    <t>ANALIZADOR DE HUMEDAD MA 35</t>
  </si>
  <si>
    <t>CARTUCHO FILTR SARTOPURE</t>
  </si>
  <si>
    <t>COLLARIN BRAHMA 940 PRECIO</t>
  </si>
  <si>
    <t>BR676301335</t>
  </si>
  <si>
    <t>LUIS SILVA</t>
  </si>
  <si>
    <t>NE43028V2</t>
  </si>
  <si>
    <t>CELIE</t>
  </si>
  <si>
    <t>G0230011</t>
  </si>
  <si>
    <t>23UY064507K</t>
  </si>
  <si>
    <t>MIGUEL MOREI</t>
  </si>
  <si>
    <t>23UY064508L</t>
  </si>
  <si>
    <t xml:space="preserve">AGROLOGISTA </t>
  </si>
  <si>
    <t>ANDULFO GIMENEZ</t>
  </si>
  <si>
    <t>PLE23/35</t>
  </si>
  <si>
    <t>BR676301336</t>
  </si>
  <si>
    <t>JOSE ARUZA</t>
  </si>
  <si>
    <t>NE43142V2</t>
  </si>
  <si>
    <t>FILM SKOL 269CCX12 70 MIC</t>
  </si>
  <si>
    <t>FILM BUD 66 310ccx12 70MIC</t>
  </si>
  <si>
    <t>ADOLFO VAZQUEZ</t>
  </si>
  <si>
    <t>SC-0003/23</t>
  </si>
  <si>
    <t>BR39260043</t>
  </si>
  <si>
    <t xml:space="preserve">SANTA CLARA </t>
  </si>
  <si>
    <t>MCN</t>
  </si>
  <si>
    <t>CANTALEANO SALVADOR</t>
  </si>
  <si>
    <t>G0230014</t>
  </si>
  <si>
    <t>23UY071300W</t>
  </si>
  <si>
    <t>NE43707V2</t>
  </si>
  <si>
    <t>NE43786V2</t>
  </si>
  <si>
    <t>23UY075809R</t>
  </si>
  <si>
    <t>ADHESIVO HENKKEL</t>
  </si>
  <si>
    <t>DISPENSADOR 5.0 50ML</t>
  </si>
  <si>
    <t>PRECINTO ROJO BRAHMA</t>
  </si>
  <si>
    <t>PRECINTO AZUL OSCURP</t>
  </si>
  <si>
    <t>FILM OURO FINO 269CC 70X70</t>
  </si>
  <si>
    <t>BOLSIPLATS</t>
  </si>
  <si>
    <t>1111/2023</t>
  </si>
  <si>
    <t>BR687523344</t>
  </si>
  <si>
    <t>1115/2023</t>
  </si>
  <si>
    <t>BR087523345</t>
  </si>
  <si>
    <t>OSMIR DOS SANTOS</t>
  </si>
  <si>
    <t>FILM PILSEN 355CC 70X70</t>
  </si>
  <si>
    <t>BR676301337</t>
  </si>
  <si>
    <t>ADILSON LOURENCO</t>
  </si>
  <si>
    <t>BR676301338</t>
  </si>
  <si>
    <t>MICHAEL PEREIRA</t>
  </si>
  <si>
    <t>BALL PY</t>
  </si>
  <si>
    <t>SANTIAGO MEDINA</t>
  </si>
  <si>
    <t>FILM SKOL 269X15 70 MIC</t>
  </si>
  <si>
    <t>ADOLFO RAMIREZ</t>
  </si>
  <si>
    <t>un</t>
  </si>
  <si>
    <t>ARIEL PEREIRA</t>
  </si>
  <si>
    <t>BR676301340</t>
  </si>
  <si>
    <t>LUIS RODRIGUEZ</t>
  </si>
  <si>
    <t>3287-0001371</t>
  </si>
  <si>
    <t>23AR299645T</t>
  </si>
  <si>
    <t>23AR301883H</t>
  </si>
  <si>
    <t>ROQUE BENITEZ</t>
  </si>
  <si>
    <t>23AR301867J</t>
  </si>
  <si>
    <t>RICHARD MIRADA</t>
  </si>
  <si>
    <t>PLE23146</t>
  </si>
  <si>
    <t>BR676301341</t>
  </si>
  <si>
    <t>THIAGO LUIZ</t>
  </si>
  <si>
    <t>G0230022</t>
  </si>
  <si>
    <t>MLT</t>
  </si>
  <si>
    <t>AROMATIZANTE POMELO</t>
  </si>
  <si>
    <t>0030E00006441</t>
  </si>
  <si>
    <t>SYMRISE</t>
  </si>
  <si>
    <t>FARIÑA TRANSPORTE</t>
  </si>
  <si>
    <t>BR676301356</t>
  </si>
  <si>
    <t>BR676301357</t>
  </si>
  <si>
    <t>BR676301358</t>
  </si>
  <si>
    <t>BR676301359</t>
  </si>
  <si>
    <t>BR676301360</t>
  </si>
  <si>
    <t>FILM TMC OURO FINO 354CCX12 70UM</t>
  </si>
  <si>
    <t>kg</t>
  </si>
  <si>
    <t>ALAN LONDON</t>
  </si>
  <si>
    <t>FILM TMC BRAHMITA 269CCX12 70UM</t>
  </si>
  <si>
    <t>ROLHA AMBEV PILSEN LACA 940</t>
  </si>
  <si>
    <t>BR283923264</t>
  </si>
  <si>
    <t>DERLIS PAIVA</t>
  </si>
  <si>
    <t>ROLHA AMBEV PILSEN´I 340</t>
  </si>
  <si>
    <t>BOLSAS ESTERILES CON TIOSULFATO 300ML</t>
  </si>
  <si>
    <t>JOSE PEREIRA</t>
  </si>
  <si>
    <t xml:space="preserve">ROTULO PILSEN 940 PY PTC </t>
  </si>
  <si>
    <t>FILM TMC PILSEN 269CCX12 70 UM</t>
  </si>
  <si>
    <t>ALBERTO DELGADO</t>
  </si>
  <si>
    <t>PLE23/60</t>
  </si>
  <si>
    <t>BR67630159</t>
  </si>
  <si>
    <t>GHELER</t>
  </si>
  <si>
    <t>ANTONIO CHIMM</t>
  </si>
  <si>
    <t>ETIQUETA BUD 66 710 CC 35 MIC</t>
  </si>
  <si>
    <t>0002-000751</t>
  </si>
  <si>
    <t>23AR365122D</t>
  </si>
  <si>
    <t>CHRISTIAN GRACIA</t>
  </si>
  <si>
    <t>ROTULO PILSEN 940 CC  "CANCHITA DE MI BARRIO"</t>
  </si>
  <si>
    <t>0002-00051</t>
  </si>
  <si>
    <t>ROTULO PILSEN 340 CC  "CANCHITA DE MI BARRIO"</t>
  </si>
  <si>
    <t>ENZIMA LSMINEX G4</t>
  </si>
  <si>
    <t>23AR370793N</t>
  </si>
  <si>
    <t>DANISCO</t>
  </si>
  <si>
    <t>JUAN PANIGUA</t>
  </si>
  <si>
    <t>GILBERTO VILLAR</t>
  </si>
  <si>
    <t>SEGUPACK</t>
  </si>
  <si>
    <t>RICRD PEDROZO</t>
  </si>
  <si>
    <t>ALDOLFO RAMIREZ</t>
  </si>
  <si>
    <t>BR67630161</t>
  </si>
  <si>
    <t>ROBERT DO SANTOS</t>
  </si>
  <si>
    <t>SC-0004/23</t>
  </si>
  <si>
    <t>BR421401451</t>
  </si>
  <si>
    <t>MARTIN LOPEZ</t>
  </si>
  <si>
    <t>PLE23/62</t>
  </si>
  <si>
    <t>LUIZ RODRIGUEZ</t>
  </si>
  <si>
    <t>FILM TMC SUBZERO 269CC 70MIC</t>
  </si>
  <si>
    <t>BR67630162</t>
  </si>
  <si>
    <t>EDGAR MARTIN</t>
  </si>
  <si>
    <t>ROTULO NECK PILSEN 340 CC  "CANCHITA DE MI BARRIO"</t>
  </si>
  <si>
    <t>ROTULO NECK PILSEN 940 CC  "CANCHITA"</t>
  </si>
  <si>
    <t>FILM BUD 66 269 CC 70MIC</t>
  </si>
  <si>
    <t>QUILMES</t>
  </si>
  <si>
    <t>ALEXIS ALFONZO</t>
  </si>
  <si>
    <t>3287-0001471</t>
  </si>
  <si>
    <t>23AR408115D</t>
  </si>
  <si>
    <t>EC19318JAU</t>
  </si>
  <si>
    <t>LUIS BRIZUELA</t>
  </si>
  <si>
    <t>SILICA GEL XEROGEL DARACLAR FA 300</t>
  </si>
  <si>
    <t>045/2023</t>
  </si>
  <si>
    <t>BR539095448</t>
  </si>
  <si>
    <t>BARTOLO TRANSPORTE</t>
  </si>
  <si>
    <t>IRENEO MEZA</t>
  </si>
  <si>
    <t>230016026/27</t>
  </si>
  <si>
    <t>GUARAN F 504</t>
  </si>
  <si>
    <t>KELSEC</t>
  </si>
  <si>
    <t>GUARAN FEEDER</t>
  </si>
  <si>
    <t>CARLOS VALINOTTI</t>
  </si>
  <si>
    <t>EXTRACTO ISOLONE KETTLE</t>
  </si>
  <si>
    <t>1512/23</t>
  </si>
  <si>
    <t>JOAON FERNADES</t>
  </si>
  <si>
    <t>907/908</t>
  </si>
  <si>
    <t>PLE23/70</t>
  </si>
  <si>
    <t>BR676301363</t>
  </si>
  <si>
    <t>E+K</t>
  </si>
  <si>
    <t>WILLIAN ROMERO</t>
  </si>
  <si>
    <t>GUILBERTO VILLAR</t>
  </si>
  <si>
    <t>1521_2023</t>
  </si>
  <si>
    <t>BR687523646</t>
  </si>
  <si>
    <t>TRANS FALL</t>
  </si>
  <si>
    <t>IVAN MOREIRA</t>
  </si>
  <si>
    <t xml:space="preserve">ASPERA </t>
  </si>
  <si>
    <t>ANDRADA NOGUEZ</t>
  </si>
  <si>
    <t>INOCENCIO SILGUEIRO</t>
  </si>
  <si>
    <t>1635/2023</t>
  </si>
  <si>
    <t>BR687523687</t>
  </si>
  <si>
    <t>SD TRANSPORTE</t>
  </si>
  <si>
    <t>DINARTE NACOMIENTO</t>
  </si>
  <si>
    <t>BR676301364</t>
  </si>
  <si>
    <t>SERGIO OJEDA</t>
  </si>
  <si>
    <t>BR676301365</t>
  </si>
  <si>
    <t>KERRY</t>
  </si>
  <si>
    <t>SERVIMEX</t>
  </si>
  <si>
    <t>WALTER MEZA</t>
  </si>
  <si>
    <t>CLORO LIQUIDO USO INDUSTRIAL</t>
  </si>
  <si>
    <t>RENATO SANTA CRUZ</t>
  </si>
  <si>
    <t>JA TRANSPORTE</t>
  </si>
  <si>
    <t>THOMNSON</t>
  </si>
  <si>
    <t>MIGUEL ALEMAN</t>
  </si>
  <si>
    <t>G0120032</t>
  </si>
  <si>
    <t>23UY149025J</t>
  </si>
  <si>
    <t>23UY149026K</t>
  </si>
  <si>
    <t>JULIO</t>
  </si>
  <si>
    <t>DANIEL REBOLLO</t>
  </si>
  <si>
    <t>PLE23/73</t>
  </si>
  <si>
    <t>BR.6763.01367</t>
  </si>
  <si>
    <t>RODRIGO GODOY</t>
  </si>
  <si>
    <t>MOSTO CERVEJEIRO CONCENT.ESCURO ENVASADO</t>
  </si>
  <si>
    <t>HL</t>
  </si>
  <si>
    <t>BR.6763.01366</t>
  </si>
  <si>
    <t>AMBEV UBERLANDIA</t>
  </si>
  <si>
    <t>ODIR MAYER</t>
  </si>
  <si>
    <t>UY2418231717</t>
  </si>
  <si>
    <t>GUSTAVO PEREZ</t>
  </si>
  <si>
    <t>UY2418231715</t>
  </si>
  <si>
    <t>PALLET INDUSTRIALES ROJAS</t>
  </si>
  <si>
    <t>UY2418231716</t>
  </si>
  <si>
    <t>JORGE FLORES</t>
  </si>
  <si>
    <t>ENZIMA ATENUZYME PRO</t>
  </si>
  <si>
    <t>23UY149820M</t>
  </si>
  <si>
    <t>NOVOZYMES</t>
  </si>
  <si>
    <t>AUGUSTO GINI</t>
  </si>
  <si>
    <t>23UY149752Z</t>
  </si>
  <si>
    <t>G0230034</t>
  </si>
  <si>
    <t>23UY149888D</t>
  </si>
  <si>
    <t>PATRICIO MEZA</t>
  </si>
  <si>
    <t>23UY149887C</t>
  </si>
  <si>
    <t>CESAR ROMAN</t>
  </si>
  <si>
    <t>TAPA CORONA PILSEN'I BAJO TAPA 340CC</t>
  </si>
  <si>
    <t>BR283923455</t>
  </si>
  <si>
    <t>BRASILATA</t>
  </si>
  <si>
    <t>JOAO ALVES</t>
  </si>
  <si>
    <t>TAPA CORONA PILSEN BAJO TAPA 940CC</t>
  </si>
  <si>
    <t>BR676301368</t>
  </si>
  <si>
    <t>MICHAEL RODRIGUEZ</t>
  </si>
  <si>
    <t>TAPA LATA PROMO BAJO TAB CDL</t>
  </si>
  <si>
    <t>1736/23</t>
  </si>
  <si>
    <t>BR6787523758</t>
  </si>
  <si>
    <t>BALL RECIFE</t>
  </si>
  <si>
    <t>AGILIZA</t>
  </si>
  <si>
    <t>CRISTIANO PEZZI</t>
  </si>
  <si>
    <t>ANGEL LEDESMA</t>
  </si>
  <si>
    <t>ROMAN ROMERO</t>
  </si>
  <si>
    <t>SIMON H STEINER</t>
  </si>
  <si>
    <t>WALTER VERA</t>
  </si>
  <si>
    <t>23UY156164L</t>
  </si>
  <si>
    <t>DAVID ESPINOZA</t>
  </si>
  <si>
    <t>23AR492902K</t>
  </si>
  <si>
    <t>1140/1141</t>
  </si>
  <si>
    <t>1818/2023</t>
  </si>
  <si>
    <t>ALEX FONTANA</t>
  </si>
  <si>
    <t xml:space="preserve">OXIDO DE MAGNESIO </t>
  </si>
  <si>
    <t>MAURO GONZALEZ</t>
  </si>
  <si>
    <t>1553/2023</t>
  </si>
  <si>
    <t>HECTOR MALDONADO</t>
  </si>
  <si>
    <t>SERVOMEX</t>
  </si>
  <si>
    <t>23UY1605177X</t>
  </si>
  <si>
    <t>BR676301371</t>
  </si>
  <si>
    <t>HENRIQUE THENSEN</t>
  </si>
  <si>
    <t>BR676301370</t>
  </si>
  <si>
    <t>ADILSON BEZERRA</t>
  </si>
  <si>
    <t>HECTOR CACERES</t>
  </si>
  <si>
    <t>1882/2023</t>
  </si>
  <si>
    <t>TLF</t>
  </si>
  <si>
    <t>MIGUEL  GAYEN</t>
  </si>
  <si>
    <t>BR676301372</t>
  </si>
  <si>
    <t>LUIZ SILVA</t>
  </si>
  <si>
    <t>23UY161089N</t>
  </si>
  <si>
    <t>AGENCIA CIN</t>
  </si>
  <si>
    <t>PIERO BENITEZ</t>
  </si>
  <si>
    <t>F0020034653</t>
  </si>
  <si>
    <t>ANDERS PERU</t>
  </si>
  <si>
    <t>SG TRASNPORTE</t>
  </si>
  <si>
    <t>JAVIER CALDERON</t>
  </si>
  <si>
    <t>PLE23/79</t>
  </si>
  <si>
    <t>1204/3</t>
  </si>
  <si>
    <t>CUBRE FACIL P/ BOCA DE 2 PULG</t>
  </si>
  <si>
    <t>CUBRE FACIL P/ BOCA DE 3PULG</t>
  </si>
  <si>
    <t>CUBRE FACIL P/ BOCA DE 2,5 PULG</t>
  </si>
  <si>
    <t>ball py</t>
  </si>
  <si>
    <t>A413</t>
  </si>
  <si>
    <t>WILL SMITH</t>
  </si>
  <si>
    <t>EMP</t>
  </si>
  <si>
    <t>BENJAMIN ALVAEZ</t>
  </si>
  <si>
    <t>JUAN ACOSTA</t>
  </si>
  <si>
    <t>HUMBERTO</t>
  </si>
  <si>
    <t>JOSE  SUAREZ</t>
  </si>
  <si>
    <t>ball</t>
  </si>
  <si>
    <t>TAPA CORONA BRAHMITA 340CC PPP</t>
  </si>
  <si>
    <t>F002-00015260</t>
  </si>
  <si>
    <t>1722483PE00108P</t>
  </si>
  <si>
    <t>PACKING PRODUCT DEL PERU</t>
  </si>
  <si>
    <t>GRUPO TAMEGA</t>
  </si>
  <si>
    <t>DEMETRIO BENEGAS</t>
  </si>
  <si>
    <t>TAPA CORONA OURO FINO 340CC PPP</t>
  </si>
  <si>
    <t>TAPA CORONA SKOL PPP</t>
  </si>
  <si>
    <t>1969/2023</t>
  </si>
  <si>
    <t>GRUPO TORRES</t>
  </si>
  <si>
    <t>CRISTHIAN PALACIOS</t>
  </si>
  <si>
    <t>24UY00601T</t>
  </si>
  <si>
    <t>EXPRESO DELIA MARINA SRL</t>
  </si>
  <si>
    <t>BENJAMIN ALVAREZ</t>
  </si>
  <si>
    <t>BR687524034</t>
  </si>
  <si>
    <t>CARLOS SOUSA</t>
  </si>
  <si>
    <t>COLLARIN BUD 66 550 cc</t>
  </si>
  <si>
    <t>ELVIO DOMINGUEZ</t>
  </si>
  <si>
    <t>JOSE GARCIAS</t>
  </si>
  <si>
    <t>GRAFPLUS</t>
  </si>
  <si>
    <t>COLLARIN PILSEN EXTRA 940 CC RGB</t>
  </si>
  <si>
    <t>0002-0000560</t>
  </si>
  <si>
    <t>24AR044845K</t>
  </si>
  <si>
    <t>SAIGRA</t>
  </si>
  <si>
    <t>CHRISTIAN GONZALEZ</t>
  </si>
  <si>
    <t>ETIQUETA PILSEN EXTRA 940 CC RGB</t>
  </si>
  <si>
    <t>ETIQUETA BRAHMA SDW 940CC RGB</t>
  </si>
  <si>
    <t>APJ TRANSPORTES SA</t>
  </si>
  <si>
    <t>JUSTO BENITEZ</t>
  </si>
  <si>
    <t xml:space="preserve">TAPA CORONA PILSEN 340  PROMO BAJO TAPA </t>
  </si>
  <si>
    <t>BR283924115</t>
  </si>
  <si>
    <t>JOSE DA CRUZ</t>
  </si>
  <si>
    <t xml:space="preserve">TAPA CORONA PILSEN 940 PROMO BAJO TAPA </t>
  </si>
  <si>
    <t>BR676301387</t>
  </si>
  <si>
    <t>CLAUDIO MAGALHAES</t>
  </si>
  <si>
    <t>358/357</t>
  </si>
  <si>
    <t>JUNIOR SANABRIA</t>
  </si>
  <si>
    <t>film brahma kchiporro 269</t>
  </si>
  <si>
    <t>SILVIO PALACIOS</t>
  </si>
  <si>
    <t>BR6763011386</t>
  </si>
  <si>
    <t>ROBERTO B</t>
  </si>
  <si>
    <t>1475/76</t>
  </si>
  <si>
    <t>BALL PU</t>
  </si>
  <si>
    <t>SILVIO PALACIO</t>
  </si>
  <si>
    <t>COLLARIN BRAHMA 940 CC KCHIPORROS</t>
  </si>
  <si>
    <t>BR676301393</t>
  </si>
  <si>
    <t>ETIQUETA BRHMA 940CC KCHIPORROS</t>
  </si>
  <si>
    <t>COLLARIN BRHAMA 940 CC MARILINA</t>
  </si>
  <si>
    <t>ETIQUETA BRAHMA 940 CC MARILINA</t>
  </si>
  <si>
    <t>BR610400530</t>
  </si>
  <si>
    <t>24/7 TRANSPORTE</t>
  </si>
  <si>
    <t>LUIS SILVEIRA</t>
  </si>
  <si>
    <t>COLLARIN BRAHMA 340 CC KCHIPORROS</t>
  </si>
  <si>
    <t>25939JAU</t>
  </si>
  <si>
    <t>ETIQUETA BRHMA 340CC KCHIPORROS</t>
  </si>
  <si>
    <t>COLLARIN BRHAMA 340 CC MARILINA</t>
  </si>
  <si>
    <t>ETIQUETA BRAHMA 340 CC MARILINA</t>
  </si>
  <si>
    <t>1697/2023</t>
  </si>
  <si>
    <t>JORGE RIVEROS</t>
  </si>
  <si>
    <t>FILM TERMO CRISTAL P/BOT 940CCX6</t>
  </si>
  <si>
    <t>BOLSIPLAST</t>
  </si>
  <si>
    <t xml:space="preserve">JOSE GARCIA </t>
  </si>
  <si>
    <t>24UY020069G</t>
  </si>
  <si>
    <t>JOSE GONZALEZ</t>
  </si>
  <si>
    <t>24UY020068F</t>
  </si>
  <si>
    <t>JUAN ALVARENGA</t>
  </si>
  <si>
    <t>1447/46</t>
  </si>
  <si>
    <t>COLLARIN SUBZER 940CC RGB</t>
  </si>
  <si>
    <t>0002-562</t>
  </si>
  <si>
    <t>00124SG564AR1</t>
  </si>
  <si>
    <t>NOGUES</t>
  </si>
  <si>
    <t>ETIQ. SUBZERO 940CC RGB</t>
  </si>
  <si>
    <t>CARLOS FERNANDEZ</t>
  </si>
  <si>
    <t>ENVAPAAR</t>
  </si>
  <si>
    <t>ARMANDO ROLON</t>
  </si>
  <si>
    <t>DERLIS RAMIREZ</t>
  </si>
  <si>
    <t>BICARBONATO SODIO PUREZA P.A.G.A</t>
  </si>
  <si>
    <t>ROBERTO FLEITAS</t>
  </si>
  <si>
    <t>FRANCISCO VERA</t>
  </si>
  <si>
    <t>BR283914166</t>
  </si>
  <si>
    <t>1521-22-23</t>
  </si>
  <si>
    <t>ts</t>
  </si>
  <si>
    <t>BINACIONAL</t>
  </si>
  <si>
    <t>DECIO BALADELI</t>
  </si>
  <si>
    <t>CONTRAETIQ AUTOADHESIVA BUD66 550CC SD</t>
  </si>
  <si>
    <t>190/2024</t>
  </si>
  <si>
    <t>LA ASUNCENA LOGISTICA</t>
  </si>
  <si>
    <t>PEDRO LEZCANO</t>
  </si>
  <si>
    <t xml:space="preserve">PAPEL FILTRO 125 </t>
  </si>
  <si>
    <t>004/24</t>
  </si>
  <si>
    <t>unika</t>
  </si>
  <si>
    <t>DIEGO FERNANDEZ</t>
  </si>
  <si>
    <t>24UY033322C</t>
  </si>
  <si>
    <t>ARJ TRANSPORTE</t>
  </si>
  <si>
    <t>CARLOS CHAVEZ</t>
  </si>
  <si>
    <t>24UY033323D</t>
  </si>
  <si>
    <t>CARLOS DEL PUERTO</t>
  </si>
  <si>
    <t>G0240007</t>
  </si>
  <si>
    <t>PARAMAR</t>
  </si>
  <si>
    <t>CRISTIAN MEDINA</t>
  </si>
  <si>
    <t>AMERICO CAÑETE</t>
  </si>
  <si>
    <t>JORGE COLINAS</t>
  </si>
  <si>
    <t>TAPA BRAHMA 940 PPP</t>
  </si>
  <si>
    <t>EC28036JAU</t>
  </si>
  <si>
    <t>PPP</t>
  </si>
  <si>
    <t>EC28067JAU</t>
  </si>
  <si>
    <t>OSMAR NAVARRO</t>
  </si>
  <si>
    <t>JORGE SALINAS</t>
  </si>
  <si>
    <t>SERGIO BARRIOS</t>
  </si>
  <si>
    <t>F00200015591</t>
  </si>
  <si>
    <t>ATLANTIC SA</t>
  </si>
  <si>
    <t>RUBEN MAMANI</t>
  </si>
  <si>
    <t>TAPA SUBZERO PPP</t>
  </si>
  <si>
    <t>SC-0001/2024</t>
  </si>
  <si>
    <t>AMIZADE LTDA</t>
  </si>
  <si>
    <t>ARSENIO LOPEZ</t>
  </si>
  <si>
    <t>191/2024</t>
  </si>
  <si>
    <t>JORGE ESPINOLA</t>
  </si>
  <si>
    <t>SERGIO BARRIS</t>
  </si>
  <si>
    <t>G0240009</t>
  </si>
  <si>
    <t>HERNAN CASTRO</t>
  </si>
  <si>
    <t>001-0001-0001796</t>
  </si>
  <si>
    <t>001-001-0001798</t>
  </si>
  <si>
    <t>001-001-0001797</t>
  </si>
  <si>
    <t>001-001-0002477</t>
  </si>
  <si>
    <t>CARLOS GRANCE</t>
  </si>
  <si>
    <t>006/24</t>
  </si>
  <si>
    <t>EDGAR ORTIZ</t>
  </si>
  <si>
    <t>FILM PILSEN ALBIRROJA 269X12</t>
  </si>
  <si>
    <t>ROLHA MET SK 275ML PULL OF</t>
  </si>
  <si>
    <t>BR283924319</t>
  </si>
  <si>
    <t>TRANS UNION</t>
  </si>
  <si>
    <t>JOSE ITURBE</t>
  </si>
  <si>
    <t>326/2024</t>
  </si>
  <si>
    <t>WILIAN FLEITAS</t>
  </si>
  <si>
    <t>SC-0002/2024</t>
  </si>
  <si>
    <t>DANILO JOSE BRITO</t>
  </si>
  <si>
    <t>ROTULO FRONT SK 275ML PARAGUAY</t>
  </si>
  <si>
    <t>027-2024</t>
  </si>
  <si>
    <t>ALL 4LABELS</t>
  </si>
  <si>
    <t>CORNELIO MENDOZA</t>
  </si>
  <si>
    <t>ROTULO BACK SK 275ML PARAGUAY</t>
  </si>
  <si>
    <t>FAG453</t>
  </si>
  <si>
    <t>SAMUEL MOREL</t>
  </si>
  <si>
    <t>GFA FLINT 275ML SKOL PULL OF</t>
  </si>
  <si>
    <t>BR283924338</t>
  </si>
  <si>
    <t>VIDRIOPORTO</t>
  </si>
  <si>
    <t>VIDRIOPOTO</t>
  </si>
  <si>
    <t>CLAYTON GARCIA</t>
  </si>
  <si>
    <t>BR283924339</t>
  </si>
  <si>
    <t>JOSE CAROS FEIJO</t>
  </si>
  <si>
    <t>BR283924341</t>
  </si>
  <si>
    <t>ADRIAN DE JESUS GUZMAN</t>
  </si>
  <si>
    <t>BR283924342</t>
  </si>
  <si>
    <t>ALDERICO MORALES</t>
  </si>
  <si>
    <t>EDGAR DURAN</t>
  </si>
  <si>
    <t>CRISTIAN ROSSI</t>
  </si>
  <si>
    <t>BR283924356</t>
  </si>
  <si>
    <t xml:space="preserve">EMERSON </t>
  </si>
  <si>
    <t>BR283924355</t>
  </si>
  <si>
    <t>BRIHANTE</t>
  </si>
  <si>
    <t>OZIEL CONCHAVEZ</t>
  </si>
  <si>
    <t>BR283924353</t>
  </si>
  <si>
    <t>ALTOMAX</t>
  </si>
  <si>
    <t>GERSON</t>
  </si>
  <si>
    <t>BR283924354</t>
  </si>
  <si>
    <t>JAQUELINEARAUJO</t>
  </si>
  <si>
    <t>BR283924352</t>
  </si>
  <si>
    <t>TRIPLACE</t>
  </si>
  <si>
    <t>WALACY DA SILVA</t>
  </si>
  <si>
    <t>001-001-0000595</t>
  </si>
  <si>
    <t>BR610400553</t>
  </si>
  <si>
    <t>FULLER</t>
  </si>
  <si>
    <t>24/7TRANSPORTE</t>
  </si>
  <si>
    <t>GPI014/2024</t>
  </si>
  <si>
    <t>BR283924368</t>
  </si>
  <si>
    <t>GRAFHIC</t>
  </si>
  <si>
    <t>TRASLI</t>
  </si>
  <si>
    <t>LOPULO HOPSTEINER</t>
  </si>
  <si>
    <t>SS STEINER INC</t>
  </si>
  <si>
    <t>HECTOR BENEGAS</t>
  </si>
  <si>
    <t>BR283924367</t>
  </si>
  <si>
    <t>ERNO ECKCHARDO</t>
  </si>
  <si>
    <t>SC0003/24</t>
  </si>
  <si>
    <t>BR176879395</t>
  </si>
  <si>
    <t>PAULO BAUTISTA</t>
  </si>
  <si>
    <t>BR283924372</t>
  </si>
  <si>
    <t xml:space="preserve">GULLERMO LUIS </t>
  </si>
  <si>
    <t>BR283924369</t>
  </si>
  <si>
    <t>JEFERSON CADELAS</t>
  </si>
  <si>
    <t>BR283924362</t>
  </si>
  <si>
    <t>TRIPLICE</t>
  </si>
  <si>
    <t>ANTONY FRANCO</t>
  </si>
  <si>
    <t>BR283924365</t>
  </si>
  <si>
    <t>JOSE LUIS LIMA</t>
  </si>
  <si>
    <t>BR283924363</t>
  </si>
  <si>
    <t>ANTONY ACUÑA</t>
  </si>
  <si>
    <t>BR283924364</t>
  </si>
  <si>
    <t>ALEXIS RODRIGUEZ</t>
  </si>
  <si>
    <t>BR283924366</t>
  </si>
  <si>
    <t>TRANSFALLS</t>
  </si>
  <si>
    <t>LUIS RANALLETTI</t>
  </si>
  <si>
    <t>FJC TRANSPORTE</t>
  </si>
  <si>
    <t>ANDREW LEMOS</t>
  </si>
  <si>
    <t>BR283924370</t>
  </si>
  <si>
    <t>CESAR SIMANEK</t>
  </si>
  <si>
    <t>BR283924378</t>
  </si>
  <si>
    <t>MAURI PEDRO MADOLOZZO</t>
  </si>
  <si>
    <t>MARCIO VIEGA</t>
  </si>
  <si>
    <t>002-00015742</t>
  </si>
  <si>
    <t>772483PE00772PY</t>
  </si>
  <si>
    <t>ATLANTIC</t>
  </si>
  <si>
    <t>JHON GAMARRA</t>
  </si>
  <si>
    <t>TAPA SUBZERO SIN LEGALES PY</t>
  </si>
  <si>
    <t>TAPA OURO FINO 940CC PPP</t>
  </si>
  <si>
    <t>001-004-000-2461</t>
  </si>
  <si>
    <t>009-003-0008893</t>
  </si>
  <si>
    <t>DERLIS DUARTE</t>
  </si>
  <si>
    <t>001-001-0000602</t>
  </si>
  <si>
    <t>PVPP REGENERABLE</t>
  </si>
  <si>
    <t>00007-3653-1</t>
  </si>
  <si>
    <t>BR283924401</t>
  </si>
  <si>
    <t>BASF SA</t>
  </si>
  <si>
    <t>CARLOS EDUARDO</t>
  </si>
  <si>
    <t>001-0001-0000606</t>
  </si>
  <si>
    <t>DC-0004/2024</t>
  </si>
  <si>
    <t>BR276079403</t>
  </si>
  <si>
    <t>TENORA</t>
  </si>
  <si>
    <t>EVER BRITEZ</t>
  </si>
  <si>
    <t>031-002-0007039</t>
  </si>
  <si>
    <t>001-001-0002641</t>
  </si>
  <si>
    <t>ALFREDO ORTELLADO</t>
  </si>
  <si>
    <t>0001-00-1-0000058</t>
  </si>
  <si>
    <t>001-001-0001831</t>
  </si>
  <si>
    <t>001-001-0001832</t>
  </si>
  <si>
    <t>001-003-00000779</t>
  </si>
  <si>
    <t>BR283924429</t>
  </si>
  <si>
    <t>TADIOTTO Y CIA LTDA</t>
  </si>
  <si>
    <t>CARLOS CRISTOVON</t>
  </si>
  <si>
    <t>BR283924430</t>
  </si>
  <si>
    <t>CLAUDIO PORTICHEL</t>
  </si>
  <si>
    <t>BR283924426</t>
  </si>
  <si>
    <t>BR283924428</t>
  </si>
  <si>
    <t xml:space="preserve">ODACIR DOMINGOS </t>
  </si>
  <si>
    <t>BR283924427</t>
  </si>
  <si>
    <t>JOSE MARTINS</t>
  </si>
  <si>
    <t>BR283924439</t>
  </si>
  <si>
    <t>ERNO ECKARDT</t>
  </si>
  <si>
    <t>BR283924442</t>
  </si>
  <si>
    <t>TRASFALLS</t>
  </si>
  <si>
    <t>GUILERME LUIS MARIO</t>
  </si>
  <si>
    <t>BR283924438</t>
  </si>
  <si>
    <t>001-001-0000625</t>
  </si>
  <si>
    <t>001-004-0002822</t>
  </si>
  <si>
    <t>001-004-0007743</t>
  </si>
  <si>
    <t>sc-0005/24</t>
  </si>
  <si>
    <t>BR176879405</t>
  </si>
  <si>
    <t>JOSE RIBEIRO</t>
  </si>
  <si>
    <t>BR283924443</t>
  </si>
  <si>
    <t>EMERSON MARLON</t>
  </si>
  <si>
    <t>novozymes</t>
  </si>
  <si>
    <t>terpot</t>
  </si>
  <si>
    <t>BR283924444</t>
  </si>
  <si>
    <t>CARLOS CANTERO</t>
  </si>
  <si>
    <t>BR283924445</t>
  </si>
  <si>
    <t>DIEGO ESTIGARRIBIA</t>
  </si>
  <si>
    <t>BR676301492</t>
  </si>
  <si>
    <t>BR676301493</t>
  </si>
  <si>
    <t>BOTELLA FLINT BUD 66 710CC</t>
  </si>
  <si>
    <t>0020-00003930</t>
  </si>
  <si>
    <t>24AR231524C</t>
  </si>
  <si>
    <t>RIGOLLEAU</t>
  </si>
  <si>
    <t>TUPA TRANSPORTE</t>
  </si>
  <si>
    <t>JUAN MALDONADO</t>
  </si>
  <si>
    <t>006-001-0002906</t>
  </si>
  <si>
    <t>SC-0006-24</t>
  </si>
  <si>
    <t>BR176879406</t>
  </si>
  <si>
    <t>ANDRDA NOGUES</t>
  </si>
  <si>
    <t>HECTOR ROJAS</t>
  </si>
  <si>
    <t>PUERTO SEGURO</t>
  </si>
  <si>
    <t>GUSTAVO CACERES</t>
  </si>
  <si>
    <t>BR283924452</t>
  </si>
  <si>
    <t>JOSE CARLOS</t>
  </si>
  <si>
    <t>008-24</t>
  </si>
  <si>
    <t>BR283924464</t>
  </si>
  <si>
    <t>MONTECARLO</t>
  </si>
  <si>
    <t>ALDO AYALA</t>
  </si>
  <si>
    <t>001-001-0006302</t>
  </si>
  <si>
    <t>JUAN GALEANO</t>
  </si>
  <si>
    <t>001-001-0000061</t>
  </si>
  <si>
    <t>HILARIO RAMIREZ</t>
  </si>
  <si>
    <t>001-001-0000657</t>
  </si>
  <si>
    <t>001-001-0000658</t>
  </si>
  <si>
    <t>BR163101648</t>
  </si>
  <si>
    <t>COOPECARGA</t>
  </si>
  <si>
    <t>ANTONIO DE PAULA JUNIOR</t>
  </si>
  <si>
    <t>SC-0007/24</t>
  </si>
  <si>
    <t>BR272004994</t>
  </si>
  <si>
    <t>TRANS FALLS</t>
  </si>
  <si>
    <t>CARLOS IBRAHIM</t>
  </si>
  <si>
    <t>001-004-0003149</t>
  </si>
  <si>
    <t>HORACIO SULIN</t>
  </si>
  <si>
    <t>SC0008/24</t>
  </si>
  <si>
    <t>BR176879411</t>
  </si>
  <si>
    <t>TRANS UNICA</t>
  </si>
  <si>
    <t>FERNANDO AQUINO</t>
  </si>
  <si>
    <t>00002-00000901</t>
  </si>
  <si>
    <t>24AR258105G</t>
  </si>
  <si>
    <t>FILM TMC CRISTAL 275CC AX6 60UM 530MM</t>
  </si>
  <si>
    <t>001-001-0000665</t>
  </si>
  <si>
    <t>001-001-0037524</t>
  </si>
  <si>
    <t>001-001-0000672</t>
  </si>
  <si>
    <t>CESAR GONZALEZ</t>
  </si>
  <si>
    <t>001-001-0000297</t>
  </si>
  <si>
    <t>BR676301499</t>
  </si>
  <si>
    <t>CLAUDINEI FIGUEIRA</t>
  </si>
  <si>
    <t>SC-0009-24</t>
  </si>
  <si>
    <t>BR176879919</t>
  </si>
  <si>
    <t>0001-001-0000409</t>
  </si>
  <si>
    <t>JUAN RUIZ DIAZ</t>
  </si>
  <si>
    <t>001-001-0037756</t>
  </si>
  <si>
    <t>001-004-0003284</t>
  </si>
  <si>
    <t>HUMBERTO CANDIA</t>
  </si>
  <si>
    <t>364/2024</t>
  </si>
  <si>
    <t>VICTOR PEREIRA</t>
  </si>
  <si>
    <t>001-001-0001960</t>
  </si>
  <si>
    <t>417-24</t>
  </si>
  <si>
    <t>TERPORT</t>
  </si>
  <si>
    <t>CARLOS FERREIRA</t>
  </si>
  <si>
    <t>001-001-0037915</t>
  </si>
  <si>
    <t>515-2024</t>
  </si>
  <si>
    <t>RESMA T/A4 210X297 MM</t>
  </si>
  <si>
    <t>COPIPUNTO</t>
  </si>
  <si>
    <t>LOPULO CASCADE AMERICANO</t>
  </si>
  <si>
    <t>XP159077</t>
  </si>
  <si>
    <t>JOSE CABRAL</t>
  </si>
  <si>
    <t>SC-00010-24</t>
  </si>
  <si>
    <t>RUBEN PEREIRA</t>
  </si>
  <si>
    <t>BR283924486</t>
  </si>
  <si>
    <t>JOSE LINDEMBERG</t>
  </si>
  <si>
    <t>001-001-0001991</t>
  </si>
  <si>
    <t>SC-00011-24</t>
  </si>
  <si>
    <t>BR176879437</t>
  </si>
  <si>
    <t>SZISFRIED HAMILTON</t>
  </si>
  <si>
    <t>001-004-0003456</t>
  </si>
  <si>
    <t>001-001-0002007</t>
  </si>
  <si>
    <t>009-003-10144</t>
  </si>
  <si>
    <t xml:space="preserve">JORGE </t>
  </si>
  <si>
    <t>001-001-0002013</t>
  </si>
  <si>
    <t>SC00012/24</t>
  </si>
  <si>
    <t>BR145322630</t>
  </si>
  <si>
    <t>TRANSLI</t>
  </si>
  <si>
    <t>CRISTIANO MARTINAZZO</t>
  </si>
  <si>
    <t>031-002-0008426</t>
  </si>
  <si>
    <t>006-00-003383</t>
  </si>
  <si>
    <t>001-001-0002018</t>
  </si>
  <si>
    <t>001-001-0038329</t>
  </si>
  <si>
    <t>001-001-0002025</t>
  </si>
  <si>
    <t>PLE24/39</t>
  </si>
  <si>
    <t>BR676301545</t>
  </si>
  <si>
    <t xml:space="preserve">CCL </t>
  </si>
  <si>
    <t>GPIO18/2024</t>
  </si>
  <si>
    <t>BR283924513</t>
  </si>
  <si>
    <t>GRAPHIC</t>
  </si>
  <si>
    <t>ROBERTO GONZALEZ</t>
  </si>
  <si>
    <t>001-004-0003599</t>
  </si>
  <si>
    <t>001-001-00002040</t>
  </si>
  <si>
    <t>018-001-0029318</t>
  </si>
  <si>
    <t>RUBEN BOGADO</t>
  </si>
  <si>
    <t>001-001-0038550</t>
  </si>
  <si>
    <t>001-001-0000706</t>
  </si>
  <si>
    <t>FILM TMC BRAHMITA ULTRA CERO 269CCX12</t>
  </si>
  <si>
    <t>001-001-0000705</t>
  </si>
  <si>
    <t>001-001-0002047</t>
  </si>
  <si>
    <t>GARRAFA BUD 66 550ML</t>
  </si>
  <si>
    <t>002-000003988</t>
  </si>
  <si>
    <t>VILLAMAYOR SRL</t>
  </si>
  <si>
    <t>AMADO MARTINEZ</t>
  </si>
  <si>
    <t>CRISTIAN VARGAS</t>
  </si>
  <si>
    <t>GUSTAVO AVEIRO</t>
  </si>
  <si>
    <t>EDGAR LOPEZ</t>
  </si>
  <si>
    <t>HUGO FARINA</t>
  </si>
  <si>
    <t>001-001-0002054</t>
  </si>
  <si>
    <t>011/24</t>
  </si>
  <si>
    <t>BR283924526</t>
  </si>
  <si>
    <t>ANDRES OZORIO</t>
  </si>
  <si>
    <t>001-004-0003755</t>
  </si>
  <si>
    <t>F002-00016030</t>
  </si>
  <si>
    <t>TORIBIO BOLIVAR</t>
  </si>
  <si>
    <t>001-001-0038796</t>
  </si>
  <si>
    <t>001-001-0002069</t>
  </si>
  <si>
    <t>001-003-0000787</t>
  </si>
  <si>
    <t>001-001-002071</t>
  </si>
  <si>
    <t>001-001-0002076</t>
  </si>
  <si>
    <t>001-001-0000718</t>
  </si>
  <si>
    <t>GPI021/2024</t>
  </si>
  <si>
    <t>BR283924543</t>
  </si>
  <si>
    <t>COOPERATIVA DE TRANSPORTE DEL PARAGUAY</t>
  </si>
  <si>
    <t>HUGO DA SILVA</t>
  </si>
  <si>
    <t>001-004-0003888</t>
  </si>
  <si>
    <t>001-001-0002091</t>
  </si>
  <si>
    <t>001-001-0039033</t>
  </si>
  <si>
    <t>001-001-002095</t>
  </si>
  <si>
    <t>001-001-0002097</t>
  </si>
  <si>
    <t>001-001-002099</t>
  </si>
  <si>
    <t>ASPERA BEER</t>
  </si>
  <si>
    <t>DANIEL FLEITAS</t>
  </si>
  <si>
    <t>001-001-0002112</t>
  </si>
  <si>
    <t>CUBRE FACIL P/BOCA DE 4 PULG</t>
  </si>
  <si>
    <t>001-001-000066</t>
  </si>
  <si>
    <t>608/2024</t>
  </si>
  <si>
    <t>sc-0014/24</t>
  </si>
  <si>
    <t>FERNANDO DE MATTIA</t>
  </si>
  <si>
    <t>001-001-002117</t>
  </si>
  <si>
    <t>CORTROL IS 3020 BISULFITO</t>
  </si>
  <si>
    <t>001-001-0000346</t>
  </si>
  <si>
    <t>AGUAGRUOP</t>
  </si>
  <si>
    <t xml:space="preserve">HERNAN RIVEROS </t>
  </si>
  <si>
    <t>HYPERSPERSE MSI 410 ANTIESCALANTE</t>
  </si>
  <si>
    <t>K</t>
  </si>
  <si>
    <t>006-001-0003673</t>
  </si>
  <si>
    <t>001-001-0039330</t>
  </si>
  <si>
    <t>001-004-0004082</t>
  </si>
  <si>
    <t>001-0010002125</t>
  </si>
  <si>
    <t>CLORURO DE CALCIO CRISTALIZADO</t>
  </si>
  <si>
    <t>001-001-0000468</t>
  </si>
  <si>
    <t>001-001-0002133</t>
  </si>
  <si>
    <t>031-002-0009112</t>
  </si>
  <si>
    <t>001-001-0039483</t>
  </si>
  <si>
    <t>001-001-0002142</t>
  </si>
  <si>
    <t>050-2024</t>
  </si>
  <si>
    <t>BR.2839.24563</t>
  </si>
  <si>
    <t>050/2024</t>
  </si>
  <si>
    <t>051/2024</t>
  </si>
  <si>
    <t>BR.2839.24562</t>
  </si>
  <si>
    <t>001-001-0002156</t>
  </si>
  <si>
    <t>001-001-0002157</t>
  </si>
  <si>
    <t>001-004-0004282</t>
  </si>
  <si>
    <t>FAUSTINO IRRAZABAL</t>
  </si>
  <si>
    <t>001-001-0000764</t>
  </si>
  <si>
    <t>ROTULO COLLARIN PILSEN 940 CC  "CANCHITA DE MI BARRIO"</t>
  </si>
  <si>
    <t>00002-00000583</t>
  </si>
  <si>
    <t>24001EC01057415X</t>
  </si>
  <si>
    <t>S.A.I.G.R.A</t>
  </si>
  <si>
    <t>CAJAS CARTON BUD66 6X550CC</t>
  </si>
  <si>
    <t>001-001-0001305</t>
  </si>
  <si>
    <t>RICARDO BENITEZ</t>
  </si>
  <si>
    <t>BR163101651</t>
  </si>
  <si>
    <t>COOPERCARGA</t>
  </si>
  <si>
    <t>AGNALDO DA SILVA</t>
  </si>
  <si>
    <t>001-001-0000169</t>
  </si>
  <si>
    <t>ETIQUETA FRONT BUD 66 710</t>
  </si>
  <si>
    <t>24-003</t>
  </si>
  <si>
    <t>BR228309026</t>
  </si>
  <si>
    <t>FLEXCOAT</t>
  </si>
  <si>
    <t>DUCHICO</t>
  </si>
  <si>
    <t>REINALDO RAMIREZ</t>
  </si>
  <si>
    <t>ETIQUETA BACK BUD 66 710</t>
  </si>
  <si>
    <t>ETIQUETA NECK BUD 66 710</t>
  </si>
  <si>
    <t>001-001-0002171</t>
  </si>
  <si>
    <t>001-001-0039730</t>
  </si>
  <si>
    <t>PLANTA</t>
  </si>
  <si>
    <t>001-001-0000771</t>
  </si>
  <si>
    <t>DERLIS VILLALBA</t>
  </si>
  <si>
    <t>001-001-0039783</t>
  </si>
  <si>
    <t>FILM TMC CRISTAL ANTIADHERENTE 269CCX24</t>
  </si>
  <si>
    <t>SC-0015/24</t>
  </si>
  <si>
    <t>MARCIA GAITAROSSA</t>
  </si>
  <si>
    <t>001-001-0000307</t>
  </si>
  <si>
    <t>001-001-0002172</t>
  </si>
  <si>
    <t>F002-00016154</t>
  </si>
  <si>
    <t>PACKAGING PRODUCTS DEL PERU</t>
  </si>
  <si>
    <t>MIGUEL TIÑAJO CHAVEZ</t>
  </si>
  <si>
    <t>CONTRAETIQUETA BUD 66 710 45MIC</t>
  </si>
  <si>
    <t>PLE24/46</t>
  </si>
  <si>
    <t>COLLARIN BUD 66 710 CC 45 MIC</t>
  </si>
  <si>
    <t>001-001-0002183</t>
  </si>
  <si>
    <t>BOLSA CRISTAL P/ CAPUCHON</t>
  </si>
  <si>
    <t>001-001-000781</t>
  </si>
  <si>
    <t>001-004-0004397</t>
  </si>
  <si>
    <t>BR283924613</t>
  </si>
  <si>
    <t>GASPARIN  LOGISTICA</t>
  </si>
  <si>
    <t>CAROS VALENZUELA</t>
  </si>
  <si>
    <t>001-004-0011507</t>
  </si>
  <si>
    <t>BR283924607</t>
  </si>
  <si>
    <t>ESTEBAN AGUAYO</t>
  </si>
  <si>
    <t>SC-0016/24</t>
  </si>
  <si>
    <t>BR145322744</t>
  </si>
  <si>
    <t>MARCOS ROBERTO</t>
  </si>
  <si>
    <t>001-001-0000793</t>
  </si>
  <si>
    <t>AZUCAR CRISTAL SACO 50 KG</t>
  </si>
  <si>
    <t>031-002-0009475</t>
  </si>
  <si>
    <t>001-001-0000794</t>
  </si>
  <si>
    <t>001-001-0002197</t>
  </si>
  <si>
    <t>001-001-000796</t>
  </si>
  <si>
    <t>TAPA CORONA SKOL AROSUCO</t>
  </si>
  <si>
    <t>001-009-0004561</t>
  </si>
  <si>
    <t>001-001-00000799</t>
  </si>
  <si>
    <t>001-001-0040287</t>
  </si>
  <si>
    <t>009-003-0011183</t>
  </si>
  <si>
    <t>DIEGO MORINIGO</t>
  </si>
  <si>
    <t>CAJA DE CARTON SKOL 275CC X6 ED PROMOCIONAL</t>
  </si>
  <si>
    <t>GPI 019/2024</t>
  </si>
  <si>
    <t>EUGENIO SOSA</t>
  </si>
  <si>
    <t>GPI 024/2024</t>
  </si>
  <si>
    <t>001-001-0000800</t>
  </si>
  <si>
    <t>001-001-0000801</t>
  </si>
  <si>
    <t>001-001-0000802</t>
  </si>
  <si>
    <t>001-001-0002228</t>
  </si>
  <si>
    <t>XE160081</t>
  </si>
  <si>
    <t>SC-0017/24</t>
  </si>
  <si>
    <t>FRANCISCO PEREIRA</t>
  </si>
  <si>
    <t>001-001-0002230</t>
  </si>
  <si>
    <t>A 422</t>
  </si>
  <si>
    <t>CHRISTIAN BENITEZ</t>
  </si>
  <si>
    <t>001-001-0040337</t>
  </si>
  <si>
    <t>74594-1</t>
  </si>
  <si>
    <t>TRANSPORTADORA FRANCO SRL</t>
  </si>
  <si>
    <t>JORGE ARNALDO</t>
  </si>
  <si>
    <t>691/2024</t>
  </si>
  <si>
    <t xml:space="preserve">ARANLDO ROJAS </t>
  </si>
  <si>
    <t>001-001-002240</t>
  </si>
  <si>
    <t>001-001-002241</t>
  </si>
  <si>
    <t>GPI025-2024</t>
  </si>
  <si>
    <t>ALFREDO PEREZ</t>
  </si>
  <si>
    <t>001-001-0002245</t>
  </si>
  <si>
    <t>001-001-0002247</t>
  </si>
  <si>
    <t>001-001-0002248</t>
  </si>
  <si>
    <t>001-001-0002253</t>
  </si>
  <si>
    <t>3287-0002078</t>
  </si>
  <si>
    <t>HUGO CARMONA</t>
  </si>
  <si>
    <t>TAPA PILSEN 940 C/CODIGO DE BARRAS</t>
  </si>
  <si>
    <t>001-0-1-00-40545</t>
  </si>
  <si>
    <t>001-001-0002255</t>
  </si>
  <si>
    <t>ETIQUETA AUTOADHESIVA BUD66 275CC</t>
  </si>
  <si>
    <t>EXP 062/2024</t>
  </si>
  <si>
    <t>CONTRAETIQUETA AUTOADHESIVA BUD66 275CC</t>
  </si>
  <si>
    <t>001-001-000068</t>
  </si>
  <si>
    <t>001-001-002266</t>
  </si>
  <si>
    <t>001-001-000820</t>
  </si>
  <si>
    <t>001/004/0004875</t>
  </si>
  <si>
    <t>001-001-0002270</t>
  </si>
  <si>
    <t>TAPA BUD 66 PPP</t>
  </si>
  <si>
    <t>F002-00016273/4</t>
  </si>
  <si>
    <t xml:space="preserve">CHRISTIAN PASTON </t>
  </si>
  <si>
    <t>001-001-0040695</t>
  </si>
  <si>
    <t>001-001-0002276</t>
  </si>
  <si>
    <t>3287-00002082</t>
  </si>
  <si>
    <t>DANIEL SALINAS</t>
  </si>
  <si>
    <t>DAMIAN SAUZA</t>
  </si>
  <si>
    <t>LUIS SHUMACHER</t>
  </si>
  <si>
    <t>001/001/0002282</t>
  </si>
  <si>
    <t>014/24</t>
  </si>
  <si>
    <t>LUIS ALBERTO OLMEDO</t>
  </si>
  <si>
    <t>947/2024</t>
  </si>
  <si>
    <t>TRASFALL</t>
  </si>
  <si>
    <t>946/2024</t>
  </si>
  <si>
    <t>BR283924654</t>
  </si>
  <si>
    <t>JUAN GOMEZ</t>
  </si>
  <si>
    <t>BR283924655</t>
  </si>
  <si>
    <t>BR283924656</t>
  </si>
  <si>
    <t>HUGO ORIHUELA</t>
  </si>
  <si>
    <t>001-001-0002293</t>
  </si>
  <si>
    <t>SC-0018/24</t>
  </si>
  <si>
    <t>SAMUEL FERREIRA</t>
  </si>
  <si>
    <t>001-001-008366</t>
  </si>
  <si>
    <t>001-001-002300</t>
  </si>
  <si>
    <t>BR283924660</t>
  </si>
  <si>
    <t>NELSON TORRES</t>
  </si>
  <si>
    <t>768/2024</t>
  </si>
  <si>
    <t>001-001-0002299</t>
  </si>
  <si>
    <t>TRANS CAACUPE</t>
  </si>
  <si>
    <t>ROBERTO GENEZ</t>
  </si>
  <si>
    <t>EVER TRANSPORTE</t>
  </si>
  <si>
    <t>MARCOS OLIVA</t>
  </si>
  <si>
    <t>006-001-0004301</t>
  </si>
  <si>
    <t>006-001-0004302</t>
  </si>
  <si>
    <t>001-001-002304</t>
  </si>
  <si>
    <t>001-001-0000839</t>
  </si>
  <si>
    <t>001-001-0041040</t>
  </si>
  <si>
    <t>FILM OURO FINO 269 CC 65MIC</t>
  </si>
  <si>
    <t>001/001/0000842</t>
  </si>
  <si>
    <t>TRASPORTE COHELER</t>
  </si>
  <si>
    <t>SERGIO COHLER</t>
  </si>
  <si>
    <t>SANDRO VILLALBA</t>
  </si>
  <si>
    <t>001-004-0005185</t>
  </si>
  <si>
    <t>001-001-0041172</t>
  </si>
  <si>
    <t>DALLGNOLE</t>
  </si>
  <si>
    <t>HUGO SEGOVIA</t>
  </si>
  <si>
    <t>JOSE LINDERMRG</t>
  </si>
  <si>
    <t>FABIAN BERTOYA</t>
  </si>
  <si>
    <t>001-001-0002316</t>
  </si>
  <si>
    <t>001-001/0002325</t>
  </si>
  <si>
    <t>SC/0019/24</t>
  </si>
  <si>
    <t>SANTA CLARA</t>
  </si>
  <si>
    <t>GUSTAVO BESOAIN</t>
  </si>
  <si>
    <t>018-001-0033301</t>
  </si>
  <si>
    <t>NELSON DUARTE</t>
  </si>
  <si>
    <t>BRUNO MARQUEZ</t>
  </si>
  <si>
    <t>001-001-0041340</t>
  </si>
  <si>
    <t>001-004-0005391</t>
  </si>
  <si>
    <t>001-001-0002342</t>
  </si>
  <si>
    <t>001-001-002347</t>
  </si>
  <si>
    <t>001-0010041608</t>
  </si>
  <si>
    <t>ETIQUETA BUDWEISER 340CC</t>
  </si>
  <si>
    <t>002-0000589</t>
  </si>
  <si>
    <t>COLLARIN BUDWEISER 340CC</t>
  </si>
  <si>
    <t>SC-0020/24</t>
  </si>
  <si>
    <t>LUIS GAIATO</t>
  </si>
  <si>
    <t>001-001-0002351</t>
  </si>
  <si>
    <t>001-001-0002361</t>
  </si>
  <si>
    <t xml:space="preserve">FILM TERMO CRISTA; S/IMP </t>
  </si>
  <si>
    <t>001-001-0000882</t>
  </si>
  <si>
    <t>001-001-0000107</t>
  </si>
  <si>
    <t>001-001-0000109</t>
  </si>
  <si>
    <t>001-001-000883</t>
  </si>
  <si>
    <t>001-004-0005556</t>
  </si>
  <si>
    <t>FJC</t>
  </si>
  <si>
    <t>ANDREW MENDOZA</t>
  </si>
  <si>
    <t>001-001-0041865</t>
  </si>
  <si>
    <t>001-001-0002365</t>
  </si>
  <si>
    <t>001-001-0000892</t>
  </si>
  <si>
    <t>WILHAN RIBEIRO</t>
  </si>
  <si>
    <t>001--002-0000433</t>
  </si>
  <si>
    <t>FPV</t>
  </si>
  <si>
    <t>RL TRANSPORTE</t>
  </si>
  <si>
    <t>ANTONIO LOPEZ</t>
  </si>
  <si>
    <t>001-002-0000435</t>
  </si>
  <si>
    <t>SIMON LEZCANO</t>
  </si>
  <si>
    <t>001-002-0000436</t>
  </si>
  <si>
    <t>001-002-0000437</t>
  </si>
  <si>
    <t>001-002-0000439</t>
  </si>
  <si>
    <t>001-002-0000440</t>
  </si>
  <si>
    <t>001-002-0000441</t>
  </si>
  <si>
    <t>001-001-0002397</t>
  </si>
  <si>
    <t>009-003-0012101</t>
  </si>
  <si>
    <t>VICTOR MARECO</t>
  </si>
  <si>
    <t>001-004-0005816</t>
  </si>
  <si>
    <t xml:space="preserve">BALL PY </t>
  </si>
  <si>
    <t>769/24</t>
  </si>
  <si>
    <t>001-004-0013312</t>
  </si>
  <si>
    <t>001-00-1-000349</t>
  </si>
  <si>
    <t>001-00-1-000350</t>
  </si>
  <si>
    <t>001-00-1-000351</t>
  </si>
  <si>
    <t>001-00-1-000353</t>
  </si>
  <si>
    <t>001-00-1-000354</t>
  </si>
  <si>
    <t>FILM SKOL 269X15L EDIC LIMITADA</t>
  </si>
  <si>
    <t>001-001-0000901</t>
  </si>
  <si>
    <t>PELLICON</t>
  </si>
  <si>
    <t>DIVERSO</t>
  </si>
  <si>
    <t>OCTAVIOLOPEZ</t>
  </si>
  <si>
    <t>ALDO VICEZAR</t>
  </si>
  <si>
    <t>001-001-0002407</t>
  </si>
  <si>
    <t>001-004-0013455</t>
  </si>
  <si>
    <t>001-001--000360</t>
  </si>
  <si>
    <t>001-001-00361</t>
  </si>
  <si>
    <t>001-001-000362</t>
  </si>
  <si>
    <t>001-001-000363</t>
  </si>
  <si>
    <t>PLE24/63</t>
  </si>
  <si>
    <t>001-004-0005908</t>
  </si>
  <si>
    <t>001-001-0042283</t>
  </si>
  <si>
    <t>001-001-000370</t>
  </si>
  <si>
    <t>001-001-0002412</t>
  </si>
  <si>
    <t>001-001-000316</t>
  </si>
  <si>
    <t>954/24</t>
  </si>
  <si>
    <t xml:space="preserve">GUSTAVO </t>
  </si>
  <si>
    <t xml:space="preserve">FILM PILSEN I CLASICA 269CC 6L </t>
  </si>
  <si>
    <t>001-001-000911</t>
  </si>
  <si>
    <t>EMANUEL ROMAN</t>
  </si>
  <si>
    <t>001-001-002425</t>
  </si>
  <si>
    <t>001-003-0000799</t>
  </si>
  <si>
    <t xml:space="preserve">TAPA PARA LATA TAB DORADA </t>
  </si>
  <si>
    <t>1090-24</t>
  </si>
  <si>
    <t xml:space="preserve">VILMAR </t>
  </si>
  <si>
    <t>1091-24</t>
  </si>
  <si>
    <t>YSACC</t>
  </si>
  <si>
    <t>001-001-000379</t>
  </si>
  <si>
    <t>001-001-000380</t>
  </si>
  <si>
    <t>001-001-000381</t>
  </si>
  <si>
    <t>001-001-0000916</t>
  </si>
  <si>
    <t>001-001-0002436</t>
  </si>
  <si>
    <t>SC-0021/24</t>
  </si>
  <si>
    <t>GEAN FELIPE</t>
  </si>
  <si>
    <t>HYPERSPERSE MSI 410 - ANTIESCALANTE</t>
  </si>
  <si>
    <t>001-001-0000433</t>
  </si>
  <si>
    <t>AQUAQUIMICA</t>
  </si>
  <si>
    <t>CORTROL IS 3020 - BISULFITO</t>
  </si>
  <si>
    <t>001-001-000432</t>
  </si>
  <si>
    <t>001-001-0042618</t>
  </si>
  <si>
    <t>001-001-0002452</t>
  </si>
  <si>
    <t>001-001-000928</t>
  </si>
  <si>
    <t>001-001-002456</t>
  </si>
  <si>
    <t>001-001-0000930</t>
  </si>
  <si>
    <t>006-001-0004828</t>
  </si>
  <si>
    <t>001-001-0002472</t>
  </si>
  <si>
    <t>SC-022-24</t>
  </si>
  <si>
    <t>0091-0002696</t>
  </si>
  <si>
    <t>001-001-002478</t>
  </si>
  <si>
    <t>001-001-0002482</t>
  </si>
  <si>
    <t>001-001-0043098</t>
  </si>
  <si>
    <t>001-001-0000110</t>
  </si>
  <si>
    <t>001-001-0002501</t>
  </si>
  <si>
    <t>009-003-0012713</t>
  </si>
  <si>
    <t>ANTONIO GIMENES</t>
  </si>
  <si>
    <t>sc023/24</t>
  </si>
  <si>
    <t>001-001-0002504</t>
  </si>
  <si>
    <t xml:space="preserve">ETIQUETA PILSEN 710 </t>
  </si>
  <si>
    <t>0000002-00000596</t>
  </si>
  <si>
    <t>016-24</t>
  </si>
  <si>
    <t>kerry</t>
  </si>
  <si>
    <t>GUILLERMO</t>
  </si>
  <si>
    <t>001-004-0006537</t>
  </si>
  <si>
    <t xml:space="preserve">BALL </t>
  </si>
  <si>
    <t>001-001-0002515</t>
  </si>
  <si>
    <t>001-001-0043348</t>
  </si>
  <si>
    <t>FELIX RIQUELME</t>
  </si>
  <si>
    <t xml:space="preserve">TAPA PARA LATA 710CC S/LEGALES </t>
  </si>
  <si>
    <t>001-001-0002519</t>
  </si>
  <si>
    <t>001-004-0006611</t>
  </si>
  <si>
    <t>FILM TMC GOLDEN 269CCX12L 65MIC</t>
  </si>
  <si>
    <t>001-001-000973</t>
  </si>
  <si>
    <t>001-001-000974</t>
  </si>
  <si>
    <t>001-001-0000975</t>
  </si>
  <si>
    <t>001-001-0000978</t>
  </si>
  <si>
    <t>001-001-00002525</t>
  </si>
  <si>
    <t>001-001-0002532</t>
  </si>
  <si>
    <t>0020-0004083</t>
  </si>
  <si>
    <t>TTE VILLAMAYOR</t>
  </si>
  <si>
    <t>HUGO ALBERTO</t>
  </si>
  <si>
    <t xml:space="preserve">RONALD BENEGAS </t>
  </si>
  <si>
    <t xml:space="preserve">ROTULO FRONT SKOL 275 PROMOCIONAL </t>
  </si>
  <si>
    <t>074-2024</t>
  </si>
  <si>
    <t>ALL4LABEL</t>
  </si>
  <si>
    <t>ALBERCI GIMENEZ</t>
  </si>
  <si>
    <t xml:space="preserve">ROTULO BACK SKOL 275 PROMOCIONAL </t>
  </si>
  <si>
    <t>CESAR MUNIZ</t>
  </si>
  <si>
    <t>001-001-0043697</t>
  </si>
  <si>
    <t>GOLD SERVICE</t>
  </si>
  <si>
    <t>ORLANDO TUDURI</t>
  </si>
  <si>
    <t xml:space="preserve">LUFFE LOG </t>
  </si>
  <si>
    <t>001-001-0043726</t>
  </si>
  <si>
    <t>001-001-0002535</t>
  </si>
  <si>
    <t>0020-00004081</t>
  </si>
  <si>
    <t xml:space="preserve">FILM PILSEN 269CC 12L </t>
  </si>
  <si>
    <t>001-001-0000997</t>
  </si>
  <si>
    <t>0031-002-0011633</t>
  </si>
  <si>
    <t>JAVIER TORRES</t>
  </si>
  <si>
    <t>001-001-0002543</t>
  </si>
  <si>
    <t>001-004-0006838</t>
  </si>
  <si>
    <t>001-001-00001005</t>
  </si>
  <si>
    <t>001-001-0001007</t>
  </si>
  <si>
    <t>EVANDRO BERTOLO</t>
  </si>
  <si>
    <t>001-001-0002546</t>
  </si>
  <si>
    <t>FILM CRISTAL 65MIC</t>
  </si>
  <si>
    <t>001-001-0001009</t>
  </si>
  <si>
    <t>001-001-0000543</t>
  </si>
  <si>
    <t>001-001-0000544</t>
  </si>
  <si>
    <t>001-001-0000545</t>
  </si>
  <si>
    <t>001-001-0000546</t>
  </si>
  <si>
    <t>3287-00002269</t>
  </si>
  <si>
    <t>001-001-0000547</t>
  </si>
  <si>
    <t>RONALDO REZENDE</t>
  </si>
  <si>
    <t>001-004-0006996</t>
  </si>
  <si>
    <t>001-001-0002570</t>
  </si>
  <si>
    <t>1261/2024</t>
  </si>
  <si>
    <t>JOSE PIRES</t>
  </si>
  <si>
    <t>001-001-0002573</t>
  </si>
  <si>
    <t>1264/2024</t>
  </si>
  <si>
    <t>1265/2024</t>
  </si>
  <si>
    <t>001-001-0000557</t>
  </si>
  <si>
    <t>001-001-0000558</t>
  </si>
  <si>
    <t>001-001-0000559</t>
  </si>
  <si>
    <t>0001-0001-0000560</t>
  </si>
  <si>
    <t>0001-0001-0000561</t>
  </si>
  <si>
    <t>AGRILOGISTICA</t>
  </si>
  <si>
    <t>Kg</t>
  </si>
  <si>
    <t>001-001-0000480</t>
  </si>
  <si>
    <t>001-001-000111</t>
  </si>
  <si>
    <t>cYNTHIA CABALLERO</t>
  </si>
  <si>
    <t>001-001-0001032</t>
  </si>
  <si>
    <t>001-001-0000565</t>
  </si>
  <si>
    <t>001-001-0000564</t>
  </si>
  <si>
    <t>LT</t>
  </si>
  <si>
    <t>001-001-00000626</t>
  </si>
  <si>
    <t>PABLO DIAZ</t>
  </si>
  <si>
    <t>SC-0024/24</t>
  </si>
  <si>
    <t>001-001-0002590</t>
  </si>
  <si>
    <t>001-001-0000575</t>
  </si>
  <si>
    <t>001-001-0000576</t>
  </si>
  <si>
    <t>001-001-0000577</t>
  </si>
  <si>
    <t>009-003-0013573</t>
  </si>
  <si>
    <t>KEVIN PEREZ</t>
  </si>
  <si>
    <t>001-001-0002593</t>
  </si>
  <si>
    <t>001-001-000634</t>
  </si>
  <si>
    <t>TAPA CORONA SKOL VERT</t>
  </si>
  <si>
    <t>ANTONIO</t>
  </si>
  <si>
    <t>24/004</t>
  </si>
  <si>
    <t>24/005</t>
  </si>
  <si>
    <t>001-004-0007-007362</t>
  </si>
  <si>
    <t>SC-0025-24</t>
  </si>
  <si>
    <t>SANTACLARA</t>
  </si>
  <si>
    <t>001-001-002602</t>
  </si>
  <si>
    <t>001-001-002604</t>
  </si>
  <si>
    <t>001-001-0001048</t>
  </si>
  <si>
    <t>001-001-001047</t>
  </si>
  <si>
    <t>001-001-002605</t>
  </si>
  <si>
    <t>001-001-0001051</t>
  </si>
  <si>
    <t>001-004-0007436</t>
  </si>
  <si>
    <t>020/24</t>
  </si>
  <si>
    <t>FILM TMC BUD 66 269 CC 65 MIC</t>
  </si>
  <si>
    <t>001-001-00010560</t>
  </si>
  <si>
    <t>TAPA PULL OFF SKOL 275CC  PROMO BAJO TAPA</t>
  </si>
  <si>
    <t>TAPA SKOL 275 CC</t>
  </si>
  <si>
    <t>001-001-000642</t>
  </si>
  <si>
    <t>terma</t>
  </si>
  <si>
    <t>jose bordon</t>
  </si>
  <si>
    <t>sc-0026/24</t>
  </si>
  <si>
    <t>001-001-0045126</t>
  </si>
  <si>
    <t>031-002-0012292</t>
  </si>
  <si>
    <t>1391/2024</t>
  </si>
  <si>
    <t>CELSO WEBBER</t>
  </si>
  <si>
    <t>001-001-0000333</t>
  </si>
  <si>
    <t>001-001-0000655</t>
  </si>
  <si>
    <t>PAULO GONCALVES</t>
  </si>
  <si>
    <t>ELIAS ROMERO</t>
  </si>
  <si>
    <t xml:space="preserve">FILM TMC BRAHMITA EDIC LIMITADA 269CC </t>
  </si>
  <si>
    <t>001-001-0001082</t>
  </si>
  <si>
    <t>001-001-0001087</t>
  </si>
  <si>
    <t>001-001-000512</t>
  </si>
  <si>
    <t>001-001-000511</t>
  </si>
  <si>
    <t>001-001-0001088</t>
  </si>
  <si>
    <t>009-003-0013927</t>
  </si>
  <si>
    <t>001-004-0007922</t>
  </si>
  <si>
    <t>BAL PY</t>
  </si>
  <si>
    <t>001-001-0001097</t>
  </si>
  <si>
    <t>045800/003</t>
  </si>
  <si>
    <t xml:space="preserve">canpack </t>
  </si>
  <si>
    <t>jauser</t>
  </si>
  <si>
    <t>001-003-0001016</t>
  </si>
  <si>
    <t>001-001-004814</t>
  </si>
  <si>
    <t>001-001-0016579</t>
  </si>
  <si>
    <t>1092/2024</t>
  </si>
  <si>
    <t>ETIQUETA PILSEN ALBIRROJA 940CC</t>
  </si>
  <si>
    <t>00002-00000611</t>
  </si>
  <si>
    <t>SERGIO SOLER</t>
  </si>
  <si>
    <t>COLLARIN PILSEN ALBIRROJA 940CC</t>
  </si>
  <si>
    <t>ETIQUETA PILSEN LUQUE 940CC</t>
  </si>
  <si>
    <t>COLLARIN PILSEN LUQUE 940CC</t>
  </si>
  <si>
    <t>ETIQUETA PILSEN GUARANI 940CC</t>
  </si>
  <si>
    <t>COLLARIN PILSEN GUARANI 940CC</t>
  </si>
  <si>
    <t>001-001-0001105</t>
  </si>
  <si>
    <t>001-004-0008067</t>
  </si>
  <si>
    <t>001-001-000527</t>
  </si>
  <si>
    <t>FILM TMC BRAHMITA ULTRA CERO 269CCX12 65 MIC</t>
  </si>
  <si>
    <t>001-001-0001114</t>
  </si>
  <si>
    <t>clecio moraes</t>
  </si>
  <si>
    <t>001-001-001121</t>
  </si>
  <si>
    <t>ETIQUETA PILSEN 940CC CERRO</t>
  </si>
  <si>
    <t>IVONEI STABELINE</t>
  </si>
  <si>
    <t>COLLARIN PILSEN 940CC CERRO</t>
  </si>
  <si>
    <t>ETIQUETA PILSEN 940CC OLIMPIA</t>
  </si>
  <si>
    <t>COLLARIN PILSEN 940CC OLIMPIA</t>
  </si>
  <si>
    <t>001-001-0001129</t>
  </si>
  <si>
    <t>001-001-000601</t>
  </si>
  <si>
    <t>001-001-000602</t>
  </si>
  <si>
    <t>GABRIEL GONZALEZ</t>
  </si>
  <si>
    <t>001-001-000603</t>
  </si>
  <si>
    <t>001-004-0008379</t>
  </si>
  <si>
    <t>001-001-0000608</t>
  </si>
  <si>
    <t>001-001-0000610</t>
  </si>
  <si>
    <t>001-001-0000612</t>
  </si>
  <si>
    <t>001-001-0021833</t>
  </si>
  <si>
    <t>BIOGRUPO</t>
  </si>
  <si>
    <t>00002-00001029</t>
  </si>
  <si>
    <t>CARLOS GAONA</t>
  </si>
  <si>
    <t>001-001-000613</t>
  </si>
  <si>
    <t>001-001-000616</t>
  </si>
  <si>
    <t>001-001-000618</t>
  </si>
  <si>
    <t>001-0010001141</t>
  </si>
  <si>
    <t>001-001-000544</t>
  </si>
  <si>
    <t>001-001-000620</t>
  </si>
  <si>
    <t>001-001-000622</t>
  </si>
  <si>
    <t>001-001-000624</t>
  </si>
  <si>
    <t>001-001-0001144</t>
  </si>
  <si>
    <t>001-001-0000113</t>
  </si>
  <si>
    <t>001-001-0000114</t>
  </si>
  <si>
    <t>jose suarez</t>
  </si>
  <si>
    <t>EXP004/2025</t>
  </si>
  <si>
    <t>CELO MESQUITA</t>
  </si>
  <si>
    <t>YMERIS</t>
  </si>
  <si>
    <t>MARTIN MEDINA</t>
  </si>
  <si>
    <t>001-001-000629</t>
  </si>
  <si>
    <t>WR GRACE</t>
  </si>
  <si>
    <t>001-001-000630</t>
  </si>
  <si>
    <t>001-001-000632</t>
  </si>
  <si>
    <t>001-001-000628</t>
  </si>
  <si>
    <t>001-001-000119</t>
  </si>
  <si>
    <t>001-001-0001150</t>
  </si>
  <si>
    <t>001-004-0008530</t>
  </si>
  <si>
    <t>001-001-000633</t>
  </si>
  <si>
    <t>001-001-000638</t>
  </si>
  <si>
    <t>001-001-000637</t>
  </si>
  <si>
    <t>001-001-000636</t>
  </si>
  <si>
    <t>001-001-0046841</t>
  </si>
  <si>
    <t>DIEGO BENITEZ</t>
  </si>
  <si>
    <t>001-001-0001152</t>
  </si>
  <si>
    <t>001-001-000640</t>
  </si>
  <si>
    <t>001-001-000639</t>
  </si>
  <si>
    <t>001-001-000641</t>
  </si>
  <si>
    <t>76/2025</t>
  </si>
  <si>
    <t>ball recife</t>
  </si>
  <si>
    <t>JOSE JACINTO</t>
  </si>
  <si>
    <t>001-001-0001167</t>
  </si>
  <si>
    <t>001-001-0001168</t>
  </si>
  <si>
    <t>001-001-0001172</t>
  </si>
  <si>
    <t>001-001-0001171</t>
  </si>
  <si>
    <t>98/2025</t>
  </si>
  <si>
    <t>edison da silva</t>
  </si>
  <si>
    <t>001-004-0008706</t>
  </si>
  <si>
    <t>001-001-0001188</t>
  </si>
  <si>
    <t>001-001-0001187</t>
  </si>
  <si>
    <t>gpi 006/2025</t>
  </si>
  <si>
    <t>LEONCIOBAEZ</t>
  </si>
  <si>
    <t>001-001-0002781</t>
  </si>
  <si>
    <t>001-001-002786</t>
  </si>
  <si>
    <t>A439</t>
  </si>
  <si>
    <t>ALICIO VELAZCO</t>
  </si>
  <si>
    <t>018-001-0041542</t>
  </si>
  <si>
    <t>JUAN BLAS</t>
  </si>
  <si>
    <t>001-004-0018118</t>
  </si>
  <si>
    <t>001-001-0002791</t>
  </si>
  <si>
    <t>00002-000628</t>
  </si>
  <si>
    <t>3287-0002395</t>
  </si>
  <si>
    <t>G0240038</t>
  </si>
  <si>
    <t>001-001-0002797</t>
  </si>
  <si>
    <t>JOSE CAMPOS</t>
  </si>
  <si>
    <t>001-001-000117</t>
  </si>
  <si>
    <t>001-001-002805</t>
  </si>
  <si>
    <t>01-001-0002806</t>
  </si>
  <si>
    <t>01-001-0001203</t>
  </si>
  <si>
    <t>001-001-0001205</t>
  </si>
  <si>
    <t>001-001-0001206</t>
  </si>
  <si>
    <t>001-001-0002808</t>
  </si>
  <si>
    <t>001-001-0000661</t>
  </si>
  <si>
    <t>001-001-0000662</t>
  </si>
  <si>
    <t>001-001-0011204</t>
  </si>
  <si>
    <t xml:space="preserve">ETIQUETA CUERPO SKOL 940CC </t>
  </si>
  <si>
    <t>004/25</t>
  </si>
  <si>
    <t>001-001-0002812</t>
  </si>
  <si>
    <t>001-001-001209</t>
  </si>
  <si>
    <t>001-001-0000664</t>
  </si>
  <si>
    <t>001-001-0000668</t>
  </si>
  <si>
    <t>001-001-002826</t>
  </si>
  <si>
    <t>001-001-0002824</t>
  </si>
  <si>
    <t>031-002-0013517</t>
  </si>
  <si>
    <t>001-001-0000679</t>
  </si>
  <si>
    <t>001-001-0000680</t>
  </si>
  <si>
    <t>001-001-0000681</t>
  </si>
  <si>
    <t>001-001-0000682</t>
  </si>
  <si>
    <t>001-001-0000683</t>
  </si>
  <si>
    <t>001-004-0000021</t>
  </si>
  <si>
    <t>ruben benitez</t>
  </si>
  <si>
    <t xml:space="preserve">ANILLO BRAHAMA </t>
  </si>
  <si>
    <t>001-001-0001928</t>
  </si>
  <si>
    <t>CUPERSA</t>
  </si>
  <si>
    <t>001-001-0001214</t>
  </si>
  <si>
    <t>006-001-0006348</t>
  </si>
  <si>
    <t xml:space="preserve">mater prim </t>
  </si>
  <si>
    <t>ever sanchez</t>
  </si>
  <si>
    <t>006-001-0006347</t>
  </si>
  <si>
    <t>001-001-0002837</t>
  </si>
  <si>
    <t>FILM ANTARCTICA ORIGINAL 269CC X12 65 UM</t>
  </si>
  <si>
    <t>001-001-0001215</t>
  </si>
  <si>
    <t>001-001-0011728</t>
  </si>
  <si>
    <t>lasca</t>
  </si>
  <si>
    <t>001-001-0002841</t>
  </si>
  <si>
    <t>001-001-0022048</t>
  </si>
  <si>
    <t>BIOGRUP</t>
  </si>
  <si>
    <t>ANDRES TORRES</t>
  </si>
  <si>
    <t>001-001-0002219</t>
  </si>
  <si>
    <t>3287-00002457</t>
  </si>
  <si>
    <t>25/002</t>
  </si>
  <si>
    <t>flexcoat</t>
  </si>
  <si>
    <t>javier torres</t>
  </si>
  <si>
    <t>001-001-004039</t>
  </si>
  <si>
    <t>GOLD</t>
  </si>
  <si>
    <t>KX 5202 200KG LUDODRIVE PRO</t>
  </si>
  <si>
    <t xml:space="preserve">LUBOKLAR HHBR </t>
  </si>
  <si>
    <t>TRIMETA CD</t>
  </si>
  <si>
    <t>LIMPIADOR ALCA/CLORADO TOPAX</t>
  </si>
  <si>
    <t>DETERGENTE AC 55-5</t>
  </si>
  <si>
    <t>FERISOL RINSE</t>
  </si>
  <si>
    <t>ACIDO FOSFORICO</t>
  </si>
  <si>
    <t>FILM STRECH MANUAL</t>
  </si>
  <si>
    <t xml:space="preserve">FILM STRECH WRAP 22MIC </t>
  </si>
  <si>
    <t>001-001-0000353</t>
  </si>
  <si>
    <t>001-001-002848</t>
  </si>
  <si>
    <t>001-001-0048117</t>
  </si>
  <si>
    <t>001-001-0002855</t>
  </si>
  <si>
    <t>001-004-000174</t>
  </si>
  <si>
    <t>001-001-0022086</t>
  </si>
  <si>
    <t>andres torres</t>
  </si>
  <si>
    <t>001-001-0002863</t>
  </si>
  <si>
    <t>001-001-0048283</t>
  </si>
  <si>
    <t>OSVALDO CANTERO</t>
  </si>
  <si>
    <t>001-001-0001229</t>
  </si>
  <si>
    <t>001-003-0001028</t>
  </si>
  <si>
    <t>NESTOR BELTRAN</t>
  </si>
  <si>
    <t>001-001-000929</t>
  </si>
  <si>
    <t>001-001-0001640</t>
  </si>
  <si>
    <t>001-001-001641</t>
  </si>
  <si>
    <t>001-001-001643</t>
  </si>
  <si>
    <t>001-001-001234</t>
  </si>
  <si>
    <t>001-001-0001235</t>
  </si>
  <si>
    <t>001-001-0002883</t>
  </si>
  <si>
    <t>001-001-0002892</t>
  </si>
  <si>
    <t>001-004-0000341</t>
  </si>
  <si>
    <t>001-004-000341</t>
  </si>
  <si>
    <t>EXP 007/2025</t>
  </si>
  <si>
    <t>ALL4LABELS</t>
  </si>
  <si>
    <t>031-002-0013774</t>
  </si>
  <si>
    <t>azpa</t>
  </si>
  <si>
    <t>001-001-0002905</t>
  </si>
  <si>
    <t>00002-000629</t>
  </si>
  <si>
    <t>ADAITAN VEIGA</t>
  </si>
  <si>
    <t>001-001-0048723</t>
  </si>
  <si>
    <t>fpv</t>
  </si>
  <si>
    <t>001-001-0048727</t>
  </si>
  <si>
    <t>001-001-0002921</t>
  </si>
  <si>
    <t>FILM BUD 66 310CC PROMO ITS MUSIC</t>
  </si>
  <si>
    <t>001-001-0001241</t>
  </si>
  <si>
    <t>001-004-0000430</t>
  </si>
  <si>
    <t>3287-00002523</t>
  </si>
  <si>
    <t xml:space="preserve">quilmes </t>
  </si>
  <si>
    <t>miguel gomez</t>
  </si>
  <si>
    <t xml:space="preserve">TAPA PARA LATA BUD 66 PROMO </t>
  </si>
  <si>
    <t>552/2025</t>
  </si>
  <si>
    <t xml:space="preserve">TFL </t>
  </si>
  <si>
    <t>ISAIAS DA SILVA</t>
  </si>
  <si>
    <t>001-001-00488499</t>
  </si>
  <si>
    <t>FILM BUD 66 12L 269CC ITS MUSIC</t>
  </si>
  <si>
    <t>001-001-001243</t>
  </si>
  <si>
    <t>001-001-0000118</t>
  </si>
  <si>
    <t>grafiplus</t>
  </si>
  <si>
    <t>001-001-000789</t>
  </si>
  <si>
    <t>450/2025</t>
  </si>
  <si>
    <t>001-001-0048931</t>
  </si>
  <si>
    <t>001-001-001244</t>
  </si>
  <si>
    <t>553/2025</t>
  </si>
  <si>
    <t>000076099-1</t>
  </si>
  <si>
    <t>BASF</t>
  </si>
  <si>
    <t>JOSE JOLSIAN</t>
  </si>
  <si>
    <t>001-001-0002940</t>
  </si>
  <si>
    <t>001-001-0001256</t>
  </si>
  <si>
    <t>001-001-0002952</t>
  </si>
  <si>
    <t xml:space="preserve">FILM CRISTAL AGRUPADOR C/TACO ANTID. 310CC </t>
  </si>
  <si>
    <t>001-001-0001264</t>
  </si>
  <si>
    <t>ODIR</t>
  </si>
  <si>
    <t>001-001-0002957</t>
  </si>
  <si>
    <t>001-001-0000714</t>
  </si>
  <si>
    <t>001-004-0000619</t>
  </si>
  <si>
    <t>001-001-000713</t>
  </si>
  <si>
    <t>001-001-0002970</t>
  </si>
  <si>
    <t>25/004</t>
  </si>
  <si>
    <t>JOSE RECALDE</t>
  </si>
  <si>
    <t>25/003</t>
  </si>
  <si>
    <t>001-001-000718</t>
  </si>
  <si>
    <t>001-001-000717</t>
  </si>
  <si>
    <t>001-001-000719</t>
  </si>
  <si>
    <t>001-001-000720</t>
  </si>
  <si>
    <t>001-001-000721</t>
  </si>
  <si>
    <t>001-001-000722</t>
  </si>
  <si>
    <t>001-001-0002977</t>
  </si>
  <si>
    <t>554/2025</t>
  </si>
  <si>
    <t>001-001-0022248</t>
  </si>
  <si>
    <t>001-001-0022243</t>
  </si>
  <si>
    <t>001-001-002989</t>
  </si>
  <si>
    <t>000076141-1</t>
  </si>
  <si>
    <t xml:space="preserve">VICTOR RAUL </t>
  </si>
  <si>
    <t>GPI012/2025</t>
  </si>
  <si>
    <t>001-001-004608</t>
  </si>
  <si>
    <t>031-002-0014247</t>
  </si>
  <si>
    <t>OSCAR BENITEZ</t>
  </si>
  <si>
    <t>1165-12</t>
  </si>
  <si>
    <t>675/2025</t>
  </si>
  <si>
    <t>GPI015/2025</t>
  </si>
  <si>
    <t>001-004-000776</t>
  </si>
  <si>
    <t>001-001-0003011</t>
  </si>
  <si>
    <t>001-001-000727</t>
  </si>
  <si>
    <t>001-001-000728</t>
  </si>
  <si>
    <t>001-001-0003017</t>
  </si>
  <si>
    <t>001-001-0000729</t>
  </si>
  <si>
    <t>001-001-0000730</t>
  </si>
  <si>
    <t>001-001-0000731</t>
  </si>
  <si>
    <t>001-001-0000732</t>
  </si>
  <si>
    <t>GPI014/2025</t>
  </si>
  <si>
    <t xml:space="preserve">RENATO </t>
  </si>
  <si>
    <t>001-001-0000734</t>
  </si>
  <si>
    <t>001-001-0000735</t>
  </si>
  <si>
    <t>001-001-0003030</t>
  </si>
  <si>
    <t>001-0010001329</t>
  </si>
  <si>
    <t>001-001-0001331</t>
  </si>
  <si>
    <t>001-001-0000737</t>
  </si>
  <si>
    <t>001-001-0000738</t>
  </si>
  <si>
    <t>001-001-0000739</t>
  </si>
  <si>
    <t>001-001-0003054</t>
  </si>
  <si>
    <t>SS STEINER</t>
  </si>
  <si>
    <t>001-004-0020904</t>
  </si>
  <si>
    <t xml:space="preserve">SEGUPACK </t>
  </si>
  <si>
    <t>001-001-0003074</t>
  </si>
  <si>
    <t>001-001-0003087</t>
  </si>
  <si>
    <t>1267/2024</t>
  </si>
  <si>
    <t>terport</t>
  </si>
  <si>
    <t>1266/2024</t>
  </si>
  <si>
    <t>001-004-0001135</t>
  </si>
  <si>
    <t>FILM TMC CRISTAL P/BOT 710CC</t>
  </si>
  <si>
    <t>001-001-0001357</t>
  </si>
  <si>
    <t>001-001-0003107</t>
  </si>
  <si>
    <t>001-001-000743</t>
  </si>
  <si>
    <t>001-001-000744</t>
  </si>
  <si>
    <t>3287-00002596</t>
  </si>
  <si>
    <t>001-001-000745</t>
  </si>
  <si>
    <t>001-001-0000864</t>
  </si>
  <si>
    <t>001-001-0003130</t>
  </si>
  <si>
    <t>001-004-0021574</t>
  </si>
  <si>
    <t>001-004-0001301</t>
  </si>
  <si>
    <t>001-001-0013346</t>
  </si>
  <si>
    <t>3287-00002584</t>
  </si>
  <si>
    <t>001-003-0001038</t>
  </si>
  <si>
    <t>001-001-0022447</t>
  </si>
  <si>
    <t>ETIQUETA  BRAHMA SUB ZERO 340</t>
  </si>
  <si>
    <t>OCTAVIO</t>
  </si>
  <si>
    <t>001-001-000758</t>
  </si>
  <si>
    <t>RODRIGO SALINAS</t>
  </si>
  <si>
    <t>001-001-000757</t>
  </si>
  <si>
    <t>001-001-0001367</t>
  </si>
  <si>
    <t>001-001-0003146</t>
  </si>
  <si>
    <t>001-001-0003156</t>
  </si>
  <si>
    <t>001-01-0000119</t>
  </si>
  <si>
    <t>HILARIO</t>
  </si>
  <si>
    <t>001-001-0022483</t>
  </si>
  <si>
    <t>GRUPOBIO</t>
  </si>
  <si>
    <t>001-001-0001368</t>
  </si>
  <si>
    <t>copipunto</t>
  </si>
  <si>
    <t>3287-00002635</t>
  </si>
  <si>
    <t>quilmes</t>
  </si>
  <si>
    <t>hl</t>
  </si>
  <si>
    <t>ambev</t>
  </si>
  <si>
    <t>001-001-000774</t>
  </si>
  <si>
    <t>001-001-0000777</t>
  </si>
  <si>
    <t>001-001-0000778</t>
  </si>
  <si>
    <t>001-001-0003192</t>
  </si>
  <si>
    <t>001-001-0003190/191</t>
  </si>
  <si>
    <t>pelliconi</t>
  </si>
  <si>
    <t>jacinto zaracho</t>
  </si>
  <si>
    <t>001-001-0051359</t>
  </si>
  <si>
    <t>001-001-0001396</t>
  </si>
  <si>
    <t>001-001-00003208</t>
  </si>
  <si>
    <t>3287-00002652</t>
  </si>
  <si>
    <t>GABINO ROLON</t>
  </si>
  <si>
    <t>001-001-0001534/33</t>
  </si>
  <si>
    <t>labco</t>
  </si>
  <si>
    <t>001-001-0001534</t>
  </si>
  <si>
    <t>001-001-0000751</t>
  </si>
  <si>
    <t>NELSON LOPEZ</t>
  </si>
  <si>
    <t>001-001-0000750</t>
  </si>
  <si>
    <t>001-001-0001399</t>
  </si>
  <si>
    <t>001-001-0001398</t>
  </si>
  <si>
    <t>001-001-0001401</t>
  </si>
  <si>
    <t>001-001-0000190</t>
  </si>
  <si>
    <t xml:space="preserve">ball </t>
  </si>
  <si>
    <t>sergio barrios</t>
  </si>
  <si>
    <t>001-001-0000386</t>
  </si>
  <si>
    <t xml:space="preserve">asupack </t>
  </si>
  <si>
    <t>001-001-003235</t>
  </si>
  <si>
    <t>001-001-2251610</t>
  </si>
  <si>
    <t>001-004-0022920</t>
  </si>
  <si>
    <t>segupack</t>
  </si>
  <si>
    <t>449/2025</t>
  </si>
  <si>
    <t>BLAS ANTONIO</t>
  </si>
  <si>
    <t>001-001-00003260</t>
  </si>
  <si>
    <t>25/006</t>
  </si>
  <si>
    <t>001-001-0003270</t>
  </si>
  <si>
    <t>G0250007</t>
  </si>
  <si>
    <t>001-001-0001419</t>
  </si>
  <si>
    <t>001-001-000343</t>
  </si>
  <si>
    <t>001-001-0003274</t>
  </si>
  <si>
    <t>25/007</t>
  </si>
  <si>
    <t>001-004-0023409</t>
  </si>
  <si>
    <t>3287-000002696</t>
  </si>
  <si>
    <t>001-001-0000803</t>
  </si>
  <si>
    <t>001-001-0000804</t>
  </si>
  <si>
    <t>001-001-0000805</t>
  </si>
  <si>
    <t>001-001-00000120</t>
  </si>
  <si>
    <t>001-001-0000808</t>
  </si>
  <si>
    <t>001-001-0000809</t>
  </si>
  <si>
    <t>3287-00002697</t>
  </si>
  <si>
    <t>001-001-0000819</t>
  </si>
  <si>
    <t>001-001-0000820</t>
  </si>
  <si>
    <t>001-001-0000821</t>
  </si>
  <si>
    <t>001-001-0000823</t>
  </si>
  <si>
    <t>010/25</t>
  </si>
  <si>
    <t>hector</t>
  </si>
  <si>
    <t>001-001-0001426</t>
  </si>
  <si>
    <t>001-001-00003303</t>
  </si>
  <si>
    <t>001-001-000828</t>
  </si>
  <si>
    <t>001-001-000829</t>
  </si>
  <si>
    <t>001-001-0000832</t>
  </si>
  <si>
    <t>001-001-000833</t>
  </si>
  <si>
    <t>001-001-0003311</t>
  </si>
  <si>
    <t>0002-0001080</t>
  </si>
  <si>
    <t>tecnicom</t>
  </si>
  <si>
    <t>cristian vargas</t>
  </si>
  <si>
    <t>031-002-0015022</t>
  </si>
  <si>
    <t>001-001-0003325</t>
  </si>
  <si>
    <t>001-001-0003328</t>
  </si>
  <si>
    <t>001-001-00000845</t>
  </si>
  <si>
    <t>001-001-00000846</t>
  </si>
  <si>
    <t>001-001-00000847</t>
  </si>
  <si>
    <t>001-001-00000848</t>
  </si>
  <si>
    <t>006-001-0007994</t>
  </si>
  <si>
    <t>001-001-00000850</t>
  </si>
  <si>
    <t>001-001-003332</t>
  </si>
  <si>
    <t>001-001-0003347</t>
  </si>
  <si>
    <t>001-001-0001449</t>
  </si>
  <si>
    <t>001-001-0001451</t>
  </si>
  <si>
    <t>001-001-003355</t>
  </si>
  <si>
    <t>EC51433JAU</t>
  </si>
  <si>
    <t>001-001-0000502</t>
  </si>
  <si>
    <t>ATL</t>
  </si>
  <si>
    <t>EDGAR GAMARRA</t>
  </si>
  <si>
    <t>001-001-0001459</t>
  </si>
  <si>
    <t>001-001-0003362</t>
  </si>
  <si>
    <t>001-001-0001461</t>
  </si>
  <si>
    <t>FILM TMC OURO FINO 354CCX12 65UM</t>
  </si>
  <si>
    <t>001-001-0003370</t>
  </si>
  <si>
    <t>001-001-0022795</t>
  </si>
  <si>
    <t>001-001-0000870</t>
  </si>
  <si>
    <t>001-001-000871</t>
  </si>
  <si>
    <t>001-001-0001467</t>
  </si>
  <si>
    <t>LUIS NUNEZ</t>
  </si>
  <si>
    <t>001-001-0001466</t>
  </si>
  <si>
    <t>001-001-000872</t>
  </si>
  <si>
    <t>001-001-0000876</t>
  </si>
  <si>
    <t>001-001-0003381</t>
  </si>
  <si>
    <t>001-001-0001472</t>
  </si>
  <si>
    <t>001-001-0003390</t>
  </si>
  <si>
    <t>001-001-0003391</t>
  </si>
  <si>
    <t>001-001-000961</t>
  </si>
  <si>
    <t xml:space="preserve">terma </t>
  </si>
  <si>
    <t>001-001-0001474</t>
  </si>
  <si>
    <t>001-001-001475</t>
  </si>
  <si>
    <t>001-001-0003397</t>
  </si>
  <si>
    <t>001-001-0000179</t>
  </si>
  <si>
    <t>ANCHOR</t>
  </si>
  <si>
    <t>IVONNE</t>
  </si>
  <si>
    <t>001-004-0024643</t>
  </si>
  <si>
    <t xml:space="preserve">WILLIAN </t>
  </si>
  <si>
    <t>001-001-0003406</t>
  </si>
  <si>
    <t>001-001-0003405</t>
  </si>
  <si>
    <t>001-001-0000754</t>
  </si>
  <si>
    <t>A1402</t>
  </si>
  <si>
    <t>3287-00002738</t>
  </si>
  <si>
    <t>001-001-000893</t>
  </si>
  <si>
    <t>001-001-0001481</t>
  </si>
  <si>
    <t>001-001-0001480</t>
  </si>
  <si>
    <t>001-001-000897</t>
  </si>
  <si>
    <t>001-001-000898</t>
  </si>
  <si>
    <t>001-001-00000901</t>
  </si>
  <si>
    <t>001-001-00000902</t>
  </si>
  <si>
    <t>001-001-00000903</t>
  </si>
  <si>
    <t>001-001-00000904</t>
  </si>
  <si>
    <t>001-001-0001486</t>
  </si>
  <si>
    <t>001-001-0001485</t>
  </si>
  <si>
    <t>875/2025</t>
  </si>
  <si>
    <t>874/2025</t>
  </si>
  <si>
    <t>001-001-0000908</t>
  </si>
  <si>
    <t>001-001-0000909</t>
  </si>
  <si>
    <t>001-001-0000910</t>
  </si>
  <si>
    <t>001-001-0003433</t>
  </si>
  <si>
    <t>001-001-000886</t>
  </si>
  <si>
    <t>JOSE FLEITAS</t>
  </si>
  <si>
    <t>001-001-0000915</t>
  </si>
  <si>
    <t>001-001-0000917</t>
  </si>
  <si>
    <t>001-001-0003449</t>
  </si>
  <si>
    <t>CAJA CARTON BUD 66 6X710 CC MANUAL</t>
  </si>
  <si>
    <t>001-001-0002453</t>
  </si>
  <si>
    <t>ALCIDES</t>
  </si>
  <si>
    <t>ETIQUETA ULTRA CERO 940CC</t>
  </si>
  <si>
    <t>00002-00000671</t>
  </si>
  <si>
    <t>COLLARIN ULTRA CERO 940CC</t>
  </si>
  <si>
    <t>001-001-0003456</t>
  </si>
  <si>
    <t>001-001-0002026</t>
  </si>
  <si>
    <t>ADHESIVO HOT MELT SUPRA 100</t>
  </si>
  <si>
    <t>018-001-0051992</t>
  </si>
  <si>
    <t>CHACOMER</t>
  </si>
  <si>
    <t>001-001-0003470</t>
  </si>
  <si>
    <t>001-001-000182</t>
  </si>
  <si>
    <t>FILM TERMO BRAHMITA ULTRA AHORRA 269CC 15L</t>
  </si>
  <si>
    <t>001-001-001506</t>
  </si>
  <si>
    <t>FILM TERMO BRAHMITA ULTRA AHORRA 269CC 12L</t>
  </si>
  <si>
    <t>001-001-001505</t>
  </si>
  <si>
    <t>001-0001-000072</t>
  </si>
  <si>
    <t>separ</t>
  </si>
  <si>
    <t>sapar</t>
  </si>
  <si>
    <t>CARBOARD MICHELOB</t>
  </si>
  <si>
    <t>00006-00000220</t>
  </si>
  <si>
    <t>WESTROCK</t>
  </si>
  <si>
    <t>00002-00001095/96</t>
  </si>
  <si>
    <t>001-001-0000401</t>
  </si>
  <si>
    <t>021/2025</t>
  </si>
  <si>
    <t>graphic</t>
  </si>
  <si>
    <t>001-001-003485</t>
  </si>
  <si>
    <t>001-001-000935</t>
  </si>
  <si>
    <t>001-001-000937</t>
  </si>
  <si>
    <t>001-001-000938</t>
  </si>
  <si>
    <t>001-001-0053661</t>
  </si>
  <si>
    <t>001-001-0053759</t>
  </si>
  <si>
    <t>ALCOHOL RECTIFICADO</t>
  </si>
  <si>
    <t>HOROLITH PA</t>
  </si>
  <si>
    <t>OXONIA ACTIVO</t>
  </si>
  <si>
    <t>ADITIVO ECOLAB STABILONGL</t>
  </si>
  <si>
    <t>POLIMERO NALCO</t>
  </si>
  <si>
    <t>001-001-0002521</t>
  </si>
  <si>
    <t xml:space="preserve">GUILLERMO </t>
  </si>
  <si>
    <t>3287-0002799</t>
  </si>
  <si>
    <t>LORENZO FLEITAS</t>
  </si>
  <si>
    <t>FILM TMC BRHAMA 269CC EDCI PABLITO LEZCANO</t>
  </si>
  <si>
    <t>001-001-0001522</t>
  </si>
  <si>
    <t>HUGO</t>
  </si>
  <si>
    <t>exp03/2025</t>
  </si>
  <si>
    <t>all4labels</t>
  </si>
  <si>
    <t>ghelere</t>
  </si>
  <si>
    <t>001-001-0001196</t>
  </si>
  <si>
    <t>ELVIO</t>
  </si>
  <si>
    <t>00006-00000221</t>
  </si>
  <si>
    <t>HUGO GAMARRA</t>
  </si>
  <si>
    <t>001-001-0003505</t>
  </si>
  <si>
    <t>001-001-0003506</t>
  </si>
  <si>
    <t>BOTELLA AMBEV 600CC AMBAR</t>
  </si>
  <si>
    <t>001-001-0000953</t>
  </si>
  <si>
    <t>001-001-0000954</t>
  </si>
  <si>
    <t>031-002-0015664</t>
  </si>
  <si>
    <t>001-001-0003511</t>
  </si>
  <si>
    <t>1150/2025</t>
  </si>
  <si>
    <t>001-001-0001535</t>
  </si>
  <si>
    <t>001-001-0003521</t>
  </si>
  <si>
    <t>001-001-0000967</t>
  </si>
  <si>
    <t>001-001-0001284</t>
  </si>
  <si>
    <t>augusto</t>
  </si>
  <si>
    <t>006-001-00008693</t>
  </si>
  <si>
    <t>ever</t>
  </si>
  <si>
    <t>001-001-0003530</t>
  </si>
  <si>
    <t>ETIQUETA PILSEN ALBIRROJA 600ML</t>
  </si>
  <si>
    <t>000002-00000674</t>
  </si>
  <si>
    <t>CONTRAETIQUETA PILSEN ALBIRROJA 600ML</t>
  </si>
  <si>
    <t>COLLARIN  PILSEN ALBIRROJA 600ML</t>
  </si>
  <si>
    <t>001-001-001542</t>
  </si>
  <si>
    <t>3287-0002837</t>
  </si>
  <si>
    <t xml:space="preserve">TAPA BRHAMA ULTRA ZERO </t>
  </si>
  <si>
    <t>001-001-0003537</t>
  </si>
  <si>
    <t>001-001-00001021/22</t>
  </si>
  <si>
    <t>001-001-003541</t>
  </si>
  <si>
    <t>001-001-0001402</t>
  </si>
  <si>
    <t>000002-00001108</t>
  </si>
  <si>
    <t>001-001-0003552</t>
  </si>
  <si>
    <t>001-001-0003558</t>
  </si>
  <si>
    <t>hb fuller</t>
  </si>
  <si>
    <t>001-001-0001000</t>
  </si>
  <si>
    <t>001-001-0000408</t>
  </si>
  <si>
    <t>001-001-0001532</t>
  </si>
  <si>
    <t>001-001-0001001</t>
  </si>
  <si>
    <t>001-001-003564</t>
  </si>
  <si>
    <t>001-003-0001047</t>
  </si>
  <si>
    <t>001-001-001002</t>
  </si>
  <si>
    <t>001-001-001005</t>
  </si>
  <si>
    <t>001-001-0001008</t>
  </si>
  <si>
    <t>001-001-0003575</t>
  </si>
  <si>
    <t>001-001-0023115</t>
  </si>
  <si>
    <t>grupobio</t>
  </si>
  <si>
    <t>031-002-0015995</t>
  </si>
  <si>
    <t>001-001-0001018</t>
  </si>
  <si>
    <t>001-0001-0003580</t>
  </si>
  <si>
    <t>3287-00002861</t>
  </si>
  <si>
    <t>TAPA PILSEN 710 LEGALES</t>
  </si>
  <si>
    <t>001-001-0001020</t>
  </si>
  <si>
    <t>001-001-0001021</t>
  </si>
  <si>
    <t>001-001-0001022</t>
  </si>
  <si>
    <t>001-001-0001023</t>
  </si>
  <si>
    <t>001-001-0001026</t>
  </si>
  <si>
    <t>001-001-0003591</t>
  </si>
  <si>
    <t>006-001-0008967</t>
  </si>
  <si>
    <t>006-001-0008963</t>
  </si>
  <si>
    <t>001-001-0000105</t>
  </si>
  <si>
    <t>SEPAR</t>
  </si>
  <si>
    <t>SAPAR</t>
  </si>
  <si>
    <t xml:space="preserve">FAUSTINO </t>
  </si>
  <si>
    <t>001-001-0002330</t>
  </si>
  <si>
    <t>TAPA PILSEN 940 CC PKG</t>
  </si>
  <si>
    <t>010/2025</t>
  </si>
  <si>
    <t>PKG</t>
  </si>
  <si>
    <t>1362/2025</t>
  </si>
  <si>
    <t>001-001-0001028</t>
  </si>
  <si>
    <t>001-001-0001027</t>
  </si>
  <si>
    <t>001-001-0001029</t>
  </si>
  <si>
    <t>001-001-0001031</t>
  </si>
  <si>
    <t>001-001-0001792</t>
  </si>
  <si>
    <t>001-001-0003601</t>
  </si>
  <si>
    <t>001-001-00001059</t>
  </si>
  <si>
    <t>001-001-0003611</t>
  </si>
  <si>
    <t>001-001-0003621</t>
  </si>
  <si>
    <t>EC54745JAU</t>
  </si>
  <si>
    <t>25/015</t>
  </si>
  <si>
    <t>FLEXCOTA</t>
  </si>
  <si>
    <t>25/16</t>
  </si>
  <si>
    <t>001-001-0002677</t>
  </si>
  <si>
    <t xml:space="preserve">INGRAF </t>
  </si>
  <si>
    <t>001-001-0001606</t>
  </si>
  <si>
    <t>BOLSIPLAS</t>
  </si>
  <si>
    <t>001-001-0003628</t>
  </si>
  <si>
    <t>001-001-001606</t>
  </si>
  <si>
    <t>bolsiplast</t>
  </si>
  <si>
    <t>001-001-0003629</t>
  </si>
  <si>
    <t>001-001-0001922</t>
  </si>
  <si>
    <t>001-0001-0001615</t>
  </si>
  <si>
    <t>001-001-003638</t>
  </si>
  <si>
    <t>077141-1/0077142-1</t>
  </si>
  <si>
    <t>001-001-0001617</t>
  </si>
  <si>
    <t>001-001-0001618</t>
  </si>
  <si>
    <t>001-001-0003646</t>
  </si>
  <si>
    <t>001-001-0003655</t>
  </si>
  <si>
    <t>BOTELLA MICHELOB AMBAR 275CC</t>
  </si>
  <si>
    <t>001-001-0001043</t>
  </si>
  <si>
    <t xml:space="preserve">FPV </t>
  </si>
  <si>
    <t>RL</t>
  </si>
  <si>
    <t>001-001-0001044</t>
  </si>
  <si>
    <t>001-001-0001626</t>
  </si>
  <si>
    <t>001-001-0001622</t>
  </si>
  <si>
    <t>001-001-0001046</t>
  </si>
  <si>
    <t>001-001-00001049</t>
  </si>
  <si>
    <t>001-001-00001050</t>
  </si>
  <si>
    <t>001-001-0001799</t>
  </si>
  <si>
    <t>001-001-0001800</t>
  </si>
  <si>
    <t>001-001-0003665</t>
  </si>
  <si>
    <t>001-001-0000424</t>
  </si>
  <si>
    <t>Asupack</t>
  </si>
  <si>
    <t>asupck</t>
  </si>
  <si>
    <t>031/002/0016444</t>
  </si>
  <si>
    <t>001-001-002139</t>
  </si>
  <si>
    <t>3287-0002943</t>
  </si>
  <si>
    <t>TAPA CORONA MICHELOB ULTRA</t>
  </si>
  <si>
    <t>001-001-0002232</t>
  </si>
  <si>
    <t>001-001-0002231</t>
  </si>
  <si>
    <t>001-001-0002233</t>
  </si>
  <si>
    <t>lt</t>
  </si>
  <si>
    <t>001-001-0001090</t>
  </si>
  <si>
    <t>001-001-002198</t>
  </si>
  <si>
    <t>001-001-000133</t>
  </si>
  <si>
    <t>006-001-0009316</t>
  </si>
  <si>
    <t>mater prim</t>
  </si>
  <si>
    <t>001-001-0001795</t>
  </si>
  <si>
    <t>001-001-0001796</t>
  </si>
  <si>
    <t>001-001-0003683</t>
  </si>
  <si>
    <t>001-001-0001804</t>
  </si>
  <si>
    <t>001-001-0001803</t>
  </si>
  <si>
    <t>EC55643JAU</t>
  </si>
  <si>
    <t>001-001-0003689</t>
  </si>
  <si>
    <t>3287-00002947</t>
  </si>
  <si>
    <t>001-001-0001052</t>
  </si>
  <si>
    <t>001-001-0001053</t>
  </si>
  <si>
    <t>001-001-0001054</t>
  </si>
  <si>
    <t>001-001-0002285</t>
  </si>
  <si>
    <t>001-001-0001648</t>
  </si>
  <si>
    <t>001-001-0002779</t>
  </si>
  <si>
    <t>001-001-0002601</t>
  </si>
  <si>
    <t>001-011-0001653</t>
  </si>
  <si>
    <t>001-001-0001656</t>
  </si>
  <si>
    <t>001-001-0003700</t>
  </si>
  <si>
    <t>001-001-0003714</t>
  </si>
  <si>
    <t>001-001-0001058</t>
  </si>
  <si>
    <t>ROTULO BACK BUDWEISER 66 275ML PARAGUAI</t>
  </si>
  <si>
    <t>EXP 015/2025</t>
  </si>
  <si>
    <t>ROTULO FRONT BUDWEISER 66 275ML PARAGUAI</t>
  </si>
  <si>
    <t>001-001-0001060</t>
  </si>
  <si>
    <t>001-001-0001061</t>
  </si>
  <si>
    <t>001-001-0002347</t>
  </si>
  <si>
    <t>001-001-0001062</t>
  </si>
  <si>
    <t>CLORURO DE ZINC</t>
  </si>
  <si>
    <t>00027-0000033</t>
  </si>
  <si>
    <t>RESEARCH AG</t>
  </si>
  <si>
    <t>001-001-0003719</t>
  </si>
  <si>
    <t>001-001-0003723</t>
  </si>
  <si>
    <t>ETIQUETA SKOL 30L</t>
  </si>
  <si>
    <t>001-001-0001070</t>
  </si>
  <si>
    <t>AGP</t>
  </si>
  <si>
    <t>ETIQUETA AUTOAD. BRAHMA P/CHOPP 30 LT.</t>
  </si>
  <si>
    <t>EC56437JAU</t>
  </si>
  <si>
    <t>001-001-0002430</t>
  </si>
  <si>
    <t>3287-00002962</t>
  </si>
  <si>
    <t>001-001-0056661</t>
  </si>
  <si>
    <t>ASUPACK// DE PLANTA</t>
  </si>
  <si>
    <t>EC56477JAU</t>
  </si>
  <si>
    <t>001-001-0003735</t>
  </si>
  <si>
    <t>EC56560JAU</t>
  </si>
  <si>
    <t>EC56526JAU</t>
  </si>
  <si>
    <t>001-002-0001682</t>
  </si>
  <si>
    <t>25/2025</t>
  </si>
  <si>
    <t>COROPLAS</t>
  </si>
  <si>
    <t>EC56597JAU</t>
  </si>
  <si>
    <t>001-001-0003746</t>
  </si>
  <si>
    <t>1002/2025</t>
  </si>
  <si>
    <t>001-001-0001688</t>
  </si>
  <si>
    <t>EC56671JAU</t>
  </si>
  <si>
    <t>Jauser</t>
  </si>
  <si>
    <t>EC56672JAU</t>
  </si>
  <si>
    <t>001-001-001693</t>
  </si>
  <si>
    <t>EC56742JAU</t>
  </si>
  <si>
    <t xml:space="preserve">BALL BRASL </t>
  </si>
  <si>
    <t>001-001-0003753</t>
  </si>
  <si>
    <t>001-001-003760</t>
  </si>
  <si>
    <t>001-001-0001072</t>
  </si>
  <si>
    <t>031-002-0016792</t>
  </si>
  <si>
    <t>001-001-0001071</t>
  </si>
  <si>
    <t>001-001-0001073</t>
  </si>
  <si>
    <t>001-001-0001074</t>
  </si>
  <si>
    <t>001-001-0002611</t>
  </si>
  <si>
    <t>atl</t>
  </si>
  <si>
    <t>001-001-003781</t>
  </si>
  <si>
    <t>001-001-0001079</t>
  </si>
  <si>
    <t>001-001-0001080</t>
  </si>
  <si>
    <t>001-001-003784</t>
  </si>
  <si>
    <t>001-001-0001081</t>
  </si>
  <si>
    <t>001-001-0002706</t>
  </si>
  <si>
    <t>001-001-0001084</t>
  </si>
  <si>
    <t>001-001-0001085</t>
  </si>
  <si>
    <t>a1407</t>
  </si>
  <si>
    <t>CAJA DE CARTON MICHELON 275</t>
  </si>
  <si>
    <t>GPI028/2025</t>
  </si>
  <si>
    <t xml:space="preserve">GRAPHIC </t>
  </si>
  <si>
    <t>001-001-0001086</t>
  </si>
  <si>
    <t>001-001-0001083</t>
  </si>
  <si>
    <t>00002-0000676</t>
  </si>
  <si>
    <t>001-001-001021</t>
  </si>
  <si>
    <t>aquaquimica</t>
  </si>
  <si>
    <t>001-001-001020</t>
  </si>
  <si>
    <t>001-004-0029328</t>
  </si>
  <si>
    <t>001-001-0003801</t>
  </si>
  <si>
    <t>001-001-0003802</t>
  </si>
  <si>
    <t>001-001-0001089</t>
  </si>
  <si>
    <t>001-001-0002787</t>
  </si>
  <si>
    <t>ETIQUETA BRAHMA 940CC MUSICAL</t>
  </si>
  <si>
    <t>COLLARIIN BRAHMA 940CC MUSICAL</t>
  </si>
  <si>
    <t>001-001-0001101</t>
  </si>
  <si>
    <t>001-001-0001102</t>
  </si>
  <si>
    <t>001-001-0001104</t>
  </si>
  <si>
    <t>001-001-0001103</t>
  </si>
  <si>
    <t>001-003-0001056</t>
  </si>
  <si>
    <t>TINTA NEGRA V4240-L 1LT</t>
  </si>
  <si>
    <t>001-003-0001057</t>
  </si>
  <si>
    <t>SOLVENTE P TINTA NEGRA V7206-L 1LT</t>
  </si>
  <si>
    <t>SOLV LIMPIEZA P TINTA NEGRA V901-Q 1LT</t>
  </si>
  <si>
    <t>001-001-0001107</t>
  </si>
  <si>
    <t>001-001-0001108</t>
  </si>
  <si>
    <t>001-001-0003819</t>
  </si>
  <si>
    <t>001-001-0003820</t>
  </si>
  <si>
    <t>001-001-0003823</t>
  </si>
  <si>
    <t>BOTELLA AMBAR 940CC OW</t>
  </si>
  <si>
    <t>001-001-001110</t>
  </si>
  <si>
    <t>001-001-001111</t>
  </si>
  <si>
    <t>001-001-001112</t>
  </si>
  <si>
    <t>001-001-001113</t>
  </si>
  <si>
    <t>001-001-001114</t>
  </si>
  <si>
    <t>001-001-001115</t>
  </si>
  <si>
    <t>001-001-001116</t>
  </si>
  <si>
    <t>001-001-0003843</t>
  </si>
  <si>
    <t>hauser</t>
  </si>
  <si>
    <t xml:space="preserve">ambev </t>
  </si>
  <si>
    <t>COLLARIN BRAHMA 940CC PABLITO L</t>
  </si>
  <si>
    <t>ETIQUETA BRAHMA 940CC PABLITO L</t>
  </si>
  <si>
    <t>GPI029/2025</t>
  </si>
  <si>
    <t>001-001-0001751</t>
  </si>
  <si>
    <t>001-001-0001750</t>
  </si>
  <si>
    <t>001-001-0001126</t>
  </si>
  <si>
    <t>001-001-0001127</t>
  </si>
  <si>
    <t>001-001-0003855</t>
  </si>
  <si>
    <t xml:space="preserve">ETIQUETA PILSEN CHOPP 30LITROS </t>
  </si>
  <si>
    <t>001-001-0001139</t>
  </si>
  <si>
    <t>GP ETIQUETAS</t>
  </si>
  <si>
    <t>001-001-0001130</t>
  </si>
  <si>
    <t>001-001-0003860</t>
  </si>
  <si>
    <t>001-001-001764</t>
  </si>
  <si>
    <t>001-001-001763</t>
  </si>
  <si>
    <t>001-001-0001131</t>
  </si>
  <si>
    <t>001-001-0001132</t>
  </si>
  <si>
    <t>001-001-0003871</t>
  </si>
  <si>
    <t>3287-00003063</t>
  </si>
  <si>
    <t>GPI030/2025</t>
  </si>
  <si>
    <t>EC58208JAU</t>
  </si>
  <si>
    <t>001-001-0003885</t>
  </si>
  <si>
    <t>001-001-0003142</t>
  </si>
  <si>
    <t>25/038</t>
  </si>
  <si>
    <t>001-001-0003893</t>
  </si>
  <si>
    <t>001-001-0003901</t>
  </si>
  <si>
    <t>25/037</t>
  </si>
  <si>
    <t>001-001-0003905</t>
  </si>
  <si>
    <t>EC58649JAU</t>
  </si>
  <si>
    <t>ec58665jau</t>
  </si>
  <si>
    <t>001-001-0003919</t>
  </si>
  <si>
    <t>001-001-58504</t>
  </si>
  <si>
    <t>ec8865jau</t>
  </si>
  <si>
    <t>001-001-0003929</t>
  </si>
  <si>
    <t>3287-00003082</t>
  </si>
  <si>
    <t>001-001-003939</t>
  </si>
  <si>
    <t>001-001-0000174</t>
  </si>
  <si>
    <t>001-001-0003419</t>
  </si>
  <si>
    <t>001-001-0001158</t>
  </si>
  <si>
    <t>001-001-0001159</t>
  </si>
  <si>
    <t>001-001-0003944</t>
  </si>
  <si>
    <t>001-001-0001162</t>
  </si>
  <si>
    <t>001-001-0001163</t>
  </si>
  <si>
    <t>YMERYS</t>
  </si>
  <si>
    <t>ec59053jau</t>
  </si>
  <si>
    <t>001-001-0001165</t>
  </si>
  <si>
    <t>77607-1</t>
  </si>
  <si>
    <t>001-001-0003469</t>
  </si>
  <si>
    <t>001-001-0003948</t>
  </si>
  <si>
    <t>3287-0003093</t>
  </si>
  <si>
    <t>001-001-0003958</t>
  </si>
  <si>
    <t>ROTULO FRONT SKOL 275CC DISE NUEVO</t>
  </si>
  <si>
    <t>EXP020/2025</t>
  </si>
  <si>
    <t>ALL LABEL</t>
  </si>
  <si>
    <t>ROTULO BACKSKOL 275CC DISE NUEVO</t>
  </si>
  <si>
    <t>001-001-001808</t>
  </si>
  <si>
    <t>001-001-0001812</t>
  </si>
  <si>
    <t>001-001-0003967</t>
  </si>
  <si>
    <t>020/25</t>
  </si>
  <si>
    <t>transparaguay</t>
  </si>
  <si>
    <t>001-001-0003974</t>
  </si>
  <si>
    <t>001-001-0001177</t>
  </si>
  <si>
    <t>001-001-0001181</t>
  </si>
  <si>
    <t>001-001-003691</t>
  </si>
  <si>
    <t>001-01-003690</t>
  </si>
  <si>
    <t>001-001-0003977</t>
  </si>
  <si>
    <t>001-001-0003980</t>
  </si>
  <si>
    <t>001-001-003990</t>
  </si>
  <si>
    <t>001-001-0003754</t>
  </si>
  <si>
    <t>FOSFATO DIAMINICO</t>
  </si>
  <si>
    <t>001-001-0005972</t>
  </si>
  <si>
    <t>SALIDA INSUMOS RL SERVICIO LOGISTICO</t>
  </si>
  <si>
    <t>FECHA DE ENVÍO</t>
  </si>
  <si>
    <t>CÓDIGO MATERIAL</t>
  </si>
  <si>
    <t>UNIDADES POR PALETA</t>
  </si>
  <si>
    <t>DOCUMENTO MATERIAL</t>
  </si>
  <si>
    <t>STATUS</t>
  </si>
  <si>
    <t xml:space="preserve">DESTINO </t>
  </si>
  <si>
    <t>ENCARGADO DEL ENVÍO</t>
  </si>
  <si>
    <t>OBSERVACIÓN</t>
  </si>
  <si>
    <t xml:space="preserve">PLANTA /ALMACEN </t>
  </si>
  <si>
    <t>HIRILIO RAMIREZ</t>
  </si>
  <si>
    <t xml:space="preserve">RL </t>
  </si>
  <si>
    <t>MELANIO FLORENTIN</t>
  </si>
  <si>
    <t xml:space="preserve">GHELERE </t>
  </si>
  <si>
    <t>AMBEV BRASIL</t>
  </si>
  <si>
    <t>TIXER</t>
  </si>
  <si>
    <t>CLEVERTON BORSUKO</t>
  </si>
  <si>
    <t xml:space="preserve">EVERTON STCKEL </t>
  </si>
  <si>
    <t>ARNALDO COLMAN</t>
  </si>
  <si>
    <t>JAUSER III</t>
  </si>
  <si>
    <t xml:space="preserve">MAV </t>
  </si>
  <si>
    <t>-</t>
  </si>
  <si>
    <t xml:space="preserve">LUIS </t>
  </si>
  <si>
    <t>COLLARIN PILSEN ANIV 340 CC</t>
  </si>
  <si>
    <t>COLLARIN PILSEN  ANIVERSARIO 940 CC</t>
  </si>
  <si>
    <t xml:space="preserve">IGNACIO CASCO </t>
  </si>
  <si>
    <t>NELSON MEZA</t>
  </si>
  <si>
    <t xml:space="preserve">N </t>
  </si>
  <si>
    <t>LIDER GIMENEZ</t>
  </si>
  <si>
    <t xml:space="preserve">ELEMENTO FILT AFUA SARTORIUS </t>
  </si>
  <si>
    <t>CERVEPAR CHOP</t>
  </si>
  <si>
    <t>ALEXIS PENAYO</t>
  </si>
  <si>
    <t>JUAN OZORIO</t>
  </si>
  <si>
    <t>BLAS LEZCANO</t>
  </si>
  <si>
    <t>jAUSER</t>
  </si>
  <si>
    <t>BLAS LESCANO</t>
  </si>
  <si>
    <t>JOSE BENITEZ</t>
  </si>
  <si>
    <t>BLAS LEDEZMA</t>
  </si>
  <si>
    <t>RICARDO PEÑA</t>
  </si>
  <si>
    <t>ESTUCHE CARTUL.6 BOT BUD 66 330 (MANUAL)</t>
  </si>
  <si>
    <t>ROBERTO RODRIGUEZ</t>
  </si>
  <si>
    <t>COLLARIN BUD 66 550CC</t>
  </si>
  <si>
    <t>INVIPINT</t>
  </si>
  <si>
    <t xml:space="preserve">INVIPINT </t>
  </si>
  <si>
    <t>WILSON LOPEZ</t>
  </si>
  <si>
    <t>CERVECERIA CHILE</t>
  </si>
  <si>
    <t>DIEGO TORRES</t>
  </si>
  <si>
    <t>rl</t>
  </si>
  <si>
    <t>PALLETS INDUSTRIALES</t>
  </si>
  <si>
    <t>INTERLAYER CARTON 119X92MM</t>
  </si>
  <si>
    <t>PALLET INDUSTRIAL</t>
  </si>
  <si>
    <t>SIN CODIGO</t>
  </si>
  <si>
    <t>ROLLOS ETIQUETAS ADHESIVAS</t>
  </si>
  <si>
    <t>FILM TERMOCONTRAIBLE (Capuchón)</t>
  </si>
  <si>
    <t>001-001-0039782</t>
  </si>
  <si>
    <t>JC</t>
  </si>
  <si>
    <t>CBN</t>
  </si>
  <si>
    <t>JOSE CESPEDES</t>
  </si>
  <si>
    <t>ALEJANDRO SOSA</t>
  </si>
  <si>
    <t>OK</t>
  </si>
  <si>
    <t>A:001</t>
  </si>
  <si>
    <t>FADEL</t>
  </si>
  <si>
    <t>EPIFANIO NUNEZ</t>
  </si>
  <si>
    <t>A:002</t>
  </si>
  <si>
    <t>MELISA BOGADO</t>
  </si>
  <si>
    <t>A:003</t>
  </si>
  <si>
    <t>JORGE SOSA</t>
  </si>
  <si>
    <t>A:004</t>
  </si>
  <si>
    <t>FRANCISCO ROJAS</t>
  </si>
  <si>
    <t>A:005</t>
  </si>
  <si>
    <t>RAMON ROMERO</t>
  </si>
  <si>
    <t>A:006</t>
  </si>
  <si>
    <t>ALBERTO ARGUELLO</t>
  </si>
  <si>
    <t>A:007</t>
  </si>
  <si>
    <t>A:008</t>
  </si>
  <si>
    <t>A:009</t>
  </si>
  <si>
    <t>A:010</t>
  </si>
  <si>
    <t>A:011</t>
  </si>
  <si>
    <t>A:012</t>
  </si>
  <si>
    <t>A:013</t>
  </si>
  <si>
    <t>A:014</t>
  </si>
  <si>
    <t>A:015</t>
  </si>
  <si>
    <t>A:016</t>
  </si>
  <si>
    <t>A:017</t>
  </si>
  <si>
    <t>A:018</t>
  </si>
  <si>
    <t>A:019</t>
  </si>
  <si>
    <t>A:020</t>
  </si>
  <si>
    <t>A:021</t>
  </si>
  <si>
    <t>A:022</t>
  </si>
  <si>
    <t>A:023</t>
  </si>
  <si>
    <t>A:024</t>
  </si>
  <si>
    <t>A:025</t>
  </si>
  <si>
    <t>A:026</t>
  </si>
  <si>
    <t>A:027</t>
  </si>
  <si>
    <t>0k</t>
  </si>
  <si>
    <t>A:028</t>
  </si>
  <si>
    <t>A:029</t>
  </si>
  <si>
    <t>8639216527/8639220504</t>
  </si>
  <si>
    <t xml:space="preserve">DEVOLUCION </t>
  </si>
  <si>
    <t>A:030</t>
  </si>
  <si>
    <t>A:031</t>
  </si>
  <si>
    <t>A:032</t>
  </si>
  <si>
    <t>A:033</t>
  </si>
  <si>
    <t>rePROMAQ</t>
  </si>
  <si>
    <t>A:034</t>
  </si>
  <si>
    <t>A:035</t>
  </si>
  <si>
    <t>A:036</t>
  </si>
  <si>
    <t>A:037</t>
  </si>
  <si>
    <t>A:038</t>
  </si>
  <si>
    <t>A:039</t>
  </si>
  <si>
    <t>A:040</t>
  </si>
  <si>
    <t>A:041</t>
  </si>
  <si>
    <t>A:042</t>
  </si>
  <si>
    <t>A:043</t>
  </si>
  <si>
    <t>A:044</t>
  </si>
  <si>
    <t>A:045</t>
  </si>
  <si>
    <t>A:046</t>
  </si>
  <si>
    <t>A:047</t>
  </si>
  <si>
    <t>A:048</t>
  </si>
  <si>
    <t>A:049</t>
  </si>
  <si>
    <t>A:050</t>
  </si>
  <si>
    <t>A:051</t>
  </si>
  <si>
    <t>A:052</t>
  </si>
  <si>
    <t>A:053</t>
  </si>
  <si>
    <t>A:054</t>
  </si>
  <si>
    <t>A:055</t>
  </si>
  <si>
    <t>A:056</t>
  </si>
  <si>
    <t>A:057</t>
  </si>
  <si>
    <t>A:058</t>
  </si>
  <si>
    <t>A:059</t>
  </si>
  <si>
    <t>A:060</t>
  </si>
  <si>
    <t>A:061</t>
  </si>
  <si>
    <t>A:062</t>
  </si>
  <si>
    <t>A:063</t>
  </si>
  <si>
    <t>A:064</t>
  </si>
  <si>
    <t>A:065</t>
  </si>
  <si>
    <t>A:066</t>
  </si>
  <si>
    <t>A:067</t>
  </si>
  <si>
    <t>A:068</t>
  </si>
  <si>
    <t>A:069</t>
  </si>
  <si>
    <t>A:070</t>
  </si>
  <si>
    <t>A:071</t>
  </si>
  <si>
    <t>A:072</t>
  </si>
  <si>
    <t>A:073</t>
  </si>
  <si>
    <t>KF</t>
  </si>
  <si>
    <t>A:074</t>
  </si>
  <si>
    <t>A:075</t>
  </si>
  <si>
    <t>A:076</t>
  </si>
  <si>
    <t>A:077</t>
  </si>
  <si>
    <t>A:078</t>
  </si>
  <si>
    <t>A:079</t>
  </si>
  <si>
    <t>A:080</t>
  </si>
  <si>
    <t>A:081</t>
  </si>
  <si>
    <t>A:082</t>
  </si>
  <si>
    <t xml:space="preserve">BOTELLA BUD 66 275CC flint </t>
  </si>
  <si>
    <t>A:083</t>
  </si>
  <si>
    <t>A:084</t>
  </si>
  <si>
    <t>A:085</t>
  </si>
  <si>
    <t>A:086</t>
  </si>
  <si>
    <t>A:087</t>
  </si>
  <si>
    <t>A:088</t>
  </si>
  <si>
    <t>A:089</t>
  </si>
  <si>
    <t xml:space="preserve">TAPA PARA  710CC S/LEGALES </t>
  </si>
  <si>
    <t>REGULARIZADO</t>
  </si>
  <si>
    <t>l</t>
  </si>
  <si>
    <t>A091</t>
  </si>
  <si>
    <t>A092</t>
  </si>
  <si>
    <t>A093</t>
  </si>
  <si>
    <t>A094</t>
  </si>
  <si>
    <t>A095</t>
  </si>
  <si>
    <t>TAPA CORONA OURO FINO 340CC PPP IR</t>
  </si>
  <si>
    <t>IR</t>
  </si>
  <si>
    <t>TAPA CORONA SKOL  IR</t>
  </si>
  <si>
    <t>TAPA PARA LATA BUD  66 NEGRA Y ROJA IR</t>
  </si>
  <si>
    <t>A096</t>
  </si>
  <si>
    <t>A097</t>
  </si>
  <si>
    <t>A098</t>
  </si>
  <si>
    <t>A099</t>
  </si>
  <si>
    <t>A100</t>
  </si>
  <si>
    <t>A101</t>
  </si>
  <si>
    <t>A102</t>
  </si>
  <si>
    <t>A103</t>
  </si>
  <si>
    <t>A105</t>
  </si>
  <si>
    <t>A106</t>
  </si>
  <si>
    <t>FOIL SKOL 940CCRGB IR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</si>
  <si>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</si>
  <si>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</si>
  <si>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</si>
  <si>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</si>
  <si>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</si>
  <si>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</si>
  <si>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</si>
  <si>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</si>
  <si>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</si>
  <si>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</si>
  <si>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</si>
  <si>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</si>
  <si>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</si>
  <si>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A124</t>
  </si>
  <si>
    <t>A125</t>
  </si>
  <si>
    <t>A127</t>
  </si>
  <si>
    <t>A131</t>
  </si>
  <si>
    <t>A132</t>
  </si>
  <si>
    <t>A133</t>
  </si>
  <si>
    <t>A134</t>
  </si>
  <si>
    <t>a135</t>
  </si>
  <si>
    <t>A136</t>
  </si>
  <si>
    <t>A137</t>
  </si>
  <si>
    <t>A138</t>
  </si>
  <si>
    <t>fadel</t>
  </si>
  <si>
    <t>GABRIEL GIMENEZ</t>
  </si>
  <si>
    <t>omar</t>
  </si>
  <si>
    <t>OMAR NAVARRO</t>
  </si>
  <si>
    <t>OSVALDO</t>
  </si>
  <si>
    <t>se cargo en planta</t>
  </si>
  <si>
    <t>INGRESADO EN PLANTA</t>
  </si>
  <si>
    <t>CAJA DE CARTON PARA BOT BUD 710CC</t>
  </si>
  <si>
    <t>INGREADO EN PLANTA</t>
  </si>
  <si>
    <t>mav</t>
  </si>
  <si>
    <t>PAD DE CARTON BOTELLA 600X6</t>
  </si>
  <si>
    <t>tS</t>
  </si>
  <si>
    <t xml:space="preserve">8728174925/8728174929 </t>
  </si>
  <si>
    <t xml:space="preserve">87281460611/8728174834 </t>
  </si>
  <si>
    <t>REGULARIZADO INGRESO DIRECTO EN PLANTA</t>
  </si>
  <si>
    <t>CONTRA ETIQUETA PILSEN 600 RGB</t>
  </si>
  <si>
    <t>ETIQ CUERPO PILSEN 600CC RGB</t>
  </si>
  <si>
    <t>8728340113/8728559481</t>
  </si>
  <si>
    <t xml:space="preserve">FADEL </t>
  </si>
  <si>
    <t>uu</t>
  </si>
  <si>
    <t>ok</t>
  </si>
  <si>
    <t>MAURA BOGADO</t>
  </si>
  <si>
    <t>RAMON CHENA</t>
  </si>
  <si>
    <t>NESTOR ORTIGOZA</t>
  </si>
  <si>
    <t>ALCIDES CENTURION</t>
  </si>
  <si>
    <t>ABILIO ESPINOZA</t>
  </si>
  <si>
    <t>ISIDORO LEGUIZAMON</t>
  </si>
  <si>
    <t>ISAIAS FERREIRA</t>
  </si>
  <si>
    <t>DIOSNEL BAEZ</t>
  </si>
  <si>
    <t>CELINO LEZCANO</t>
  </si>
  <si>
    <t>OCTAVIO PORTILLO</t>
  </si>
  <si>
    <t>8728575334/8728629681</t>
  </si>
  <si>
    <t>TAPA DORADO + TAB DORADO</t>
  </si>
  <si>
    <t xml:space="preserve">8728644187/8728718065 </t>
  </si>
  <si>
    <t>HERMES STOCKEL</t>
  </si>
  <si>
    <t>ALCIDES BOGADO</t>
  </si>
  <si>
    <t>ESTUCHE MICHELOB 269CC</t>
  </si>
  <si>
    <t>rEGULARIZADO</t>
  </si>
  <si>
    <t>regularizado</t>
  </si>
  <si>
    <t>REgularizado</t>
  </si>
  <si>
    <t>gold</t>
  </si>
  <si>
    <t xml:space="preserve">8729089248/8729175950 </t>
  </si>
  <si>
    <t>pendiente</t>
  </si>
  <si>
    <t>pendiente por falta de ingreso</t>
  </si>
  <si>
    <t>8729089085/8729074252</t>
  </si>
  <si>
    <t xml:space="preserve">pendiente de liberacion </t>
  </si>
  <si>
    <t>pendiente de liberacion</t>
  </si>
  <si>
    <t>pendiente ingreso</t>
  </si>
  <si>
    <t>OBS: EL STOCK DEBE SER ACTUALIZADO A DIARIO, SE PARTE DEL STOCK DEL DÍA LUEGO SUMAMOS O RESTAMOS AL STOCK LOS MOVIMIENTOS DE LOS INSUMOS QUE SE HICIERON EN LA JORNADA</t>
  </si>
  <si>
    <t>FECHA: 15/10/25</t>
  </si>
  <si>
    <t>STOCK INICIO DE JORNADA</t>
  </si>
  <si>
    <t>STOK FINAL DE LA JORNADA</t>
  </si>
  <si>
    <t>BAJADA SAP</t>
  </si>
  <si>
    <t>Paletas</t>
  </si>
  <si>
    <t>Unidades por Paleta</t>
  </si>
  <si>
    <t>Total</t>
  </si>
  <si>
    <t>ENTRADA</t>
  </si>
  <si>
    <t xml:space="preserve"> SALIDA</t>
  </si>
  <si>
    <t>TOTAL JORNADA</t>
  </si>
  <si>
    <t>DIFERENCIA</t>
  </si>
  <si>
    <t>BANDEJA PILSEN EXTRA 4X6 310CC</t>
  </si>
  <si>
    <t>Falta Ingreso y Salidas</t>
  </si>
  <si>
    <t xml:space="preserve">COLLARIN BUD 66 710 </t>
  </si>
  <si>
    <t xml:space="preserve">falta de ingreso </t>
  </si>
  <si>
    <t>COLLARIN PILSEN ÑANDE 340 CC</t>
  </si>
  <si>
    <t>COLORANTE CARAMELO TIPO III</t>
  </si>
  <si>
    <t>CONTRA ETIQUETA BUD66 BRAVE 330CC OW</t>
  </si>
  <si>
    <t>CONTRAETIQUETAPILSEN ÑANDE 340 CC</t>
  </si>
  <si>
    <t>CONTRATIQUETA BUD 66 710</t>
  </si>
  <si>
    <t>ENZIMA LAMINEX G4</t>
  </si>
  <si>
    <t>ETIQ COLLARIN BUD66 BRAVE 330CC OW</t>
  </si>
  <si>
    <t>,</t>
  </si>
  <si>
    <t>ETIQUETA BUD 66 710</t>
  </si>
  <si>
    <t>ETIQUETA BUD 66 710CC RGB PSL LAV</t>
  </si>
  <si>
    <t>ETIQUETA CUERPO BUD66 BRAVE 330CC OW</t>
  </si>
  <si>
    <t xml:space="preserve">FALTA DE LIBERACION </t>
  </si>
  <si>
    <t>ETIQUETA PILSEN ÑANDE 340 CC</t>
  </si>
  <si>
    <t xml:space="preserve">FILM BUD 66 269 </t>
  </si>
  <si>
    <t>Falta de consumo</t>
  </si>
  <si>
    <t>FILM TERM. OURO F. 12 LT  354 S/V 50 MIC</t>
  </si>
  <si>
    <t>FILM TERMOC BUD 66 LT 354 CC D/V</t>
  </si>
  <si>
    <t>FILM TERMOC BUDWEISER ED LTDA 354 CC X12</t>
  </si>
  <si>
    <t>FILM TERMOC. BUD 66 X 6 LT 269 D/V</t>
  </si>
  <si>
    <t>FILM TMC BAVIERA X12 LT 269 D/V 80</t>
  </si>
  <si>
    <t>FILM TMC BRAHMA KCHIPORRO 269CCX6 ED LIM</t>
  </si>
  <si>
    <t>falta ingreso</t>
  </si>
  <si>
    <t>FILM TMC PILSEN 269 CCX12 ED.LIMITADA</t>
  </si>
  <si>
    <t>MERMA POR ROTURA  0,042</t>
  </si>
  <si>
    <t>Falta Regularizar</t>
  </si>
  <si>
    <t>LATA VACIA OURO FINO 354 CC.</t>
  </si>
  <si>
    <t>PAPEL FILTRO S&amp;S 597 1/2 Ø320MM X 100 UN</t>
  </si>
  <si>
    <t>PRECINTO PARA BARRIL S ARTOIS</t>
  </si>
  <si>
    <t>ROT FRONT OURO FINO 940 PAR 2019 CX18MIL</t>
  </si>
  <si>
    <t>ROTULO FRONT BRAHMA PY 940 NIV18 CX18MIL</t>
  </si>
  <si>
    <t>ROTULO NECK BRAHMA PY 940 NIV18 CX70MIL</t>
  </si>
  <si>
    <t>ROTULO PILSEN 340 CC  "CANCHITA "</t>
  </si>
  <si>
    <t>Falta Ingreso</t>
  </si>
  <si>
    <t>TAPA CORONA PILSEN BAJO TAPA 340CC</t>
  </si>
  <si>
    <t>TAPA CORONA PILSEN ÑANDE 330 CC OW</t>
  </si>
  <si>
    <t>220,5/441</t>
  </si>
  <si>
    <t>MEDIDA</t>
  </si>
  <si>
    <t>CATIDAD TOTAL</t>
  </si>
  <si>
    <t>CANTIDAD PALET CP</t>
  </si>
  <si>
    <t>CANTIDAD PALET SC</t>
  </si>
  <si>
    <t>ENVIADO A PLANTA</t>
  </si>
  <si>
    <t>TOTAL REPROCESADO 119</t>
  </si>
  <si>
    <t>TOTAL REPROCESADO 116</t>
  </si>
  <si>
    <t>TOTAL REPROCESADO 115</t>
  </si>
  <si>
    <t>CONTROL DE PALETAS DE INTERLAYERS REPROCESADAS</t>
  </si>
  <si>
    <t>FECHA</t>
  </si>
  <si>
    <t>INTERLAYER 119 CP</t>
  </si>
  <si>
    <t>INTERLAYER 116 CP</t>
  </si>
  <si>
    <t>INTERLAYER 115 CP</t>
  </si>
  <si>
    <t>INTERLAYER 119 SC</t>
  </si>
  <si>
    <t>INTERLAYER 116 SC</t>
  </si>
  <si>
    <t>INTERLAYER 115 SC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</si>
</sst>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 [$€]\ * #,##0.00_ ;_ [$€]\ * \-#,##0.00_ ;_ [$€]\ * &quot;-&quot;??_ ;_ @_ "/>
    <numFmt numFmtId="179" formatCode="_ * #,##0.00_ ;_ * \-#,##0.00_ ;_ * &quot;-&quot;??_ ;_ @_ "/>
    <numFmt numFmtId="180" formatCode="_-* #,##0.00\ _€_-;\-* #,##0.00\ _€_-;_-* &quot;-&quot;??\ _€_-;_-@_-"/>
    <numFmt numFmtId="181" formatCode="_ &quot;$&quot;\ * #,##0.00_ ;_ &quot;$&quot;\ * \-#,##0.00_ ;_ &quot;$&quot;\ * &quot;-&quot;??_ ;_ @_ "/>
    <numFmt numFmtId="182" formatCode="#\ ??/??"/>
    <numFmt numFmtId="183" formatCode="_ * #,##0.000_ ;_ * \-#,##0.000_ ;_ * &quot;-&quot;_ ;_ @_ "/>
    <numFmt numFmtId="184" formatCode="_ * #,##0.000_ ;_ * \-#,##0.000_ ;_ * &quot;-&quot;???_ ;_ @_ "/>
    <numFmt numFmtId="185" formatCode="_ * #,##0.00_ ;_ * \-#,##0.00_ ;_ * &quot;-&quot;_ ;_ @_ "/>
    <numFmt numFmtId="186" formatCode="_-* #,##0_-;\-* #,##0_-;_-* &quot;-&quot;???_-;_-@_-"/>
    <numFmt numFmtId="187" formatCode="_ * #,##0.0000_ ;_ * \-#,##0.0000_ ;_ * &quot;-&quot;_ ;_ @_ "/>
    <numFmt numFmtId="188" formatCode="0.000"/>
  </numFmts>
  <fonts count="78">
    <font>
      <sz val="11"/>
      <color rgb="FF000000"/>
      <name val="Calibri"/>
      <charset val="134"/>
    </font>
    <font>
      <b/>
      <sz val="11"/>
      <color theme="0"/>
      <name val="Calibri"/>
      <charset val="134"/>
    </font>
    <font>
      <b/>
      <sz val="16"/>
      <color theme="0"/>
      <name val="Calibri"/>
      <charset val="134"/>
    </font>
    <font>
      <b/>
      <sz val="11"/>
      <color rgb="FF000000"/>
      <name val="Calibri"/>
      <charset val="134"/>
    </font>
    <font>
      <sz val="11"/>
      <color theme="0"/>
      <name val="Calibri"/>
      <charset val="134"/>
    </font>
    <font>
      <b/>
      <sz val="11"/>
      <color theme="5" tint="-0.249977111117893"/>
      <name val="Calibri"/>
      <charset val="134"/>
    </font>
    <font>
      <b/>
      <sz val="14"/>
      <color rgb="FF000000"/>
      <name val="Calibri"/>
      <charset val="134"/>
    </font>
    <font>
      <b/>
      <sz val="12"/>
      <color rgb="FF000000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11"/>
      <name val="Arial"/>
      <charset val="134"/>
    </font>
    <font>
      <b/>
      <sz val="16"/>
      <color rgb="FF000000"/>
      <name val="Calibri"/>
      <charset val="134"/>
    </font>
    <font>
      <b/>
      <sz val="10"/>
      <color rgb="FF000000"/>
      <name val="Calibri"/>
      <charset val="134"/>
    </font>
    <font>
      <sz val="11"/>
      <color rgb="FFFF0000"/>
      <name val="Calibri"/>
      <charset val="134"/>
    </font>
    <font>
      <i/>
      <sz val="11"/>
      <color rgb="FF000000"/>
      <name val="Calibri"/>
      <charset val="134"/>
    </font>
    <font>
      <sz val="12"/>
      <color rgb="FF000000"/>
      <name val="Calibri"/>
      <charset val="134"/>
    </font>
    <font>
      <sz val="12"/>
      <color theme="1"/>
      <name val="Calibri"/>
      <charset val="134"/>
    </font>
    <font>
      <sz val="12"/>
      <name val="Calibri"/>
      <charset val="134"/>
    </font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b/>
      <sz val="18"/>
      <color theme="3"/>
      <name val="Aptos Display"/>
      <charset val="134"/>
      <scheme val="maj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indexed="8"/>
      <name val="Calibri"/>
      <charset val="134"/>
    </font>
    <font>
      <sz val="11"/>
      <color theme="0"/>
      <name val="Aptos Narrow"/>
      <charset val="134"/>
      <scheme val="minor"/>
    </font>
    <font>
      <sz val="11"/>
      <color indexed="9"/>
      <name val="Calibri"/>
      <charset val="134"/>
    </font>
    <font>
      <sz val="11"/>
      <color indexed="17"/>
      <name val="Calibri"/>
      <charset val="134"/>
    </font>
    <font>
      <sz val="11"/>
      <color rgb="FF006100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indexed="52"/>
      <name val="Calibri"/>
      <charset val="134"/>
    </font>
    <font>
      <b/>
      <sz val="11"/>
      <color theme="0"/>
      <name val="Aptos Narrow"/>
      <charset val="134"/>
      <scheme val="minor"/>
    </font>
    <font>
      <b/>
      <sz val="11"/>
      <color indexed="9"/>
      <name val="Calibri"/>
      <charset val="134"/>
    </font>
    <font>
      <sz val="11"/>
      <color rgb="FFFA7D00"/>
      <name val="Aptos Narrow"/>
      <charset val="134"/>
      <scheme val="minor"/>
    </font>
    <font>
      <sz val="11"/>
      <color indexed="52"/>
      <name val="Calibri"/>
      <charset val="134"/>
    </font>
    <font>
      <b/>
      <sz val="15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b/>
      <sz val="11"/>
      <color indexed="56"/>
      <name val="Calibri"/>
      <charset val="134"/>
    </font>
    <font>
      <sz val="11"/>
      <color rgb="FF3F3F76"/>
      <name val="Aptos Narrow"/>
      <charset val="134"/>
      <scheme val="minor"/>
    </font>
    <font>
      <sz val="11"/>
      <color indexed="62"/>
      <name val="Calibri"/>
      <charset val="134"/>
    </font>
    <font>
      <sz val="10"/>
      <name val="Helv"/>
      <charset val="204"/>
    </font>
    <font>
      <sz val="11"/>
      <color rgb="FF9C0006"/>
      <name val="Aptos Narrow"/>
      <charset val="134"/>
      <scheme val="minor"/>
    </font>
    <font>
      <sz val="11"/>
      <color indexed="20"/>
      <name val="Calibri"/>
      <charset val="134"/>
    </font>
    <font>
      <sz val="10"/>
      <name val="Arial"/>
      <charset val="134"/>
    </font>
    <font>
      <sz val="8"/>
      <name val="Tahoma"/>
      <charset val="134"/>
    </font>
    <font>
      <sz val="11"/>
      <color rgb="FF9C6500"/>
      <name val="Aptos Narrow"/>
      <charset val="134"/>
      <scheme val="minor"/>
    </font>
    <font>
      <sz val="11"/>
      <color indexed="60"/>
      <name val="Calibri"/>
      <charset val="134"/>
    </font>
    <font>
      <b/>
      <sz val="11"/>
      <color rgb="FF3F3F3F"/>
      <name val="Aptos Narrow"/>
      <charset val="134"/>
      <scheme val="minor"/>
    </font>
    <font>
      <b/>
      <sz val="11"/>
      <color indexed="63"/>
      <name val="Calibri"/>
      <charset val="134"/>
    </font>
    <font>
      <sz val="11"/>
      <color rgb="FFFF0000"/>
      <name val="Aptos Narrow"/>
      <charset val="134"/>
      <scheme val="minor"/>
    </font>
    <font>
      <sz val="11"/>
      <color indexed="10"/>
      <name val="Calibri"/>
      <charset val="134"/>
    </font>
    <font>
      <i/>
      <sz val="11"/>
      <color rgb="FF7F7F7F"/>
      <name val="Aptos Narrow"/>
      <charset val="134"/>
      <scheme val="minor"/>
    </font>
    <font>
      <i/>
      <sz val="11"/>
      <color indexed="23"/>
      <name val="Calibri"/>
      <charset val="134"/>
    </font>
    <font>
      <b/>
      <sz val="15"/>
      <color indexed="56"/>
      <name val="Calibri"/>
      <charset val="134"/>
    </font>
    <font>
      <b/>
      <sz val="13"/>
      <color theme="3"/>
      <name val="Aptos Narrow"/>
      <charset val="134"/>
      <scheme val="minor"/>
    </font>
    <font>
      <b/>
      <sz val="13"/>
      <color indexed="56"/>
      <name val="Calibri"/>
      <charset val="134"/>
    </font>
    <font>
      <b/>
      <sz val="18"/>
      <color indexed="56"/>
      <name val="Cambria"/>
      <charset val="134"/>
    </font>
    <font>
      <sz val="18"/>
      <color theme="3"/>
      <name val="Aptos Display"/>
      <charset val="134"/>
      <scheme val="major"/>
    </font>
    <font>
      <b/>
      <sz val="11"/>
      <color theme="1"/>
      <name val="Aptos Narrow"/>
      <charset val="134"/>
      <scheme val="minor"/>
    </font>
    <font>
      <b/>
      <sz val="11"/>
      <color indexed="8"/>
      <name val="Calibri"/>
      <charset val="134"/>
    </font>
    <font>
      <b/>
      <sz val="9"/>
      <name val="Tahoma"/>
      <charset val="134"/>
    </font>
    <font>
      <sz val="9"/>
      <name val="Tahoma"/>
      <charset val="134"/>
    </font>
  </fonts>
  <fills count="82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453">
    <xf numFmtId="0" fontId="0" fillId="0" borderId="0"/>
    <xf numFmtId="176" fontId="18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9" borderId="13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/>
    <xf numFmtId="0" fontId="29" fillId="20" borderId="16" applyNumberFormat="0" applyAlignment="0" applyProtection="0">
      <alignment vertical="center"/>
    </xf>
    <xf numFmtId="0" fontId="30" fillId="21" borderId="17" applyNumberFormat="0" applyAlignment="0" applyProtection="0">
      <alignment vertical="center"/>
    </xf>
    <xf numFmtId="0" fontId="31" fillId="21" borderId="16" applyNumberFormat="0" applyAlignment="0" applyProtection="0">
      <alignment vertical="center"/>
    </xf>
    <xf numFmtId="0" fontId="32" fillId="22" borderId="18" applyNumberFormat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40" fillId="50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40" fillId="5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40" fillId="52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40" fillId="53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40" fillId="54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40" fillId="55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40" fillId="56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40" fillId="57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40" fillId="58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40" fillId="53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40" fillId="56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40" fillId="59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41" fillId="29" borderId="0" applyNumberFormat="0" applyBorder="0" applyAlignment="0" applyProtection="0"/>
    <xf numFmtId="0" fontId="42" fillId="60" borderId="0" applyNumberFormat="0" applyBorder="0" applyAlignment="0" applyProtection="0"/>
    <xf numFmtId="0" fontId="41" fillId="33" borderId="0" applyNumberFormat="0" applyBorder="0" applyAlignment="0" applyProtection="0"/>
    <xf numFmtId="0" fontId="42" fillId="57" borderId="0" applyNumberFormat="0" applyBorder="0" applyAlignment="0" applyProtection="0"/>
    <xf numFmtId="0" fontId="41" fillId="37" borderId="0" applyNumberFormat="0" applyBorder="0" applyAlignment="0" applyProtection="0"/>
    <xf numFmtId="0" fontId="42" fillId="58" borderId="0" applyNumberFormat="0" applyBorder="0" applyAlignment="0" applyProtection="0"/>
    <xf numFmtId="0" fontId="41" fillId="41" borderId="0" applyNumberFormat="0" applyBorder="0" applyAlignment="0" applyProtection="0"/>
    <xf numFmtId="0" fontId="42" fillId="61" borderId="0" applyNumberFormat="0" applyBorder="0" applyAlignment="0" applyProtection="0"/>
    <xf numFmtId="0" fontId="41" fillId="45" borderId="0" applyNumberFormat="0" applyBorder="0" applyAlignment="0" applyProtection="0"/>
    <xf numFmtId="0" fontId="42" fillId="62" borderId="0" applyNumberFormat="0" applyBorder="0" applyAlignment="0" applyProtection="0"/>
    <xf numFmtId="0" fontId="41" fillId="49" borderId="0" applyNumberFormat="0" applyBorder="0" applyAlignment="0" applyProtection="0"/>
    <xf numFmtId="0" fontId="42" fillId="63" borderId="0" applyNumberFormat="0" applyBorder="0" applyAlignment="0" applyProtection="0"/>
    <xf numFmtId="0" fontId="43" fillId="52" borderId="0" applyNumberFormat="0" applyBorder="0" applyAlignment="0" applyProtection="0"/>
    <xf numFmtId="0" fontId="44" fillId="64" borderId="0" applyNumberFormat="0" applyBorder="0" applyAlignment="0" applyProtection="0"/>
    <xf numFmtId="0" fontId="43" fillId="52" borderId="0" applyNumberFormat="0" applyBorder="0" applyAlignment="0" applyProtection="0"/>
    <xf numFmtId="0" fontId="44" fillId="64" borderId="0" applyNumberFormat="0" applyBorder="0" applyAlignment="0" applyProtection="0"/>
    <xf numFmtId="0" fontId="45" fillId="65" borderId="16" applyNumberFormat="0" applyAlignment="0" applyProtection="0"/>
    <xf numFmtId="0" fontId="46" fillId="66" borderId="21" applyNumberFormat="0" applyAlignment="0" applyProtection="0"/>
    <xf numFmtId="0" fontId="47" fillId="67" borderId="18" applyNumberFormat="0" applyAlignment="0" applyProtection="0"/>
    <xf numFmtId="0" fontId="48" fillId="68" borderId="22" applyNumberFormat="0" applyAlignment="0" applyProtection="0"/>
    <xf numFmtId="0" fontId="49" fillId="0" borderId="19" applyNumberFormat="0" applyFill="0" applyAlignment="0" applyProtection="0"/>
    <xf numFmtId="0" fontId="50" fillId="0" borderId="23" applyNumberFormat="0" applyFill="0" applyAlignment="0" applyProtection="0"/>
    <xf numFmtId="0" fontId="51" fillId="0" borderId="24" applyNumberFormat="0" applyFill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1" fillId="11" borderId="0" applyNumberFormat="0" applyBorder="0" applyAlignment="0" applyProtection="0"/>
    <xf numFmtId="0" fontId="42" fillId="69" borderId="0" applyNumberFormat="0" applyBorder="0" applyAlignment="0" applyProtection="0"/>
    <xf numFmtId="0" fontId="41" fillId="7" borderId="0" applyNumberFormat="0" applyBorder="0" applyAlignment="0" applyProtection="0"/>
    <xf numFmtId="0" fontId="42" fillId="70" borderId="0" applyNumberFormat="0" applyBorder="0" applyAlignment="0" applyProtection="0"/>
    <xf numFmtId="0" fontId="41" fillId="71" borderId="0" applyNumberFormat="0" applyBorder="0" applyAlignment="0" applyProtection="0"/>
    <xf numFmtId="0" fontId="42" fillId="72" borderId="0" applyNumberFormat="0" applyBorder="0" applyAlignment="0" applyProtection="0"/>
    <xf numFmtId="0" fontId="41" fillId="17" borderId="0" applyNumberFormat="0" applyBorder="0" applyAlignment="0" applyProtection="0"/>
    <xf numFmtId="0" fontId="42" fillId="61" borderId="0" applyNumberFormat="0" applyBorder="0" applyAlignment="0" applyProtection="0"/>
    <xf numFmtId="0" fontId="41" fillId="73" borderId="0" applyNumberFormat="0" applyBorder="0" applyAlignment="0" applyProtection="0"/>
    <xf numFmtId="0" fontId="42" fillId="62" borderId="0" applyNumberFormat="0" applyBorder="0" applyAlignment="0" applyProtection="0"/>
    <xf numFmtId="0" fontId="41" fillId="74" borderId="0" applyNumberFormat="0" applyBorder="0" applyAlignment="0" applyProtection="0"/>
    <xf numFmtId="0" fontId="42" fillId="75" borderId="0" applyNumberFormat="0" applyBorder="0" applyAlignment="0" applyProtection="0"/>
    <xf numFmtId="0" fontId="54" fillId="76" borderId="16" applyNumberFormat="0" applyAlignment="0" applyProtection="0"/>
    <xf numFmtId="0" fontId="55" fillId="55" borderId="21" applyNumberFormat="0" applyAlignment="0" applyProtection="0"/>
    <xf numFmtId="0" fontId="56" fillId="0" borderId="0"/>
    <xf numFmtId="178" fontId="56" fillId="0" borderId="0" applyFont="0" applyFill="0" applyBorder="0" applyAlignment="0" applyProtection="0"/>
    <xf numFmtId="0" fontId="57" fillId="77" borderId="0" applyNumberFormat="0" applyBorder="0" applyAlignment="0" applyProtection="0"/>
    <xf numFmtId="0" fontId="58" fillId="51" borderId="0" applyNumberFormat="0" applyBorder="0" applyAlignment="0" applyProtection="0"/>
    <xf numFmtId="177" fontId="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0" fillId="0" borderId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80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9" fillId="0" borderId="0" applyFont="0" applyFill="0" applyBorder="0" applyAlignment="0" applyProtection="0"/>
    <xf numFmtId="180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0" fontId="61" fillId="78" borderId="0" applyNumberFormat="0" applyBorder="0" applyAlignment="0" applyProtection="0"/>
    <xf numFmtId="0" fontId="62" fillId="79" borderId="0" applyNumberFormat="0" applyBorder="0" applyAlignment="0" applyProtection="0"/>
    <xf numFmtId="0" fontId="59" fillId="0" borderId="0"/>
    <xf numFmtId="0" fontId="59" fillId="0" borderId="0"/>
    <xf numFmtId="0" fontId="18" fillId="0" borderId="0"/>
    <xf numFmtId="0" fontId="0" fillId="0" borderId="0"/>
    <xf numFmtId="0" fontId="59" fillId="0" borderId="0"/>
    <xf numFmtId="0" fontId="59" fillId="0" borderId="0"/>
    <xf numFmtId="0" fontId="18" fillId="0" borderId="0"/>
    <xf numFmtId="0" fontId="59" fillId="0" borderId="0"/>
    <xf numFmtId="0" fontId="18" fillId="0" borderId="0"/>
    <xf numFmtId="0" fontId="6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9" fillId="0" borderId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59" fillId="81" borderId="25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0" fontId="18" fillId="80" borderId="13" applyNumberFormat="0" applyFont="0" applyAlignment="0" applyProtection="0"/>
    <xf numFmtId="9" fontId="60" fillId="0" borderId="0" applyFont="0" applyFill="0" applyBorder="0" applyAlignment="0" applyProtection="0"/>
    <xf numFmtId="9" fontId="59" fillId="0" borderId="0" applyNumberFormat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63" fillId="65" borderId="17" applyNumberFormat="0" applyAlignment="0" applyProtection="0"/>
    <xf numFmtId="0" fontId="64" fillId="66" borderId="26" applyNumberFormat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51" fillId="0" borderId="24" applyNumberFormat="0" applyFill="0" applyAlignment="0" applyProtection="0"/>
    <xf numFmtId="0" fontId="69" fillId="0" borderId="27" applyNumberFormat="0" applyFill="0" applyAlignment="0" applyProtection="0"/>
    <xf numFmtId="0" fontId="70" fillId="0" borderId="28" applyNumberFormat="0" applyFill="0" applyAlignment="0" applyProtection="0"/>
    <xf numFmtId="0" fontId="71" fillId="0" borderId="29" applyNumberFormat="0" applyFill="0" applyAlignment="0" applyProtection="0"/>
    <xf numFmtId="0" fontId="52" fillId="0" borderId="30" applyNumberFormat="0" applyFill="0" applyAlignment="0" applyProtection="0"/>
    <xf numFmtId="0" fontId="53" fillId="0" borderId="31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20" applyNumberFormat="0" applyFill="0" applyAlignment="0" applyProtection="0"/>
    <xf numFmtId="0" fontId="75" fillId="0" borderId="32" applyNumberFormat="0" applyFill="0" applyAlignment="0" applyProtection="0"/>
  </cellStyleXfs>
  <cellXfs count="17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0" fillId="0" borderId="3" xfId="0" applyBorder="1"/>
    <xf numFmtId="176" fontId="0" fillId="0" borderId="3" xfId="1" applyFont="1" applyBorder="1" applyAlignment="1"/>
    <xf numFmtId="176" fontId="0" fillId="0" borderId="3" xfId="0" applyNumberFormat="1" applyBorder="1"/>
    <xf numFmtId="2" fontId="0" fillId="0" borderId="3" xfId="0" applyNumberFormat="1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3" borderId="1" xfId="0" applyFont="1" applyFill="1" applyBorder="1"/>
    <xf numFmtId="0" fontId="3" fillId="3" borderId="3" xfId="0" applyFont="1" applyFill="1" applyBorder="1"/>
    <xf numFmtId="0" fontId="3" fillId="0" borderId="3" xfId="0" applyFont="1" applyBorder="1"/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/>
    <xf numFmtId="58" fontId="0" fillId="0" borderId="3" xfId="0" applyNumberFormat="1" applyBorder="1" applyAlignment="1">
      <alignment horizontal="center"/>
    </xf>
    <xf numFmtId="176" fontId="0" fillId="0" borderId="1" xfId="1" applyFont="1" applyBorder="1" applyAlignment="1">
      <alignment horizontal="center"/>
    </xf>
    <xf numFmtId="176" fontId="0" fillId="0" borderId="3" xfId="1" applyFont="1" applyBorder="1"/>
    <xf numFmtId="0" fontId="0" fillId="0" borderId="3" xfId="0" applyFont="1" applyBorder="1" applyAlignment="1">
      <alignment horizontal="center"/>
    </xf>
    <xf numFmtId="0" fontId="0" fillId="0" borderId="3" xfId="0" applyFont="1" applyBorder="1"/>
    <xf numFmtId="176" fontId="0" fillId="0" borderId="3" xfId="1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58" fontId="4" fillId="0" borderId="0" xfId="0" applyNumberFormat="1" applyFont="1"/>
    <xf numFmtId="177" fontId="4" fillId="0" borderId="0" xfId="4" applyFont="1" applyFill="1" applyBorder="1"/>
    <xf numFmtId="0" fontId="4" fillId="0" borderId="0" xfId="0" applyFont="1"/>
    <xf numFmtId="58" fontId="0" fillId="0" borderId="9" xfId="0" applyNumberFormat="1" applyBorder="1" applyAlignment="1">
      <alignment horizontal="center"/>
    </xf>
    <xf numFmtId="176" fontId="0" fillId="0" borderId="9" xfId="1" applyFont="1" applyBorder="1" applyAlignment="1">
      <alignment horizontal="center"/>
    </xf>
    <xf numFmtId="176" fontId="0" fillId="0" borderId="9" xfId="1" applyFont="1" applyBorder="1"/>
    <xf numFmtId="0" fontId="0" fillId="0" borderId="9" xfId="0" applyBorder="1"/>
    <xf numFmtId="177" fontId="0" fillId="0" borderId="0" xfId="4" applyFont="1"/>
    <xf numFmtId="58" fontId="0" fillId="0" borderId="0" xfId="0" applyNumberFormat="1" applyAlignment="1">
      <alignment horizontal="center"/>
    </xf>
    <xf numFmtId="177" fontId="0" fillId="0" borderId="0" xfId="2228" applyFont="1"/>
    <xf numFmtId="182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83" fontId="0" fillId="0" borderId="0" xfId="4" applyNumberFormat="1" applyFont="1"/>
    <xf numFmtId="0" fontId="5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5" borderId="3" xfId="0" applyFont="1" applyFill="1" applyBorder="1" applyAlignment="1">
      <alignment horizontal="center" vertical="center"/>
    </xf>
    <xf numFmtId="183" fontId="6" fillId="5" borderId="3" xfId="4" applyNumberFormat="1" applyFont="1" applyFill="1" applyBorder="1" applyAlignment="1">
      <alignment horizontal="center" vertical="center"/>
    </xf>
    <xf numFmtId="183" fontId="6" fillId="6" borderId="3" xfId="4" applyNumberFormat="1" applyFont="1" applyFill="1" applyBorder="1" applyAlignment="1">
      <alignment horizontal="center" vertical="center"/>
    </xf>
    <xf numFmtId="183" fontId="6" fillId="3" borderId="3" xfId="4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right" vertical="center"/>
    </xf>
    <xf numFmtId="0" fontId="7" fillId="4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183" fontId="7" fillId="5" borderId="3" xfId="4" applyNumberFormat="1" applyFont="1" applyFill="1" applyBorder="1" applyAlignment="1">
      <alignment horizontal="center" vertical="center"/>
    </xf>
    <xf numFmtId="183" fontId="7" fillId="6" borderId="3" xfId="4" applyNumberFormat="1" applyFont="1" applyFill="1" applyBorder="1" applyAlignment="1">
      <alignment horizontal="center" vertical="center"/>
    </xf>
    <xf numFmtId="183" fontId="7" fillId="3" borderId="3" xfId="4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183" fontId="0" fillId="0" borderId="3" xfId="2228" applyNumberFormat="1" applyFont="1" applyFill="1" applyBorder="1"/>
    <xf numFmtId="183" fontId="0" fillId="0" borderId="3" xfId="4" applyNumberFormat="1" applyFont="1" applyFill="1" applyBorder="1"/>
    <xf numFmtId="0" fontId="0" fillId="0" borderId="3" xfId="0" applyBorder="1" applyAlignment="1">
      <alignment horizontal="right" vertical="center"/>
    </xf>
    <xf numFmtId="0" fontId="0" fillId="0" borderId="3" xfId="0" applyFill="1" applyBorder="1" applyAlignment="1">
      <alignment horizontal="right"/>
    </xf>
    <xf numFmtId="183" fontId="8" fillId="0" borderId="3" xfId="4" applyNumberFormat="1" applyFont="1" applyFill="1" applyBorder="1" applyAlignment="1">
      <alignment horizontal="right"/>
    </xf>
    <xf numFmtId="184" fontId="0" fillId="0" borderId="0" xfId="0" applyNumberFormat="1"/>
    <xf numFmtId="183" fontId="0" fillId="0" borderId="3" xfId="4" applyNumberFormat="1" applyFont="1" applyFill="1" applyBorder="1" applyAlignment="1">
      <alignment horizontal="center"/>
    </xf>
    <xf numFmtId="183" fontId="0" fillId="3" borderId="3" xfId="4" applyNumberFormat="1" applyFont="1" applyFill="1" applyBorder="1"/>
    <xf numFmtId="183" fontId="0" fillId="0" borderId="3" xfId="4" applyNumberFormat="1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177" fontId="0" fillId="0" borderId="3" xfId="4" applyFont="1" applyBorder="1" applyAlignment="1">
      <alignment horizontal="center"/>
    </xf>
    <xf numFmtId="185" fontId="0" fillId="0" borderId="3" xfId="4" applyNumberFormat="1" applyFont="1" applyBorder="1"/>
    <xf numFmtId="0" fontId="9" fillId="0" borderId="3" xfId="0" applyFont="1" applyBorder="1" applyAlignment="1">
      <alignment horizontal="left"/>
    </xf>
    <xf numFmtId="186" fontId="0" fillId="0" borderId="3" xfId="0" applyNumberFormat="1" applyBorder="1"/>
    <xf numFmtId="183" fontId="10" fillId="0" borderId="3" xfId="2228" applyNumberFormat="1" applyFont="1" applyFill="1" applyBorder="1" applyAlignment="1">
      <alignment horizontal="center" vertical="center" wrapText="1"/>
    </xf>
    <xf numFmtId="183" fontId="0" fillId="0" borderId="3" xfId="4" applyNumberFormat="1" applyFont="1" applyFill="1" applyBorder="1" applyAlignment="1">
      <alignment horizontal="right"/>
    </xf>
    <xf numFmtId="187" fontId="0" fillId="0" borderId="3" xfId="4" applyNumberFormat="1" applyFont="1" applyFill="1" applyBorder="1"/>
    <xf numFmtId="177" fontId="0" fillId="0" borderId="3" xfId="2228" applyFont="1" applyFill="1" applyBorder="1"/>
    <xf numFmtId="0" fontId="8" fillId="0" borderId="3" xfId="0" applyFont="1" applyBorder="1" applyAlignment="1">
      <alignment horizontal="right"/>
    </xf>
    <xf numFmtId="183" fontId="0" fillId="0" borderId="3" xfId="2228" applyNumberFormat="1" applyFont="1" applyFill="1" applyBorder="1" applyAlignment="1">
      <alignment wrapText="1"/>
    </xf>
    <xf numFmtId="0" fontId="8" fillId="0" borderId="3" xfId="0" applyFont="1" applyFill="1" applyBorder="1" applyAlignment="1">
      <alignment horizontal="left"/>
    </xf>
    <xf numFmtId="177" fontId="0" fillId="0" borderId="3" xfId="4" applyFont="1" applyBorder="1"/>
    <xf numFmtId="177" fontId="0" fillId="0" borderId="3" xfId="4" applyFont="1" applyFill="1" applyBorder="1"/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10" xfId="0" applyFont="1" applyBorder="1"/>
    <xf numFmtId="0" fontId="0" fillId="0" borderId="1" xfId="0" applyBorder="1"/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/>
    </xf>
    <xf numFmtId="177" fontId="0" fillId="0" borderId="11" xfId="4" applyFont="1" applyBorder="1"/>
    <xf numFmtId="183" fontId="0" fillId="0" borderId="11" xfId="4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right"/>
    </xf>
    <xf numFmtId="0" fontId="0" fillId="0" borderId="11" xfId="0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12" fillId="8" borderId="3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left" vertical="center" wrapText="1"/>
    </xf>
    <xf numFmtId="177" fontId="12" fillId="8" borderId="3" xfId="4" applyFont="1" applyFill="1" applyBorder="1" applyAlignment="1">
      <alignment horizontal="center" vertical="center" wrapText="1"/>
    </xf>
    <xf numFmtId="183" fontId="12" fillId="8" borderId="3" xfId="4" applyNumberFormat="1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58" fontId="0" fillId="9" borderId="3" xfId="0" applyNumberFormat="1" applyFill="1" applyBorder="1" applyAlignment="1">
      <alignment horizontal="center"/>
    </xf>
    <xf numFmtId="0" fontId="0" fillId="9" borderId="3" xfId="0" applyFill="1" applyBorder="1" applyAlignment="1">
      <alignment horizontal="left"/>
    </xf>
    <xf numFmtId="177" fontId="0" fillId="9" borderId="3" xfId="4" applyFont="1" applyFill="1" applyBorder="1" applyAlignment="1">
      <alignment horizontal="center"/>
    </xf>
    <xf numFmtId="183" fontId="0" fillId="9" borderId="3" xfId="4" applyNumberFormat="1" applyFont="1" applyFill="1" applyBorder="1" applyAlignment="1">
      <alignment horizontal="center"/>
    </xf>
    <xf numFmtId="3" fontId="0" fillId="9" borderId="3" xfId="0" applyNumberFormat="1" applyFill="1" applyBorder="1" applyAlignment="1">
      <alignment horizontal="center"/>
    </xf>
    <xf numFmtId="3" fontId="0" fillId="10" borderId="3" xfId="0" applyNumberFormat="1" applyFill="1" applyBorder="1" applyAlignment="1">
      <alignment horizontal="right"/>
    </xf>
    <xf numFmtId="0" fontId="0" fillId="9" borderId="3" xfId="0" applyFill="1" applyBorder="1" applyAlignment="1">
      <alignment horizontal="center"/>
    </xf>
    <xf numFmtId="0" fontId="0" fillId="10" borderId="3" xfId="0" applyFill="1" applyBorder="1" applyAlignment="1">
      <alignment horizontal="right"/>
    </xf>
    <xf numFmtId="183" fontId="3" fillId="9" borderId="3" xfId="4" applyNumberFormat="1" applyFont="1" applyFill="1" applyBorder="1" applyAlignment="1">
      <alignment horizontal="center"/>
    </xf>
    <xf numFmtId="0" fontId="0" fillId="9" borderId="3" xfId="0" applyFill="1" applyBorder="1" applyAlignment="1">
      <alignment horizontal="right" vertical="center"/>
    </xf>
    <xf numFmtId="177" fontId="0" fillId="0" borderId="3" xfId="4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58" fontId="0" fillId="0" borderId="3" xfId="2286" applyNumberFormat="1" applyFont="1" applyBorder="1" applyAlignment="1">
      <alignment horizontal="center"/>
    </xf>
    <xf numFmtId="0" fontId="0" fillId="0" borderId="3" xfId="2286" applyFont="1" applyBorder="1" applyAlignment="1">
      <alignment horizontal="right"/>
    </xf>
    <xf numFmtId="0" fontId="0" fillId="0" borderId="3" xfId="2286" applyFont="1" applyBorder="1" applyAlignment="1">
      <alignment horizontal="center"/>
    </xf>
    <xf numFmtId="0" fontId="0" fillId="0" borderId="3" xfId="2286" applyFont="1" applyBorder="1" applyAlignment="1">
      <alignment horizontal="left"/>
    </xf>
    <xf numFmtId="0" fontId="0" fillId="0" borderId="3" xfId="2286" applyFont="1" applyBorder="1"/>
    <xf numFmtId="3" fontId="0" fillId="9" borderId="3" xfId="2286" applyNumberFormat="1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183" fontId="8" fillId="9" borderId="3" xfId="2228" applyNumberFormat="1" applyFont="1" applyFill="1" applyBorder="1" applyAlignment="1">
      <alignment horizontal="center"/>
    </xf>
    <xf numFmtId="58" fontId="14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right" vertical="center"/>
    </xf>
    <xf numFmtId="183" fontId="8" fillId="9" borderId="3" xfId="4" applyNumberFormat="1" applyFont="1" applyFill="1" applyBorder="1" applyAlignment="1">
      <alignment horizontal="right"/>
    </xf>
    <xf numFmtId="183" fontId="0" fillId="0" borderId="3" xfId="4" applyNumberFormat="1" applyFont="1" applyBorder="1"/>
    <xf numFmtId="0" fontId="8" fillId="0" borderId="3" xfId="0" applyFont="1" applyBorder="1" applyAlignment="1">
      <alignment horizontal="center"/>
    </xf>
    <xf numFmtId="0" fontId="9" fillId="0" borderId="3" xfId="0" applyFont="1" applyBorder="1" applyAlignment="1">
      <alignment horizontal="right"/>
    </xf>
    <xf numFmtId="177" fontId="8" fillId="0" borderId="3" xfId="4" applyFont="1" applyBorder="1" applyAlignment="1">
      <alignment horizontal="center"/>
    </xf>
    <xf numFmtId="183" fontId="8" fillId="0" borderId="3" xfId="4" applyNumberFormat="1" applyFont="1" applyBorder="1" applyAlignment="1">
      <alignment horizontal="center"/>
    </xf>
    <xf numFmtId="185" fontId="0" fillId="0" borderId="3" xfId="4" applyNumberFormat="1" applyFont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7" borderId="3" xfId="0" applyFill="1" applyBorder="1" applyAlignment="1">
      <alignment horizontal="right" vertical="center"/>
    </xf>
    <xf numFmtId="0" fontId="0" fillId="3" borderId="3" xfId="0" applyFill="1" applyBorder="1" applyAlignment="1">
      <alignment horizontal="left"/>
    </xf>
    <xf numFmtId="183" fontId="0" fillId="12" borderId="3" xfId="4" applyNumberFormat="1" applyFont="1" applyFill="1" applyBorder="1" applyAlignment="1">
      <alignment horizontal="center"/>
    </xf>
    <xf numFmtId="185" fontId="0" fillId="0" borderId="0" xfId="4" applyNumberFormat="1" applyFont="1"/>
    <xf numFmtId="0" fontId="3" fillId="8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right" vertical="center" wrapText="1"/>
    </xf>
    <xf numFmtId="185" fontId="3" fillId="8" borderId="3" xfId="4" applyNumberFormat="1" applyFon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58" fontId="9" fillId="7" borderId="3" xfId="0" applyNumberFormat="1" applyFont="1" applyFill="1" applyBorder="1" applyAlignment="1">
      <alignment horizontal="center"/>
    </xf>
    <xf numFmtId="185" fontId="0" fillId="7" borderId="3" xfId="4" applyNumberFormat="1" applyFont="1" applyFill="1" applyBorder="1"/>
    <xf numFmtId="58" fontId="0" fillId="7" borderId="3" xfId="0" applyNumberForma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14" borderId="3" xfId="0" applyFill="1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15" borderId="3" xfId="0" applyFill="1" applyBorder="1"/>
    <xf numFmtId="0" fontId="0" fillId="7" borderId="3" xfId="0" applyFill="1" applyBorder="1"/>
    <xf numFmtId="0" fontId="0" fillId="8" borderId="0" xfId="0" applyFill="1"/>
    <xf numFmtId="188" fontId="0" fillId="7" borderId="0" xfId="0" applyNumberFormat="1" applyFill="1"/>
    <xf numFmtId="0" fontId="7" fillId="4" borderId="3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right"/>
    </xf>
    <xf numFmtId="177" fontId="0" fillId="0" borderId="0" xfId="4" applyFont="1" applyFill="1" applyBorder="1"/>
    <xf numFmtId="0" fontId="15" fillId="0" borderId="0" xfId="0" applyFont="1" applyAlignment="1">
      <alignment horizontal="center"/>
    </xf>
    <xf numFmtId="0" fontId="16" fillId="3" borderId="0" xfId="0" applyFont="1" applyFill="1" applyAlignment="1">
      <alignment horizontal="left"/>
    </xf>
    <xf numFmtId="177" fontId="0" fillId="0" borderId="0" xfId="4" applyFont="1" applyBorder="1"/>
    <xf numFmtId="0" fontId="15" fillId="0" borderId="3" xfId="0" applyFont="1" applyBorder="1" applyAlignment="1">
      <alignment horizontal="center"/>
    </xf>
    <xf numFmtId="0" fontId="16" fillId="16" borderId="3" xfId="0" applyFont="1" applyFill="1" applyBorder="1" applyAlignment="1">
      <alignment horizontal="left"/>
    </xf>
    <xf numFmtId="0" fontId="7" fillId="4" borderId="9" xfId="0" applyFont="1" applyFill="1" applyBorder="1" applyAlignment="1">
      <alignment horizontal="center" vertical="center"/>
    </xf>
    <xf numFmtId="177" fontId="0" fillId="0" borderId="3" xfId="4" applyFont="1" applyFill="1" applyBorder="1" applyAlignment="1">
      <alignment horizontal="center"/>
    </xf>
    <xf numFmtId="177" fontId="15" fillId="0" borderId="3" xfId="4" applyFont="1" applyFill="1" applyBorder="1" applyAlignment="1">
      <alignment horizontal="center"/>
    </xf>
    <xf numFmtId="0" fontId="17" fillId="0" borderId="1" xfId="0" applyFont="1" applyBorder="1" applyAlignment="1">
      <alignment horizontal="left"/>
    </xf>
    <xf numFmtId="184" fontId="0" fillId="0" borderId="3" xfId="0" applyNumberFormat="1" applyBorder="1"/>
    <xf numFmtId="0" fontId="7" fillId="4" borderId="0" xfId="0" applyFont="1" applyFill="1" applyAlignment="1">
      <alignment horizontal="center" vertical="center"/>
    </xf>
    <xf numFmtId="58" fontId="0" fillId="0" borderId="3" xfId="0" applyNumberFormat="1" applyBorder="1"/>
    <xf numFmtId="0" fontId="3" fillId="17" borderId="0" xfId="0" applyFont="1" applyFill="1" applyAlignment="1">
      <alignment horizontal="center"/>
    </xf>
    <xf numFmtId="0" fontId="3" fillId="18" borderId="3" xfId="0" applyFont="1" applyFill="1" applyBorder="1" applyAlignment="1">
      <alignment horizontal="center"/>
    </xf>
    <xf numFmtId="0" fontId="0" fillId="18" borderId="3" xfId="0" applyFill="1" applyBorder="1"/>
    <xf numFmtId="0" fontId="0" fillId="18" borderId="3" xfId="0" applyFill="1" applyBorder="1" applyAlignment="1">
      <alignment wrapText="1"/>
    </xf>
    <xf numFmtId="0" fontId="16" fillId="0" borderId="3" xfId="0" applyFont="1" applyBorder="1" applyAlignment="1">
      <alignment horizontal="left"/>
    </xf>
  </cellXfs>
  <cellStyles count="2453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20% - Énfasis1 10" xfId="49"/>
    <cellStyle name="20% - Énfasis1 10 2" xfId="50"/>
    <cellStyle name="20% - Énfasis1 10_Entrada" xfId="51"/>
    <cellStyle name="20% - Énfasis1 11" xfId="52"/>
    <cellStyle name="20% - Énfasis1 11 2" xfId="53"/>
    <cellStyle name="20% - Énfasis1 11_Entrada" xfId="54"/>
    <cellStyle name="20% - Énfasis1 12" xfId="55"/>
    <cellStyle name="20% - Énfasis1 12 2" xfId="56"/>
    <cellStyle name="20% - Énfasis1 12_Entrada" xfId="57"/>
    <cellStyle name="20% - Énfasis1 13" xfId="58"/>
    <cellStyle name="20% - Énfasis1 13 2" xfId="59"/>
    <cellStyle name="20% - Énfasis1 13_Entrada" xfId="60"/>
    <cellStyle name="20% - Énfasis1 14" xfId="61"/>
    <cellStyle name="20% - Énfasis1 14 2" xfId="62"/>
    <cellStyle name="20% - Énfasis1 14_Entrada" xfId="63"/>
    <cellStyle name="20% - Énfasis1 15" xfId="64"/>
    <cellStyle name="20% - Énfasis1 15 2" xfId="65"/>
    <cellStyle name="20% - Énfasis1 15_Entrada" xfId="66"/>
    <cellStyle name="20% - Énfasis1 16" xfId="67"/>
    <cellStyle name="20% - Énfasis1 16 2" xfId="68"/>
    <cellStyle name="20% - Énfasis1 16_Entrada" xfId="69"/>
    <cellStyle name="20% - Énfasis1 17" xfId="70"/>
    <cellStyle name="20% - Énfasis1 17 2" xfId="71"/>
    <cellStyle name="20% - Énfasis1 17_Entrada" xfId="72"/>
    <cellStyle name="20% - Énfasis1 18" xfId="73"/>
    <cellStyle name="20% - Énfasis1 18 2" xfId="74"/>
    <cellStyle name="20% - Énfasis1 18_Entrada" xfId="75"/>
    <cellStyle name="20% - Énfasis1 19" xfId="76"/>
    <cellStyle name="20% - Énfasis1 19 2" xfId="77"/>
    <cellStyle name="20% - Énfasis1 19_Entrada" xfId="78"/>
    <cellStyle name="20% - Énfasis1 2" xfId="79"/>
    <cellStyle name="20% - Énfasis1 2 2" xfId="80"/>
    <cellStyle name="20% - Énfasis1 2_Entrada" xfId="81"/>
    <cellStyle name="20% - Énfasis1 20" xfId="82"/>
    <cellStyle name="20% - Énfasis1 20 2" xfId="83"/>
    <cellStyle name="20% - Énfasis1 20_Entrada" xfId="84"/>
    <cellStyle name="20% - Énfasis1 21" xfId="85"/>
    <cellStyle name="20% - Énfasis1 21 2" xfId="86"/>
    <cellStyle name="20% - Énfasis1 21_Entrada" xfId="87"/>
    <cellStyle name="20% - Énfasis1 22" xfId="88"/>
    <cellStyle name="20% - Énfasis1 22 2" xfId="89"/>
    <cellStyle name="20% - Énfasis1 22_Entrada" xfId="90"/>
    <cellStyle name="20% - Énfasis1 23" xfId="91"/>
    <cellStyle name="20% - Énfasis1 23 2" xfId="92"/>
    <cellStyle name="20% - Énfasis1 23_Entrada" xfId="93"/>
    <cellStyle name="20% - Énfasis1 24" xfId="94"/>
    <cellStyle name="20% - Énfasis1 24 2" xfId="95"/>
    <cellStyle name="20% - Énfasis1 24_Entrada" xfId="96"/>
    <cellStyle name="20% - Énfasis1 25" xfId="97"/>
    <cellStyle name="20% - Énfasis1 25 2" xfId="98"/>
    <cellStyle name="20% - Énfasis1 25_Entrada" xfId="99"/>
    <cellStyle name="20% - Énfasis1 26" xfId="100"/>
    <cellStyle name="20% - Énfasis1 26 2" xfId="101"/>
    <cellStyle name="20% - Énfasis1 26_Entrada" xfId="102"/>
    <cellStyle name="20% - Énfasis1 27" xfId="103"/>
    <cellStyle name="20% - Énfasis1 27 2" xfId="104"/>
    <cellStyle name="20% - Énfasis1 27_Entrada" xfId="105"/>
    <cellStyle name="20% - Énfasis1 28" xfId="106"/>
    <cellStyle name="20% - Énfasis1 28 2" xfId="107"/>
    <cellStyle name="20% - Énfasis1 28_Entrada" xfId="108"/>
    <cellStyle name="20% - Énfasis1 29" xfId="109"/>
    <cellStyle name="20% - Énfasis1 29 2" xfId="110"/>
    <cellStyle name="20% - Énfasis1 29_Entrada" xfId="111"/>
    <cellStyle name="20% - Énfasis1 3" xfId="112"/>
    <cellStyle name="20% - Énfasis1 3 2" xfId="113"/>
    <cellStyle name="20% - Énfasis1 3 3" xfId="114"/>
    <cellStyle name="20% - Énfasis1 30" xfId="115"/>
    <cellStyle name="20% - Énfasis1 30 2" xfId="116"/>
    <cellStyle name="20% - Énfasis1 30_Entrada" xfId="117"/>
    <cellStyle name="20% - Énfasis1 31" xfId="118"/>
    <cellStyle name="20% - Énfasis1 31 2" xfId="119"/>
    <cellStyle name="20% - Énfasis1 31_Entrada" xfId="120"/>
    <cellStyle name="20% - Énfasis1 32" xfId="121"/>
    <cellStyle name="20% - Énfasis1 32 2" xfId="122"/>
    <cellStyle name="20% - Énfasis1 32_Entrada" xfId="123"/>
    <cellStyle name="20% - Énfasis1 33" xfId="124"/>
    <cellStyle name="20% - Énfasis1 33 2" xfId="125"/>
    <cellStyle name="20% - Énfasis1 33_Entrada" xfId="126"/>
    <cellStyle name="20% - Énfasis1 34" xfId="127"/>
    <cellStyle name="20% - Énfasis1 34 2" xfId="128"/>
    <cellStyle name="20% - Énfasis1 34_Entrada" xfId="129"/>
    <cellStyle name="20% - Énfasis1 35" xfId="130"/>
    <cellStyle name="20% - Énfasis1 35 2" xfId="131"/>
    <cellStyle name="20% - Énfasis1 35_Entrada" xfId="132"/>
    <cellStyle name="20% - Énfasis1 36" xfId="133"/>
    <cellStyle name="20% - Énfasis1 36 2" xfId="134"/>
    <cellStyle name="20% - Énfasis1 36_Entrada" xfId="135"/>
    <cellStyle name="20% - Énfasis1 37" xfId="136"/>
    <cellStyle name="20% - Énfasis1 37 2" xfId="137"/>
    <cellStyle name="20% - Énfasis1 37_Entrada" xfId="138"/>
    <cellStyle name="20% - Énfasis1 38" xfId="139"/>
    <cellStyle name="20% - Énfasis1 38 2" xfId="140"/>
    <cellStyle name="20% - Énfasis1 38_Entrada" xfId="141"/>
    <cellStyle name="20% - Énfasis1 39" xfId="142"/>
    <cellStyle name="20% - Énfasis1 39 2" xfId="143"/>
    <cellStyle name="20% - Énfasis1 39_Entrada" xfId="144"/>
    <cellStyle name="20% - Énfasis1 4" xfId="145"/>
    <cellStyle name="20% - Énfasis1 4 2" xfId="146"/>
    <cellStyle name="20% - Énfasis1 4_Entrada" xfId="147"/>
    <cellStyle name="20% - Énfasis1 40" xfId="148"/>
    <cellStyle name="20% - Énfasis1 40 2" xfId="149"/>
    <cellStyle name="20% - Énfasis1 40_Entrada" xfId="150"/>
    <cellStyle name="20% - Énfasis1 41" xfId="151"/>
    <cellStyle name="20% - Énfasis1 41 2" xfId="152"/>
    <cellStyle name="20% - Énfasis1 41_Entrada" xfId="153"/>
    <cellStyle name="20% - Énfasis1 42" xfId="154"/>
    <cellStyle name="20% - Énfasis1 42 2" xfId="155"/>
    <cellStyle name="20% - Énfasis1 42_Entrada" xfId="156"/>
    <cellStyle name="20% - Énfasis1 43" xfId="157"/>
    <cellStyle name="20% - Énfasis1 43 2" xfId="158"/>
    <cellStyle name="20% - Énfasis1 43_Entrada" xfId="159"/>
    <cellStyle name="20% - Énfasis1 44" xfId="160"/>
    <cellStyle name="20% - Énfasis1 44 2" xfId="161"/>
    <cellStyle name="20% - Énfasis1 44_Entrada" xfId="162"/>
    <cellStyle name="20% - Énfasis1 45" xfId="163"/>
    <cellStyle name="20% - Énfasis1 45 2" xfId="164"/>
    <cellStyle name="20% - Énfasis1 45_Entrada" xfId="165"/>
    <cellStyle name="20% - Énfasis1 46" xfId="166"/>
    <cellStyle name="20% - Énfasis1 46 2" xfId="167"/>
    <cellStyle name="20% - Énfasis1 46_Entrada" xfId="168"/>
    <cellStyle name="20% - Énfasis1 47" xfId="169"/>
    <cellStyle name="20% - Énfasis1 47 2" xfId="170"/>
    <cellStyle name="20% - Énfasis1 47_Entrada" xfId="171"/>
    <cellStyle name="20% - Énfasis1 48" xfId="172"/>
    <cellStyle name="20% - Énfasis1 48 2" xfId="173"/>
    <cellStyle name="20% - Énfasis1 48_Entrada" xfId="174"/>
    <cellStyle name="20% - Énfasis1 49" xfId="175"/>
    <cellStyle name="20% - Énfasis1 49 2" xfId="176"/>
    <cellStyle name="20% - Énfasis1 49_Entrada" xfId="177"/>
    <cellStyle name="20% - Énfasis1 5" xfId="178"/>
    <cellStyle name="20% - Énfasis1 5 2" xfId="179"/>
    <cellStyle name="20% - Énfasis1 5_Entrada" xfId="180"/>
    <cellStyle name="20% - Énfasis1 50" xfId="181"/>
    <cellStyle name="20% - Énfasis1 50 2" xfId="182"/>
    <cellStyle name="20% - Énfasis1 50_Entrada" xfId="183"/>
    <cellStyle name="20% - Énfasis1 51" xfId="184"/>
    <cellStyle name="20% - Énfasis1 51 2" xfId="185"/>
    <cellStyle name="20% - Énfasis1 51_Entrada" xfId="186"/>
    <cellStyle name="20% - Énfasis1 52" xfId="187"/>
    <cellStyle name="20% - Énfasis1 52 2" xfId="188"/>
    <cellStyle name="20% - Énfasis1 52_Entrada" xfId="189"/>
    <cellStyle name="20% - Énfasis1 53" xfId="190"/>
    <cellStyle name="20% - Énfasis1 53 2" xfId="191"/>
    <cellStyle name="20% - Énfasis1 53_Entrada" xfId="192"/>
    <cellStyle name="20% - Énfasis1 54" xfId="193"/>
    <cellStyle name="20% - Énfasis1 54 2" xfId="194"/>
    <cellStyle name="20% - Énfasis1 54_Entrada" xfId="195"/>
    <cellStyle name="20% - Énfasis1 55" xfId="196"/>
    <cellStyle name="20% - Énfasis1 55 2" xfId="197"/>
    <cellStyle name="20% - Énfasis1 55_Entrada" xfId="198"/>
    <cellStyle name="20% - Énfasis1 56" xfId="199"/>
    <cellStyle name="20% - Énfasis1 56 2" xfId="200"/>
    <cellStyle name="20% - Énfasis1 56_Entrada" xfId="201"/>
    <cellStyle name="20% - Énfasis1 57" xfId="202"/>
    <cellStyle name="20% - Énfasis1 57 2" xfId="203"/>
    <cellStyle name="20% - Énfasis1 57_Entrada" xfId="204"/>
    <cellStyle name="20% - Énfasis1 58" xfId="205"/>
    <cellStyle name="20% - Énfasis1 58 2" xfId="206"/>
    <cellStyle name="20% - Énfasis1 58_Entrada" xfId="207"/>
    <cellStyle name="20% - Énfasis1 59" xfId="208"/>
    <cellStyle name="20% - Énfasis1 59 2" xfId="209"/>
    <cellStyle name="20% - Énfasis1 59_Entrada" xfId="210"/>
    <cellStyle name="20% - Énfasis1 6" xfId="211"/>
    <cellStyle name="20% - Énfasis1 6 2" xfId="212"/>
    <cellStyle name="20% - Énfasis1 6_Entrada" xfId="213"/>
    <cellStyle name="20% - Énfasis1 60" xfId="214"/>
    <cellStyle name="20% - Énfasis1 60 2" xfId="215"/>
    <cellStyle name="20% - Énfasis1 60_Entrada" xfId="216"/>
    <cellStyle name="20% - Énfasis1 61" xfId="217"/>
    <cellStyle name="20% - Énfasis1 7" xfId="218"/>
    <cellStyle name="20% - Énfasis1 7 2" xfId="219"/>
    <cellStyle name="20% - Énfasis1 7_Entrada" xfId="220"/>
    <cellStyle name="20% - Énfasis1 8" xfId="221"/>
    <cellStyle name="20% - Énfasis1 8 2" xfId="222"/>
    <cellStyle name="20% - Énfasis1 8_Entrada" xfId="223"/>
    <cellStyle name="20% - Énfasis1 9" xfId="224"/>
    <cellStyle name="20% - Énfasis1 9 2" xfId="225"/>
    <cellStyle name="20% - Énfasis1 9_Entrada" xfId="226"/>
    <cellStyle name="20% - Énfasis2 10" xfId="227"/>
    <cellStyle name="20% - Énfasis2 10 2" xfId="228"/>
    <cellStyle name="20% - Énfasis2 10_Entrada" xfId="229"/>
    <cellStyle name="20% - Énfasis2 11" xfId="230"/>
    <cellStyle name="20% - Énfasis2 11 2" xfId="231"/>
    <cellStyle name="20% - Énfasis2 11_Entrada" xfId="232"/>
    <cellStyle name="20% - Énfasis2 12" xfId="233"/>
    <cellStyle name="20% - Énfasis2 12 2" xfId="234"/>
    <cellStyle name="20% - Énfasis2 12_Entrada" xfId="235"/>
    <cellStyle name="20% - Énfasis2 13" xfId="236"/>
    <cellStyle name="20% - Énfasis2 13 2" xfId="237"/>
    <cellStyle name="20% - Énfasis2 13_Entrada" xfId="238"/>
    <cellStyle name="20% - Énfasis2 14" xfId="239"/>
    <cellStyle name="20% - Énfasis2 14 2" xfId="240"/>
    <cellStyle name="20% - Énfasis2 14_Entrada" xfId="241"/>
    <cellStyle name="20% - Énfasis2 15" xfId="242"/>
    <cellStyle name="20% - Énfasis2 15 2" xfId="243"/>
    <cellStyle name="20% - Énfasis2 15_Entrada" xfId="244"/>
    <cellStyle name="20% - Énfasis2 16" xfId="245"/>
    <cellStyle name="20% - Énfasis2 16 2" xfId="246"/>
    <cellStyle name="20% - Énfasis2 16_Entrada" xfId="247"/>
    <cellStyle name="20% - Énfasis2 17" xfId="248"/>
    <cellStyle name="20% - Énfasis2 17 2" xfId="249"/>
    <cellStyle name="20% - Énfasis2 17_Entrada" xfId="250"/>
    <cellStyle name="20% - Énfasis2 18" xfId="251"/>
    <cellStyle name="20% - Énfasis2 18 2" xfId="252"/>
    <cellStyle name="20% - Énfasis2 18_Entrada" xfId="253"/>
    <cellStyle name="20% - Énfasis2 19" xfId="254"/>
    <cellStyle name="20% - Énfasis2 19 2" xfId="255"/>
    <cellStyle name="20% - Énfasis2 19_Entrada" xfId="256"/>
    <cellStyle name="20% - Énfasis2 2" xfId="257"/>
    <cellStyle name="20% - Énfasis2 2 2" xfId="258"/>
    <cellStyle name="20% - Énfasis2 2_Entrada" xfId="259"/>
    <cellStyle name="20% - Énfasis2 20" xfId="260"/>
    <cellStyle name="20% - Énfasis2 20 2" xfId="261"/>
    <cellStyle name="20% - Énfasis2 20_Entrada" xfId="262"/>
    <cellStyle name="20% - Énfasis2 21" xfId="263"/>
    <cellStyle name="20% - Énfasis2 21 2" xfId="264"/>
    <cellStyle name="20% - Énfasis2 21_Entrada" xfId="265"/>
    <cellStyle name="20% - Énfasis2 22" xfId="266"/>
    <cellStyle name="20% - Énfasis2 22 2" xfId="267"/>
    <cellStyle name="20% - Énfasis2 22_Entrada" xfId="268"/>
    <cellStyle name="20% - Énfasis2 23" xfId="269"/>
    <cellStyle name="20% - Énfasis2 23 2" xfId="270"/>
    <cellStyle name="20% - Énfasis2 23_Entrada" xfId="271"/>
    <cellStyle name="20% - Énfasis2 24" xfId="272"/>
    <cellStyle name="20% - Énfasis2 24 2" xfId="273"/>
    <cellStyle name="20% - Énfasis2 24_Entrada" xfId="274"/>
    <cellStyle name="20% - Énfasis2 25" xfId="275"/>
    <cellStyle name="20% - Énfasis2 25 2" xfId="276"/>
    <cellStyle name="20% - Énfasis2 25_Entrada" xfId="277"/>
    <cellStyle name="20% - Énfasis2 26" xfId="278"/>
    <cellStyle name="20% - Énfasis2 26 2" xfId="279"/>
    <cellStyle name="20% - Énfasis2 26_Entrada" xfId="280"/>
    <cellStyle name="20% - Énfasis2 27" xfId="281"/>
    <cellStyle name="20% - Énfasis2 27 2" xfId="282"/>
    <cellStyle name="20% - Énfasis2 27_Entrada" xfId="283"/>
    <cellStyle name="20% - Énfasis2 28" xfId="284"/>
    <cellStyle name="20% - Énfasis2 28 2" xfId="285"/>
    <cellStyle name="20% - Énfasis2 28_Entrada" xfId="286"/>
    <cellStyle name="20% - Énfasis2 29" xfId="287"/>
    <cellStyle name="20% - Énfasis2 29 2" xfId="288"/>
    <cellStyle name="20% - Énfasis2 29_Entrada" xfId="289"/>
    <cellStyle name="20% - Énfasis2 3" xfId="290"/>
    <cellStyle name="20% - Énfasis2 3 2" xfId="291"/>
    <cellStyle name="20% - Énfasis2 3 3" xfId="292"/>
    <cellStyle name="20% - Énfasis2 30" xfId="293"/>
    <cellStyle name="20% - Énfasis2 30 2" xfId="294"/>
    <cellStyle name="20% - Énfasis2 30_Entrada" xfId="295"/>
    <cellStyle name="20% - Énfasis2 31" xfId="296"/>
    <cellStyle name="20% - Énfasis2 31 2" xfId="297"/>
    <cellStyle name="20% - Énfasis2 31_Entrada" xfId="298"/>
    <cellStyle name="20% - Énfasis2 32" xfId="299"/>
    <cellStyle name="20% - Énfasis2 32 2" xfId="300"/>
    <cellStyle name="20% - Énfasis2 32_Entrada" xfId="301"/>
    <cellStyle name="20% - Énfasis2 33" xfId="302"/>
    <cellStyle name="20% - Énfasis2 33 2" xfId="303"/>
    <cellStyle name="20% - Énfasis2 33_Entrada" xfId="304"/>
    <cellStyle name="20% - Énfasis2 34" xfId="305"/>
    <cellStyle name="20% - Énfasis2 34 2" xfId="306"/>
    <cellStyle name="20% - Énfasis2 34_Entrada" xfId="307"/>
    <cellStyle name="20% - Énfasis2 35" xfId="308"/>
    <cellStyle name="20% - Énfasis2 35 2" xfId="309"/>
    <cellStyle name="20% - Énfasis2 35_Entrada" xfId="310"/>
    <cellStyle name="20% - Énfasis2 36" xfId="311"/>
    <cellStyle name="20% - Énfasis2 36 2" xfId="312"/>
    <cellStyle name="20% - Énfasis2 36_Entrada" xfId="313"/>
    <cellStyle name="20% - Énfasis2 37" xfId="314"/>
    <cellStyle name="20% - Énfasis2 37 2" xfId="315"/>
    <cellStyle name="20% - Énfasis2 37_Entrada" xfId="316"/>
    <cellStyle name="20% - Énfasis2 38" xfId="317"/>
    <cellStyle name="20% - Énfasis2 38 2" xfId="318"/>
    <cellStyle name="20% - Énfasis2 38_Entrada" xfId="319"/>
    <cellStyle name="20% - Énfasis2 39" xfId="320"/>
    <cellStyle name="20% - Énfasis2 39 2" xfId="321"/>
    <cellStyle name="20% - Énfasis2 39_Entrada" xfId="322"/>
    <cellStyle name="20% - Énfasis2 4" xfId="323"/>
    <cellStyle name="20% - Énfasis2 4 2" xfId="324"/>
    <cellStyle name="20% - Énfasis2 4_Entrada" xfId="325"/>
    <cellStyle name="20% - Énfasis2 40" xfId="326"/>
    <cellStyle name="20% - Énfasis2 40 2" xfId="327"/>
    <cellStyle name="20% - Énfasis2 40_Entrada" xfId="328"/>
    <cellStyle name="20% - Énfasis2 41" xfId="329"/>
    <cellStyle name="20% - Énfasis2 41 2" xfId="330"/>
    <cellStyle name="20% - Énfasis2 41_Entrada" xfId="331"/>
    <cellStyle name="20% - Énfasis2 42" xfId="332"/>
    <cellStyle name="20% - Énfasis2 42 2" xfId="333"/>
    <cellStyle name="20% - Énfasis2 42_Entrada" xfId="334"/>
    <cellStyle name="20% - Énfasis2 43" xfId="335"/>
    <cellStyle name="20% - Énfasis2 43 2" xfId="336"/>
    <cellStyle name="20% - Énfasis2 43_Entrada" xfId="337"/>
    <cellStyle name="20% - Énfasis2 44" xfId="338"/>
    <cellStyle name="20% - Énfasis2 44 2" xfId="339"/>
    <cellStyle name="20% - Énfasis2 44_Entrada" xfId="340"/>
    <cellStyle name="20% - Énfasis2 45" xfId="341"/>
    <cellStyle name="20% - Énfasis2 45 2" xfId="342"/>
    <cellStyle name="20% - Énfasis2 45_Entrada" xfId="343"/>
    <cellStyle name="20% - Énfasis2 46" xfId="344"/>
    <cellStyle name="20% - Énfasis2 46 2" xfId="345"/>
    <cellStyle name="20% - Énfasis2 46_Entrada" xfId="346"/>
    <cellStyle name="20% - Énfasis2 47" xfId="347"/>
    <cellStyle name="20% - Énfasis2 47 2" xfId="348"/>
    <cellStyle name="20% - Énfasis2 47_Entrada" xfId="349"/>
    <cellStyle name="20% - Énfasis2 48" xfId="350"/>
    <cellStyle name="20% - Énfasis2 48 2" xfId="351"/>
    <cellStyle name="20% - Énfasis2 48_Entrada" xfId="352"/>
    <cellStyle name="20% - Énfasis2 49" xfId="353"/>
    <cellStyle name="20% - Énfasis2 49 2" xfId="354"/>
    <cellStyle name="20% - Énfasis2 49_Entrada" xfId="355"/>
    <cellStyle name="20% - Énfasis2 5" xfId="356"/>
    <cellStyle name="20% - Énfasis2 5 2" xfId="357"/>
    <cellStyle name="20% - Énfasis2 5_Entrada" xfId="358"/>
    <cellStyle name="20% - Énfasis2 50" xfId="359"/>
    <cellStyle name="20% - Énfasis2 50 2" xfId="360"/>
    <cellStyle name="20% - Énfasis2 50_Entrada" xfId="361"/>
    <cellStyle name="20% - Énfasis2 51" xfId="362"/>
    <cellStyle name="20% - Énfasis2 51 2" xfId="363"/>
    <cellStyle name="20% - Énfasis2 51_Entrada" xfId="364"/>
    <cellStyle name="20% - Énfasis2 52" xfId="365"/>
    <cellStyle name="20% - Énfasis2 52 2" xfId="366"/>
    <cellStyle name="20% - Énfasis2 52_Entrada" xfId="367"/>
    <cellStyle name="20% - Énfasis2 53" xfId="368"/>
    <cellStyle name="20% - Énfasis2 53 2" xfId="369"/>
    <cellStyle name="20% - Énfasis2 53_Entrada" xfId="370"/>
    <cellStyle name="20% - Énfasis2 54" xfId="371"/>
    <cellStyle name="20% - Énfasis2 54 2" xfId="372"/>
    <cellStyle name="20% - Énfasis2 54_Entrada" xfId="373"/>
    <cellStyle name="20% - Énfasis2 55" xfId="374"/>
    <cellStyle name="20% - Énfasis2 55 2" xfId="375"/>
    <cellStyle name="20% - Énfasis2 55_Entrada" xfId="376"/>
    <cellStyle name="20% - Énfasis2 56" xfId="377"/>
    <cellStyle name="20% - Énfasis2 56 2" xfId="378"/>
    <cellStyle name="20% - Énfasis2 56_Entrada" xfId="379"/>
    <cellStyle name="20% - Énfasis2 57" xfId="380"/>
    <cellStyle name="20% - Énfasis2 57 2" xfId="381"/>
    <cellStyle name="20% - Énfasis2 57_Entrada" xfId="382"/>
    <cellStyle name="20% - Énfasis2 58" xfId="383"/>
    <cellStyle name="20% - Énfasis2 58 2" xfId="384"/>
    <cellStyle name="20% - Énfasis2 58_Entrada" xfId="385"/>
    <cellStyle name="20% - Énfasis2 59" xfId="386"/>
    <cellStyle name="20% - Énfasis2 59 2" xfId="387"/>
    <cellStyle name="20% - Énfasis2 59_Entrada" xfId="388"/>
    <cellStyle name="20% - Énfasis2 6" xfId="389"/>
    <cellStyle name="20% - Énfasis2 6 2" xfId="390"/>
    <cellStyle name="20% - Énfasis2 6_Entrada" xfId="391"/>
    <cellStyle name="20% - Énfasis2 60" xfId="392"/>
    <cellStyle name="20% - Énfasis2 60 2" xfId="393"/>
    <cellStyle name="20% - Énfasis2 60_Entrada" xfId="394"/>
    <cellStyle name="20% - Énfasis2 61" xfId="395"/>
    <cellStyle name="20% - Énfasis2 7" xfId="396"/>
    <cellStyle name="20% - Énfasis2 7 2" xfId="397"/>
    <cellStyle name="20% - Énfasis2 7_Entrada" xfId="398"/>
    <cellStyle name="20% - Énfasis2 8" xfId="399"/>
    <cellStyle name="20% - Énfasis2 8 2" xfId="400"/>
    <cellStyle name="20% - Énfasis2 8_Entrada" xfId="401"/>
    <cellStyle name="20% - Énfasis2 9" xfId="402"/>
    <cellStyle name="20% - Énfasis2 9 2" xfId="403"/>
    <cellStyle name="20% - Énfasis2 9_Entrada" xfId="404"/>
    <cellStyle name="20% - Énfasis3 10" xfId="405"/>
    <cellStyle name="20% - Énfasis3 10 2" xfId="406"/>
    <cellStyle name="20% - Énfasis3 10_Entrada" xfId="407"/>
    <cellStyle name="20% - Énfasis3 11" xfId="408"/>
    <cellStyle name="20% - Énfasis3 11 2" xfId="409"/>
    <cellStyle name="20% - Énfasis3 11_Entrada" xfId="410"/>
    <cellStyle name="20% - Énfasis3 12" xfId="411"/>
    <cellStyle name="20% - Énfasis3 12 2" xfId="412"/>
    <cellStyle name="20% - Énfasis3 12_Entrada" xfId="413"/>
    <cellStyle name="20% - Énfasis3 13" xfId="414"/>
    <cellStyle name="20% - Énfasis3 13 2" xfId="415"/>
    <cellStyle name="20% - Énfasis3 13_Entrada" xfId="416"/>
    <cellStyle name="20% - Énfasis3 14" xfId="417"/>
    <cellStyle name="20% - Énfasis3 14 2" xfId="418"/>
    <cellStyle name="20% - Énfasis3 14_Entrada" xfId="419"/>
    <cellStyle name="20% - Énfasis3 15" xfId="420"/>
    <cellStyle name="20% - Énfasis3 15 2" xfId="421"/>
    <cellStyle name="20% - Énfasis3 15_Entrada" xfId="422"/>
    <cellStyle name="20% - Énfasis3 16" xfId="423"/>
    <cellStyle name="20% - Énfasis3 16 2" xfId="424"/>
    <cellStyle name="20% - Énfasis3 16_Entrada" xfId="425"/>
    <cellStyle name="20% - Énfasis3 17" xfId="426"/>
    <cellStyle name="20% - Énfasis3 17 2" xfId="427"/>
    <cellStyle name="20% - Énfasis3 17_Entrada" xfId="428"/>
    <cellStyle name="20% - Énfasis3 18" xfId="429"/>
    <cellStyle name="20% - Énfasis3 18 2" xfId="430"/>
    <cellStyle name="20% - Énfasis3 18_Entrada" xfId="431"/>
    <cellStyle name="20% - Énfasis3 19" xfId="432"/>
    <cellStyle name="20% - Énfasis3 19 2" xfId="433"/>
    <cellStyle name="20% - Énfasis3 19_Entrada" xfId="434"/>
    <cellStyle name="20% - Énfasis3 2" xfId="435"/>
    <cellStyle name="20% - Énfasis3 2 2" xfId="436"/>
    <cellStyle name="20% - Énfasis3 2_Entrada" xfId="437"/>
    <cellStyle name="20% - Énfasis3 20" xfId="438"/>
    <cellStyle name="20% - Énfasis3 20 2" xfId="439"/>
    <cellStyle name="20% - Énfasis3 20_Entrada" xfId="440"/>
    <cellStyle name="20% - Énfasis3 21" xfId="441"/>
    <cellStyle name="20% - Énfasis3 21 2" xfId="442"/>
    <cellStyle name="20% - Énfasis3 21_Entrada" xfId="443"/>
    <cellStyle name="20% - Énfasis3 22" xfId="444"/>
    <cellStyle name="20% - Énfasis3 22 2" xfId="445"/>
    <cellStyle name="20% - Énfasis3 22_Entrada" xfId="446"/>
    <cellStyle name="20% - Énfasis3 23" xfId="447"/>
    <cellStyle name="20% - Énfasis3 23 2" xfId="448"/>
    <cellStyle name="20% - Énfasis3 23_Entrada" xfId="449"/>
    <cellStyle name="20% - Énfasis3 24" xfId="450"/>
    <cellStyle name="20% - Énfasis3 24 2" xfId="451"/>
    <cellStyle name="20% - Énfasis3 24_Entrada" xfId="452"/>
    <cellStyle name="20% - Énfasis3 25" xfId="453"/>
    <cellStyle name="20% - Énfasis3 25 2" xfId="454"/>
    <cellStyle name="20% - Énfasis3 25_Entrada" xfId="455"/>
    <cellStyle name="20% - Énfasis3 26" xfId="456"/>
    <cellStyle name="20% - Énfasis3 26 2" xfId="457"/>
    <cellStyle name="20% - Énfasis3 26_Entrada" xfId="458"/>
    <cellStyle name="20% - Énfasis3 27" xfId="459"/>
    <cellStyle name="20% - Énfasis3 27 2" xfId="460"/>
    <cellStyle name="20% - Énfasis3 27_Entrada" xfId="461"/>
    <cellStyle name="20% - Énfasis3 28" xfId="462"/>
    <cellStyle name="20% - Énfasis3 28 2" xfId="463"/>
    <cellStyle name="20% - Énfasis3 28_Entrada" xfId="464"/>
    <cellStyle name="20% - Énfasis3 29" xfId="465"/>
    <cellStyle name="20% - Énfasis3 29 2" xfId="466"/>
    <cellStyle name="20% - Énfasis3 29_Entrada" xfId="467"/>
    <cellStyle name="20% - Énfasis3 3" xfId="468"/>
    <cellStyle name="20% - Énfasis3 3 2" xfId="469"/>
    <cellStyle name="20% - Énfasis3 3 3" xfId="470"/>
    <cellStyle name="20% - Énfasis3 30" xfId="471"/>
    <cellStyle name="20% - Énfasis3 30 2" xfId="472"/>
    <cellStyle name="20% - Énfasis3 30_Entrada" xfId="473"/>
    <cellStyle name="20% - Énfasis3 31" xfId="474"/>
    <cellStyle name="20% - Énfasis3 31 2" xfId="475"/>
    <cellStyle name="20% - Énfasis3 31_Entrada" xfId="476"/>
    <cellStyle name="20% - Énfasis3 32" xfId="477"/>
    <cellStyle name="20% - Énfasis3 32 2" xfId="478"/>
    <cellStyle name="20% - Énfasis3 32_Entrada" xfId="479"/>
    <cellStyle name="20% - Énfasis3 33" xfId="480"/>
    <cellStyle name="20% - Énfasis3 33 2" xfId="481"/>
    <cellStyle name="20% - Énfasis3 33_Entrada" xfId="482"/>
    <cellStyle name="20% - Énfasis3 34" xfId="483"/>
    <cellStyle name="20% - Énfasis3 34 2" xfId="484"/>
    <cellStyle name="20% - Énfasis3 34_Entrada" xfId="485"/>
    <cellStyle name="20% - Énfasis3 35" xfId="486"/>
    <cellStyle name="20% - Énfasis3 35 2" xfId="487"/>
    <cellStyle name="20% - Énfasis3 35_Entrada" xfId="488"/>
    <cellStyle name="20% - Énfasis3 36" xfId="489"/>
    <cellStyle name="20% - Énfasis3 36 2" xfId="490"/>
    <cellStyle name="20% - Énfasis3 36_Entrada" xfId="491"/>
    <cellStyle name="20% - Énfasis3 37" xfId="492"/>
    <cellStyle name="20% - Énfasis3 37 2" xfId="493"/>
    <cellStyle name="20% - Énfasis3 37_Entrada" xfId="494"/>
    <cellStyle name="20% - Énfasis3 38" xfId="495"/>
    <cellStyle name="20% - Énfasis3 38 2" xfId="496"/>
    <cellStyle name="20% - Énfasis3 38_Entrada" xfId="497"/>
    <cellStyle name="20% - Énfasis3 39" xfId="498"/>
    <cellStyle name="20% - Énfasis3 39 2" xfId="499"/>
    <cellStyle name="20% - Énfasis3 39_Entrada" xfId="500"/>
    <cellStyle name="20% - Énfasis3 4" xfId="501"/>
    <cellStyle name="20% - Énfasis3 4 2" xfId="502"/>
    <cellStyle name="20% - Énfasis3 4_Entrada" xfId="503"/>
    <cellStyle name="20% - Énfasis3 40" xfId="504"/>
    <cellStyle name="20% - Énfasis3 40 2" xfId="505"/>
    <cellStyle name="20% - Énfasis3 40_Entrada" xfId="506"/>
    <cellStyle name="20% - Énfasis3 41" xfId="507"/>
    <cellStyle name="20% - Énfasis3 41 2" xfId="508"/>
    <cellStyle name="20% - Énfasis3 41_Entrada" xfId="509"/>
    <cellStyle name="20% - Énfasis3 42" xfId="510"/>
    <cellStyle name="20% - Énfasis3 42 2" xfId="511"/>
    <cellStyle name="20% - Énfasis3 42_Entrada" xfId="512"/>
    <cellStyle name="20% - Énfasis3 43" xfId="513"/>
    <cellStyle name="20% - Énfasis3 43 2" xfId="514"/>
    <cellStyle name="20% - Énfasis3 43_Entrada" xfId="515"/>
    <cellStyle name="20% - Énfasis3 44" xfId="516"/>
    <cellStyle name="20% - Énfasis3 44 2" xfId="517"/>
    <cellStyle name="20% - Énfasis3 44_Entrada" xfId="518"/>
    <cellStyle name="20% - Énfasis3 45" xfId="519"/>
    <cellStyle name="20% - Énfasis3 45 2" xfId="520"/>
    <cellStyle name="20% - Énfasis3 45_Entrada" xfId="521"/>
    <cellStyle name="20% - Énfasis3 46" xfId="522"/>
    <cellStyle name="20% - Énfasis3 46 2" xfId="523"/>
    <cellStyle name="20% - Énfasis3 46_Entrada" xfId="524"/>
    <cellStyle name="20% - Énfasis3 47" xfId="525"/>
    <cellStyle name="20% - Énfasis3 47 2" xfId="526"/>
    <cellStyle name="20% - Énfasis3 47_Entrada" xfId="527"/>
    <cellStyle name="20% - Énfasis3 48" xfId="528"/>
    <cellStyle name="20% - Énfasis3 48 2" xfId="529"/>
    <cellStyle name="20% - Énfasis3 48_Entrada" xfId="530"/>
    <cellStyle name="20% - Énfasis3 49" xfId="531"/>
    <cellStyle name="20% - Énfasis3 49 2" xfId="532"/>
    <cellStyle name="20% - Énfasis3 49_Entrada" xfId="533"/>
    <cellStyle name="20% - Énfasis3 5" xfId="534"/>
    <cellStyle name="20% - Énfasis3 5 2" xfId="535"/>
    <cellStyle name="20% - Énfasis3 5_Entrada" xfId="536"/>
    <cellStyle name="20% - Énfasis3 50" xfId="537"/>
    <cellStyle name="20% - Énfasis3 50 2" xfId="538"/>
    <cellStyle name="20% - Énfasis3 50_Entrada" xfId="539"/>
    <cellStyle name="20% - Énfasis3 51" xfId="540"/>
    <cellStyle name="20% - Énfasis3 51 2" xfId="541"/>
    <cellStyle name="20% - Énfasis3 51_Entrada" xfId="542"/>
    <cellStyle name="20% - Énfasis3 52" xfId="543"/>
    <cellStyle name="20% - Énfasis3 52 2" xfId="544"/>
    <cellStyle name="20% - Énfasis3 52_Entrada" xfId="545"/>
    <cellStyle name="20% - Énfasis3 53" xfId="546"/>
    <cellStyle name="20% - Énfasis3 53 2" xfId="547"/>
    <cellStyle name="20% - Énfasis3 53_Entrada" xfId="548"/>
    <cellStyle name="20% - Énfasis3 54" xfId="549"/>
    <cellStyle name="20% - Énfasis3 54 2" xfId="550"/>
    <cellStyle name="20% - Énfasis3 54_Entrada" xfId="551"/>
    <cellStyle name="20% - Énfasis3 55" xfId="552"/>
    <cellStyle name="20% - Énfasis3 55 2" xfId="553"/>
    <cellStyle name="20% - Énfasis3 55_Entrada" xfId="554"/>
    <cellStyle name="20% - Énfasis3 56" xfId="555"/>
    <cellStyle name="20% - Énfasis3 56 2" xfId="556"/>
    <cellStyle name="20% - Énfasis3 56_Entrada" xfId="557"/>
    <cellStyle name="20% - Énfasis3 57" xfId="558"/>
    <cellStyle name="20% - Énfasis3 57 2" xfId="559"/>
    <cellStyle name="20% - Énfasis3 57_Entrada" xfId="560"/>
    <cellStyle name="20% - Énfasis3 58" xfId="561"/>
    <cellStyle name="20% - Énfasis3 58 2" xfId="562"/>
    <cellStyle name="20% - Énfasis3 58_Entrada" xfId="563"/>
    <cellStyle name="20% - Énfasis3 59" xfId="564"/>
    <cellStyle name="20% - Énfasis3 59 2" xfId="565"/>
    <cellStyle name="20% - Énfasis3 59_Entrada" xfId="566"/>
    <cellStyle name="20% - Énfasis3 6" xfId="567"/>
    <cellStyle name="20% - Énfasis3 6 2" xfId="568"/>
    <cellStyle name="20% - Énfasis3 6_Entrada" xfId="569"/>
    <cellStyle name="20% - Énfasis3 60" xfId="570"/>
    <cellStyle name="20% - Énfasis3 60 2" xfId="571"/>
    <cellStyle name="20% - Énfasis3 60_Entrada" xfId="572"/>
    <cellStyle name="20% - Énfasis3 61" xfId="573"/>
    <cellStyle name="20% - Énfasis3 7" xfId="574"/>
    <cellStyle name="20% - Énfasis3 7 2" xfId="575"/>
    <cellStyle name="20% - Énfasis3 7_Entrada" xfId="576"/>
    <cellStyle name="20% - Énfasis3 8" xfId="577"/>
    <cellStyle name="20% - Énfasis3 8 2" xfId="578"/>
    <cellStyle name="20% - Énfasis3 8_Entrada" xfId="579"/>
    <cellStyle name="20% - Énfasis3 9" xfId="580"/>
    <cellStyle name="20% - Énfasis3 9 2" xfId="581"/>
    <cellStyle name="20% - Énfasis3 9_Entrada" xfId="582"/>
    <cellStyle name="20% - Énfasis4 10" xfId="583"/>
    <cellStyle name="20% - Énfasis4 10 2" xfId="584"/>
    <cellStyle name="20% - Énfasis4 10_Entrada" xfId="585"/>
    <cellStyle name="20% - Énfasis4 11" xfId="586"/>
    <cellStyle name="20% - Énfasis4 11 2" xfId="587"/>
    <cellStyle name="20% - Énfasis4 11_Entrada" xfId="588"/>
    <cellStyle name="20% - Énfasis4 12" xfId="589"/>
    <cellStyle name="20% - Énfasis4 12 2" xfId="590"/>
    <cellStyle name="20% - Énfasis4 12_Entrada" xfId="591"/>
    <cellStyle name="20% - Énfasis4 13" xfId="592"/>
    <cellStyle name="20% - Énfasis4 13 2" xfId="593"/>
    <cellStyle name="20% - Énfasis4 13_Entrada" xfId="594"/>
    <cellStyle name="20% - Énfasis4 14" xfId="595"/>
    <cellStyle name="20% - Énfasis4 14 2" xfId="596"/>
    <cellStyle name="20% - Énfasis4 14_Entrada" xfId="597"/>
    <cellStyle name="20% - Énfasis4 15" xfId="598"/>
    <cellStyle name="20% - Énfasis4 15 2" xfId="599"/>
    <cellStyle name="20% - Énfasis4 15_Entrada" xfId="600"/>
    <cellStyle name="20% - Énfasis4 16" xfId="601"/>
    <cellStyle name="20% - Énfasis4 16 2" xfId="602"/>
    <cellStyle name="20% - Énfasis4 16_Entrada" xfId="603"/>
    <cellStyle name="20% - Énfasis4 17" xfId="604"/>
    <cellStyle name="20% - Énfasis4 17 2" xfId="605"/>
    <cellStyle name="20% - Énfasis4 17_Entrada" xfId="606"/>
    <cellStyle name="20% - Énfasis4 18" xfId="607"/>
    <cellStyle name="20% - Énfasis4 18 2" xfId="608"/>
    <cellStyle name="20% - Énfasis4 18_Entrada" xfId="609"/>
    <cellStyle name="20% - Énfasis4 19" xfId="610"/>
    <cellStyle name="20% - Énfasis4 19 2" xfId="611"/>
    <cellStyle name="20% - Énfasis4 19_Entrada" xfId="612"/>
    <cellStyle name="20% - Énfasis4 2" xfId="613"/>
    <cellStyle name="20% - Énfasis4 2 2" xfId="614"/>
    <cellStyle name="20% - Énfasis4 2_Entrada" xfId="615"/>
    <cellStyle name="20% - Énfasis4 20" xfId="616"/>
    <cellStyle name="20% - Énfasis4 20 2" xfId="617"/>
    <cellStyle name="20% - Énfasis4 20_Entrada" xfId="618"/>
    <cellStyle name="20% - Énfasis4 21" xfId="619"/>
    <cellStyle name="20% - Énfasis4 21 2" xfId="620"/>
    <cellStyle name="20% - Énfasis4 21_Entrada" xfId="621"/>
    <cellStyle name="20% - Énfasis4 22" xfId="622"/>
    <cellStyle name="20% - Énfasis4 22 2" xfId="623"/>
    <cellStyle name="20% - Énfasis4 22_Entrada" xfId="624"/>
    <cellStyle name="20% - Énfasis4 23" xfId="625"/>
    <cellStyle name="20% - Énfasis4 23 2" xfId="626"/>
    <cellStyle name="20% - Énfasis4 23_Entrada" xfId="627"/>
    <cellStyle name="20% - Énfasis4 24" xfId="628"/>
    <cellStyle name="20% - Énfasis4 24 2" xfId="629"/>
    <cellStyle name="20% - Énfasis4 24_Entrada" xfId="630"/>
    <cellStyle name="20% - Énfasis4 25" xfId="631"/>
    <cellStyle name="20% - Énfasis4 25 2" xfId="632"/>
    <cellStyle name="20% - Énfasis4 25_Entrada" xfId="633"/>
    <cellStyle name="20% - Énfasis4 26" xfId="634"/>
    <cellStyle name="20% - Énfasis4 26 2" xfId="635"/>
    <cellStyle name="20% - Énfasis4 26_Entrada" xfId="636"/>
    <cellStyle name="20% - Énfasis4 27" xfId="637"/>
    <cellStyle name="20% - Énfasis4 27 2" xfId="638"/>
    <cellStyle name="20% - Énfasis4 27_Entrada" xfId="639"/>
    <cellStyle name="20% - Énfasis4 28" xfId="640"/>
    <cellStyle name="20% - Énfasis4 28 2" xfId="641"/>
    <cellStyle name="20% - Énfasis4 28_Entrada" xfId="642"/>
    <cellStyle name="20% - Énfasis4 29" xfId="643"/>
    <cellStyle name="20% - Énfasis4 29 2" xfId="644"/>
    <cellStyle name="20% - Énfasis4 29_Entrada" xfId="645"/>
    <cellStyle name="20% - Énfasis4 3" xfId="646"/>
    <cellStyle name="20% - Énfasis4 3 2" xfId="647"/>
    <cellStyle name="20% - Énfasis4 3 3" xfId="648"/>
    <cellStyle name="20% - Énfasis4 30" xfId="649"/>
    <cellStyle name="20% - Énfasis4 30 2" xfId="650"/>
    <cellStyle name="20% - Énfasis4 30_Entrada" xfId="651"/>
    <cellStyle name="20% - Énfasis4 31" xfId="652"/>
    <cellStyle name="20% - Énfasis4 31 2" xfId="653"/>
    <cellStyle name="20% - Énfasis4 31_Entrada" xfId="654"/>
    <cellStyle name="20% - Énfasis4 32" xfId="655"/>
    <cellStyle name="20% - Énfasis4 32 2" xfId="656"/>
    <cellStyle name="20% - Énfasis4 32_Entrada" xfId="657"/>
    <cellStyle name="20% - Énfasis4 33" xfId="658"/>
    <cellStyle name="20% - Énfasis4 33 2" xfId="659"/>
    <cellStyle name="20% - Énfasis4 33_Entrada" xfId="660"/>
    <cellStyle name="20% - Énfasis4 34" xfId="661"/>
    <cellStyle name="20% - Énfasis4 34 2" xfId="662"/>
    <cellStyle name="20% - Énfasis4 34_Entrada" xfId="663"/>
    <cellStyle name="20% - Énfasis4 35" xfId="664"/>
    <cellStyle name="20% - Énfasis4 35 2" xfId="665"/>
    <cellStyle name="20% - Énfasis4 35_Entrada" xfId="666"/>
    <cellStyle name="20% - Énfasis4 36" xfId="667"/>
    <cellStyle name="20% - Énfasis4 36 2" xfId="668"/>
    <cellStyle name="20% - Énfasis4 36_Entrada" xfId="669"/>
    <cellStyle name="20% - Énfasis4 37" xfId="670"/>
    <cellStyle name="20% - Énfasis4 37 2" xfId="671"/>
    <cellStyle name="20% - Énfasis4 37_Entrada" xfId="672"/>
    <cellStyle name="20% - Énfasis4 38" xfId="673"/>
    <cellStyle name="20% - Énfasis4 38 2" xfId="674"/>
    <cellStyle name="20% - Énfasis4 38_Entrada" xfId="675"/>
    <cellStyle name="20% - Énfasis4 39" xfId="676"/>
    <cellStyle name="20% - Énfasis4 39 2" xfId="677"/>
    <cellStyle name="20% - Énfasis4 39_Entrada" xfId="678"/>
    <cellStyle name="20% - Énfasis4 4" xfId="679"/>
    <cellStyle name="20% - Énfasis4 4 2" xfId="680"/>
    <cellStyle name="20% - Énfasis4 4_Entrada" xfId="681"/>
    <cellStyle name="20% - Énfasis4 40" xfId="682"/>
    <cellStyle name="20% - Énfasis4 40 2" xfId="683"/>
    <cellStyle name="20% - Énfasis4 40_Entrada" xfId="684"/>
    <cellStyle name="20% - Énfasis4 41" xfId="685"/>
    <cellStyle name="20% - Énfasis4 41 2" xfId="686"/>
    <cellStyle name="20% - Énfasis4 41_Entrada" xfId="687"/>
    <cellStyle name="20% - Énfasis4 42" xfId="688"/>
    <cellStyle name="20% - Énfasis4 42 2" xfId="689"/>
    <cellStyle name="20% - Énfasis4 42_Entrada" xfId="690"/>
    <cellStyle name="20% - Énfasis4 43" xfId="691"/>
    <cellStyle name="20% - Énfasis4 43 2" xfId="692"/>
    <cellStyle name="20% - Énfasis4 43_Entrada" xfId="693"/>
    <cellStyle name="20% - Énfasis4 44" xfId="694"/>
    <cellStyle name="20% - Énfasis4 44 2" xfId="695"/>
    <cellStyle name="20% - Énfasis4 44_Entrada" xfId="696"/>
    <cellStyle name="20% - Énfasis4 45" xfId="697"/>
    <cellStyle name="20% - Énfasis4 45 2" xfId="698"/>
    <cellStyle name="20% - Énfasis4 45_Entrada" xfId="699"/>
    <cellStyle name="20% - Énfasis4 46" xfId="700"/>
    <cellStyle name="20% - Énfasis4 46 2" xfId="701"/>
    <cellStyle name="20% - Énfasis4 46_Entrada" xfId="702"/>
    <cellStyle name="20% - Énfasis4 47" xfId="703"/>
    <cellStyle name="20% - Énfasis4 47 2" xfId="704"/>
    <cellStyle name="20% - Énfasis4 47_Entrada" xfId="705"/>
    <cellStyle name="20% - Énfasis4 48" xfId="706"/>
    <cellStyle name="20% - Énfasis4 48 2" xfId="707"/>
    <cellStyle name="20% - Énfasis4 48_Entrada" xfId="708"/>
    <cellStyle name="20% - Énfasis4 49" xfId="709"/>
    <cellStyle name="20% - Énfasis4 49 2" xfId="710"/>
    <cellStyle name="20% - Énfasis4 49_Entrada" xfId="711"/>
    <cellStyle name="20% - Énfasis4 5" xfId="712"/>
    <cellStyle name="20% - Énfasis4 5 2" xfId="713"/>
    <cellStyle name="20% - Énfasis4 5_Entrada" xfId="714"/>
    <cellStyle name="20% - Énfasis4 50" xfId="715"/>
    <cellStyle name="20% - Énfasis4 50 2" xfId="716"/>
    <cellStyle name="20% - Énfasis4 50_Entrada" xfId="717"/>
    <cellStyle name="20% - Énfasis4 51" xfId="718"/>
    <cellStyle name="20% - Énfasis4 51 2" xfId="719"/>
    <cellStyle name="20% - Énfasis4 51_Entrada" xfId="720"/>
    <cellStyle name="20% - Énfasis4 52" xfId="721"/>
    <cellStyle name="20% - Énfasis4 52 2" xfId="722"/>
    <cellStyle name="20% - Énfasis4 52_Entrada" xfId="723"/>
    <cellStyle name="20% - Énfasis4 53" xfId="724"/>
    <cellStyle name="20% - Énfasis4 53 2" xfId="725"/>
    <cellStyle name="20% - Énfasis4 53_Entrada" xfId="726"/>
    <cellStyle name="20% - Énfasis4 54" xfId="727"/>
    <cellStyle name="20% - Énfasis4 54 2" xfId="728"/>
    <cellStyle name="20% - Énfasis4 54_Entrada" xfId="729"/>
    <cellStyle name="20% - Énfasis4 55" xfId="730"/>
    <cellStyle name="20% - Énfasis4 55 2" xfId="731"/>
    <cellStyle name="20% - Énfasis4 55_Entrada" xfId="732"/>
    <cellStyle name="20% - Énfasis4 56" xfId="733"/>
    <cellStyle name="20% - Énfasis4 56 2" xfId="734"/>
    <cellStyle name="20% - Énfasis4 56_Entrada" xfId="735"/>
    <cellStyle name="20% - Énfasis4 57" xfId="736"/>
    <cellStyle name="20% - Énfasis4 57 2" xfId="737"/>
    <cellStyle name="20% - Énfasis4 57_Entrada" xfId="738"/>
    <cellStyle name="20% - Énfasis4 58" xfId="739"/>
    <cellStyle name="20% - Énfasis4 58 2" xfId="740"/>
    <cellStyle name="20% - Énfasis4 58_Entrada" xfId="741"/>
    <cellStyle name="20% - Énfasis4 59" xfId="742"/>
    <cellStyle name="20% - Énfasis4 59 2" xfId="743"/>
    <cellStyle name="20% - Énfasis4 59_Entrada" xfId="744"/>
    <cellStyle name="20% - Énfasis4 6" xfId="745"/>
    <cellStyle name="20% - Énfasis4 6 2" xfId="746"/>
    <cellStyle name="20% - Énfasis4 6_Entrada" xfId="747"/>
    <cellStyle name="20% - Énfasis4 60" xfId="748"/>
    <cellStyle name="20% - Énfasis4 60 2" xfId="749"/>
    <cellStyle name="20% - Énfasis4 60_Entrada" xfId="750"/>
    <cellStyle name="20% - Énfasis4 61" xfId="751"/>
    <cellStyle name="20% - Énfasis4 7" xfId="752"/>
    <cellStyle name="20% - Énfasis4 7 2" xfId="753"/>
    <cellStyle name="20% - Énfasis4 7_Entrada" xfId="754"/>
    <cellStyle name="20% - Énfasis4 8" xfId="755"/>
    <cellStyle name="20% - Énfasis4 8 2" xfId="756"/>
    <cellStyle name="20% - Énfasis4 8_Entrada" xfId="757"/>
    <cellStyle name="20% - Énfasis4 9" xfId="758"/>
    <cellStyle name="20% - Énfasis4 9 2" xfId="759"/>
    <cellStyle name="20% - Énfasis4 9_Entrada" xfId="760"/>
    <cellStyle name="20% - Énfasis5 10" xfId="761"/>
    <cellStyle name="20% - Énfasis5 10 2" xfId="762"/>
    <cellStyle name="20% - Énfasis5 10_Entrada" xfId="763"/>
    <cellStyle name="20% - Énfasis5 11" xfId="764"/>
    <cellStyle name="20% - Énfasis5 11 2" xfId="765"/>
    <cellStyle name="20% - Énfasis5 11_Entrada" xfId="766"/>
    <cellStyle name="20% - Énfasis5 12" xfId="767"/>
    <cellStyle name="20% - Énfasis5 12 2" xfId="768"/>
    <cellStyle name="20% - Énfasis5 12_Entrada" xfId="769"/>
    <cellStyle name="20% - Énfasis5 13" xfId="770"/>
    <cellStyle name="20% - Énfasis5 13 2" xfId="771"/>
    <cellStyle name="20% - Énfasis5 13_Entrada" xfId="772"/>
    <cellStyle name="20% - Énfasis5 14" xfId="773"/>
    <cellStyle name="20% - Énfasis5 14 2" xfId="774"/>
    <cellStyle name="20% - Énfasis5 14_Entrada" xfId="775"/>
    <cellStyle name="20% - Énfasis5 15" xfId="776"/>
    <cellStyle name="20% - Énfasis5 15 2" xfId="777"/>
    <cellStyle name="20% - Énfasis5 15_Entrada" xfId="778"/>
    <cellStyle name="20% - Énfasis5 16" xfId="779"/>
    <cellStyle name="20% - Énfasis5 16 2" xfId="780"/>
    <cellStyle name="20% - Énfasis5 16_Entrada" xfId="781"/>
    <cellStyle name="20% - Énfasis5 17" xfId="782"/>
    <cellStyle name="20% - Énfasis5 17 2" xfId="783"/>
    <cellStyle name="20% - Énfasis5 17_Entrada" xfId="784"/>
    <cellStyle name="20% - Énfasis5 18" xfId="785"/>
    <cellStyle name="20% - Énfasis5 18 2" xfId="786"/>
    <cellStyle name="20% - Énfasis5 18_Entrada" xfId="787"/>
    <cellStyle name="20% - Énfasis5 19" xfId="788"/>
    <cellStyle name="20% - Énfasis5 19 2" xfId="789"/>
    <cellStyle name="20% - Énfasis5 19_Entrada" xfId="790"/>
    <cellStyle name="20% - Énfasis5 2" xfId="791"/>
    <cellStyle name="20% - Énfasis5 2 2" xfId="792"/>
    <cellStyle name="20% - Énfasis5 2_Entrada" xfId="793"/>
    <cellStyle name="20% - Énfasis5 20" xfId="794"/>
    <cellStyle name="20% - Énfasis5 20 2" xfId="795"/>
    <cellStyle name="20% - Énfasis5 20_Entrada" xfId="796"/>
    <cellStyle name="20% - Énfasis5 21" xfId="797"/>
    <cellStyle name="20% - Énfasis5 21 2" xfId="798"/>
    <cellStyle name="20% - Énfasis5 21_Entrada" xfId="799"/>
    <cellStyle name="20% - Énfasis5 22" xfId="800"/>
    <cellStyle name="20% - Énfasis5 22 2" xfId="801"/>
    <cellStyle name="20% - Énfasis5 22_Entrada" xfId="802"/>
    <cellStyle name="20% - Énfasis5 23" xfId="803"/>
    <cellStyle name="20% - Énfasis5 23 2" xfId="804"/>
    <cellStyle name="20% - Énfasis5 23_Entrada" xfId="805"/>
    <cellStyle name="20% - Énfasis5 24" xfId="806"/>
    <cellStyle name="20% - Énfasis5 24 2" xfId="807"/>
    <cellStyle name="20% - Énfasis5 24_Entrada" xfId="808"/>
    <cellStyle name="20% - Énfasis5 25" xfId="809"/>
    <cellStyle name="20% - Énfasis5 25 2" xfId="810"/>
    <cellStyle name="20% - Énfasis5 25_Entrada" xfId="811"/>
    <cellStyle name="20% - Énfasis5 26" xfId="812"/>
    <cellStyle name="20% - Énfasis5 26 2" xfId="813"/>
    <cellStyle name="20% - Énfasis5 26_Entrada" xfId="814"/>
    <cellStyle name="20% - Énfasis5 27" xfId="815"/>
    <cellStyle name="20% - Énfasis5 27 2" xfId="816"/>
    <cellStyle name="20% - Énfasis5 27_Entrada" xfId="817"/>
    <cellStyle name="20% - Énfasis5 28" xfId="818"/>
    <cellStyle name="20% - Énfasis5 28 2" xfId="819"/>
    <cellStyle name="20% - Énfasis5 28_Entrada" xfId="820"/>
    <cellStyle name="20% - Énfasis5 29" xfId="821"/>
    <cellStyle name="20% - Énfasis5 29 2" xfId="822"/>
    <cellStyle name="20% - Énfasis5 29_Entrada" xfId="823"/>
    <cellStyle name="20% - Énfasis5 3" xfId="824"/>
    <cellStyle name="20% - Énfasis5 3 2" xfId="825"/>
    <cellStyle name="20% - Énfasis5 3 3" xfId="826"/>
    <cellStyle name="20% - Énfasis5 30" xfId="827"/>
    <cellStyle name="20% - Énfasis5 30 2" xfId="828"/>
    <cellStyle name="20% - Énfasis5 30_Entrada" xfId="829"/>
    <cellStyle name="20% - Énfasis5 31" xfId="830"/>
    <cellStyle name="20% - Énfasis5 31 2" xfId="831"/>
    <cellStyle name="20% - Énfasis5 31_Entrada" xfId="832"/>
    <cellStyle name="20% - Énfasis5 32" xfId="833"/>
    <cellStyle name="20% - Énfasis5 32 2" xfId="834"/>
    <cellStyle name="20% - Énfasis5 32_Entrada" xfId="835"/>
    <cellStyle name="20% - Énfasis5 33" xfId="836"/>
    <cellStyle name="20% - Énfasis5 33 2" xfId="837"/>
    <cellStyle name="20% - Énfasis5 33_Entrada" xfId="838"/>
    <cellStyle name="20% - Énfasis5 34" xfId="839"/>
    <cellStyle name="20% - Énfasis5 34 2" xfId="840"/>
    <cellStyle name="20% - Énfasis5 34_Entrada" xfId="841"/>
    <cellStyle name="20% - Énfasis5 35" xfId="842"/>
    <cellStyle name="20% - Énfasis5 35 2" xfId="843"/>
    <cellStyle name="20% - Énfasis5 35_Entrada" xfId="844"/>
    <cellStyle name="20% - Énfasis5 36" xfId="845"/>
    <cellStyle name="20% - Énfasis5 36 2" xfId="846"/>
    <cellStyle name="20% - Énfasis5 36_Entrada" xfId="847"/>
    <cellStyle name="20% - Énfasis5 37" xfId="848"/>
    <cellStyle name="20% - Énfasis5 37 2" xfId="849"/>
    <cellStyle name="20% - Énfasis5 37_Entrada" xfId="850"/>
    <cellStyle name="20% - Énfasis5 38" xfId="851"/>
    <cellStyle name="20% - Énfasis5 38 2" xfId="852"/>
    <cellStyle name="20% - Énfasis5 38_Entrada" xfId="853"/>
    <cellStyle name="20% - Énfasis5 39" xfId="854"/>
    <cellStyle name="20% - Énfasis5 39 2" xfId="855"/>
    <cellStyle name="20% - Énfasis5 39_Entrada" xfId="856"/>
    <cellStyle name="20% - Énfasis5 4" xfId="857"/>
    <cellStyle name="20% - Énfasis5 4 2" xfId="858"/>
    <cellStyle name="20% - Énfasis5 4_Entrada" xfId="859"/>
    <cellStyle name="20% - Énfasis5 40" xfId="860"/>
    <cellStyle name="20% - Énfasis5 40 2" xfId="861"/>
    <cellStyle name="20% - Énfasis5 40_Entrada" xfId="862"/>
    <cellStyle name="20% - Énfasis5 41" xfId="863"/>
    <cellStyle name="20% - Énfasis5 41 2" xfId="864"/>
    <cellStyle name="20% - Énfasis5 41_Entrada" xfId="865"/>
    <cellStyle name="20% - Énfasis5 42" xfId="866"/>
    <cellStyle name="20% - Énfasis5 42 2" xfId="867"/>
    <cellStyle name="20% - Énfasis5 42_Entrada" xfId="868"/>
    <cellStyle name="20% - Énfasis5 43" xfId="869"/>
    <cellStyle name="20% - Énfasis5 43 2" xfId="870"/>
    <cellStyle name="20% - Énfasis5 43_Entrada" xfId="871"/>
    <cellStyle name="20% - Énfasis5 44" xfId="872"/>
    <cellStyle name="20% - Énfasis5 44 2" xfId="873"/>
    <cellStyle name="20% - Énfasis5 44_Entrada" xfId="874"/>
    <cellStyle name="20% - Énfasis5 45" xfId="875"/>
    <cellStyle name="20% - Énfasis5 45 2" xfId="876"/>
    <cellStyle name="20% - Énfasis5 45_Entrada" xfId="877"/>
    <cellStyle name="20% - Énfasis5 46" xfId="878"/>
    <cellStyle name="20% - Énfasis5 46 2" xfId="879"/>
    <cellStyle name="20% - Énfasis5 46_Entrada" xfId="880"/>
    <cellStyle name="20% - Énfasis5 47" xfId="881"/>
    <cellStyle name="20% - Énfasis5 47 2" xfId="882"/>
    <cellStyle name="20% - Énfasis5 47_Entrada" xfId="883"/>
    <cellStyle name="20% - Énfasis5 48" xfId="884"/>
    <cellStyle name="20% - Énfasis5 48 2" xfId="885"/>
    <cellStyle name="20% - Énfasis5 48_Entrada" xfId="886"/>
    <cellStyle name="20% - Énfasis5 49" xfId="887"/>
    <cellStyle name="20% - Énfasis5 49 2" xfId="888"/>
    <cellStyle name="20% - Énfasis5 49_Entrada" xfId="889"/>
    <cellStyle name="20% - Énfasis5 5" xfId="890"/>
    <cellStyle name="20% - Énfasis5 5 2" xfId="891"/>
    <cellStyle name="20% - Énfasis5 5_Entrada" xfId="892"/>
    <cellStyle name="20% - Énfasis5 50" xfId="893"/>
    <cellStyle name="20% - Énfasis5 50 2" xfId="894"/>
    <cellStyle name="20% - Énfasis5 50_Entrada" xfId="895"/>
    <cellStyle name="20% - Énfasis5 51" xfId="896"/>
    <cellStyle name="20% - Énfasis5 51 2" xfId="897"/>
    <cellStyle name="20% - Énfasis5 51_Entrada" xfId="898"/>
    <cellStyle name="20% - Énfasis5 52" xfId="899"/>
    <cellStyle name="20% - Énfasis5 52 2" xfId="900"/>
    <cellStyle name="20% - Énfasis5 52_Entrada" xfId="901"/>
    <cellStyle name="20% - Énfasis5 53" xfId="902"/>
    <cellStyle name="20% - Énfasis5 53 2" xfId="903"/>
    <cellStyle name="20% - Énfasis5 53_Entrada" xfId="904"/>
    <cellStyle name="20% - Énfasis5 54" xfId="905"/>
    <cellStyle name="20% - Énfasis5 54 2" xfId="906"/>
    <cellStyle name="20% - Énfasis5 54_Entrada" xfId="907"/>
    <cellStyle name="20% - Énfasis5 55" xfId="908"/>
    <cellStyle name="20% - Énfasis5 55 2" xfId="909"/>
    <cellStyle name="20% - Énfasis5 55_Entrada" xfId="910"/>
    <cellStyle name="20% - Énfasis5 56" xfId="911"/>
    <cellStyle name="20% - Énfasis5 56 2" xfId="912"/>
    <cellStyle name="20% - Énfasis5 56_Entrada" xfId="913"/>
    <cellStyle name="20% - Énfasis5 57" xfId="914"/>
    <cellStyle name="20% - Énfasis5 57 2" xfId="915"/>
    <cellStyle name="20% - Énfasis5 57_Entrada" xfId="916"/>
    <cellStyle name="20% - Énfasis5 58" xfId="917"/>
    <cellStyle name="20% - Énfasis5 58 2" xfId="918"/>
    <cellStyle name="20% - Énfasis5 58_Entrada" xfId="919"/>
    <cellStyle name="20% - Énfasis5 59" xfId="920"/>
    <cellStyle name="20% - Énfasis5 59 2" xfId="921"/>
    <cellStyle name="20% - Énfasis5 59_Entrada" xfId="922"/>
    <cellStyle name="20% - Énfasis5 6" xfId="923"/>
    <cellStyle name="20% - Énfasis5 6 2" xfId="924"/>
    <cellStyle name="20% - Énfasis5 6_Entrada" xfId="925"/>
    <cellStyle name="20% - Énfasis5 60" xfId="926"/>
    <cellStyle name="20% - Énfasis5 60 2" xfId="927"/>
    <cellStyle name="20% - Énfasis5 60_Entrada" xfId="928"/>
    <cellStyle name="20% - Énfasis5 61" xfId="929"/>
    <cellStyle name="20% - Énfasis5 7" xfId="930"/>
    <cellStyle name="20% - Énfasis5 7 2" xfId="931"/>
    <cellStyle name="20% - Énfasis5 7_Entrada" xfId="932"/>
    <cellStyle name="20% - Énfasis5 8" xfId="933"/>
    <cellStyle name="20% - Énfasis5 8 2" xfId="934"/>
    <cellStyle name="20% - Énfasis5 8_Entrada" xfId="935"/>
    <cellStyle name="20% - Énfasis5 9" xfId="936"/>
    <cellStyle name="20% - Énfasis5 9 2" xfId="937"/>
    <cellStyle name="20% - Énfasis5 9_Entrada" xfId="938"/>
    <cellStyle name="20% - Énfasis6 10" xfId="939"/>
    <cellStyle name="20% - Énfasis6 10 2" xfId="940"/>
    <cellStyle name="20% - Énfasis6 10_Entrada" xfId="941"/>
    <cellStyle name="20% - Énfasis6 11" xfId="942"/>
    <cellStyle name="20% - Énfasis6 11 2" xfId="943"/>
    <cellStyle name="20% - Énfasis6 11_Entrada" xfId="944"/>
    <cellStyle name="20% - Énfasis6 12" xfId="945"/>
    <cellStyle name="20% - Énfasis6 12 2" xfId="946"/>
    <cellStyle name="20% - Énfasis6 12_Entrada" xfId="947"/>
    <cellStyle name="20% - Énfasis6 13" xfId="948"/>
    <cellStyle name="20% - Énfasis6 13 2" xfId="949"/>
    <cellStyle name="20% - Énfasis6 13_Entrada" xfId="950"/>
    <cellStyle name="20% - Énfasis6 14" xfId="951"/>
    <cellStyle name="20% - Énfasis6 14 2" xfId="952"/>
    <cellStyle name="20% - Énfasis6 14_Entrada" xfId="953"/>
    <cellStyle name="20% - Énfasis6 15" xfId="954"/>
    <cellStyle name="20% - Énfasis6 15 2" xfId="955"/>
    <cellStyle name="20% - Énfasis6 15_Entrada" xfId="956"/>
    <cellStyle name="20% - Énfasis6 16" xfId="957"/>
    <cellStyle name="20% - Énfasis6 16 2" xfId="958"/>
    <cellStyle name="20% - Énfasis6 16_Entrada" xfId="959"/>
    <cellStyle name="20% - Énfasis6 17" xfId="960"/>
    <cellStyle name="20% - Énfasis6 17 2" xfId="961"/>
    <cellStyle name="20% - Énfasis6 17_Entrada" xfId="962"/>
    <cellStyle name="20% - Énfasis6 18" xfId="963"/>
    <cellStyle name="20% - Énfasis6 18 2" xfId="964"/>
    <cellStyle name="20% - Énfasis6 18_Entrada" xfId="965"/>
    <cellStyle name="20% - Énfasis6 19" xfId="966"/>
    <cellStyle name="20% - Énfasis6 19 2" xfId="967"/>
    <cellStyle name="20% - Énfasis6 19_Entrada" xfId="968"/>
    <cellStyle name="20% - Énfasis6 2" xfId="969"/>
    <cellStyle name="20% - Énfasis6 2 2" xfId="970"/>
    <cellStyle name="20% - Énfasis6 2_Entrada" xfId="971"/>
    <cellStyle name="20% - Énfasis6 20" xfId="972"/>
    <cellStyle name="20% - Énfasis6 20 2" xfId="973"/>
    <cellStyle name="20% - Énfasis6 20_Entrada" xfId="974"/>
    <cellStyle name="20% - Énfasis6 21" xfId="975"/>
    <cellStyle name="20% - Énfasis6 21 2" xfId="976"/>
    <cellStyle name="20% - Énfasis6 21_Entrada" xfId="977"/>
    <cellStyle name="20% - Énfasis6 22" xfId="978"/>
    <cellStyle name="20% - Énfasis6 22 2" xfId="979"/>
    <cellStyle name="20% - Énfasis6 22_Entrada" xfId="980"/>
    <cellStyle name="20% - Énfasis6 23" xfId="981"/>
    <cellStyle name="20% - Énfasis6 23 2" xfId="982"/>
    <cellStyle name="20% - Énfasis6 23_Entrada" xfId="983"/>
    <cellStyle name="20% - Énfasis6 24" xfId="984"/>
    <cellStyle name="20% - Énfasis6 24 2" xfId="985"/>
    <cellStyle name="20% - Énfasis6 24_Entrada" xfId="986"/>
    <cellStyle name="20% - Énfasis6 25" xfId="987"/>
    <cellStyle name="20% - Énfasis6 25 2" xfId="988"/>
    <cellStyle name="20% - Énfasis6 25_Entrada" xfId="989"/>
    <cellStyle name="20% - Énfasis6 26" xfId="990"/>
    <cellStyle name="20% - Énfasis6 26 2" xfId="991"/>
    <cellStyle name="20% - Énfasis6 26_Entrada" xfId="992"/>
    <cellStyle name="20% - Énfasis6 27" xfId="993"/>
    <cellStyle name="20% - Énfasis6 27 2" xfId="994"/>
    <cellStyle name="20% - Énfasis6 27_Entrada" xfId="995"/>
    <cellStyle name="20% - Énfasis6 28" xfId="996"/>
    <cellStyle name="20% - Énfasis6 28 2" xfId="997"/>
    <cellStyle name="20% - Énfasis6 28_Entrada" xfId="998"/>
    <cellStyle name="20% - Énfasis6 29" xfId="999"/>
    <cellStyle name="20% - Énfasis6 29 2" xfId="1000"/>
    <cellStyle name="20% - Énfasis6 29_Entrada" xfId="1001"/>
    <cellStyle name="20% - Énfasis6 3" xfId="1002"/>
    <cellStyle name="20% - Énfasis6 3 2" xfId="1003"/>
    <cellStyle name="20% - Énfasis6 3 3" xfId="1004"/>
    <cellStyle name="20% - Énfasis6 30" xfId="1005"/>
    <cellStyle name="20% - Énfasis6 30 2" xfId="1006"/>
    <cellStyle name="20% - Énfasis6 30_Entrada" xfId="1007"/>
    <cellStyle name="20% - Énfasis6 31" xfId="1008"/>
    <cellStyle name="20% - Énfasis6 31 2" xfId="1009"/>
    <cellStyle name="20% - Énfasis6 31_Entrada" xfId="1010"/>
    <cellStyle name="20% - Énfasis6 32" xfId="1011"/>
    <cellStyle name="20% - Énfasis6 32 2" xfId="1012"/>
    <cellStyle name="20% - Énfasis6 32_Entrada" xfId="1013"/>
    <cellStyle name="20% - Énfasis6 33" xfId="1014"/>
    <cellStyle name="20% - Énfasis6 33 2" xfId="1015"/>
    <cellStyle name="20% - Énfasis6 33_Entrada" xfId="1016"/>
    <cellStyle name="20% - Énfasis6 34" xfId="1017"/>
    <cellStyle name="20% - Énfasis6 34 2" xfId="1018"/>
    <cellStyle name="20% - Énfasis6 34_Entrada" xfId="1019"/>
    <cellStyle name="20% - Énfasis6 35" xfId="1020"/>
    <cellStyle name="20% - Énfasis6 35 2" xfId="1021"/>
    <cellStyle name="20% - Énfasis6 35_Entrada" xfId="1022"/>
    <cellStyle name="20% - Énfasis6 36" xfId="1023"/>
    <cellStyle name="20% - Énfasis6 36 2" xfId="1024"/>
    <cellStyle name="20% - Énfasis6 36_Entrada" xfId="1025"/>
    <cellStyle name="20% - Énfasis6 37" xfId="1026"/>
    <cellStyle name="20% - Énfasis6 37 2" xfId="1027"/>
    <cellStyle name="20% - Énfasis6 37_Entrada" xfId="1028"/>
    <cellStyle name="20% - Énfasis6 38" xfId="1029"/>
    <cellStyle name="20% - Énfasis6 38 2" xfId="1030"/>
    <cellStyle name="20% - Énfasis6 38_Entrada" xfId="1031"/>
    <cellStyle name="20% - Énfasis6 39" xfId="1032"/>
    <cellStyle name="20% - Énfasis6 39 2" xfId="1033"/>
    <cellStyle name="20% - Énfasis6 39_Entrada" xfId="1034"/>
    <cellStyle name="20% - Énfasis6 4" xfId="1035"/>
    <cellStyle name="20% - Énfasis6 4 2" xfId="1036"/>
    <cellStyle name="20% - Énfasis6 4_Entrada" xfId="1037"/>
    <cellStyle name="20% - Énfasis6 40" xfId="1038"/>
    <cellStyle name="20% - Énfasis6 40 2" xfId="1039"/>
    <cellStyle name="20% - Énfasis6 40_Entrada" xfId="1040"/>
    <cellStyle name="20% - Énfasis6 41" xfId="1041"/>
    <cellStyle name="20% - Énfasis6 41 2" xfId="1042"/>
    <cellStyle name="20% - Énfasis6 41_Entrada" xfId="1043"/>
    <cellStyle name="20% - Énfasis6 42" xfId="1044"/>
    <cellStyle name="20% - Énfasis6 42 2" xfId="1045"/>
    <cellStyle name="20% - Énfasis6 42_Entrada" xfId="1046"/>
    <cellStyle name="20% - Énfasis6 43" xfId="1047"/>
    <cellStyle name="20% - Énfasis6 43 2" xfId="1048"/>
    <cellStyle name="20% - Énfasis6 43_Entrada" xfId="1049"/>
    <cellStyle name="20% - Énfasis6 44" xfId="1050"/>
    <cellStyle name="20% - Énfasis6 44 2" xfId="1051"/>
    <cellStyle name="20% - Énfasis6 44_Entrada" xfId="1052"/>
    <cellStyle name="20% - Énfasis6 45" xfId="1053"/>
    <cellStyle name="20% - Énfasis6 45 2" xfId="1054"/>
    <cellStyle name="20% - Énfasis6 45_Entrada" xfId="1055"/>
    <cellStyle name="20% - Énfasis6 46" xfId="1056"/>
    <cellStyle name="20% - Énfasis6 46 2" xfId="1057"/>
    <cellStyle name="20% - Énfasis6 46_Entrada" xfId="1058"/>
    <cellStyle name="20% - Énfasis6 47" xfId="1059"/>
    <cellStyle name="20% - Énfasis6 47 2" xfId="1060"/>
    <cellStyle name="20% - Énfasis6 47_Entrada" xfId="1061"/>
    <cellStyle name="20% - Énfasis6 48" xfId="1062"/>
    <cellStyle name="20% - Énfasis6 48 2" xfId="1063"/>
    <cellStyle name="20% - Énfasis6 48_Entrada" xfId="1064"/>
    <cellStyle name="20% - Énfasis6 49" xfId="1065"/>
    <cellStyle name="20% - Énfasis6 49 2" xfId="1066"/>
    <cellStyle name="20% - Énfasis6 49_Entrada" xfId="1067"/>
    <cellStyle name="20% - Énfasis6 5" xfId="1068"/>
    <cellStyle name="20% - Énfasis6 5 2" xfId="1069"/>
    <cellStyle name="20% - Énfasis6 5_Entrada" xfId="1070"/>
    <cellStyle name="20% - Énfasis6 50" xfId="1071"/>
    <cellStyle name="20% - Énfasis6 50 2" xfId="1072"/>
    <cellStyle name="20% - Énfasis6 50_Entrada" xfId="1073"/>
    <cellStyle name="20% - Énfasis6 51" xfId="1074"/>
    <cellStyle name="20% - Énfasis6 51 2" xfId="1075"/>
    <cellStyle name="20% - Énfasis6 51_Entrada" xfId="1076"/>
    <cellStyle name="20% - Énfasis6 52" xfId="1077"/>
    <cellStyle name="20% - Énfasis6 52 2" xfId="1078"/>
    <cellStyle name="20% - Énfasis6 52_Entrada" xfId="1079"/>
    <cellStyle name="20% - Énfasis6 53" xfId="1080"/>
    <cellStyle name="20% - Énfasis6 53 2" xfId="1081"/>
    <cellStyle name="20% - Énfasis6 53_Entrada" xfId="1082"/>
    <cellStyle name="20% - Énfasis6 54" xfId="1083"/>
    <cellStyle name="20% - Énfasis6 54 2" xfId="1084"/>
    <cellStyle name="20% - Énfasis6 54_Entrada" xfId="1085"/>
    <cellStyle name="20% - Énfasis6 55" xfId="1086"/>
    <cellStyle name="20% - Énfasis6 55 2" xfId="1087"/>
    <cellStyle name="20% - Énfasis6 55_Entrada" xfId="1088"/>
    <cellStyle name="20% - Énfasis6 56" xfId="1089"/>
    <cellStyle name="20% - Énfasis6 56 2" xfId="1090"/>
    <cellStyle name="20% - Énfasis6 56_Entrada" xfId="1091"/>
    <cellStyle name="20% - Énfasis6 57" xfId="1092"/>
    <cellStyle name="20% - Énfasis6 57 2" xfId="1093"/>
    <cellStyle name="20% - Énfasis6 57_Entrada" xfId="1094"/>
    <cellStyle name="20% - Énfasis6 58" xfId="1095"/>
    <cellStyle name="20% - Énfasis6 58 2" xfId="1096"/>
    <cellStyle name="20% - Énfasis6 58_Entrada" xfId="1097"/>
    <cellStyle name="20% - Énfasis6 59" xfId="1098"/>
    <cellStyle name="20% - Énfasis6 59 2" xfId="1099"/>
    <cellStyle name="20% - Énfasis6 59_Entrada" xfId="1100"/>
    <cellStyle name="20% - Énfasis6 6" xfId="1101"/>
    <cellStyle name="20% - Énfasis6 6 2" xfId="1102"/>
    <cellStyle name="20% - Énfasis6 6_Entrada" xfId="1103"/>
    <cellStyle name="20% - Énfasis6 60" xfId="1104"/>
    <cellStyle name="20% - Énfasis6 60 2" xfId="1105"/>
    <cellStyle name="20% - Énfasis6 60_Entrada" xfId="1106"/>
    <cellStyle name="20% - Énfasis6 61" xfId="1107"/>
    <cellStyle name="20% - Énfasis6 7" xfId="1108"/>
    <cellStyle name="20% - Énfasis6 7 2" xfId="1109"/>
    <cellStyle name="20% - Énfasis6 7_Entrada" xfId="1110"/>
    <cellStyle name="20% - Énfasis6 8" xfId="1111"/>
    <cellStyle name="20% - Énfasis6 8 2" xfId="1112"/>
    <cellStyle name="20% - Énfasis6 8_Entrada" xfId="1113"/>
    <cellStyle name="20% - Énfasis6 9" xfId="1114"/>
    <cellStyle name="20% - Énfasis6 9 2" xfId="1115"/>
    <cellStyle name="20% - Énfasis6 9_Entrada" xfId="1116"/>
    <cellStyle name="40% - Énfasis1 10" xfId="1117"/>
    <cellStyle name="40% - Énfasis1 10 2" xfId="1118"/>
    <cellStyle name="40% - Énfasis1 10_Entrada" xfId="1119"/>
    <cellStyle name="40% - Énfasis1 11" xfId="1120"/>
    <cellStyle name="40% - Énfasis1 11 2" xfId="1121"/>
    <cellStyle name="40% - Énfasis1 11_Entrada" xfId="1122"/>
    <cellStyle name="40% - Énfasis1 12" xfId="1123"/>
    <cellStyle name="40% - Énfasis1 12 2" xfId="1124"/>
    <cellStyle name="40% - Énfasis1 12_Entrada" xfId="1125"/>
    <cellStyle name="40% - Énfasis1 13" xfId="1126"/>
    <cellStyle name="40% - Énfasis1 13 2" xfId="1127"/>
    <cellStyle name="40% - Énfasis1 13_Entrada" xfId="1128"/>
    <cellStyle name="40% - Énfasis1 14" xfId="1129"/>
    <cellStyle name="40% - Énfasis1 14 2" xfId="1130"/>
    <cellStyle name="40% - Énfasis1 14_Entrada" xfId="1131"/>
    <cellStyle name="40% - Énfasis1 15" xfId="1132"/>
    <cellStyle name="40% - Énfasis1 15 2" xfId="1133"/>
    <cellStyle name="40% - Énfasis1 15_Entrada" xfId="1134"/>
    <cellStyle name="40% - Énfasis1 16" xfId="1135"/>
    <cellStyle name="40% - Énfasis1 16 2" xfId="1136"/>
    <cellStyle name="40% - Énfasis1 16_Entrada" xfId="1137"/>
    <cellStyle name="40% - Énfasis1 17" xfId="1138"/>
    <cellStyle name="40% - Énfasis1 17 2" xfId="1139"/>
    <cellStyle name="40% - Énfasis1 17_Entrada" xfId="1140"/>
    <cellStyle name="40% - Énfasis1 18" xfId="1141"/>
    <cellStyle name="40% - Énfasis1 18 2" xfId="1142"/>
    <cellStyle name="40% - Énfasis1 18_Entrada" xfId="1143"/>
    <cellStyle name="40% - Énfasis1 19" xfId="1144"/>
    <cellStyle name="40% - Énfasis1 19 2" xfId="1145"/>
    <cellStyle name="40% - Énfasis1 19_Entrada" xfId="1146"/>
    <cellStyle name="40% - Énfasis1 2" xfId="1147"/>
    <cellStyle name="40% - Énfasis1 2 2" xfId="1148"/>
    <cellStyle name="40% - Énfasis1 2_Entrada" xfId="1149"/>
    <cellStyle name="40% - Énfasis1 20" xfId="1150"/>
    <cellStyle name="40% - Énfasis1 20 2" xfId="1151"/>
    <cellStyle name="40% - Énfasis1 20_Entrada" xfId="1152"/>
    <cellStyle name="40% - Énfasis1 21" xfId="1153"/>
    <cellStyle name="40% - Énfasis1 21 2" xfId="1154"/>
    <cellStyle name="40% - Énfasis1 21_Entrada" xfId="1155"/>
    <cellStyle name="40% - Énfasis1 22" xfId="1156"/>
    <cellStyle name="40% - Énfasis1 22 2" xfId="1157"/>
    <cellStyle name="40% - Énfasis1 22_Entrada" xfId="1158"/>
    <cellStyle name="40% - Énfasis1 23" xfId="1159"/>
    <cellStyle name="40% - Énfasis1 23 2" xfId="1160"/>
    <cellStyle name="40% - Énfasis1 23_Entrada" xfId="1161"/>
    <cellStyle name="40% - Énfasis1 24" xfId="1162"/>
    <cellStyle name="40% - Énfasis1 24 2" xfId="1163"/>
    <cellStyle name="40% - Énfasis1 24_Entrada" xfId="1164"/>
    <cellStyle name="40% - Énfasis1 25" xfId="1165"/>
    <cellStyle name="40% - Énfasis1 25 2" xfId="1166"/>
    <cellStyle name="40% - Énfasis1 25_Entrada" xfId="1167"/>
    <cellStyle name="40% - Énfasis1 26" xfId="1168"/>
    <cellStyle name="40% - Énfasis1 26 2" xfId="1169"/>
    <cellStyle name="40% - Énfasis1 26_Entrada" xfId="1170"/>
    <cellStyle name="40% - Énfasis1 27" xfId="1171"/>
    <cellStyle name="40% - Énfasis1 27 2" xfId="1172"/>
    <cellStyle name="40% - Énfasis1 27_Entrada" xfId="1173"/>
    <cellStyle name="40% - Énfasis1 28" xfId="1174"/>
    <cellStyle name="40% - Énfasis1 28 2" xfId="1175"/>
    <cellStyle name="40% - Énfasis1 28_Entrada" xfId="1176"/>
    <cellStyle name="40% - Énfasis1 29" xfId="1177"/>
    <cellStyle name="40% - Énfasis1 29 2" xfId="1178"/>
    <cellStyle name="40% - Énfasis1 29_Entrada" xfId="1179"/>
    <cellStyle name="40% - Énfasis1 3" xfId="1180"/>
    <cellStyle name="40% - Énfasis1 3 2" xfId="1181"/>
    <cellStyle name="40% - Énfasis1 3 3" xfId="1182"/>
    <cellStyle name="40% - Énfasis1 30" xfId="1183"/>
    <cellStyle name="40% - Énfasis1 30 2" xfId="1184"/>
    <cellStyle name="40% - Énfasis1 30_Entrada" xfId="1185"/>
    <cellStyle name="40% - Énfasis1 31" xfId="1186"/>
    <cellStyle name="40% - Énfasis1 31 2" xfId="1187"/>
    <cellStyle name="40% - Énfasis1 31_Entrada" xfId="1188"/>
    <cellStyle name="40% - Énfasis1 32" xfId="1189"/>
    <cellStyle name="40% - Énfasis1 32 2" xfId="1190"/>
    <cellStyle name="40% - Énfasis1 32_Entrada" xfId="1191"/>
    <cellStyle name="40% - Énfasis1 33" xfId="1192"/>
    <cellStyle name="40% - Énfasis1 33 2" xfId="1193"/>
    <cellStyle name="40% - Énfasis1 33_Entrada" xfId="1194"/>
    <cellStyle name="40% - Énfasis1 34" xfId="1195"/>
    <cellStyle name="40% - Énfasis1 34 2" xfId="1196"/>
    <cellStyle name="40% - Énfasis1 34_Entrada" xfId="1197"/>
    <cellStyle name="40% - Énfasis1 35" xfId="1198"/>
    <cellStyle name="40% - Énfasis1 35 2" xfId="1199"/>
    <cellStyle name="40% - Énfasis1 35_Entrada" xfId="1200"/>
    <cellStyle name="40% - Énfasis1 36" xfId="1201"/>
    <cellStyle name="40% - Énfasis1 36 2" xfId="1202"/>
    <cellStyle name="40% - Énfasis1 36_Entrada" xfId="1203"/>
    <cellStyle name="40% - Énfasis1 37" xfId="1204"/>
    <cellStyle name="40% - Énfasis1 37 2" xfId="1205"/>
    <cellStyle name="40% - Énfasis1 37_Entrada" xfId="1206"/>
    <cellStyle name="40% - Énfasis1 38" xfId="1207"/>
    <cellStyle name="40% - Énfasis1 38 2" xfId="1208"/>
    <cellStyle name="40% - Énfasis1 38_Entrada" xfId="1209"/>
    <cellStyle name="40% - Énfasis1 39" xfId="1210"/>
    <cellStyle name="40% - Énfasis1 39 2" xfId="1211"/>
    <cellStyle name="40% - Énfasis1 39_Entrada" xfId="1212"/>
    <cellStyle name="40% - Énfasis1 4" xfId="1213"/>
    <cellStyle name="40% - Énfasis1 4 2" xfId="1214"/>
    <cellStyle name="40% - Énfasis1 4_Entrada" xfId="1215"/>
    <cellStyle name="40% - Énfasis1 40" xfId="1216"/>
    <cellStyle name="40% - Énfasis1 40 2" xfId="1217"/>
    <cellStyle name="40% - Énfasis1 40_Entrada" xfId="1218"/>
    <cellStyle name="40% - Énfasis1 41" xfId="1219"/>
    <cellStyle name="40% - Énfasis1 41 2" xfId="1220"/>
    <cellStyle name="40% - Énfasis1 41_Entrada" xfId="1221"/>
    <cellStyle name="40% - Énfasis1 42" xfId="1222"/>
    <cellStyle name="40% - Énfasis1 42 2" xfId="1223"/>
    <cellStyle name="40% - Énfasis1 42_Entrada" xfId="1224"/>
    <cellStyle name="40% - Énfasis1 43" xfId="1225"/>
    <cellStyle name="40% - Énfasis1 43 2" xfId="1226"/>
    <cellStyle name="40% - Énfasis1 43_Entrada" xfId="1227"/>
    <cellStyle name="40% - Énfasis1 44" xfId="1228"/>
    <cellStyle name="40% - Énfasis1 44 2" xfId="1229"/>
    <cellStyle name="40% - Énfasis1 44_Entrada" xfId="1230"/>
    <cellStyle name="40% - Énfasis1 45" xfId="1231"/>
    <cellStyle name="40% - Énfasis1 45 2" xfId="1232"/>
    <cellStyle name="40% - Énfasis1 45_Entrada" xfId="1233"/>
    <cellStyle name="40% - Énfasis1 46" xfId="1234"/>
    <cellStyle name="40% - Énfasis1 46 2" xfId="1235"/>
    <cellStyle name="40% - Énfasis1 46_Entrada" xfId="1236"/>
    <cellStyle name="40% - Énfasis1 47" xfId="1237"/>
    <cellStyle name="40% - Énfasis1 47 2" xfId="1238"/>
    <cellStyle name="40% - Énfasis1 47_Entrada" xfId="1239"/>
    <cellStyle name="40% - Énfasis1 48" xfId="1240"/>
    <cellStyle name="40% - Énfasis1 48 2" xfId="1241"/>
    <cellStyle name="40% - Énfasis1 48_Entrada" xfId="1242"/>
    <cellStyle name="40% - Énfasis1 49" xfId="1243"/>
    <cellStyle name="40% - Énfasis1 49 2" xfId="1244"/>
    <cellStyle name="40% - Énfasis1 49_Entrada" xfId="1245"/>
    <cellStyle name="40% - Énfasis1 5" xfId="1246"/>
    <cellStyle name="40% - Énfasis1 5 2" xfId="1247"/>
    <cellStyle name="40% - Énfasis1 5_Entrada" xfId="1248"/>
    <cellStyle name="40% - Énfasis1 50" xfId="1249"/>
    <cellStyle name="40% - Énfasis1 50 2" xfId="1250"/>
    <cellStyle name="40% - Énfasis1 50_Entrada" xfId="1251"/>
    <cellStyle name="40% - Énfasis1 51" xfId="1252"/>
    <cellStyle name="40% - Énfasis1 51 2" xfId="1253"/>
    <cellStyle name="40% - Énfasis1 51_Entrada" xfId="1254"/>
    <cellStyle name="40% - Énfasis1 52" xfId="1255"/>
    <cellStyle name="40% - Énfasis1 52 2" xfId="1256"/>
    <cellStyle name="40% - Énfasis1 52_Entrada" xfId="1257"/>
    <cellStyle name="40% - Énfasis1 53" xfId="1258"/>
    <cellStyle name="40% - Énfasis1 53 2" xfId="1259"/>
    <cellStyle name="40% - Énfasis1 53_Entrada" xfId="1260"/>
    <cellStyle name="40% - Énfasis1 54" xfId="1261"/>
    <cellStyle name="40% - Énfasis1 54 2" xfId="1262"/>
    <cellStyle name="40% - Énfasis1 54_Entrada" xfId="1263"/>
    <cellStyle name="40% - Énfasis1 55" xfId="1264"/>
    <cellStyle name="40% - Énfasis1 55 2" xfId="1265"/>
    <cellStyle name="40% - Énfasis1 55_Entrada" xfId="1266"/>
    <cellStyle name="40% - Énfasis1 56" xfId="1267"/>
    <cellStyle name="40% - Énfasis1 56 2" xfId="1268"/>
    <cellStyle name="40% - Énfasis1 56_Entrada" xfId="1269"/>
    <cellStyle name="40% - Énfasis1 57" xfId="1270"/>
    <cellStyle name="40% - Énfasis1 57 2" xfId="1271"/>
    <cellStyle name="40% - Énfasis1 57_Entrada" xfId="1272"/>
    <cellStyle name="40% - Énfasis1 58" xfId="1273"/>
    <cellStyle name="40% - Énfasis1 58 2" xfId="1274"/>
    <cellStyle name="40% - Énfasis1 58_Entrada" xfId="1275"/>
    <cellStyle name="40% - Énfasis1 59" xfId="1276"/>
    <cellStyle name="40% - Énfasis1 59 2" xfId="1277"/>
    <cellStyle name="40% - Énfasis1 59_Entrada" xfId="1278"/>
    <cellStyle name="40% - Énfasis1 6" xfId="1279"/>
    <cellStyle name="40% - Énfasis1 6 2" xfId="1280"/>
    <cellStyle name="40% - Énfasis1 6_Entrada" xfId="1281"/>
    <cellStyle name="40% - Énfasis1 60" xfId="1282"/>
    <cellStyle name="40% - Énfasis1 60 2" xfId="1283"/>
    <cellStyle name="40% - Énfasis1 60_Entrada" xfId="1284"/>
    <cellStyle name="40% - Énfasis1 61" xfId="1285"/>
    <cellStyle name="40% - Énfasis1 7" xfId="1286"/>
    <cellStyle name="40% - Énfasis1 7 2" xfId="1287"/>
    <cellStyle name="40% - Énfasis1 7_Entrada" xfId="1288"/>
    <cellStyle name="40% - Énfasis1 8" xfId="1289"/>
    <cellStyle name="40% - Énfasis1 8 2" xfId="1290"/>
    <cellStyle name="40% - Énfasis1 8_Entrada" xfId="1291"/>
    <cellStyle name="40% - Énfasis1 9" xfId="1292"/>
    <cellStyle name="40% - Énfasis1 9 2" xfId="1293"/>
    <cellStyle name="40% - Énfasis1 9_Entrada" xfId="1294"/>
    <cellStyle name="40% - Énfasis2 10" xfId="1295"/>
    <cellStyle name="40% - Énfasis2 10 2" xfId="1296"/>
    <cellStyle name="40% - Énfasis2 10_Entrada" xfId="1297"/>
    <cellStyle name="40% - Énfasis2 11" xfId="1298"/>
    <cellStyle name="40% - Énfasis2 11 2" xfId="1299"/>
    <cellStyle name="40% - Énfasis2 11_Entrada" xfId="1300"/>
    <cellStyle name="40% - Énfasis2 12" xfId="1301"/>
    <cellStyle name="40% - Énfasis2 12 2" xfId="1302"/>
    <cellStyle name="40% - Énfasis2 12_Entrada" xfId="1303"/>
    <cellStyle name="40% - Énfasis2 13" xfId="1304"/>
    <cellStyle name="40% - Énfasis2 13 2" xfId="1305"/>
    <cellStyle name="40% - Énfasis2 13_Entrada" xfId="1306"/>
    <cellStyle name="40% - Énfasis2 14" xfId="1307"/>
    <cellStyle name="40% - Énfasis2 14 2" xfId="1308"/>
    <cellStyle name="40% - Énfasis2 14_Entrada" xfId="1309"/>
    <cellStyle name="40% - Énfasis2 15" xfId="1310"/>
    <cellStyle name="40% - Énfasis2 15 2" xfId="1311"/>
    <cellStyle name="40% - Énfasis2 15_Entrada" xfId="1312"/>
    <cellStyle name="40% - Énfasis2 16" xfId="1313"/>
    <cellStyle name="40% - Énfasis2 16 2" xfId="1314"/>
    <cellStyle name="40% - Énfasis2 16_Entrada" xfId="1315"/>
    <cellStyle name="40% - Énfasis2 17" xfId="1316"/>
    <cellStyle name="40% - Énfasis2 17 2" xfId="1317"/>
    <cellStyle name="40% - Énfasis2 17_Entrada" xfId="1318"/>
    <cellStyle name="40% - Énfasis2 18" xfId="1319"/>
    <cellStyle name="40% - Énfasis2 18 2" xfId="1320"/>
    <cellStyle name="40% - Énfasis2 18_Entrada" xfId="1321"/>
    <cellStyle name="40% - Énfasis2 19" xfId="1322"/>
    <cellStyle name="40% - Énfasis2 19 2" xfId="1323"/>
    <cellStyle name="40% - Énfasis2 19_Entrada" xfId="1324"/>
    <cellStyle name="40% - Énfasis2 2" xfId="1325"/>
    <cellStyle name="40% - Énfasis2 2 2" xfId="1326"/>
    <cellStyle name="40% - Énfasis2 2_Entrada" xfId="1327"/>
    <cellStyle name="40% - Énfasis2 20" xfId="1328"/>
    <cellStyle name="40% - Énfasis2 20 2" xfId="1329"/>
    <cellStyle name="40% - Énfasis2 20_Entrada" xfId="1330"/>
    <cellStyle name="40% - Énfasis2 21" xfId="1331"/>
    <cellStyle name="40% - Énfasis2 21 2" xfId="1332"/>
    <cellStyle name="40% - Énfasis2 21_Entrada" xfId="1333"/>
    <cellStyle name="40% - Énfasis2 22" xfId="1334"/>
    <cellStyle name="40% - Énfasis2 22 2" xfId="1335"/>
    <cellStyle name="40% - Énfasis2 22_Entrada" xfId="1336"/>
    <cellStyle name="40% - Énfasis2 23" xfId="1337"/>
    <cellStyle name="40% - Énfasis2 23 2" xfId="1338"/>
    <cellStyle name="40% - Énfasis2 23_Entrada" xfId="1339"/>
    <cellStyle name="40% - Énfasis2 24" xfId="1340"/>
    <cellStyle name="40% - Énfasis2 24 2" xfId="1341"/>
    <cellStyle name="40% - Énfasis2 24_Entrada" xfId="1342"/>
    <cellStyle name="40% - Énfasis2 25" xfId="1343"/>
    <cellStyle name="40% - Énfasis2 25 2" xfId="1344"/>
    <cellStyle name="40% - Énfasis2 25_Entrada" xfId="1345"/>
    <cellStyle name="40% - Énfasis2 26" xfId="1346"/>
    <cellStyle name="40% - Énfasis2 26 2" xfId="1347"/>
    <cellStyle name="40% - Énfasis2 26_Entrada" xfId="1348"/>
    <cellStyle name="40% - Énfasis2 27" xfId="1349"/>
    <cellStyle name="40% - Énfasis2 27 2" xfId="1350"/>
    <cellStyle name="40% - Énfasis2 27_Entrada" xfId="1351"/>
    <cellStyle name="40% - Énfasis2 28" xfId="1352"/>
    <cellStyle name="40% - Énfasis2 28 2" xfId="1353"/>
    <cellStyle name="40% - Énfasis2 28_Entrada" xfId="1354"/>
    <cellStyle name="40% - Énfasis2 29" xfId="1355"/>
    <cellStyle name="40% - Énfasis2 29 2" xfId="1356"/>
    <cellStyle name="40% - Énfasis2 29_Entrada" xfId="1357"/>
    <cellStyle name="40% - Énfasis2 3" xfId="1358"/>
    <cellStyle name="40% - Énfasis2 3 2" xfId="1359"/>
    <cellStyle name="40% - Énfasis2 3 3" xfId="1360"/>
    <cellStyle name="40% - Énfasis2 30" xfId="1361"/>
    <cellStyle name="40% - Énfasis2 30 2" xfId="1362"/>
    <cellStyle name="40% - Énfasis2 30_Entrada" xfId="1363"/>
    <cellStyle name="40% - Énfasis2 31" xfId="1364"/>
    <cellStyle name="40% - Énfasis2 31 2" xfId="1365"/>
    <cellStyle name="40% - Énfasis2 31_Entrada" xfId="1366"/>
    <cellStyle name="40% - Énfasis2 32" xfId="1367"/>
    <cellStyle name="40% - Énfasis2 32 2" xfId="1368"/>
    <cellStyle name="40% - Énfasis2 32_Entrada" xfId="1369"/>
    <cellStyle name="40% - Énfasis2 33" xfId="1370"/>
    <cellStyle name="40% - Énfasis2 33 2" xfId="1371"/>
    <cellStyle name="40% - Énfasis2 33_Entrada" xfId="1372"/>
    <cellStyle name="40% - Énfasis2 34" xfId="1373"/>
    <cellStyle name="40% - Énfasis2 34 2" xfId="1374"/>
    <cellStyle name="40% - Énfasis2 34_Entrada" xfId="1375"/>
    <cellStyle name="40% - Énfasis2 35" xfId="1376"/>
    <cellStyle name="40% - Énfasis2 35 2" xfId="1377"/>
    <cellStyle name="40% - Énfasis2 35_Entrada" xfId="1378"/>
    <cellStyle name="40% - Énfasis2 36" xfId="1379"/>
    <cellStyle name="40% - Énfasis2 36 2" xfId="1380"/>
    <cellStyle name="40% - Énfasis2 36_Entrada" xfId="1381"/>
    <cellStyle name="40% - Énfasis2 37" xfId="1382"/>
    <cellStyle name="40% - Énfasis2 37 2" xfId="1383"/>
    <cellStyle name="40% - Énfasis2 37_Entrada" xfId="1384"/>
    <cellStyle name="40% - Énfasis2 38" xfId="1385"/>
    <cellStyle name="40% - Énfasis2 38 2" xfId="1386"/>
    <cellStyle name="40% - Énfasis2 38_Entrada" xfId="1387"/>
    <cellStyle name="40% - Énfasis2 39" xfId="1388"/>
    <cellStyle name="40% - Énfasis2 39 2" xfId="1389"/>
    <cellStyle name="40% - Énfasis2 39_Entrada" xfId="1390"/>
    <cellStyle name="40% - Énfasis2 4" xfId="1391"/>
    <cellStyle name="40% - Énfasis2 4 2" xfId="1392"/>
    <cellStyle name="40% - Énfasis2 4_Entrada" xfId="1393"/>
    <cellStyle name="40% - Énfasis2 40" xfId="1394"/>
    <cellStyle name="40% - Énfasis2 40 2" xfId="1395"/>
    <cellStyle name="40% - Énfasis2 40_Entrada" xfId="1396"/>
    <cellStyle name="40% - Énfasis2 41" xfId="1397"/>
    <cellStyle name="40% - Énfasis2 41 2" xfId="1398"/>
    <cellStyle name="40% - Énfasis2 41_Entrada" xfId="1399"/>
    <cellStyle name="40% - Énfasis2 42" xfId="1400"/>
    <cellStyle name="40% - Énfasis2 42 2" xfId="1401"/>
    <cellStyle name="40% - Énfasis2 42_Entrada" xfId="1402"/>
    <cellStyle name="40% - Énfasis2 43" xfId="1403"/>
    <cellStyle name="40% - Énfasis2 43 2" xfId="1404"/>
    <cellStyle name="40% - Énfasis2 43_Entrada" xfId="1405"/>
    <cellStyle name="40% - Énfasis2 44" xfId="1406"/>
    <cellStyle name="40% - Énfasis2 44 2" xfId="1407"/>
    <cellStyle name="40% - Énfasis2 44_Entrada" xfId="1408"/>
    <cellStyle name="40% - Énfasis2 45" xfId="1409"/>
    <cellStyle name="40% - Énfasis2 45 2" xfId="1410"/>
    <cellStyle name="40% - Énfasis2 45_Entrada" xfId="1411"/>
    <cellStyle name="40% - Énfasis2 46" xfId="1412"/>
    <cellStyle name="40% - Énfasis2 46 2" xfId="1413"/>
    <cellStyle name="40% - Énfasis2 46_Entrada" xfId="1414"/>
    <cellStyle name="40% - Énfasis2 47" xfId="1415"/>
    <cellStyle name="40% - Énfasis2 47 2" xfId="1416"/>
    <cellStyle name="40% - Énfasis2 47_Entrada" xfId="1417"/>
    <cellStyle name="40% - Énfasis2 48" xfId="1418"/>
    <cellStyle name="40% - Énfasis2 48 2" xfId="1419"/>
    <cellStyle name="40% - Énfasis2 48_Entrada" xfId="1420"/>
    <cellStyle name="40% - Énfasis2 49" xfId="1421"/>
    <cellStyle name="40% - Énfasis2 49 2" xfId="1422"/>
    <cellStyle name="40% - Énfasis2 49_Entrada" xfId="1423"/>
    <cellStyle name="40% - Énfasis2 5" xfId="1424"/>
    <cellStyle name="40% - Énfasis2 5 2" xfId="1425"/>
    <cellStyle name="40% - Énfasis2 5_Entrada" xfId="1426"/>
    <cellStyle name="40% - Énfasis2 50" xfId="1427"/>
    <cellStyle name="40% - Énfasis2 50 2" xfId="1428"/>
    <cellStyle name="40% - Énfasis2 50_Entrada" xfId="1429"/>
    <cellStyle name="40% - Énfasis2 51" xfId="1430"/>
    <cellStyle name="40% - Énfasis2 51 2" xfId="1431"/>
    <cellStyle name="40% - Énfasis2 51_Entrada" xfId="1432"/>
    <cellStyle name="40% - Énfasis2 52" xfId="1433"/>
    <cellStyle name="40% - Énfasis2 52 2" xfId="1434"/>
    <cellStyle name="40% - Énfasis2 52_Entrada" xfId="1435"/>
    <cellStyle name="40% - Énfasis2 53" xfId="1436"/>
    <cellStyle name="40% - Énfasis2 53 2" xfId="1437"/>
    <cellStyle name="40% - Énfasis2 53_Entrada" xfId="1438"/>
    <cellStyle name="40% - Énfasis2 54" xfId="1439"/>
    <cellStyle name="40% - Énfasis2 54 2" xfId="1440"/>
    <cellStyle name="40% - Énfasis2 54_Entrada" xfId="1441"/>
    <cellStyle name="40% - Énfasis2 55" xfId="1442"/>
    <cellStyle name="40% - Énfasis2 55 2" xfId="1443"/>
    <cellStyle name="40% - Énfasis2 55_Entrada" xfId="1444"/>
    <cellStyle name="40% - Énfasis2 56" xfId="1445"/>
    <cellStyle name="40% - Énfasis2 56 2" xfId="1446"/>
    <cellStyle name="40% - Énfasis2 56_Entrada" xfId="1447"/>
    <cellStyle name="40% - Énfasis2 57" xfId="1448"/>
    <cellStyle name="40% - Énfasis2 57 2" xfId="1449"/>
    <cellStyle name="40% - Énfasis2 57_Entrada" xfId="1450"/>
    <cellStyle name="40% - Énfasis2 58" xfId="1451"/>
    <cellStyle name="40% - Énfasis2 58 2" xfId="1452"/>
    <cellStyle name="40% - Énfasis2 58_Entrada" xfId="1453"/>
    <cellStyle name="40% - Énfasis2 59" xfId="1454"/>
    <cellStyle name="40% - Énfasis2 59 2" xfId="1455"/>
    <cellStyle name="40% - Énfasis2 59_Entrada" xfId="1456"/>
    <cellStyle name="40% - Énfasis2 6" xfId="1457"/>
    <cellStyle name="40% - Énfasis2 6 2" xfId="1458"/>
    <cellStyle name="40% - Énfasis2 6_Entrada" xfId="1459"/>
    <cellStyle name="40% - Énfasis2 60" xfId="1460"/>
    <cellStyle name="40% - Énfasis2 60 2" xfId="1461"/>
    <cellStyle name="40% - Énfasis2 60_Entrada" xfId="1462"/>
    <cellStyle name="40% - Énfasis2 61" xfId="1463"/>
    <cellStyle name="40% - Énfasis2 7" xfId="1464"/>
    <cellStyle name="40% - Énfasis2 7 2" xfId="1465"/>
    <cellStyle name="40% - Énfasis2 7_Entrada" xfId="1466"/>
    <cellStyle name="40% - Énfasis2 8" xfId="1467"/>
    <cellStyle name="40% - Énfasis2 8 2" xfId="1468"/>
    <cellStyle name="40% - Énfasis2 8_Entrada" xfId="1469"/>
    <cellStyle name="40% - Énfasis2 9" xfId="1470"/>
    <cellStyle name="40% - Énfasis2 9 2" xfId="1471"/>
    <cellStyle name="40% - Énfasis2 9_Entrada" xfId="1472"/>
    <cellStyle name="40% - Énfasis3 10" xfId="1473"/>
    <cellStyle name="40% - Énfasis3 10 2" xfId="1474"/>
    <cellStyle name="40% - Énfasis3 10_Entrada" xfId="1475"/>
    <cellStyle name="40% - Énfasis3 11" xfId="1476"/>
    <cellStyle name="40% - Énfasis3 11 2" xfId="1477"/>
    <cellStyle name="40% - Énfasis3 11_Entrada" xfId="1478"/>
    <cellStyle name="40% - Énfasis3 12" xfId="1479"/>
    <cellStyle name="40% - Énfasis3 12 2" xfId="1480"/>
    <cellStyle name="40% - Énfasis3 12_Entrada" xfId="1481"/>
    <cellStyle name="40% - Énfasis3 13" xfId="1482"/>
    <cellStyle name="40% - Énfasis3 13 2" xfId="1483"/>
    <cellStyle name="40% - Énfasis3 13_Entrada" xfId="1484"/>
    <cellStyle name="40% - Énfasis3 14" xfId="1485"/>
    <cellStyle name="40% - Énfasis3 14 2" xfId="1486"/>
    <cellStyle name="40% - Énfasis3 14_Entrada" xfId="1487"/>
    <cellStyle name="40% - Énfasis3 15" xfId="1488"/>
    <cellStyle name="40% - Énfasis3 15 2" xfId="1489"/>
    <cellStyle name="40% - Énfasis3 15_Entrada" xfId="1490"/>
    <cellStyle name="40% - Énfasis3 16" xfId="1491"/>
    <cellStyle name="40% - Énfasis3 16 2" xfId="1492"/>
    <cellStyle name="40% - Énfasis3 16_Entrada" xfId="1493"/>
    <cellStyle name="40% - Énfasis3 17" xfId="1494"/>
    <cellStyle name="40% - Énfasis3 17 2" xfId="1495"/>
    <cellStyle name="40% - Énfasis3 17_Entrada" xfId="1496"/>
    <cellStyle name="40% - Énfasis3 18" xfId="1497"/>
    <cellStyle name="40% - Énfasis3 18 2" xfId="1498"/>
    <cellStyle name="40% - Énfasis3 18_Entrada" xfId="1499"/>
    <cellStyle name="40% - Énfasis3 19" xfId="1500"/>
    <cellStyle name="40% - Énfasis3 19 2" xfId="1501"/>
    <cellStyle name="40% - Énfasis3 19_Entrada" xfId="1502"/>
    <cellStyle name="40% - Énfasis3 2" xfId="1503"/>
    <cellStyle name="40% - Énfasis3 2 2" xfId="1504"/>
    <cellStyle name="40% - Énfasis3 2_Entrada" xfId="1505"/>
    <cellStyle name="40% - Énfasis3 20" xfId="1506"/>
    <cellStyle name="40% - Énfasis3 20 2" xfId="1507"/>
    <cellStyle name="40% - Énfasis3 20_Entrada" xfId="1508"/>
    <cellStyle name="40% - Énfasis3 21" xfId="1509"/>
    <cellStyle name="40% - Énfasis3 21 2" xfId="1510"/>
    <cellStyle name="40% - Énfasis3 21_Entrada" xfId="1511"/>
    <cellStyle name="40% - Énfasis3 22" xfId="1512"/>
    <cellStyle name="40% - Énfasis3 22 2" xfId="1513"/>
    <cellStyle name="40% - Énfasis3 22_Entrada" xfId="1514"/>
    <cellStyle name="40% - Énfasis3 23" xfId="1515"/>
    <cellStyle name="40% - Énfasis3 23 2" xfId="1516"/>
    <cellStyle name="40% - Énfasis3 23_Entrada" xfId="1517"/>
    <cellStyle name="40% - Énfasis3 24" xfId="1518"/>
    <cellStyle name="40% - Énfasis3 24 2" xfId="1519"/>
    <cellStyle name="40% - Énfasis3 24_Entrada" xfId="1520"/>
    <cellStyle name="40% - Énfasis3 25" xfId="1521"/>
    <cellStyle name="40% - Énfasis3 25 2" xfId="1522"/>
    <cellStyle name="40% - Énfasis3 25_Entrada" xfId="1523"/>
    <cellStyle name="40% - Énfasis3 26" xfId="1524"/>
    <cellStyle name="40% - Énfasis3 26 2" xfId="1525"/>
    <cellStyle name="40% - Énfasis3 26_Entrada" xfId="1526"/>
    <cellStyle name="40% - Énfasis3 27" xfId="1527"/>
    <cellStyle name="40% - Énfasis3 27 2" xfId="1528"/>
    <cellStyle name="40% - Énfasis3 27_Entrada" xfId="1529"/>
    <cellStyle name="40% - Énfasis3 28" xfId="1530"/>
    <cellStyle name="40% - Énfasis3 28 2" xfId="1531"/>
    <cellStyle name="40% - Énfasis3 28_Entrada" xfId="1532"/>
    <cellStyle name="40% - Énfasis3 29" xfId="1533"/>
    <cellStyle name="40% - Énfasis3 29 2" xfId="1534"/>
    <cellStyle name="40% - Énfasis3 29_Entrada" xfId="1535"/>
    <cellStyle name="40% - Énfasis3 3" xfId="1536"/>
    <cellStyle name="40% - Énfasis3 3 2" xfId="1537"/>
    <cellStyle name="40% - Énfasis3 3 3" xfId="1538"/>
    <cellStyle name="40% - Énfasis3 30" xfId="1539"/>
    <cellStyle name="40% - Énfasis3 30 2" xfId="1540"/>
    <cellStyle name="40% - Énfasis3 30_Entrada" xfId="1541"/>
    <cellStyle name="40% - Énfasis3 31" xfId="1542"/>
    <cellStyle name="40% - Énfasis3 31 2" xfId="1543"/>
    <cellStyle name="40% - Énfasis3 31_Entrada" xfId="1544"/>
    <cellStyle name="40% - Énfasis3 32" xfId="1545"/>
    <cellStyle name="40% - Énfasis3 32 2" xfId="1546"/>
    <cellStyle name="40% - Énfasis3 32_Entrada" xfId="1547"/>
    <cellStyle name="40% - Énfasis3 33" xfId="1548"/>
    <cellStyle name="40% - Énfasis3 33 2" xfId="1549"/>
    <cellStyle name="40% - Énfasis3 33_Entrada" xfId="1550"/>
    <cellStyle name="40% - Énfasis3 34" xfId="1551"/>
    <cellStyle name="40% - Énfasis3 34 2" xfId="1552"/>
    <cellStyle name="40% - Énfasis3 34_Entrada" xfId="1553"/>
    <cellStyle name="40% - Énfasis3 35" xfId="1554"/>
    <cellStyle name="40% - Énfasis3 35 2" xfId="1555"/>
    <cellStyle name="40% - Énfasis3 35_Entrada" xfId="1556"/>
    <cellStyle name="40% - Énfasis3 36" xfId="1557"/>
    <cellStyle name="40% - Énfasis3 36 2" xfId="1558"/>
    <cellStyle name="40% - Énfasis3 36_Entrada" xfId="1559"/>
    <cellStyle name="40% - Énfasis3 37" xfId="1560"/>
    <cellStyle name="40% - Énfasis3 37 2" xfId="1561"/>
    <cellStyle name="40% - Énfasis3 37_Entrada" xfId="1562"/>
    <cellStyle name="40% - Énfasis3 38" xfId="1563"/>
    <cellStyle name="40% - Énfasis3 38 2" xfId="1564"/>
    <cellStyle name="40% - Énfasis3 38_Entrada" xfId="1565"/>
    <cellStyle name="40% - Énfasis3 39" xfId="1566"/>
    <cellStyle name="40% - Énfasis3 39 2" xfId="1567"/>
    <cellStyle name="40% - Énfasis3 39_Entrada" xfId="1568"/>
    <cellStyle name="40% - Énfasis3 4" xfId="1569"/>
    <cellStyle name="40% - Énfasis3 4 2" xfId="1570"/>
    <cellStyle name="40% - Énfasis3 4_Entrada" xfId="1571"/>
    <cellStyle name="40% - Énfasis3 40" xfId="1572"/>
    <cellStyle name="40% - Énfasis3 40 2" xfId="1573"/>
    <cellStyle name="40% - Énfasis3 40_Entrada" xfId="1574"/>
    <cellStyle name="40% - Énfasis3 41" xfId="1575"/>
    <cellStyle name="40% - Énfasis3 41 2" xfId="1576"/>
    <cellStyle name="40% - Énfasis3 41_Entrada" xfId="1577"/>
    <cellStyle name="40% - Énfasis3 42" xfId="1578"/>
    <cellStyle name="40% - Énfasis3 42 2" xfId="1579"/>
    <cellStyle name="40% - Énfasis3 42_Entrada" xfId="1580"/>
    <cellStyle name="40% - Énfasis3 43" xfId="1581"/>
    <cellStyle name="40% - Énfasis3 43 2" xfId="1582"/>
    <cellStyle name="40% - Énfasis3 43_Entrada" xfId="1583"/>
    <cellStyle name="40% - Énfasis3 44" xfId="1584"/>
    <cellStyle name="40% - Énfasis3 44 2" xfId="1585"/>
    <cellStyle name="40% - Énfasis3 44_Entrada" xfId="1586"/>
    <cellStyle name="40% - Énfasis3 45" xfId="1587"/>
    <cellStyle name="40% - Énfasis3 45 2" xfId="1588"/>
    <cellStyle name="40% - Énfasis3 45_Entrada" xfId="1589"/>
    <cellStyle name="40% - Énfasis3 46" xfId="1590"/>
    <cellStyle name="40% - Énfasis3 46 2" xfId="1591"/>
    <cellStyle name="40% - Énfasis3 46_Entrada" xfId="1592"/>
    <cellStyle name="40% - Énfasis3 47" xfId="1593"/>
    <cellStyle name="40% - Énfasis3 47 2" xfId="1594"/>
    <cellStyle name="40% - Énfasis3 47_Entrada" xfId="1595"/>
    <cellStyle name="40% - Énfasis3 48" xfId="1596"/>
    <cellStyle name="40% - Énfasis3 48 2" xfId="1597"/>
    <cellStyle name="40% - Énfasis3 48_Entrada" xfId="1598"/>
    <cellStyle name="40% - Énfasis3 49" xfId="1599"/>
    <cellStyle name="40% - Énfasis3 49 2" xfId="1600"/>
    <cellStyle name="40% - Énfasis3 49_Entrada" xfId="1601"/>
    <cellStyle name="40% - Énfasis3 5" xfId="1602"/>
    <cellStyle name="40% - Énfasis3 5 2" xfId="1603"/>
    <cellStyle name="40% - Énfasis3 5_Entrada" xfId="1604"/>
    <cellStyle name="40% - Énfasis3 50" xfId="1605"/>
    <cellStyle name="40% - Énfasis3 50 2" xfId="1606"/>
    <cellStyle name="40% - Énfasis3 50_Entrada" xfId="1607"/>
    <cellStyle name="40% - Énfasis3 51" xfId="1608"/>
    <cellStyle name="40% - Énfasis3 51 2" xfId="1609"/>
    <cellStyle name="40% - Énfasis3 51_Entrada" xfId="1610"/>
    <cellStyle name="40% - Énfasis3 52" xfId="1611"/>
    <cellStyle name="40% - Énfasis3 52 2" xfId="1612"/>
    <cellStyle name="40% - Énfasis3 52_Entrada" xfId="1613"/>
    <cellStyle name="40% - Énfasis3 53" xfId="1614"/>
    <cellStyle name="40% - Énfasis3 53 2" xfId="1615"/>
    <cellStyle name="40% - Énfasis3 53_Entrada" xfId="1616"/>
    <cellStyle name="40% - Énfasis3 54" xfId="1617"/>
    <cellStyle name="40% - Énfasis3 54 2" xfId="1618"/>
    <cellStyle name="40% - Énfasis3 54_Entrada" xfId="1619"/>
    <cellStyle name="40% - Énfasis3 55" xfId="1620"/>
    <cellStyle name="40% - Énfasis3 55 2" xfId="1621"/>
    <cellStyle name="40% - Énfasis3 55_Entrada" xfId="1622"/>
    <cellStyle name="40% - Énfasis3 56" xfId="1623"/>
    <cellStyle name="40% - Énfasis3 56 2" xfId="1624"/>
    <cellStyle name="40% - Énfasis3 56_Entrada" xfId="1625"/>
    <cellStyle name="40% - Énfasis3 57" xfId="1626"/>
    <cellStyle name="40% - Énfasis3 57 2" xfId="1627"/>
    <cellStyle name="40% - Énfasis3 57_Entrada" xfId="1628"/>
    <cellStyle name="40% - Énfasis3 58" xfId="1629"/>
    <cellStyle name="40% - Énfasis3 58 2" xfId="1630"/>
    <cellStyle name="40% - Énfasis3 58_Entrada" xfId="1631"/>
    <cellStyle name="40% - Énfasis3 59" xfId="1632"/>
    <cellStyle name="40% - Énfasis3 59 2" xfId="1633"/>
    <cellStyle name="40% - Énfasis3 59_Entrada" xfId="1634"/>
    <cellStyle name="40% - Énfasis3 6" xfId="1635"/>
    <cellStyle name="40% - Énfasis3 6 2" xfId="1636"/>
    <cellStyle name="40% - Énfasis3 6_Entrada" xfId="1637"/>
    <cellStyle name="40% - Énfasis3 60" xfId="1638"/>
    <cellStyle name="40% - Énfasis3 60 2" xfId="1639"/>
    <cellStyle name="40% - Énfasis3 60_Entrada" xfId="1640"/>
    <cellStyle name="40% - Énfasis3 61" xfId="1641"/>
    <cellStyle name="40% - Énfasis3 7" xfId="1642"/>
    <cellStyle name="40% - Énfasis3 7 2" xfId="1643"/>
    <cellStyle name="40% - Énfasis3 7_Entrada" xfId="1644"/>
    <cellStyle name="40% - Énfasis3 8" xfId="1645"/>
    <cellStyle name="40% - Énfasis3 8 2" xfId="1646"/>
    <cellStyle name="40% - Énfasis3 8_Entrada" xfId="1647"/>
    <cellStyle name="40% - Énfasis3 9" xfId="1648"/>
    <cellStyle name="40% - Énfasis3 9 2" xfId="1649"/>
    <cellStyle name="40% - Énfasis3 9_Entrada" xfId="1650"/>
    <cellStyle name="40% - Énfasis4 10" xfId="1651"/>
    <cellStyle name="40% - Énfasis4 10 2" xfId="1652"/>
    <cellStyle name="40% - Énfasis4 10_Entrada" xfId="1653"/>
    <cellStyle name="40% - Énfasis4 11" xfId="1654"/>
    <cellStyle name="40% - Énfasis4 11 2" xfId="1655"/>
    <cellStyle name="40% - Énfasis4 11_Entrada" xfId="1656"/>
    <cellStyle name="40% - Énfasis4 12" xfId="1657"/>
    <cellStyle name="40% - Énfasis4 12 2" xfId="1658"/>
    <cellStyle name="40% - Énfasis4 12_Entrada" xfId="1659"/>
    <cellStyle name="40% - Énfasis4 13" xfId="1660"/>
    <cellStyle name="40% - Énfasis4 13 2" xfId="1661"/>
    <cellStyle name="40% - Énfasis4 13_Entrada" xfId="1662"/>
    <cellStyle name="40% - Énfasis4 14" xfId="1663"/>
    <cellStyle name="40% - Énfasis4 14 2" xfId="1664"/>
    <cellStyle name="40% - Énfasis4 14_Entrada" xfId="1665"/>
    <cellStyle name="40% - Énfasis4 15" xfId="1666"/>
    <cellStyle name="40% - Énfasis4 15 2" xfId="1667"/>
    <cellStyle name="40% - Énfasis4 15_Entrada" xfId="1668"/>
    <cellStyle name="40% - Énfasis4 16" xfId="1669"/>
    <cellStyle name="40% - Énfasis4 16 2" xfId="1670"/>
    <cellStyle name="40% - Énfasis4 16_Entrada" xfId="1671"/>
    <cellStyle name="40% - Énfasis4 17" xfId="1672"/>
    <cellStyle name="40% - Énfasis4 17 2" xfId="1673"/>
    <cellStyle name="40% - Énfasis4 17_Entrada" xfId="1674"/>
    <cellStyle name="40% - Énfasis4 18" xfId="1675"/>
    <cellStyle name="40% - Énfasis4 18 2" xfId="1676"/>
    <cellStyle name="40% - Énfasis4 18_Entrada" xfId="1677"/>
    <cellStyle name="40% - Énfasis4 19" xfId="1678"/>
    <cellStyle name="40% - Énfasis4 19 2" xfId="1679"/>
    <cellStyle name="40% - Énfasis4 19_Entrada" xfId="1680"/>
    <cellStyle name="40% - Énfasis4 2" xfId="1681"/>
    <cellStyle name="40% - Énfasis4 2 2" xfId="1682"/>
    <cellStyle name="40% - Énfasis4 2_Entrada" xfId="1683"/>
    <cellStyle name="40% - Énfasis4 20" xfId="1684"/>
    <cellStyle name="40% - Énfasis4 20 2" xfId="1685"/>
    <cellStyle name="40% - Énfasis4 20_Entrada" xfId="1686"/>
    <cellStyle name="40% - Énfasis4 21" xfId="1687"/>
    <cellStyle name="40% - Énfasis4 21 2" xfId="1688"/>
    <cellStyle name="40% - Énfasis4 21_Entrada" xfId="1689"/>
    <cellStyle name="40% - Énfasis4 22" xfId="1690"/>
    <cellStyle name="40% - Énfasis4 22 2" xfId="1691"/>
    <cellStyle name="40% - Énfasis4 22_Entrada" xfId="1692"/>
    <cellStyle name="40% - Énfasis4 23" xfId="1693"/>
    <cellStyle name="40% - Énfasis4 23 2" xfId="1694"/>
    <cellStyle name="40% - Énfasis4 23_Entrada" xfId="1695"/>
    <cellStyle name="40% - Énfasis4 24" xfId="1696"/>
    <cellStyle name="40% - Énfasis4 24 2" xfId="1697"/>
    <cellStyle name="40% - Énfasis4 24_Entrada" xfId="1698"/>
    <cellStyle name="40% - Énfasis4 25" xfId="1699"/>
    <cellStyle name="40% - Énfasis4 25 2" xfId="1700"/>
    <cellStyle name="40% - Énfasis4 25_Entrada" xfId="1701"/>
    <cellStyle name="40% - Énfasis4 26" xfId="1702"/>
    <cellStyle name="40% - Énfasis4 26 2" xfId="1703"/>
    <cellStyle name="40% - Énfasis4 26_Entrada" xfId="1704"/>
    <cellStyle name="40% - Énfasis4 27" xfId="1705"/>
    <cellStyle name="40% - Énfasis4 27 2" xfId="1706"/>
    <cellStyle name="40% - Énfasis4 27_Entrada" xfId="1707"/>
    <cellStyle name="40% - Énfasis4 28" xfId="1708"/>
    <cellStyle name="40% - Énfasis4 28 2" xfId="1709"/>
    <cellStyle name="40% - Énfasis4 28_Entrada" xfId="1710"/>
    <cellStyle name="40% - Énfasis4 29" xfId="1711"/>
    <cellStyle name="40% - Énfasis4 29 2" xfId="1712"/>
    <cellStyle name="40% - Énfasis4 29_Entrada" xfId="1713"/>
    <cellStyle name="40% - Énfasis4 3" xfId="1714"/>
    <cellStyle name="40% - Énfasis4 3 2" xfId="1715"/>
    <cellStyle name="40% - Énfasis4 3 3" xfId="1716"/>
    <cellStyle name="40% - Énfasis4 30" xfId="1717"/>
    <cellStyle name="40% - Énfasis4 30 2" xfId="1718"/>
    <cellStyle name="40% - Énfasis4 30_Entrada" xfId="1719"/>
    <cellStyle name="40% - Énfasis4 31" xfId="1720"/>
    <cellStyle name="40% - Énfasis4 31 2" xfId="1721"/>
    <cellStyle name="40% - Énfasis4 31_Entrada" xfId="1722"/>
    <cellStyle name="40% - Énfasis4 32" xfId="1723"/>
    <cellStyle name="40% - Énfasis4 32 2" xfId="1724"/>
    <cellStyle name="40% - Énfasis4 32_Entrada" xfId="1725"/>
    <cellStyle name="40% - Énfasis4 33" xfId="1726"/>
    <cellStyle name="40% - Énfasis4 33 2" xfId="1727"/>
    <cellStyle name="40% - Énfasis4 33_Entrada" xfId="1728"/>
    <cellStyle name="40% - Énfasis4 34" xfId="1729"/>
    <cellStyle name="40% - Énfasis4 34 2" xfId="1730"/>
    <cellStyle name="40% - Énfasis4 34_Entrada" xfId="1731"/>
    <cellStyle name="40% - Énfasis4 35" xfId="1732"/>
    <cellStyle name="40% - Énfasis4 35 2" xfId="1733"/>
    <cellStyle name="40% - Énfasis4 35_Entrada" xfId="1734"/>
    <cellStyle name="40% - Énfasis4 36" xfId="1735"/>
    <cellStyle name="40% - Énfasis4 36 2" xfId="1736"/>
    <cellStyle name="40% - Énfasis4 36_Entrada" xfId="1737"/>
    <cellStyle name="40% - Énfasis4 37" xfId="1738"/>
    <cellStyle name="40% - Énfasis4 37 2" xfId="1739"/>
    <cellStyle name="40% - Énfasis4 37_Entrada" xfId="1740"/>
    <cellStyle name="40% - Énfasis4 38" xfId="1741"/>
    <cellStyle name="40% - Énfasis4 38 2" xfId="1742"/>
    <cellStyle name="40% - Énfasis4 38_Entrada" xfId="1743"/>
    <cellStyle name="40% - Énfasis4 39" xfId="1744"/>
    <cellStyle name="40% - Énfasis4 39 2" xfId="1745"/>
    <cellStyle name="40% - Énfasis4 39_Entrada" xfId="1746"/>
    <cellStyle name="40% - Énfasis4 4" xfId="1747"/>
    <cellStyle name="40% - Énfasis4 4 2" xfId="1748"/>
    <cellStyle name="40% - Énfasis4 4_Entrada" xfId="1749"/>
    <cellStyle name="40% - Énfasis4 40" xfId="1750"/>
    <cellStyle name="40% - Énfasis4 40 2" xfId="1751"/>
    <cellStyle name="40% - Énfasis4 40_Entrada" xfId="1752"/>
    <cellStyle name="40% - Énfasis4 41" xfId="1753"/>
    <cellStyle name="40% - Énfasis4 41 2" xfId="1754"/>
    <cellStyle name="40% - Énfasis4 41_Entrada" xfId="1755"/>
    <cellStyle name="40% - Énfasis4 42" xfId="1756"/>
    <cellStyle name="40% - Énfasis4 42 2" xfId="1757"/>
    <cellStyle name="40% - Énfasis4 42_Entrada" xfId="1758"/>
    <cellStyle name="40% - Énfasis4 43" xfId="1759"/>
    <cellStyle name="40% - Énfasis4 43 2" xfId="1760"/>
    <cellStyle name="40% - Énfasis4 43_Entrada" xfId="1761"/>
    <cellStyle name="40% - Énfasis4 44" xfId="1762"/>
    <cellStyle name="40% - Énfasis4 44 2" xfId="1763"/>
    <cellStyle name="40% - Énfasis4 44_Entrada" xfId="1764"/>
    <cellStyle name="40% - Énfasis4 45" xfId="1765"/>
    <cellStyle name="40% - Énfasis4 45 2" xfId="1766"/>
    <cellStyle name="40% - Énfasis4 45_Entrada" xfId="1767"/>
    <cellStyle name="40% - Énfasis4 46" xfId="1768"/>
    <cellStyle name="40% - Énfasis4 46 2" xfId="1769"/>
    <cellStyle name="40% - Énfasis4 46_Entrada" xfId="1770"/>
    <cellStyle name="40% - Énfasis4 47" xfId="1771"/>
    <cellStyle name="40% - Énfasis4 47 2" xfId="1772"/>
    <cellStyle name="40% - Énfasis4 47_Entrada" xfId="1773"/>
    <cellStyle name="40% - Énfasis4 48" xfId="1774"/>
    <cellStyle name="40% - Énfasis4 48 2" xfId="1775"/>
    <cellStyle name="40% - Énfasis4 48_Entrada" xfId="1776"/>
    <cellStyle name="40% - Énfasis4 49" xfId="1777"/>
    <cellStyle name="40% - Énfasis4 49 2" xfId="1778"/>
    <cellStyle name="40% - Énfasis4 49_Entrada" xfId="1779"/>
    <cellStyle name="40% - Énfasis4 5" xfId="1780"/>
    <cellStyle name="40% - Énfasis4 5 2" xfId="1781"/>
    <cellStyle name="40% - Énfasis4 5_Entrada" xfId="1782"/>
    <cellStyle name="40% - Énfasis4 50" xfId="1783"/>
    <cellStyle name="40% - Énfasis4 50 2" xfId="1784"/>
    <cellStyle name="40% - Énfasis4 50_Entrada" xfId="1785"/>
    <cellStyle name="40% - Énfasis4 51" xfId="1786"/>
    <cellStyle name="40% - Énfasis4 51 2" xfId="1787"/>
    <cellStyle name="40% - Énfasis4 51_Entrada" xfId="1788"/>
    <cellStyle name="40% - Énfasis4 52" xfId="1789"/>
    <cellStyle name="40% - Énfasis4 52 2" xfId="1790"/>
    <cellStyle name="40% - Énfasis4 52_Entrada" xfId="1791"/>
    <cellStyle name="40% - Énfasis4 53" xfId="1792"/>
    <cellStyle name="40% - Énfasis4 53 2" xfId="1793"/>
    <cellStyle name="40% - Énfasis4 53_Entrada" xfId="1794"/>
    <cellStyle name="40% - Énfasis4 54" xfId="1795"/>
    <cellStyle name="40% - Énfasis4 54 2" xfId="1796"/>
    <cellStyle name="40% - Énfasis4 54_Entrada" xfId="1797"/>
    <cellStyle name="40% - Énfasis4 55" xfId="1798"/>
    <cellStyle name="40% - Énfasis4 55 2" xfId="1799"/>
    <cellStyle name="40% - Énfasis4 55_Entrada" xfId="1800"/>
    <cellStyle name="40% - Énfasis4 56" xfId="1801"/>
    <cellStyle name="40% - Énfasis4 56 2" xfId="1802"/>
    <cellStyle name="40% - Énfasis4 56_Entrada" xfId="1803"/>
    <cellStyle name="40% - Énfasis4 57" xfId="1804"/>
    <cellStyle name="40% - Énfasis4 57 2" xfId="1805"/>
    <cellStyle name="40% - Énfasis4 57_Entrada" xfId="1806"/>
    <cellStyle name="40% - Énfasis4 58" xfId="1807"/>
    <cellStyle name="40% - Énfasis4 58 2" xfId="1808"/>
    <cellStyle name="40% - Énfasis4 58_Entrada" xfId="1809"/>
    <cellStyle name="40% - Énfasis4 59" xfId="1810"/>
    <cellStyle name="40% - Énfasis4 59 2" xfId="1811"/>
    <cellStyle name="40% - Énfasis4 59_Entrada" xfId="1812"/>
    <cellStyle name="40% - Énfasis4 6" xfId="1813"/>
    <cellStyle name="40% - Énfasis4 6 2" xfId="1814"/>
    <cellStyle name="40% - Énfasis4 6_Entrada" xfId="1815"/>
    <cellStyle name="40% - Énfasis4 60" xfId="1816"/>
    <cellStyle name="40% - Énfasis4 60 2" xfId="1817"/>
    <cellStyle name="40% - Énfasis4 60_Entrada" xfId="1818"/>
    <cellStyle name="40% - Énfasis4 61" xfId="1819"/>
    <cellStyle name="40% - Énfasis4 7" xfId="1820"/>
    <cellStyle name="40% - Énfasis4 7 2" xfId="1821"/>
    <cellStyle name="40% - Énfasis4 7_Entrada" xfId="1822"/>
    <cellStyle name="40% - Énfasis4 8" xfId="1823"/>
    <cellStyle name="40% - Énfasis4 8 2" xfId="1824"/>
    <cellStyle name="40% - Énfasis4 8_Entrada" xfId="1825"/>
    <cellStyle name="40% - Énfasis4 9" xfId="1826"/>
    <cellStyle name="40% - Énfasis4 9 2" xfId="1827"/>
    <cellStyle name="40% - Énfasis4 9_Entrada" xfId="1828"/>
    <cellStyle name="40% - Énfasis5 10" xfId="1829"/>
    <cellStyle name="40% - Énfasis5 10 2" xfId="1830"/>
    <cellStyle name="40% - Énfasis5 10_Entrada" xfId="1831"/>
    <cellStyle name="40% - Énfasis5 11" xfId="1832"/>
    <cellStyle name="40% - Énfasis5 11 2" xfId="1833"/>
    <cellStyle name="40% - Énfasis5 11_Entrada" xfId="1834"/>
    <cellStyle name="40% - Énfasis5 12" xfId="1835"/>
    <cellStyle name="40% - Énfasis5 12 2" xfId="1836"/>
    <cellStyle name="40% - Énfasis5 12_Entrada" xfId="1837"/>
    <cellStyle name="40% - Énfasis5 13" xfId="1838"/>
    <cellStyle name="40% - Énfasis5 13 2" xfId="1839"/>
    <cellStyle name="40% - Énfasis5 13_Entrada" xfId="1840"/>
    <cellStyle name="40% - Énfasis5 14" xfId="1841"/>
    <cellStyle name="40% - Énfasis5 14 2" xfId="1842"/>
    <cellStyle name="40% - Énfasis5 14_Entrada" xfId="1843"/>
    <cellStyle name="40% - Énfasis5 15" xfId="1844"/>
    <cellStyle name="40% - Énfasis5 15 2" xfId="1845"/>
    <cellStyle name="40% - Énfasis5 15_Entrada" xfId="1846"/>
    <cellStyle name="40% - Énfasis5 16" xfId="1847"/>
    <cellStyle name="40% - Énfasis5 16 2" xfId="1848"/>
    <cellStyle name="40% - Énfasis5 16_Entrada" xfId="1849"/>
    <cellStyle name="40% - Énfasis5 17" xfId="1850"/>
    <cellStyle name="40% - Énfasis5 17 2" xfId="1851"/>
    <cellStyle name="40% - Énfasis5 17_Entrada" xfId="1852"/>
    <cellStyle name="40% - Énfasis5 18" xfId="1853"/>
    <cellStyle name="40% - Énfasis5 18 2" xfId="1854"/>
    <cellStyle name="40% - Énfasis5 18_Entrada" xfId="1855"/>
    <cellStyle name="40% - Énfasis5 19" xfId="1856"/>
    <cellStyle name="40% - Énfasis5 19 2" xfId="1857"/>
    <cellStyle name="40% - Énfasis5 19_Entrada" xfId="1858"/>
    <cellStyle name="40% - Énfasis5 2" xfId="1859"/>
    <cellStyle name="40% - Énfasis5 2 2" xfId="1860"/>
    <cellStyle name="40% - Énfasis5 2_Entrada" xfId="1861"/>
    <cellStyle name="40% - Énfasis5 20" xfId="1862"/>
    <cellStyle name="40% - Énfasis5 20 2" xfId="1863"/>
    <cellStyle name="40% - Énfasis5 20_Entrada" xfId="1864"/>
    <cellStyle name="40% - Énfasis5 21" xfId="1865"/>
    <cellStyle name="40% - Énfasis5 21 2" xfId="1866"/>
    <cellStyle name="40% - Énfasis5 21_Entrada" xfId="1867"/>
    <cellStyle name="40% - Énfasis5 22" xfId="1868"/>
    <cellStyle name="40% - Énfasis5 22 2" xfId="1869"/>
    <cellStyle name="40% - Énfasis5 22_Entrada" xfId="1870"/>
    <cellStyle name="40% - Énfasis5 23" xfId="1871"/>
    <cellStyle name="40% - Énfasis5 23 2" xfId="1872"/>
    <cellStyle name="40% - Énfasis5 23_Entrada" xfId="1873"/>
    <cellStyle name="40% - Énfasis5 24" xfId="1874"/>
    <cellStyle name="40% - Énfasis5 24 2" xfId="1875"/>
    <cellStyle name="40% - Énfasis5 24_Entrada" xfId="1876"/>
    <cellStyle name="40% - Énfasis5 25" xfId="1877"/>
    <cellStyle name="40% - Énfasis5 25 2" xfId="1878"/>
    <cellStyle name="40% - Énfasis5 25_Entrada" xfId="1879"/>
    <cellStyle name="40% - Énfasis5 26" xfId="1880"/>
    <cellStyle name="40% - Énfasis5 26 2" xfId="1881"/>
    <cellStyle name="40% - Énfasis5 26_Entrada" xfId="1882"/>
    <cellStyle name="40% - Énfasis5 27" xfId="1883"/>
    <cellStyle name="40% - Énfasis5 27 2" xfId="1884"/>
    <cellStyle name="40% - Énfasis5 27_Entrada" xfId="1885"/>
    <cellStyle name="40% - Énfasis5 28" xfId="1886"/>
    <cellStyle name="40% - Énfasis5 28 2" xfId="1887"/>
    <cellStyle name="40% - Énfasis5 28_Entrada" xfId="1888"/>
    <cellStyle name="40% - Énfasis5 29" xfId="1889"/>
    <cellStyle name="40% - Énfasis5 29 2" xfId="1890"/>
    <cellStyle name="40% - Énfasis5 29_Entrada" xfId="1891"/>
    <cellStyle name="40% - Énfasis5 3" xfId="1892"/>
    <cellStyle name="40% - Énfasis5 3 2" xfId="1893"/>
    <cellStyle name="40% - Énfasis5 3 3" xfId="1894"/>
    <cellStyle name="40% - Énfasis5 30" xfId="1895"/>
    <cellStyle name="40% - Énfasis5 30 2" xfId="1896"/>
    <cellStyle name="40% - Énfasis5 30_Entrada" xfId="1897"/>
    <cellStyle name="40% - Énfasis5 31" xfId="1898"/>
    <cellStyle name="40% - Énfasis5 31 2" xfId="1899"/>
    <cellStyle name="40% - Énfasis5 31_Entrada" xfId="1900"/>
    <cellStyle name="40% - Énfasis5 32" xfId="1901"/>
    <cellStyle name="40% - Énfasis5 32 2" xfId="1902"/>
    <cellStyle name="40% - Énfasis5 32_Entrada" xfId="1903"/>
    <cellStyle name="40% - Énfasis5 33" xfId="1904"/>
    <cellStyle name="40% - Énfasis5 33 2" xfId="1905"/>
    <cellStyle name="40% - Énfasis5 33_Entrada" xfId="1906"/>
    <cellStyle name="40% - Énfasis5 34" xfId="1907"/>
    <cellStyle name="40% - Énfasis5 34 2" xfId="1908"/>
    <cellStyle name="40% - Énfasis5 34_Entrada" xfId="1909"/>
    <cellStyle name="40% - Énfasis5 35" xfId="1910"/>
    <cellStyle name="40% - Énfasis5 35 2" xfId="1911"/>
    <cellStyle name="40% - Énfasis5 35_Entrada" xfId="1912"/>
    <cellStyle name="40% - Énfasis5 36" xfId="1913"/>
    <cellStyle name="40% - Énfasis5 36 2" xfId="1914"/>
    <cellStyle name="40% - Énfasis5 36_Entrada" xfId="1915"/>
    <cellStyle name="40% - Énfasis5 37" xfId="1916"/>
    <cellStyle name="40% - Énfasis5 37 2" xfId="1917"/>
    <cellStyle name="40% - Énfasis5 37_Entrada" xfId="1918"/>
    <cellStyle name="40% - Énfasis5 38" xfId="1919"/>
    <cellStyle name="40% - Énfasis5 38 2" xfId="1920"/>
    <cellStyle name="40% - Énfasis5 38_Entrada" xfId="1921"/>
    <cellStyle name="40% - Énfasis5 39" xfId="1922"/>
    <cellStyle name="40% - Énfasis5 39 2" xfId="1923"/>
    <cellStyle name="40% - Énfasis5 39_Entrada" xfId="1924"/>
    <cellStyle name="40% - Énfasis5 4" xfId="1925"/>
    <cellStyle name="40% - Énfasis5 4 2" xfId="1926"/>
    <cellStyle name="40% - Énfasis5 4_Entrada" xfId="1927"/>
    <cellStyle name="40% - Énfasis5 40" xfId="1928"/>
    <cellStyle name="40% - Énfasis5 40 2" xfId="1929"/>
    <cellStyle name="40% - Énfasis5 40_Entrada" xfId="1930"/>
    <cellStyle name="40% - Énfasis5 41" xfId="1931"/>
    <cellStyle name="40% - Énfasis5 41 2" xfId="1932"/>
    <cellStyle name="40% - Énfasis5 41_Entrada" xfId="1933"/>
    <cellStyle name="40% - Énfasis5 42" xfId="1934"/>
    <cellStyle name="40% - Énfasis5 42 2" xfId="1935"/>
    <cellStyle name="40% - Énfasis5 42_Entrada" xfId="1936"/>
    <cellStyle name="40% - Énfasis5 43" xfId="1937"/>
    <cellStyle name="40% - Énfasis5 43 2" xfId="1938"/>
    <cellStyle name="40% - Énfasis5 43_Entrada" xfId="1939"/>
    <cellStyle name="40% - Énfasis5 44" xfId="1940"/>
    <cellStyle name="40% - Énfasis5 44 2" xfId="1941"/>
    <cellStyle name="40% - Énfasis5 44_Entrada" xfId="1942"/>
    <cellStyle name="40% - Énfasis5 45" xfId="1943"/>
    <cellStyle name="40% - Énfasis5 45 2" xfId="1944"/>
    <cellStyle name="40% - Énfasis5 45_Entrada" xfId="1945"/>
    <cellStyle name="40% - Énfasis5 46" xfId="1946"/>
    <cellStyle name="40% - Énfasis5 46 2" xfId="1947"/>
    <cellStyle name="40% - Énfasis5 46_Entrada" xfId="1948"/>
    <cellStyle name="40% - Énfasis5 47" xfId="1949"/>
    <cellStyle name="40% - Énfasis5 47 2" xfId="1950"/>
    <cellStyle name="40% - Énfasis5 47_Entrada" xfId="1951"/>
    <cellStyle name="40% - Énfasis5 48" xfId="1952"/>
    <cellStyle name="40% - Énfasis5 48 2" xfId="1953"/>
    <cellStyle name="40% - Énfasis5 48_Entrada" xfId="1954"/>
    <cellStyle name="40% - Énfasis5 49" xfId="1955"/>
    <cellStyle name="40% - Énfasis5 49 2" xfId="1956"/>
    <cellStyle name="40% - Énfasis5 49_Entrada" xfId="1957"/>
    <cellStyle name="40% - Énfasis5 5" xfId="1958"/>
    <cellStyle name="40% - Énfasis5 5 2" xfId="1959"/>
    <cellStyle name="40% - Énfasis5 5_Entrada" xfId="1960"/>
    <cellStyle name="40% - Énfasis5 50" xfId="1961"/>
    <cellStyle name="40% - Énfasis5 50 2" xfId="1962"/>
    <cellStyle name="40% - Énfasis5 50_Entrada" xfId="1963"/>
    <cellStyle name="40% - Énfasis5 51" xfId="1964"/>
    <cellStyle name="40% - Énfasis5 51 2" xfId="1965"/>
    <cellStyle name="40% - Énfasis5 51_Entrada" xfId="1966"/>
    <cellStyle name="40% - Énfasis5 52" xfId="1967"/>
    <cellStyle name="40% - Énfasis5 52 2" xfId="1968"/>
    <cellStyle name="40% - Énfasis5 52_Entrada" xfId="1969"/>
    <cellStyle name="40% - Énfasis5 53" xfId="1970"/>
    <cellStyle name="40% - Énfasis5 53 2" xfId="1971"/>
    <cellStyle name="40% - Énfasis5 53_Entrada" xfId="1972"/>
    <cellStyle name="40% - Énfasis5 54" xfId="1973"/>
    <cellStyle name="40% - Énfasis5 54 2" xfId="1974"/>
    <cellStyle name="40% - Énfasis5 54_Entrada" xfId="1975"/>
    <cellStyle name="40% - Énfasis5 55" xfId="1976"/>
    <cellStyle name="40% - Énfasis5 55 2" xfId="1977"/>
    <cellStyle name="40% - Énfasis5 55_Entrada" xfId="1978"/>
    <cellStyle name="40% - Énfasis5 56" xfId="1979"/>
    <cellStyle name="40% - Énfasis5 56 2" xfId="1980"/>
    <cellStyle name="40% - Énfasis5 56_Entrada" xfId="1981"/>
    <cellStyle name="40% - Énfasis5 57" xfId="1982"/>
    <cellStyle name="40% - Énfasis5 57 2" xfId="1983"/>
    <cellStyle name="40% - Énfasis5 57_Entrada" xfId="1984"/>
    <cellStyle name="40% - Énfasis5 58" xfId="1985"/>
    <cellStyle name="40% - Énfasis5 58 2" xfId="1986"/>
    <cellStyle name="40% - Énfasis5 58_Entrada" xfId="1987"/>
    <cellStyle name="40% - Énfasis5 59" xfId="1988"/>
    <cellStyle name="40% - Énfasis5 59 2" xfId="1989"/>
    <cellStyle name="40% - Énfasis5 59_Entrada" xfId="1990"/>
    <cellStyle name="40% - Énfasis5 6" xfId="1991"/>
    <cellStyle name="40% - Énfasis5 6 2" xfId="1992"/>
    <cellStyle name="40% - Énfasis5 6_Entrada" xfId="1993"/>
    <cellStyle name="40% - Énfasis5 60" xfId="1994"/>
    <cellStyle name="40% - Énfasis5 60 2" xfId="1995"/>
    <cellStyle name="40% - Énfasis5 60_Entrada" xfId="1996"/>
    <cellStyle name="40% - Énfasis5 61" xfId="1997"/>
    <cellStyle name="40% - Énfasis5 7" xfId="1998"/>
    <cellStyle name="40% - Énfasis5 7 2" xfId="1999"/>
    <cellStyle name="40% - Énfasis5 7_Entrada" xfId="2000"/>
    <cellStyle name="40% - Énfasis5 8" xfId="2001"/>
    <cellStyle name="40% - Énfasis5 8 2" xfId="2002"/>
    <cellStyle name="40% - Énfasis5 8_Entrada" xfId="2003"/>
    <cellStyle name="40% - Énfasis5 9" xfId="2004"/>
    <cellStyle name="40% - Énfasis5 9 2" xfId="2005"/>
    <cellStyle name="40% - Énfasis5 9_Entrada" xfId="2006"/>
    <cellStyle name="40% - Énfasis6 10" xfId="2007"/>
    <cellStyle name="40% - Énfasis6 10 2" xfId="2008"/>
    <cellStyle name="40% - Énfasis6 10_Entrada" xfId="2009"/>
    <cellStyle name="40% - Énfasis6 11" xfId="2010"/>
    <cellStyle name="40% - Énfasis6 11 2" xfId="2011"/>
    <cellStyle name="40% - Énfasis6 11_Entrada" xfId="2012"/>
    <cellStyle name="40% - Énfasis6 12" xfId="2013"/>
    <cellStyle name="40% - Énfasis6 12 2" xfId="2014"/>
    <cellStyle name="40% - Énfasis6 12_Entrada" xfId="2015"/>
    <cellStyle name="40% - Énfasis6 13" xfId="2016"/>
    <cellStyle name="40% - Énfasis6 13 2" xfId="2017"/>
    <cellStyle name="40% - Énfasis6 13_Entrada" xfId="2018"/>
    <cellStyle name="40% - Énfasis6 14" xfId="2019"/>
    <cellStyle name="40% - Énfasis6 14 2" xfId="2020"/>
    <cellStyle name="40% - Énfasis6 14_Entrada" xfId="2021"/>
    <cellStyle name="40% - Énfasis6 15" xfId="2022"/>
    <cellStyle name="40% - Énfasis6 15 2" xfId="2023"/>
    <cellStyle name="40% - Énfasis6 15_Entrada" xfId="2024"/>
    <cellStyle name="40% - Énfasis6 16" xfId="2025"/>
    <cellStyle name="40% - Énfasis6 16 2" xfId="2026"/>
    <cellStyle name="40% - Énfasis6 16_Entrada" xfId="2027"/>
    <cellStyle name="40% - Énfasis6 17" xfId="2028"/>
    <cellStyle name="40% - Énfasis6 17 2" xfId="2029"/>
    <cellStyle name="40% - Énfasis6 17_Entrada" xfId="2030"/>
    <cellStyle name="40% - Énfasis6 18" xfId="2031"/>
    <cellStyle name="40% - Énfasis6 18 2" xfId="2032"/>
    <cellStyle name="40% - Énfasis6 18_Entrada" xfId="2033"/>
    <cellStyle name="40% - Énfasis6 19" xfId="2034"/>
    <cellStyle name="40% - Énfasis6 19 2" xfId="2035"/>
    <cellStyle name="40% - Énfasis6 19_Entrada" xfId="2036"/>
    <cellStyle name="40% - Énfasis6 2" xfId="2037"/>
    <cellStyle name="40% - Énfasis6 2 2" xfId="2038"/>
    <cellStyle name="40% - Énfasis6 2_Entrada" xfId="2039"/>
    <cellStyle name="40% - Énfasis6 20" xfId="2040"/>
    <cellStyle name="40% - Énfasis6 20 2" xfId="2041"/>
    <cellStyle name="40% - Énfasis6 20_Entrada" xfId="2042"/>
    <cellStyle name="40% - Énfasis6 21" xfId="2043"/>
    <cellStyle name="40% - Énfasis6 21 2" xfId="2044"/>
    <cellStyle name="40% - Énfasis6 21_Entrada" xfId="2045"/>
    <cellStyle name="40% - Énfasis6 22" xfId="2046"/>
    <cellStyle name="40% - Énfasis6 22 2" xfId="2047"/>
    <cellStyle name="40% - Énfasis6 22_Entrada" xfId="2048"/>
    <cellStyle name="40% - Énfasis6 23" xfId="2049"/>
    <cellStyle name="40% - Énfasis6 23 2" xfId="2050"/>
    <cellStyle name="40% - Énfasis6 23_Entrada" xfId="2051"/>
    <cellStyle name="40% - Énfasis6 24" xfId="2052"/>
    <cellStyle name="40% - Énfasis6 24 2" xfId="2053"/>
    <cellStyle name="40% - Énfasis6 24_Entrada" xfId="2054"/>
    <cellStyle name="40% - Énfasis6 25" xfId="2055"/>
    <cellStyle name="40% - Énfasis6 25 2" xfId="2056"/>
    <cellStyle name="40% - Énfasis6 25_Entrada" xfId="2057"/>
    <cellStyle name="40% - Énfasis6 26" xfId="2058"/>
    <cellStyle name="40% - Énfasis6 26 2" xfId="2059"/>
    <cellStyle name="40% - Énfasis6 26_Entrada" xfId="2060"/>
    <cellStyle name="40% - Énfasis6 27" xfId="2061"/>
    <cellStyle name="40% - Énfasis6 27 2" xfId="2062"/>
    <cellStyle name="40% - Énfasis6 27_Entrada" xfId="2063"/>
    <cellStyle name="40% - Énfasis6 28" xfId="2064"/>
    <cellStyle name="40% - Énfasis6 28 2" xfId="2065"/>
    <cellStyle name="40% - Énfasis6 28_Entrada" xfId="2066"/>
    <cellStyle name="40% - Énfasis6 29" xfId="2067"/>
    <cellStyle name="40% - Énfasis6 29 2" xfId="2068"/>
    <cellStyle name="40% - Énfasis6 29_Entrada" xfId="2069"/>
    <cellStyle name="40% - Énfasis6 3" xfId="2070"/>
    <cellStyle name="40% - Énfasis6 3 2" xfId="2071"/>
    <cellStyle name="40% - Énfasis6 3 3" xfId="2072"/>
    <cellStyle name="40% - Énfasis6 30" xfId="2073"/>
    <cellStyle name="40% - Énfasis6 30 2" xfId="2074"/>
    <cellStyle name="40% - Énfasis6 30_Entrada" xfId="2075"/>
    <cellStyle name="40% - Énfasis6 31" xfId="2076"/>
    <cellStyle name="40% - Énfasis6 31 2" xfId="2077"/>
    <cellStyle name="40% - Énfasis6 31_Entrada" xfId="2078"/>
    <cellStyle name="40% - Énfasis6 32" xfId="2079"/>
    <cellStyle name="40% - Énfasis6 32 2" xfId="2080"/>
    <cellStyle name="40% - Énfasis6 32_Entrada" xfId="2081"/>
    <cellStyle name="40% - Énfasis6 33" xfId="2082"/>
    <cellStyle name="40% - Énfasis6 33 2" xfId="2083"/>
    <cellStyle name="40% - Énfasis6 33_Entrada" xfId="2084"/>
    <cellStyle name="40% - Énfasis6 34" xfId="2085"/>
    <cellStyle name="40% - Énfasis6 34 2" xfId="2086"/>
    <cellStyle name="40% - Énfasis6 34_Entrada" xfId="2087"/>
    <cellStyle name="40% - Énfasis6 35" xfId="2088"/>
    <cellStyle name="40% - Énfasis6 35 2" xfId="2089"/>
    <cellStyle name="40% - Énfasis6 35_Entrada" xfId="2090"/>
    <cellStyle name="40% - Énfasis6 36" xfId="2091"/>
    <cellStyle name="40% - Énfasis6 36 2" xfId="2092"/>
    <cellStyle name="40% - Énfasis6 36_Entrada" xfId="2093"/>
    <cellStyle name="40% - Énfasis6 37" xfId="2094"/>
    <cellStyle name="40% - Énfasis6 37 2" xfId="2095"/>
    <cellStyle name="40% - Énfasis6 37_Entrada" xfId="2096"/>
    <cellStyle name="40% - Énfasis6 38" xfId="2097"/>
    <cellStyle name="40% - Énfasis6 38 2" xfId="2098"/>
    <cellStyle name="40% - Énfasis6 38_Entrada" xfId="2099"/>
    <cellStyle name="40% - Énfasis6 39" xfId="2100"/>
    <cellStyle name="40% - Énfasis6 39 2" xfId="2101"/>
    <cellStyle name="40% - Énfasis6 39_Entrada" xfId="2102"/>
    <cellStyle name="40% - Énfasis6 4" xfId="2103"/>
    <cellStyle name="40% - Énfasis6 4 2" xfId="2104"/>
    <cellStyle name="40% - Énfasis6 4_Entrada" xfId="2105"/>
    <cellStyle name="40% - Énfasis6 40" xfId="2106"/>
    <cellStyle name="40% - Énfasis6 40 2" xfId="2107"/>
    <cellStyle name="40% - Énfasis6 40_Entrada" xfId="2108"/>
    <cellStyle name="40% - Énfasis6 41" xfId="2109"/>
    <cellStyle name="40% - Énfasis6 41 2" xfId="2110"/>
    <cellStyle name="40% - Énfasis6 41_Entrada" xfId="2111"/>
    <cellStyle name="40% - Énfasis6 42" xfId="2112"/>
    <cellStyle name="40% - Énfasis6 42 2" xfId="2113"/>
    <cellStyle name="40% - Énfasis6 42_Entrada" xfId="2114"/>
    <cellStyle name="40% - Énfasis6 43" xfId="2115"/>
    <cellStyle name="40% - Énfasis6 43 2" xfId="2116"/>
    <cellStyle name="40% - Énfasis6 43_Entrada" xfId="2117"/>
    <cellStyle name="40% - Énfasis6 44" xfId="2118"/>
    <cellStyle name="40% - Énfasis6 44 2" xfId="2119"/>
    <cellStyle name="40% - Énfasis6 44_Entrada" xfId="2120"/>
    <cellStyle name="40% - Énfasis6 45" xfId="2121"/>
    <cellStyle name="40% - Énfasis6 45 2" xfId="2122"/>
    <cellStyle name="40% - Énfasis6 45_Entrada" xfId="2123"/>
    <cellStyle name="40% - Énfasis6 46" xfId="2124"/>
    <cellStyle name="40% - Énfasis6 46 2" xfId="2125"/>
    <cellStyle name="40% - Énfasis6 46_Entrada" xfId="2126"/>
    <cellStyle name="40% - Énfasis6 47" xfId="2127"/>
    <cellStyle name="40% - Énfasis6 47 2" xfId="2128"/>
    <cellStyle name="40% - Énfasis6 47_Entrada" xfId="2129"/>
    <cellStyle name="40% - Énfasis6 48" xfId="2130"/>
    <cellStyle name="40% - Énfasis6 48 2" xfId="2131"/>
    <cellStyle name="40% - Énfasis6 48_Entrada" xfId="2132"/>
    <cellStyle name="40% - Énfasis6 49" xfId="2133"/>
    <cellStyle name="40% - Énfasis6 49 2" xfId="2134"/>
    <cellStyle name="40% - Énfasis6 49_Entrada" xfId="2135"/>
    <cellStyle name="40% - Énfasis6 5" xfId="2136"/>
    <cellStyle name="40% - Énfasis6 5 2" xfId="2137"/>
    <cellStyle name="40% - Énfasis6 5_Entrada" xfId="2138"/>
    <cellStyle name="40% - Énfasis6 50" xfId="2139"/>
    <cellStyle name="40% - Énfasis6 50 2" xfId="2140"/>
    <cellStyle name="40% - Énfasis6 50_Entrada" xfId="2141"/>
    <cellStyle name="40% - Énfasis6 51" xfId="2142"/>
    <cellStyle name="40% - Énfasis6 51 2" xfId="2143"/>
    <cellStyle name="40% - Énfasis6 51_Entrada" xfId="2144"/>
    <cellStyle name="40% - Énfasis6 52" xfId="2145"/>
    <cellStyle name="40% - Énfasis6 52 2" xfId="2146"/>
    <cellStyle name="40% - Énfasis6 52_Entrada" xfId="2147"/>
    <cellStyle name="40% - Énfasis6 53" xfId="2148"/>
    <cellStyle name="40% - Énfasis6 53 2" xfId="2149"/>
    <cellStyle name="40% - Énfasis6 53_Entrada" xfId="2150"/>
    <cellStyle name="40% - Énfasis6 54" xfId="2151"/>
    <cellStyle name="40% - Énfasis6 54 2" xfId="2152"/>
    <cellStyle name="40% - Énfasis6 54_Entrada" xfId="2153"/>
    <cellStyle name="40% - Énfasis6 55" xfId="2154"/>
    <cellStyle name="40% - Énfasis6 55 2" xfId="2155"/>
    <cellStyle name="40% - Énfasis6 55_Entrada" xfId="2156"/>
    <cellStyle name="40% - Énfasis6 56" xfId="2157"/>
    <cellStyle name="40% - Énfasis6 56 2" xfId="2158"/>
    <cellStyle name="40% - Énfasis6 56_Entrada" xfId="2159"/>
    <cellStyle name="40% - Énfasis6 57" xfId="2160"/>
    <cellStyle name="40% - Énfasis6 57 2" xfId="2161"/>
    <cellStyle name="40% - Énfasis6 57_Entrada" xfId="2162"/>
    <cellStyle name="40% - Énfasis6 58" xfId="2163"/>
    <cellStyle name="40% - Énfasis6 58 2" xfId="2164"/>
    <cellStyle name="40% - Énfasis6 58_Entrada" xfId="2165"/>
    <cellStyle name="40% - Énfasis6 59" xfId="2166"/>
    <cellStyle name="40% - Énfasis6 59 2" xfId="2167"/>
    <cellStyle name="40% - Énfasis6 59_Entrada" xfId="2168"/>
    <cellStyle name="40% - Énfasis6 6" xfId="2169"/>
    <cellStyle name="40% - Énfasis6 6 2" xfId="2170"/>
    <cellStyle name="40% - Énfasis6 6_Entrada" xfId="2171"/>
    <cellStyle name="40% - Énfasis6 60" xfId="2172"/>
    <cellStyle name="40% - Énfasis6 60 2" xfId="2173"/>
    <cellStyle name="40% - Énfasis6 60_Entrada" xfId="2174"/>
    <cellStyle name="40% - Énfasis6 61" xfId="2175"/>
    <cellStyle name="40% - Énfasis6 7" xfId="2176"/>
    <cellStyle name="40% - Énfasis6 7 2" xfId="2177"/>
    <cellStyle name="40% - Énfasis6 7_Entrada" xfId="2178"/>
    <cellStyle name="40% - Énfasis6 8" xfId="2179"/>
    <cellStyle name="40% - Énfasis6 8 2" xfId="2180"/>
    <cellStyle name="40% - Énfasis6 8_Entrada" xfId="2181"/>
    <cellStyle name="40% - Énfasis6 9" xfId="2182"/>
    <cellStyle name="40% - Énfasis6 9 2" xfId="2183"/>
    <cellStyle name="40% - Énfasis6 9_Entrada" xfId="2184"/>
    <cellStyle name="60% - Énfasis1 2" xfId="2185"/>
    <cellStyle name="60% - Énfasis1 3" xfId="2186"/>
    <cellStyle name="60% - Énfasis2 2" xfId="2187"/>
    <cellStyle name="60% - Énfasis2 3" xfId="2188"/>
    <cellStyle name="60% - Énfasis3 2" xfId="2189"/>
    <cellStyle name="60% - Énfasis3 3" xfId="2190"/>
    <cellStyle name="60% - Énfasis4 2" xfId="2191"/>
    <cellStyle name="60% - Énfasis4 3" xfId="2192"/>
    <cellStyle name="60% - Énfasis5 2" xfId="2193"/>
    <cellStyle name="60% - Énfasis5 3" xfId="2194"/>
    <cellStyle name="60% - Énfasis6 2" xfId="2195"/>
    <cellStyle name="60% - Énfasis6 3" xfId="2196"/>
    <cellStyle name="Buena" xfId="2197"/>
    <cellStyle name="Buena 2" xfId="2198"/>
    <cellStyle name="Buena 3" xfId="2199"/>
    <cellStyle name="Buena_Hoja2" xfId="2200"/>
    <cellStyle name="Cálculo 2" xfId="2201"/>
    <cellStyle name="Cálculo 3" xfId="2202"/>
    <cellStyle name="Celda de comprobación 2" xfId="2203"/>
    <cellStyle name="Celda de comprobación 3" xfId="2204"/>
    <cellStyle name="Celda vinculada 2" xfId="2205"/>
    <cellStyle name="Celda vinculada 3" xfId="2206"/>
    <cellStyle name="Encabezado 1 2" xfId="2207"/>
    <cellStyle name="Encabezado 4 2" xfId="2208"/>
    <cellStyle name="Encabezado 4 3" xfId="2209"/>
    <cellStyle name="Énfasis1 2" xfId="2210"/>
    <cellStyle name="Énfasis1 3" xfId="2211"/>
    <cellStyle name="Énfasis2 2" xfId="2212"/>
    <cellStyle name="Énfasis2 3" xfId="2213"/>
    <cellStyle name="Énfasis3 2" xfId="2214"/>
    <cellStyle name="Énfasis3 3" xfId="2215"/>
    <cellStyle name="Énfasis4 2" xfId="2216"/>
    <cellStyle name="Énfasis4 3" xfId="2217"/>
    <cellStyle name="Énfasis5 2" xfId="2218"/>
    <cellStyle name="Énfasis5 3" xfId="2219"/>
    <cellStyle name="Énfasis6 2" xfId="2220"/>
    <cellStyle name="Énfasis6 3" xfId="2221"/>
    <cellStyle name="Entrada 2" xfId="2222"/>
    <cellStyle name="Entrada 3" xfId="2223"/>
    <cellStyle name="Estilo 1" xfId="2224"/>
    <cellStyle name="Euro" xfId="2225"/>
    <cellStyle name="Incorrecto 2" xfId="2226"/>
    <cellStyle name="Incorrecto 3" xfId="2227"/>
    <cellStyle name="Millares [0] 2" xfId="2228"/>
    <cellStyle name="Millares 10" xfId="2229"/>
    <cellStyle name="Millares 11" xfId="2230"/>
    <cellStyle name="Millares 12" xfId="2231"/>
    <cellStyle name="Millares 13" xfId="2232"/>
    <cellStyle name="Millares 14" xfId="2233"/>
    <cellStyle name="Millares 15" xfId="2234"/>
    <cellStyle name="Millares 16" xfId="2235"/>
    <cellStyle name="Millares 17" xfId="2236"/>
    <cellStyle name="Millares 18" xfId="2237"/>
    <cellStyle name="Millares 19" xfId="2238"/>
    <cellStyle name="Millares 2" xfId="2239"/>
    <cellStyle name="Millares 2 2" xfId="2240"/>
    <cellStyle name="Millares 2 3" xfId="2241"/>
    <cellStyle name="Millares 2 4" xfId="2242"/>
    <cellStyle name="Millares 2_Stock Diario" xfId="2243"/>
    <cellStyle name="Millares 20" xfId="2244"/>
    <cellStyle name="Millares 21" xfId="2245"/>
    <cellStyle name="Millares 22" xfId="2246"/>
    <cellStyle name="Millares 23" xfId="2247"/>
    <cellStyle name="Millares 24" xfId="2248"/>
    <cellStyle name="Millares 25" xfId="2249"/>
    <cellStyle name="Millares 26" xfId="2250"/>
    <cellStyle name="Millares 27" xfId="2251"/>
    <cellStyle name="Millares 28" xfId="2252"/>
    <cellStyle name="Millares 29" xfId="2253"/>
    <cellStyle name="Millares 3" xfId="2254"/>
    <cellStyle name="Millares 30" xfId="2255"/>
    <cellStyle name="Millares 31" xfId="2256"/>
    <cellStyle name="Millares 32" xfId="2257"/>
    <cellStyle name="Millares 33" xfId="2258"/>
    <cellStyle name="Millares 34" xfId="2259"/>
    <cellStyle name="Millares 35" xfId="2260"/>
    <cellStyle name="Millares 36" xfId="2261"/>
    <cellStyle name="Millares 37" xfId="2262"/>
    <cellStyle name="Millares 38" xfId="2263"/>
    <cellStyle name="Millares 39" xfId="2264"/>
    <cellStyle name="Millares 4" xfId="2265"/>
    <cellStyle name="Millares 4 2" xfId="2266"/>
    <cellStyle name="Millares 4 2 2" xfId="2267"/>
    <cellStyle name="Millares 4 3" xfId="2268"/>
    <cellStyle name="Millares 40" xfId="2269"/>
    <cellStyle name="Millares 41" xfId="2270"/>
    <cellStyle name="Millares 5" xfId="2271"/>
    <cellStyle name="Millares 5 2" xfId="2272"/>
    <cellStyle name="Millares 6" xfId="2273"/>
    <cellStyle name="Millares 6 2" xfId="2274"/>
    <cellStyle name="Millares 7" xfId="2275"/>
    <cellStyle name="Millares 8" xfId="2276"/>
    <cellStyle name="Millares 9" xfId="2277"/>
    <cellStyle name="Moneda 2" xfId="2278"/>
    <cellStyle name="Moneda 2 2" xfId="2279"/>
    <cellStyle name="Moneda 3" xfId="2280"/>
    <cellStyle name="Neutral 2" xfId="2281"/>
    <cellStyle name="Neutral 3" xfId="2282"/>
    <cellStyle name="Normal - Style1" xfId="2283"/>
    <cellStyle name="Normal 19" xfId="2284"/>
    <cellStyle name="Normal 2" xfId="2285"/>
    <cellStyle name="Normal 2 2" xfId="2286"/>
    <cellStyle name="Normal 2 2 2 2" xfId="2287"/>
    <cellStyle name="Normal 2 2_Stock Diario" xfId="2288"/>
    <cellStyle name="Normal 2 3" xfId="2289"/>
    <cellStyle name="Normal 2 4" xfId="2290"/>
    <cellStyle name="Normal 2_Entrada" xfId="2291"/>
    <cellStyle name="Normal 3" xfId="2292"/>
    <cellStyle name="Normal 3 2" xfId="2293"/>
    <cellStyle name="Normal 3 2 2" xfId="2294"/>
    <cellStyle name="Normal 3 2_Entrada" xfId="2295"/>
    <cellStyle name="Normal 3 3" xfId="2296"/>
    <cellStyle name="Normal 3 4" xfId="2297"/>
    <cellStyle name="Normal 4" xfId="2298"/>
    <cellStyle name="Normal 5" xfId="2299"/>
    <cellStyle name="Normal 5 2" xfId="2300"/>
    <cellStyle name="Normal 5_Entrada" xfId="2301"/>
    <cellStyle name="Normal 6" xfId="2302"/>
    <cellStyle name="Normal 6 2" xfId="2303"/>
    <cellStyle name="Normal 6_Entrada" xfId="2304"/>
    <cellStyle name="Normal 7" xfId="2305"/>
    <cellStyle name="Normal 7 2" xfId="2306"/>
    <cellStyle name="Normal 7_Entrada" xfId="2307"/>
    <cellStyle name="Normal 8" xfId="2308"/>
    <cellStyle name="Notas 10" xfId="2309"/>
    <cellStyle name="Notas 10 2" xfId="2310"/>
    <cellStyle name="Notas 11" xfId="2311"/>
    <cellStyle name="Notas 11 2" xfId="2312"/>
    <cellStyle name="Notas 12" xfId="2313"/>
    <cellStyle name="Notas 12 2" xfId="2314"/>
    <cellStyle name="Notas 13" xfId="2315"/>
    <cellStyle name="Notas 13 2" xfId="2316"/>
    <cellStyle name="Notas 14" xfId="2317"/>
    <cellStyle name="Notas 14 2" xfId="2318"/>
    <cellStyle name="Notas 15" xfId="2319"/>
    <cellStyle name="Notas 15 2" xfId="2320"/>
    <cellStyle name="Notas 16" xfId="2321"/>
    <cellStyle name="Notas 16 2" xfId="2322"/>
    <cellStyle name="Notas 17" xfId="2323"/>
    <cellStyle name="Notas 17 2" xfId="2324"/>
    <cellStyle name="Notas 18" xfId="2325"/>
    <cellStyle name="Notas 18 2" xfId="2326"/>
    <cellStyle name="Notas 19" xfId="2327"/>
    <cellStyle name="Notas 19 2" xfId="2328"/>
    <cellStyle name="Notas 2" xfId="2329"/>
    <cellStyle name="Notas 2 2" xfId="2330"/>
    <cellStyle name="Notas 20" xfId="2331"/>
    <cellStyle name="Notas 20 2" xfId="2332"/>
    <cellStyle name="Notas 21" xfId="2333"/>
    <cellStyle name="Notas 21 2" xfId="2334"/>
    <cellStyle name="Notas 22" xfId="2335"/>
    <cellStyle name="Notas 22 2" xfId="2336"/>
    <cellStyle name="Notas 23" xfId="2337"/>
    <cellStyle name="Notas 23 2" xfId="2338"/>
    <cellStyle name="Notas 24" xfId="2339"/>
    <cellStyle name="Notas 24 2" xfId="2340"/>
    <cellStyle name="Notas 25" xfId="2341"/>
    <cellStyle name="Notas 25 2" xfId="2342"/>
    <cellStyle name="Notas 26" xfId="2343"/>
    <cellStyle name="Notas 26 2" xfId="2344"/>
    <cellStyle name="Notas 27" xfId="2345"/>
    <cellStyle name="Notas 27 2" xfId="2346"/>
    <cellStyle name="Notas 28" xfId="2347"/>
    <cellStyle name="Notas 28 2" xfId="2348"/>
    <cellStyle name="Notas 29" xfId="2349"/>
    <cellStyle name="Notas 29 2" xfId="2350"/>
    <cellStyle name="Notas 3" xfId="2351"/>
    <cellStyle name="Notas 3 2" xfId="2352"/>
    <cellStyle name="Notas 3 3" xfId="2353"/>
    <cellStyle name="Notas 30" xfId="2354"/>
    <cellStyle name="Notas 30 2" xfId="2355"/>
    <cellStyle name="Notas 31" xfId="2356"/>
    <cellStyle name="Notas 31 2" xfId="2357"/>
    <cellStyle name="Notas 32" xfId="2358"/>
    <cellStyle name="Notas 32 2" xfId="2359"/>
    <cellStyle name="Notas 33" xfId="2360"/>
    <cellStyle name="Notas 33 2" xfId="2361"/>
    <cellStyle name="Notas 34" xfId="2362"/>
    <cellStyle name="Notas 34 2" xfId="2363"/>
    <cellStyle name="Notas 35" xfId="2364"/>
    <cellStyle name="Notas 35 2" xfId="2365"/>
    <cellStyle name="Notas 36" xfId="2366"/>
    <cellStyle name="Notas 36 2" xfId="2367"/>
    <cellStyle name="Notas 37" xfId="2368"/>
    <cellStyle name="Notas 37 2" xfId="2369"/>
    <cellStyle name="Notas 38" xfId="2370"/>
    <cellStyle name="Notas 38 2" xfId="2371"/>
    <cellStyle name="Notas 39" xfId="2372"/>
    <cellStyle name="Notas 39 2" xfId="2373"/>
    <cellStyle name="Notas 4" xfId="2374"/>
    <cellStyle name="Notas 4 2" xfId="2375"/>
    <cellStyle name="Notas 40" xfId="2376"/>
    <cellStyle name="Notas 40 2" xfId="2377"/>
    <cellStyle name="Notas 41" xfId="2378"/>
    <cellStyle name="Notas 41 2" xfId="2379"/>
    <cellStyle name="Notas 42" xfId="2380"/>
    <cellStyle name="Notas 42 2" xfId="2381"/>
    <cellStyle name="Notas 43" xfId="2382"/>
    <cellStyle name="Notas 43 2" xfId="2383"/>
    <cellStyle name="Notas 44" xfId="2384"/>
    <cellStyle name="Notas 44 2" xfId="2385"/>
    <cellStyle name="Notas 45" xfId="2386"/>
    <cellStyle name="Notas 45 2" xfId="2387"/>
    <cellStyle name="Notas 46" xfId="2388"/>
    <cellStyle name="Notas 46 2" xfId="2389"/>
    <cellStyle name="Notas 47" xfId="2390"/>
    <cellStyle name="Notas 47 2" xfId="2391"/>
    <cellStyle name="Notas 48" xfId="2392"/>
    <cellStyle name="Notas 48 2" xfId="2393"/>
    <cellStyle name="Notas 49" xfId="2394"/>
    <cellStyle name="Notas 49 2" xfId="2395"/>
    <cellStyle name="Notas 5" xfId="2396"/>
    <cellStyle name="Notas 5 2" xfId="2397"/>
    <cellStyle name="Notas 50" xfId="2398"/>
    <cellStyle name="Notas 50 2" xfId="2399"/>
    <cellStyle name="Notas 51" xfId="2400"/>
    <cellStyle name="Notas 51 2" xfId="2401"/>
    <cellStyle name="Notas 52" xfId="2402"/>
    <cellStyle name="Notas 52 2" xfId="2403"/>
    <cellStyle name="Notas 53" xfId="2404"/>
    <cellStyle name="Notas 53 2" xfId="2405"/>
    <cellStyle name="Notas 54" xfId="2406"/>
    <cellStyle name="Notas 54 2" xfId="2407"/>
    <cellStyle name="Notas 55" xfId="2408"/>
    <cellStyle name="Notas 55 2" xfId="2409"/>
    <cellStyle name="Notas 56" xfId="2410"/>
    <cellStyle name="Notas 56 2" xfId="2411"/>
    <cellStyle name="Notas 57" xfId="2412"/>
    <cellStyle name="Notas 57 2" xfId="2413"/>
    <cellStyle name="Notas 58" xfId="2414"/>
    <cellStyle name="Notas 58 2" xfId="2415"/>
    <cellStyle name="Notas 59" xfId="2416"/>
    <cellStyle name="Notas 59 2" xfId="2417"/>
    <cellStyle name="Notas 6" xfId="2418"/>
    <cellStyle name="Notas 6 2" xfId="2419"/>
    <cellStyle name="Notas 60" xfId="2420"/>
    <cellStyle name="Notas 60 2" xfId="2421"/>
    <cellStyle name="Notas 61" xfId="2422"/>
    <cellStyle name="Notas 61 2" xfId="2423"/>
    <cellStyle name="Notas 62" xfId="2424"/>
    <cellStyle name="Notas 7" xfId="2425"/>
    <cellStyle name="Notas 7 2" xfId="2426"/>
    <cellStyle name="Notas 8" xfId="2427"/>
    <cellStyle name="Notas 8 2" xfId="2428"/>
    <cellStyle name="Notas 9" xfId="2429"/>
    <cellStyle name="Notas 9 2" xfId="2430"/>
    <cellStyle name="Porcentaje 2" xfId="2431"/>
    <cellStyle name="Porcentaje 2 2" xfId="2432"/>
    <cellStyle name="Porcentaje 2 3" xfId="2433"/>
    <cellStyle name="Porcentaje 3" xfId="2434"/>
    <cellStyle name="Porcentaje 4" xfId="2435"/>
    <cellStyle name="Porcentaje 5" xfId="2436"/>
    <cellStyle name="Salida 2" xfId="2437"/>
    <cellStyle name="Salida 3" xfId="2438"/>
    <cellStyle name="Texto de advertencia 2" xfId="2439"/>
    <cellStyle name="Texto de advertencia 3" xfId="2440"/>
    <cellStyle name="Texto explicativo 2" xfId="2441"/>
    <cellStyle name="Texto explicativo 3" xfId="2442"/>
    <cellStyle name="Título 1 2" xfId="2443"/>
    <cellStyle name="Título 1 3" xfId="2444"/>
    <cellStyle name="Título 2 2" xfId="2445"/>
    <cellStyle name="Título 2 3" xfId="2446"/>
    <cellStyle name="Título 3 2" xfId="2447"/>
    <cellStyle name="Título 3 3" xfId="2448"/>
    <cellStyle name="Título 5" xfId="2449"/>
    <cellStyle name="Título 5 2" xfId="2450"/>
    <cellStyle name="Total 2" xfId="2451"/>
    <cellStyle name="Total 3" xfId="2452"/>
  </cellStyles>
  <dxfs count="7"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6" tint="0.399945066682943"/>
        </patternFill>
      </fill>
    </dxf>
    <dxf>
      <font>
        <b val="1"/>
        <i val="0"/>
        <color theme="0"/>
      </font>
      <fill>
        <patternFill patternType="solid"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372623</xdr:colOff>
      <xdr:row>0</xdr:row>
      <xdr:rowOff>0</xdr:rowOff>
    </xdr:from>
    <xdr:to>
      <xdr:col>2</xdr:col>
      <xdr:colOff>717301</xdr:colOff>
      <xdr:row>4</xdr:row>
      <xdr:rowOff>50058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2290" y="0"/>
          <a:ext cx="1501775" cy="811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257300</xdr:colOff>
      <xdr:row>0</xdr:row>
      <xdr:rowOff>0</xdr:rowOff>
    </xdr:from>
    <xdr:to>
      <xdr:col>2</xdr:col>
      <xdr:colOff>751627</xdr:colOff>
      <xdr:row>3</xdr:row>
      <xdr:rowOff>145067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0865" y="0"/>
          <a:ext cx="1525270" cy="7785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337870</xdr:colOff>
      <xdr:row>0</xdr:row>
      <xdr:rowOff>0</xdr:rowOff>
    </xdr:from>
    <xdr:to>
      <xdr:col>2</xdr:col>
      <xdr:colOff>663604</xdr:colOff>
      <xdr:row>4</xdr:row>
      <xdr:rowOff>30549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7820" y="0"/>
          <a:ext cx="1500505" cy="792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ownloads\bajada%20sap%20PARA%20PLANILL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jada sap"/>
    </sheetNames>
    <sheetDataSet>
      <sheetData sheetId="0">
        <row r="3">
          <cell r="B3" t="str">
            <v>Material</v>
          </cell>
        </row>
        <row r="3">
          <cell r="D3" t="str">
            <v>  Val.stk.valor.</v>
          </cell>
        </row>
        <row r="3">
          <cell r="F3" t="str">
            <v>  Stock valorado</v>
          </cell>
        </row>
        <row r="5">
          <cell r="B5" t="str">
            <v>Total</v>
          </cell>
        </row>
        <row r="5">
          <cell r="D5">
            <v>30055375647</v>
          </cell>
          <cell r="E5" t="str">
            <v>PYG</v>
          </cell>
          <cell r="F5">
            <v>96531084.62</v>
          </cell>
        </row>
        <row r="6">
          <cell r="B6">
            <v>50142631</v>
          </cell>
          <cell r="C6" t="str">
            <v>ACIDO CÍTRICO</v>
          </cell>
          <cell r="D6">
            <v>312239700.33</v>
          </cell>
          <cell r="E6" t="str">
            <v>PYG</v>
          </cell>
          <cell r="F6">
            <v>10000</v>
          </cell>
        </row>
        <row r="7">
          <cell r="B7">
            <v>50809353</v>
          </cell>
          <cell r="C7" t="str">
            <v>ADHESIVO HB FULLER</v>
          </cell>
          <cell r="D7">
            <v>160793664.01</v>
          </cell>
          <cell r="E7" t="str">
            <v>PYG</v>
          </cell>
          <cell r="F7">
            <v>6400</v>
          </cell>
        </row>
        <row r="8">
          <cell r="B8">
            <v>50142055</v>
          </cell>
          <cell r="C8" t="str">
            <v>ANTIESPUMANTE FERMCAP S</v>
          </cell>
          <cell r="D8">
            <v>2516222704.04</v>
          </cell>
          <cell r="E8" t="str">
            <v>PYG</v>
          </cell>
          <cell r="F8">
            <v>21600</v>
          </cell>
        </row>
        <row r="9">
          <cell r="B9">
            <v>50010080</v>
          </cell>
          <cell r="C9" t="str">
            <v>Azucar Cristal Saco 50 kg</v>
          </cell>
          <cell r="D9">
            <v>134209250.01</v>
          </cell>
          <cell r="E9" t="str">
            <v>PYG</v>
          </cell>
          <cell r="F9">
            <v>25000</v>
          </cell>
        </row>
        <row r="10">
          <cell r="B10">
            <v>50815262</v>
          </cell>
          <cell r="C10" t="str">
            <v>BOTELLA AMBAR 940CC OW</v>
          </cell>
          <cell r="D10">
            <v>34102482.55</v>
          </cell>
          <cell r="E10" t="str">
            <v>PYG</v>
          </cell>
          <cell r="F10">
            <v>8862</v>
          </cell>
        </row>
        <row r="11">
          <cell r="B11">
            <v>50852311</v>
          </cell>
          <cell r="C11" t="str">
            <v>BOTELLA AMBAR MICHELOB 275ML</v>
          </cell>
          <cell r="D11">
            <v>48.96</v>
          </cell>
          <cell r="E11" t="str">
            <v>PYG</v>
          </cell>
          <cell r="F11">
            <v>48959.25</v>
          </cell>
        </row>
        <row r="12">
          <cell r="B12">
            <v>40014676</v>
          </cell>
          <cell r="C12" t="str">
            <v>BOTELLA ARACELI 710CC FLINT</v>
          </cell>
          <cell r="D12">
            <v>72791339.92</v>
          </cell>
          <cell r="E12" t="str">
            <v>PYG</v>
          </cell>
          <cell r="F12">
            <v>18.612</v>
          </cell>
        </row>
        <row r="13">
          <cell r="B13">
            <v>40014900</v>
          </cell>
          <cell r="C13" t="str">
            <v>BOTELLA BUD 66 275CC FLINT</v>
          </cell>
          <cell r="D13">
            <v>274845993.51</v>
          </cell>
          <cell r="E13" t="str">
            <v>PYG</v>
          </cell>
          <cell r="F13">
            <v>217.675</v>
          </cell>
        </row>
        <row r="14">
          <cell r="B14">
            <v>40014675</v>
          </cell>
          <cell r="C14" t="str">
            <v>BOTELLA LUNA 275CC FLINT</v>
          </cell>
          <cell r="D14">
            <v>41944011.36</v>
          </cell>
          <cell r="E14" t="str">
            <v>PYG</v>
          </cell>
          <cell r="F14">
            <v>33.115</v>
          </cell>
        </row>
        <row r="15">
          <cell r="B15">
            <v>50271805</v>
          </cell>
          <cell r="C15" t="str">
            <v>CAJA CARTON BUD 66 6X710 CC MANUAL</v>
          </cell>
          <cell r="D15">
            <v>333068085</v>
          </cell>
          <cell r="E15" t="str">
            <v>PYG</v>
          </cell>
          <cell r="F15">
            <v>70500</v>
          </cell>
        </row>
        <row r="16">
          <cell r="B16">
            <v>50852597</v>
          </cell>
          <cell r="C16" t="str">
            <v>CAJA DE CARTON MUL 275ML X6</v>
          </cell>
          <cell r="D16">
            <v>145800</v>
          </cell>
          <cell r="E16" t="str">
            <v>PYG</v>
          </cell>
          <cell r="F16">
            <v>145800</v>
          </cell>
        </row>
        <row r="17">
          <cell r="B17">
            <v>50843628</v>
          </cell>
          <cell r="C17" t="str">
            <v>CARDBOARD MICHELOB 269CC X8</v>
          </cell>
          <cell r="D17">
            <v>44.01</v>
          </cell>
          <cell r="E17" t="str">
            <v>PYG</v>
          </cell>
          <cell r="F17">
            <v>44010</v>
          </cell>
        </row>
        <row r="18">
          <cell r="B18">
            <v>50843627</v>
          </cell>
          <cell r="C18" t="str">
            <v>CARDBOARD MICHELOB 350CC X8</v>
          </cell>
          <cell r="D18">
            <v>161.27</v>
          </cell>
          <cell r="E18" t="str">
            <v>PYG</v>
          </cell>
          <cell r="F18">
            <v>161280</v>
          </cell>
        </row>
        <row r="19">
          <cell r="B19">
            <v>50142424</v>
          </cell>
          <cell r="C19" t="str">
            <v>CARRAGENINA WHIRLFLOC  T</v>
          </cell>
          <cell r="D19">
            <v>877024050.01</v>
          </cell>
          <cell r="E19" t="str">
            <v>PYG</v>
          </cell>
          <cell r="F19">
            <v>5700</v>
          </cell>
        </row>
        <row r="20">
          <cell r="B20">
            <v>50142328</v>
          </cell>
          <cell r="C20" t="str">
            <v>CLORURO DE CALCIO CRISTALIZADO</v>
          </cell>
          <cell r="D20">
            <v>77795415.81</v>
          </cell>
          <cell r="E20" t="str">
            <v>PYG</v>
          </cell>
          <cell r="F20">
            <v>6238.76</v>
          </cell>
        </row>
        <row r="21">
          <cell r="B21">
            <v>40015052</v>
          </cell>
          <cell r="C21" t="str">
            <v>COLLARIN BRAHMA 940CC PABLITO L. VERT</v>
          </cell>
          <cell r="D21">
            <v>316608099.51</v>
          </cell>
          <cell r="E21" t="str">
            <v>PYG</v>
          </cell>
          <cell r="F21">
            <v>10850</v>
          </cell>
        </row>
        <row r="22">
          <cell r="B22">
            <v>40009544</v>
          </cell>
          <cell r="C22" t="str">
            <v>COLLARIN BRAHMA SD+W 940CC RGB</v>
          </cell>
          <cell r="D22">
            <v>42951359.87</v>
          </cell>
          <cell r="E22" t="str">
            <v>PYG</v>
          </cell>
          <cell r="F22">
            <v>2301</v>
          </cell>
        </row>
        <row r="23">
          <cell r="B23">
            <v>50804970</v>
          </cell>
          <cell r="C23" t="str">
            <v>COLLARIN BUD 66 710CC RGB PSL LAV</v>
          </cell>
          <cell r="D23">
            <v>40068803.38</v>
          </cell>
          <cell r="E23" t="str">
            <v>PYG</v>
          </cell>
          <cell r="F23">
            <v>1844450</v>
          </cell>
        </row>
        <row r="24">
          <cell r="B24">
            <v>40010083</v>
          </cell>
          <cell r="C24" t="str">
            <v>COLLARIN OURO FINO 340CC RGB NVBI VERT</v>
          </cell>
          <cell r="D24">
            <v>9033431.68</v>
          </cell>
          <cell r="E24" t="str">
            <v>PYG</v>
          </cell>
          <cell r="F24">
            <v>448</v>
          </cell>
        </row>
        <row r="25">
          <cell r="B25">
            <v>40010086</v>
          </cell>
          <cell r="C25" t="str">
            <v>COLLARIN OURO FINO 940CC RGB NVBI VERT</v>
          </cell>
          <cell r="D25">
            <v>249169525.8</v>
          </cell>
          <cell r="E25" t="str">
            <v>PYG</v>
          </cell>
          <cell r="F25">
            <v>14138</v>
          </cell>
        </row>
        <row r="26">
          <cell r="B26">
            <v>50551885</v>
          </cell>
          <cell r="C26" t="str">
            <v>CONTRAETIQ AUTOADHESIVA BUD66 550CC SD</v>
          </cell>
          <cell r="D26">
            <v>505160.5</v>
          </cell>
          <cell r="E26" t="str">
            <v>PYG</v>
          </cell>
          <cell r="F26">
            <v>14950</v>
          </cell>
        </row>
        <row r="27">
          <cell r="B27">
            <v>50804971</v>
          </cell>
          <cell r="C27" t="str">
            <v>CONTRAETIQUETA BUD 66 710CC RGB PLS LAV</v>
          </cell>
          <cell r="D27">
            <v>160889714.94</v>
          </cell>
          <cell r="E27" t="str">
            <v>PYG</v>
          </cell>
          <cell r="F27">
            <v>3216950</v>
          </cell>
        </row>
        <row r="28">
          <cell r="B28">
            <v>50142519</v>
          </cell>
          <cell r="C28" t="str">
            <v>CUBRE FACIL P/BOCA DE 4 PULG.</v>
          </cell>
          <cell r="D28">
            <v>27950000</v>
          </cell>
          <cell r="E28" t="str">
            <v>PYG</v>
          </cell>
          <cell r="F28">
            <v>13000</v>
          </cell>
        </row>
        <row r="29">
          <cell r="B29">
            <v>50819323</v>
          </cell>
          <cell r="C29" t="str">
            <v>CX CART BUDWEISER 66 275ML C6 PARAGUAI</v>
          </cell>
          <cell r="D29">
            <v>60306403.02</v>
          </cell>
          <cell r="E29" t="str">
            <v>PYG</v>
          </cell>
          <cell r="F29">
            <v>95.4</v>
          </cell>
        </row>
        <row r="30">
          <cell r="B30">
            <v>50515034</v>
          </cell>
          <cell r="C30" t="str">
            <v>CX CART SK 275ML PARAGUAI C TABLOKER</v>
          </cell>
          <cell r="D30">
            <v>8615762.5</v>
          </cell>
          <cell r="E30" t="str">
            <v>PYG</v>
          </cell>
          <cell r="F30">
            <v>172.8</v>
          </cell>
        </row>
        <row r="31">
          <cell r="B31">
            <v>50142330</v>
          </cell>
          <cell r="C31" t="str">
            <v>ESTABILIZ.  COLOIDAL "PVPP"  (NO REG.)</v>
          </cell>
          <cell r="D31">
            <v>161408214.01</v>
          </cell>
          <cell r="E31" t="str">
            <v>PYG</v>
          </cell>
          <cell r="F31">
            <v>1080</v>
          </cell>
        </row>
        <row r="32">
          <cell r="B32">
            <v>50144135</v>
          </cell>
          <cell r="C32" t="str">
            <v>ETIQUETA AUTOAD. BRAHMA P/CHOPP 30 LT.</v>
          </cell>
          <cell r="D32">
            <v>1035600.01</v>
          </cell>
          <cell r="E32" t="str">
            <v>PYG</v>
          </cell>
          <cell r="F32">
            <v>5000</v>
          </cell>
        </row>
        <row r="33">
          <cell r="B33">
            <v>50143876</v>
          </cell>
          <cell r="C33" t="str">
            <v>ETIQUETA AUTOAD. PILSEN P/CHOPP 30 LT.</v>
          </cell>
          <cell r="D33">
            <v>5369199.99</v>
          </cell>
          <cell r="E33" t="str">
            <v>PYG</v>
          </cell>
          <cell r="F33">
            <v>20000</v>
          </cell>
        </row>
        <row r="34">
          <cell r="B34">
            <v>50756639</v>
          </cell>
          <cell r="C34" t="str">
            <v>ETIQUETA AUTOADHESIVA SKOL 30L KEG</v>
          </cell>
          <cell r="D34">
            <v>1706940</v>
          </cell>
          <cell r="E34" t="str">
            <v>PYG</v>
          </cell>
          <cell r="F34">
            <v>6000</v>
          </cell>
        </row>
        <row r="35">
          <cell r="B35">
            <v>40015055</v>
          </cell>
          <cell r="C35" t="str">
            <v>ETIQUETA BRAHMA 940CC PABLITO L. VERT</v>
          </cell>
          <cell r="D35">
            <v>751118722.21</v>
          </cell>
          <cell r="E35" t="str">
            <v>PYG</v>
          </cell>
          <cell r="F35">
            <v>14868</v>
          </cell>
        </row>
        <row r="36">
          <cell r="B36">
            <v>50804929</v>
          </cell>
          <cell r="C36" t="str">
            <v>ETIQUETA BUD 66 710CC RGB PSL LAV</v>
          </cell>
          <cell r="D36">
            <v>361037893.38</v>
          </cell>
          <cell r="E36" t="str">
            <v>PYG</v>
          </cell>
          <cell r="F36">
            <v>2029900</v>
          </cell>
        </row>
        <row r="37">
          <cell r="B37">
            <v>40010084</v>
          </cell>
          <cell r="C37" t="str">
            <v>ETIQUETA OURO FINO 340CC RGB NVBI VERT</v>
          </cell>
          <cell r="D37">
            <v>145679315.09</v>
          </cell>
          <cell r="E37" t="str">
            <v>PYG</v>
          </cell>
          <cell r="F37">
            <v>6191</v>
          </cell>
        </row>
        <row r="38">
          <cell r="B38">
            <v>40010087</v>
          </cell>
          <cell r="C38" t="str">
            <v>ETIQUETA OURO FINO 940CC RGB NVBI VERT</v>
          </cell>
          <cell r="D38">
            <v>361450252.83</v>
          </cell>
          <cell r="E38" t="str">
            <v>PYG</v>
          </cell>
          <cell r="F38">
            <v>12096</v>
          </cell>
        </row>
        <row r="39">
          <cell r="B39">
            <v>50145028</v>
          </cell>
          <cell r="C39" t="str">
            <v>FILM STRETCH MANUAL</v>
          </cell>
          <cell r="D39">
            <v>92873595.58</v>
          </cell>
          <cell r="E39" t="str">
            <v>PYG</v>
          </cell>
          <cell r="F39">
            <v>1620</v>
          </cell>
        </row>
        <row r="40">
          <cell r="B40">
            <v>50143893</v>
          </cell>
          <cell r="C40" t="str">
            <v>FILM STRETCH WRAP 22 MIC.</v>
          </cell>
          <cell r="D40">
            <v>71832420</v>
          </cell>
          <cell r="E40" t="str">
            <v>PYG</v>
          </cell>
          <cell r="F40">
            <v>3960</v>
          </cell>
        </row>
        <row r="41">
          <cell r="B41">
            <v>50837284</v>
          </cell>
          <cell r="C41" t="str">
            <v>FILM TMC BRAHMA SUBZERO 269CCX12 65UM</v>
          </cell>
          <cell r="D41">
            <v>57369387.53</v>
          </cell>
          <cell r="E41" t="str">
            <v>PYG</v>
          </cell>
          <cell r="F41">
            <v>2490.9</v>
          </cell>
        </row>
        <row r="42">
          <cell r="B42">
            <v>50821962</v>
          </cell>
          <cell r="C42" t="str">
            <v>FILM TMC BRAHMITA ULTRA CERO 269CCX12</v>
          </cell>
          <cell r="D42">
            <v>90607644.27</v>
          </cell>
          <cell r="E42" t="str">
            <v>PYG</v>
          </cell>
          <cell r="F42">
            <v>3359.3</v>
          </cell>
        </row>
        <row r="43">
          <cell r="B43">
            <v>50854127</v>
          </cell>
          <cell r="C43" t="str">
            <v>FILM TMC OURO FINO 269 CC X15 65UM</v>
          </cell>
          <cell r="D43">
            <v>131010070.91</v>
          </cell>
          <cell r="E43" t="str">
            <v>PYG</v>
          </cell>
          <cell r="F43">
            <v>4924.75</v>
          </cell>
        </row>
        <row r="44">
          <cell r="B44">
            <v>50837237</v>
          </cell>
          <cell r="C44" t="str">
            <v>FILM TMC OURO FINO 269CCX12 65 UM</v>
          </cell>
          <cell r="D44">
            <v>28839687.82</v>
          </cell>
          <cell r="E44" t="str">
            <v>PYG</v>
          </cell>
          <cell r="F44">
            <v>1009.95</v>
          </cell>
        </row>
        <row r="45">
          <cell r="B45">
            <v>50840810</v>
          </cell>
          <cell r="C45" t="str">
            <v>FILM TMC PILSEN 269CCX12 65 MICRAS</v>
          </cell>
          <cell r="D45">
            <v>89336588.5</v>
          </cell>
          <cell r="E45" t="str">
            <v>PYG</v>
          </cell>
          <cell r="F45">
            <v>3179.1</v>
          </cell>
        </row>
        <row r="46">
          <cell r="B46">
            <v>50837265</v>
          </cell>
          <cell r="C46" t="str">
            <v>FILM TMC PILSEN 355CCX12 65 UM</v>
          </cell>
          <cell r="D46">
            <v>58859326.32</v>
          </cell>
          <cell r="E46" t="str">
            <v>PYG</v>
          </cell>
          <cell r="F46">
            <v>2073.85</v>
          </cell>
        </row>
        <row r="47">
          <cell r="B47">
            <v>50837267</v>
          </cell>
          <cell r="C47" t="str">
            <v>FILM TMC SKOL 269CCX15 65 UM</v>
          </cell>
          <cell r="D47">
            <v>145032272.42</v>
          </cell>
          <cell r="E47" t="str">
            <v>PYG</v>
          </cell>
          <cell r="F47">
            <v>5099.29</v>
          </cell>
        </row>
        <row r="48">
          <cell r="B48">
            <v>50851033</v>
          </cell>
          <cell r="C48" t="str">
            <v>FILM TMC SKOL AHORRO 269CC X15 65UM</v>
          </cell>
          <cell r="D48">
            <v>72106684.15</v>
          </cell>
          <cell r="E48" t="str">
            <v>PYG</v>
          </cell>
          <cell r="F48">
            <v>2825.6</v>
          </cell>
        </row>
        <row r="49">
          <cell r="B49">
            <v>50142397</v>
          </cell>
          <cell r="C49" t="str">
            <v>FILTRO TRAP SARTORIUS 550201P3-G 8 UM</v>
          </cell>
          <cell r="D49">
            <v>201495969.03</v>
          </cell>
          <cell r="E49" t="str">
            <v>PYG</v>
          </cell>
          <cell r="F49">
            <v>300</v>
          </cell>
        </row>
        <row r="50">
          <cell r="B50">
            <v>50824293</v>
          </cell>
          <cell r="C50" t="str">
            <v>FOIL SKOL 940CC RGB LATERAL</v>
          </cell>
          <cell r="D50">
            <v>296073527.54</v>
          </cell>
          <cell r="E50" t="str">
            <v>PYG</v>
          </cell>
          <cell r="F50">
            <v>8050000</v>
          </cell>
        </row>
        <row r="51">
          <cell r="B51">
            <v>50501117</v>
          </cell>
          <cell r="C51" t="str">
            <v>GARRAFA BUD 66 550ML</v>
          </cell>
          <cell r="D51">
            <v>13261804.13</v>
          </cell>
          <cell r="E51" t="str">
            <v>PYG</v>
          </cell>
          <cell r="F51">
            <v>5.616</v>
          </cell>
        </row>
        <row r="52">
          <cell r="B52">
            <v>50400554</v>
          </cell>
          <cell r="C52" t="str">
            <v>GFA FLINT 275ML SKOL PULL OF</v>
          </cell>
          <cell r="D52">
            <v>109877369.38</v>
          </cell>
          <cell r="E52" t="str">
            <v>PYG</v>
          </cell>
          <cell r="F52">
            <v>89.552</v>
          </cell>
        </row>
        <row r="53">
          <cell r="B53">
            <v>50144334</v>
          </cell>
          <cell r="C53" t="str">
            <v>HOT MELT P/CAJAS "JETMELT EC3762Q"</v>
          </cell>
          <cell r="D53">
            <v>235273688.08</v>
          </cell>
          <cell r="E53" t="str">
            <v>PYG</v>
          </cell>
          <cell r="F53">
            <v>2970</v>
          </cell>
        </row>
        <row r="54">
          <cell r="B54">
            <v>20016185</v>
          </cell>
          <cell r="C54" t="str">
            <v>INDIVIDUALES IMPRESOS EN PAPEL DIARIO</v>
          </cell>
          <cell r="D54">
            <v>29830996.55</v>
          </cell>
          <cell r="E54" t="str">
            <v>PYG</v>
          </cell>
          <cell r="F54">
            <v>50000</v>
          </cell>
        </row>
        <row r="55">
          <cell r="B55">
            <v>50144376</v>
          </cell>
          <cell r="C55" t="str">
            <v>INTERLAYER CARTON 116 X 97M.</v>
          </cell>
          <cell r="D55">
            <v>69640235.99</v>
          </cell>
          <cell r="E55" t="str">
            <v>PYG</v>
          </cell>
          <cell r="F55">
            <v>16200</v>
          </cell>
        </row>
        <row r="56">
          <cell r="B56">
            <v>50272278</v>
          </cell>
          <cell r="C56" t="str">
            <v>INTERLAYER P/LT 269 MED 120 X 92 CM</v>
          </cell>
          <cell r="D56">
            <v>127883807.97</v>
          </cell>
          <cell r="E56" t="str">
            <v>PYG</v>
          </cell>
          <cell r="F56">
            <v>31200</v>
          </cell>
        </row>
        <row r="57">
          <cell r="B57">
            <v>50799770</v>
          </cell>
          <cell r="C57" t="str">
            <v>INTERLAYER P/LT SLEEK FORM 4X6</v>
          </cell>
          <cell r="D57">
            <v>84660000</v>
          </cell>
          <cell r="E57" t="str">
            <v>PYG</v>
          </cell>
          <cell r="F57">
            <v>16600</v>
          </cell>
        </row>
        <row r="58">
          <cell r="B58">
            <v>50142373</v>
          </cell>
          <cell r="C58" t="str">
            <v>OXIDO DE MAGNESIO GRADO ALIMENTICIO</v>
          </cell>
          <cell r="D58">
            <v>308419142.9</v>
          </cell>
          <cell r="E58" t="str">
            <v>PYG</v>
          </cell>
          <cell r="F58">
            <v>800</v>
          </cell>
        </row>
        <row r="59">
          <cell r="B59">
            <v>50266247</v>
          </cell>
          <cell r="C59" t="str">
            <v>PRECINTA DE SEGUR.P/BARRIL S.ARTOIS</v>
          </cell>
          <cell r="D59">
            <v>89555200.01</v>
          </cell>
          <cell r="E59" t="str">
            <v>PYG</v>
          </cell>
          <cell r="F59">
            <v>10000</v>
          </cell>
        </row>
        <row r="60">
          <cell r="B60">
            <v>50143875</v>
          </cell>
          <cell r="C60" t="str">
            <v>PRECINTA SEG. P/BARRIL AZUL P/PILSEN</v>
          </cell>
          <cell r="D60">
            <v>156495496</v>
          </cell>
          <cell r="E60" t="str">
            <v>PYG</v>
          </cell>
          <cell r="F60">
            <v>18400</v>
          </cell>
        </row>
        <row r="61">
          <cell r="B61">
            <v>50142237</v>
          </cell>
          <cell r="C61" t="str">
            <v>PRECINTOS COLA DE RATÓN</v>
          </cell>
          <cell r="D61">
            <v>65696405.91</v>
          </cell>
          <cell r="E61" t="str">
            <v>PYG</v>
          </cell>
          <cell r="F61">
            <v>99000</v>
          </cell>
        </row>
        <row r="62">
          <cell r="B62">
            <v>20016059</v>
          </cell>
          <cell r="C62" t="str">
            <v>RESMA T/A4 210X297 MM</v>
          </cell>
          <cell r="D62">
            <v>6545391.29</v>
          </cell>
          <cell r="E62" t="str">
            <v>PYG</v>
          </cell>
          <cell r="F62">
            <v>200</v>
          </cell>
        </row>
        <row r="63">
          <cell r="B63">
            <v>40004808</v>
          </cell>
          <cell r="C63" t="str">
            <v>ROLHA MET BRAHMA 940 CC  PARAG CX10,7MIL</v>
          </cell>
          <cell r="D63">
            <v>623737821.61</v>
          </cell>
          <cell r="E63" t="str">
            <v>PYG</v>
          </cell>
          <cell r="F63">
            <v>10260</v>
          </cell>
        </row>
        <row r="64">
          <cell r="B64">
            <v>50397884</v>
          </cell>
          <cell r="C64" t="str">
            <v>ROLHA MET SK 275ML PULL OF</v>
          </cell>
          <cell r="D64">
            <v>254285985.6</v>
          </cell>
          <cell r="E64" t="str">
            <v>PYG</v>
          </cell>
          <cell r="F64">
            <v>1440</v>
          </cell>
        </row>
        <row r="65">
          <cell r="B65">
            <v>40010376</v>
          </cell>
          <cell r="C65" t="str">
            <v>ROT FRONT PILSEN 340 21 CX32MIL</v>
          </cell>
          <cell r="D65">
            <v>126583710.9</v>
          </cell>
          <cell r="E65" t="str">
            <v>PYG</v>
          </cell>
          <cell r="F65">
            <v>3913</v>
          </cell>
        </row>
        <row r="66">
          <cell r="B66">
            <v>50819321</v>
          </cell>
          <cell r="C66" t="str">
            <v>ROTULO BACK BUDWEISER 66 275ML PARAGUAI</v>
          </cell>
          <cell r="D66">
            <v>48063647.46</v>
          </cell>
          <cell r="E66" t="str">
            <v>PYG</v>
          </cell>
          <cell r="F66">
            <v>840</v>
          </cell>
        </row>
        <row r="67">
          <cell r="B67">
            <v>50472696</v>
          </cell>
          <cell r="C67" t="str">
            <v>ROTULO BACK SK 275ML PARAGUAI</v>
          </cell>
          <cell r="D67">
            <v>17816221.9</v>
          </cell>
          <cell r="E67" t="str">
            <v>PYG</v>
          </cell>
          <cell r="F67">
            <v>735</v>
          </cell>
        </row>
        <row r="68">
          <cell r="B68">
            <v>50819320</v>
          </cell>
          <cell r="C68" t="str">
            <v>ROTULO FRONT BUDWEISER 66 275ML PARAGUAI</v>
          </cell>
          <cell r="D68">
            <v>56966500.17</v>
          </cell>
          <cell r="E68" t="str">
            <v>PYG</v>
          </cell>
          <cell r="F68">
            <v>840</v>
          </cell>
        </row>
        <row r="69">
          <cell r="B69">
            <v>40007941</v>
          </cell>
          <cell r="C69" t="str">
            <v>ROTULO FRONT PILSEN NVBI 940 CC</v>
          </cell>
          <cell r="D69">
            <v>242567268.32</v>
          </cell>
          <cell r="E69" t="str">
            <v>PYG</v>
          </cell>
          <cell r="F69">
            <v>5400</v>
          </cell>
        </row>
        <row r="70">
          <cell r="B70">
            <v>50472692</v>
          </cell>
          <cell r="C70" t="str">
            <v>ROTULO FRONT SK 275ML PARAGUAI</v>
          </cell>
          <cell r="D70">
            <v>19427852.84</v>
          </cell>
          <cell r="E70" t="str">
            <v>PYG</v>
          </cell>
          <cell r="F70">
            <v>546</v>
          </cell>
        </row>
        <row r="71">
          <cell r="B71">
            <v>50142281</v>
          </cell>
          <cell r="C71" t="str">
            <v>SILICA GEL XEROGEL DARACLAR 7500 FF</v>
          </cell>
          <cell r="D71">
            <v>111285009.02</v>
          </cell>
          <cell r="E71" t="str">
            <v>PYG</v>
          </cell>
          <cell r="F71">
            <v>4950</v>
          </cell>
        </row>
        <row r="72">
          <cell r="B72">
            <v>50145029</v>
          </cell>
          <cell r="C72" t="str">
            <v>SOLVENTE P/TINTA NEGRA V705-D</v>
          </cell>
          <cell r="D72">
            <v>14367186.72</v>
          </cell>
          <cell r="E72" t="str">
            <v>PYG</v>
          </cell>
          <cell r="F72">
            <v>24</v>
          </cell>
        </row>
        <row r="73">
          <cell r="B73">
            <v>50392045</v>
          </cell>
          <cell r="C73" t="str">
            <v>SOLVENTE P/TINTA NEGRA V820-D</v>
          </cell>
          <cell r="D73">
            <v>18818663.4</v>
          </cell>
          <cell r="E73" t="str">
            <v>PYG</v>
          </cell>
          <cell r="F73">
            <v>30</v>
          </cell>
        </row>
        <row r="74">
          <cell r="B74">
            <v>40011080</v>
          </cell>
          <cell r="C74" t="str">
            <v>TAPA BRAHMA 940 PARAGUAY</v>
          </cell>
          <cell r="D74">
            <v>1446473767.3</v>
          </cell>
          <cell r="E74" t="str">
            <v>PYG</v>
          </cell>
          <cell r="F74">
            <v>23730</v>
          </cell>
        </row>
        <row r="75">
          <cell r="B75">
            <v>40011148</v>
          </cell>
          <cell r="C75" t="str">
            <v>TAPA BRAHMITA 340 PARAGUAY</v>
          </cell>
          <cell r="D75">
            <v>986654482.79</v>
          </cell>
          <cell r="E75" t="str">
            <v>PYG</v>
          </cell>
          <cell r="F75">
            <v>13560</v>
          </cell>
        </row>
        <row r="76">
          <cell r="B76">
            <v>40011149</v>
          </cell>
          <cell r="C76" t="str">
            <v>TAPA BUDWEISER 66 PARAGUAY</v>
          </cell>
          <cell r="D76">
            <v>317014537.71</v>
          </cell>
          <cell r="E76" t="str">
            <v>PYG</v>
          </cell>
          <cell r="F76">
            <v>4347</v>
          </cell>
        </row>
        <row r="77">
          <cell r="B77">
            <v>50851663</v>
          </cell>
          <cell r="C77" t="str">
            <v>TAPA CORONA BRAHMA ULTRA CERO</v>
          </cell>
          <cell r="D77">
            <v>136449969</v>
          </cell>
          <cell r="E77" t="str">
            <v>PYG</v>
          </cell>
          <cell r="F77">
            <v>1850000</v>
          </cell>
        </row>
        <row r="78">
          <cell r="B78">
            <v>50852310</v>
          </cell>
          <cell r="C78" t="str">
            <v>TAPA CORONA MICHELOB 275ML</v>
          </cell>
          <cell r="D78">
            <v>2020</v>
          </cell>
          <cell r="E78" t="str">
            <v>PYG</v>
          </cell>
          <cell r="F78">
            <v>2020000</v>
          </cell>
        </row>
        <row r="79">
          <cell r="B79">
            <v>50143873</v>
          </cell>
          <cell r="C79" t="str">
            <v>TAPA CORONA OURO FINO 940 CC</v>
          </cell>
          <cell r="D79">
            <v>1490460000</v>
          </cell>
          <cell r="E79" t="str">
            <v>PYG</v>
          </cell>
          <cell r="F79">
            <v>19872800</v>
          </cell>
        </row>
        <row r="80">
          <cell r="B80">
            <v>50515224</v>
          </cell>
          <cell r="C80" t="str">
            <v>TAPA CORONA PILSEN DORADA</v>
          </cell>
          <cell r="D80">
            <v>146889599.98</v>
          </cell>
          <cell r="E80" t="str">
            <v>PYG</v>
          </cell>
          <cell r="F80">
            <v>1056000</v>
          </cell>
        </row>
        <row r="81">
          <cell r="B81">
            <v>40008023</v>
          </cell>
          <cell r="C81" t="str">
            <v>TAPA CORONA PILSEN NVBI 710 CC</v>
          </cell>
          <cell r="D81">
            <v>74633328.89</v>
          </cell>
          <cell r="E81" t="str">
            <v>PYG</v>
          </cell>
          <cell r="F81">
            <v>900</v>
          </cell>
        </row>
        <row r="82">
          <cell r="B82">
            <v>50509889</v>
          </cell>
          <cell r="C82" t="str">
            <v>TAPA CORONA SKOL</v>
          </cell>
          <cell r="D82">
            <v>374505119.99</v>
          </cell>
          <cell r="E82" t="str">
            <v>PYG</v>
          </cell>
          <cell r="F82">
            <v>4752000</v>
          </cell>
        </row>
        <row r="83">
          <cell r="B83">
            <v>50802401</v>
          </cell>
          <cell r="C83" t="str">
            <v>TAPA LATA NEGRA TAB ROJA COT 66</v>
          </cell>
          <cell r="D83">
            <v>7495193034.03</v>
          </cell>
          <cell r="E83" t="str">
            <v>PYG</v>
          </cell>
          <cell r="F83">
            <v>37963800</v>
          </cell>
        </row>
        <row r="84">
          <cell r="B84">
            <v>50837509</v>
          </cell>
          <cell r="C84" t="str">
            <v>TAPA LATA PLATEADA TAB ROJA PILSEN</v>
          </cell>
          <cell r="D84">
            <v>2783204423.99</v>
          </cell>
          <cell r="E84" t="str">
            <v>PYG</v>
          </cell>
          <cell r="F84">
            <v>12751200</v>
          </cell>
        </row>
        <row r="85">
          <cell r="B85">
            <v>40011780</v>
          </cell>
          <cell r="C85" t="str">
            <v>TAPA OURO FINO 340 PARAGUAY</v>
          </cell>
          <cell r="D85">
            <v>308465670.5</v>
          </cell>
          <cell r="E85" t="str">
            <v>PYG</v>
          </cell>
          <cell r="F85">
            <v>4030</v>
          </cell>
        </row>
        <row r="86">
          <cell r="B86">
            <v>40011588</v>
          </cell>
          <cell r="C86" t="str">
            <v>TAPA OURO FINO 940 PARAGUAY</v>
          </cell>
          <cell r="D86">
            <v>966496922.1</v>
          </cell>
          <cell r="E86" t="str">
            <v>PYG</v>
          </cell>
          <cell r="F86">
            <v>12690</v>
          </cell>
        </row>
        <row r="87">
          <cell r="B87">
            <v>40011659</v>
          </cell>
          <cell r="C87" t="str">
            <v>TAPA PILSEN 940 C/COD BARRAS PARAGUAY</v>
          </cell>
          <cell r="D87">
            <v>700673137.27</v>
          </cell>
          <cell r="E87" t="str">
            <v>PYG</v>
          </cell>
          <cell r="F87">
            <v>10352</v>
          </cell>
        </row>
        <row r="88">
          <cell r="B88">
            <v>50142350</v>
          </cell>
          <cell r="C88" t="str">
            <v>TIERRA FILTRANTE FIBRA CELBH40</v>
          </cell>
          <cell r="D88">
            <v>345620376</v>
          </cell>
          <cell r="E88" t="str">
            <v>PYG</v>
          </cell>
          <cell r="F88">
            <v>5386.5</v>
          </cell>
        </row>
        <row r="89">
          <cell r="B89">
            <v>50142327</v>
          </cell>
          <cell r="C89" t="str">
            <v>TIERRA FILTRANTE HYFLO S.C.</v>
          </cell>
          <cell r="D89">
            <v>288866197.8</v>
          </cell>
          <cell r="E89" t="str">
            <v>PYG</v>
          </cell>
          <cell r="F89">
            <v>30032.1</v>
          </cell>
        </row>
        <row r="90">
          <cell r="B90">
            <v>50142334</v>
          </cell>
          <cell r="C90" t="str">
            <v>TIERRA FILTRANTE STANDARD S.C.</v>
          </cell>
          <cell r="D90">
            <v>388977441.09</v>
          </cell>
          <cell r="E90" t="str">
            <v>PYG</v>
          </cell>
          <cell r="F90">
            <v>37795.5</v>
          </cell>
        </row>
        <row r="91">
          <cell r="B91">
            <v>50145012</v>
          </cell>
          <cell r="C91" t="str">
            <v>TINTA NEGRA V410-D</v>
          </cell>
          <cell r="D91">
            <v>41942726.4</v>
          </cell>
          <cell r="E91" t="str">
            <v>PYG</v>
          </cell>
          <cell r="F91">
            <v>30</v>
          </cell>
        </row>
        <row r="92">
          <cell r="B92">
            <v>50392046</v>
          </cell>
          <cell r="C92" t="str">
            <v>TINTA NEGRA V505-D</v>
          </cell>
          <cell r="D92">
            <v>56269162.08</v>
          </cell>
          <cell r="E92" t="str">
            <v>PYG</v>
          </cell>
          <cell r="F92">
            <v>36</v>
          </cell>
        </row>
        <row r="93">
          <cell r="B93">
            <v>50392046</v>
          </cell>
          <cell r="C93" t="str">
            <v>TINTA NEGRA V505-D</v>
          </cell>
          <cell r="D93">
            <v>56269162.08</v>
          </cell>
          <cell r="E93" t="str">
            <v>PYG</v>
          </cell>
          <cell r="F93">
            <v>36</v>
          </cell>
        </row>
        <row r="95">
          <cell r="B95">
            <v>50142329</v>
          </cell>
          <cell r="C95" t="str">
            <v>CLORO LIQUIDO USO INDUSTRIAL</v>
          </cell>
          <cell r="D95">
            <v>0</v>
          </cell>
          <cell r="E95" t="str">
            <v>PYG</v>
          </cell>
          <cell r="F95">
            <v>0</v>
          </cell>
        </row>
        <row r="102">
          <cell r="B102">
            <v>50142455</v>
          </cell>
          <cell r="C102" t="str">
            <v>FILTRO TRAP SARTORIUS 5502520P3-G 20UM</v>
          </cell>
          <cell r="D102">
            <v>0</v>
          </cell>
          <cell r="E102" t="str">
            <v>PYG</v>
          </cell>
          <cell r="F102">
            <v>0</v>
          </cell>
        </row>
        <row r="104">
          <cell r="B104">
            <v>50142520</v>
          </cell>
          <cell r="C104" t="str">
            <v>CUBRE FACIL P/BOCA DE 3 PULG.</v>
          </cell>
          <cell r="D104">
            <v>0</v>
          </cell>
          <cell r="E104" t="str">
            <v>PYG</v>
          </cell>
          <cell r="F104">
            <v>0</v>
          </cell>
        </row>
        <row r="105">
          <cell r="B105">
            <v>50142523</v>
          </cell>
          <cell r="C105" t="str">
            <v>CUBRE FACIL P/BOCA DE 2,5 PULG</v>
          </cell>
          <cell r="D105">
            <v>0</v>
          </cell>
          <cell r="E105" t="str">
            <v>PYG</v>
          </cell>
          <cell r="F105">
            <v>0</v>
          </cell>
        </row>
        <row r="107">
          <cell r="B107">
            <v>50142571</v>
          </cell>
          <cell r="C107" t="str">
            <v>DIVOSAN TC 86</v>
          </cell>
          <cell r="D107">
            <v>0</v>
          </cell>
          <cell r="E107" t="str">
            <v>PYG</v>
          </cell>
          <cell r="F107">
            <v>0</v>
          </cell>
        </row>
        <row r="108">
          <cell r="B108">
            <v>50142584</v>
          </cell>
          <cell r="C108" t="str">
            <v>MINICHIP BUDWEISER</v>
          </cell>
          <cell r="D108">
            <v>0</v>
          </cell>
          <cell r="E108" t="str">
            <v>PYG</v>
          </cell>
          <cell r="F108">
            <v>0</v>
          </cell>
        </row>
        <row r="109">
          <cell r="B109">
            <v>50142619</v>
          </cell>
          <cell r="C109" t="str">
            <v>BOOSTER</v>
          </cell>
          <cell r="D109">
            <v>0</v>
          </cell>
          <cell r="E109" t="str">
            <v>PYG</v>
          </cell>
          <cell r="F109">
            <v>0</v>
          </cell>
        </row>
        <row r="114">
          <cell r="B114">
            <v>50143876</v>
          </cell>
          <cell r="C114" t="str">
            <v>ETIQUETA AUTOAD. PILSEN P/CHOPP 30 LT.</v>
          </cell>
          <cell r="D114">
            <v>0</v>
          </cell>
          <cell r="E114" t="str">
            <v>PYG</v>
          </cell>
          <cell r="F114">
            <v>0</v>
          </cell>
        </row>
        <row r="116">
          <cell r="B116">
            <v>50143894</v>
          </cell>
          <cell r="C116" t="str">
            <v>PRECINTA SEG. P/BARRIL ROJO</v>
          </cell>
          <cell r="D116">
            <v>0</v>
          </cell>
          <cell r="E116" t="str">
            <v>PYG</v>
          </cell>
          <cell r="F116">
            <v>0</v>
          </cell>
        </row>
        <row r="118">
          <cell r="B118">
            <v>50144200</v>
          </cell>
          <cell r="C118" t="str">
            <v>TAPA CORONA BRAHMA 940 CC</v>
          </cell>
          <cell r="D118">
            <v>0</v>
          </cell>
          <cell r="E118" t="str">
            <v>PYG</v>
          </cell>
          <cell r="F118">
            <v>0</v>
          </cell>
        </row>
        <row r="119">
          <cell r="B119">
            <v>50144246</v>
          </cell>
          <cell r="C119" t="str">
            <v>LATA VACIA OURO FINO 354 CC.</v>
          </cell>
          <cell r="D119">
            <v>0</v>
          </cell>
          <cell r="E119" t="str">
            <v>PYG</v>
          </cell>
          <cell r="F119">
            <v>0</v>
          </cell>
        </row>
        <row r="122">
          <cell r="B122">
            <v>50144951</v>
          </cell>
          <cell r="C122" t="str">
            <v>ESTUCHE CARTUL. 6 LT BUD 354 CC</v>
          </cell>
          <cell r="D122">
            <v>0</v>
          </cell>
          <cell r="E122" t="str">
            <v>PYG</v>
          </cell>
          <cell r="F122">
            <v>0</v>
          </cell>
        </row>
        <row r="123">
          <cell r="B123">
            <v>50144953</v>
          </cell>
          <cell r="C123" t="str">
            <v>ADHESIVO HOT MELT (AUTOMATICO)</v>
          </cell>
          <cell r="D123">
            <v>0</v>
          </cell>
          <cell r="E123" t="str">
            <v>PYG</v>
          </cell>
          <cell r="F123">
            <v>0</v>
          </cell>
        </row>
        <row r="124">
          <cell r="B124">
            <v>50144954</v>
          </cell>
          <cell r="C124" t="str">
            <v>BANDEJA CARTON P/4 PACK 6 LTA</v>
          </cell>
          <cell r="D124">
            <v>0</v>
          </cell>
          <cell r="E124" t="str">
            <v>PYG</v>
          </cell>
          <cell r="F124">
            <v>0</v>
          </cell>
        </row>
        <row r="125">
          <cell r="B125">
            <v>50144959</v>
          </cell>
          <cell r="C125" t="str">
            <v>CAJA CARTON BUD 4 PACK X 6 BOT 330 C</v>
          </cell>
          <cell r="D125">
            <v>0</v>
          </cell>
          <cell r="E125" t="str">
            <v>PYG</v>
          </cell>
          <cell r="F125">
            <v>0</v>
          </cell>
        </row>
        <row r="126">
          <cell r="B126">
            <v>50144960</v>
          </cell>
          <cell r="C126" t="str">
            <v>ESTUCHE CARTUL. 6 BOT BUD 330 CC (MANUAL</v>
          </cell>
          <cell r="D126">
            <v>0</v>
          </cell>
          <cell r="E126" t="str">
            <v>PYG</v>
          </cell>
          <cell r="F126">
            <v>0</v>
          </cell>
        </row>
        <row r="129">
          <cell r="B129">
            <v>50145029</v>
          </cell>
          <cell r="C129" t="str">
            <v>SOLVENTE P/TINTA NEGRA V705-D</v>
          </cell>
          <cell r="D129">
            <v>0</v>
          </cell>
          <cell r="E129" t="str">
            <v>PYG</v>
          </cell>
          <cell r="F129">
            <v>0</v>
          </cell>
        </row>
        <row r="130">
          <cell r="B130">
            <v>50145031</v>
          </cell>
          <cell r="C130" t="str">
            <v>FILM TERMOC. PILSEN 12 LT  DOBLE VÍA</v>
          </cell>
          <cell r="D130">
            <v>0</v>
          </cell>
          <cell r="E130" t="str">
            <v>PYG</v>
          </cell>
          <cell r="F130">
            <v>0</v>
          </cell>
        </row>
        <row r="131">
          <cell r="B131">
            <v>50145187</v>
          </cell>
          <cell r="C131" t="str">
            <v>TAPA CORONA BUD 66</v>
          </cell>
          <cell r="D131">
            <v>0</v>
          </cell>
          <cell r="E131" t="str">
            <v>PYG</v>
          </cell>
          <cell r="F131">
            <v>0</v>
          </cell>
        </row>
        <row r="132">
          <cell r="B132">
            <v>50145205</v>
          </cell>
          <cell r="C132" t="str">
            <v>ESTUCHE CARTUL. 6 LT BUD  66 354 CC</v>
          </cell>
          <cell r="D132">
            <v>0</v>
          </cell>
          <cell r="E132" t="str">
            <v>PYG</v>
          </cell>
          <cell r="F132">
            <v>0</v>
          </cell>
        </row>
        <row r="133">
          <cell r="B133">
            <v>50145377</v>
          </cell>
          <cell r="C133" t="str">
            <v>ETIQUETA BUDWEISER 66 330 CC</v>
          </cell>
          <cell r="D133">
            <v>0</v>
          </cell>
          <cell r="E133" t="str">
            <v>PYG</v>
          </cell>
          <cell r="F133">
            <v>0</v>
          </cell>
        </row>
        <row r="134">
          <cell r="B134">
            <v>50145378</v>
          </cell>
          <cell r="C134" t="str">
            <v>COLLARIN BUD 66 330 CC</v>
          </cell>
          <cell r="D134">
            <v>0</v>
          </cell>
          <cell r="E134" t="str">
            <v>PYG</v>
          </cell>
          <cell r="F134">
            <v>0</v>
          </cell>
        </row>
        <row r="135">
          <cell r="B135">
            <v>50145379</v>
          </cell>
          <cell r="C135" t="str">
            <v>CONTRAETIQUETA BUD 66 330 CC</v>
          </cell>
          <cell r="D135">
            <v>0</v>
          </cell>
          <cell r="E135" t="str">
            <v>PYG</v>
          </cell>
          <cell r="F135">
            <v>0</v>
          </cell>
        </row>
        <row r="136">
          <cell r="B136">
            <v>50145380</v>
          </cell>
          <cell r="C136" t="str">
            <v>CAJA CARTON 4 X 6 BOT BUD 66 330 C</v>
          </cell>
          <cell r="D136">
            <v>0</v>
          </cell>
          <cell r="E136" t="str">
            <v>PYG</v>
          </cell>
          <cell r="F136">
            <v>0</v>
          </cell>
        </row>
        <row r="137">
          <cell r="B137">
            <v>50145381</v>
          </cell>
          <cell r="C137" t="str">
            <v>ESTUCHE CARTUL.6 BOT BUD 66 330 (MANUAL)</v>
          </cell>
          <cell r="D137">
            <v>0</v>
          </cell>
          <cell r="E137" t="str">
            <v>PYG</v>
          </cell>
          <cell r="F137">
            <v>0</v>
          </cell>
        </row>
        <row r="138">
          <cell r="B138">
            <v>50145521</v>
          </cell>
          <cell r="C138" t="str">
            <v>PRECINTO SEG AUTOADHES BUD 66</v>
          </cell>
          <cell r="D138">
            <v>0</v>
          </cell>
          <cell r="E138" t="str">
            <v>PYG</v>
          </cell>
          <cell r="F138">
            <v>0</v>
          </cell>
        </row>
        <row r="139">
          <cell r="B139">
            <v>50171162</v>
          </cell>
          <cell r="C139" t="str">
            <v>LUPULO EXTRACTO TETRAHOP</v>
          </cell>
          <cell r="D139">
            <v>0</v>
          </cell>
          <cell r="E139" t="str">
            <v>PYG</v>
          </cell>
          <cell r="F139">
            <v>0</v>
          </cell>
        </row>
        <row r="140">
          <cell r="B140">
            <v>50232060</v>
          </cell>
          <cell r="C140" t="str">
            <v>TAPA_CORONA_BRAHMA_PO_340 CC</v>
          </cell>
          <cell r="D140">
            <v>0</v>
          </cell>
          <cell r="E140" t="str">
            <v>PYG</v>
          </cell>
          <cell r="F140">
            <v>0</v>
          </cell>
        </row>
        <row r="141">
          <cell r="B141">
            <v>50232806</v>
          </cell>
          <cell r="C141" t="str">
            <v>ENZIMA_AMYLEX_4T</v>
          </cell>
          <cell r="D141">
            <v>0</v>
          </cell>
          <cell r="E141" t="str">
            <v>PYG</v>
          </cell>
          <cell r="F141">
            <v>0</v>
          </cell>
        </row>
        <row r="142">
          <cell r="B142">
            <v>50236907</v>
          </cell>
          <cell r="C142" t="str">
            <v>LUPULO AMAR.  PIP HERCULES</v>
          </cell>
          <cell r="D142">
            <v>0</v>
          </cell>
          <cell r="E142" t="str">
            <v>PYG</v>
          </cell>
          <cell r="F142">
            <v>0</v>
          </cell>
        </row>
        <row r="144">
          <cell r="B144">
            <v>50270855</v>
          </cell>
          <cell r="C144" t="str">
            <v>TAPA CORONA PILSEN 710</v>
          </cell>
          <cell r="D144">
            <v>0</v>
          </cell>
          <cell r="E144" t="str">
            <v>PYG</v>
          </cell>
          <cell r="F144">
            <v>0</v>
          </cell>
        </row>
        <row r="145">
          <cell r="B145">
            <v>50271649</v>
          </cell>
          <cell r="C145" t="str">
            <v>BOTELLA FLINT BUD 66 710 CC</v>
          </cell>
          <cell r="D145">
            <v>0</v>
          </cell>
          <cell r="E145" t="str">
            <v>PYG</v>
          </cell>
          <cell r="F145">
            <v>0</v>
          </cell>
        </row>
        <row r="146">
          <cell r="B146">
            <v>50271740</v>
          </cell>
          <cell r="C146" t="str">
            <v>ETIQUETA BUD 66 710 CC</v>
          </cell>
          <cell r="D146">
            <v>0</v>
          </cell>
          <cell r="E146" t="str">
            <v>PYG</v>
          </cell>
          <cell r="F146">
            <v>0</v>
          </cell>
        </row>
        <row r="147">
          <cell r="B147">
            <v>50271800</v>
          </cell>
          <cell r="C147" t="str">
            <v>COLLARIN BUD 66 710 CC</v>
          </cell>
          <cell r="D147">
            <v>0</v>
          </cell>
          <cell r="E147" t="str">
            <v>PYG</v>
          </cell>
          <cell r="F147">
            <v>0</v>
          </cell>
        </row>
        <row r="148">
          <cell r="B148">
            <v>50271801</v>
          </cell>
          <cell r="C148" t="str">
            <v>CONTRAETIQUETA BUD 66 710 CC</v>
          </cell>
          <cell r="D148">
            <v>0</v>
          </cell>
          <cell r="E148" t="str">
            <v>PYG</v>
          </cell>
          <cell r="F148">
            <v>0</v>
          </cell>
        </row>
        <row r="150">
          <cell r="B150">
            <v>50272278</v>
          </cell>
          <cell r="C150" t="str">
            <v>INTERLAYER P/LT 269 MED 120 X 92 CM</v>
          </cell>
          <cell r="D150">
            <v>0</v>
          </cell>
          <cell r="E150" t="str">
            <v>PYG</v>
          </cell>
          <cell r="F150">
            <v>0</v>
          </cell>
        </row>
        <row r="151">
          <cell r="B151">
            <v>50277308</v>
          </cell>
          <cell r="C151" t="str">
            <v>FILM TERMOC. BRAHMA 269 CC X12 LTDA.D.VI</v>
          </cell>
          <cell r="D151">
            <v>0</v>
          </cell>
          <cell r="E151" t="str">
            <v>PYG</v>
          </cell>
          <cell r="F151">
            <v>0</v>
          </cell>
        </row>
        <row r="152">
          <cell r="B152">
            <v>50280269</v>
          </cell>
          <cell r="C152" t="str">
            <v>FILM TERMOC TRANSP BUD 354 X 24</v>
          </cell>
          <cell r="D152">
            <v>0</v>
          </cell>
          <cell r="E152" t="str">
            <v>PYG</v>
          </cell>
          <cell r="F152">
            <v>0</v>
          </cell>
        </row>
        <row r="153">
          <cell r="B153">
            <v>50280361</v>
          </cell>
          <cell r="C153" t="str">
            <v>CAJA CARTON  BUD  1000 CC X 6</v>
          </cell>
          <cell r="D153">
            <v>0</v>
          </cell>
          <cell r="E153" t="str">
            <v>PYG</v>
          </cell>
          <cell r="F153">
            <v>0</v>
          </cell>
        </row>
        <row r="154">
          <cell r="B154">
            <v>50286736</v>
          </cell>
          <cell r="C154" t="str">
            <v>ETIQUETA CUERPO BUD 340CC</v>
          </cell>
          <cell r="D154">
            <v>0</v>
          </cell>
          <cell r="E154" t="str">
            <v>PYG</v>
          </cell>
          <cell r="F154">
            <v>0</v>
          </cell>
        </row>
        <row r="155">
          <cell r="B155">
            <v>50286737</v>
          </cell>
          <cell r="C155" t="str">
            <v>COLLARIN BUD 340CC</v>
          </cell>
          <cell r="D155">
            <v>0</v>
          </cell>
          <cell r="E155" t="str">
            <v>PYG</v>
          </cell>
          <cell r="F155">
            <v>0</v>
          </cell>
        </row>
        <row r="156">
          <cell r="B156">
            <v>50315365</v>
          </cell>
          <cell r="C156" t="str">
            <v>TAPA CORONA OURO FINO PO 340 CC</v>
          </cell>
          <cell r="D156">
            <v>0</v>
          </cell>
          <cell r="E156" t="str">
            <v>PYG</v>
          </cell>
          <cell r="F156">
            <v>0</v>
          </cell>
        </row>
        <row r="157">
          <cell r="B157">
            <v>50328488</v>
          </cell>
          <cell r="C157" t="str">
            <v>CORTROL IS 3020 - BISULFITO</v>
          </cell>
          <cell r="D157">
            <v>0</v>
          </cell>
          <cell r="E157" t="str">
            <v>PYG</v>
          </cell>
          <cell r="F157">
            <v>0</v>
          </cell>
        </row>
        <row r="158">
          <cell r="B158">
            <v>50328897</v>
          </cell>
          <cell r="C158" t="str">
            <v>HYPERSPERSE MSI 410 - ANTIESCALANTE</v>
          </cell>
          <cell r="D158">
            <v>0</v>
          </cell>
          <cell r="E158" t="str">
            <v>PYG</v>
          </cell>
          <cell r="F158">
            <v>0</v>
          </cell>
        </row>
        <row r="160">
          <cell r="B160">
            <v>50337816</v>
          </cell>
          <cell r="C160" t="str">
            <v>TAPA CORONA PILSEN 940 CC NVBI</v>
          </cell>
          <cell r="D160">
            <v>0</v>
          </cell>
          <cell r="E160" t="str">
            <v>PYG</v>
          </cell>
          <cell r="F160">
            <v>0</v>
          </cell>
        </row>
        <row r="161">
          <cell r="B161">
            <v>50340252</v>
          </cell>
          <cell r="C161" t="str">
            <v>TAPA CORONA BUD LIGHT 340 RGB</v>
          </cell>
          <cell r="D161">
            <v>0</v>
          </cell>
          <cell r="E161" t="str">
            <v>PYG</v>
          </cell>
          <cell r="F161">
            <v>0</v>
          </cell>
        </row>
        <row r="162">
          <cell r="B162">
            <v>50340253</v>
          </cell>
          <cell r="C162" t="str">
            <v>ETIQUETA BUD LIGHT 340 RGB</v>
          </cell>
          <cell r="D162">
            <v>0</v>
          </cell>
          <cell r="E162" t="str">
            <v>PYG</v>
          </cell>
          <cell r="F162">
            <v>0</v>
          </cell>
        </row>
        <row r="163">
          <cell r="B163">
            <v>50340254</v>
          </cell>
          <cell r="C163" t="str">
            <v>BANDEJA BUD LIGHT 354 CC X6X4</v>
          </cell>
          <cell r="D163">
            <v>0</v>
          </cell>
          <cell r="E163" t="str">
            <v>PYG</v>
          </cell>
          <cell r="F163">
            <v>0</v>
          </cell>
        </row>
        <row r="164">
          <cell r="B164">
            <v>50340256</v>
          </cell>
          <cell r="C164" t="str">
            <v>ESTUCHE BUD LIGHT 354 CC X 6</v>
          </cell>
          <cell r="D164">
            <v>0</v>
          </cell>
          <cell r="E164" t="str">
            <v>PYG</v>
          </cell>
          <cell r="F164">
            <v>0</v>
          </cell>
        </row>
        <row r="165">
          <cell r="B165">
            <v>50340257</v>
          </cell>
          <cell r="C165" t="str">
            <v>COLLARIN BUD LIGHT 340 RGB</v>
          </cell>
          <cell r="D165">
            <v>0</v>
          </cell>
          <cell r="E165" t="str">
            <v>PYG</v>
          </cell>
          <cell r="F165">
            <v>0</v>
          </cell>
        </row>
        <row r="166">
          <cell r="B166">
            <v>50369034</v>
          </cell>
          <cell r="C166" t="str">
            <v>FILM TERM. CRISTAL 269 12 LT D/V 50 MIC</v>
          </cell>
          <cell r="D166">
            <v>0</v>
          </cell>
          <cell r="E166" t="str">
            <v>PYG</v>
          </cell>
          <cell r="F166">
            <v>0</v>
          </cell>
        </row>
        <row r="167">
          <cell r="B167">
            <v>50370788</v>
          </cell>
          <cell r="C167" t="str">
            <v>FILM TERM. OURO F. 12 LT  354 S/V 50 MIC</v>
          </cell>
          <cell r="D167">
            <v>0</v>
          </cell>
          <cell r="E167" t="str">
            <v>PYG</v>
          </cell>
          <cell r="F167">
            <v>0</v>
          </cell>
        </row>
        <row r="168">
          <cell r="B168">
            <v>50372640</v>
          </cell>
          <cell r="C168" t="str">
            <v>BANDEJA CARTON 4X6 LT BUD 66 310 CC</v>
          </cell>
          <cell r="D168">
            <v>0</v>
          </cell>
          <cell r="E168" t="str">
            <v>PYG</v>
          </cell>
          <cell r="F168">
            <v>0</v>
          </cell>
        </row>
        <row r="169">
          <cell r="B169">
            <v>50382440</v>
          </cell>
          <cell r="C169" t="str">
            <v>TAPA CORONA BUD REGULAR 710 CC</v>
          </cell>
          <cell r="D169">
            <v>0</v>
          </cell>
          <cell r="E169" t="str">
            <v>PYG</v>
          </cell>
          <cell r="F169">
            <v>0</v>
          </cell>
        </row>
        <row r="170">
          <cell r="B170">
            <v>50385831</v>
          </cell>
          <cell r="C170" t="str">
            <v>FILM TERMOC. BUD 66 X 6 LT 269 D/V</v>
          </cell>
          <cell r="D170">
            <v>0</v>
          </cell>
          <cell r="E170" t="str">
            <v>PYG</v>
          </cell>
          <cell r="F170">
            <v>0</v>
          </cell>
        </row>
        <row r="171">
          <cell r="B171">
            <v>50389784</v>
          </cell>
          <cell r="C171" t="str">
            <v>FILM TERMOC BUD 66 LT 354 CC D/V</v>
          </cell>
          <cell r="D171">
            <v>0</v>
          </cell>
          <cell r="E171" t="str">
            <v>PYG</v>
          </cell>
          <cell r="F171">
            <v>0</v>
          </cell>
        </row>
        <row r="172">
          <cell r="B172">
            <v>50392045</v>
          </cell>
          <cell r="C172" t="str">
            <v>SOLVENTE P/TINTA NEGRA V820-D</v>
          </cell>
          <cell r="D172">
            <v>0</v>
          </cell>
          <cell r="E172" t="str">
            <v>PYG</v>
          </cell>
          <cell r="F172">
            <v>0</v>
          </cell>
        </row>
        <row r="174">
          <cell r="B174">
            <v>50392470</v>
          </cell>
          <cell r="C174" t="str">
            <v>TAPA CORONA BRAHMA S.ZERO 340 CC</v>
          </cell>
          <cell r="D174">
            <v>0</v>
          </cell>
          <cell r="E174" t="str">
            <v>PYG</v>
          </cell>
          <cell r="F174">
            <v>0</v>
          </cell>
        </row>
        <row r="175">
          <cell r="B175">
            <v>50395897</v>
          </cell>
          <cell r="C175" t="str">
            <v>CONTRA ETIQUETA AUTOHAD. BUD 66 710 CC</v>
          </cell>
          <cell r="D175">
            <v>0</v>
          </cell>
          <cell r="E175" t="str">
            <v>PYG</v>
          </cell>
          <cell r="F175">
            <v>0</v>
          </cell>
        </row>
        <row r="177">
          <cell r="B177">
            <v>50399163</v>
          </cell>
          <cell r="C177" t="str">
            <v>FILM TERMOC BUDWEISER ED LTDA 354 CC X12</v>
          </cell>
          <cell r="D177">
            <v>0</v>
          </cell>
          <cell r="E177" t="str">
            <v>PYG</v>
          </cell>
          <cell r="F177">
            <v>0</v>
          </cell>
        </row>
        <row r="178">
          <cell r="B178">
            <v>50400554</v>
          </cell>
          <cell r="C178" t="str">
            <v>GFA FLINT 275ML SKOL PULL OF</v>
          </cell>
          <cell r="D178">
            <v>0</v>
          </cell>
          <cell r="E178" t="str">
            <v>PYG</v>
          </cell>
          <cell r="F178">
            <v>0</v>
          </cell>
        </row>
        <row r="179">
          <cell r="B179">
            <v>50409392</v>
          </cell>
          <cell r="C179" t="str">
            <v>FILM TERMOC. NORTE 269 CC X 12 LT D /V</v>
          </cell>
          <cell r="D179">
            <v>0</v>
          </cell>
          <cell r="E179" t="str">
            <v>PYG</v>
          </cell>
          <cell r="F179">
            <v>0</v>
          </cell>
        </row>
        <row r="180">
          <cell r="B180">
            <v>50409393</v>
          </cell>
          <cell r="C180" t="str">
            <v>FILM TERMOC. NORTE 354 CC X 12 LT D /V</v>
          </cell>
          <cell r="D180">
            <v>0</v>
          </cell>
          <cell r="E180" t="str">
            <v>PYG</v>
          </cell>
          <cell r="F180">
            <v>0</v>
          </cell>
        </row>
        <row r="181">
          <cell r="B181">
            <v>50417408</v>
          </cell>
          <cell r="C181" t="str">
            <v>ENZIMA LAMINEX G4</v>
          </cell>
          <cell r="D181">
            <v>0</v>
          </cell>
          <cell r="E181" t="str">
            <v>PYG</v>
          </cell>
          <cell r="F181">
            <v>0</v>
          </cell>
        </row>
        <row r="182">
          <cell r="B182">
            <v>50417410</v>
          </cell>
          <cell r="C182" t="str">
            <v>ETIQUETA PILSEN ÑANDE 330 CC</v>
          </cell>
          <cell r="D182">
            <v>0</v>
          </cell>
          <cell r="E182" t="str">
            <v>PYG</v>
          </cell>
          <cell r="F182">
            <v>0</v>
          </cell>
        </row>
        <row r="183">
          <cell r="B183">
            <v>50417411</v>
          </cell>
          <cell r="C183" t="str">
            <v>COLLARIN PILSEN ÑANDE 330 CC</v>
          </cell>
          <cell r="D183">
            <v>0</v>
          </cell>
          <cell r="E183" t="str">
            <v>PYG</v>
          </cell>
          <cell r="F183">
            <v>0</v>
          </cell>
        </row>
        <row r="184">
          <cell r="B184">
            <v>50417412</v>
          </cell>
          <cell r="C184" t="str">
            <v>CONTRAETIQUETA PILSEN ÑANDE 330 CC</v>
          </cell>
          <cell r="D184">
            <v>0</v>
          </cell>
          <cell r="E184" t="str">
            <v>PYG</v>
          </cell>
          <cell r="F184">
            <v>0</v>
          </cell>
        </row>
        <row r="185">
          <cell r="B185">
            <v>50417413</v>
          </cell>
          <cell r="C185" t="str">
            <v>TAPA CORONA PILSEN ÑANDE 330 CC OW</v>
          </cell>
          <cell r="D185">
            <v>0</v>
          </cell>
          <cell r="E185" t="str">
            <v>PYG</v>
          </cell>
          <cell r="F185">
            <v>0</v>
          </cell>
        </row>
        <row r="186">
          <cell r="B186">
            <v>50417515</v>
          </cell>
          <cell r="C186" t="str">
            <v>FILM TERM. PILSEN ÑANDE 12 LT  269 D/V</v>
          </cell>
          <cell r="D186">
            <v>0</v>
          </cell>
          <cell r="E186" t="str">
            <v>PYG</v>
          </cell>
          <cell r="F186">
            <v>0</v>
          </cell>
        </row>
        <row r="187">
          <cell r="B187">
            <v>50417619</v>
          </cell>
          <cell r="C187" t="str">
            <v>ETIQUETA AUTOAD. PILSEN ÑANDE CHOP 20 L</v>
          </cell>
          <cell r="D187">
            <v>0</v>
          </cell>
          <cell r="E187" t="str">
            <v>PYG</v>
          </cell>
          <cell r="F187">
            <v>0</v>
          </cell>
        </row>
        <row r="188">
          <cell r="B188">
            <v>50419454</v>
          </cell>
          <cell r="C188" t="str">
            <v>FILM TERMOC BUD 66 LT 354 CC D/V</v>
          </cell>
          <cell r="D188">
            <v>0</v>
          </cell>
          <cell r="E188" t="str">
            <v>PYG</v>
          </cell>
          <cell r="F188">
            <v>0</v>
          </cell>
        </row>
        <row r="189">
          <cell r="B189">
            <v>50428207</v>
          </cell>
          <cell r="C189" t="str">
            <v>ETIQUETA PILSEN ÑANDE 340 CC</v>
          </cell>
          <cell r="D189">
            <v>0</v>
          </cell>
          <cell r="E189" t="str">
            <v>PYG</v>
          </cell>
          <cell r="F189">
            <v>0</v>
          </cell>
        </row>
        <row r="190">
          <cell r="B190">
            <v>50428208</v>
          </cell>
          <cell r="C190" t="str">
            <v>COLLARIN PILSEN ÑANDE 340 CC</v>
          </cell>
          <cell r="D190">
            <v>0</v>
          </cell>
          <cell r="E190" t="str">
            <v>PYG</v>
          </cell>
          <cell r="F190">
            <v>0</v>
          </cell>
        </row>
        <row r="191">
          <cell r="B191">
            <v>50428212</v>
          </cell>
          <cell r="C191" t="str">
            <v>CONTRAETIQUETAPILSEN ÑANDE 340 CC</v>
          </cell>
          <cell r="D191">
            <v>0</v>
          </cell>
          <cell r="E191" t="str">
            <v>PYG</v>
          </cell>
          <cell r="F191">
            <v>0</v>
          </cell>
        </row>
        <row r="192">
          <cell r="B192">
            <v>50429139</v>
          </cell>
          <cell r="C192" t="str">
            <v>LUPULO PELLET MAGNUM</v>
          </cell>
          <cell r="D192">
            <v>0</v>
          </cell>
          <cell r="E192" t="str">
            <v>PYG</v>
          </cell>
          <cell r="F192">
            <v>0</v>
          </cell>
        </row>
        <row r="193">
          <cell r="B193">
            <v>50429168</v>
          </cell>
          <cell r="C193" t="str">
            <v>ETIQUETA PILSEN ÑANDE 620 CC OW</v>
          </cell>
          <cell r="D193">
            <v>0</v>
          </cell>
          <cell r="E193" t="str">
            <v>PYG</v>
          </cell>
          <cell r="F193">
            <v>0</v>
          </cell>
        </row>
        <row r="194">
          <cell r="B194">
            <v>50429169</v>
          </cell>
          <cell r="C194" t="str">
            <v>COLLARIN PILSEN ÑANDE 620 CC OW</v>
          </cell>
          <cell r="D194">
            <v>0</v>
          </cell>
          <cell r="E194" t="str">
            <v>PYG</v>
          </cell>
          <cell r="F194">
            <v>0</v>
          </cell>
        </row>
        <row r="195">
          <cell r="B195">
            <v>50429173</v>
          </cell>
          <cell r="C195" t="str">
            <v>CONTRAETIQUETA PILSEN ÑANDE 620 CC OW</v>
          </cell>
          <cell r="D195">
            <v>0</v>
          </cell>
          <cell r="E195" t="str">
            <v>PYG</v>
          </cell>
          <cell r="F195">
            <v>0</v>
          </cell>
        </row>
        <row r="196">
          <cell r="B196">
            <v>50435419</v>
          </cell>
          <cell r="C196" t="str">
            <v>ENZIMA ALPHALASE THP</v>
          </cell>
          <cell r="D196">
            <v>0</v>
          </cell>
          <cell r="E196" t="str">
            <v>PYG</v>
          </cell>
          <cell r="F196">
            <v>0</v>
          </cell>
        </row>
        <row r="197">
          <cell r="B197">
            <v>50442233</v>
          </cell>
          <cell r="C197" t="str">
            <v>FILM TMC PILSEN 269 CCX12 ED.LIMITADA</v>
          </cell>
          <cell r="D197">
            <v>0</v>
          </cell>
          <cell r="E197" t="str">
            <v>PYG</v>
          </cell>
          <cell r="F197">
            <v>0</v>
          </cell>
        </row>
        <row r="198">
          <cell r="B198">
            <v>50446609</v>
          </cell>
          <cell r="C198" t="str">
            <v>CAJA CART. PILSEN ÑANDE 6X620 CC MANUAL</v>
          </cell>
          <cell r="D198">
            <v>0</v>
          </cell>
          <cell r="E198" t="str">
            <v>PYG</v>
          </cell>
          <cell r="F198">
            <v>0</v>
          </cell>
        </row>
        <row r="200">
          <cell r="B200">
            <v>50455587</v>
          </cell>
          <cell r="C200" t="str">
            <v>COLLARIN PILSEN ÑANDE BLANCA 330CC</v>
          </cell>
          <cell r="D200">
            <v>0</v>
          </cell>
          <cell r="E200" t="str">
            <v>PYG</v>
          </cell>
          <cell r="F200">
            <v>0</v>
          </cell>
        </row>
        <row r="201">
          <cell r="B201">
            <v>50455588</v>
          </cell>
          <cell r="C201" t="str">
            <v>COLLARIN PILSEN ÑANDE BLANCA 620CC</v>
          </cell>
          <cell r="D201">
            <v>0</v>
          </cell>
          <cell r="E201" t="str">
            <v>PYG</v>
          </cell>
          <cell r="F201">
            <v>0</v>
          </cell>
        </row>
        <row r="202">
          <cell r="B202">
            <v>50455589</v>
          </cell>
          <cell r="C202" t="str">
            <v>CONTRAETIQUETA PILSEN ÑANDE BLANCA 330CC</v>
          </cell>
          <cell r="D202">
            <v>0</v>
          </cell>
          <cell r="E202" t="str">
            <v>PYG</v>
          </cell>
          <cell r="F202">
            <v>0</v>
          </cell>
        </row>
        <row r="203">
          <cell r="B203">
            <v>50455770</v>
          </cell>
          <cell r="C203" t="str">
            <v>ETIQUETA PILSEN ÑANDE BLANCA 330CC</v>
          </cell>
          <cell r="D203">
            <v>0</v>
          </cell>
          <cell r="E203" t="str">
            <v>PYG</v>
          </cell>
          <cell r="F203">
            <v>0</v>
          </cell>
        </row>
        <row r="204">
          <cell r="B204">
            <v>50455771</v>
          </cell>
          <cell r="C204" t="str">
            <v>CONTRAETIQUETA PILSEN ÑANDE BLANCA 620CC</v>
          </cell>
          <cell r="D204">
            <v>0</v>
          </cell>
          <cell r="E204" t="str">
            <v>PYG</v>
          </cell>
          <cell r="F204">
            <v>0</v>
          </cell>
        </row>
        <row r="205">
          <cell r="B205">
            <v>50455772</v>
          </cell>
          <cell r="C205" t="str">
            <v>ETIQUETA PILSEN ÑANDE BLANCA 620CC</v>
          </cell>
          <cell r="D205">
            <v>0</v>
          </cell>
          <cell r="E205" t="str">
            <v>PYG</v>
          </cell>
          <cell r="F205">
            <v>0</v>
          </cell>
        </row>
        <row r="206">
          <cell r="B206">
            <v>50455861</v>
          </cell>
          <cell r="C206" t="str">
            <v>TAPA CORONA PILSEN ÑDE BLANCA</v>
          </cell>
          <cell r="D206">
            <v>0</v>
          </cell>
          <cell r="E206" t="str">
            <v>PYG</v>
          </cell>
          <cell r="F206">
            <v>0</v>
          </cell>
        </row>
        <row r="207">
          <cell r="B207">
            <v>50455863</v>
          </cell>
          <cell r="C207" t="str">
            <v>TAPA CORONA PILSEN ÑDE NEGRA</v>
          </cell>
          <cell r="D207">
            <v>0</v>
          </cell>
          <cell r="E207" t="str">
            <v>PYG</v>
          </cell>
          <cell r="F207">
            <v>0</v>
          </cell>
        </row>
        <row r="208">
          <cell r="B208">
            <v>50455865</v>
          </cell>
          <cell r="C208" t="str">
            <v>ETIQ. AUTOAD. PILSEN ÑDE BLANCACHOP 30L</v>
          </cell>
          <cell r="D208">
            <v>0</v>
          </cell>
          <cell r="E208" t="str">
            <v>PYG</v>
          </cell>
          <cell r="F208">
            <v>0</v>
          </cell>
        </row>
        <row r="209">
          <cell r="B209">
            <v>50455985</v>
          </cell>
          <cell r="C209" t="str">
            <v>ETIQUETA PILSEN ÑANDE NEGRA 330CC</v>
          </cell>
          <cell r="D209">
            <v>0</v>
          </cell>
          <cell r="E209" t="str">
            <v>PYG</v>
          </cell>
          <cell r="F209">
            <v>0</v>
          </cell>
        </row>
        <row r="210">
          <cell r="B210">
            <v>50455986</v>
          </cell>
          <cell r="C210" t="str">
            <v>COLLARIN PILSEN ÑANDE NEGRA 330CC</v>
          </cell>
          <cell r="D210">
            <v>0</v>
          </cell>
          <cell r="E210" t="str">
            <v>PYG</v>
          </cell>
          <cell r="F210">
            <v>0</v>
          </cell>
        </row>
        <row r="211">
          <cell r="B211">
            <v>50455987</v>
          </cell>
          <cell r="C211" t="str">
            <v>CONTRAETIQUETA PILSEN ÑANDE NEGRA 330CC</v>
          </cell>
          <cell r="D211">
            <v>0</v>
          </cell>
          <cell r="E211" t="str">
            <v>PYG</v>
          </cell>
          <cell r="F211">
            <v>0</v>
          </cell>
        </row>
        <row r="212">
          <cell r="B212">
            <v>50455988</v>
          </cell>
          <cell r="C212" t="str">
            <v>ETIQUETA PILSEN ÑANDE NEGRA 620CC</v>
          </cell>
          <cell r="D212">
            <v>0</v>
          </cell>
          <cell r="E212" t="str">
            <v>PYG</v>
          </cell>
          <cell r="F212">
            <v>0</v>
          </cell>
        </row>
        <row r="213">
          <cell r="B213">
            <v>50455989</v>
          </cell>
          <cell r="C213" t="str">
            <v>COLLARIN PILSEN ÑANDE NEGRA 620CC</v>
          </cell>
          <cell r="D213">
            <v>0</v>
          </cell>
          <cell r="E213" t="str">
            <v>PYG</v>
          </cell>
          <cell r="F213">
            <v>0</v>
          </cell>
        </row>
        <row r="214">
          <cell r="B214">
            <v>50455990</v>
          </cell>
          <cell r="C214" t="str">
            <v>CONTRAETIQUETA PILSEN ÑANDE NEGRA 620CC</v>
          </cell>
          <cell r="D214">
            <v>0</v>
          </cell>
          <cell r="E214" t="str">
            <v>PYG</v>
          </cell>
          <cell r="F214">
            <v>0</v>
          </cell>
        </row>
        <row r="215">
          <cell r="B215">
            <v>50455993</v>
          </cell>
          <cell r="C215" t="str">
            <v>FILM T. PILSEN ÑDE BLANCA 12 LT 269 D/V</v>
          </cell>
          <cell r="D215">
            <v>0</v>
          </cell>
          <cell r="E215" t="str">
            <v>PYG</v>
          </cell>
          <cell r="F215">
            <v>0</v>
          </cell>
        </row>
        <row r="216">
          <cell r="B216">
            <v>50455995</v>
          </cell>
          <cell r="C216" t="str">
            <v>FILM TERM. PILSEN NVBI 12 LT 354 D/V</v>
          </cell>
          <cell r="D216">
            <v>0</v>
          </cell>
          <cell r="E216" t="str">
            <v>PYG</v>
          </cell>
          <cell r="F216">
            <v>0</v>
          </cell>
        </row>
        <row r="217">
          <cell r="B217">
            <v>50455996</v>
          </cell>
          <cell r="C217" t="str">
            <v>FILM T. PILSEN ÑDE NEGRA 12 LT 269 D/V</v>
          </cell>
          <cell r="D217">
            <v>0</v>
          </cell>
          <cell r="E217" t="str">
            <v>PYG</v>
          </cell>
          <cell r="F217">
            <v>0</v>
          </cell>
        </row>
        <row r="218">
          <cell r="B218">
            <v>50458295</v>
          </cell>
          <cell r="C218" t="str">
            <v>ESTUCHE CARTUL STELLA A 6X250 CC MANUAL</v>
          </cell>
          <cell r="D218">
            <v>0</v>
          </cell>
          <cell r="E218" t="str">
            <v>PYG</v>
          </cell>
          <cell r="F218">
            <v>0</v>
          </cell>
        </row>
        <row r="219">
          <cell r="B219">
            <v>50460510</v>
          </cell>
          <cell r="C219" t="str">
            <v>BANDEJA CARTON STELLA ARTOIS 250 CC 4X6</v>
          </cell>
          <cell r="D219">
            <v>0</v>
          </cell>
          <cell r="E219" t="str">
            <v>PYG</v>
          </cell>
          <cell r="F219">
            <v>0</v>
          </cell>
        </row>
        <row r="222">
          <cell r="B222">
            <v>50472696</v>
          </cell>
          <cell r="C222" t="str">
            <v>ROTULO BACK SK 275ML PARAGUAI</v>
          </cell>
          <cell r="D222">
            <v>0</v>
          </cell>
          <cell r="E222" t="str">
            <v>PYG</v>
          </cell>
          <cell r="F222">
            <v>0</v>
          </cell>
        </row>
        <row r="223">
          <cell r="B223">
            <v>50477970</v>
          </cell>
          <cell r="C223" t="str">
            <v>FILM PILSEN 269CC X12 ED. COPA AMERICA</v>
          </cell>
          <cell r="D223">
            <v>0</v>
          </cell>
          <cell r="E223" t="str">
            <v>PYG</v>
          </cell>
          <cell r="F223">
            <v>0</v>
          </cell>
        </row>
        <row r="224">
          <cell r="B224">
            <v>50482947</v>
          </cell>
          <cell r="C224" t="str">
            <v>CAJA CART PATAG BOHEMIA PIL X6 269CC</v>
          </cell>
          <cell r="D224">
            <v>0</v>
          </cell>
          <cell r="E224" t="str">
            <v>PYG</v>
          </cell>
          <cell r="F224">
            <v>0</v>
          </cell>
        </row>
        <row r="225">
          <cell r="B225">
            <v>50482948</v>
          </cell>
          <cell r="C225" t="str">
            <v>CAJA CART PATAG AMBER LAGER X6 269CC</v>
          </cell>
          <cell r="D225">
            <v>0</v>
          </cell>
          <cell r="E225" t="str">
            <v>PYG</v>
          </cell>
          <cell r="F225">
            <v>0</v>
          </cell>
        </row>
        <row r="226">
          <cell r="B226">
            <v>50482949</v>
          </cell>
          <cell r="C226" t="str">
            <v>CAJA CART PATAG HOPPY LAGER X6 269CC</v>
          </cell>
          <cell r="D226">
            <v>0</v>
          </cell>
          <cell r="E226" t="str">
            <v>PYG</v>
          </cell>
          <cell r="F226">
            <v>0</v>
          </cell>
        </row>
        <row r="227">
          <cell r="B227">
            <v>50483023</v>
          </cell>
          <cell r="C227" t="str">
            <v>CAJA CART HOEGAARDEN ROSEE X6 330CC</v>
          </cell>
          <cell r="D227">
            <v>0</v>
          </cell>
          <cell r="E227" t="str">
            <v>PYG</v>
          </cell>
          <cell r="F227">
            <v>0</v>
          </cell>
        </row>
        <row r="228">
          <cell r="B228">
            <v>50484810</v>
          </cell>
          <cell r="C228" t="str">
            <v>CAJA CART PATAGONIA WEISSE X6 269CC</v>
          </cell>
          <cell r="D228">
            <v>0</v>
          </cell>
          <cell r="E228" t="str">
            <v>PYG</v>
          </cell>
          <cell r="F228">
            <v>0</v>
          </cell>
        </row>
        <row r="229">
          <cell r="B229">
            <v>50486293</v>
          </cell>
          <cell r="C229" t="str">
            <v>FILM TERM PILSEN NVBI 12 LT 354 D/V 80</v>
          </cell>
          <cell r="D229">
            <v>0</v>
          </cell>
          <cell r="E229" t="str">
            <v>PYG</v>
          </cell>
          <cell r="F229">
            <v>0</v>
          </cell>
        </row>
        <row r="230">
          <cell r="B230">
            <v>50486294</v>
          </cell>
          <cell r="C230" t="str">
            <v>FILM TERM PILSEN NVBI 12 LT 269 D/V 80</v>
          </cell>
          <cell r="D230">
            <v>0</v>
          </cell>
          <cell r="E230" t="str">
            <v>PYG</v>
          </cell>
          <cell r="F230">
            <v>0</v>
          </cell>
        </row>
        <row r="231">
          <cell r="B231">
            <v>50486297</v>
          </cell>
          <cell r="C231" t="str">
            <v>FILM TMC BRAHMA MUSICA ED LIM X12 269CC</v>
          </cell>
          <cell r="D231">
            <v>0</v>
          </cell>
          <cell r="E231" t="str">
            <v>PYG</v>
          </cell>
          <cell r="F231">
            <v>0</v>
          </cell>
        </row>
        <row r="232">
          <cell r="B232">
            <v>50491486</v>
          </cell>
          <cell r="C232" t="str">
            <v>ESTUCHE CARTUL PATAGONIA X10 269CC</v>
          </cell>
          <cell r="D232">
            <v>0</v>
          </cell>
          <cell r="E232" t="str">
            <v>PYG</v>
          </cell>
          <cell r="F232">
            <v>0</v>
          </cell>
        </row>
        <row r="233">
          <cell r="B233">
            <v>50493248</v>
          </cell>
          <cell r="C233" t="str">
            <v>FILM TMC BUD66 X12 LT 269 D/V 80 UM</v>
          </cell>
          <cell r="D233">
            <v>0</v>
          </cell>
          <cell r="E233" t="str">
            <v>PYG</v>
          </cell>
          <cell r="F233">
            <v>0</v>
          </cell>
        </row>
        <row r="234">
          <cell r="B234">
            <v>50493261</v>
          </cell>
          <cell r="C234" t="str">
            <v>FILM PIL NANDE NEGRA X12 LT 269 D/V 80</v>
          </cell>
          <cell r="D234">
            <v>0</v>
          </cell>
          <cell r="E234" t="str">
            <v>PYG</v>
          </cell>
          <cell r="F234">
            <v>0</v>
          </cell>
        </row>
        <row r="235">
          <cell r="B235">
            <v>50493262</v>
          </cell>
          <cell r="C235" t="str">
            <v>FILM TMC BRAHMA X12 LT 269 D/V 80</v>
          </cell>
          <cell r="D235">
            <v>0</v>
          </cell>
          <cell r="E235" t="str">
            <v>PYG</v>
          </cell>
          <cell r="F235">
            <v>0</v>
          </cell>
        </row>
        <row r="236">
          <cell r="B236">
            <v>50493867</v>
          </cell>
          <cell r="C236" t="str">
            <v>FILM TMC SKOL 269C CX 12 LT D/V 80 UM</v>
          </cell>
          <cell r="D236">
            <v>0</v>
          </cell>
          <cell r="E236" t="str">
            <v>PYG</v>
          </cell>
          <cell r="F236">
            <v>0</v>
          </cell>
        </row>
        <row r="237">
          <cell r="B237">
            <v>50495561</v>
          </cell>
          <cell r="C237" t="str">
            <v>COLLARIN BUDWEISER 66 550 CC</v>
          </cell>
          <cell r="D237">
            <v>0</v>
          </cell>
          <cell r="E237" t="str">
            <v>PYG</v>
          </cell>
          <cell r="F237">
            <v>0</v>
          </cell>
        </row>
        <row r="238">
          <cell r="B238">
            <v>50498013</v>
          </cell>
          <cell r="C238" t="str">
            <v>FILM TMC BUD66 X12 LT 354 D/V 80 UM</v>
          </cell>
          <cell r="D238">
            <v>0</v>
          </cell>
          <cell r="E238" t="str">
            <v>PYG</v>
          </cell>
          <cell r="F238">
            <v>0</v>
          </cell>
        </row>
        <row r="239">
          <cell r="B239">
            <v>50498014</v>
          </cell>
          <cell r="C239" t="str">
            <v>FILM TMC BRAHMA X12 LT 354 D/V 80</v>
          </cell>
          <cell r="D239">
            <v>0</v>
          </cell>
          <cell r="E239" t="str">
            <v>PYG</v>
          </cell>
          <cell r="F239">
            <v>0</v>
          </cell>
        </row>
        <row r="240">
          <cell r="B240">
            <v>50498271</v>
          </cell>
          <cell r="C240" t="str">
            <v>FILM BRAHMA SUBZERO X12 LT 269 D/V 70</v>
          </cell>
          <cell r="D240">
            <v>0</v>
          </cell>
          <cell r="E240" t="str">
            <v>PYG</v>
          </cell>
          <cell r="F240">
            <v>0</v>
          </cell>
        </row>
        <row r="241">
          <cell r="B241">
            <v>50498273</v>
          </cell>
          <cell r="C241" t="str">
            <v>FILM TMC BAVIERA X12 LT 269 D/V 80</v>
          </cell>
          <cell r="D241">
            <v>0</v>
          </cell>
          <cell r="E241" t="str">
            <v>PYG</v>
          </cell>
          <cell r="F241">
            <v>0</v>
          </cell>
        </row>
        <row r="243">
          <cell r="B243">
            <v>50501720</v>
          </cell>
          <cell r="C243" t="str">
            <v>FILM ANTARCTICA ORIGINAL 269CC X12 80 UM</v>
          </cell>
          <cell r="D243">
            <v>0</v>
          </cell>
          <cell r="E243" t="str">
            <v>PYG</v>
          </cell>
          <cell r="F243">
            <v>0</v>
          </cell>
        </row>
        <row r="244">
          <cell r="B244">
            <v>50501722</v>
          </cell>
          <cell r="C244" t="str">
            <v>FILM TMC OURO FINO 269CC X12 NBVI 80 UM</v>
          </cell>
          <cell r="D244">
            <v>0</v>
          </cell>
          <cell r="E244" t="str">
            <v>PYG</v>
          </cell>
          <cell r="F244">
            <v>0</v>
          </cell>
        </row>
        <row r="245">
          <cell r="B245">
            <v>50507913</v>
          </cell>
          <cell r="C245" t="str">
            <v>TAPA CORONA OURO FINO 340 CC RGB NVBI</v>
          </cell>
          <cell r="D245">
            <v>0</v>
          </cell>
          <cell r="E245" t="str">
            <v>PYG</v>
          </cell>
          <cell r="F245">
            <v>0</v>
          </cell>
        </row>
        <row r="246">
          <cell r="B246">
            <v>50507916</v>
          </cell>
          <cell r="C246" t="str">
            <v>TAPA CORONA OURO FINO 940 CC RGB NVBI</v>
          </cell>
          <cell r="D246">
            <v>0</v>
          </cell>
          <cell r="E246" t="str">
            <v>PYG</v>
          </cell>
          <cell r="F246">
            <v>0</v>
          </cell>
        </row>
        <row r="247">
          <cell r="B247">
            <v>50509886</v>
          </cell>
          <cell r="C247" t="str">
            <v>ETIQUETA CUERPO SKOL 940 CC RGB</v>
          </cell>
          <cell r="D247">
            <v>0</v>
          </cell>
          <cell r="E247" t="str">
            <v>PYG</v>
          </cell>
          <cell r="F247">
            <v>0</v>
          </cell>
        </row>
        <row r="248">
          <cell r="B248">
            <v>50509887</v>
          </cell>
          <cell r="C248" t="str">
            <v>CONTRA ETIQUETA SKOL 940 CC RGB</v>
          </cell>
          <cell r="D248">
            <v>0</v>
          </cell>
          <cell r="E248" t="str">
            <v>PYG</v>
          </cell>
          <cell r="F248">
            <v>0</v>
          </cell>
        </row>
        <row r="249">
          <cell r="B249">
            <v>50509888</v>
          </cell>
          <cell r="C249" t="str">
            <v>ETIQ. COLLARIN SKOL 940 CC RGB</v>
          </cell>
          <cell r="D249">
            <v>0</v>
          </cell>
          <cell r="E249" t="str">
            <v>PYG</v>
          </cell>
          <cell r="F249">
            <v>0</v>
          </cell>
        </row>
        <row r="251">
          <cell r="B251">
            <v>50510331</v>
          </cell>
          <cell r="C251" t="str">
            <v>FILM TMC OURO FINO 354 CCX12 NVBI 80 UM</v>
          </cell>
          <cell r="D251">
            <v>0</v>
          </cell>
          <cell r="E251" t="str">
            <v>PYG</v>
          </cell>
          <cell r="F251">
            <v>0</v>
          </cell>
        </row>
        <row r="252">
          <cell r="B252">
            <v>50513699</v>
          </cell>
          <cell r="C252" t="str">
            <v>FILM TMC CRISTAL X12 LT 269 D/V 80 UM</v>
          </cell>
          <cell r="D252">
            <v>0</v>
          </cell>
          <cell r="E252" t="str">
            <v>PYG</v>
          </cell>
          <cell r="F252">
            <v>0</v>
          </cell>
        </row>
        <row r="255">
          <cell r="B255">
            <v>50521126</v>
          </cell>
          <cell r="C255" t="str">
            <v>ETIQUETA CUERPO BUD66 BRAVE 330CC OW</v>
          </cell>
          <cell r="D255">
            <v>0</v>
          </cell>
          <cell r="E255" t="str">
            <v>PYG</v>
          </cell>
          <cell r="F255">
            <v>0</v>
          </cell>
        </row>
        <row r="256">
          <cell r="B256">
            <v>50521127</v>
          </cell>
          <cell r="C256" t="str">
            <v>CONTRA ETIQUETA BUD66 BRAVE 330CC OW</v>
          </cell>
          <cell r="D256">
            <v>0</v>
          </cell>
          <cell r="E256" t="str">
            <v>PYG</v>
          </cell>
          <cell r="F256">
            <v>0</v>
          </cell>
        </row>
        <row r="257">
          <cell r="B257">
            <v>50521128</v>
          </cell>
          <cell r="C257" t="str">
            <v>ETIQ COLLARIN BUD66 BRAVE 330CC OW</v>
          </cell>
          <cell r="D257">
            <v>0</v>
          </cell>
          <cell r="E257" t="str">
            <v>PYG</v>
          </cell>
          <cell r="F257">
            <v>0</v>
          </cell>
        </row>
        <row r="258">
          <cell r="B258">
            <v>50522164</v>
          </cell>
          <cell r="C258" t="str">
            <v>FILM TMC BRAHMITA POMELO 269 CCX12 D/V</v>
          </cell>
          <cell r="D258">
            <v>0</v>
          </cell>
          <cell r="E258" t="str">
            <v>PYG</v>
          </cell>
          <cell r="F258">
            <v>0</v>
          </cell>
        </row>
        <row r="259">
          <cell r="B259">
            <v>50522168</v>
          </cell>
          <cell r="C259" t="str">
            <v>FILM TMC BUD66 269 CCX12 NVBI 80 UM</v>
          </cell>
          <cell r="D259">
            <v>0</v>
          </cell>
          <cell r="E259" t="str">
            <v>PYG</v>
          </cell>
          <cell r="F259">
            <v>0</v>
          </cell>
        </row>
        <row r="260">
          <cell r="B260">
            <v>50522169</v>
          </cell>
          <cell r="C260" t="str">
            <v>FILM TMC BUD66 310 CCX12 NVBI 80 UM</v>
          </cell>
          <cell r="D260">
            <v>0</v>
          </cell>
          <cell r="E260" t="str">
            <v>PYG</v>
          </cell>
          <cell r="F260">
            <v>0</v>
          </cell>
        </row>
        <row r="261">
          <cell r="B261">
            <v>50522171</v>
          </cell>
          <cell r="C261" t="str">
            <v>FILM TMC SKOL 269 CCX15 80 UM</v>
          </cell>
          <cell r="D261">
            <v>0</v>
          </cell>
          <cell r="E261" t="str">
            <v>PYG</v>
          </cell>
          <cell r="F261">
            <v>0</v>
          </cell>
        </row>
        <row r="262">
          <cell r="B262">
            <v>50522176</v>
          </cell>
          <cell r="C262" t="str">
            <v>FILM TMC CRISTAL ANTIADHERENTE 269CCX24</v>
          </cell>
          <cell r="D262">
            <v>0</v>
          </cell>
          <cell r="E262" t="str">
            <v>PYG</v>
          </cell>
          <cell r="F262">
            <v>0</v>
          </cell>
        </row>
        <row r="263">
          <cell r="B263">
            <v>50531473</v>
          </cell>
          <cell r="C263" t="str">
            <v>ETIQUETA BRAHMA SD+W 940CC RGB</v>
          </cell>
          <cell r="D263">
            <v>0</v>
          </cell>
          <cell r="E263" t="str">
            <v>PYG</v>
          </cell>
          <cell r="F263">
            <v>0</v>
          </cell>
        </row>
        <row r="264">
          <cell r="B264">
            <v>50534881</v>
          </cell>
          <cell r="C264" t="str">
            <v>CAJA CARTON BUD66 6X310CC LINEA</v>
          </cell>
          <cell r="D264">
            <v>0</v>
          </cell>
          <cell r="E264" t="str">
            <v>PYG</v>
          </cell>
          <cell r="F264">
            <v>0</v>
          </cell>
        </row>
        <row r="265">
          <cell r="B265">
            <v>50540573</v>
          </cell>
          <cell r="C265" t="str">
            <v>GIN DIALCOOL</v>
          </cell>
          <cell r="D265">
            <v>0</v>
          </cell>
          <cell r="E265" t="str">
            <v>PYG</v>
          </cell>
          <cell r="F265">
            <v>0</v>
          </cell>
        </row>
        <row r="266">
          <cell r="B266">
            <v>50550701</v>
          </cell>
          <cell r="C266" t="str">
            <v>FILM TMC PILSEN EXTRA 310CCX12 80 UM</v>
          </cell>
          <cell r="D266">
            <v>0</v>
          </cell>
          <cell r="E266" t="str">
            <v>PYG</v>
          </cell>
          <cell r="F266">
            <v>0</v>
          </cell>
        </row>
        <row r="267">
          <cell r="B267">
            <v>50550702</v>
          </cell>
          <cell r="C267" t="str">
            <v>CAJA CARTON PILSEN EXTRA 310CCX6</v>
          </cell>
          <cell r="D267">
            <v>0</v>
          </cell>
          <cell r="E267" t="str">
            <v>PYG</v>
          </cell>
          <cell r="F267">
            <v>0</v>
          </cell>
        </row>
        <row r="268">
          <cell r="B268">
            <v>50551883</v>
          </cell>
          <cell r="C268" t="str">
            <v>ETIQUETA AUTOADHESIVA BUD66 550CC SD</v>
          </cell>
          <cell r="D268">
            <v>0</v>
          </cell>
          <cell r="E268" t="str">
            <v>PYG</v>
          </cell>
          <cell r="F268">
            <v>0</v>
          </cell>
        </row>
        <row r="269">
          <cell r="B269">
            <v>50551884</v>
          </cell>
          <cell r="C269" t="str">
            <v>COLLARIN AUTOADHESIVA BUD66 550CC SD</v>
          </cell>
          <cell r="D269">
            <v>0</v>
          </cell>
          <cell r="E269" t="str">
            <v>PYG</v>
          </cell>
          <cell r="F269">
            <v>0</v>
          </cell>
        </row>
        <row r="270">
          <cell r="B270">
            <v>50551885</v>
          </cell>
          <cell r="C270" t="str">
            <v>CONTRAETIQ AUTOADHESIVA BUD66 550CC SD</v>
          </cell>
          <cell r="D270">
            <v>0</v>
          </cell>
          <cell r="E270" t="str">
            <v>PYG</v>
          </cell>
          <cell r="F270">
            <v>0</v>
          </cell>
        </row>
        <row r="271">
          <cell r="B271">
            <v>50552275</v>
          </cell>
          <cell r="C271" t="str">
            <v>COLLARIN PILSEN EXTRA 940CC RGB</v>
          </cell>
          <cell r="D271">
            <v>0</v>
          </cell>
          <cell r="E271" t="str">
            <v>PYG</v>
          </cell>
          <cell r="F271">
            <v>0</v>
          </cell>
        </row>
        <row r="272">
          <cell r="B272">
            <v>50552276</v>
          </cell>
          <cell r="C272" t="str">
            <v>ETIQUETA PILSEN EXTRA 940CC RGB</v>
          </cell>
          <cell r="D272">
            <v>0</v>
          </cell>
          <cell r="E272" t="str">
            <v>PYG</v>
          </cell>
          <cell r="F272">
            <v>0</v>
          </cell>
        </row>
        <row r="273">
          <cell r="B273">
            <v>50597773</v>
          </cell>
          <cell r="C273" t="str">
            <v>CAJA CARTON BUD66 6X550CC MANUAL NVBI</v>
          </cell>
          <cell r="D273">
            <v>0</v>
          </cell>
          <cell r="E273" t="str">
            <v>PYG</v>
          </cell>
          <cell r="F273">
            <v>0</v>
          </cell>
        </row>
        <row r="274">
          <cell r="B274">
            <v>50598322</v>
          </cell>
          <cell r="C274" t="str">
            <v>CAJA CARTON 66 BRAVE X4UND 310CC MANUAL</v>
          </cell>
          <cell r="D274">
            <v>0</v>
          </cell>
          <cell r="E274" t="str">
            <v>PYG</v>
          </cell>
          <cell r="F274">
            <v>0</v>
          </cell>
        </row>
        <row r="275">
          <cell r="B275">
            <v>50655373</v>
          </cell>
          <cell r="C275" t="str">
            <v>STICKERS REPROCESO</v>
          </cell>
          <cell r="D275">
            <v>0</v>
          </cell>
          <cell r="E275" t="str">
            <v>PYG</v>
          </cell>
          <cell r="F275">
            <v>0</v>
          </cell>
        </row>
        <row r="276">
          <cell r="B276">
            <v>50655374</v>
          </cell>
          <cell r="C276" t="str">
            <v>FILM TMC CRISTAL AGRUPADOR 4X6</v>
          </cell>
          <cell r="D276">
            <v>0</v>
          </cell>
          <cell r="E276" t="str">
            <v>PYG</v>
          </cell>
          <cell r="F276">
            <v>0</v>
          </cell>
        </row>
        <row r="277">
          <cell r="B277">
            <v>50655383</v>
          </cell>
          <cell r="C277" t="str">
            <v>BANDEJA PILSEN EXTRA 4X6 310CC</v>
          </cell>
          <cell r="D277">
            <v>0</v>
          </cell>
          <cell r="E277" t="str">
            <v>PYG</v>
          </cell>
          <cell r="F277">
            <v>0</v>
          </cell>
        </row>
        <row r="278">
          <cell r="B278">
            <v>50663978</v>
          </cell>
          <cell r="C278" t="str">
            <v>CAJA CARTON BRAHMITA 269CCX10</v>
          </cell>
          <cell r="D278">
            <v>0</v>
          </cell>
          <cell r="E278" t="str">
            <v>PYG</v>
          </cell>
          <cell r="F278">
            <v>0</v>
          </cell>
        </row>
        <row r="279">
          <cell r="B279">
            <v>50751654</v>
          </cell>
          <cell r="C279" t="str">
            <v>ENZIMA AMYLEX 5T</v>
          </cell>
          <cell r="D279">
            <v>0</v>
          </cell>
          <cell r="E279" t="str">
            <v>PYG</v>
          </cell>
          <cell r="F279">
            <v>0</v>
          </cell>
        </row>
        <row r="281">
          <cell r="B281">
            <v>50756640</v>
          </cell>
          <cell r="C281" t="str">
            <v>PRECINTA SEG BARRIL EXTRA</v>
          </cell>
          <cell r="D281">
            <v>0</v>
          </cell>
          <cell r="E281" t="str">
            <v>PYG</v>
          </cell>
          <cell r="F281">
            <v>0</v>
          </cell>
        </row>
        <row r="282">
          <cell r="B282">
            <v>50756651</v>
          </cell>
          <cell r="C282" t="str">
            <v>CAJA BRAHMITA POMELO 340CC X6 OW</v>
          </cell>
          <cell r="D282">
            <v>0</v>
          </cell>
          <cell r="E282" t="str">
            <v>PYG</v>
          </cell>
          <cell r="F282">
            <v>0</v>
          </cell>
        </row>
        <row r="283">
          <cell r="B283">
            <v>50758307</v>
          </cell>
          <cell r="C283" t="str">
            <v>PAD 269X18</v>
          </cell>
          <cell r="D283">
            <v>0</v>
          </cell>
          <cell r="E283" t="str">
            <v>PYG</v>
          </cell>
          <cell r="F283">
            <v>0</v>
          </cell>
        </row>
        <row r="284">
          <cell r="B284">
            <v>50760002</v>
          </cell>
          <cell r="C284" t="str">
            <v>ETIQ CUERPO SUBZERO 940CC RGB</v>
          </cell>
          <cell r="D284">
            <v>0</v>
          </cell>
          <cell r="E284" t="str">
            <v>PYG</v>
          </cell>
          <cell r="F284">
            <v>0</v>
          </cell>
        </row>
        <row r="285">
          <cell r="B285">
            <v>50760042</v>
          </cell>
          <cell r="C285" t="str">
            <v>ADHESIVO HOT MELT SUPRA 100</v>
          </cell>
          <cell r="D285">
            <v>0</v>
          </cell>
          <cell r="E285" t="str">
            <v>PYG</v>
          </cell>
          <cell r="F285">
            <v>0</v>
          </cell>
        </row>
        <row r="286">
          <cell r="B286">
            <v>50761569</v>
          </cell>
          <cell r="C286" t="str">
            <v>FILM TMC PILSEN 355CCX12 80UM SLEEK</v>
          </cell>
          <cell r="D286">
            <v>0</v>
          </cell>
          <cell r="E286" t="str">
            <v>PYG</v>
          </cell>
          <cell r="F286">
            <v>0</v>
          </cell>
        </row>
        <row r="287">
          <cell r="B287">
            <v>50763072</v>
          </cell>
          <cell r="C287" t="str">
            <v>FILM TMC SKOL 310CCX12 80 UM</v>
          </cell>
          <cell r="D287">
            <v>0</v>
          </cell>
          <cell r="E287" t="str">
            <v>PYG</v>
          </cell>
          <cell r="F287">
            <v>0</v>
          </cell>
        </row>
        <row r="288">
          <cell r="B288">
            <v>50766060</v>
          </cell>
          <cell r="C288" t="str">
            <v>CAJA CARTON BUD66 6X269CC LINEA</v>
          </cell>
          <cell r="D288">
            <v>0</v>
          </cell>
          <cell r="E288" t="str">
            <v>PYG</v>
          </cell>
          <cell r="F288">
            <v>0</v>
          </cell>
        </row>
        <row r="289">
          <cell r="B289">
            <v>50767484</v>
          </cell>
          <cell r="C289" t="str">
            <v>FILM TMC BUD66 269CCX12 80 UM ED LIMIT</v>
          </cell>
          <cell r="D289">
            <v>0</v>
          </cell>
          <cell r="E289" t="str">
            <v>PYG</v>
          </cell>
          <cell r="F289">
            <v>0</v>
          </cell>
        </row>
        <row r="290">
          <cell r="B290">
            <v>50772905</v>
          </cell>
          <cell r="C290" t="str">
            <v>FILM TMC PILSEN EXTRA 269CCX6 80UM</v>
          </cell>
          <cell r="D290">
            <v>0</v>
          </cell>
          <cell r="E290" t="str">
            <v>PYG</v>
          </cell>
          <cell r="F290">
            <v>0</v>
          </cell>
        </row>
        <row r="291">
          <cell r="B291">
            <v>50776524</v>
          </cell>
          <cell r="C291" t="str">
            <v>FILM CRISTAL PARA BOTELLAS 600X6</v>
          </cell>
          <cell r="D291">
            <v>0</v>
          </cell>
          <cell r="E291" t="str">
            <v>PYG</v>
          </cell>
          <cell r="F291">
            <v>0</v>
          </cell>
        </row>
        <row r="292">
          <cell r="B292">
            <v>50785688</v>
          </cell>
          <cell r="C292" t="str">
            <v>FILM TMC PIL EXTRA OLIMPIA 269X6 80UM</v>
          </cell>
          <cell r="D292">
            <v>0</v>
          </cell>
          <cell r="E292" t="str">
            <v>PYG</v>
          </cell>
          <cell r="F292">
            <v>0</v>
          </cell>
        </row>
        <row r="293">
          <cell r="B293">
            <v>50785752</v>
          </cell>
          <cell r="C293" t="str">
            <v>PAD CARTON BOTELLAS 600 X6</v>
          </cell>
          <cell r="D293">
            <v>0</v>
          </cell>
          <cell r="E293" t="str">
            <v>PYG</v>
          </cell>
          <cell r="F293">
            <v>0</v>
          </cell>
        </row>
        <row r="294">
          <cell r="B294">
            <v>50785753</v>
          </cell>
          <cell r="C294" t="str">
            <v>FILM SKOL PARA BOTELLAS 600X6</v>
          </cell>
          <cell r="D294">
            <v>0</v>
          </cell>
          <cell r="E294" t="str">
            <v>PYG</v>
          </cell>
          <cell r="F294">
            <v>0</v>
          </cell>
        </row>
        <row r="295">
          <cell r="B295">
            <v>50793278</v>
          </cell>
          <cell r="C295" t="str">
            <v>MOSTO CERVEJEIRO CONCENT.ESCURO ENVASADO</v>
          </cell>
          <cell r="D295">
            <v>0</v>
          </cell>
          <cell r="E295" t="str">
            <v>PYG</v>
          </cell>
          <cell r="F295">
            <v>0</v>
          </cell>
        </row>
        <row r="296">
          <cell r="B296">
            <v>50794589</v>
          </cell>
          <cell r="C296" t="str">
            <v>FILM TMC SKOL 269 CCX15 80 UM D/V</v>
          </cell>
          <cell r="D296">
            <v>0</v>
          </cell>
          <cell r="E296" t="str">
            <v>PYG</v>
          </cell>
          <cell r="F296">
            <v>0</v>
          </cell>
        </row>
        <row r="297">
          <cell r="B297">
            <v>50797537</v>
          </cell>
          <cell r="C297" t="str">
            <v>FILM TERM PILSEN NVBI 12LT 269 D/V 80 PP</v>
          </cell>
          <cell r="D297">
            <v>0</v>
          </cell>
          <cell r="E297" t="str">
            <v>PYG</v>
          </cell>
          <cell r="F297">
            <v>0</v>
          </cell>
        </row>
        <row r="299">
          <cell r="B299">
            <v>50801001</v>
          </cell>
          <cell r="C299" t="str">
            <v>FILM TMC CRISTAL ANTIADHERENTE 310CCX24</v>
          </cell>
          <cell r="D299">
            <v>0</v>
          </cell>
          <cell r="E299" t="str">
            <v>PYG</v>
          </cell>
          <cell r="F299">
            <v>0</v>
          </cell>
        </row>
        <row r="304">
          <cell r="B304">
            <v>50805963</v>
          </cell>
          <cell r="C304" t="str">
            <v>COLLARIN BRAHMA 940CC RGB PRECIO</v>
          </cell>
          <cell r="D304">
            <v>0</v>
          </cell>
          <cell r="E304" t="str">
            <v>PYG</v>
          </cell>
          <cell r="F304">
            <v>0</v>
          </cell>
        </row>
        <row r="305">
          <cell r="B305">
            <v>50809143</v>
          </cell>
          <cell r="C305" t="str">
            <v>FILM TMC PILSEN 269CCX12 70 UM</v>
          </cell>
          <cell r="D305">
            <v>0</v>
          </cell>
          <cell r="E305" t="str">
            <v>PYG</v>
          </cell>
          <cell r="F305">
            <v>0</v>
          </cell>
        </row>
        <row r="306">
          <cell r="B306">
            <v>50809144</v>
          </cell>
          <cell r="C306" t="str">
            <v>FILM TMC BRAHMITA 269CCX12 70 UM</v>
          </cell>
          <cell r="D306">
            <v>0</v>
          </cell>
          <cell r="E306" t="str">
            <v>PYG</v>
          </cell>
          <cell r="F306">
            <v>0</v>
          </cell>
        </row>
        <row r="307">
          <cell r="B307">
            <v>50809145</v>
          </cell>
          <cell r="C307" t="str">
            <v>FILM TMC OURO FINO 269CCX12 70 UM</v>
          </cell>
          <cell r="D307">
            <v>0</v>
          </cell>
          <cell r="E307" t="str">
            <v>PYG</v>
          </cell>
          <cell r="F307">
            <v>0</v>
          </cell>
        </row>
        <row r="308">
          <cell r="B308">
            <v>50809146</v>
          </cell>
          <cell r="C308" t="str">
            <v>FILM TMC BUD66 269CCX12 70 UM</v>
          </cell>
          <cell r="D308">
            <v>0</v>
          </cell>
          <cell r="E308" t="str">
            <v>PYG</v>
          </cell>
          <cell r="F308">
            <v>0</v>
          </cell>
        </row>
        <row r="309">
          <cell r="B309">
            <v>50809147</v>
          </cell>
          <cell r="C309" t="str">
            <v>FILM TMC BUD66 310CCX12 70 UM</v>
          </cell>
          <cell r="D309">
            <v>0</v>
          </cell>
          <cell r="E309" t="str">
            <v>PYG</v>
          </cell>
          <cell r="F309">
            <v>0</v>
          </cell>
        </row>
        <row r="310">
          <cell r="B310">
            <v>50809148</v>
          </cell>
          <cell r="C310" t="str">
            <v>FILM TMC SKOL 269CCX12 70 UM</v>
          </cell>
          <cell r="D310">
            <v>0</v>
          </cell>
          <cell r="E310" t="str">
            <v>PYG</v>
          </cell>
          <cell r="F310">
            <v>0</v>
          </cell>
        </row>
        <row r="311">
          <cell r="B311">
            <v>50809152</v>
          </cell>
          <cell r="C311" t="str">
            <v>FILM TMC PILSEN 355CCX12 70 UM</v>
          </cell>
          <cell r="D311">
            <v>0</v>
          </cell>
          <cell r="E311" t="str">
            <v>PYG</v>
          </cell>
          <cell r="F311">
            <v>0</v>
          </cell>
        </row>
        <row r="313">
          <cell r="B313">
            <v>50811693</v>
          </cell>
          <cell r="C313" t="str">
            <v>TAPA CORONA BRAHMA 940CC PPP</v>
          </cell>
          <cell r="D313">
            <v>0</v>
          </cell>
          <cell r="E313" t="str">
            <v>PYG</v>
          </cell>
          <cell r="F313">
            <v>0</v>
          </cell>
        </row>
        <row r="314">
          <cell r="B314">
            <v>50812974</v>
          </cell>
          <cell r="C314" t="str">
            <v>TAPA LATA PLATEADA TAB ROJA COT 66</v>
          </cell>
          <cell r="D314">
            <v>0</v>
          </cell>
          <cell r="E314" t="str">
            <v>PYG</v>
          </cell>
          <cell r="F314">
            <v>0</v>
          </cell>
        </row>
        <row r="315">
          <cell r="B315">
            <v>50813995</v>
          </cell>
          <cell r="C315" t="str">
            <v>FILM TMC SKOL 269CCX15 70 UM</v>
          </cell>
          <cell r="D315">
            <v>0</v>
          </cell>
          <cell r="E315" t="str">
            <v>PYG</v>
          </cell>
          <cell r="F315">
            <v>0</v>
          </cell>
        </row>
        <row r="316">
          <cell r="B316">
            <v>50814036</v>
          </cell>
          <cell r="C316" t="str">
            <v>FILM TMC OURO FINO 354CCX12 70 UM</v>
          </cell>
          <cell r="D316">
            <v>0</v>
          </cell>
          <cell r="E316" t="str">
            <v>PYG</v>
          </cell>
          <cell r="F316">
            <v>0</v>
          </cell>
        </row>
        <row r="317">
          <cell r="B317">
            <v>50814629</v>
          </cell>
          <cell r="C317" t="str">
            <v>FILM TMC TRANSPARENTE 940CC X6 80UM</v>
          </cell>
          <cell r="D317">
            <v>0</v>
          </cell>
          <cell r="E317" t="str">
            <v>PYG</v>
          </cell>
          <cell r="F317">
            <v>0</v>
          </cell>
        </row>
        <row r="318">
          <cell r="B318">
            <v>50815214</v>
          </cell>
          <cell r="C318" t="str">
            <v>TAPA CORONA PILSEN BAJO TAPA 940CC</v>
          </cell>
          <cell r="D318">
            <v>0</v>
          </cell>
          <cell r="E318" t="str">
            <v>PYG</v>
          </cell>
          <cell r="F318">
            <v>0</v>
          </cell>
        </row>
        <row r="319">
          <cell r="B319">
            <v>50815261</v>
          </cell>
          <cell r="C319" t="str">
            <v>TAPA CORONA PILSEN`I BAJO TAPA 340CC</v>
          </cell>
          <cell r="D319">
            <v>0</v>
          </cell>
          <cell r="E319" t="str">
            <v>PYG</v>
          </cell>
          <cell r="F319">
            <v>0</v>
          </cell>
        </row>
        <row r="320">
          <cell r="B320">
            <v>50815429</v>
          </cell>
          <cell r="C320" t="str">
            <v>COLLARIN PILSEN B TAPA 940CC RGB</v>
          </cell>
          <cell r="D320">
            <v>0</v>
          </cell>
          <cell r="E320" t="str">
            <v>PYG</v>
          </cell>
          <cell r="F320">
            <v>0</v>
          </cell>
        </row>
        <row r="321">
          <cell r="B321">
            <v>50818947</v>
          </cell>
          <cell r="C321" t="str">
            <v>TAPA CORONA SKOL PPP</v>
          </cell>
          <cell r="D321">
            <v>0</v>
          </cell>
          <cell r="E321" t="str">
            <v>PYG</v>
          </cell>
          <cell r="F321">
            <v>0</v>
          </cell>
        </row>
        <row r="322">
          <cell r="B322">
            <v>50818948</v>
          </cell>
          <cell r="C322" t="str">
            <v>TAPA CORONA OURO FINO 340CC PPP</v>
          </cell>
          <cell r="D322">
            <v>0</v>
          </cell>
          <cell r="E322" t="str">
            <v>PYG</v>
          </cell>
          <cell r="F322">
            <v>0</v>
          </cell>
        </row>
        <row r="323">
          <cell r="B323">
            <v>50818949</v>
          </cell>
          <cell r="C323" t="str">
            <v>TAPA CORONA OURO FINO 940CC PPP</v>
          </cell>
          <cell r="D323">
            <v>0</v>
          </cell>
          <cell r="E323" t="str">
            <v>PYG</v>
          </cell>
          <cell r="F323">
            <v>0</v>
          </cell>
        </row>
        <row r="324">
          <cell r="B324">
            <v>50818960</v>
          </cell>
          <cell r="C324" t="str">
            <v>TAPA CORONA BRAHMITA 340CC PPP</v>
          </cell>
          <cell r="D324">
            <v>0</v>
          </cell>
          <cell r="E324" t="str">
            <v>PYG</v>
          </cell>
          <cell r="F324">
            <v>0</v>
          </cell>
        </row>
        <row r="325">
          <cell r="B325">
            <v>50818963</v>
          </cell>
          <cell r="C325" t="str">
            <v>TAPA CORONA BUD66 PPP</v>
          </cell>
          <cell r="D325">
            <v>0</v>
          </cell>
          <cell r="E325" t="str">
            <v>PYG</v>
          </cell>
          <cell r="F325">
            <v>0</v>
          </cell>
        </row>
        <row r="328">
          <cell r="B328">
            <v>50819323</v>
          </cell>
          <cell r="C328" t="str">
            <v>CX CART BUDWEISER 66 275ML C6 PARAGUAI</v>
          </cell>
          <cell r="D328">
            <v>0</v>
          </cell>
          <cell r="E328" t="str">
            <v>PYG</v>
          </cell>
          <cell r="F328">
            <v>0</v>
          </cell>
        </row>
        <row r="329">
          <cell r="B329">
            <v>50820741</v>
          </cell>
          <cell r="C329" t="str">
            <v>TAPA LATA PROMO BAJO TAB CDL</v>
          </cell>
          <cell r="D329">
            <v>0</v>
          </cell>
          <cell r="E329" t="str">
            <v>PYG</v>
          </cell>
          <cell r="F329">
            <v>0</v>
          </cell>
        </row>
        <row r="330">
          <cell r="B330">
            <v>50821478</v>
          </cell>
          <cell r="C330" t="str">
            <v>TAPA CORONA PILSEN 340 PROMO BAJO TAPA</v>
          </cell>
          <cell r="D330">
            <v>0</v>
          </cell>
          <cell r="E330" t="str">
            <v>PYG</v>
          </cell>
          <cell r="F330">
            <v>0</v>
          </cell>
        </row>
        <row r="331">
          <cell r="B331">
            <v>50821479</v>
          </cell>
          <cell r="C331" t="str">
            <v>TAPA CORONA PILSEN 940 PROMO BAJO TAPA</v>
          </cell>
          <cell r="D331">
            <v>0</v>
          </cell>
          <cell r="E331" t="str">
            <v>PYG</v>
          </cell>
          <cell r="F331">
            <v>0</v>
          </cell>
        </row>
        <row r="332">
          <cell r="B332">
            <v>50821962</v>
          </cell>
          <cell r="C332" t="str">
            <v>FILM TMC BRAHMITA ULTRA CERO 269CCX12</v>
          </cell>
          <cell r="D332">
            <v>0</v>
          </cell>
          <cell r="E332" t="str">
            <v>PYG</v>
          </cell>
          <cell r="F332">
            <v>0</v>
          </cell>
        </row>
        <row r="333">
          <cell r="B333">
            <v>50821968</v>
          </cell>
          <cell r="C333" t="str">
            <v>FILM TMC BRAHMA KCHIPORRO 269CCX6 ED LIM</v>
          </cell>
          <cell r="D333">
            <v>0</v>
          </cell>
          <cell r="E333" t="str">
            <v>PYG</v>
          </cell>
          <cell r="F333">
            <v>0</v>
          </cell>
        </row>
        <row r="334">
          <cell r="B334">
            <v>50824145</v>
          </cell>
          <cell r="C334" t="str">
            <v>COLLARIN SUBZERO 940CC RGB PRECIO</v>
          </cell>
          <cell r="D334">
            <v>0</v>
          </cell>
          <cell r="E334" t="str">
            <v>PYG</v>
          </cell>
          <cell r="F334">
            <v>0</v>
          </cell>
        </row>
        <row r="336">
          <cell r="B336">
            <v>50829090</v>
          </cell>
          <cell r="C336" t="str">
            <v>FILM TMC PILSEN 269X12 70UM ALBIRROJA</v>
          </cell>
          <cell r="D336">
            <v>0</v>
          </cell>
          <cell r="E336" t="str">
            <v>PYG</v>
          </cell>
          <cell r="F336">
            <v>0</v>
          </cell>
        </row>
        <row r="337">
          <cell r="B337">
            <v>50829091</v>
          </cell>
          <cell r="C337" t="str">
            <v>TAPA SUBZERO SIN LEGALES PY</v>
          </cell>
          <cell r="D337">
            <v>0</v>
          </cell>
          <cell r="E337" t="str">
            <v>PYG</v>
          </cell>
          <cell r="F337">
            <v>0</v>
          </cell>
        </row>
        <row r="338">
          <cell r="B338">
            <v>50834329</v>
          </cell>
          <cell r="C338" t="str">
            <v>FILM TMC CRISTAL 275CC 4X6 60UM 530MM</v>
          </cell>
          <cell r="D338">
            <v>0</v>
          </cell>
          <cell r="E338" t="str">
            <v>PYG</v>
          </cell>
          <cell r="F338">
            <v>0</v>
          </cell>
        </row>
        <row r="339">
          <cell r="B339">
            <v>50834669</v>
          </cell>
          <cell r="C339" t="str">
            <v>CAJA CART SKOL 275CC X6 ED PROMOCIONAL</v>
          </cell>
          <cell r="D339">
            <v>0</v>
          </cell>
          <cell r="E339" t="str">
            <v>PYG</v>
          </cell>
          <cell r="F339">
            <v>0</v>
          </cell>
        </row>
        <row r="340">
          <cell r="B340">
            <v>50837236</v>
          </cell>
          <cell r="C340" t="str">
            <v>FILM TMC BRAHMITA 269CCX12 65 UM</v>
          </cell>
          <cell r="D340">
            <v>0</v>
          </cell>
          <cell r="E340" t="str">
            <v>PYG</v>
          </cell>
          <cell r="F340">
            <v>0</v>
          </cell>
        </row>
        <row r="342">
          <cell r="B342">
            <v>50837238</v>
          </cell>
          <cell r="C342" t="str">
            <v>FILM TMC BUD66 269CCX12 65 UM</v>
          </cell>
          <cell r="D342">
            <v>0</v>
          </cell>
          <cell r="E342" t="str">
            <v>PYG</v>
          </cell>
          <cell r="F342">
            <v>0</v>
          </cell>
        </row>
        <row r="346">
          <cell r="B346">
            <v>50837268</v>
          </cell>
          <cell r="C346" t="str">
            <v>FILM TMC OURO FINO 354CCX12 65 UM</v>
          </cell>
          <cell r="D346">
            <v>0</v>
          </cell>
          <cell r="E346" t="str">
            <v>PYG</v>
          </cell>
          <cell r="F346">
            <v>0</v>
          </cell>
        </row>
        <row r="347">
          <cell r="B347">
            <v>50837269</v>
          </cell>
          <cell r="C347" t="str">
            <v>FILM ANTARCTICA ORIGINAL 269CC X12 65 UM</v>
          </cell>
          <cell r="D347">
            <v>0</v>
          </cell>
          <cell r="E347" t="str">
            <v>PYG</v>
          </cell>
          <cell r="F347">
            <v>0</v>
          </cell>
        </row>
        <row r="350">
          <cell r="B350">
            <v>50837632</v>
          </cell>
          <cell r="C350" t="str">
            <v>ROTULO FRONT SK 275ML PROMO</v>
          </cell>
          <cell r="D350">
            <v>0</v>
          </cell>
          <cell r="E350" t="str">
            <v>PYG</v>
          </cell>
          <cell r="F350">
            <v>0</v>
          </cell>
        </row>
        <row r="351">
          <cell r="B351">
            <v>50837633</v>
          </cell>
          <cell r="C351" t="str">
            <v>ROTULO BACK SK 275ML PROMO</v>
          </cell>
          <cell r="D351">
            <v>0</v>
          </cell>
          <cell r="E351" t="str">
            <v>PYG</v>
          </cell>
          <cell r="F351">
            <v>0</v>
          </cell>
        </row>
        <row r="352">
          <cell r="B352">
            <v>50840086</v>
          </cell>
          <cell r="C352" t="str">
            <v>FILM TMC SKOL 269X15 65UM ED LIMITADA</v>
          </cell>
          <cell r="D352">
            <v>0</v>
          </cell>
          <cell r="E352" t="str">
            <v>PYG</v>
          </cell>
          <cell r="F352">
            <v>0</v>
          </cell>
        </row>
        <row r="353">
          <cell r="B353">
            <v>50840365</v>
          </cell>
          <cell r="C353" t="str">
            <v>FILM TMC GOLDEN 269CCX12 65 UM</v>
          </cell>
          <cell r="D353">
            <v>0</v>
          </cell>
          <cell r="E353" t="str">
            <v>PYG</v>
          </cell>
          <cell r="F353">
            <v>0</v>
          </cell>
        </row>
        <row r="354">
          <cell r="B354">
            <v>50840366</v>
          </cell>
          <cell r="C354" t="str">
            <v>FILM TMC CRISTAL 269CCX12 65UM</v>
          </cell>
          <cell r="D354">
            <v>0</v>
          </cell>
          <cell r="E354" t="str">
            <v>PYG</v>
          </cell>
          <cell r="F354">
            <v>0</v>
          </cell>
        </row>
        <row r="355">
          <cell r="B355">
            <v>50840810</v>
          </cell>
          <cell r="C355" t="str">
            <v>FILM TMC PILSEN 269CCX12 65 MICRAS</v>
          </cell>
          <cell r="D355">
            <v>0</v>
          </cell>
          <cell r="E355" t="str">
            <v>PYG</v>
          </cell>
          <cell r="F355">
            <v>0</v>
          </cell>
        </row>
        <row r="356">
          <cell r="B356">
            <v>50841696</v>
          </cell>
          <cell r="C356" t="str">
            <v>FILM TMC BRAHMA ED PABLITO L 269CCX12</v>
          </cell>
          <cell r="D356">
            <v>0</v>
          </cell>
          <cell r="E356" t="str">
            <v>PYG</v>
          </cell>
          <cell r="F356">
            <v>0</v>
          </cell>
        </row>
        <row r="357">
          <cell r="B357">
            <v>50842150</v>
          </cell>
          <cell r="C357" t="str">
            <v>ETIQ CUERPO PILSEN 600CC RGB</v>
          </cell>
          <cell r="D357">
            <v>0</v>
          </cell>
          <cell r="E357" t="str">
            <v>PYG</v>
          </cell>
          <cell r="F357">
            <v>0</v>
          </cell>
        </row>
        <row r="358">
          <cell r="B358">
            <v>50842176</v>
          </cell>
          <cell r="C358" t="str">
            <v>FILM TMC BUD66 BAJO CHAPAS 269CCX12 65UM</v>
          </cell>
          <cell r="D358">
            <v>0</v>
          </cell>
          <cell r="E358" t="str">
            <v>PYG</v>
          </cell>
          <cell r="F358">
            <v>0</v>
          </cell>
        </row>
        <row r="359">
          <cell r="B359">
            <v>50842177</v>
          </cell>
          <cell r="C359" t="str">
            <v>FILM TMC BUD66 BAJO CHAPAS 310CCX12 65UM</v>
          </cell>
          <cell r="D359">
            <v>0</v>
          </cell>
          <cell r="E359" t="str">
            <v>PYG</v>
          </cell>
          <cell r="F359">
            <v>0</v>
          </cell>
        </row>
        <row r="360">
          <cell r="B360">
            <v>50842183</v>
          </cell>
          <cell r="C360" t="str">
            <v>TAPA LATA NEGRA TAB ROJA ED LIM</v>
          </cell>
          <cell r="D360">
            <v>0</v>
          </cell>
          <cell r="E360" t="str">
            <v>PYG</v>
          </cell>
          <cell r="F360">
            <v>0</v>
          </cell>
        </row>
        <row r="361">
          <cell r="B361">
            <v>50843042</v>
          </cell>
          <cell r="C361" t="str">
            <v>FILM TMC TRANSPARENTE 710CC X6 80UM</v>
          </cell>
          <cell r="D361">
            <v>0</v>
          </cell>
          <cell r="E361" t="str">
            <v>PYG</v>
          </cell>
          <cell r="F361">
            <v>0</v>
          </cell>
        </row>
        <row r="364">
          <cell r="B364">
            <v>50851033</v>
          </cell>
          <cell r="C364" t="str">
            <v>FILM TMC SKOL AHORRO 269CC X15 65UM</v>
          </cell>
          <cell r="D364">
            <v>0</v>
          </cell>
          <cell r="E364" t="str">
            <v>PYG</v>
          </cell>
          <cell r="F364">
            <v>0</v>
          </cell>
        </row>
        <row r="365">
          <cell r="B365">
            <v>50851661</v>
          </cell>
          <cell r="C365" t="str">
            <v>ETIQUETA BRAHMA ULTRA CERO 940CC</v>
          </cell>
          <cell r="D365">
            <v>0</v>
          </cell>
          <cell r="E365" t="str">
            <v>PYG</v>
          </cell>
          <cell r="F365">
            <v>0</v>
          </cell>
        </row>
        <row r="366">
          <cell r="B366">
            <v>50851662</v>
          </cell>
          <cell r="C366" t="str">
            <v>COLLARIN BRAHMA ULTRA CERO 940CC</v>
          </cell>
          <cell r="D366">
            <v>0</v>
          </cell>
          <cell r="E366" t="str">
            <v>PYG</v>
          </cell>
          <cell r="F366">
            <v>0</v>
          </cell>
        </row>
        <row r="368">
          <cell r="B368">
            <v>50852115</v>
          </cell>
          <cell r="C368" t="str">
            <v>CONTRA ETIQUETA PILSEN 600 RGB</v>
          </cell>
          <cell r="D368">
            <v>0</v>
          </cell>
          <cell r="E368" t="str">
            <v>PYG</v>
          </cell>
          <cell r="F368">
            <v>0</v>
          </cell>
        </row>
        <row r="371">
          <cell r="B371">
            <v>50853828</v>
          </cell>
          <cell r="C371" t="str">
            <v>TMC ULTRA CERO 269CC X15 60UM</v>
          </cell>
          <cell r="D371">
            <v>0</v>
          </cell>
          <cell r="E371" t="str">
            <v>PYG</v>
          </cell>
          <cell r="F37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1"/>
  <dimension ref="C9:I109"/>
  <sheetViews>
    <sheetView topLeftCell="A16" workbookViewId="0">
      <selection activeCell="G7" sqref="G7"/>
    </sheetView>
  </sheetViews>
  <sheetFormatPr defaultColWidth="10.7619047619048" defaultRowHeight="15"/>
  <cols>
    <col min="4" max="4" width="28.3809523809524" customWidth="1"/>
    <col min="5" max="5" width="34.9714285714286" customWidth="1"/>
    <col min="6" max="6" width="15.3333333333333" customWidth="1"/>
    <col min="9" max="9" width="48.152380952381" customWidth="1"/>
  </cols>
  <sheetData>
    <row r="9" spans="4:7">
      <c r="D9" s="146" t="s">
        <v>0</v>
      </c>
      <c r="E9" s="146">
        <v>96</v>
      </c>
      <c r="F9" s="146">
        <v>138.24</v>
      </c>
      <c r="G9" s="146"/>
    </row>
    <row r="10" spans="4:7">
      <c r="D10" s="146" t="s">
        <v>1</v>
      </c>
      <c r="E10" s="146">
        <v>6</v>
      </c>
      <c r="F10" s="146">
        <v>4.224</v>
      </c>
      <c r="G10" s="146"/>
    </row>
    <row r="11" spans="4:7">
      <c r="D11" s="146"/>
      <c r="E11" s="146"/>
      <c r="F11" s="146">
        <f>F9+F10</f>
        <v>142.464</v>
      </c>
      <c r="G11" s="146"/>
    </row>
    <row r="12" spans="4:7">
      <c r="D12" s="146"/>
      <c r="E12" s="146"/>
      <c r="F12" s="146">
        <v>3.68</v>
      </c>
      <c r="G12" s="146"/>
    </row>
    <row r="13" spans="4:7">
      <c r="D13" s="146"/>
      <c r="E13" s="146" t="s">
        <v>2</v>
      </c>
      <c r="F13" s="147">
        <f>F11+F12</f>
        <v>146.144</v>
      </c>
      <c r="G13" s="146" t="s">
        <v>3</v>
      </c>
    </row>
    <row r="15" spans="4:7">
      <c r="E15" s="148" t="s">
        <v>4</v>
      </c>
      <c r="F15" s="148">
        <v>1441.79</v>
      </c>
    </row>
    <row r="16" spans="4:7">
      <c r="E16" s="148" t="s">
        <v>5</v>
      </c>
      <c r="F16" s="148">
        <v>1295.68</v>
      </c>
    </row>
    <row r="17" spans="4:9">
      <c r="F17" s="149">
        <f>F15-F16</f>
        <v>146.11</v>
      </c>
    </row>
    <row r="20" ht="15.75" spans="4:9">
      <c r="D20" s="150" t="s">
        <v>6</v>
      </c>
      <c r="E20" s="150" t="s">
        <v>7</v>
      </c>
      <c r="F20" s="150" t="s">
        <v>8</v>
      </c>
      <c r="G20" s="150" t="s">
        <v>9</v>
      </c>
      <c r="H20" s="150" t="s">
        <v>10</v>
      </c>
      <c r="I20" s="150" t="s">
        <v>11</v>
      </c>
    </row>
    <row r="21" spans="4:9">
      <c r="D21" s="151">
        <v>50470190</v>
      </c>
      <c r="E21" s="66" t="s">
        <v>12</v>
      </c>
      <c r="F21" s="78">
        <v>9273600</v>
      </c>
      <c r="G21" s="78">
        <v>9273600</v>
      </c>
      <c r="H21" s="78">
        <f>F21-G21</f>
        <v>0</v>
      </c>
      <c r="I21" s="4"/>
    </row>
    <row r="22" spans="4:9">
      <c r="D22" s="151">
        <v>50802401</v>
      </c>
      <c r="E22" s="55" t="s">
        <v>13</v>
      </c>
      <c r="F22" s="79">
        <v>37963800</v>
      </c>
      <c r="G22" s="78">
        <v>37963800</v>
      </c>
      <c r="H22" s="78">
        <f>F22-G22</f>
        <v>0</v>
      </c>
      <c r="I22" s="4"/>
    </row>
    <row r="23" spans="4:9">
      <c r="D23" s="151">
        <v>50837509</v>
      </c>
      <c r="E23" s="55" t="s">
        <v>14</v>
      </c>
      <c r="F23" s="58">
        <v>12751200</v>
      </c>
      <c r="G23" s="78">
        <v>12751200</v>
      </c>
      <c r="H23" s="78">
        <f>F23-G23</f>
        <v>0</v>
      </c>
      <c r="I23" s="4"/>
    </row>
    <row r="24" spans="4:9">
      <c r="D24" s="151">
        <v>50449101</v>
      </c>
      <c r="E24" s="55" t="s">
        <v>15</v>
      </c>
      <c r="F24" s="58">
        <v>15069600</v>
      </c>
      <c r="G24" s="152">
        <v>15069600</v>
      </c>
      <c r="H24" s="78">
        <f>F24-G24</f>
        <v>0</v>
      </c>
    </row>
    <row r="25" ht="15.75" spans="4:9">
      <c r="D25" s="153"/>
      <c r="E25" s="154"/>
      <c r="F25" s="155"/>
      <c r="H25" s="155"/>
    </row>
    <row r="26" ht="15.75" spans="4:9">
      <c r="D26" s="156">
        <v>50470190</v>
      </c>
      <c r="E26" s="157" t="s">
        <v>16</v>
      </c>
      <c r="F26" s="155">
        <v>1449000</v>
      </c>
      <c r="H26" s="155"/>
    </row>
    <row r="27" ht="15.75" spans="4:9">
      <c r="D27" s="153"/>
      <c r="E27" s="154"/>
      <c r="F27" s="155"/>
      <c r="H27" s="155"/>
    </row>
    <row r="29" ht="15.75" spans="4:9">
      <c r="D29" s="150" t="s">
        <v>6</v>
      </c>
      <c r="E29" s="150" t="s">
        <v>7</v>
      </c>
      <c r="F29" s="158" t="s">
        <v>8</v>
      </c>
      <c r="G29" s="158" t="s">
        <v>9</v>
      </c>
      <c r="H29" s="158" t="s">
        <v>10</v>
      </c>
      <c r="I29" s="158" t="s">
        <v>11</v>
      </c>
    </row>
    <row r="30" spans="4:9">
      <c r="D30" s="151">
        <v>50799770</v>
      </c>
      <c r="E30" s="55" t="s">
        <v>17</v>
      </c>
      <c r="F30" s="159">
        <v>28900</v>
      </c>
      <c r="G30" s="78">
        <v>6000</v>
      </c>
      <c r="H30" s="78">
        <f>F30-G30</f>
        <v>22900</v>
      </c>
      <c r="I30" s="78" t="s">
        <v>18</v>
      </c>
    </row>
    <row r="31" ht="15.75" spans="4:9">
      <c r="D31" s="151">
        <v>50144376</v>
      </c>
      <c r="E31" s="55" t="s">
        <v>19</v>
      </c>
      <c r="F31" s="160">
        <v>58600</v>
      </c>
      <c r="G31" s="78">
        <v>22300</v>
      </c>
      <c r="H31" s="78">
        <f>F31-G31</f>
        <v>36300</v>
      </c>
      <c r="I31" s="78" t="s">
        <v>20</v>
      </c>
    </row>
    <row r="32" ht="15.75" spans="4:9">
      <c r="D32" s="151">
        <v>50272278</v>
      </c>
      <c r="E32" s="69" t="s">
        <v>21</v>
      </c>
      <c r="F32" s="160">
        <v>68850</v>
      </c>
      <c r="G32" s="78">
        <v>20700</v>
      </c>
      <c r="H32" s="78">
        <f>F32-G32</f>
        <v>48150</v>
      </c>
      <c r="I32" s="78" t="s">
        <v>22</v>
      </c>
    </row>
    <row r="33" ht="15.75" spans="4:9">
      <c r="D33" s="156">
        <v>50145028</v>
      </c>
      <c r="E33" s="161" t="s">
        <v>23</v>
      </c>
      <c r="F33" s="78">
        <v>2323</v>
      </c>
      <c r="G33" s="4"/>
      <c r="H33" s="78">
        <f>F33-G33</f>
        <v>2323</v>
      </c>
      <c r="I33" s="4"/>
    </row>
    <row r="34" ht="15.75" spans="4:9">
      <c r="D34" s="156">
        <v>50143893</v>
      </c>
      <c r="E34" s="161" t="s">
        <v>24</v>
      </c>
      <c r="F34" s="78">
        <v>5280</v>
      </c>
      <c r="G34" s="4"/>
      <c r="H34" s="78">
        <f>F34-G34</f>
        <v>5280</v>
      </c>
      <c r="I34" s="56"/>
    </row>
    <row r="35" ht="15.75" spans="4:9">
      <c r="D35" s="156"/>
      <c r="E35" s="161"/>
      <c r="F35" s="4"/>
      <c r="G35" s="4"/>
      <c r="H35" s="4"/>
      <c r="I35" s="4"/>
    </row>
    <row r="39" ht="15.75" spans="4:9">
      <c r="D39" s="150" t="s">
        <v>6</v>
      </c>
      <c r="E39" s="150" t="s">
        <v>7</v>
      </c>
      <c r="F39" s="158" t="s">
        <v>8</v>
      </c>
      <c r="G39" s="158" t="s">
        <v>9</v>
      </c>
      <c r="H39" s="158" t="s">
        <v>10</v>
      </c>
      <c r="I39" s="158" t="s">
        <v>11</v>
      </c>
    </row>
    <row r="40" spans="4:9">
      <c r="D40" s="54">
        <v>50837265</v>
      </c>
      <c r="E40" s="55" t="s">
        <v>25</v>
      </c>
      <c r="F40" s="58">
        <v>3176.2</v>
      </c>
      <c r="G40" s="58"/>
      <c r="H40" s="4"/>
      <c r="I40" s="4"/>
    </row>
    <row r="41" spans="4:9">
      <c r="D41" s="54">
        <v>50837267</v>
      </c>
      <c r="E41" s="55" t="s">
        <v>26</v>
      </c>
      <c r="F41" s="58">
        <v>5099.29</v>
      </c>
      <c r="G41" s="58"/>
      <c r="H41" s="4"/>
      <c r="I41" s="4"/>
    </row>
    <row r="42" spans="4:9">
      <c r="D42" s="54">
        <v>50145028</v>
      </c>
      <c r="E42" s="55" t="s">
        <v>23</v>
      </c>
      <c r="F42" s="64">
        <v>1812</v>
      </c>
      <c r="G42" s="58"/>
      <c r="H42" s="4"/>
      <c r="I42" s="4"/>
    </row>
    <row r="43" spans="4:9">
      <c r="D43" s="54">
        <v>50837239</v>
      </c>
      <c r="E43" s="55" t="s">
        <v>27</v>
      </c>
      <c r="F43" s="58">
        <v>5250.75</v>
      </c>
      <c r="G43" s="58"/>
      <c r="H43" s="4"/>
      <c r="I43" s="4"/>
    </row>
    <row r="44" spans="4:9">
      <c r="D44" s="54">
        <v>50143893</v>
      </c>
      <c r="E44" s="55" t="s">
        <v>24</v>
      </c>
      <c r="F44" s="58">
        <v>3960</v>
      </c>
      <c r="G44" s="58"/>
      <c r="H44" s="4"/>
      <c r="I44" s="4"/>
    </row>
    <row r="45" spans="4:9">
      <c r="D45" s="54">
        <v>50837284</v>
      </c>
      <c r="E45" s="69" t="s">
        <v>28</v>
      </c>
      <c r="F45" s="58">
        <v>167.35</v>
      </c>
      <c r="G45" s="58"/>
      <c r="H45" s="4"/>
      <c r="I45" s="4"/>
    </row>
    <row r="46" spans="4:9">
      <c r="D46" s="54">
        <v>50851033</v>
      </c>
      <c r="E46" s="55" t="s">
        <v>29</v>
      </c>
      <c r="F46" s="58">
        <v>5237.1</v>
      </c>
      <c r="G46" s="58"/>
      <c r="H46" s="4"/>
      <c r="I46" s="4"/>
    </row>
    <row r="47" spans="4:9">
      <c r="D47" s="54">
        <v>50854127</v>
      </c>
      <c r="E47" s="55" t="s">
        <v>30</v>
      </c>
      <c r="F47" s="64">
        <v>4625.7</v>
      </c>
      <c r="G47" s="58">
        <v>4924.75</v>
      </c>
      <c r="H47" s="162">
        <f>F47-G47</f>
        <v>-299.05</v>
      </c>
      <c r="I47" s="4"/>
    </row>
    <row r="49" ht="15.75" spans="3:8">
      <c r="D49" s="150" t="s">
        <v>6</v>
      </c>
      <c r="E49" s="158" t="s">
        <v>7</v>
      </c>
      <c r="F49" s="158" t="s">
        <v>8</v>
      </c>
      <c r="G49" s="163" t="s">
        <v>31</v>
      </c>
      <c r="H49" s="163" t="s">
        <v>32</v>
      </c>
    </row>
    <row r="50" spans="3:8">
      <c r="D50" s="59">
        <v>50142424</v>
      </c>
      <c r="E50" s="55" t="s">
        <v>33</v>
      </c>
      <c r="F50" s="78">
        <v>1000</v>
      </c>
      <c r="G50" s="4">
        <v>7459464</v>
      </c>
      <c r="H50" s="164">
        <v>46022</v>
      </c>
    </row>
    <row r="51" spans="3:8">
      <c r="D51" s="59">
        <v>50142424</v>
      </c>
      <c r="E51" s="55" t="s">
        <v>33</v>
      </c>
      <c r="F51" s="78">
        <v>1000</v>
      </c>
      <c r="G51" s="4">
        <v>6196398</v>
      </c>
      <c r="H51" s="164">
        <v>46022</v>
      </c>
    </row>
    <row r="52" spans="3:8">
      <c r="D52" s="59">
        <v>50142424</v>
      </c>
      <c r="E52" s="55" t="s">
        <v>33</v>
      </c>
      <c r="F52" s="78">
        <v>1000</v>
      </c>
      <c r="G52" s="4">
        <v>6197217</v>
      </c>
      <c r="H52" s="164">
        <v>46022</v>
      </c>
    </row>
    <row r="53" spans="3:8">
      <c r="D53" s="59">
        <v>50142424</v>
      </c>
      <c r="E53" s="55" t="s">
        <v>33</v>
      </c>
      <c r="F53" s="78">
        <v>1000</v>
      </c>
      <c r="G53" s="4">
        <v>6296143</v>
      </c>
      <c r="H53" s="164">
        <v>46022</v>
      </c>
    </row>
    <row r="54" spans="3:8">
      <c r="D54" s="59">
        <v>50142424</v>
      </c>
      <c r="E54" s="55" t="s">
        <v>33</v>
      </c>
      <c r="F54" s="78">
        <v>1000</v>
      </c>
      <c r="G54" s="4">
        <v>6196142</v>
      </c>
      <c r="H54" s="164">
        <v>46022</v>
      </c>
    </row>
    <row r="55" spans="3:8">
      <c r="D55" s="59">
        <v>50142424</v>
      </c>
      <c r="E55" s="55" t="s">
        <v>33</v>
      </c>
      <c r="F55" s="78">
        <v>700</v>
      </c>
      <c r="G55" s="4">
        <v>7459470</v>
      </c>
      <c r="H55" s="164">
        <v>46022</v>
      </c>
    </row>
    <row r="61" spans="3:8">
      <c r="C61" s="20">
        <v>45962</v>
      </c>
      <c r="D61" s="151" t="s">
        <v>34</v>
      </c>
      <c r="E61" s="55" t="s">
        <v>35</v>
      </c>
    </row>
    <row r="62" spans="3:8">
      <c r="C62" s="20">
        <v>45962</v>
      </c>
      <c r="D62" s="151" t="s">
        <v>34</v>
      </c>
      <c r="E62" s="55" t="s">
        <v>36</v>
      </c>
    </row>
    <row r="63" spans="3:8">
      <c r="C63" s="20">
        <v>45968</v>
      </c>
      <c r="D63" s="151">
        <v>40011149</v>
      </c>
      <c r="E63" s="55" t="s">
        <v>37</v>
      </c>
    </row>
    <row r="64" spans="3:8">
      <c r="C64" s="20">
        <v>45968</v>
      </c>
      <c r="D64" s="151" t="s">
        <v>38</v>
      </c>
      <c r="E64" s="55" t="s">
        <v>39</v>
      </c>
    </row>
    <row r="65" spans="3:5">
      <c r="C65" s="20">
        <v>45968</v>
      </c>
      <c r="D65" s="151">
        <v>50819323</v>
      </c>
      <c r="E65" s="55" t="s">
        <v>40</v>
      </c>
    </row>
    <row r="66" spans="3:5">
      <c r="C66" s="20">
        <v>45968</v>
      </c>
      <c r="D66" s="151">
        <v>50515034</v>
      </c>
      <c r="E66" s="55" t="s">
        <v>41</v>
      </c>
    </row>
    <row r="70" spans="3:5">
      <c r="C70" s="165" t="s">
        <v>42</v>
      </c>
      <c r="D70" s="165" t="s">
        <v>43</v>
      </c>
      <c r="E70" s="165" t="s">
        <v>31</v>
      </c>
    </row>
    <row r="71" spans="3:5">
      <c r="C71" s="54">
        <v>40014675</v>
      </c>
      <c r="D71" s="55" t="s">
        <v>44</v>
      </c>
      <c r="E71" s="56" t="s">
        <v>45</v>
      </c>
    </row>
    <row r="72" spans="3:5">
      <c r="C72" s="54">
        <v>40014675</v>
      </c>
      <c r="D72" s="55" t="s">
        <v>44</v>
      </c>
      <c r="E72" s="56" t="s">
        <v>46</v>
      </c>
    </row>
    <row r="73" spans="3:5">
      <c r="C73" s="54">
        <v>40014675</v>
      </c>
      <c r="D73" s="55" t="s">
        <v>44</v>
      </c>
      <c r="E73" s="56" t="s">
        <v>47</v>
      </c>
    </row>
    <row r="74" spans="3:5">
      <c r="C74" s="54">
        <v>40014675</v>
      </c>
      <c r="D74" s="55" t="s">
        <v>44</v>
      </c>
      <c r="E74" s="56" t="s">
        <v>48</v>
      </c>
    </row>
    <row r="75" spans="3:5">
      <c r="C75" s="54">
        <v>40014675</v>
      </c>
      <c r="D75" s="55" t="s">
        <v>44</v>
      </c>
      <c r="E75" s="56" t="s">
        <v>49</v>
      </c>
    </row>
    <row r="76" spans="3:5">
      <c r="C76" s="54">
        <v>40014675</v>
      </c>
      <c r="D76" s="55" t="s">
        <v>44</v>
      </c>
      <c r="E76" s="56" t="s">
        <v>50</v>
      </c>
    </row>
    <row r="77" spans="3:5">
      <c r="C77" s="54">
        <v>40014675</v>
      </c>
      <c r="D77" s="55" t="s">
        <v>44</v>
      </c>
      <c r="E77" s="56" t="s">
        <v>51</v>
      </c>
    </row>
    <row r="78" spans="3:5">
      <c r="C78" s="54">
        <v>40014675</v>
      </c>
      <c r="D78" s="55" t="s">
        <v>44</v>
      </c>
      <c r="E78" s="56" t="s">
        <v>52</v>
      </c>
    </row>
    <row r="80" spans="3:5">
      <c r="C80" s="54">
        <v>40014675</v>
      </c>
      <c r="D80" s="55" t="s">
        <v>44</v>
      </c>
      <c r="E80" s="4" t="s">
        <v>53</v>
      </c>
    </row>
    <row r="81" spans="3:5">
      <c r="C81" s="54">
        <v>40014675</v>
      </c>
      <c r="D81" s="55" t="s">
        <v>44</v>
      </c>
      <c r="E81" s="4" t="s">
        <v>54</v>
      </c>
    </row>
    <row r="82" spans="3:5">
      <c r="C82" s="54">
        <v>40014675</v>
      </c>
      <c r="D82" s="55" t="s">
        <v>44</v>
      </c>
      <c r="E82" s="4" t="s">
        <v>55</v>
      </c>
    </row>
    <row r="83" spans="3:5">
      <c r="C83" s="54">
        <v>40014675</v>
      </c>
      <c r="D83" s="55" t="s">
        <v>44</v>
      </c>
      <c r="E83" s="4" t="s">
        <v>56</v>
      </c>
    </row>
    <row r="84" spans="3:5">
      <c r="C84" s="54">
        <v>40014675</v>
      </c>
      <c r="D84" s="55" t="s">
        <v>44</v>
      </c>
      <c r="E84" s="4" t="s">
        <v>57</v>
      </c>
    </row>
    <row r="85" spans="3:5">
      <c r="C85" s="54">
        <v>40014675</v>
      </c>
      <c r="D85" s="55" t="s">
        <v>44</v>
      </c>
      <c r="E85" s="4" t="s">
        <v>58</v>
      </c>
    </row>
    <row r="86" spans="3:5">
      <c r="C86" s="54">
        <v>40014675</v>
      </c>
      <c r="D86" s="55" t="s">
        <v>44</v>
      </c>
      <c r="E86" s="4" t="s">
        <v>59</v>
      </c>
    </row>
    <row r="87" spans="3:5">
      <c r="C87" s="54">
        <v>40014675</v>
      </c>
      <c r="D87" s="55" t="s">
        <v>44</v>
      </c>
      <c r="E87" s="4" t="s">
        <v>60</v>
      </c>
    </row>
    <row r="88" spans="3:5">
      <c r="C88" s="54">
        <v>40014675</v>
      </c>
      <c r="D88" s="55" t="s">
        <v>44</v>
      </c>
      <c r="E88" s="4" t="s">
        <v>61</v>
      </c>
    </row>
    <row r="89" spans="3:5">
      <c r="C89" s="54">
        <v>40014675</v>
      </c>
      <c r="D89" s="55" t="s">
        <v>44</v>
      </c>
      <c r="E89" s="4" t="s">
        <v>62</v>
      </c>
    </row>
    <row r="90" spans="3:5">
      <c r="C90" s="54">
        <v>40014675</v>
      </c>
      <c r="D90" s="55" t="s">
        <v>44</v>
      </c>
      <c r="E90" s="4" t="s">
        <v>63</v>
      </c>
    </row>
    <row r="94" spans="3:5">
      <c r="D94" t="s">
        <v>64</v>
      </c>
    </row>
    <row r="95" spans="3:5">
      <c r="D95" t="s">
        <v>65</v>
      </c>
    </row>
    <row r="96" spans="3:5">
      <c r="D96" t="s">
        <v>66</v>
      </c>
    </row>
    <row r="97" spans="3:8">
      <c r="D97" t="s">
        <v>67</v>
      </c>
    </row>
    <row r="98" spans="3:8">
      <c r="D98" t="s">
        <v>68</v>
      </c>
    </row>
    <row r="99" spans="3:8">
      <c r="D99" t="s">
        <v>69</v>
      </c>
    </row>
    <row r="100" spans="3:8">
      <c r="D100" t="s">
        <v>70</v>
      </c>
    </row>
    <row r="101" ht="30" spans="3:8">
      <c r="C101" s="166" t="s">
        <v>42</v>
      </c>
      <c r="D101" s="166" t="s">
        <v>43</v>
      </c>
      <c r="E101" s="166" t="s">
        <v>31</v>
      </c>
      <c r="F101" s="167"/>
      <c r="G101" s="166" t="s">
        <v>71</v>
      </c>
      <c r="H101" s="168" t="s">
        <v>72</v>
      </c>
    </row>
    <row r="102" ht="15.75" spans="3:8">
      <c r="C102" s="156">
        <v>50470190</v>
      </c>
      <c r="D102" s="169" t="s">
        <v>12</v>
      </c>
      <c r="E102" s="4">
        <v>1609</v>
      </c>
      <c r="F102" s="4" t="s">
        <v>73</v>
      </c>
      <c r="G102" s="56" t="s">
        <v>74</v>
      </c>
      <c r="H102" s="56">
        <v>5</v>
      </c>
    </row>
    <row r="103" ht="15.75" spans="3:8">
      <c r="C103" s="156">
        <v>50470190</v>
      </c>
      <c r="D103" s="169" t="s">
        <v>12</v>
      </c>
      <c r="E103" s="4">
        <v>1609</v>
      </c>
      <c r="F103" s="4" t="s">
        <v>73</v>
      </c>
      <c r="G103" s="56" t="s">
        <v>75</v>
      </c>
      <c r="H103" s="56">
        <v>2</v>
      </c>
    </row>
    <row r="104" ht="15.75" spans="3:8">
      <c r="C104" s="156">
        <v>50470190</v>
      </c>
      <c r="D104" s="169" t="s">
        <v>12</v>
      </c>
      <c r="E104" s="4">
        <v>1609</v>
      </c>
      <c r="F104" s="4" t="s">
        <v>73</v>
      </c>
      <c r="G104" s="56" t="s">
        <v>76</v>
      </c>
      <c r="H104" s="56">
        <v>2</v>
      </c>
    </row>
    <row r="105" ht="15.75" spans="3:8">
      <c r="C105" s="156">
        <v>50470190</v>
      </c>
      <c r="D105" s="169" t="s">
        <v>12</v>
      </c>
      <c r="E105" s="4">
        <v>1609</v>
      </c>
      <c r="F105" s="4" t="s">
        <v>73</v>
      </c>
      <c r="G105" s="56" t="s">
        <v>77</v>
      </c>
      <c r="H105" s="56">
        <v>4</v>
      </c>
    </row>
    <row r="106" ht="15.75" spans="3:8">
      <c r="C106" s="156">
        <v>50470190</v>
      </c>
      <c r="D106" s="169" t="s">
        <v>12</v>
      </c>
      <c r="E106" s="4">
        <v>1565</v>
      </c>
      <c r="F106" s="4" t="s">
        <v>73</v>
      </c>
      <c r="G106" s="56" t="s">
        <v>75</v>
      </c>
      <c r="H106" s="56">
        <v>1</v>
      </c>
    </row>
    <row r="107" ht="15.75" spans="3:8">
      <c r="C107" s="156">
        <v>50470190</v>
      </c>
      <c r="D107" s="169" t="s">
        <v>12</v>
      </c>
      <c r="E107" s="4">
        <v>1565</v>
      </c>
      <c r="F107" s="4" t="s">
        <v>73</v>
      </c>
      <c r="G107" s="56" t="s">
        <v>76</v>
      </c>
      <c r="H107" s="56">
        <v>4</v>
      </c>
    </row>
    <row r="108" spans="3:8">
      <c r="C108" s="4"/>
      <c r="D108" s="4"/>
      <c r="E108" s="4"/>
      <c r="F108" s="4"/>
      <c r="G108" s="17" t="s">
        <v>78</v>
      </c>
      <c r="H108" s="14">
        <v>18</v>
      </c>
    </row>
    <row r="109" spans="3:8">
      <c r="C109" s="4"/>
      <c r="D109" s="4"/>
      <c r="E109" s="4"/>
      <c r="F109" s="4"/>
      <c r="G109" s="4"/>
      <c r="H109" s="4"/>
    </row>
  </sheetData>
  <autoFilter xmlns:etc="http://www.wps.cn/officeDocument/2017/etCustomData" ref="C70:E78" etc:filterBottomFollowUsedRange="0">
    <sortState ref="C70:E78">
      <sortCondition ref="E70:E78"/>
    </sortState>
    <extLst/>
  </autoFilter>
  <conditionalFormatting sqref="F22">
    <cfRule type="expression" dxfId="0" priority="2">
      <formula>FILA()=CELDA("fila")</formula>
    </cfRule>
  </conditionalFormatting>
  <conditionalFormatting sqref="D40">
    <cfRule type="duplicateValues" dxfId="1" priority="22"/>
  </conditionalFormatting>
  <conditionalFormatting sqref="D41">
    <cfRule type="duplicateValues" dxfId="1" priority="20"/>
  </conditionalFormatting>
  <conditionalFormatting sqref="D43">
    <cfRule type="duplicateValues" dxfId="1" priority="19"/>
  </conditionalFormatting>
  <conditionalFormatting sqref="D63">
    <cfRule type="expression" dxfId="0" priority="14">
      <formula>FILA()=CELDA("fila")</formula>
    </cfRule>
    <cfRule type="duplicateValues" dxfId="1" priority="15"/>
    <cfRule type="duplicateValues" dxfId="1" priority="16"/>
  </conditionalFormatting>
  <conditionalFormatting sqref="D64">
    <cfRule type="duplicateValues" dxfId="1" priority="13"/>
  </conditionalFormatting>
  <conditionalFormatting sqref="C71:C78">
    <cfRule type="duplicateValues" dxfId="1" priority="2875"/>
  </conditionalFormatting>
  <conditionalFormatting sqref="C80:C90">
    <cfRule type="duplicateValues" dxfId="1" priority="5"/>
    <cfRule type="duplicateValues" dxfId="1" priority="6"/>
  </conditionalFormatting>
  <conditionalFormatting sqref="D21:D24">
    <cfRule type="duplicateValues" dxfId="1" priority="3"/>
  </conditionalFormatting>
  <conditionalFormatting sqref="D30:D32">
    <cfRule type="duplicateValues" dxfId="1" priority="1"/>
  </conditionalFormatting>
  <conditionalFormatting sqref="D40:D46">
    <cfRule type="duplicateValues" dxfId="1" priority="23"/>
  </conditionalFormatting>
  <conditionalFormatting sqref="D65:D66">
    <cfRule type="duplicateValues" dxfId="1" priority="11"/>
    <cfRule type="duplicateValues" dxfId="1" priority="12"/>
  </conditionalFormatting>
  <conditionalFormatting sqref="F30:F32">
    <cfRule type="expression" dxfId="0" priority="25">
      <formula>FILA()=CELDA("fila")</formula>
    </cfRule>
  </conditionalFormatting>
  <conditionalFormatting sqref="D33:E35;C71:D78">
    <cfRule type="expression" dxfId="0" priority="24">
      <formula>FILA()=CELDA("fila")</formula>
    </cfRule>
  </conditionalFormatting>
  <conditionalFormatting sqref="D40:G45">
    <cfRule type="expression" dxfId="0" priority="21">
      <formula>FILA()=CELDA("fila")</formula>
    </cfRule>
  </conditionalFormatting>
  <conditionalFormatting sqref="D65:E66">
    <cfRule type="expression" dxfId="0" priority="10">
      <formula>FILA()=CELDA("fila")</formula>
    </cfRule>
  </conditionalFormatting>
  <conditionalFormatting sqref="C80:D90">
    <cfRule type="expression" dxfId="0" priority="4">
      <formula>FILA()=CELDA("fila")</formula>
    </cfRule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2"/>
  <dimension ref="D6:J26"/>
  <sheetViews>
    <sheetView topLeftCell="A4" workbookViewId="0">
      <selection activeCell="G7" sqref="G7"/>
    </sheetView>
  </sheetViews>
  <sheetFormatPr defaultColWidth="10.7619047619048" defaultRowHeight="15"/>
  <cols>
    <col min="5" max="5" width="41.6952380952381" customWidth="1"/>
    <col min="6" max="6" width="14.9333333333333" customWidth="1"/>
    <col min="7" max="7" width="15.0666666666667" customWidth="1"/>
    <col min="8" max="8" width="16.2761904761905" customWidth="1"/>
    <col min="9" max="9" width="2.55238095238095" customWidth="1"/>
  </cols>
  <sheetData>
    <row r="6" spans="4:8">
      <c r="D6" s="54">
        <v>40010086</v>
      </c>
      <c r="E6" s="55" t="s">
        <v>79</v>
      </c>
      <c r="F6" s="68">
        <v>4730</v>
      </c>
      <c r="G6" s="56" t="s">
        <v>80</v>
      </c>
      <c r="H6" s="56">
        <v>1014902186</v>
      </c>
    </row>
    <row r="8" spans="4:8">
      <c r="D8" s="54">
        <v>40010084</v>
      </c>
      <c r="E8" s="55" t="s">
        <v>81</v>
      </c>
      <c r="F8" s="68">
        <v>6191</v>
      </c>
      <c r="G8" s="56" t="s">
        <v>80</v>
      </c>
      <c r="H8" s="56">
        <v>1014902186</v>
      </c>
    </row>
    <row r="10" spans="4:8">
      <c r="D10" s="54">
        <v>50837239</v>
      </c>
      <c r="E10" s="55" t="s">
        <v>27</v>
      </c>
      <c r="F10" s="68">
        <v>2185.65</v>
      </c>
      <c r="G10" s="56" t="s">
        <v>82</v>
      </c>
      <c r="H10" s="56" t="s">
        <v>83</v>
      </c>
    </row>
    <row r="12" spans="4:8">
      <c r="D12" s="54">
        <v>40010376</v>
      </c>
      <c r="E12" s="55" t="s">
        <v>84</v>
      </c>
      <c r="F12" s="68">
        <v>2681</v>
      </c>
      <c r="G12" s="56" t="s">
        <v>80</v>
      </c>
      <c r="H12" s="56">
        <v>1014902186</v>
      </c>
    </row>
    <row r="14" spans="4:8">
      <c r="D14" s="54">
        <v>40010083</v>
      </c>
      <c r="E14" s="55" t="s">
        <v>85</v>
      </c>
      <c r="F14" s="68">
        <v>5824</v>
      </c>
      <c r="G14" s="56" t="s">
        <v>80</v>
      </c>
      <c r="H14" s="56">
        <v>1014902186</v>
      </c>
    </row>
    <row r="16" spans="4:8">
      <c r="D16" s="54">
        <v>40011148</v>
      </c>
      <c r="E16" s="55" t="s">
        <v>86</v>
      </c>
      <c r="F16" s="68">
        <v>4560</v>
      </c>
      <c r="G16" s="56" t="s">
        <v>80</v>
      </c>
      <c r="H16" s="56" t="s">
        <v>87</v>
      </c>
    </row>
    <row r="18" spans="4:10">
      <c r="D18" s="54">
        <v>50851033</v>
      </c>
      <c r="E18" s="55" t="s">
        <v>29</v>
      </c>
      <c r="F18" s="68">
        <v>2219.95</v>
      </c>
      <c r="G18" s="56" t="s">
        <v>82</v>
      </c>
      <c r="H18" s="56" t="s">
        <v>88</v>
      </c>
    </row>
    <row r="20" spans="4:10">
      <c r="D20" s="54">
        <v>40011659</v>
      </c>
      <c r="E20" s="55" t="s">
        <v>89</v>
      </c>
      <c r="F20" s="68">
        <v>264</v>
      </c>
      <c r="G20" s="56" t="s">
        <v>80</v>
      </c>
      <c r="H20" s="56" t="s">
        <v>90</v>
      </c>
    </row>
    <row r="21" spans="4:10">
      <c r="D21" s="54">
        <v>40011659</v>
      </c>
      <c r="E21" s="55" t="s">
        <v>89</v>
      </c>
      <c r="F21" s="68">
        <v>5160</v>
      </c>
      <c r="G21" s="56" t="s">
        <v>80</v>
      </c>
      <c r="H21" s="56" t="s">
        <v>87</v>
      </c>
    </row>
    <row r="23" spans="4:10">
      <c r="D23" s="54">
        <v>40004808</v>
      </c>
      <c r="E23" s="69" t="s">
        <v>91</v>
      </c>
      <c r="F23" s="68">
        <v>3240</v>
      </c>
      <c r="G23" s="56" t="s">
        <v>80</v>
      </c>
      <c r="H23" s="56">
        <v>1014543166</v>
      </c>
    </row>
    <row r="25" spans="4:10">
      <c r="D25" s="54">
        <v>50802401</v>
      </c>
      <c r="E25" s="55" t="s">
        <v>13</v>
      </c>
      <c r="F25" s="56">
        <v>9273600</v>
      </c>
      <c r="G25" s="68" t="s">
        <v>92</v>
      </c>
      <c r="H25" s="56" t="s">
        <v>93</v>
      </c>
      <c r="J25" s="40"/>
    </row>
    <row r="26" spans="4:10">
      <c r="D26" s="54">
        <v>50802401</v>
      </c>
      <c r="E26" s="55" t="s">
        <v>13</v>
      </c>
      <c r="F26" s="68">
        <v>9273600</v>
      </c>
      <c r="G26" s="68" t="s">
        <v>92</v>
      </c>
      <c r="H26" s="56" t="s">
        <v>94</v>
      </c>
      <c r="J26" s="40"/>
    </row>
  </sheetData>
  <conditionalFormatting sqref="D16">
    <cfRule type="duplicateValues" dxfId="1" priority="3"/>
  </conditionalFormatting>
  <conditionalFormatting sqref="D23">
    <cfRule type="duplicateValues" dxfId="1" priority="1"/>
  </conditionalFormatting>
  <conditionalFormatting sqref="D20:D21">
    <cfRule type="duplicateValues" dxfId="1" priority="2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3"/>
  <dimension ref="C5:D33"/>
  <sheetViews>
    <sheetView workbookViewId="0">
      <selection activeCell="G7" sqref="G7"/>
    </sheetView>
  </sheetViews>
  <sheetFormatPr defaultColWidth="10.7619047619048" defaultRowHeight="15" outlineLevelCol="3"/>
  <cols>
    <col min="3" max="3" width="31.2095238095238" customWidth="1"/>
    <col min="4" max="4" width="35.2380952380952" customWidth="1"/>
  </cols>
  <sheetData>
    <row r="5" spans="3:4">
      <c r="C5" s="4" t="s">
        <v>95</v>
      </c>
      <c r="D5" s="141" t="s">
        <v>96</v>
      </c>
    </row>
    <row r="6" spans="3:4">
      <c r="C6" s="4" t="s">
        <v>97</v>
      </c>
      <c r="D6" s="56" t="s">
        <v>98</v>
      </c>
    </row>
    <row r="7" spans="3:4">
      <c r="C7" s="4" t="s">
        <v>99</v>
      </c>
      <c r="D7" s="141" t="s">
        <v>100</v>
      </c>
    </row>
    <row r="8" spans="3:4">
      <c r="C8" s="4" t="s">
        <v>101</v>
      </c>
      <c r="D8" s="56" t="s">
        <v>102</v>
      </c>
    </row>
    <row r="9" spans="3:4">
      <c r="C9" s="4" t="s">
        <v>103</v>
      </c>
      <c r="D9" s="56" t="s">
        <v>104</v>
      </c>
    </row>
    <row r="10" spans="3:4">
      <c r="C10" s="4" t="s">
        <v>105</v>
      </c>
      <c r="D10" s="56" t="s">
        <v>106</v>
      </c>
    </row>
    <row r="11" spans="3:4">
      <c r="C11" s="4" t="s">
        <v>107</v>
      </c>
      <c r="D11" s="56" t="s">
        <v>108</v>
      </c>
    </row>
    <row r="12" spans="3:4">
      <c r="C12" s="4" t="s">
        <v>109</v>
      </c>
      <c r="D12" s="56" t="s">
        <v>110</v>
      </c>
    </row>
    <row r="13" spans="3:4">
      <c r="C13" s="4" t="s">
        <v>111</v>
      </c>
      <c r="D13" s="56" t="s">
        <v>112</v>
      </c>
    </row>
    <row r="14" spans="3:4">
      <c r="C14" s="4" t="s">
        <v>113</v>
      </c>
      <c r="D14" s="56" t="s">
        <v>114</v>
      </c>
    </row>
    <row r="15" spans="3:4">
      <c r="C15" s="4" t="s">
        <v>115</v>
      </c>
      <c r="D15" s="56" t="s">
        <v>116</v>
      </c>
    </row>
    <row r="16" spans="3:4">
      <c r="C16" s="4" t="s">
        <v>117</v>
      </c>
      <c r="D16" s="56" t="s">
        <v>118</v>
      </c>
    </row>
    <row r="17" spans="3:4">
      <c r="C17" s="4" t="s">
        <v>119</v>
      </c>
      <c r="D17" s="56" t="s">
        <v>120</v>
      </c>
    </row>
    <row r="18" spans="3:4">
      <c r="C18" s="4" t="s">
        <v>121</v>
      </c>
      <c r="D18" s="56" t="s">
        <v>122</v>
      </c>
    </row>
    <row r="19" spans="3:4">
      <c r="C19" s="4" t="s">
        <v>123</v>
      </c>
      <c r="D19" s="56" t="s">
        <v>124</v>
      </c>
    </row>
    <row r="20" spans="3:4">
      <c r="C20" s="4" t="s">
        <v>125</v>
      </c>
      <c r="D20" s="56" t="s">
        <v>126</v>
      </c>
    </row>
    <row r="21" spans="3:4">
      <c r="C21" s="4" t="s">
        <v>127</v>
      </c>
      <c r="D21" s="56" t="s">
        <v>128</v>
      </c>
    </row>
    <row r="22" spans="3:4">
      <c r="C22" s="4" t="s">
        <v>129</v>
      </c>
      <c r="D22" s="56" t="s">
        <v>130</v>
      </c>
    </row>
    <row r="23" spans="3:4">
      <c r="C23" s="4" t="s">
        <v>131</v>
      </c>
      <c r="D23" s="56" t="s">
        <v>132</v>
      </c>
    </row>
    <row r="24" spans="3:4">
      <c r="C24" s="4" t="s">
        <v>133</v>
      </c>
      <c r="D24" s="56" t="s">
        <v>134</v>
      </c>
    </row>
    <row r="25" spans="3:4">
      <c r="C25" s="4" t="s">
        <v>135</v>
      </c>
      <c r="D25" s="56" t="s">
        <v>136</v>
      </c>
    </row>
    <row r="26" spans="3:4">
      <c r="C26" s="4" t="s">
        <v>137</v>
      </c>
    </row>
    <row r="27" spans="3:4">
      <c r="C27" s="4" t="s">
        <v>138</v>
      </c>
    </row>
    <row r="28" spans="3:4">
      <c r="C28" s="4" t="s">
        <v>139</v>
      </c>
    </row>
    <row r="29" spans="3:4">
      <c r="C29" s="4" t="s">
        <v>140</v>
      </c>
    </row>
    <row r="30" spans="3:4">
      <c r="C30" s="4" t="s">
        <v>141</v>
      </c>
    </row>
    <row r="31" spans="3:4">
      <c r="C31" s="4" t="s">
        <v>142</v>
      </c>
    </row>
    <row r="32" spans="3:4">
      <c r="C32" s="4" t="s">
        <v>143</v>
      </c>
    </row>
    <row r="33" spans="3:3">
      <c r="C33" s="4" t="s">
        <v>144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4"/>
  <dimension ref="D5:I23"/>
  <sheetViews>
    <sheetView workbookViewId="0">
      <selection activeCell="G7" sqref="G7"/>
    </sheetView>
  </sheetViews>
  <sheetFormatPr defaultColWidth="10.7619047619048" defaultRowHeight="15"/>
  <cols>
    <col min="5" max="5" width="27.4380952380952" customWidth="1"/>
    <col min="7" max="7" width="16.6761904761905" customWidth="1"/>
    <col min="8" max="8" width="23.4095238095238" customWidth="1"/>
  </cols>
  <sheetData>
    <row r="5" spans="4:9">
      <c r="D5" s="141"/>
      <c r="E5" s="142"/>
    </row>
    <row r="6" spans="4:9">
      <c r="D6" s="143" t="s">
        <v>42</v>
      </c>
      <c r="E6" s="143" t="s">
        <v>145</v>
      </c>
      <c r="F6" s="143" t="s">
        <v>146</v>
      </c>
      <c r="G6" s="143" t="s">
        <v>147</v>
      </c>
      <c r="H6" s="143" t="s">
        <v>148</v>
      </c>
    </row>
    <row r="7" spans="4:9">
      <c r="D7" s="56">
        <v>40014675</v>
      </c>
      <c r="E7" s="55" t="s">
        <v>44</v>
      </c>
      <c r="F7" s="4" t="s">
        <v>149</v>
      </c>
      <c r="G7" s="56">
        <v>172.8</v>
      </c>
      <c r="H7" s="56">
        <v>120</v>
      </c>
    </row>
    <row r="8" spans="4:9">
      <c r="D8" s="56">
        <v>40014675</v>
      </c>
      <c r="E8" s="55" t="s">
        <v>44</v>
      </c>
      <c r="F8" s="4" t="s">
        <v>150</v>
      </c>
      <c r="G8" s="56">
        <v>172.8</v>
      </c>
      <c r="H8" s="56">
        <v>120</v>
      </c>
      <c r="I8">
        <v>23</v>
      </c>
    </row>
    <row r="9" spans="4:9">
      <c r="D9" s="56">
        <v>40014675</v>
      </c>
      <c r="E9" s="55" t="s">
        <v>44</v>
      </c>
      <c r="F9" s="4" t="s">
        <v>151</v>
      </c>
      <c r="G9" s="56">
        <v>273.6</v>
      </c>
      <c r="H9" s="56">
        <v>195</v>
      </c>
    </row>
    <row r="10" spans="4:9">
      <c r="D10" s="56">
        <v>40014675</v>
      </c>
      <c r="E10" s="55" t="s">
        <v>44</v>
      </c>
      <c r="F10" s="4" t="s">
        <v>152</v>
      </c>
      <c r="G10" s="56">
        <f>138.24-109.44</f>
        <v>28.8</v>
      </c>
      <c r="H10" s="56">
        <v>20</v>
      </c>
    </row>
    <row r="11" spans="4:9">
      <c r="D11" s="144"/>
      <c r="E11" s="145"/>
    </row>
    <row r="12" spans="4:9">
      <c r="D12" s="143" t="s">
        <v>42</v>
      </c>
      <c r="E12" s="143" t="s">
        <v>145</v>
      </c>
      <c r="F12" s="143" t="s">
        <v>146</v>
      </c>
      <c r="G12" s="143" t="s">
        <v>147</v>
      </c>
      <c r="H12" s="143" t="s">
        <v>148</v>
      </c>
    </row>
    <row r="13" spans="4:9">
      <c r="D13" s="56">
        <v>40014900</v>
      </c>
      <c r="E13" s="55" t="s">
        <v>153</v>
      </c>
      <c r="F13" s="4" t="s">
        <v>154</v>
      </c>
      <c r="G13" s="4">
        <f>103.68+34.56</f>
        <v>138.24</v>
      </c>
      <c r="H13" s="56">
        <v>96</v>
      </c>
    </row>
    <row r="14" spans="4:9">
      <c r="D14" s="56">
        <v>40014900</v>
      </c>
      <c r="E14" s="55" t="s">
        <v>153</v>
      </c>
      <c r="F14" s="4" t="s">
        <v>155</v>
      </c>
      <c r="G14" s="4">
        <v>103.68</v>
      </c>
      <c r="H14" s="56">
        <v>72</v>
      </c>
    </row>
    <row r="15" spans="4:9">
      <c r="D15" s="56">
        <v>40014900</v>
      </c>
      <c r="E15" s="55" t="s">
        <v>153</v>
      </c>
      <c r="F15" s="4" t="s">
        <v>156</v>
      </c>
      <c r="G15" s="4">
        <f>34.56</f>
        <v>34.56</v>
      </c>
      <c r="H15" s="56">
        <v>24</v>
      </c>
    </row>
    <row r="16" spans="4:9">
      <c r="D16" s="56">
        <v>40014900</v>
      </c>
      <c r="E16" s="55" t="s">
        <v>153</v>
      </c>
      <c r="F16" s="4" t="s">
        <v>157</v>
      </c>
      <c r="G16" s="4">
        <v>34.56</v>
      </c>
      <c r="H16" s="56">
        <v>24</v>
      </c>
    </row>
    <row r="17" spans="4:5">
      <c r="D17" s="144"/>
      <c r="E17" s="145"/>
    </row>
    <row r="18" spans="4:5">
      <c r="D18" s="56"/>
      <c r="E18" s="55"/>
    </row>
    <row r="19" spans="4:5">
      <c r="D19" s="56"/>
      <c r="E19" s="55"/>
    </row>
    <row r="20" spans="4:5">
      <c r="D20" s="56"/>
      <c r="E20" s="55"/>
    </row>
    <row r="21" spans="4:5">
      <c r="D21" s="56"/>
      <c r="E21" s="55"/>
    </row>
    <row r="22" spans="4:5">
      <c r="D22" s="56"/>
      <c r="E22" s="55"/>
    </row>
    <row r="23" spans="4:5">
      <c r="D23" s="56"/>
      <c r="E23" s="55"/>
    </row>
  </sheetData>
  <conditionalFormatting sqref="D13:D16">
    <cfRule type="duplicateValues" dxfId="1" priority="2"/>
  </conditionalFormatting>
  <conditionalFormatting sqref="D13:E16">
    <cfRule type="expression" dxfId="0" priority="1">
      <formula>FILA()=CELDA("fila")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5">
    <tabColor theme="3" tint="-0.249977111117893"/>
  </sheetPr>
  <dimension ref="A1:P3166"/>
  <sheetViews>
    <sheetView showGridLines="0" tabSelected="1" zoomScale="70" zoomScaleNormal="70" workbookViewId="0">
      <pane ySplit="6" topLeftCell="A7" activePane="bottomLeft" state="frozen"/>
      <selection/>
      <selection pane="bottomLeft" activeCell="G7" sqref="G7"/>
    </sheetView>
  </sheetViews>
  <sheetFormatPr defaultColWidth="0" defaultRowHeight="15"/>
  <cols>
    <col min="1" max="1" width="2.55238095238095" style="40" customWidth="1"/>
    <col min="2" max="2" width="17.352380952381" style="56" customWidth="1"/>
    <col min="3" max="3" width="16.1428571428571" style="56" customWidth="1"/>
    <col min="4" max="4" width="19.9047619047619" style="54" customWidth="1"/>
    <col min="5" max="5" width="48.5619047619048" style="55" customWidth="1"/>
    <col min="6" max="6" width="16.0095238095238" style="56" hidden="1" customWidth="1"/>
    <col min="7" max="7" width="18.5619047619048" style="68" customWidth="1"/>
    <col min="8" max="8" width="7.13333333333333" style="56" customWidth="1"/>
    <col min="9" max="9" width="11.1619047619048" style="4" hidden="1" customWidth="1"/>
    <col min="10" max="10" width="20.047619047619" style="56" customWidth="1"/>
    <col min="11" max="11" width="16.4095238095238" style="4" hidden="1" customWidth="1"/>
    <col min="12" max="12" width="25.0190476190476" style="56" customWidth="1"/>
    <col min="13" max="13" width="27.5714285714286" style="4" customWidth="1"/>
    <col min="14" max="14" width="30.5333333333333" style="56" hidden="1" customWidth="1"/>
    <col min="15" max="15" width="21.1142857142857" style="4" customWidth="1"/>
    <col min="16" max="16" width="22.0571428571429" style="4" customWidth="1"/>
    <col min="17" max="17" width="11.5619047619048" customWidth="1"/>
    <col min="18" max="19" width="0" hidden="1" customWidth="1"/>
    <col min="20" max="16384" width="11.5619047619048" hidden="1"/>
  </cols>
  <sheetData>
    <row r="1" spans="1:16">
      <c r="B1" s="82" t="s">
        <v>158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</row>
    <row r="2" spans="1:16"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</row>
    <row r="3" spans="1:16"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</row>
    <row r="4" spans="1:16">
      <c r="A4" s="38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</row>
    <row r="5" spans="1:16">
      <c r="B5" s="40"/>
      <c r="C5" s="40"/>
      <c r="D5" s="38"/>
      <c r="E5" s="39"/>
      <c r="F5"/>
      <c r="G5" s="132"/>
      <c r="H5" s="40"/>
      <c r="I5"/>
      <c r="J5" s="40"/>
      <c r="K5"/>
      <c r="L5" s="40"/>
      <c r="M5"/>
      <c r="N5"/>
      <c r="O5"/>
      <c r="P5"/>
    </row>
    <row r="6" s="81" customFormat="1" ht="36.75" customHeight="1" spans="1:16">
      <c r="B6" s="133" t="s">
        <v>159</v>
      </c>
      <c r="C6" s="133" t="s">
        <v>160</v>
      </c>
      <c r="D6" s="134" t="s">
        <v>161</v>
      </c>
      <c r="E6" s="133" t="s">
        <v>162</v>
      </c>
      <c r="F6" s="133" t="s">
        <v>163</v>
      </c>
      <c r="G6" s="135" t="s">
        <v>164</v>
      </c>
      <c r="H6" s="133" t="s">
        <v>165</v>
      </c>
      <c r="I6" s="133" t="s">
        <v>166</v>
      </c>
      <c r="J6" s="133" t="s">
        <v>167</v>
      </c>
      <c r="K6" s="133" t="s">
        <v>168</v>
      </c>
      <c r="L6" s="133" t="s">
        <v>169</v>
      </c>
      <c r="M6" s="133" t="s">
        <v>170</v>
      </c>
      <c r="N6" s="133" t="s">
        <v>171</v>
      </c>
      <c r="O6" s="133" t="s">
        <v>172</v>
      </c>
      <c r="P6" s="133" t="s">
        <v>173</v>
      </c>
    </row>
    <row r="7" spans="1:16">
      <c r="B7" s="20"/>
      <c r="C7" s="20">
        <v>44651</v>
      </c>
      <c r="D7" s="54">
        <v>40009546</v>
      </c>
      <c r="E7" s="55" t="s">
        <v>174</v>
      </c>
      <c r="F7" s="56">
        <v>9</v>
      </c>
      <c r="G7" s="68">
        <v>6804</v>
      </c>
      <c r="H7" s="56" t="s">
        <v>80</v>
      </c>
      <c r="I7" s="4">
        <v>0</v>
      </c>
      <c r="J7" s="56">
        <v>1799</v>
      </c>
      <c r="K7" s="4">
        <v>0</v>
      </c>
      <c r="L7" s="56" t="s">
        <v>175</v>
      </c>
      <c r="M7" s="4" t="s">
        <v>176</v>
      </c>
      <c r="N7" s="4" t="s">
        <v>177</v>
      </c>
      <c r="O7" s="4" t="s">
        <v>178</v>
      </c>
    </row>
    <row r="8" spans="1:16">
      <c r="B8" s="20"/>
      <c r="C8" s="20">
        <v>44651</v>
      </c>
      <c r="D8" s="54">
        <v>40009544</v>
      </c>
      <c r="E8" s="55" t="s">
        <v>179</v>
      </c>
      <c r="F8" s="56">
        <v>13</v>
      </c>
      <c r="G8" s="68">
        <v>38220</v>
      </c>
      <c r="H8" s="56" t="s">
        <v>80</v>
      </c>
      <c r="I8" s="4">
        <v>0</v>
      </c>
      <c r="J8" s="56">
        <v>1799</v>
      </c>
      <c r="K8" s="4">
        <v>0</v>
      </c>
      <c r="L8" s="56" t="s">
        <v>175</v>
      </c>
      <c r="M8" s="4" t="s">
        <v>176</v>
      </c>
      <c r="N8" s="4" t="s">
        <v>177</v>
      </c>
      <c r="O8" s="4" t="s">
        <v>178</v>
      </c>
    </row>
    <row r="9" spans="1:16">
      <c r="B9" s="20"/>
      <c r="C9" s="20">
        <v>44655</v>
      </c>
      <c r="D9" s="54">
        <v>40009151</v>
      </c>
      <c r="E9" s="55" t="s">
        <v>180</v>
      </c>
      <c r="F9" s="56">
        <v>20</v>
      </c>
      <c r="G9" s="68">
        <v>8820</v>
      </c>
      <c r="H9" s="56" t="s">
        <v>80</v>
      </c>
      <c r="I9" s="4">
        <v>0</v>
      </c>
      <c r="J9" s="56">
        <v>234</v>
      </c>
      <c r="K9" s="4">
        <v>0</v>
      </c>
      <c r="L9" s="56" t="s">
        <v>175</v>
      </c>
      <c r="M9" s="4" t="s">
        <v>176</v>
      </c>
      <c r="N9" s="4" t="s">
        <v>181</v>
      </c>
      <c r="O9" s="4" t="s">
        <v>178</v>
      </c>
    </row>
    <row r="10" spans="1:16">
      <c r="B10" s="20"/>
      <c r="C10" s="20">
        <v>44655</v>
      </c>
      <c r="D10" s="54">
        <v>40009151</v>
      </c>
      <c r="E10" s="55" t="s">
        <v>180</v>
      </c>
      <c r="F10" s="56">
        <v>7</v>
      </c>
      <c r="G10" s="68">
        <v>1984.5</v>
      </c>
      <c r="H10" s="56" t="s">
        <v>80</v>
      </c>
      <c r="I10" s="4">
        <v>0</v>
      </c>
      <c r="J10" s="56">
        <v>235</v>
      </c>
      <c r="K10" s="4">
        <v>0</v>
      </c>
      <c r="L10" s="56" t="s">
        <v>175</v>
      </c>
      <c r="M10" s="4" t="s">
        <v>176</v>
      </c>
      <c r="N10" s="4" t="s">
        <v>177</v>
      </c>
      <c r="O10" s="4" t="s">
        <v>178</v>
      </c>
    </row>
    <row r="11" spans="1:16">
      <c r="B11" s="20"/>
      <c r="C11" s="20">
        <v>44655</v>
      </c>
      <c r="D11" s="54">
        <v>40008024</v>
      </c>
      <c r="E11" s="55" t="s">
        <v>182</v>
      </c>
      <c r="F11" s="56">
        <v>13</v>
      </c>
      <c r="G11" s="68">
        <v>5403.165</v>
      </c>
      <c r="H11" s="56" t="s">
        <v>80</v>
      </c>
      <c r="I11" s="4">
        <v>0</v>
      </c>
      <c r="J11" s="56">
        <v>235</v>
      </c>
      <c r="K11" s="4">
        <v>0</v>
      </c>
      <c r="L11" s="56" t="s">
        <v>175</v>
      </c>
      <c r="M11" s="4" t="s">
        <v>176</v>
      </c>
      <c r="N11" s="4" t="s">
        <v>177</v>
      </c>
      <c r="O11" s="4" t="s">
        <v>178</v>
      </c>
    </row>
    <row r="12" spans="1:16">
      <c r="B12" s="20"/>
      <c r="C12" s="20">
        <v>44655</v>
      </c>
      <c r="D12" s="54">
        <v>40004478</v>
      </c>
      <c r="E12" s="55" t="s">
        <v>183</v>
      </c>
      <c r="F12" s="56">
        <v>11</v>
      </c>
      <c r="G12" s="68">
        <v>2538.789</v>
      </c>
      <c r="H12" s="56" t="s">
        <v>80</v>
      </c>
      <c r="I12" s="4">
        <v>0</v>
      </c>
      <c r="J12" s="56">
        <v>236</v>
      </c>
      <c r="K12" s="4">
        <v>0</v>
      </c>
      <c r="L12" s="56" t="s">
        <v>175</v>
      </c>
      <c r="M12" s="4" t="s">
        <v>176</v>
      </c>
      <c r="N12" s="4" t="s">
        <v>181</v>
      </c>
      <c r="O12" s="4" t="s">
        <v>178</v>
      </c>
    </row>
    <row r="13" spans="1:16">
      <c r="B13" s="20"/>
      <c r="C13" s="20">
        <v>44655</v>
      </c>
      <c r="D13" s="54">
        <v>50144200</v>
      </c>
      <c r="E13" s="55" t="s">
        <v>184</v>
      </c>
      <c r="F13" s="56">
        <v>9</v>
      </c>
      <c r="G13" s="68">
        <v>2376000</v>
      </c>
      <c r="H13" s="56" t="s">
        <v>92</v>
      </c>
      <c r="I13" s="4">
        <v>0</v>
      </c>
      <c r="J13" s="56">
        <v>236</v>
      </c>
      <c r="K13" s="4">
        <v>0</v>
      </c>
      <c r="L13" s="56" t="s">
        <v>185</v>
      </c>
      <c r="M13" s="4" t="s">
        <v>176</v>
      </c>
      <c r="N13" s="4" t="s">
        <v>181</v>
      </c>
      <c r="O13" s="4" t="s">
        <v>178</v>
      </c>
    </row>
    <row r="14" spans="1:16">
      <c r="B14" s="20"/>
      <c r="C14" s="20">
        <v>44655</v>
      </c>
      <c r="D14" s="54">
        <v>50515224</v>
      </c>
      <c r="E14" s="55" t="s">
        <v>186</v>
      </c>
      <c r="F14" s="56">
        <v>11</v>
      </c>
      <c r="G14" s="68">
        <v>2960000</v>
      </c>
      <c r="H14" s="56" t="s">
        <v>92</v>
      </c>
      <c r="I14" s="4">
        <v>0</v>
      </c>
      <c r="J14" s="56">
        <v>238</v>
      </c>
      <c r="K14" s="4">
        <v>0</v>
      </c>
      <c r="L14" s="56" t="s">
        <v>175</v>
      </c>
      <c r="M14" s="4" t="s">
        <v>176</v>
      </c>
      <c r="N14" s="4" t="s">
        <v>177</v>
      </c>
      <c r="O14" s="4" t="s">
        <v>178</v>
      </c>
    </row>
    <row r="15" spans="1:16">
      <c r="B15" s="20"/>
      <c r="C15" s="20">
        <v>44655</v>
      </c>
      <c r="D15" s="54">
        <v>50144200</v>
      </c>
      <c r="E15" s="55" t="s">
        <v>184</v>
      </c>
      <c r="F15" s="56">
        <v>4</v>
      </c>
      <c r="G15" s="68">
        <v>1056000</v>
      </c>
      <c r="H15" s="56" t="s">
        <v>92</v>
      </c>
      <c r="I15" s="4">
        <v>0</v>
      </c>
      <c r="J15" s="56">
        <v>238</v>
      </c>
      <c r="K15" s="4">
        <v>0</v>
      </c>
      <c r="L15" s="56" t="s">
        <v>185</v>
      </c>
      <c r="M15" s="4" t="s">
        <v>176</v>
      </c>
      <c r="N15" s="4" t="s">
        <v>177</v>
      </c>
      <c r="O15" s="4" t="s">
        <v>178</v>
      </c>
    </row>
    <row r="16" spans="1:16">
      <c r="B16" s="20"/>
      <c r="C16" s="20">
        <v>44655</v>
      </c>
      <c r="D16" s="54">
        <v>40004808</v>
      </c>
      <c r="E16" s="55" t="s">
        <v>187</v>
      </c>
      <c r="F16" s="56">
        <v>5</v>
      </c>
      <c r="G16" s="68">
        <v>2205</v>
      </c>
      <c r="H16" s="56" t="s">
        <v>80</v>
      </c>
      <c r="I16" s="4">
        <v>0</v>
      </c>
      <c r="J16" s="56">
        <v>238</v>
      </c>
      <c r="K16" s="4">
        <v>0</v>
      </c>
      <c r="L16" s="56" t="s">
        <v>175</v>
      </c>
      <c r="M16" s="4" t="s">
        <v>176</v>
      </c>
      <c r="N16" s="4" t="s">
        <v>177</v>
      </c>
      <c r="O16" s="4" t="s">
        <v>178</v>
      </c>
    </row>
    <row r="17" spans="2:15">
      <c r="B17" s="20"/>
      <c r="C17" s="20">
        <v>44655</v>
      </c>
      <c r="D17" s="54">
        <v>50141786</v>
      </c>
      <c r="E17" s="55" t="s">
        <v>188</v>
      </c>
      <c r="F17" s="56">
        <v>20</v>
      </c>
      <c r="G17" s="68">
        <v>11200</v>
      </c>
      <c r="H17" s="56" t="s">
        <v>82</v>
      </c>
      <c r="I17" s="4">
        <v>0</v>
      </c>
      <c r="J17" s="56">
        <v>239</v>
      </c>
      <c r="K17" s="4">
        <v>0</v>
      </c>
      <c r="L17" s="56" t="s">
        <v>189</v>
      </c>
      <c r="M17" s="4" t="s">
        <v>176</v>
      </c>
      <c r="N17" s="4" t="s">
        <v>181</v>
      </c>
      <c r="O17" s="4" t="s">
        <v>178</v>
      </c>
    </row>
    <row r="18" spans="2:15">
      <c r="B18" s="20"/>
      <c r="C18" s="20">
        <v>44655</v>
      </c>
      <c r="D18" s="54">
        <v>40004808</v>
      </c>
      <c r="E18" s="55" t="s">
        <v>187</v>
      </c>
      <c r="F18" s="56">
        <v>11</v>
      </c>
      <c r="G18" s="68">
        <v>4557</v>
      </c>
      <c r="H18" s="56" t="s">
        <v>80</v>
      </c>
      <c r="I18" s="4">
        <v>0</v>
      </c>
      <c r="J18" s="56">
        <v>240</v>
      </c>
      <c r="K18" s="4">
        <v>0</v>
      </c>
      <c r="L18" s="56" t="s">
        <v>175</v>
      </c>
      <c r="M18" s="4" t="s">
        <v>176</v>
      </c>
      <c r="N18" s="4" t="s">
        <v>177</v>
      </c>
      <c r="O18" s="4" t="s">
        <v>178</v>
      </c>
    </row>
    <row r="19" spans="2:15">
      <c r="B19" s="20"/>
      <c r="C19" s="20">
        <v>44655</v>
      </c>
      <c r="D19" s="54">
        <v>40008022</v>
      </c>
      <c r="E19" s="55" t="s">
        <v>190</v>
      </c>
      <c r="F19" s="56">
        <v>5</v>
      </c>
      <c r="G19" s="68">
        <v>2205</v>
      </c>
      <c r="H19" s="56" t="s">
        <v>80</v>
      </c>
      <c r="I19" s="4">
        <v>0</v>
      </c>
      <c r="J19" s="56">
        <v>240</v>
      </c>
      <c r="K19" s="4">
        <v>0</v>
      </c>
      <c r="L19" s="56" t="s">
        <v>175</v>
      </c>
      <c r="M19" s="4" t="s">
        <v>176</v>
      </c>
      <c r="N19" s="4" t="s">
        <v>177</v>
      </c>
      <c r="O19" s="4" t="s">
        <v>178</v>
      </c>
    </row>
    <row r="20" spans="2:15">
      <c r="B20" s="20"/>
      <c r="C20" s="20">
        <v>44655</v>
      </c>
      <c r="D20" s="54">
        <v>50143646</v>
      </c>
      <c r="E20" s="55" t="s">
        <v>191</v>
      </c>
      <c r="F20" s="56">
        <v>4</v>
      </c>
      <c r="G20" s="68">
        <v>1920</v>
      </c>
      <c r="H20" s="56" t="s">
        <v>82</v>
      </c>
      <c r="I20" s="4">
        <v>0</v>
      </c>
      <c r="J20" s="56">
        <v>240</v>
      </c>
      <c r="K20" s="4">
        <v>0</v>
      </c>
      <c r="L20" s="56" t="s">
        <v>192</v>
      </c>
      <c r="M20" s="4" t="s">
        <v>176</v>
      </c>
      <c r="N20" s="4" t="s">
        <v>177</v>
      </c>
      <c r="O20" s="4" t="s">
        <v>178</v>
      </c>
    </row>
    <row r="21" spans="2:15">
      <c r="B21" s="20"/>
      <c r="C21" s="20">
        <v>44655</v>
      </c>
      <c r="D21" s="54">
        <v>50141786</v>
      </c>
      <c r="E21" s="55" t="s">
        <v>188</v>
      </c>
      <c r="F21" s="56">
        <v>22</v>
      </c>
      <c r="G21" s="68">
        <v>12320</v>
      </c>
      <c r="H21" s="56" t="s">
        <v>82</v>
      </c>
      <c r="I21" s="4">
        <v>0</v>
      </c>
      <c r="J21" s="56">
        <v>241</v>
      </c>
      <c r="K21" s="4">
        <v>0</v>
      </c>
      <c r="L21" s="56" t="s">
        <v>189</v>
      </c>
      <c r="M21" s="4" t="s">
        <v>176</v>
      </c>
      <c r="N21" s="4" t="s">
        <v>193</v>
      </c>
      <c r="O21" s="4" t="s">
        <v>178</v>
      </c>
    </row>
    <row r="22" spans="2:15">
      <c r="B22" s="20"/>
      <c r="C22" s="20">
        <v>44655</v>
      </c>
      <c r="D22" s="54">
        <v>50143646</v>
      </c>
      <c r="E22" s="55" t="s">
        <v>191</v>
      </c>
      <c r="F22" s="56">
        <v>11</v>
      </c>
      <c r="G22" s="68">
        <v>5280</v>
      </c>
      <c r="H22" s="56" t="s">
        <v>82</v>
      </c>
      <c r="I22" s="4">
        <v>0</v>
      </c>
      <c r="J22" s="56">
        <v>243</v>
      </c>
      <c r="K22" s="4">
        <v>0</v>
      </c>
      <c r="L22" s="56" t="s">
        <v>192</v>
      </c>
      <c r="M22" s="4" t="s">
        <v>176</v>
      </c>
      <c r="N22" s="4" t="s">
        <v>181</v>
      </c>
      <c r="O22" s="4" t="s">
        <v>178</v>
      </c>
    </row>
    <row r="23" spans="2:15">
      <c r="B23" s="20"/>
      <c r="C23" s="20">
        <v>44655</v>
      </c>
      <c r="D23" s="54">
        <v>40008022</v>
      </c>
      <c r="E23" s="55" t="s">
        <v>190</v>
      </c>
      <c r="F23" s="56">
        <v>7</v>
      </c>
      <c r="G23" s="68">
        <v>3087</v>
      </c>
      <c r="H23" s="56" t="s">
        <v>80</v>
      </c>
      <c r="I23" s="4">
        <v>0</v>
      </c>
      <c r="J23" s="56">
        <v>243</v>
      </c>
      <c r="K23" s="4">
        <v>0</v>
      </c>
      <c r="L23" s="56" t="s">
        <v>175</v>
      </c>
      <c r="M23" s="4" t="s">
        <v>176</v>
      </c>
      <c r="N23" s="4" t="s">
        <v>181</v>
      </c>
      <c r="O23" s="4" t="s">
        <v>178</v>
      </c>
    </row>
    <row r="24" spans="2:15">
      <c r="B24" s="20"/>
      <c r="C24" s="20">
        <v>44656</v>
      </c>
      <c r="D24" s="54">
        <v>50143646</v>
      </c>
      <c r="E24" s="55" t="s">
        <v>191</v>
      </c>
      <c r="F24" s="56">
        <v>7</v>
      </c>
      <c r="G24" s="68">
        <v>3360</v>
      </c>
      <c r="H24" s="56" t="s">
        <v>82</v>
      </c>
      <c r="I24" s="4">
        <v>0</v>
      </c>
      <c r="J24" s="56">
        <v>244</v>
      </c>
      <c r="K24" s="4">
        <v>0</v>
      </c>
      <c r="L24" s="56" t="s">
        <v>194</v>
      </c>
      <c r="M24" s="4" t="s">
        <v>176</v>
      </c>
      <c r="N24" s="4" t="s">
        <v>181</v>
      </c>
      <c r="O24" s="4" t="s">
        <v>178</v>
      </c>
    </row>
    <row r="25" spans="2:15">
      <c r="B25" s="20"/>
      <c r="C25" s="20">
        <v>44656</v>
      </c>
      <c r="D25" s="54">
        <v>50141786</v>
      </c>
      <c r="E25" s="55" t="s">
        <v>188</v>
      </c>
      <c r="F25" s="56">
        <v>13</v>
      </c>
      <c r="G25" s="68">
        <v>7140</v>
      </c>
      <c r="H25" s="56" t="s">
        <v>82</v>
      </c>
      <c r="I25" s="4">
        <v>0</v>
      </c>
      <c r="J25" s="56">
        <v>244</v>
      </c>
      <c r="K25" s="4">
        <v>0</v>
      </c>
      <c r="L25" s="56" t="s">
        <v>189</v>
      </c>
      <c r="M25" s="4" t="s">
        <v>176</v>
      </c>
      <c r="N25" s="4" t="s">
        <v>181</v>
      </c>
      <c r="O25" s="4" t="s">
        <v>178</v>
      </c>
    </row>
    <row r="26" spans="2:15">
      <c r="B26" s="20"/>
      <c r="C26" s="20">
        <v>44656</v>
      </c>
      <c r="D26" s="54">
        <v>50141786</v>
      </c>
      <c r="E26" s="55" t="s">
        <v>188</v>
      </c>
      <c r="F26" s="56">
        <v>20</v>
      </c>
      <c r="G26" s="68">
        <v>11165</v>
      </c>
      <c r="H26" s="56" t="s">
        <v>82</v>
      </c>
      <c r="I26" s="4">
        <v>0</v>
      </c>
      <c r="J26" s="56">
        <v>245</v>
      </c>
      <c r="K26" s="4">
        <v>0</v>
      </c>
      <c r="L26" s="56" t="s">
        <v>189</v>
      </c>
      <c r="M26" s="4" t="s">
        <v>176</v>
      </c>
      <c r="N26" s="4" t="s">
        <v>193</v>
      </c>
      <c r="O26" s="4" t="s">
        <v>178</v>
      </c>
    </row>
    <row r="27" spans="2:15">
      <c r="B27" s="20"/>
      <c r="C27" s="20">
        <v>44656</v>
      </c>
      <c r="D27" s="54">
        <v>50141786</v>
      </c>
      <c r="E27" s="55" t="s">
        <v>188</v>
      </c>
      <c r="F27" s="56">
        <v>20</v>
      </c>
      <c r="G27" s="68">
        <v>11200</v>
      </c>
      <c r="H27" s="56" t="s">
        <v>82</v>
      </c>
      <c r="I27" s="4">
        <v>0</v>
      </c>
      <c r="J27" s="56">
        <v>246</v>
      </c>
      <c r="K27" s="4">
        <v>0</v>
      </c>
      <c r="L27" s="56" t="s">
        <v>189</v>
      </c>
      <c r="M27" s="4" t="s">
        <v>176</v>
      </c>
      <c r="N27" s="4" t="s">
        <v>177</v>
      </c>
      <c r="O27" s="4" t="s">
        <v>178</v>
      </c>
    </row>
    <row r="28" spans="2:15">
      <c r="B28" s="20"/>
      <c r="C28" s="20">
        <v>44656</v>
      </c>
      <c r="D28" s="54">
        <v>50141786</v>
      </c>
      <c r="E28" s="55" t="s">
        <v>188</v>
      </c>
      <c r="F28" s="56">
        <v>16</v>
      </c>
      <c r="G28" s="68">
        <v>8960</v>
      </c>
      <c r="H28" s="56" t="s">
        <v>82</v>
      </c>
      <c r="I28" s="4">
        <v>0</v>
      </c>
      <c r="J28" s="56">
        <v>247</v>
      </c>
      <c r="K28" s="4">
        <v>0</v>
      </c>
      <c r="L28" s="56" t="s">
        <v>189</v>
      </c>
      <c r="M28" s="4" t="s">
        <v>176</v>
      </c>
      <c r="N28" s="4" t="s">
        <v>181</v>
      </c>
      <c r="O28" s="4" t="s">
        <v>178</v>
      </c>
    </row>
    <row r="29" spans="2:15">
      <c r="B29" s="20"/>
      <c r="C29" s="20">
        <v>44656</v>
      </c>
      <c r="D29" s="54">
        <v>50142330</v>
      </c>
      <c r="E29" s="55" t="s">
        <v>195</v>
      </c>
      <c r="F29" s="56">
        <v>16</v>
      </c>
      <c r="G29" s="68">
        <v>3592.8</v>
      </c>
      <c r="H29" s="56" t="s">
        <v>82</v>
      </c>
      <c r="I29" s="4">
        <v>0</v>
      </c>
      <c r="J29" s="56">
        <v>248</v>
      </c>
      <c r="K29" s="4">
        <v>0</v>
      </c>
      <c r="L29" s="56" t="s">
        <v>196</v>
      </c>
      <c r="M29" s="4" t="s">
        <v>176</v>
      </c>
      <c r="N29" s="4" t="s">
        <v>193</v>
      </c>
      <c r="O29" s="4" t="s">
        <v>178</v>
      </c>
    </row>
    <row r="30" spans="2:15">
      <c r="B30" s="20"/>
      <c r="C30" s="20">
        <v>44656</v>
      </c>
      <c r="D30" s="54">
        <v>50142330</v>
      </c>
      <c r="E30" s="55" t="s">
        <v>195</v>
      </c>
      <c r="F30" s="56">
        <v>2</v>
      </c>
      <c r="G30" s="68">
        <v>359.28</v>
      </c>
      <c r="H30" s="56" t="s">
        <v>82</v>
      </c>
      <c r="I30" s="4">
        <v>0</v>
      </c>
      <c r="J30" s="56">
        <v>249</v>
      </c>
      <c r="K30" s="4">
        <v>0</v>
      </c>
      <c r="L30" s="56" t="s">
        <v>196</v>
      </c>
      <c r="M30" s="4" t="s">
        <v>176</v>
      </c>
      <c r="N30" s="4" t="s">
        <v>177</v>
      </c>
      <c r="O30" s="4" t="s">
        <v>178</v>
      </c>
    </row>
    <row r="31" spans="2:15">
      <c r="B31" s="20"/>
      <c r="C31" s="20">
        <v>44656</v>
      </c>
      <c r="D31" s="54">
        <v>50540573</v>
      </c>
      <c r="E31" s="55" t="s">
        <v>197</v>
      </c>
      <c r="F31" s="56">
        <v>13</v>
      </c>
      <c r="G31" s="68">
        <v>9525</v>
      </c>
      <c r="H31" s="56" t="s">
        <v>198</v>
      </c>
      <c r="I31" s="4">
        <v>0</v>
      </c>
      <c r="J31" s="56">
        <v>249</v>
      </c>
      <c r="K31" s="4">
        <v>0</v>
      </c>
      <c r="L31" s="56" t="s">
        <v>199</v>
      </c>
      <c r="M31" s="4" t="s">
        <v>176</v>
      </c>
      <c r="N31" s="4" t="s">
        <v>177</v>
      </c>
      <c r="O31" s="4" t="s">
        <v>178</v>
      </c>
    </row>
    <row r="32" spans="2:15">
      <c r="B32" s="20"/>
      <c r="C32" s="20">
        <v>44657</v>
      </c>
      <c r="D32" s="54">
        <v>40004808</v>
      </c>
      <c r="E32" s="55" t="s">
        <v>187</v>
      </c>
      <c r="F32" s="56">
        <v>2</v>
      </c>
      <c r="G32" s="68">
        <v>588</v>
      </c>
      <c r="H32" s="56" t="s">
        <v>80</v>
      </c>
      <c r="I32" s="4">
        <v>0</v>
      </c>
      <c r="J32" s="56">
        <v>250</v>
      </c>
      <c r="K32" s="4">
        <v>0</v>
      </c>
      <c r="L32" s="56" t="s">
        <v>200</v>
      </c>
      <c r="M32" s="4" t="s">
        <v>176</v>
      </c>
      <c r="N32" s="4" t="s">
        <v>177</v>
      </c>
      <c r="O32" s="4" t="s">
        <v>178</v>
      </c>
    </row>
    <row r="33" spans="2:15">
      <c r="B33" s="20"/>
      <c r="C33" s="20">
        <v>44657</v>
      </c>
      <c r="D33" s="54">
        <v>40009546</v>
      </c>
      <c r="E33" s="55" t="s">
        <v>174</v>
      </c>
      <c r="F33" s="56">
        <v>1</v>
      </c>
      <c r="G33" s="68">
        <v>756</v>
      </c>
      <c r="H33" s="56" t="s">
        <v>80</v>
      </c>
      <c r="I33" s="4">
        <v>0</v>
      </c>
      <c r="J33" s="56">
        <v>250</v>
      </c>
      <c r="K33" s="4">
        <v>0</v>
      </c>
      <c r="L33" s="56" t="s">
        <v>175</v>
      </c>
      <c r="M33" s="4" t="s">
        <v>176</v>
      </c>
      <c r="N33" s="4" t="s">
        <v>177</v>
      </c>
      <c r="O33" s="4" t="s">
        <v>178</v>
      </c>
    </row>
    <row r="34" spans="2:15">
      <c r="B34" s="20"/>
      <c r="C34" s="20">
        <v>44657</v>
      </c>
      <c r="D34" s="54">
        <v>50272278</v>
      </c>
      <c r="E34" s="55" t="s">
        <v>21</v>
      </c>
      <c r="F34" s="56">
        <v>17</v>
      </c>
      <c r="G34" s="68">
        <v>8500</v>
      </c>
      <c r="H34" s="56" t="s">
        <v>92</v>
      </c>
      <c r="I34" s="4">
        <v>0</v>
      </c>
      <c r="J34" s="56">
        <v>250</v>
      </c>
      <c r="K34" s="4">
        <v>0</v>
      </c>
      <c r="L34" s="56" t="s">
        <v>201</v>
      </c>
      <c r="M34" s="4" t="s">
        <v>176</v>
      </c>
      <c r="N34" s="4" t="s">
        <v>177</v>
      </c>
      <c r="O34" s="4" t="s">
        <v>178</v>
      </c>
    </row>
    <row r="35" spans="2:15">
      <c r="B35" s="20"/>
      <c r="C35" s="20">
        <v>44657</v>
      </c>
      <c r="D35" s="54">
        <v>50272278</v>
      </c>
      <c r="E35" s="55" t="s">
        <v>21</v>
      </c>
      <c r="F35" s="56">
        <v>20</v>
      </c>
      <c r="G35" s="68">
        <f>10000+18372</f>
        <v>28372</v>
      </c>
      <c r="H35" s="56" t="s">
        <v>92</v>
      </c>
      <c r="I35" s="4">
        <v>0</v>
      </c>
      <c r="J35" s="56">
        <v>251</v>
      </c>
      <c r="K35" s="4">
        <v>0</v>
      </c>
      <c r="L35" s="56" t="s">
        <v>201</v>
      </c>
      <c r="M35" s="4" t="s">
        <v>176</v>
      </c>
      <c r="N35" s="4" t="s">
        <v>193</v>
      </c>
      <c r="O35" s="4" t="s">
        <v>178</v>
      </c>
    </row>
    <row r="36" spans="2:15">
      <c r="B36" s="20"/>
      <c r="C36" s="20">
        <v>44657</v>
      </c>
      <c r="D36" s="54">
        <v>50272278</v>
      </c>
      <c r="E36" s="55" t="s">
        <v>21</v>
      </c>
      <c r="F36" s="56">
        <v>18</v>
      </c>
      <c r="G36" s="68">
        <v>9000</v>
      </c>
      <c r="H36" s="56" t="s">
        <v>92</v>
      </c>
      <c r="I36" s="4">
        <v>0</v>
      </c>
      <c r="J36" s="56">
        <v>252</v>
      </c>
      <c r="K36" s="4">
        <v>0</v>
      </c>
      <c r="L36" s="56" t="s">
        <v>201</v>
      </c>
      <c r="M36" s="4" t="s">
        <v>176</v>
      </c>
      <c r="N36" s="4" t="s">
        <v>181</v>
      </c>
      <c r="O36" s="4" t="s">
        <v>178</v>
      </c>
    </row>
    <row r="37" spans="2:15">
      <c r="B37" s="20"/>
      <c r="C37" s="20">
        <v>44657</v>
      </c>
      <c r="D37" s="54">
        <v>50272278</v>
      </c>
      <c r="E37" s="55" t="s">
        <v>21</v>
      </c>
      <c r="F37" s="56">
        <v>20</v>
      </c>
      <c r="G37" s="68">
        <v>10000</v>
      </c>
      <c r="H37" s="56" t="s">
        <v>92</v>
      </c>
      <c r="I37" s="4">
        <v>0</v>
      </c>
      <c r="J37" s="56">
        <v>253</v>
      </c>
      <c r="K37" s="4">
        <v>0</v>
      </c>
      <c r="L37" s="56" t="s">
        <v>201</v>
      </c>
      <c r="M37" s="4" t="s">
        <v>176</v>
      </c>
      <c r="N37" s="4" t="s">
        <v>177</v>
      </c>
      <c r="O37" s="4" t="s">
        <v>178</v>
      </c>
    </row>
    <row r="38" spans="2:15">
      <c r="B38" s="20"/>
      <c r="C38" s="20">
        <v>44657</v>
      </c>
      <c r="D38" s="54">
        <v>50272278</v>
      </c>
      <c r="E38" s="55" t="s">
        <v>21</v>
      </c>
      <c r="F38" s="56">
        <v>7</v>
      </c>
      <c r="G38" s="68">
        <v>7500</v>
      </c>
      <c r="H38" s="56" t="s">
        <v>92</v>
      </c>
      <c r="I38" s="4">
        <v>0</v>
      </c>
      <c r="J38" s="56">
        <v>254</v>
      </c>
      <c r="K38" s="4">
        <v>0</v>
      </c>
      <c r="L38" s="56" t="s">
        <v>201</v>
      </c>
      <c r="M38" s="4" t="s">
        <v>176</v>
      </c>
      <c r="N38" s="4" t="s">
        <v>193</v>
      </c>
      <c r="O38" s="4" t="s">
        <v>178</v>
      </c>
    </row>
    <row r="39" spans="2:15">
      <c r="B39" s="20"/>
      <c r="C39" s="20">
        <v>44657</v>
      </c>
      <c r="D39" s="54">
        <v>50144376</v>
      </c>
      <c r="E39" s="55" t="s">
        <v>19</v>
      </c>
      <c r="F39" s="56">
        <v>13</v>
      </c>
      <c r="G39" s="68">
        <v>6500</v>
      </c>
      <c r="H39" s="56" t="s">
        <v>92</v>
      </c>
      <c r="I39" s="4">
        <v>0</v>
      </c>
      <c r="J39" s="56">
        <v>254</v>
      </c>
      <c r="K39" s="4">
        <v>0</v>
      </c>
      <c r="L39" s="56" t="s">
        <v>201</v>
      </c>
      <c r="M39" s="4" t="s">
        <v>176</v>
      </c>
      <c r="N39" s="4" t="s">
        <v>193</v>
      </c>
      <c r="O39" s="4" t="s">
        <v>178</v>
      </c>
    </row>
    <row r="40" spans="2:15">
      <c r="B40" s="20"/>
      <c r="C40" s="20">
        <v>44657</v>
      </c>
      <c r="D40" s="54">
        <v>50272278</v>
      </c>
      <c r="E40" s="55" t="s">
        <v>21</v>
      </c>
      <c r="F40" s="56">
        <v>17</v>
      </c>
      <c r="G40" s="68">
        <v>8500</v>
      </c>
      <c r="H40" s="56" t="s">
        <v>92</v>
      </c>
      <c r="I40" s="4">
        <v>0</v>
      </c>
      <c r="J40" s="56">
        <v>255</v>
      </c>
      <c r="K40" s="4">
        <v>0</v>
      </c>
      <c r="L40" s="56" t="s">
        <v>201</v>
      </c>
      <c r="M40" s="4" t="s">
        <v>176</v>
      </c>
      <c r="N40" s="4" t="s">
        <v>181</v>
      </c>
      <c r="O40" s="4" t="s">
        <v>178</v>
      </c>
    </row>
    <row r="41" spans="2:15">
      <c r="B41" s="20"/>
      <c r="C41" s="20">
        <v>44657</v>
      </c>
      <c r="D41" s="54">
        <v>50144376</v>
      </c>
      <c r="E41" s="55" t="s">
        <v>19</v>
      </c>
      <c r="F41" s="56">
        <v>1</v>
      </c>
      <c r="G41" s="68">
        <v>500</v>
      </c>
      <c r="H41" s="56" t="s">
        <v>92</v>
      </c>
      <c r="I41" s="4">
        <v>0</v>
      </c>
      <c r="J41" s="56">
        <v>255</v>
      </c>
      <c r="K41" s="4">
        <v>0</v>
      </c>
      <c r="L41" s="56" t="s">
        <v>201</v>
      </c>
      <c r="M41" s="4" t="s">
        <v>176</v>
      </c>
      <c r="N41" s="4" t="s">
        <v>181</v>
      </c>
      <c r="O41" s="4" t="s">
        <v>178</v>
      </c>
    </row>
    <row r="42" spans="2:15">
      <c r="B42" s="20"/>
      <c r="C42" s="20">
        <v>44658</v>
      </c>
      <c r="D42" s="54">
        <v>40007938</v>
      </c>
      <c r="E42" s="55" t="s">
        <v>202</v>
      </c>
      <c r="F42" s="56">
        <v>4</v>
      </c>
      <c r="G42" s="68">
        <v>9917</v>
      </c>
      <c r="H42" s="56" t="s">
        <v>80</v>
      </c>
      <c r="I42" s="4">
        <v>0</v>
      </c>
      <c r="J42" s="56">
        <v>256</v>
      </c>
      <c r="K42" s="4">
        <v>0</v>
      </c>
      <c r="L42" s="56" t="s">
        <v>175</v>
      </c>
      <c r="M42" s="4" t="s">
        <v>176</v>
      </c>
      <c r="N42" s="4" t="s">
        <v>181</v>
      </c>
      <c r="O42" s="4" t="s">
        <v>178</v>
      </c>
    </row>
    <row r="43" spans="2:15">
      <c r="B43" s="20"/>
      <c r="C43" s="20">
        <v>44658</v>
      </c>
      <c r="D43" s="54">
        <v>50522171</v>
      </c>
      <c r="E43" s="55" t="s">
        <v>203</v>
      </c>
      <c r="F43" s="56">
        <v>2</v>
      </c>
      <c r="G43" s="68">
        <v>535.5</v>
      </c>
      <c r="H43" s="56" t="s">
        <v>82</v>
      </c>
      <c r="I43" s="4">
        <v>0</v>
      </c>
      <c r="J43" s="56">
        <v>256</v>
      </c>
      <c r="K43" s="4">
        <v>0</v>
      </c>
      <c r="L43" s="56" t="s">
        <v>175</v>
      </c>
      <c r="M43" s="4" t="s">
        <v>176</v>
      </c>
      <c r="N43" s="4" t="s">
        <v>181</v>
      </c>
      <c r="O43" s="4" t="s">
        <v>178</v>
      </c>
    </row>
    <row r="44" spans="2:15">
      <c r="B44" s="20"/>
      <c r="C44" s="20">
        <v>44658</v>
      </c>
      <c r="D44" s="54">
        <v>50272278</v>
      </c>
      <c r="E44" s="55" t="s">
        <v>21</v>
      </c>
      <c r="F44" s="56">
        <v>3</v>
      </c>
      <c r="G44" s="68">
        <v>1500</v>
      </c>
      <c r="H44" s="56" t="s">
        <v>92</v>
      </c>
      <c r="I44" s="4">
        <v>0</v>
      </c>
      <c r="J44" s="56">
        <v>256</v>
      </c>
      <c r="K44" s="4">
        <v>0</v>
      </c>
      <c r="L44" s="56" t="s">
        <v>201</v>
      </c>
      <c r="M44" s="4" t="s">
        <v>176</v>
      </c>
      <c r="N44" s="4" t="s">
        <v>181</v>
      </c>
      <c r="O44" s="4" t="s">
        <v>178</v>
      </c>
    </row>
    <row r="45" spans="2:15">
      <c r="B45" s="20"/>
      <c r="C45" s="20">
        <v>44658</v>
      </c>
      <c r="D45" s="54">
        <v>50142281</v>
      </c>
      <c r="E45" s="55" t="s">
        <v>204</v>
      </c>
      <c r="F45" s="56">
        <v>9</v>
      </c>
      <c r="G45" s="68">
        <v>4050</v>
      </c>
      <c r="H45" s="56" t="s">
        <v>82</v>
      </c>
      <c r="I45" s="4">
        <v>0</v>
      </c>
      <c r="J45" s="56">
        <v>256</v>
      </c>
      <c r="K45" s="4">
        <v>0</v>
      </c>
      <c r="L45" s="56" t="s">
        <v>205</v>
      </c>
      <c r="M45" s="4" t="s">
        <v>176</v>
      </c>
      <c r="N45" s="4" t="s">
        <v>181</v>
      </c>
      <c r="O45" s="4" t="s">
        <v>178</v>
      </c>
    </row>
    <row r="46" spans="2:15">
      <c r="B46" s="20"/>
      <c r="C46" s="20">
        <v>44658</v>
      </c>
      <c r="D46" s="54">
        <v>50142055</v>
      </c>
      <c r="E46" s="55" t="s">
        <v>206</v>
      </c>
      <c r="F46" s="56">
        <v>10</v>
      </c>
      <c r="G46" s="68">
        <v>6000</v>
      </c>
      <c r="H46" s="56" t="s">
        <v>82</v>
      </c>
      <c r="I46" s="4">
        <v>0</v>
      </c>
      <c r="J46" s="56">
        <v>900749374</v>
      </c>
      <c r="K46" s="4" t="s">
        <v>207</v>
      </c>
      <c r="L46" s="56" t="s">
        <v>208</v>
      </c>
      <c r="M46" s="4" t="s">
        <v>209</v>
      </c>
      <c r="N46" s="4" t="s">
        <v>210</v>
      </c>
      <c r="O46" s="4" t="s">
        <v>178</v>
      </c>
    </row>
    <row r="47" spans="2:15">
      <c r="B47" s="20"/>
      <c r="C47" s="20">
        <v>44658</v>
      </c>
      <c r="D47" s="54">
        <v>50142281</v>
      </c>
      <c r="E47" s="55" t="s">
        <v>204</v>
      </c>
      <c r="F47" s="56">
        <v>9</v>
      </c>
      <c r="G47" s="68">
        <v>3540</v>
      </c>
      <c r="H47" s="56" t="s">
        <v>82</v>
      </c>
      <c r="I47" s="4">
        <v>0</v>
      </c>
      <c r="J47" s="56">
        <v>257</v>
      </c>
      <c r="K47" s="4">
        <v>0</v>
      </c>
      <c r="L47" s="56" t="s">
        <v>205</v>
      </c>
      <c r="M47" s="4" t="s">
        <v>176</v>
      </c>
      <c r="N47" s="4" t="s">
        <v>193</v>
      </c>
      <c r="O47" s="4" t="s">
        <v>178</v>
      </c>
    </row>
    <row r="48" spans="2:15">
      <c r="B48" s="20"/>
      <c r="C48" s="20">
        <v>44658</v>
      </c>
      <c r="D48" s="54">
        <v>40007938</v>
      </c>
      <c r="E48" s="55" t="s">
        <v>202</v>
      </c>
      <c r="F48" s="56">
        <v>3</v>
      </c>
      <c r="G48" s="68">
        <v>9072</v>
      </c>
      <c r="H48" s="56" t="s">
        <v>80</v>
      </c>
      <c r="I48" s="4">
        <v>0</v>
      </c>
      <c r="J48" s="56">
        <v>257</v>
      </c>
      <c r="K48" s="4">
        <v>0</v>
      </c>
      <c r="L48" s="56" t="s">
        <v>175</v>
      </c>
      <c r="M48" s="4" t="s">
        <v>176</v>
      </c>
      <c r="N48" s="4" t="s">
        <v>193</v>
      </c>
      <c r="O48" s="4" t="s">
        <v>178</v>
      </c>
    </row>
    <row r="49" spans="2:15">
      <c r="B49" s="20"/>
      <c r="C49" s="20">
        <v>44658</v>
      </c>
      <c r="D49" s="54">
        <v>40007941</v>
      </c>
      <c r="E49" s="55" t="s">
        <v>211</v>
      </c>
      <c r="F49" s="56">
        <v>7</v>
      </c>
      <c r="G49" s="68">
        <v>5292</v>
      </c>
      <c r="H49" s="56" t="s">
        <v>80</v>
      </c>
      <c r="I49" s="4">
        <v>0</v>
      </c>
      <c r="J49" s="56">
        <v>257</v>
      </c>
      <c r="K49" s="4">
        <v>0</v>
      </c>
      <c r="L49" s="56" t="s">
        <v>175</v>
      </c>
      <c r="M49" s="4" t="s">
        <v>176</v>
      </c>
      <c r="N49" s="4" t="s">
        <v>193</v>
      </c>
      <c r="O49" s="4" t="s">
        <v>178</v>
      </c>
    </row>
    <row r="50" spans="2:15">
      <c r="B50" s="20"/>
      <c r="C50" s="20">
        <v>44658</v>
      </c>
      <c r="D50" s="54">
        <v>50142350</v>
      </c>
      <c r="E50" s="55" t="s">
        <v>212</v>
      </c>
      <c r="F50" s="56">
        <v>1</v>
      </c>
      <c r="G50" s="68">
        <v>734.5</v>
      </c>
      <c r="H50" s="56" t="s">
        <v>82</v>
      </c>
      <c r="I50" s="4">
        <v>0</v>
      </c>
      <c r="J50" s="56">
        <v>257</v>
      </c>
      <c r="K50" s="4">
        <v>0</v>
      </c>
      <c r="L50" s="56" t="s">
        <v>213</v>
      </c>
      <c r="M50" s="4" t="s">
        <v>176</v>
      </c>
      <c r="N50" s="4" t="s">
        <v>193</v>
      </c>
      <c r="O50" s="4" t="s">
        <v>178</v>
      </c>
    </row>
    <row r="51" spans="2:15">
      <c r="B51" s="20"/>
      <c r="C51" s="20">
        <v>44658</v>
      </c>
      <c r="D51" s="54">
        <v>50142281</v>
      </c>
      <c r="E51" s="55" t="s">
        <v>204</v>
      </c>
      <c r="F51" s="56">
        <v>6</v>
      </c>
      <c r="G51" s="68">
        <v>2520</v>
      </c>
      <c r="H51" s="56" t="s">
        <v>82</v>
      </c>
      <c r="I51" s="4">
        <v>0</v>
      </c>
      <c r="J51" s="56">
        <v>258</v>
      </c>
      <c r="K51" s="4">
        <v>0</v>
      </c>
      <c r="L51" s="56" t="s">
        <v>205</v>
      </c>
      <c r="M51" s="4" t="s">
        <v>176</v>
      </c>
      <c r="N51" s="4" t="s">
        <v>177</v>
      </c>
      <c r="O51" s="4" t="s">
        <v>178</v>
      </c>
    </row>
    <row r="52" spans="2:15">
      <c r="B52" s="20"/>
      <c r="C52" s="20">
        <v>44658</v>
      </c>
      <c r="D52" s="54">
        <v>20003859</v>
      </c>
      <c r="E52" s="55" t="s">
        <v>214</v>
      </c>
      <c r="F52" s="56">
        <v>1</v>
      </c>
      <c r="G52" s="68">
        <v>237</v>
      </c>
      <c r="H52" s="56" t="s">
        <v>92</v>
      </c>
      <c r="I52" s="4">
        <v>0</v>
      </c>
      <c r="J52" s="56">
        <v>258</v>
      </c>
      <c r="K52" s="4">
        <v>0</v>
      </c>
      <c r="M52" s="4" t="s">
        <v>176</v>
      </c>
      <c r="N52" s="4" t="s">
        <v>177</v>
      </c>
      <c r="O52" s="4" t="s">
        <v>178</v>
      </c>
    </row>
    <row r="53" spans="2:15">
      <c r="B53" s="20"/>
      <c r="C53" s="20">
        <v>44658</v>
      </c>
      <c r="D53" s="54">
        <v>50142551</v>
      </c>
      <c r="E53" s="55" t="s">
        <v>215</v>
      </c>
      <c r="F53" s="56">
        <v>1</v>
      </c>
      <c r="G53" s="68">
        <v>294</v>
      </c>
      <c r="H53" s="56" t="s">
        <v>92</v>
      </c>
      <c r="I53" s="4">
        <v>0</v>
      </c>
      <c r="J53" s="56">
        <v>258</v>
      </c>
      <c r="K53" s="4">
        <v>0</v>
      </c>
      <c r="L53" s="56" t="s">
        <v>216</v>
      </c>
      <c r="M53" s="4" t="s">
        <v>176</v>
      </c>
      <c r="N53" s="4" t="s">
        <v>177</v>
      </c>
      <c r="O53" s="4" t="s">
        <v>178</v>
      </c>
    </row>
    <row r="54" spans="2:15">
      <c r="B54" s="20"/>
      <c r="C54" s="20">
        <v>44658</v>
      </c>
      <c r="D54" s="54">
        <v>11111</v>
      </c>
      <c r="E54" s="55" t="s">
        <v>217</v>
      </c>
      <c r="F54" s="56">
        <v>1</v>
      </c>
      <c r="G54" s="68">
        <v>53</v>
      </c>
      <c r="H54" s="56" t="s">
        <v>92</v>
      </c>
      <c r="I54" s="4">
        <v>0</v>
      </c>
      <c r="J54" s="56">
        <v>258</v>
      </c>
      <c r="K54" s="4">
        <v>0</v>
      </c>
      <c r="M54" s="4" t="s">
        <v>176</v>
      </c>
      <c r="N54" s="4" t="s">
        <v>177</v>
      </c>
      <c r="O54" s="4" t="s">
        <v>178</v>
      </c>
    </row>
    <row r="55" spans="2:15">
      <c r="B55" s="20"/>
      <c r="C55" s="20">
        <v>44658</v>
      </c>
      <c r="D55" s="54">
        <v>40007855</v>
      </c>
      <c r="E55" s="55" t="s">
        <v>84</v>
      </c>
      <c r="F55" s="56">
        <v>9</v>
      </c>
      <c r="G55" s="68">
        <v>12096</v>
      </c>
      <c r="H55" s="56" t="s">
        <v>80</v>
      </c>
      <c r="I55" s="4">
        <v>0</v>
      </c>
      <c r="J55" s="56">
        <v>258</v>
      </c>
      <c r="K55" s="4">
        <v>0</v>
      </c>
      <c r="L55" s="56" t="s">
        <v>175</v>
      </c>
      <c r="M55" s="4" t="s">
        <v>176</v>
      </c>
      <c r="N55" s="4" t="s">
        <v>177</v>
      </c>
      <c r="O55" s="4" t="s">
        <v>178</v>
      </c>
    </row>
    <row r="56" spans="2:15">
      <c r="B56" s="20"/>
      <c r="C56" s="20">
        <v>44658</v>
      </c>
      <c r="D56" s="54">
        <v>40007855</v>
      </c>
      <c r="E56" s="55" t="s">
        <v>84</v>
      </c>
      <c r="F56" s="56">
        <v>1</v>
      </c>
      <c r="G56" s="68">
        <v>221</v>
      </c>
      <c r="H56" s="56" t="s">
        <v>80</v>
      </c>
      <c r="I56" s="4">
        <v>0</v>
      </c>
      <c r="J56" s="56">
        <v>258</v>
      </c>
      <c r="K56" s="4">
        <v>0</v>
      </c>
      <c r="L56" s="56" t="s">
        <v>175</v>
      </c>
      <c r="M56" s="4" t="s">
        <v>176</v>
      </c>
      <c r="N56" s="4" t="s">
        <v>177</v>
      </c>
      <c r="O56" s="4" t="s">
        <v>178</v>
      </c>
    </row>
    <row r="57" spans="2:15">
      <c r="B57" s="20"/>
      <c r="C57" s="20">
        <v>44658</v>
      </c>
      <c r="D57" s="54">
        <v>40009148</v>
      </c>
      <c r="E57" s="55" t="s">
        <v>218</v>
      </c>
      <c r="F57" s="56">
        <v>3</v>
      </c>
      <c r="G57" s="68">
        <v>2268</v>
      </c>
      <c r="H57" s="56" t="s">
        <v>80</v>
      </c>
      <c r="I57" s="4">
        <v>0</v>
      </c>
      <c r="J57" s="56">
        <v>261</v>
      </c>
      <c r="K57" s="4">
        <v>0</v>
      </c>
      <c r="L57" s="56" t="s">
        <v>175</v>
      </c>
      <c r="M57" s="4" t="s">
        <v>176</v>
      </c>
      <c r="N57" s="4" t="s">
        <v>193</v>
      </c>
      <c r="O57" s="4" t="s">
        <v>178</v>
      </c>
    </row>
    <row r="58" spans="2:15">
      <c r="B58" s="20"/>
      <c r="C58" s="20">
        <v>44658</v>
      </c>
      <c r="D58" s="54">
        <v>40007855</v>
      </c>
      <c r="E58" s="55" t="s">
        <v>84</v>
      </c>
      <c r="F58" s="56">
        <v>7</v>
      </c>
      <c r="G58" s="68">
        <v>8411</v>
      </c>
      <c r="H58" s="56" t="s">
        <v>80</v>
      </c>
      <c r="I58" s="4">
        <v>0</v>
      </c>
      <c r="J58" s="56">
        <v>261</v>
      </c>
      <c r="K58" s="4">
        <v>0</v>
      </c>
      <c r="L58" s="56" t="s">
        <v>175</v>
      </c>
      <c r="M58" s="4" t="s">
        <v>176</v>
      </c>
      <c r="N58" s="4" t="s">
        <v>193</v>
      </c>
      <c r="O58" s="4" t="s">
        <v>178</v>
      </c>
    </row>
    <row r="59" spans="2:15">
      <c r="B59" s="20"/>
      <c r="C59" s="20">
        <v>44658</v>
      </c>
      <c r="D59" s="54">
        <v>40007942</v>
      </c>
      <c r="E59" s="55" t="s">
        <v>219</v>
      </c>
      <c r="F59" s="56">
        <v>1</v>
      </c>
      <c r="G59" s="68">
        <v>2307</v>
      </c>
      <c r="H59" s="56" t="s">
        <v>80</v>
      </c>
      <c r="I59" s="4">
        <v>0</v>
      </c>
      <c r="J59" s="56">
        <v>261</v>
      </c>
      <c r="K59" s="4">
        <v>0</v>
      </c>
      <c r="L59" s="56" t="s">
        <v>175</v>
      </c>
      <c r="M59" s="4" t="s">
        <v>176</v>
      </c>
      <c r="N59" s="4" t="s">
        <v>193</v>
      </c>
      <c r="O59" s="4" t="s">
        <v>178</v>
      </c>
    </row>
    <row r="60" spans="2:15">
      <c r="B60" s="20"/>
      <c r="C60" s="20">
        <v>44658</v>
      </c>
      <c r="D60" s="54">
        <v>40009150</v>
      </c>
      <c r="E60" s="55" t="s">
        <v>220</v>
      </c>
      <c r="F60" s="56">
        <v>1</v>
      </c>
      <c r="G60" s="68">
        <v>2940</v>
      </c>
      <c r="H60" s="56" t="s">
        <v>80</v>
      </c>
      <c r="I60" s="4">
        <v>0</v>
      </c>
      <c r="J60" s="56">
        <v>261</v>
      </c>
      <c r="K60" s="4">
        <v>0</v>
      </c>
      <c r="L60" s="56" t="s">
        <v>175</v>
      </c>
      <c r="M60" s="4" t="s">
        <v>176</v>
      </c>
      <c r="N60" s="4" t="s">
        <v>193</v>
      </c>
      <c r="O60" s="4" t="s">
        <v>178</v>
      </c>
    </row>
    <row r="61" spans="2:15">
      <c r="B61" s="20"/>
      <c r="C61" s="20">
        <v>44658</v>
      </c>
      <c r="D61" s="54">
        <v>40009149</v>
      </c>
      <c r="E61" s="55" t="s">
        <v>221</v>
      </c>
      <c r="F61" s="56">
        <v>1</v>
      </c>
      <c r="G61" s="68">
        <v>2592</v>
      </c>
      <c r="H61" s="56" t="s">
        <v>80</v>
      </c>
      <c r="I61" s="4">
        <v>0</v>
      </c>
      <c r="J61" s="56">
        <v>261</v>
      </c>
      <c r="K61" s="4">
        <v>0</v>
      </c>
      <c r="L61" s="56" t="s">
        <v>175</v>
      </c>
      <c r="M61" s="4" t="s">
        <v>176</v>
      </c>
      <c r="N61" s="4" t="s">
        <v>193</v>
      </c>
      <c r="O61" s="4" t="s">
        <v>178</v>
      </c>
    </row>
    <row r="62" spans="2:15">
      <c r="B62" s="20"/>
      <c r="C62" s="20">
        <v>44658</v>
      </c>
      <c r="D62" s="54">
        <v>50271801</v>
      </c>
      <c r="E62" s="55" t="s">
        <v>222</v>
      </c>
      <c r="F62" s="56">
        <v>1</v>
      </c>
      <c r="G62" s="68">
        <v>195000</v>
      </c>
      <c r="H62" s="56" t="s">
        <v>92</v>
      </c>
      <c r="I62" s="4">
        <v>0</v>
      </c>
      <c r="J62" s="56">
        <v>261</v>
      </c>
      <c r="K62" s="4">
        <v>0</v>
      </c>
      <c r="M62" s="4" t="s">
        <v>176</v>
      </c>
      <c r="N62" s="4" t="s">
        <v>193</v>
      </c>
      <c r="O62" s="4" t="s">
        <v>178</v>
      </c>
    </row>
    <row r="63" spans="2:15">
      <c r="B63" s="20"/>
      <c r="C63" s="20">
        <v>44658</v>
      </c>
      <c r="D63" s="54">
        <v>50551883</v>
      </c>
      <c r="E63" s="55" t="s">
        <v>223</v>
      </c>
      <c r="F63" s="56">
        <v>4</v>
      </c>
      <c r="G63" s="68">
        <v>1296000</v>
      </c>
      <c r="H63" s="56" t="s">
        <v>92</v>
      </c>
      <c r="I63" s="4">
        <v>0</v>
      </c>
      <c r="J63" s="56">
        <v>261</v>
      </c>
      <c r="K63" s="4">
        <v>0</v>
      </c>
      <c r="L63" s="56" t="s">
        <v>224</v>
      </c>
      <c r="M63" s="4" t="s">
        <v>176</v>
      </c>
      <c r="N63" s="4" t="s">
        <v>193</v>
      </c>
      <c r="O63" s="4" t="s">
        <v>178</v>
      </c>
    </row>
    <row r="64" spans="2:15">
      <c r="B64" s="20"/>
      <c r="C64" s="20">
        <v>44658</v>
      </c>
      <c r="D64" s="54">
        <v>40007857</v>
      </c>
      <c r="E64" s="55" t="s">
        <v>225</v>
      </c>
      <c r="F64" s="56">
        <v>2</v>
      </c>
      <c r="G64" s="68">
        <v>6549</v>
      </c>
      <c r="H64" s="56" t="s">
        <v>80</v>
      </c>
      <c r="I64" s="4">
        <v>0</v>
      </c>
      <c r="J64" s="56">
        <v>261</v>
      </c>
      <c r="K64" s="4">
        <v>0</v>
      </c>
      <c r="L64" s="56" t="s">
        <v>175</v>
      </c>
      <c r="M64" s="4" t="s">
        <v>176</v>
      </c>
      <c r="N64" s="4" t="s">
        <v>193</v>
      </c>
      <c r="O64" s="4" t="s">
        <v>178</v>
      </c>
    </row>
    <row r="65" spans="2:15">
      <c r="B65" s="20"/>
      <c r="C65" s="20">
        <v>44658</v>
      </c>
      <c r="D65" s="54">
        <v>50144376</v>
      </c>
      <c r="E65" s="55" t="s">
        <v>19</v>
      </c>
      <c r="F65" s="56">
        <v>6</v>
      </c>
      <c r="G65" s="68">
        <v>3000</v>
      </c>
      <c r="H65" s="56" t="s">
        <v>92</v>
      </c>
      <c r="I65" s="4">
        <v>0</v>
      </c>
      <c r="J65" s="56">
        <v>262</v>
      </c>
      <c r="K65" s="4">
        <v>0</v>
      </c>
      <c r="L65" s="56" t="s">
        <v>226</v>
      </c>
      <c r="M65" s="4" t="s">
        <v>176</v>
      </c>
      <c r="N65" s="4" t="s">
        <v>177</v>
      </c>
      <c r="O65" s="4" t="s">
        <v>178</v>
      </c>
    </row>
    <row r="66" spans="2:15">
      <c r="B66" s="20"/>
      <c r="C66" s="20">
        <v>44658</v>
      </c>
      <c r="D66" s="54">
        <v>50534881</v>
      </c>
      <c r="E66" s="55" t="s">
        <v>227</v>
      </c>
      <c r="F66" s="56">
        <v>14</v>
      </c>
      <c r="G66" s="68">
        <v>126000</v>
      </c>
      <c r="H66" s="56" t="s">
        <v>92</v>
      </c>
      <c r="I66" s="4">
        <v>0</v>
      </c>
      <c r="J66" s="56">
        <v>262</v>
      </c>
      <c r="K66" s="4">
        <v>0</v>
      </c>
      <c r="L66" s="56" t="s">
        <v>228</v>
      </c>
      <c r="M66" s="4" t="s">
        <v>176</v>
      </c>
      <c r="N66" s="4" t="s">
        <v>177</v>
      </c>
      <c r="O66" s="4" t="s">
        <v>178</v>
      </c>
    </row>
    <row r="67" spans="2:15">
      <c r="B67" s="20"/>
      <c r="C67" s="20">
        <v>44658</v>
      </c>
      <c r="D67" s="54">
        <v>40004808</v>
      </c>
      <c r="E67" s="55" t="s">
        <v>187</v>
      </c>
      <c r="F67" s="56">
        <v>18</v>
      </c>
      <c r="G67" s="68">
        <v>7644</v>
      </c>
      <c r="H67" s="56" t="s">
        <v>80</v>
      </c>
      <c r="I67" s="4">
        <v>0</v>
      </c>
      <c r="J67" s="56">
        <v>1802</v>
      </c>
      <c r="K67" s="4">
        <v>0</v>
      </c>
      <c r="L67" s="56" t="s">
        <v>200</v>
      </c>
      <c r="M67" s="4" t="s">
        <v>176</v>
      </c>
      <c r="N67" s="4" t="s">
        <v>181</v>
      </c>
      <c r="O67" s="4" t="s">
        <v>178</v>
      </c>
    </row>
    <row r="68" spans="2:15">
      <c r="B68" s="20"/>
      <c r="C68" s="20">
        <v>44658</v>
      </c>
      <c r="D68" s="54">
        <v>22222</v>
      </c>
      <c r="E68" s="55" t="s">
        <v>229</v>
      </c>
      <c r="F68" s="56">
        <v>15</v>
      </c>
      <c r="G68" s="68">
        <v>15</v>
      </c>
      <c r="H68" s="56" t="s">
        <v>92</v>
      </c>
      <c r="I68" s="4">
        <v>0</v>
      </c>
      <c r="J68" s="56">
        <v>1802</v>
      </c>
      <c r="K68" s="4">
        <v>0</v>
      </c>
      <c r="M68" s="4" t="s">
        <v>176</v>
      </c>
      <c r="N68" s="4" t="s">
        <v>181</v>
      </c>
      <c r="O68" s="4" t="s">
        <v>178</v>
      </c>
    </row>
    <row r="69" spans="2:15">
      <c r="B69" s="20"/>
      <c r="C69" s="20">
        <v>44658</v>
      </c>
      <c r="D69" s="54">
        <v>50145028</v>
      </c>
      <c r="E69" s="55" t="s">
        <v>23</v>
      </c>
      <c r="F69" s="56">
        <v>1</v>
      </c>
      <c r="G69" s="68">
        <v>216</v>
      </c>
      <c r="H69" s="56" t="s">
        <v>92</v>
      </c>
      <c r="I69" s="4">
        <v>0</v>
      </c>
      <c r="J69" s="56">
        <v>1802</v>
      </c>
      <c r="K69" s="4">
        <v>0</v>
      </c>
      <c r="M69" s="4" t="s">
        <v>176</v>
      </c>
      <c r="N69" s="4" t="s">
        <v>181</v>
      </c>
      <c r="O69" s="4" t="s">
        <v>178</v>
      </c>
    </row>
    <row r="70" spans="2:15">
      <c r="B70" s="20"/>
      <c r="C70" s="20">
        <v>44659</v>
      </c>
      <c r="D70" s="54">
        <v>50470190</v>
      </c>
      <c r="E70" s="55" t="s">
        <v>12</v>
      </c>
      <c r="F70" s="56">
        <v>16</v>
      </c>
      <c r="G70" s="68">
        <v>4636800</v>
      </c>
      <c r="H70" s="56" t="s">
        <v>92</v>
      </c>
      <c r="I70" s="4">
        <v>0</v>
      </c>
      <c r="J70" s="56">
        <v>263</v>
      </c>
      <c r="K70" s="4">
        <v>0</v>
      </c>
      <c r="L70" s="56" t="s">
        <v>230</v>
      </c>
      <c r="M70" s="4" t="s">
        <v>176</v>
      </c>
      <c r="N70" s="4" t="s">
        <v>193</v>
      </c>
      <c r="O70" s="4" t="s">
        <v>178</v>
      </c>
    </row>
    <row r="71" spans="2:15">
      <c r="B71" s="20"/>
      <c r="C71" s="20">
        <v>44659</v>
      </c>
      <c r="D71" s="54">
        <v>50534881</v>
      </c>
      <c r="E71" s="55" t="s">
        <v>227</v>
      </c>
      <c r="F71" s="56">
        <v>18</v>
      </c>
      <c r="G71" s="68">
        <v>155400</v>
      </c>
      <c r="H71" s="56" t="s">
        <v>92</v>
      </c>
      <c r="I71" s="4">
        <v>0</v>
      </c>
      <c r="J71" s="56">
        <v>265</v>
      </c>
      <c r="K71" s="4">
        <v>0</v>
      </c>
      <c r="L71" s="56" t="s">
        <v>228</v>
      </c>
      <c r="M71" s="4" t="s">
        <v>176</v>
      </c>
      <c r="N71" s="4" t="s">
        <v>181</v>
      </c>
      <c r="O71" s="4" t="s">
        <v>178</v>
      </c>
    </row>
    <row r="72" spans="2:15">
      <c r="B72" s="20"/>
      <c r="C72" s="20">
        <v>44659</v>
      </c>
      <c r="D72" s="54">
        <v>40009148</v>
      </c>
      <c r="E72" s="55" t="s">
        <v>218</v>
      </c>
      <c r="F72" s="56">
        <v>10</v>
      </c>
      <c r="G72" s="68">
        <v>7560</v>
      </c>
      <c r="H72" s="56" t="s">
        <v>80</v>
      </c>
      <c r="I72" s="4">
        <v>0</v>
      </c>
      <c r="J72" s="56">
        <v>266</v>
      </c>
      <c r="K72" s="4">
        <v>0</v>
      </c>
      <c r="L72" s="56" t="s">
        <v>175</v>
      </c>
      <c r="M72" s="4" t="s">
        <v>176</v>
      </c>
      <c r="N72" s="4" t="s">
        <v>177</v>
      </c>
      <c r="O72" s="4" t="s">
        <v>178</v>
      </c>
    </row>
    <row r="73" spans="2:15">
      <c r="B73" s="20"/>
      <c r="C73" s="20">
        <v>44659</v>
      </c>
      <c r="D73" s="54">
        <v>50272278</v>
      </c>
      <c r="E73" s="55" t="s">
        <v>21</v>
      </c>
      <c r="F73" s="56">
        <v>6</v>
      </c>
      <c r="G73" s="68">
        <v>3000</v>
      </c>
      <c r="H73" s="56" t="s">
        <v>92</v>
      </c>
      <c r="I73" s="4">
        <v>0</v>
      </c>
      <c r="J73" s="56">
        <v>266</v>
      </c>
      <c r="K73" s="4">
        <v>0</v>
      </c>
      <c r="L73" s="56" t="s">
        <v>231</v>
      </c>
      <c r="M73" s="4" t="s">
        <v>176</v>
      </c>
      <c r="N73" s="4" t="s">
        <v>177</v>
      </c>
      <c r="O73" s="4" t="s">
        <v>178</v>
      </c>
    </row>
    <row r="74" spans="2:15">
      <c r="B74" s="20"/>
      <c r="C74" s="20">
        <v>44659</v>
      </c>
      <c r="D74" s="54">
        <v>50486295</v>
      </c>
      <c r="E74" s="55" t="s">
        <v>232</v>
      </c>
      <c r="F74" s="56">
        <v>1</v>
      </c>
      <c r="G74" s="68">
        <v>65</v>
      </c>
      <c r="H74" s="56" t="s">
        <v>82</v>
      </c>
      <c r="I74" s="4">
        <v>0</v>
      </c>
      <c r="J74" s="56">
        <v>266</v>
      </c>
      <c r="K74" s="4">
        <v>0</v>
      </c>
      <c r="M74" s="4" t="s">
        <v>176</v>
      </c>
      <c r="N74" s="4" t="s">
        <v>177</v>
      </c>
      <c r="O74" s="4" t="s">
        <v>178</v>
      </c>
    </row>
    <row r="75" spans="2:15">
      <c r="B75" s="20"/>
      <c r="C75" s="20">
        <v>44659</v>
      </c>
      <c r="D75" s="54">
        <v>50486295</v>
      </c>
      <c r="E75" s="55" t="s">
        <v>232</v>
      </c>
      <c r="F75" s="56">
        <v>3</v>
      </c>
      <c r="G75" s="68">
        <v>934.004</v>
      </c>
      <c r="H75" s="56" t="s">
        <v>82</v>
      </c>
      <c r="I75" s="4">
        <v>0</v>
      </c>
      <c r="J75" s="56">
        <v>266</v>
      </c>
      <c r="K75" s="4">
        <v>0</v>
      </c>
      <c r="L75" s="56" t="s">
        <v>233</v>
      </c>
      <c r="M75" s="4" t="s">
        <v>176</v>
      </c>
      <c r="N75" s="4" t="s">
        <v>177</v>
      </c>
      <c r="O75" s="4" t="s">
        <v>178</v>
      </c>
    </row>
    <row r="76" spans="2:15">
      <c r="B76" s="20"/>
      <c r="C76" s="20">
        <v>44659</v>
      </c>
      <c r="D76" s="54">
        <v>40004808</v>
      </c>
      <c r="E76" s="55" t="s">
        <v>187</v>
      </c>
      <c r="F76" s="56">
        <v>11</v>
      </c>
      <c r="G76" s="68">
        <v>3234</v>
      </c>
      <c r="H76" s="56" t="s">
        <v>80</v>
      </c>
      <c r="I76" s="4">
        <v>0</v>
      </c>
      <c r="J76" s="56">
        <v>1805</v>
      </c>
      <c r="K76" s="4">
        <v>0</v>
      </c>
      <c r="L76" s="56" t="s">
        <v>175</v>
      </c>
      <c r="M76" s="4" t="s">
        <v>176</v>
      </c>
      <c r="N76" s="4" t="s">
        <v>193</v>
      </c>
      <c r="O76" s="4" t="s">
        <v>178</v>
      </c>
    </row>
    <row r="77" spans="2:15">
      <c r="B77" s="20"/>
      <c r="C77" s="20">
        <v>44659</v>
      </c>
      <c r="D77" s="54">
        <v>40009544</v>
      </c>
      <c r="E77" s="55" t="s">
        <v>179</v>
      </c>
      <c r="F77" s="56">
        <v>7</v>
      </c>
      <c r="G77" s="68">
        <v>20580</v>
      </c>
      <c r="H77" s="56" t="s">
        <v>80</v>
      </c>
      <c r="I77" s="4">
        <v>0</v>
      </c>
      <c r="J77" s="56">
        <v>1805</v>
      </c>
      <c r="K77" s="4">
        <v>0</v>
      </c>
      <c r="L77" s="56" t="s">
        <v>175</v>
      </c>
      <c r="M77" s="4" t="s">
        <v>176</v>
      </c>
      <c r="N77" s="4" t="s">
        <v>193</v>
      </c>
      <c r="O77" s="4" t="s">
        <v>178</v>
      </c>
    </row>
    <row r="78" spans="2:15">
      <c r="B78" s="20"/>
      <c r="C78" s="20">
        <v>44659</v>
      </c>
      <c r="D78" s="54">
        <v>40009546</v>
      </c>
      <c r="E78" s="55" t="s">
        <v>174</v>
      </c>
      <c r="F78" s="56">
        <v>4</v>
      </c>
      <c r="G78" s="68">
        <v>3024</v>
      </c>
      <c r="H78" s="56" t="s">
        <v>80</v>
      </c>
      <c r="I78" s="4">
        <v>0</v>
      </c>
      <c r="J78" s="56">
        <v>1805</v>
      </c>
      <c r="K78" s="4">
        <v>0</v>
      </c>
      <c r="L78" s="56" t="s">
        <v>175</v>
      </c>
      <c r="M78" s="4" t="s">
        <v>176</v>
      </c>
      <c r="N78" s="4" t="s">
        <v>193</v>
      </c>
      <c r="O78" s="4" t="s">
        <v>178</v>
      </c>
    </row>
    <row r="79" spans="2:15">
      <c r="B79" s="20"/>
      <c r="C79" s="20">
        <v>44659</v>
      </c>
      <c r="D79" s="54">
        <v>50144200</v>
      </c>
      <c r="E79" s="55" t="s">
        <v>184</v>
      </c>
      <c r="F79" s="56">
        <v>11</v>
      </c>
      <c r="G79" s="68">
        <v>2904000</v>
      </c>
      <c r="H79" s="56" t="s">
        <v>92</v>
      </c>
      <c r="I79" s="4">
        <v>0</v>
      </c>
      <c r="J79" s="56">
        <v>1806</v>
      </c>
      <c r="K79" s="4">
        <v>0</v>
      </c>
      <c r="L79" s="56" t="s">
        <v>185</v>
      </c>
      <c r="M79" s="4" t="s">
        <v>176</v>
      </c>
      <c r="N79" s="4" t="s">
        <v>193</v>
      </c>
      <c r="O79" s="4" t="s">
        <v>178</v>
      </c>
    </row>
    <row r="80" spans="2:15">
      <c r="B80" s="20"/>
      <c r="C80" s="20">
        <v>44659</v>
      </c>
      <c r="D80" s="54">
        <v>50272278</v>
      </c>
      <c r="E80" s="55" t="s">
        <v>21</v>
      </c>
      <c r="F80" s="56">
        <v>3</v>
      </c>
      <c r="G80" s="68">
        <v>1500</v>
      </c>
      <c r="H80" s="56" t="s">
        <v>92</v>
      </c>
      <c r="I80" s="4">
        <v>0</v>
      </c>
      <c r="J80" s="56">
        <v>1806</v>
      </c>
      <c r="K80" s="4">
        <v>0</v>
      </c>
      <c r="L80" s="56" t="s">
        <v>234</v>
      </c>
      <c r="M80" s="4" t="s">
        <v>176</v>
      </c>
      <c r="N80" s="4" t="s">
        <v>193</v>
      </c>
      <c r="O80" s="4" t="s">
        <v>178</v>
      </c>
    </row>
    <row r="81" spans="2:15">
      <c r="B81" s="20"/>
      <c r="C81" s="20">
        <v>44659</v>
      </c>
      <c r="D81" s="54">
        <v>40004808</v>
      </c>
      <c r="E81" s="55" t="s">
        <v>187</v>
      </c>
      <c r="F81" s="56">
        <v>8</v>
      </c>
      <c r="G81" s="68">
        <v>2352</v>
      </c>
      <c r="H81" s="56" t="s">
        <v>80</v>
      </c>
      <c r="I81" s="4">
        <v>0</v>
      </c>
      <c r="J81" s="56">
        <v>1806</v>
      </c>
      <c r="K81" s="4">
        <v>0</v>
      </c>
      <c r="L81" s="56" t="s">
        <v>200</v>
      </c>
      <c r="M81" s="4" t="s">
        <v>176</v>
      </c>
      <c r="N81" s="4" t="s">
        <v>193</v>
      </c>
      <c r="O81" s="4" t="s">
        <v>178</v>
      </c>
    </row>
    <row r="82" spans="2:15">
      <c r="B82" s="20"/>
      <c r="C82" s="20">
        <v>44659</v>
      </c>
      <c r="D82" s="54">
        <v>50141786</v>
      </c>
      <c r="E82" s="55" t="s">
        <v>188</v>
      </c>
      <c r="F82" s="56">
        <v>13</v>
      </c>
      <c r="G82" s="68">
        <v>7280</v>
      </c>
      <c r="H82" s="56" t="s">
        <v>82</v>
      </c>
      <c r="I82" s="4">
        <v>0</v>
      </c>
      <c r="J82" s="56">
        <v>1807</v>
      </c>
      <c r="K82" s="4">
        <v>0</v>
      </c>
      <c r="L82" s="56" t="s">
        <v>189</v>
      </c>
      <c r="M82" s="4" t="s">
        <v>235</v>
      </c>
      <c r="N82" s="4" t="s">
        <v>236</v>
      </c>
      <c r="O82" s="4" t="s">
        <v>178</v>
      </c>
    </row>
    <row r="83" spans="2:15">
      <c r="B83" s="20"/>
      <c r="C83" s="20">
        <v>44659</v>
      </c>
      <c r="D83" s="54">
        <v>50272278</v>
      </c>
      <c r="E83" s="55" t="s">
        <v>21</v>
      </c>
      <c r="F83" s="56">
        <v>11</v>
      </c>
      <c r="G83" s="68">
        <v>5500</v>
      </c>
      <c r="H83" s="56" t="s">
        <v>92</v>
      </c>
      <c r="I83" s="4">
        <v>0</v>
      </c>
      <c r="J83" s="56">
        <v>1807</v>
      </c>
      <c r="K83" s="4">
        <v>0</v>
      </c>
      <c r="L83" s="56" t="s">
        <v>234</v>
      </c>
      <c r="M83" s="4" t="s">
        <v>235</v>
      </c>
      <c r="N83" s="4" t="s">
        <v>236</v>
      </c>
      <c r="O83" s="4" t="s">
        <v>178</v>
      </c>
    </row>
    <row r="84" spans="2:15">
      <c r="B84" s="20"/>
      <c r="C84" s="20">
        <v>44662</v>
      </c>
      <c r="D84" s="54">
        <v>50534881</v>
      </c>
      <c r="E84" s="55" t="s">
        <v>227</v>
      </c>
      <c r="F84" s="56">
        <v>18</v>
      </c>
      <c r="G84" s="68">
        <v>162000</v>
      </c>
      <c r="H84" s="56" t="s">
        <v>92</v>
      </c>
      <c r="I84" s="4">
        <v>0</v>
      </c>
      <c r="J84" s="56">
        <v>267</v>
      </c>
      <c r="K84" s="4">
        <v>0</v>
      </c>
      <c r="L84" s="56" t="s">
        <v>228</v>
      </c>
      <c r="M84" s="4" t="s">
        <v>176</v>
      </c>
      <c r="N84" s="4" t="s">
        <v>181</v>
      </c>
      <c r="O84" s="4" t="s">
        <v>178</v>
      </c>
    </row>
    <row r="85" spans="2:15">
      <c r="B85" s="20"/>
      <c r="C85" s="20">
        <v>44662</v>
      </c>
      <c r="D85" s="54">
        <v>50449101</v>
      </c>
      <c r="E85" s="55" t="s">
        <v>237</v>
      </c>
      <c r="F85" s="56">
        <v>16</v>
      </c>
      <c r="G85" s="68">
        <v>4636800</v>
      </c>
      <c r="H85" s="56" t="s">
        <v>92</v>
      </c>
      <c r="I85" s="4">
        <v>0</v>
      </c>
      <c r="J85" s="56">
        <v>268</v>
      </c>
      <c r="K85" s="4">
        <v>0</v>
      </c>
      <c r="L85" s="56" t="s">
        <v>230</v>
      </c>
      <c r="M85" s="4" t="s">
        <v>176</v>
      </c>
      <c r="N85" s="4" t="s">
        <v>193</v>
      </c>
      <c r="O85" s="4" t="s">
        <v>178</v>
      </c>
    </row>
    <row r="86" spans="2:15">
      <c r="B86" s="20"/>
      <c r="C86" s="20">
        <v>44662</v>
      </c>
      <c r="D86" s="54">
        <v>50534881</v>
      </c>
      <c r="E86" s="55" t="s">
        <v>227</v>
      </c>
      <c r="F86" s="56">
        <v>18</v>
      </c>
      <c r="G86" s="68">
        <v>162000</v>
      </c>
      <c r="H86" s="56" t="s">
        <v>92</v>
      </c>
      <c r="I86" s="4">
        <v>0</v>
      </c>
      <c r="J86" s="56">
        <v>269</v>
      </c>
      <c r="K86" s="4">
        <v>0</v>
      </c>
      <c r="L86" s="56" t="s">
        <v>228</v>
      </c>
      <c r="M86" s="4" t="s">
        <v>238</v>
      </c>
      <c r="N86" s="4" t="s">
        <v>239</v>
      </c>
      <c r="O86" s="4" t="s">
        <v>178</v>
      </c>
    </row>
    <row r="87" spans="2:15">
      <c r="B87" s="20"/>
      <c r="C87" s="20">
        <v>44662</v>
      </c>
      <c r="D87" s="54">
        <v>50534881</v>
      </c>
      <c r="E87" s="55" t="s">
        <v>227</v>
      </c>
      <c r="F87" s="56">
        <v>18</v>
      </c>
      <c r="G87" s="68">
        <v>162000</v>
      </c>
      <c r="H87" s="56" t="s">
        <v>92</v>
      </c>
      <c r="I87" s="4">
        <v>0</v>
      </c>
      <c r="J87" s="56">
        <v>270</v>
      </c>
      <c r="K87" s="4">
        <v>0</v>
      </c>
      <c r="L87" s="56" t="s">
        <v>228</v>
      </c>
      <c r="M87" s="4" t="s">
        <v>176</v>
      </c>
      <c r="N87" s="4" t="s">
        <v>181</v>
      </c>
      <c r="O87" s="4" t="s">
        <v>178</v>
      </c>
    </row>
    <row r="88" spans="2:15">
      <c r="B88" s="20"/>
      <c r="C88" s="20">
        <v>44662</v>
      </c>
      <c r="D88" s="54">
        <v>50470190</v>
      </c>
      <c r="E88" s="55" t="s">
        <v>12</v>
      </c>
      <c r="F88" s="56">
        <v>16</v>
      </c>
      <c r="G88" s="68">
        <v>4636800</v>
      </c>
      <c r="H88" s="56" t="s">
        <v>92</v>
      </c>
      <c r="I88" s="4">
        <v>0</v>
      </c>
      <c r="J88" s="56">
        <v>271</v>
      </c>
      <c r="K88" s="4">
        <v>0</v>
      </c>
      <c r="L88" s="56" t="s">
        <v>230</v>
      </c>
      <c r="M88" s="4" t="s">
        <v>176</v>
      </c>
      <c r="N88" s="4" t="s">
        <v>193</v>
      </c>
      <c r="O88" s="4" t="s">
        <v>178</v>
      </c>
    </row>
    <row r="89" spans="2:15">
      <c r="B89" s="20"/>
      <c r="C89" s="20">
        <v>44662</v>
      </c>
      <c r="D89" s="54">
        <v>40009544</v>
      </c>
      <c r="E89" s="55" t="s">
        <v>179</v>
      </c>
      <c r="F89" s="56">
        <v>1</v>
      </c>
      <c r="G89" s="68">
        <v>140</v>
      </c>
      <c r="H89" s="56" t="s">
        <v>80</v>
      </c>
      <c r="I89" s="4">
        <v>0</v>
      </c>
      <c r="J89" s="56">
        <v>272</v>
      </c>
      <c r="K89" s="4">
        <v>0</v>
      </c>
      <c r="L89" s="56" t="s">
        <v>200</v>
      </c>
      <c r="M89" s="4" t="s">
        <v>238</v>
      </c>
      <c r="N89" s="4" t="s">
        <v>240</v>
      </c>
      <c r="O89" s="4" t="s">
        <v>178</v>
      </c>
    </row>
    <row r="90" spans="2:15">
      <c r="B90" s="20"/>
      <c r="C90" s="20">
        <v>44662</v>
      </c>
      <c r="D90" s="54">
        <v>50272278</v>
      </c>
      <c r="E90" s="55" t="s">
        <v>21</v>
      </c>
      <c r="F90" s="56">
        <v>1</v>
      </c>
      <c r="G90" s="68">
        <v>500</v>
      </c>
      <c r="H90" s="56" t="s">
        <v>92</v>
      </c>
      <c r="I90" s="4">
        <v>0</v>
      </c>
      <c r="J90" s="56">
        <v>272</v>
      </c>
      <c r="K90" s="4">
        <v>0</v>
      </c>
      <c r="L90" s="56" t="s">
        <v>201</v>
      </c>
      <c r="M90" s="4" t="s">
        <v>238</v>
      </c>
      <c r="N90" s="4" t="s">
        <v>240</v>
      </c>
      <c r="O90" s="4" t="s">
        <v>178</v>
      </c>
    </row>
    <row r="91" spans="2:15">
      <c r="B91" s="20"/>
      <c r="C91" s="20">
        <v>44662</v>
      </c>
      <c r="D91" s="54">
        <v>50145205</v>
      </c>
      <c r="E91" s="55" t="s">
        <v>241</v>
      </c>
      <c r="F91" s="56">
        <v>10</v>
      </c>
      <c r="G91" s="68">
        <v>204330</v>
      </c>
      <c r="H91" s="56" t="s">
        <v>92</v>
      </c>
      <c r="I91" s="4">
        <v>0</v>
      </c>
      <c r="J91" s="56">
        <v>272</v>
      </c>
      <c r="K91" s="4">
        <v>0</v>
      </c>
      <c r="L91" s="56" t="s">
        <v>228</v>
      </c>
      <c r="M91" s="4" t="s">
        <v>238</v>
      </c>
      <c r="N91" s="4" t="s">
        <v>240</v>
      </c>
      <c r="O91" s="4" t="s">
        <v>178</v>
      </c>
    </row>
    <row r="92" spans="2:15">
      <c r="B92" s="20"/>
      <c r="C92" s="20">
        <v>44662</v>
      </c>
      <c r="D92" s="54">
        <v>50534881</v>
      </c>
      <c r="E92" s="55" t="s">
        <v>227</v>
      </c>
      <c r="F92" s="56">
        <v>8</v>
      </c>
      <c r="G92" s="68">
        <v>67200</v>
      </c>
      <c r="H92" s="56" t="s">
        <v>92</v>
      </c>
      <c r="I92" s="4">
        <v>0</v>
      </c>
      <c r="J92" s="56">
        <v>272</v>
      </c>
      <c r="K92" s="4">
        <v>0</v>
      </c>
      <c r="L92" s="56" t="s">
        <v>228</v>
      </c>
      <c r="M92" s="4" t="s">
        <v>238</v>
      </c>
      <c r="N92" s="4" t="s">
        <v>240</v>
      </c>
      <c r="O92" s="4" t="s">
        <v>178</v>
      </c>
    </row>
    <row r="93" spans="2:15">
      <c r="B93" s="20"/>
      <c r="C93" s="20">
        <v>44663</v>
      </c>
      <c r="D93" s="54">
        <v>50510331</v>
      </c>
      <c r="E93" s="55" t="s">
        <v>242</v>
      </c>
      <c r="F93" s="56">
        <v>4</v>
      </c>
      <c r="G93" s="68">
        <v>3276.25</v>
      </c>
      <c r="H93" s="56" t="s">
        <v>82</v>
      </c>
      <c r="I93" s="4">
        <v>0</v>
      </c>
      <c r="J93" s="56">
        <v>273</v>
      </c>
      <c r="K93" s="4">
        <v>0</v>
      </c>
      <c r="L93" s="56" t="s">
        <v>243</v>
      </c>
      <c r="M93" s="4" t="s">
        <v>238</v>
      </c>
      <c r="N93" s="4" t="s">
        <v>239</v>
      </c>
      <c r="O93" s="4" t="s">
        <v>178</v>
      </c>
    </row>
    <row r="94" spans="2:15">
      <c r="B94" s="20"/>
      <c r="C94" s="20">
        <v>44663</v>
      </c>
      <c r="D94" s="54">
        <v>50522171</v>
      </c>
      <c r="E94" s="55" t="s">
        <v>203</v>
      </c>
      <c r="F94" s="56">
        <v>3</v>
      </c>
      <c r="G94" s="68">
        <v>1244.1</v>
      </c>
      <c r="H94" s="56" t="s">
        <v>82</v>
      </c>
      <c r="I94" s="4">
        <v>0</v>
      </c>
      <c r="J94" s="56">
        <v>273</v>
      </c>
      <c r="K94" s="4">
        <v>0</v>
      </c>
      <c r="L94" s="56" t="s">
        <v>243</v>
      </c>
      <c r="M94" s="4" t="s">
        <v>238</v>
      </c>
      <c r="N94" s="4" t="s">
        <v>239</v>
      </c>
      <c r="O94" s="4" t="s">
        <v>178</v>
      </c>
    </row>
    <row r="95" spans="2:15">
      <c r="B95" s="20"/>
      <c r="C95" s="20">
        <v>44663</v>
      </c>
      <c r="D95" s="54">
        <v>50145205</v>
      </c>
      <c r="E95" s="55" t="s">
        <v>241</v>
      </c>
      <c r="F95" s="56">
        <v>9</v>
      </c>
      <c r="G95" s="68">
        <v>198450</v>
      </c>
      <c r="H95" s="56" t="s">
        <v>92</v>
      </c>
      <c r="I95" s="4">
        <v>0</v>
      </c>
      <c r="J95" s="56">
        <v>273</v>
      </c>
      <c r="K95" s="4">
        <v>0</v>
      </c>
      <c r="L95" s="56" t="s">
        <v>243</v>
      </c>
      <c r="M95" s="4" t="s">
        <v>238</v>
      </c>
      <c r="N95" s="4" t="s">
        <v>239</v>
      </c>
      <c r="O95" s="4" t="s">
        <v>178</v>
      </c>
    </row>
    <row r="96" spans="2:15">
      <c r="B96" s="20"/>
      <c r="C96" s="20">
        <v>44663</v>
      </c>
      <c r="D96" s="54">
        <v>50550701</v>
      </c>
      <c r="E96" s="55" t="s">
        <v>244</v>
      </c>
      <c r="F96" s="56">
        <v>2</v>
      </c>
      <c r="G96" s="68">
        <v>1442.35</v>
      </c>
      <c r="H96" s="56" t="s">
        <v>82</v>
      </c>
      <c r="I96" s="4">
        <v>0</v>
      </c>
      <c r="J96" s="56">
        <v>273</v>
      </c>
      <c r="K96" s="4">
        <v>0</v>
      </c>
      <c r="L96" s="56" t="s">
        <v>243</v>
      </c>
      <c r="M96" s="4" t="s">
        <v>238</v>
      </c>
      <c r="N96" s="4" t="s">
        <v>239</v>
      </c>
      <c r="O96" s="4" t="s">
        <v>178</v>
      </c>
    </row>
    <row r="97" spans="2:15">
      <c r="B97" s="20"/>
      <c r="C97" s="20">
        <v>44663</v>
      </c>
      <c r="D97" s="54">
        <v>50337816</v>
      </c>
      <c r="E97" s="55" t="s">
        <v>245</v>
      </c>
      <c r="F97" s="56">
        <v>4</v>
      </c>
      <c r="G97" s="68">
        <v>1056</v>
      </c>
      <c r="H97" s="56" t="s">
        <v>80</v>
      </c>
      <c r="I97" s="4">
        <v>0</v>
      </c>
      <c r="J97" s="56">
        <v>274</v>
      </c>
      <c r="K97" s="4">
        <v>0</v>
      </c>
      <c r="L97" s="56" t="s">
        <v>185</v>
      </c>
      <c r="M97" s="4" t="s">
        <v>176</v>
      </c>
      <c r="N97" s="4" t="s">
        <v>193</v>
      </c>
      <c r="O97" s="4" t="s">
        <v>178</v>
      </c>
    </row>
    <row r="98" spans="2:15">
      <c r="B98" s="20"/>
      <c r="C98" s="20">
        <v>44663</v>
      </c>
      <c r="D98" s="54">
        <v>50340252</v>
      </c>
      <c r="E98" s="55" t="s">
        <v>246</v>
      </c>
      <c r="F98" s="56">
        <v>3</v>
      </c>
      <c r="G98" s="68">
        <v>1309000</v>
      </c>
      <c r="H98" s="56" t="s">
        <v>92</v>
      </c>
      <c r="I98" s="4">
        <v>0</v>
      </c>
      <c r="J98" s="56">
        <v>274</v>
      </c>
      <c r="K98" s="4">
        <v>0</v>
      </c>
      <c r="L98" s="56" t="s">
        <v>243</v>
      </c>
      <c r="M98" s="4" t="s">
        <v>176</v>
      </c>
      <c r="N98" s="4" t="s">
        <v>193</v>
      </c>
      <c r="O98" s="4" t="s">
        <v>178</v>
      </c>
    </row>
    <row r="99" spans="2:15">
      <c r="B99" s="20"/>
      <c r="C99" s="20">
        <v>44663</v>
      </c>
      <c r="D99" s="54">
        <v>50534881</v>
      </c>
      <c r="E99" s="55" t="s">
        <v>227</v>
      </c>
      <c r="F99" s="56">
        <v>3</v>
      </c>
      <c r="G99" s="68">
        <v>25200</v>
      </c>
      <c r="H99" s="56" t="s">
        <v>92</v>
      </c>
      <c r="I99" s="4">
        <v>0</v>
      </c>
      <c r="J99" s="56">
        <v>274</v>
      </c>
      <c r="K99" s="4">
        <v>0</v>
      </c>
      <c r="L99" s="56" t="s">
        <v>228</v>
      </c>
      <c r="M99" s="4" t="s">
        <v>176</v>
      </c>
      <c r="N99" s="4" t="s">
        <v>193</v>
      </c>
      <c r="O99" s="4" t="s">
        <v>178</v>
      </c>
    </row>
    <row r="100" spans="2:15">
      <c r="B100" s="20"/>
      <c r="C100" s="20">
        <v>44663</v>
      </c>
      <c r="D100" s="54">
        <v>50550701</v>
      </c>
      <c r="E100" s="55" t="s">
        <v>244</v>
      </c>
      <c r="F100" s="56">
        <v>2</v>
      </c>
      <c r="G100" s="68">
        <v>1440.85</v>
      </c>
      <c r="H100" s="56" t="s">
        <v>82</v>
      </c>
      <c r="I100" s="4">
        <v>0</v>
      </c>
      <c r="J100" s="56">
        <v>274</v>
      </c>
      <c r="K100" s="4">
        <v>0</v>
      </c>
      <c r="L100" s="56" t="s">
        <v>243</v>
      </c>
      <c r="M100" s="4" t="s">
        <v>176</v>
      </c>
      <c r="N100" s="4" t="s">
        <v>193</v>
      </c>
      <c r="O100" s="4" t="s">
        <v>178</v>
      </c>
    </row>
    <row r="101" spans="2:15">
      <c r="B101" s="20"/>
      <c r="C101" s="20">
        <v>44663</v>
      </c>
      <c r="D101" s="54">
        <v>50501720</v>
      </c>
      <c r="E101" s="55" t="s">
        <v>247</v>
      </c>
      <c r="F101" s="56">
        <v>5</v>
      </c>
      <c r="G101" s="68">
        <v>3166.7</v>
      </c>
      <c r="H101" s="56" t="s">
        <v>82</v>
      </c>
      <c r="I101" s="4">
        <v>0</v>
      </c>
      <c r="J101" s="56">
        <v>274</v>
      </c>
      <c r="K101" s="4">
        <v>0</v>
      </c>
      <c r="L101" s="56" t="s">
        <v>243</v>
      </c>
      <c r="M101" s="4" t="s">
        <v>176</v>
      </c>
      <c r="N101" s="4" t="s">
        <v>193</v>
      </c>
      <c r="O101" s="4" t="s">
        <v>178</v>
      </c>
    </row>
    <row r="102" spans="2:15">
      <c r="B102" s="20"/>
      <c r="C102" s="20">
        <v>44663</v>
      </c>
      <c r="D102" s="54">
        <v>50493262</v>
      </c>
      <c r="E102" s="55" t="s">
        <v>248</v>
      </c>
      <c r="F102" s="56">
        <v>2</v>
      </c>
      <c r="G102" s="68">
        <v>1362.8</v>
      </c>
      <c r="H102" s="56" t="s">
        <v>82</v>
      </c>
      <c r="I102" s="4">
        <v>0</v>
      </c>
      <c r="J102" s="56">
        <v>274</v>
      </c>
      <c r="K102" s="4">
        <v>0</v>
      </c>
      <c r="L102" s="56" t="s">
        <v>243</v>
      </c>
      <c r="M102" s="4" t="s">
        <v>176</v>
      </c>
      <c r="N102" s="4" t="s">
        <v>193</v>
      </c>
      <c r="O102" s="4" t="s">
        <v>178</v>
      </c>
    </row>
    <row r="103" spans="2:15">
      <c r="B103" s="20"/>
      <c r="C103" s="20">
        <v>44663</v>
      </c>
      <c r="D103" s="54">
        <v>50145205</v>
      </c>
      <c r="E103" s="55" t="s">
        <v>241</v>
      </c>
      <c r="F103" s="56">
        <v>3</v>
      </c>
      <c r="G103" s="68">
        <v>66150</v>
      </c>
      <c r="H103" s="56" t="s">
        <v>92</v>
      </c>
      <c r="I103" s="4">
        <v>0</v>
      </c>
      <c r="J103" s="56">
        <v>274</v>
      </c>
      <c r="K103" s="4">
        <v>0</v>
      </c>
      <c r="L103" s="56" t="s">
        <v>228</v>
      </c>
      <c r="M103" s="4" t="s">
        <v>176</v>
      </c>
      <c r="N103" s="4" t="s">
        <v>193</v>
      </c>
      <c r="O103" s="4" t="s">
        <v>178</v>
      </c>
    </row>
    <row r="104" spans="2:15">
      <c r="B104" s="20"/>
      <c r="C104" s="20">
        <v>44663</v>
      </c>
      <c r="D104" s="54">
        <v>50534881</v>
      </c>
      <c r="E104" s="55" t="s">
        <v>227</v>
      </c>
      <c r="F104" s="56">
        <v>6</v>
      </c>
      <c r="G104" s="68">
        <v>52800</v>
      </c>
      <c r="H104" s="56" t="s">
        <v>92</v>
      </c>
      <c r="I104" s="4">
        <v>0</v>
      </c>
      <c r="J104" s="56">
        <v>275</v>
      </c>
      <c r="K104" s="4">
        <v>0</v>
      </c>
      <c r="L104" s="56" t="s">
        <v>243</v>
      </c>
      <c r="M104" s="4" t="s">
        <v>176</v>
      </c>
      <c r="N104" s="4" t="s">
        <v>181</v>
      </c>
      <c r="O104" s="4" t="s">
        <v>178</v>
      </c>
    </row>
    <row r="105" spans="2:15">
      <c r="B105" s="20"/>
      <c r="C105" s="20">
        <v>44663</v>
      </c>
      <c r="D105" s="54">
        <v>50486293</v>
      </c>
      <c r="E105" s="55" t="s">
        <v>249</v>
      </c>
      <c r="F105" s="56">
        <v>1</v>
      </c>
      <c r="G105" s="68">
        <v>199</v>
      </c>
      <c r="H105" s="56" t="s">
        <v>82</v>
      </c>
      <c r="I105" s="4">
        <v>0</v>
      </c>
      <c r="J105" s="56">
        <v>275</v>
      </c>
      <c r="K105" s="4">
        <v>0</v>
      </c>
      <c r="L105" s="56" t="s">
        <v>243</v>
      </c>
      <c r="M105" s="4" t="s">
        <v>176</v>
      </c>
      <c r="N105" s="4" t="s">
        <v>181</v>
      </c>
      <c r="O105" s="4" t="s">
        <v>178</v>
      </c>
    </row>
    <row r="106" spans="2:15">
      <c r="B106" s="20"/>
      <c r="C106" s="20">
        <v>44663</v>
      </c>
      <c r="D106" s="54">
        <v>50522169</v>
      </c>
      <c r="E106" s="55" t="s">
        <v>250</v>
      </c>
      <c r="F106" s="56">
        <v>1</v>
      </c>
      <c r="G106" s="68">
        <v>101</v>
      </c>
      <c r="H106" s="56" t="s">
        <v>82</v>
      </c>
      <c r="I106" s="4">
        <v>0</v>
      </c>
      <c r="J106" s="56">
        <v>275</v>
      </c>
      <c r="K106" s="4">
        <v>0</v>
      </c>
      <c r="L106" s="56" t="s">
        <v>243</v>
      </c>
      <c r="M106" s="4" t="s">
        <v>176</v>
      </c>
      <c r="N106" s="4" t="s">
        <v>181</v>
      </c>
      <c r="O106" s="4" t="s">
        <v>178</v>
      </c>
    </row>
    <row r="107" spans="2:15">
      <c r="B107" s="20"/>
      <c r="C107" s="20">
        <v>44663</v>
      </c>
      <c r="D107" s="54">
        <v>50767484</v>
      </c>
      <c r="E107" s="55" t="s">
        <v>251</v>
      </c>
      <c r="F107" s="56">
        <v>1</v>
      </c>
      <c r="G107" s="68">
        <v>145</v>
      </c>
      <c r="H107" s="56" t="s">
        <v>82</v>
      </c>
      <c r="I107" s="4">
        <v>0</v>
      </c>
      <c r="J107" s="56">
        <v>275</v>
      </c>
      <c r="K107" s="4">
        <v>0</v>
      </c>
      <c r="L107" s="56" t="s">
        <v>243</v>
      </c>
      <c r="M107" s="4" t="s">
        <v>176</v>
      </c>
      <c r="N107" s="4" t="s">
        <v>181</v>
      </c>
      <c r="O107" s="4" t="s">
        <v>178</v>
      </c>
    </row>
    <row r="108" spans="2:15">
      <c r="B108" s="20"/>
      <c r="C108" s="20">
        <v>44663</v>
      </c>
      <c r="D108" s="54">
        <v>50522168</v>
      </c>
      <c r="E108" s="55" t="s">
        <v>252</v>
      </c>
      <c r="F108" s="56">
        <v>3</v>
      </c>
      <c r="G108" s="68">
        <v>1619.25</v>
      </c>
      <c r="H108" s="56" t="s">
        <v>82</v>
      </c>
      <c r="I108" s="4">
        <v>0</v>
      </c>
      <c r="J108" s="56">
        <v>275</v>
      </c>
      <c r="K108" s="4">
        <v>0</v>
      </c>
      <c r="L108" s="56" t="s">
        <v>243</v>
      </c>
      <c r="M108" s="4" t="s">
        <v>176</v>
      </c>
      <c r="N108" s="4" t="s">
        <v>181</v>
      </c>
      <c r="O108" s="4" t="s">
        <v>178</v>
      </c>
    </row>
    <row r="109" spans="2:15">
      <c r="B109" s="20"/>
      <c r="C109" s="20">
        <v>44663</v>
      </c>
      <c r="D109" s="54">
        <v>50501722</v>
      </c>
      <c r="E109" s="55" t="s">
        <v>253</v>
      </c>
      <c r="F109" s="56">
        <v>2</v>
      </c>
      <c r="G109" s="68">
        <v>1149.85</v>
      </c>
      <c r="H109" s="56" t="s">
        <v>82</v>
      </c>
      <c r="I109" s="4">
        <v>0</v>
      </c>
      <c r="J109" s="56">
        <v>275</v>
      </c>
      <c r="K109" s="4">
        <v>0</v>
      </c>
      <c r="L109" s="56" t="s">
        <v>243</v>
      </c>
      <c r="M109" s="4" t="s">
        <v>176</v>
      </c>
      <c r="N109" s="4" t="s">
        <v>181</v>
      </c>
      <c r="O109" s="4" t="s">
        <v>178</v>
      </c>
    </row>
    <row r="110" spans="2:15">
      <c r="B110" s="20"/>
      <c r="C110" s="20">
        <v>44663</v>
      </c>
      <c r="D110" s="54">
        <v>50763072</v>
      </c>
      <c r="E110" s="55" t="s">
        <v>254</v>
      </c>
      <c r="F110" s="56">
        <v>2</v>
      </c>
      <c r="G110" s="68">
        <v>961.8</v>
      </c>
      <c r="H110" s="56" t="s">
        <v>82</v>
      </c>
      <c r="I110" s="4">
        <v>0</v>
      </c>
      <c r="J110" s="56">
        <v>275</v>
      </c>
      <c r="K110" s="4">
        <v>0</v>
      </c>
      <c r="L110" s="56" t="s">
        <v>243</v>
      </c>
      <c r="M110" s="4" t="s">
        <v>176</v>
      </c>
      <c r="N110" s="4" t="s">
        <v>181</v>
      </c>
      <c r="O110" s="4" t="s">
        <v>178</v>
      </c>
    </row>
    <row r="111" spans="2:15">
      <c r="B111" s="20"/>
      <c r="C111" s="20">
        <v>44663</v>
      </c>
      <c r="D111" s="54">
        <v>50493867</v>
      </c>
      <c r="E111" s="55" t="s">
        <v>255</v>
      </c>
      <c r="F111" s="56">
        <v>2</v>
      </c>
      <c r="G111" s="68">
        <v>1097.55</v>
      </c>
      <c r="H111" s="56" t="s">
        <v>82</v>
      </c>
      <c r="I111" s="4">
        <v>0</v>
      </c>
      <c r="J111" s="56">
        <v>275</v>
      </c>
      <c r="K111" s="4">
        <v>0</v>
      </c>
      <c r="L111" s="56" t="s">
        <v>243</v>
      </c>
      <c r="M111" s="4" t="s">
        <v>176</v>
      </c>
      <c r="N111" s="4" t="s">
        <v>181</v>
      </c>
      <c r="O111" s="4" t="s">
        <v>178</v>
      </c>
    </row>
    <row r="112" spans="2:15">
      <c r="B112" s="20"/>
      <c r="C112" s="20">
        <v>44663</v>
      </c>
      <c r="D112" s="54">
        <v>50142327</v>
      </c>
      <c r="E112" s="55" t="s">
        <v>256</v>
      </c>
      <c r="F112" s="56">
        <v>3</v>
      </c>
      <c r="G112" s="68">
        <v>2043</v>
      </c>
      <c r="H112" s="56" t="s">
        <v>82</v>
      </c>
      <c r="I112" s="4">
        <v>0</v>
      </c>
      <c r="J112" s="56">
        <v>276</v>
      </c>
      <c r="K112" s="4">
        <v>0</v>
      </c>
      <c r="L112" s="56" t="s">
        <v>213</v>
      </c>
      <c r="M112" s="4" t="s">
        <v>176</v>
      </c>
      <c r="N112" s="4" t="s">
        <v>181</v>
      </c>
      <c r="O112" s="4" t="s">
        <v>178</v>
      </c>
    </row>
    <row r="113" spans="2:15">
      <c r="B113" s="20"/>
      <c r="C113" s="20">
        <v>44663</v>
      </c>
      <c r="D113" s="54">
        <v>50142334</v>
      </c>
      <c r="E113" s="55" t="s">
        <v>257</v>
      </c>
      <c r="F113" s="56">
        <v>3</v>
      </c>
      <c r="G113" s="68">
        <v>2043</v>
      </c>
      <c r="H113" s="56" t="s">
        <v>82</v>
      </c>
      <c r="I113" s="4">
        <v>0</v>
      </c>
      <c r="J113" s="56">
        <v>276</v>
      </c>
      <c r="K113" s="4">
        <v>0</v>
      </c>
      <c r="L113" s="56" t="s">
        <v>213</v>
      </c>
      <c r="M113" s="4" t="s">
        <v>176</v>
      </c>
      <c r="N113" s="4" t="s">
        <v>181</v>
      </c>
      <c r="O113" s="4" t="s">
        <v>178</v>
      </c>
    </row>
    <row r="114" spans="2:15">
      <c r="B114" s="20"/>
      <c r="C114" s="20">
        <v>44663</v>
      </c>
      <c r="D114" s="54">
        <v>50534881</v>
      </c>
      <c r="E114" s="55" t="s">
        <v>227</v>
      </c>
      <c r="F114" s="56">
        <v>12</v>
      </c>
      <c r="G114" s="68">
        <v>108000</v>
      </c>
      <c r="H114" s="56" t="s">
        <v>92</v>
      </c>
      <c r="I114" s="4">
        <v>0</v>
      </c>
      <c r="J114" s="56">
        <v>276</v>
      </c>
      <c r="K114" s="4">
        <v>0</v>
      </c>
      <c r="L114" s="56" t="s">
        <v>228</v>
      </c>
      <c r="M114" s="4" t="s">
        <v>176</v>
      </c>
      <c r="N114" s="4" t="s">
        <v>181</v>
      </c>
      <c r="O114" s="4" t="s">
        <v>178</v>
      </c>
    </row>
    <row r="115" spans="2:15">
      <c r="B115" s="20"/>
      <c r="C115" s="20">
        <v>44663</v>
      </c>
      <c r="D115" s="54">
        <v>50455772</v>
      </c>
      <c r="E115" s="55" t="s">
        <v>258</v>
      </c>
      <c r="F115" s="56">
        <v>16</v>
      </c>
      <c r="G115" s="68">
        <v>476000</v>
      </c>
      <c r="H115" s="56" t="s">
        <v>92</v>
      </c>
      <c r="I115" s="4">
        <v>0</v>
      </c>
      <c r="J115" s="56">
        <v>277</v>
      </c>
      <c r="K115" s="4">
        <v>0</v>
      </c>
      <c r="L115" s="56" t="s">
        <v>259</v>
      </c>
      <c r="M115" s="4" t="s">
        <v>176</v>
      </c>
      <c r="N115" s="4" t="s">
        <v>239</v>
      </c>
      <c r="O115" s="4" t="s">
        <v>178</v>
      </c>
    </row>
    <row r="116" spans="2:15">
      <c r="B116" s="20"/>
      <c r="C116" s="20">
        <v>44663</v>
      </c>
      <c r="D116" s="54">
        <v>50455588</v>
      </c>
      <c r="E116" s="55" t="s">
        <v>260</v>
      </c>
      <c r="F116" s="56">
        <v>10</v>
      </c>
      <c r="G116" s="68">
        <v>476000</v>
      </c>
      <c r="H116" s="56" t="s">
        <v>92</v>
      </c>
      <c r="I116" s="4">
        <v>0</v>
      </c>
      <c r="J116" s="56">
        <v>277</v>
      </c>
      <c r="K116" s="4">
        <v>0</v>
      </c>
      <c r="L116" s="56" t="s">
        <v>259</v>
      </c>
      <c r="M116" s="4" t="s">
        <v>176</v>
      </c>
      <c r="N116" s="4" t="s">
        <v>239</v>
      </c>
      <c r="O116" s="4" t="s">
        <v>178</v>
      </c>
    </row>
    <row r="117" spans="2:15">
      <c r="B117" s="20"/>
      <c r="C117" s="20">
        <v>44663</v>
      </c>
      <c r="D117" s="54">
        <v>50455771</v>
      </c>
      <c r="E117" s="55" t="s">
        <v>261</v>
      </c>
      <c r="F117" s="56">
        <v>8</v>
      </c>
      <c r="G117" s="68">
        <v>476000</v>
      </c>
      <c r="H117" s="56" t="s">
        <v>92</v>
      </c>
      <c r="I117" s="4">
        <v>0</v>
      </c>
      <c r="J117" s="56">
        <v>277</v>
      </c>
      <c r="K117" s="4">
        <v>0</v>
      </c>
      <c r="L117" s="56" t="s">
        <v>259</v>
      </c>
      <c r="M117" s="4" t="s">
        <v>176</v>
      </c>
      <c r="N117" s="4" t="s">
        <v>239</v>
      </c>
      <c r="O117" s="4" t="s">
        <v>178</v>
      </c>
    </row>
    <row r="118" spans="2:15">
      <c r="B118" s="20"/>
      <c r="C118" s="20">
        <v>44663</v>
      </c>
      <c r="D118" s="54">
        <v>50534881</v>
      </c>
      <c r="E118" s="55" t="s">
        <v>227</v>
      </c>
      <c r="F118" s="56">
        <v>19</v>
      </c>
      <c r="G118" s="68">
        <v>171000</v>
      </c>
      <c r="H118" s="56" t="s">
        <v>92</v>
      </c>
      <c r="I118" s="4">
        <v>0</v>
      </c>
      <c r="J118" s="56">
        <v>277</v>
      </c>
      <c r="K118" s="4">
        <v>0</v>
      </c>
      <c r="L118" s="56" t="s">
        <v>228</v>
      </c>
      <c r="M118" s="4" t="s">
        <v>176</v>
      </c>
      <c r="N118" s="4" t="s">
        <v>239</v>
      </c>
      <c r="O118" s="4" t="s">
        <v>178</v>
      </c>
    </row>
    <row r="119" spans="2:15">
      <c r="B119" s="20"/>
      <c r="C119" s="20">
        <v>44663</v>
      </c>
      <c r="D119" s="54">
        <v>50534881</v>
      </c>
      <c r="E119" s="55" t="s">
        <v>227</v>
      </c>
      <c r="F119" s="56">
        <v>10</v>
      </c>
      <c r="G119" s="68">
        <v>90000</v>
      </c>
      <c r="H119" s="56" t="s">
        <v>92</v>
      </c>
      <c r="I119" s="4">
        <v>0</v>
      </c>
      <c r="J119" s="56">
        <v>278</v>
      </c>
      <c r="K119" s="4">
        <v>0</v>
      </c>
      <c r="L119" s="56" t="s">
        <v>228</v>
      </c>
      <c r="M119" s="4" t="s">
        <v>176</v>
      </c>
      <c r="N119" s="4" t="s">
        <v>193</v>
      </c>
      <c r="O119" s="4" t="s">
        <v>178</v>
      </c>
    </row>
    <row r="120" spans="2:15">
      <c r="B120" s="20"/>
      <c r="C120" s="20">
        <v>44663</v>
      </c>
      <c r="D120" s="54">
        <v>50449101</v>
      </c>
      <c r="E120" s="55" t="s">
        <v>237</v>
      </c>
      <c r="F120" s="56">
        <v>8</v>
      </c>
      <c r="G120" s="68">
        <v>2318400</v>
      </c>
      <c r="H120" s="56" t="s">
        <v>92</v>
      </c>
      <c r="I120" s="4">
        <v>0</v>
      </c>
      <c r="J120" s="56">
        <v>278</v>
      </c>
      <c r="K120" s="4">
        <v>0</v>
      </c>
      <c r="L120" s="56" t="s">
        <v>230</v>
      </c>
      <c r="M120" s="4" t="s">
        <v>176</v>
      </c>
      <c r="N120" s="4" t="s">
        <v>193</v>
      </c>
      <c r="O120" s="4" t="s">
        <v>178</v>
      </c>
    </row>
    <row r="121" spans="2:15">
      <c r="B121" s="20"/>
      <c r="C121" s="20">
        <v>44664</v>
      </c>
      <c r="D121" s="54">
        <v>50144376</v>
      </c>
      <c r="E121" s="55" t="s">
        <v>19</v>
      </c>
      <c r="F121" s="56">
        <v>12</v>
      </c>
      <c r="G121" s="68">
        <v>6000</v>
      </c>
      <c r="H121" s="56" t="s">
        <v>92</v>
      </c>
      <c r="I121" s="4">
        <v>0</v>
      </c>
      <c r="J121" s="56">
        <v>16522</v>
      </c>
      <c r="K121" s="4">
        <v>0</v>
      </c>
      <c r="L121" s="56" t="s">
        <v>234</v>
      </c>
      <c r="M121" s="4" t="s">
        <v>262</v>
      </c>
      <c r="N121" s="4" t="s">
        <v>263</v>
      </c>
      <c r="O121" s="4" t="s">
        <v>178</v>
      </c>
    </row>
    <row r="122" spans="2:15">
      <c r="B122" s="20"/>
      <c r="C122" s="20">
        <v>44664</v>
      </c>
      <c r="D122" s="54">
        <v>50272278</v>
      </c>
      <c r="E122" s="55" t="s">
        <v>21</v>
      </c>
      <c r="F122" s="56">
        <v>10</v>
      </c>
      <c r="G122" s="68">
        <v>5000</v>
      </c>
      <c r="H122" s="56" t="s">
        <v>92</v>
      </c>
      <c r="I122" s="4">
        <v>0</v>
      </c>
      <c r="J122" s="56">
        <v>1812</v>
      </c>
      <c r="K122" s="4">
        <v>0</v>
      </c>
      <c r="M122" s="4" t="s">
        <v>176</v>
      </c>
      <c r="N122" s="4" t="s">
        <v>193</v>
      </c>
      <c r="O122" s="4" t="s">
        <v>178</v>
      </c>
    </row>
    <row r="123" spans="2:15">
      <c r="B123" s="20"/>
      <c r="C123" s="20">
        <v>44664</v>
      </c>
      <c r="D123" s="54">
        <v>50522169</v>
      </c>
      <c r="E123" s="55" t="s">
        <v>250</v>
      </c>
      <c r="F123" s="56">
        <v>3</v>
      </c>
      <c r="G123" s="68">
        <v>2107.75</v>
      </c>
      <c r="H123" s="56" t="s">
        <v>82</v>
      </c>
      <c r="I123" s="4">
        <v>0</v>
      </c>
      <c r="J123" s="56">
        <v>1812</v>
      </c>
      <c r="K123" s="4">
        <v>0</v>
      </c>
      <c r="L123" s="56" t="s">
        <v>243</v>
      </c>
      <c r="M123" s="4" t="s">
        <v>176</v>
      </c>
      <c r="N123" s="4" t="s">
        <v>193</v>
      </c>
      <c r="O123" s="4" t="s">
        <v>178</v>
      </c>
    </row>
    <row r="124" spans="2:15">
      <c r="B124" s="20"/>
      <c r="C124" s="20">
        <v>44664</v>
      </c>
      <c r="D124" s="54">
        <v>50522168</v>
      </c>
      <c r="E124" s="55" t="s">
        <v>252</v>
      </c>
      <c r="F124" s="56">
        <v>3</v>
      </c>
      <c r="G124" s="68">
        <v>2111.85</v>
      </c>
      <c r="H124" s="56" t="s">
        <v>92</v>
      </c>
      <c r="I124" s="4">
        <v>0</v>
      </c>
      <c r="J124" s="56">
        <v>1812</v>
      </c>
      <c r="K124" s="4">
        <v>0</v>
      </c>
      <c r="L124" s="56" t="s">
        <v>234</v>
      </c>
      <c r="M124" s="4" t="s">
        <v>176</v>
      </c>
      <c r="N124" s="4" t="s">
        <v>193</v>
      </c>
      <c r="O124" s="4" t="s">
        <v>178</v>
      </c>
    </row>
    <row r="125" spans="2:15">
      <c r="B125" s="20"/>
      <c r="C125" s="20">
        <v>44669</v>
      </c>
      <c r="D125" s="54">
        <v>50534881</v>
      </c>
      <c r="E125" s="55" t="s">
        <v>227</v>
      </c>
      <c r="F125" s="56">
        <v>20</v>
      </c>
      <c r="G125" s="68">
        <v>179400</v>
      </c>
      <c r="H125" s="56" t="s">
        <v>92</v>
      </c>
      <c r="I125" s="4">
        <v>0</v>
      </c>
      <c r="J125" s="56">
        <v>279</v>
      </c>
      <c r="K125" s="4">
        <v>0</v>
      </c>
      <c r="L125" s="56" t="s">
        <v>228</v>
      </c>
      <c r="M125" s="4" t="s">
        <v>176</v>
      </c>
      <c r="N125" s="4" t="s">
        <v>177</v>
      </c>
      <c r="O125" s="4" t="s">
        <v>178</v>
      </c>
    </row>
    <row r="126" spans="2:15">
      <c r="B126" s="20"/>
      <c r="C126" s="20">
        <v>44669</v>
      </c>
      <c r="D126" s="54">
        <v>50470190</v>
      </c>
      <c r="E126" s="55" t="s">
        <v>12</v>
      </c>
      <c r="F126" s="56">
        <v>12</v>
      </c>
      <c r="G126" s="68">
        <v>3477600</v>
      </c>
      <c r="H126" s="56" t="s">
        <v>92</v>
      </c>
      <c r="I126" s="4">
        <v>0</v>
      </c>
      <c r="J126" s="56">
        <v>280</v>
      </c>
      <c r="K126" s="4">
        <v>0</v>
      </c>
      <c r="L126" s="56" t="s">
        <v>230</v>
      </c>
      <c r="M126" s="4" t="s">
        <v>176</v>
      </c>
      <c r="N126" s="4" t="s">
        <v>193</v>
      </c>
      <c r="O126" s="4" t="s">
        <v>178</v>
      </c>
    </row>
    <row r="127" spans="2:15">
      <c r="B127" s="20"/>
      <c r="C127" s="20">
        <v>44669</v>
      </c>
      <c r="D127" s="54">
        <v>50449101</v>
      </c>
      <c r="E127" s="55" t="s">
        <v>237</v>
      </c>
      <c r="F127" s="56">
        <v>4</v>
      </c>
      <c r="G127" s="68">
        <v>1159200</v>
      </c>
      <c r="H127" s="56" t="s">
        <v>92</v>
      </c>
      <c r="I127" s="4">
        <v>0</v>
      </c>
      <c r="J127" s="56">
        <v>280</v>
      </c>
      <c r="K127" s="4">
        <v>0</v>
      </c>
      <c r="L127" s="56" t="s">
        <v>230</v>
      </c>
      <c r="M127" s="4" t="s">
        <v>176</v>
      </c>
      <c r="N127" s="4" t="s">
        <v>193</v>
      </c>
      <c r="O127" s="4" t="s">
        <v>178</v>
      </c>
    </row>
    <row r="128" spans="2:15">
      <c r="B128" s="20"/>
      <c r="C128" s="20">
        <v>44669</v>
      </c>
      <c r="D128" s="54">
        <v>50534881</v>
      </c>
      <c r="E128" s="55" t="s">
        <v>227</v>
      </c>
      <c r="F128" s="56">
        <v>18</v>
      </c>
      <c r="G128" s="68">
        <v>162000</v>
      </c>
      <c r="H128" s="56" t="s">
        <v>92</v>
      </c>
      <c r="I128" s="4">
        <v>0</v>
      </c>
      <c r="J128" s="56">
        <v>281</v>
      </c>
      <c r="K128" s="4">
        <v>0</v>
      </c>
      <c r="L128" s="56" t="s">
        <v>228</v>
      </c>
      <c r="M128" s="4" t="s">
        <v>176</v>
      </c>
      <c r="N128" s="4" t="s">
        <v>181</v>
      </c>
      <c r="O128" s="4" t="s">
        <v>178</v>
      </c>
    </row>
    <row r="129" spans="2:15">
      <c r="B129" s="20"/>
      <c r="C129" s="20">
        <v>44669</v>
      </c>
      <c r="D129" s="54">
        <v>50534881</v>
      </c>
      <c r="E129" s="55" t="s">
        <v>227</v>
      </c>
      <c r="F129" s="56">
        <v>17</v>
      </c>
      <c r="G129" s="68">
        <v>153000</v>
      </c>
      <c r="H129" s="56" t="s">
        <v>92</v>
      </c>
      <c r="I129" s="4">
        <v>0</v>
      </c>
      <c r="J129" s="56">
        <v>282</v>
      </c>
      <c r="K129" s="4">
        <v>0</v>
      </c>
      <c r="L129" s="56" t="s">
        <v>228</v>
      </c>
      <c r="M129" s="4" t="s">
        <v>176</v>
      </c>
      <c r="N129" s="4" t="s">
        <v>177</v>
      </c>
      <c r="O129" s="4" t="s">
        <v>178</v>
      </c>
    </row>
    <row r="130" spans="2:15">
      <c r="B130" s="20"/>
      <c r="C130" s="20">
        <v>44669</v>
      </c>
      <c r="D130" s="54">
        <v>50144960</v>
      </c>
      <c r="E130" s="55" t="s">
        <v>264</v>
      </c>
      <c r="F130" s="56">
        <v>1</v>
      </c>
      <c r="G130" s="68">
        <v>15330</v>
      </c>
      <c r="H130" s="56" t="s">
        <v>92</v>
      </c>
      <c r="I130" s="4">
        <v>0</v>
      </c>
      <c r="J130" s="56">
        <v>282</v>
      </c>
      <c r="K130" s="4">
        <v>0</v>
      </c>
      <c r="L130" s="56" t="s">
        <v>228</v>
      </c>
      <c r="M130" s="4" t="s">
        <v>176</v>
      </c>
      <c r="N130" s="4" t="s">
        <v>177</v>
      </c>
      <c r="O130" s="4" t="s">
        <v>178</v>
      </c>
    </row>
    <row r="131" spans="2:15">
      <c r="B131" s="20"/>
      <c r="C131" s="20">
        <v>44669</v>
      </c>
      <c r="D131" s="54">
        <v>50449101</v>
      </c>
      <c r="E131" s="55" t="s">
        <v>237</v>
      </c>
      <c r="F131" s="56">
        <v>4</v>
      </c>
      <c r="G131" s="68">
        <v>1159200</v>
      </c>
      <c r="H131" s="56" t="s">
        <v>92</v>
      </c>
      <c r="I131" s="4">
        <v>0</v>
      </c>
      <c r="J131" s="56">
        <v>283</v>
      </c>
      <c r="K131" s="4">
        <v>0</v>
      </c>
      <c r="L131" s="56" t="s">
        <v>230</v>
      </c>
      <c r="M131" s="4" t="s">
        <v>176</v>
      </c>
      <c r="N131" s="4" t="s">
        <v>193</v>
      </c>
      <c r="O131" s="4" t="s">
        <v>178</v>
      </c>
    </row>
    <row r="132" spans="2:15">
      <c r="B132" s="20"/>
      <c r="C132" s="20">
        <v>44669</v>
      </c>
      <c r="D132" s="54">
        <v>50455863</v>
      </c>
      <c r="E132" s="55" t="s">
        <v>265</v>
      </c>
      <c r="F132" s="56">
        <v>3</v>
      </c>
      <c r="G132" s="68">
        <v>739000</v>
      </c>
      <c r="H132" s="56" t="s">
        <v>92</v>
      </c>
      <c r="I132" s="4">
        <v>0</v>
      </c>
      <c r="J132" s="56">
        <v>283</v>
      </c>
      <c r="K132" s="4">
        <v>0</v>
      </c>
      <c r="L132" s="56" t="s">
        <v>185</v>
      </c>
      <c r="M132" s="4" t="s">
        <v>176</v>
      </c>
      <c r="N132" s="4" t="s">
        <v>193</v>
      </c>
      <c r="O132" s="4" t="s">
        <v>178</v>
      </c>
    </row>
    <row r="133" spans="2:15">
      <c r="B133" s="20"/>
      <c r="C133" s="20">
        <v>44669</v>
      </c>
      <c r="D133" s="54">
        <v>50455861</v>
      </c>
      <c r="E133" s="55" t="s">
        <v>266</v>
      </c>
      <c r="F133" s="56">
        <v>4</v>
      </c>
      <c r="G133" s="68">
        <v>946000</v>
      </c>
      <c r="H133" s="56" t="s">
        <v>92</v>
      </c>
      <c r="I133" s="4">
        <v>0</v>
      </c>
      <c r="J133" s="56">
        <v>283</v>
      </c>
      <c r="K133" s="4">
        <v>0</v>
      </c>
      <c r="L133" s="56" t="s">
        <v>185</v>
      </c>
      <c r="M133" s="4" t="s">
        <v>176</v>
      </c>
      <c r="N133" s="4" t="s">
        <v>193</v>
      </c>
      <c r="O133" s="4" t="s">
        <v>178</v>
      </c>
    </row>
    <row r="134" spans="2:15">
      <c r="B134" s="20"/>
      <c r="C134" s="20">
        <v>44669</v>
      </c>
      <c r="D134" s="54">
        <v>50144951</v>
      </c>
      <c r="E134" s="55" t="s">
        <v>267</v>
      </c>
      <c r="F134" s="56">
        <v>2</v>
      </c>
      <c r="G134" s="68">
        <v>41160</v>
      </c>
      <c r="H134" s="56" t="s">
        <v>92</v>
      </c>
      <c r="I134" s="4">
        <v>0</v>
      </c>
      <c r="J134" s="56">
        <v>283</v>
      </c>
      <c r="K134" s="4">
        <v>0</v>
      </c>
      <c r="L134" s="56" t="s">
        <v>185</v>
      </c>
      <c r="M134" s="4" t="s">
        <v>176</v>
      </c>
      <c r="N134" s="4" t="s">
        <v>193</v>
      </c>
      <c r="O134" s="4" t="s">
        <v>178</v>
      </c>
    </row>
    <row r="135" spans="2:15">
      <c r="B135" s="20"/>
      <c r="C135" s="20">
        <v>44669</v>
      </c>
      <c r="D135" s="54">
        <v>50145205</v>
      </c>
      <c r="E135" s="55" t="s">
        <v>241</v>
      </c>
      <c r="F135" s="56">
        <v>1</v>
      </c>
      <c r="G135" s="68">
        <v>26460</v>
      </c>
      <c r="H135" s="56" t="s">
        <v>92</v>
      </c>
      <c r="I135" s="4">
        <v>0</v>
      </c>
      <c r="J135" s="56">
        <v>283</v>
      </c>
      <c r="K135" s="4">
        <v>0</v>
      </c>
      <c r="L135" s="56" t="s">
        <v>185</v>
      </c>
      <c r="M135" s="4" t="s">
        <v>176</v>
      </c>
      <c r="N135" s="4" t="s">
        <v>193</v>
      </c>
      <c r="O135" s="4" t="s">
        <v>178</v>
      </c>
    </row>
    <row r="136" spans="2:15">
      <c r="B136" s="20"/>
      <c r="C136" s="20">
        <v>44669</v>
      </c>
      <c r="D136" s="54">
        <v>50144954</v>
      </c>
      <c r="E136" s="55" t="s">
        <v>268</v>
      </c>
      <c r="F136" s="56">
        <v>2</v>
      </c>
      <c r="G136" s="68">
        <v>6000</v>
      </c>
      <c r="H136" s="56" t="s">
        <v>92</v>
      </c>
      <c r="I136" s="4">
        <v>0</v>
      </c>
      <c r="J136" s="56">
        <v>283</v>
      </c>
      <c r="K136" s="4">
        <v>0</v>
      </c>
      <c r="L136" s="56" t="s">
        <v>234</v>
      </c>
      <c r="M136" s="4" t="s">
        <v>176</v>
      </c>
      <c r="N136" s="4" t="s">
        <v>193</v>
      </c>
      <c r="O136" s="4" t="s">
        <v>178</v>
      </c>
    </row>
    <row r="137" spans="2:15">
      <c r="B137" s="20"/>
      <c r="C137" s="20">
        <v>44669</v>
      </c>
      <c r="D137" s="54">
        <v>50144960</v>
      </c>
      <c r="E137" s="55" t="s">
        <v>264</v>
      </c>
      <c r="F137" s="56">
        <v>1</v>
      </c>
      <c r="G137" s="68">
        <v>15330</v>
      </c>
      <c r="H137" s="56" t="s">
        <v>92</v>
      </c>
      <c r="I137" s="4">
        <v>0</v>
      </c>
      <c r="J137" s="56">
        <v>283</v>
      </c>
      <c r="K137" s="4">
        <v>0</v>
      </c>
      <c r="L137" s="56" t="s">
        <v>185</v>
      </c>
      <c r="M137" s="4" t="s">
        <v>176</v>
      </c>
      <c r="N137" s="4" t="s">
        <v>193</v>
      </c>
      <c r="O137" s="4" t="s">
        <v>178</v>
      </c>
    </row>
    <row r="138" spans="2:15">
      <c r="B138" s="20"/>
      <c r="C138" s="20">
        <v>44669</v>
      </c>
      <c r="D138" s="54">
        <v>50340252</v>
      </c>
      <c r="E138" s="55" t="s">
        <v>246</v>
      </c>
      <c r="F138" s="56">
        <v>1</v>
      </c>
      <c r="G138" s="68">
        <v>231000</v>
      </c>
      <c r="H138" s="56" t="s">
        <v>92</v>
      </c>
      <c r="I138" s="4">
        <v>0</v>
      </c>
      <c r="J138" s="56">
        <v>283</v>
      </c>
      <c r="K138" s="4">
        <v>0</v>
      </c>
      <c r="L138" s="56" t="s">
        <v>185</v>
      </c>
      <c r="M138" s="4" t="s">
        <v>176</v>
      </c>
      <c r="N138" s="4" t="s">
        <v>193</v>
      </c>
      <c r="O138" s="4" t="s">
        <v>178</v>
      </c>
    </row>
    <row r="139" spans="2:15">
      <c r="B139" s="20"/>
      <c r="C139" s="20">
        <v>44669</v>
      </c>
      <c r="D139" s="54">
        <v>50144953</v>
      </c>
      <c r="E139" s="55" t="s">
        <v>269</v>
      </c>
      <c r="F139" s="56">
        <v>5</v>
      </c>
      <c r="G139" s="68">
        <v>4875</v>
      </c>
      <c r="H139" s="56" t="s">
        <v>82</v>
      </c>
      <c r="I139" s="4">
        <v>0</v>
      </c>
      <c r="J139" s="56">
        <v>284</v>
      </c>
      <c r="K139" s="4">
        <v>0</v>
      </c>
      <c r="L139" s="56" t="s">
        <v>270</v>
      </c>
      <c r="M139" s="4" t="s">
        <v>176</v>
      </c>
      <c r="N139" s="4" t="s">
        <v>181</v>
      </c>
      <c r="O139" s="4" t="s">
        <v>178</v>
      </c>
    </row>
    <row r="140" spans="2:15">
      <c r="B140" s="20"/>
      <c r="C140" s="20">
        <v>44669</v>
      </c>
      <c r="D140" s="54">
        <v>50340256</v>
      </c>
      <c r="E140" s="55" t="s">
        <v>271</v>
      </c>
      <c r="F140" s="56">
        <v>6</v>
      </c>
      <c r="G140" s="68">
        <v>118925</v>
      </c>
      <c r="H140" s="56" t="s">
        <v>92</v>
      </c>
      <c r="I140" s="4">
        <v>0</v>
      </c>
      <c r="J140" s="56">
        <v>284</v>
      </c>
      <c r="K140" s="4">
        <v>0</v>
      </c>
      <c r="L140" s="56" t="s">
        <v>185</v>
      </c>
      <c r="M140" s="4" t="s">
        <v>176</v>
      </c>
      <c r="N140" s="4" t="s">
        <v>181</v>
      </c>
      <c r="O140" s="4" t="s">
        <v>178</v>
      </c>
    </row>
    <row r="141" spans="2:15">
      <c r="B141" s="20"/>
      <c r="C141" s="20">
        <v>44669</v>
      </c>
      <c r="D141" s="54">
        <v>40004887</v>
      </c>
      <c r="E141" s="55" t="s">
        <v>272</v>
      </c>
      <c r="F141" s="56">
        <v>3</v>
      </c>
      <c r="G141" s="68">
        <v>1323</v>
      </c>
      <c r="H141" s="56" t="s">
        <v>80</v>
      </c>
      <c r="I141" s="4">
        <v>0</v>
      </c>
      <c r="J141" s="56">
        <v>284</v>
      </c>
      <c r="K141" s="4">
        <v>0</v>
      </c>
      <c r="L141" s="56" t="s">
        <v>200</v>
      </c>
      <c r="M141" s="4" t="s">
        <v>176</v>
      </c>
      <c r="N141" s="4" t="s">
        <v>181</v>
      </c>
      <c r="O141" s="4" t="s">
        <v>178</v>
      </c>
    </row>
    <row r="142" spans="2:15">
      <c r="B142" s="20"/>
      <c r="C142" s="20">
        <v>44669</v>
      </c>
      <c r="D142" s="54">
        <v>50382440</v>
      </c>
      <c r="E142" s="55" t="s">
        <v>273</v>
      </c>
      <c r="F142" s="56">
        <v>1</v>
      </c>
      <c r="G142" s="68">
        <v>420000</v>
      </c>
      <c r="H142" s="56" t="s">
        <v>92</v>
      </c>
      <c r="I142" s="4">
        <v>0</v>
      </c>
      <c r="J142" s="56">
        <v>284</v>
      </c>
      <c r="K142" s="4">
        <v>0</v>
      </c>
      <c r="L142" s="56" t="s">
        <v>200</v>
      </c>
      <c r="M142" s="4" t="s">
        <v>176</v>
      </c>
      <c r="N142" s="4" t="s">
        <v>181</v>
      </c>
      <c r="O142" s="4" t="s">
        <v>178</v>
      </c>
    </row>
    <row r="143" spans="2:15">
      <c r="B143" s="20"/>
      <c r="C143" s="20">
        <v>44669</v>
      </c>
      <c r="D143" s="54">
        <v>50372640</v>
      </c>
      <c r="E143" s="55" t="s">
        <v>274</v>
      </c>
      <c r="F143" s="56">
        <v>1</v>
      </c>
      <c r="G143" s="68">
        <v>3000</v>
      </c>
      <c r="H143" s="56" t="s">
        <v>92</v>
      </c>
      <c r="I143" s="4">
        <v>0</v>
      </c>
      <c r="J143" s="56">
        <v>284</v>
      </c>
      <c r="K143" s="4">
        <v>0</v>
      </c>
      <c r="L143" s="56" t="s">
        <v>234</v>
      </c>
      <c r="M143" s="4" t="s">
        <v>176</v>
      </c>
      <c r="N143" s="4" t="s">
        <v>181</v>
      </c>
      <c r="O143" s="4" t="s">
        <v>178</v>
      </c>
    </row>
    <row r="144" spans="2:15">
      <c r="B144" s="20"/>
      <c r="C144" s="20">
        <v>44669</v>
      </c>
      <c r="D144" s="54">
        <v>50143893</v>
      </c>
      <c r="E144" s="55" t="s">
        <v>24</v>
      </c>
      <c r="F144" s="56">
        <v>2</v>
      </c>
      <c r="G144" s="68">
        <v>2088</v>
      </c>
      <c r="H144" s="56" t="s">
        <v>92</v>
      </c>
      <c r="I144" s="4">
        <v>0</v>
      </c>
      <c r="J144" s="56">
        <v>284</v>
      </c>
      <c r="K144" s="4">
        <v>0</v>
      </c>
      <c r="M144" s="4" t="s">
        <v>176</v>
      </c>
      <c r="N144" s="4" t="s">
        <v>181</v>
      </c>
      <c r="O144" s="4" t="s">
        <v>178</v>
      </c>
    </row>
    <row r="145" spans="2:15">
      <c r="B145" s="20"/>
      <c r="C145" s="20">
        <v>44670</v>
      </c>
      <c r="D145" s="54">
        <v>50142327</v>
      </c>
      <c r="E145" s="55" t="s">
        <v>256</v>
      </c>
      <c r="F145" s="56">
        <v>16</v>
      </c>
      <c r="G145" s="68">
        <v>10896</v>
      </c>
      <c r="H145" s="56" t="s">
        <v>82</v>
      </c>
      <c r="I145" s="4">
        <v>0</v>
      </c>
      <c r="J145" s="56">
        <v>285</v>
      </c>
      <c r="K145" s="4">
        <v>0</v>
      </c>
      <c r="L145" s="56" t="s">
        <v>213</v>
      </c>
      <c r="M145" s="4" t="s">
        <v>176</v>
      </c>
      <c r="N145" s="4" t="s">
        <v>181</v>
      </c>
      <c r="O145" s="4" t="s">
        <v>178</v>
      </c>
    </row>
    <row r="146" spans="2:15">
      <c r="B146" s="20"/>
      <c r="C146" s="20">
        <v>44670</v>
      </c>
      <c r="D146" s="54">
        <v>50470190</v>
      </c>
      <c r="E146" s="55" t="s">
        <v>12</v>
      </c>
      <c r="F146" s="56">
        <v>2</v>
      </c>
      <c r="G146" s="68">
        <v>579600</v>
      </c>
      <c r="H146" s="56" t="s">
        <v>92</v>
      </c>
      <c r="I146" s="4">
        <v>0</v>
      </c>
      <c r="J146" s="56">
        <v>286</v>
      </c>
      <c r="K146" s="4">
        <v>0</v>
      </c>
      <c r="L146" s="56" t="s">
        <v>230</v>
      </c>
      <c r="M146" s="4" t="s">
        <v>176</v>
      </c>
      <c r="N146" s="4" t="s">
        <v>193</v>
      </c>
      <c r="O146" s="4" t="s">
        <v>178</v>
      </c>
    </row>
    <row r="147" spans="2:15">
      <c r="B147" s="20"/>
      <c r="C147" s="20">
        <v>44670</v>
      </c>
      <c r="D147" s="54">
        <v>50145205</v>
      </c>
      <c r="E147" s="55" t="s">
        <v>241</v>
      </c>
      <c r="F147" s="56">
        <v>16</v>
      </c>
      <c r="G147" s="68">
        <v>352800</v>
      </c>
      <c r="H147" s="56" t="s">
        <v>92</v>
      </c>
      <c r="I147" s="4">
        <v>0</v>
      </c>
      <c r="J147" s="56">
        <v>286</v>
      </c>
      <c r="K147" s="4">
        <v>0</v>
      </c>
      <c r="L147" s="56" t="s">
        <v>228</v>
      </c>
      <c r="M147" s="4" t="s">
        <v>176</v>
      </c>
      <c r="N147" s="4" t="s">
        <v>193</v>
      </c>
      <c r="O147" s="4" t="s">
        <v>178</v>
      </c>
    </row>
    <row r="148" spans="2:15">
      <c r="B148" s="20"/>
      <c r="C148" s="20">
        <v>44670</v>
      </c>
      <c r="D148" s="54">
        <v>50142327</v>
      </c>
      <c r="E148" s="55" t="s">
        <v>256</v>
      </c>
      <c r="F148" s="56">
        <v>4</v>
      </c>
      <c r="G148" s="68">
        <v>2724</v>
      </c>
      <c r="H148" s="56" t="s">
        <v>82</v>
      </c>
      <c r="I148" s="4">
        <v>0</v>
      </c>
      <c r="J148" s="56">
        <v>287</v>
      </c>
      <c r="K148" s="4">
        <v>0</v>
      </c>
      <c r="L148" s="56" t="s">
        <v>213</v>
      </c>
      <c r="M148" s="4" t="s">
        <v>238</v>
      </c>
      <c r="N148" s="4" t="s">
        <v>275</v>
      </c>
      <c r="O148" s="4" t="s">
        <v>178</v>
      </c>
    </row>
    <row r="149" spans="2:15">
      <c r="B149" s="20"/>
      <c r="C149" s="20">
        <v>44670</v>
      </c>
      <c r="D149" s="54">
        <v>50142334</v>
      </c>
      <c r="E149" s="55" t="s">
        <v>257</v>
      </c>
      <c r="F149" s="56">
        <v>12</v>
      </c>
      <c r="G149" s="68">
        <v>8172</v>
      </c>
      <c r="H149" s="56" t="s">
        <v>82</v>
      </c>
      <c r="I149" s="4">
        <v>0</v>
      </c>
      <c r="J149" s="56">
        <v>287</v>
      </c>
      <c r="K149" s="4">
        <v>0</v>
      </c>
      <c r="L149" s="56" t="s">
        <v>213</v>
      </c>
      <c r="M149" s="4" t="s">
        <v>238</v>
      </c>
      <c r="N149" s="4" t="s">
        <v>275</v>
      </c>
      <c r="O149" s="4" t="s">
        <v>178</v>
      </c>
    </row>
    <row r="150" spans="2:15">
      <c r="B150" s="20"/>
      <c r="C150" s="20">
        <v>44670</v>
      </c>
      <c r="D150" s="54">
        <v>50142334</v>
      </c>
      <c r="E150" s="55" t="s">
        <v>257</v>
      </c>
      <c r="F150" s="56">
        <v>15</v>
      </c>
      <c r="G150" s="68">
        <v>10215</v>
      </c>
      <c r="H150" s="56" t="s">
        <v>82</v>
      </c>
      <c r="I150" s="4">
        <v>0</v>
      </c>
      <c r="J150" s="56">
        <v>288</v>
      </c>
      <c r="K150" s="4">
        <v>0</v>
      </c>
      <c r="L150" s="56" t="s">
        <v>213</v>
      </c>
      <c r="M150" s="4" t="s">
        <v>176</v>
      </c>
      <c r="N150" s="4" t="s">
        <v>181</v>
      </c>
      <c r="O150" s="4" t="s">
        <v>178</v>
      </c>
    </row>
    <row r="151" spans="2:15">
      <c r="B151" s="20"/>
      <c r="C151" s="20">
        <v>44670</v>
      </c>
      <c r="D151" s="54">
        <v>50493261</v>
      </c>
      <c r="E151" s="55" t="s">
        <v>276</v>
      </c>
      <c r="F151" s="56">
        <v>1</v>
      </c>
      <c r="G151" s="68">
        <v>168.6</v>
      </c>
      <c r="H151" s="56" t="s">
        <v>82</v>
      </c>
      <c r="I151" s="4">
        <v>0</v>
      </c>
      <c r="J151" s="56">
        <v>288</v>
      </c>
      <c r="K151" s="4">
        <v>0</v>
      </c>
      <c r="L151" s="56" t="s">
        <v>243</v>
      </c>
      <c r="M151" s="4" t="s">
        <v>176</v>
      </c>
      <c r="N151" s="4" t="s">
        <v>181</v>
      </c>
      <c r="O151" s="4" t="s">
        <v>178</v>
      </c>
    </row>
    <row r="152" spans="2:15">
      <c r="B152" s="20"/>
      <c r="C152" s="20">
        <v>44670</v>
      </c>
      <c r="D152" s="54">
        <v>50145205</v>
      </c>
      <c r="E152" s="55" t="s">
        <v>241</v>
      </c>
      <c r="F152" s="56">
        <v>12</v>
      </c>
      <c r="G152" s="68">
        <v>264600</v>
      </c>
      <c r="H152" s="56" t="s">
        <v>92</v>
      </c>
      <c r="I152" s="4">
        <v>0</v>
      </c>
      <c r="J152" s="56">
        <v>289</v>
      </c>
      <c r="K152" s="4">
        <v>0</v>
      </c>
      <c r="L152" s="56" t="s">
        <v>228</v>
      </c>
      <c r="M152" s="4" t="s">
        <v>176</v>
      </c>
      <c r="N152" s="4" t="s">
        <v>193</v>
      </c>
      <c r="O152" s="4" t="s">
        <v>178</v>
      </c>
    </row>
    <row r="153" spans="2:15">
      <c r="B153" s="20"/>
      <c r="C153" s="20">
        <v>44670</v>
      </c>
      <c r="D153" s="54">
        <v>50144951</v>
      </c>
      <c r="E153" s="55" t="s">
        <v>267</v>
      </c>
      <c r="F153" s="56">
        <v>4</v>
      </c>
      <c r="G153" s="68">
        <v>88200</v>
      </c>
      <c r="H153" s="56" t="s">
        <v>92</v>
      </c>
      <c r="I153" s="4">
        <v>0</v>
      </c>
      <c r="J153" s="56">
        <v>289</v>
      </c>
      <c r="K153" s="4">
        <v>0</v>
      </c>
      <c r="L153" s="56" t="s">
        <v>228</v>
      </c>
      <c r="M153" s="4" t="s">
        <v>176</v>
      </c>
      <c r="N153" s="4" t="s">
        <v>193</v>
      </c>
      <c r="O153" s="4" t="s">
        <v>178</v>
      </c>
    </row>
    <row r="154" spans="2:15">
      <c r="B154" s="20"/>
      <c r="C154" s="20">
        <v>44670</v>
      </c>
      <c r="D154" s="54">
        <v>50340256</v>
      </c>
      <c r="E154" s="55" t="s">
        <v>271</v>
      </c>
      <c r="F154" s="56">
        <v>2</v>
      </c>
      <c r="G154" s="68">
        <v>43650</v>
      </c>
      <c r="H154" s="56" t="s">
        <v>92</v>
      </c>
      <c r="I154" s="4">
        <v>0</v>
      </c>
      <c r="J154" s="56">
        <v>289</v>
      </c>
      <c r="K154" s="4">
        <v>0</v>
      </c>
      <c r="L154" s="56" t="s">
        <v>228</v>
      </c>
      <c r="M154" s="4" t="s">
        <v>176</v>
      </c>
      <c r="N154" s="4" t="s">
        <v>193</v>
      </c>
      <c r="O154" s="4" t="s">
        <v>178</v>
      </c>
    </row>
    <row r="155" spans="2:15">
      <c r="B155" s="20"/>
      <c r="C155" s="20">
        <v>44670</v>
      </c>
      <c r="D155" s="54">
        <v>50142327</v>
      </c>
      <c r="E155" s="55" t="s">
        <v>256</v>
      </c>
      <c r="F155" s="56">
        <v>8</v>
      </c>
      <c r="G155" s="68">
        <v>5448</v>
      </c>
      <c r="H155" s="56" t="s">
        <v>82</v>
      </c>
      <c r="I155" s="4">
        <v>0</v>
      </c>
      <c r="J155" s="56">
        <v>290</v>
      </c>
      <c r="K155" s="4">
        <v>0</v>
      </c>
      <c r="L155" s="56" t="s">
        <v>213</v>
      </c>
      <c r="M155" s="4" t="s">
        <v>176</v>
      </c>
      <c r="N155" s="4" t="s">
        <v>177</v>
      </c>
      <c r="O155" s="4" t="s">
        <v>178</v>
      </c>
    </row>
    <row r="156" spans="2:15">
      <c r="B156" s="20"/>
      <c r="C156" s="20">
        <v>44670</v>
      </c>
      <c r="D156" s="54">
        <v>50142334</v>
      </c>
      <c r="E156" s="55" t="s">
        <v>257</v>
      </c>
      <c r="F156" s="56">
        <v>8</v>
      </c>
      <c r="G156" s="68">
        <v>5448</v>
      </c>
      <c r="H156" s="56" t="s">
        <v>82</v>
      </c>
      <c r="I156" s="4">
        <v>0</v>
      </c>
      <c r="J156" s="56">
        <v>290</v>
      </c>
      <c r="K156" s="4">
        <v>0</v>
      </c>
      <c r="L156" s="56" t="s">
        <v>213</v>
      </c>
      <c r="M156" s="4" t="s">
        <v>176</v>
      </c>
      <c r="N156" s="4" t="s">
        <v>177</v>
      </c>
      <c r="O156" s="4" t="s">
        <v>178</v>
      </c>
    </row>
    <row r="157" spans="2:15">
      <c r="B157" s="20"/>
      <c r="C157" s="20">
        <v>44671</v>
      </c>
      <c r="D157" s="54">
        <v>50409392</v>
      </c>
      <c r="E157" s="55" t="s">
        <v>277</v>
      </c>
      <c r="F157" s="56">
        <v>1</v>
      </c>
      <c r="G157" s="68">
        <v>136.75</v>
      </c>
      <c r="H157" s="56" t="s">
        <v>82</v>
      </c>
      <c r="I157" s="4">
        <v>0</v>
      </c>
      <c r="J157" s="56">
        <v>291</v>
      </c>
      <c r="K157" s="4">
        <v>0</v>
      </c>
      <c r="L157" s="56" t="s">
        <v>243</v>
      </c>
      <c r="M157" s="4" t="s">
        <v>176</v>
      </c>
      <c r="N157" s="4" t="s">
        <v>193</v>
      </c>
      <c r="O157" s="4" t="s">
        <v>178</v>
      </c>
    </row>
    <row r="158" spans="2:15">
      <c r="B158" s="20"/>
      <c r="C158" s="20">
        <v>44671</v>
      </c>
      <c r="D158" s="54">
        <v>50409393</v>
      </c>
      <c r="E158" s="55" t="s">
        <v>278</v>
      </c>
      <c r="F158" s="56">
        <v>2</v>
      </c>
      <c r="G158" s="68">
        <v>940.05</v>
      </c>
      <c r="H158" s="56" t="s">
        <v>82</v>
      </c>
      <c r="I158" s="4">
        <v>0</v>
      </c>
      <c r="J158" s="56">
        <v>291</v>
      </c>
      <c r="K158" s="4">
        <v>0</v>
      </c>
      <c r="L158" s="56" t="s">
        <v>243</v>
      </c>
      <c r="M158" s="4" t="s">
        <v>176</v>
      </c>
      <c r="N158" s="4" t="s">
        <v>193</v>
      </c>
      <c r="O158" s="4" t="s">
        <v>178</v>
      </c>
    </row>
    <row r="159" spans="2:15">
      <c r="B159" s="20"/>
      <c r="C159" s="20">
        <v>44671</v>
      </c>
      <c r="D159" s="54">
        <v>50455996</v>
      </c>
      <c r="E159" s="55" t="s">
        <v>279</v>
      </c>
      <c r="F159" s="56">
        <v>1</v>
      </c>
      <c r="G159" s="68">
        <v>351.49</v>
      </c>
      <c r="H159" s="56" t="s">
        <v>82</v>
      </c>
      <c r="I159" s="4">
        <v>0</v>
      </c>
      <c r="J159" s="56">
        <v>291</v>
      </c>
      <c r="K159" s="4">
        <v>0</v>
      </c>
      <c r="L159" s="56" t="s">
        <v>243</v>
      </c>
      <c r="M159" s="4" t="s">
        <v>176</v>
      </c>
      <c r="N159" s="4" t="s">
        <v>193</v>
      </c>
      <c r="O159" s="4" t="s">
        <v>178</v>
      </c>
    </row>
    <row r="160" spans="2:15">
      <c r="B160" s="20"/>
      <c r="C160" s="20">
        <v>44671</v>
      </c>
      <c r="D160" s="54">
        <v>50493261</v>
      </c>
      <c r="E160" s="55" t="s">
        <v>276</v>
      </c>
      <c r="F160" s="56">
        <v>3</v>
      </c>
      <c r="G160" s="68">
        <f>286.1+676+695</f>
        <v>1657.1</v>
      </c>
      <c r="H160" s="56" t="s">
        <v>82</v>
      </c>
      <c r="I160" s="4">
        <v>0</v>
      </c>
      <c r="J160" s="56">
        <v>291</v>
      </c>
      <c r="K160" s="4">
        <v>0</v>
      </c>
      <c r="L160" s="56" t="s">
        <v>243</v>
      </c>
      <c r="M160" s="4" t="s">
        <v>176</v>
      </c>
      <c r="N160" s="4" t="s">
        <v>193</v>
      </c>
      <c r="O160" s="4" t="s">
        <v>178</v>
      </c>
    </row>
    <row r="161" spans="2:15">
      <c r="B161" s="20"/>
      <c r="C161" s="20">
        <v>44671</v>
      </c>
      <c r="D161" s="54">
        <v>50477970</v>
      </c>
      <c r="E161" s="55" t="s">
        <v>280</v>
      </c>
      <c r="F161" s="56">
        <v>1</v>
      </c>
      <c r="G161" s="68">
        <v>294.9</v>
      </c>
      <c r="H161" s="56" t="s">
        <v>82</v>
      </c>
      <c r="I161" s="4">
        <v>0</v>
      </c>
      <c r="J161" s="56">
        <v>291</v>
      </c>
      <c r="K161" s="4">
        <v>0</v>
      </c>
      <c r="L161" s="56" t="s">
        <v>243</v>
      </c>
      <c r="M161" s="4" t="s">
        <v>176</v>
      </c>
      <c r="N161" s="4" t="s">
        <v>193</v>
      </c>
      <c r="O161" s="4" t="s">
        <v>178</v>
      </c>
    </row>
    <row r="162" spans="2:15">
      <c r="B162" s="20"/>
      <c r="C162" s="20">
        <v>44671</v>
      </c>
      <c r="D162" s="54">
        <v>50455993</v>
      </c>
      <c r="E162" s="55" t="s">
        <v>281</v>
      </c>
      <c r="F162" s="56">
        <v>1</v>
      </c>
      <c r="G162" s="68">
        <v>461.02</v>
      </c>
      <c r="H162" s="56" t="s">
        <v>82</v>
      </c>
      <c r="I162" s="4">
        <v>0</v>
      </c>
      <c r="J162" s="56">
        <v>291</v>
      </c>
      <c r="K162" s="4">
        <v>0</v>
      </c>
      <c r="L162" s="56" t="s">
        <v>243</v>
      </c>
      <c r="M162" s="4" t="s">
        <v>176</v>
      </c>
      <c r="N162" s="4" t="s">
        <v>193</v>
      </c>
      <c r="O162" s="4" t="s">
        <v>178</v>
      </c>
    </row>
    <row r="163" spans="2:15">
      <c r="B163" s="20"/>
      <c r="C163" s="20">
        <v>44671</v>
      </c>
      <c r="D163" s="54">
        <v>50145031</v>
      </c>
      <c r="E163" s="55" t="s">
        <v>282</v>
      </c>
      <c r="F163" s="56">
        <v>1</v>
      </c>
      <c r="G163" s="68">
        <v>741.95</v>
      </c>
      <c r="H163" s="56" t="s">
        <v>82</v>
      </c>
      <c r="I163" s="4">
        <v>0</v>
      </c>
      <c r="J163" s="56">
        <v>291</v>
      </c>
      <c r="K163" s="4">
        <v>0</v>
      </c>
      <c r="L163" s="56" t="s">
        <v>243</v>
      </c>
      <c r="M163" s="4" t="s">
        <v>176</v>
      </c>
      <c r="N163" s="4" t="s">
        <v>193</v>
      </c>
      <c r="O163" s="4" t="s">
        <v>178</v>
      </c>
    </row>
    <row r="164" spans="2:15">
      <c r="B164" s="20"/>
      <c r="C164" s="20">
        <v>44671</v>
      </c>
      <c r="D164" s="54">
        <v>50417515</v>
      </c>
      <c r="E164" s="55" t="s">
        <v>283</v>
      </c>
      <c r="F164" s="56">
        <v>3</v>
      </c>
      <c r="G164" s="68">
        <v>827.511</v>
      </c>
      <c r="H164" s="56" t="s">
        <v>82</v>
      </c>
      <c r="I164" s="4">
        <v>0</v>
      </c>
      <c r="J164" s="56">
        <v>291</v>
      </c>
      <c r="K164" s="4">
        <v>0</v>
      </c>
      <c r="L164" s="56" t="s">
        <v>243</v>
      </c>
      <c r="M164" s="4" t="s">
        <v>176</v>
      </c>
      <c r="N164" s="4" t="s">
        <v>193</v>
      </c>
      <c r="O164" s="4" t="s">
        <v>178</v>
      </c>
    </row>
    <row r="165" spans="2:15">
      <c r="B165" s="20"/>
      <c r="C165" s="20">
        <v>44671</v>
      </c>
      <c r="D165" s="54">
        <v>50501720</v>
      </c>
      <c r="E165" s="55" t="s">
        <v>247</v>
      </c>
      <c r="F165" s="56">
        <v>3</v>
      </c>
      <c r="G165" s="68">
        <v>1584.1</v>
      </c>
      <c r="H165" s="56" t="s">
        <v>82</v>
      </c>
      <c r="I165" s="4">
        <v>0</v>
      </c>
      <c r="J165" s="56">
        <v>291</v>
      </c>
      <c r="K165" s="4">
        <v>0</v>
      </c>
      <c r="L165" s="56" t="s">
        <v>243</v>
      </c>
      <c r="M165" s="4" t="s">
        <v>176</v>
      </c>
      <c r="N165" s="4" t="s">
        <v>193</v>
      </c>
      <c r="O165" s="4" t="s">
        <v>178</v>
      </c>
    </row>
    <row r="166" spans="2:15">
      <c r="B166" s="20"/>
      <c r="C166" s="20">
        <v>44671</v>
      </c>
      <c r="D166" s="54">
        <v>50455995</v>
      </c>
      <c r="E166" s="55" t="s">
        <v>284</v>
      </c>
      <c r="F166" s="56">
        <v>1</v>
      </c>
      <c r="G166" s="68">
        <v>446</v>
      </c>
      <c r="H166" s="56" t="s">
        <v>82</v>
      </c>
      <c r="I166" s="4">
        <v>0</v>
      </c>
      <c r="J166" s="56">
        <v>291</v>
      </c>
      <c r="K166" s="4">
        <v>0</v>
      </c>
      <c r="L166" s="56" t="s">
        <v>243</v>
      </c>
      <c r="M166" s="4" t="s">
        <v>176</v>
      </c>
      <c r="N166" s="4" t="s">
        <v>193</v>
      </c>
      <c r="O166" s="4" t="s">
        <v>178</v>
      </c>
    </row>
    <row r="167" spans="2:15">
      <c r="B167" s="20"/>
      <c r="C167" s="20">
        <v>44671</v>
      </c>
      <c r="D167" s="54">
        <v>50142327</v>
      </c>
      <c r="E167" s="55" t="s">
        <v>256</v>
      </c>
      <c r="F167" s="56">
        <v>8</v>
      </c>
      <c r="G167" s="68">
        <v>5107.5</v>
      </c>
      <c r="H167" s="56" t="s">
        <v>82</v>
      </c>
      <c r="I167" s="4">
        <v>0</v>
      </c>
      <c r="J167" s="56">
        <v>292</v>
      </c>
      <c r="K167" s="4">
        <v>0</v>
      </c>
      <c r="L167" s="56" t="s">
        <v>213</v>
      </c>
      <c r="M167" s="4" t="s">
        <v>176</v>
      </c>
      <c r="N167" s="4" t="s">
        <v>181</v>
      </c>
      <c r="O167" s="4" t="s">
        <v>178</v>
      </c>
    </row>
    <row r="168" spans="2:15">
      <c r="B168" s="20"/>
      <c r="C168" s="20">
        <v>44671</v>
      </c>
      <c r="D168" s="54">
        <v>50142334</v>
      </c>
      <c r="E168" s="55" t="s">
        <v>257</v>
      </c>
      <c r="F168" s="56">
        <v>8</v>
      </c>
      <c r="G168" s="68">
        <v>5175.6</v>
      </c>
      <c r="H168" s="56" t="s">
        <v>82</v>
      </c>
      <c r="I168" s="4">
        <v>0</v>
      </c>
      <c r="J168" s="56">
        <v>292</v>
      </c>
      <c r="K168" s="4">
        <v>0</v>
      </c>
      <c r="L168" s="56" t="s">
        <v>213</v>
      </c>
      <c r="M168" s="4" t="s">
        <v>176</v>
      </c>
      <c r="N168" s="4" t="s">
        <v>181</v>
      </c>
      <c r="O168" s="4" t="s">
        <v>178</v>
      </c>
    </row>
    <row r="169" spans="2:15">
      <c r="B169" s="20"/>
      <c r="C169" s="20">
        <v>44671</v>
      </c>
      <c r="D169" s="54">
        <v>50142334</v>
      </c>
      <c r="E169" s="55" t="s">
        <v>257</v>
      </c>
      <c r="F169" s="56">
        <v>7</v>
      </c>
      <c r="G169" s="68">
        <v>4767</v>
      </c>
      <c r="H169" s="56" t="s">
        <v>82</v>
      </c>
      <c r="I169" s="4">
        <v>0</v>
      </c>
      <c r="J169" s="56">
        <v>293</v>
      </c>
      <c r="K169" s="4">
        <v>0</v>
      </c>
      <c r="L169" s="56" t="s">
        <v>213</v>
      </c>
      <c r="M169" s="4" t="s">
        <v>176</v>
      </c>
      <c r="N169" s="4" t="s">
        <v>177</v>
      </c>
      <c r="O169" s="4" t="s">
        <v>178</v>
      </c>
    </row>
    <row r="170" spans="2:15">
      <c r="B170" s="20"/>
      <c r="C170" s="20">
        <v>44671</v>
      </c>
      <c r="D170" s="54">
        <v>50142327</v>
      </c>
      <c r="E170" s="55" t="s">
        <v>256</v>
      </c>
      <c r="F170" s="56">
        <v>3</v>
      </c>
      <c r="G170" s="68">
        <v>2043</v>
      </c>
      <c r="H170" s="56" t="s">
        <v>82</v>
      </c>
      <c r="I170" s="4">
        <v>0</v>
      </c>
      <c r="J170" s="56">
        <v>293</v>
      </c>
      <c r="K170" s="4">
        <v>0</v>
      </c>
      <c r="L170" s="56" t="s">
        <v>213</v>
      </c>
      <c r="M170" s="4" t="s">
        <v>176</v>
      </c>
      <c r="N170" s="4" t="s">
        <v>177</v>
      </c>
      <c r="O170" s="4" t="s">
        <v>178</v>
      </c>
    </row>
    <row r="171" spans="2:15">
      <c r="B171" s="20"/>
      <c r="C171" s="20">
        <v>44671</v>
      </c>
      <c r="D171" s="54">
        <v>50144951</v>
      </c>
      <c r="E171" s="55" t="s">
        <v>267</v>
      </c>
      <c r="F171" s="56">
        <v>2</v>
      </c>
      <c r="G171" s="68">
        <v>44100</v>
      </c>
      <c r="H171" s="56" t="s">
        <v>92</v>
      </c>
      <c r="I171" s="4">
        <v>0</v>
      </c>
      <c r="J171" s="56">
        <v>293</v>
      </c>
      <c r="K171" s="4">
        <v>0</v>
      </c>
      <c r="L171" s="56" t="s">
        <v>228</v>
      </c>
      <c r="M171" s="4" t="s">
        <v>176</v>
      </c>
      <c r="N171" s="4" t="s">
        <v>177</v>
      </c>
      <c r="O171" s="4" t="s">
        <v>178</v>
      </c>
    </row>
    <row r="172" spans="2:15">
      <c r="B172" s="20"/>
      <c r="C172" s="20">
        <v>44671</v>
      </c>
      <c r="D172" s="54">
        <v>50145205</v>
      </c>
      <c r="E172" s="55" t="s">
        <v>241</v>
      </c>
      <c r="F172" s="56">
        <v>6</v>
      </c>
      <c r="G172" s="68">
        <v>132300</v>
      </c>
      <c r="H172" s="56" t="s">
        <v>92</v>
      </c>
      <c r="I172" s="4">
        <v>0</v>
      </c>
      <c r="J172" s="56">
        <v>293</v>
      </c>
      <c r="K172" s="4">
        <v>0</v>
      </c>
      <c r="L172" s="56" t="s">
        <v>228</v>
      </c>
      <c r="M172" s="4" t="s">
        <v>176</v>
      </c>
      <c r="N172" s="4" t="s">
        <v>177</v>
      </c>
      <c r="O172" s="4" t="s">
        <v>178</v>
      </c>
    </row>
    <row r="173" spans="2:15">
      <c r="B173" s="20"/>
      <c r="C173" s="20">
        <v>44671</v>
      </c>
      <c r="D173" s="54">
        <v>20016185</v>
      </c>
      <c r="E173" s="55" t="s">
        <v>285</v>
      </c>
      <c r="F173" s="56">
        <v>1</v>
      </c>
      <c r="G173" s="68">
        <v>50000</v>
      </c>
      <c r="H173" s="56" t="s">
        <v>92</v>
      </c>
      <c r="I173" s="4">
        <v>0</v>
      </c>
      <c r="J173" s="56">
        <v>10</v>
      </c>
      <c r="K173" s="4">
        <v>0</v>
      </c>
      <c r="L173" s="56" t="s">
        <v>286</v>
      </c>
      <c r="M173" s="4" t="s">
        <v>286</v>
      </c>
      <c r="N173" s="4"/>
      <c r="O173" s="4" t="s">
        <v>178</v>
      </c>
    </row>
    <row r="174" spans="2:15">
      <c r="B174" s="20"/>
      <c r="C174" s="20">
        <v>44672</v>
      </c>
      <c r="D174" s="54">
        <v>50142330</v>
      </c>
      <c r="E174" s="55" t="s">
        <v>195</v>
      </c>
      <c r="F174" s="56">
        <v>16</v>
      </c>
      <c r="G174" s="68">
        <v>7185.6</v>
      </c>
      <c r="H174" s="56" t="s">
        <v>82</v>
      </c>
      <c r="I174" s="4">
        <v>0</v>
      </c>
      <c r="J174" s="56">
        <v>923862469</v>
      </c>
      <c r="K174" s="4" t="s">
        <v>287</v>
      </c>
      <c r="L174" s="56" t="s">
        <v>196</v>
      </c>
      <c r="M174" s="4" t="s">
        <v>209</v>
      </c>
      <c r="N174" s="4" t="s">
        <v>288</v>
      </c>
      <c r="O174" s="4" t="s">
        <v>178</v>
      </c>
    </row>
    <row r="175" spans="2:15">
      <c r="B175" s="20"/>
      <c r="C175" s="20">
        <v>44673</v>
      </c>
      <c r="D175" s="54">
        <v>50145205</v>
      </c>
      <c r="E175" s="55" t="s">
        <v>241</v>
      </c>
      <c r="F175" s="56">
        <v>17</v>
      </c>
      <c r="G175" s="68">
        <v>374850</v>
      </c>
      <c r="H175" s="56" t="s">
        <v>92</v>
      </c>
      <c r="I175" s="4">
        <v>0</v>
      </c>
      <c r="J175" s="56">
        <v>294</v>
      </c>
      <c r="K175" s="4">
        <v>0</v>
      </c>
      <c r="L175" s="56" t="s">
        <v>228</v>
      </c>
      <c r="M175" s="4" t="s">
        <v>176</v>
      </c>
      <c r="N175" s="4" t="s">
        <v>193</v>
      </c>
      <c r="O175" s="4" t="s">
        <v>178</v>
      </c>
    </row>
    <row r="176" spans="2:15">
      <c r="B176" s="20"/>
      <c r="C176" s="20">
        <v>44673</v>
      </c>
      <c r="D176" s="54">
        <v>50455861</v>
      </c>
      <c r="E176" s="55" t="s">
        <v>266</v>
      </c>
      <c r="F176" s="56">
        <v>1</v>
      </c>
      <c r="G176" s="68">
        <v>55000</v>
      </c>
      <c r="H176" s="56" t="s">
        <v>92</v>
      </c>
      <c r="I176" s="4">
        <v>0</v>
      </c>
      <c r="J176" s="56">
        <v>294</v>
      </c>
      <c r="K176" s="4">
        <v>0</v>
      </c>
      <c r="L176" s="56" t="s">
        <v>185</v>
      </c>
      <c r="M176" s="4" t="s">
        <v>176</v>
      </c>
      <c r="N176" s="4" t="s">
        <v>193</v>
      </c>
      <c r="O176" s="4" t="s">
        <v>178</v>
      </c>
    </row>
    <row r="177" spans="2:16">
      <c r="B177" s="20"/>
      <c r="C177" s="20">
        <v>44673</v>
      </c>
      <c r="D177" s="54">
        <v>50142334</v>
      </c>
      <c r="E177" s="55" t="s">
        <v>257</v>
      </c>
      <c r="F177" s="56">
        <v>16</v>
      </c>
      <c r="G177" s="68">
        <v>10896</v>
      </c>
      <c r="H177" s="56" t="s">
        <v>82</v>
      </c>
      <c r="I177" s="4">
        <v>0</v>
      </c>
      <c r="J177" s="56">
        <v>295</v>
      </c>
      <c r="K177" s="4">
        <v>0</v>
      </c>
      <c r="L177" s="56" t="s">
        <v>289</v>
      </c>
      <c r="M177" s="4" t="s">
        <v>176</v>
      </c>
      <c r="N177" s="4" t="s">
        <v>177</v>
      </c>
      <c r="O177" s="4" t="s">
        <v>178</v>
      </c>
    </row>
    <row r="178" spans="2:16">
      <c r="B178" s="20"/>
      <c r="C178" s="20">
        <v>44673</v>
      </c>
      <c r="D178" s="54">
        <v>50142334</v>
      </c>
      <c r="E178" s="55" t="s">
        <v>257</v>
      </c>
      <c r="F178" s="56">
        <v>16</v>
      </c>
      <c r="G178" s="68">
        <v>10896</v>
      </c>
      <c r="H178" s="56" t="s">
        <v>82</v>
      </c>
      <c r="I178" s="4">
        <v>0</v>
      </c>
      <c r="J178" s="56">
        <v>297</v>
      </c>
      <c r="K178" s="4">
        <v>0</v>
      </c>
      <c r="L178" s="56" t="s">
        <v>289</v>
      </c>
      <c r="M178" s="4" t="s">
        <v>176</v>
      </c>
      <c r="N178" s="4" t="s">
        <v>181</v>
      </c>
      <c r="O178" s="4" t="s">
        <v>178</v>
      </c>
    </row>
    <row r="179" spans="2:16">
      <c r="B179" s="20"/>
      <c r="C179" s="20">
        <v>44673</v>
      </c>
      <c r="D179" s="54">
        <v>50486295</v>
      </c>
      <c r="E179" s="55" t="s">
        <v>232</v>
      </c>
      <c r="F179" s="56">
        <v>1</v>
      </c>
      <c r="G179" s="68">
        <v>467.4</v>
      </c>
      <c r="H179" s="56" t="s">
        <v>82</v>
      </c>
      <c r="I179" s="4">
        <v>0</v>
      </c>
      <c r="J179" s="56" t="s">
        <v>290</v>
      </c>
      <c r="K179" s="4" t="s">
        <v>291</v>
      </c>
      <c r="L179" s="56" t="s">
        <v>233</v>
      </c>
      <c r="M179" s="4" t="s">
        <v>233</v>
      </c>
      <c r="N179" s="4" t="s">
        <v>292</v>
      </c>
      <c r="O179" s="4" t="s">
        <v>178</v>
      </c>
    </row>
    <row r="180" spans="2:16">
      <c r="B180" s="20"/>
      <c r="C180" s="20">
        <v>44677</v>
      </c>
      <c r="D180" s="54">
        <v>50142327</v>
      </c>
      <c r="E180" s="55" t="s">
        <v>256</v>
      </c>
      <c r="F180" s="56">
        <v>18</v>
      </c>
      <c r="G180" s="68">
        <v>12258</v>
      </c>
      <c r="H180" s="56" t="s">
        <v>82</v>
      </c>
      <c r="I180" s="4">
        <v>18</v>
      </c>
      <c r="J180" s="56">
        <v>298</v>
      </c>
      <c r="K180" s="4">
        <v>0</v>
      </c>
      <c r="L180" s="56" t="s">
        <v>213</v>
      </c>
      <c r="M180" s="4" t="s">
        <v>176</v>
      </c>
      <c r="N180" s="4" t="s">
        <v>193</v>
      </c>
      <c r="O180" s="4" t="s">
        <v>178</v>
      </c>
    </row>
    <row r="181" spans="2:16">
      <c r="B181" s="20"/>
      <c r="C181" s="20">
        <v>44677</v>
      </c>
      <c r="D181" s="54">
        <v>50142327</v>
      </c>
      <c r="E181" s="55" t="s">
        <v>256</v>
      </c>
      <c r="F181" s="56">
        <v>16</v>
      </c>
      <c r="G181" s="68">
        <v>10896</v>
      </c>
      <c r="H181" s="56" t="s">
        <v>82</v>
      </c>
      <c r="I181" s="4">
        <v>16</v>
      </c>
      <c r="J181" s="56">
        <v>299</v>
      </c>
      <c r="K181" s="4">
        <v>0</v>
      </c>
      <c r="L181" s="56" t="s">
        <v>213</v>
      </c>
      <c r="M181" s="4" t="s">
        <v>176</v>
      </c>
      <c r="N181" s="4" t="s">
        <v>181</v>
      </c>
      <c r="O181" s="4" t="s">
        <v>178</v>
      </c>
    </row>
    <row r="182" spans="2:16">
      <c r="B182" s="20"/>
      <c r="C182" s="20">
        <v>44677</v>
      </c>
      <c r="D182" s="54">
        <v>50142327</v>
      </c>
      <c r="E182" s="55" t="s">
        <v>256</v>
      </c>
      <c r="F182" s="56">
        <v>10</v>
      </c>
      <c r="G182" s="68">
        <v>6810</v>
      </c>
      <c r="H182" s="56" t="s">
        <v>82</v>
      </c>
      <c r="I182" s="4">
        <v>10</v>
      </c>
      <c r="J182" s="56">
        <v>300</v>
      </c>
      <c r="K182" s="4">
        <v>0</v>
      </c>
      <c r="L182" s="56" t="s">
        <v>213</v>
      </c>
      <c r="M182" s="4" t="s">
        <v>176</v>
      </c>
      <c r="N182" s="4" t="s">
        <v>177</v>
      </c>
      <c r="O182" s="4" t="s">
        <v>178</v>
      </c>
    </row>
    <row r="183" spans="2:16">
      <c r="B183" s="20"/>
      <c r="C183" s="20">
        <v>44677</v>
      </c>
      <c r="D183" s="54">
        <v>50142334</v>
      </c>
      <c r="E183" s="55" t="s">
        <v>257</v>
      </c>
      <c r="F183" s="56">
        <v>5</v>
      </c>
      <c r="G183" s="68">
        <v>4086</v>
      </c>
      <c r="H183" s="56" t="s">
        <v>82</v>
      </c>
      <c r="I183" s="4">
        <v>6</v>
      </c>
      <c r="J183" s="56">
        <v>300</v>
      </c>
      <c r="K183" s="4">
        <v>0</v>
      </c>
      <c r="L183" s="56" t="s">
        <v>213</v>
      </c>
      <c r="M183" s="4" t="s">
        <v>176</v>
      </c>
      <c r="N183" s="4" t="s">
        <v>177</v>
      </c>
      <c r="O183" s="4" t="s">
        <v>178</v>
      </c>
    </row>
    <row r="184" spans="2:16">
      <c r="B184" s="20"/>
      <c r="C184" s="20">
        <v>44678</v>
      </c>
      <c r="D184" s="54">
        <v>50272278</v>
      </c>
      <c r="E184" s="55" t="s">
        <v>21</v>
      </c>
      <c r="F184" s="56">
        <v>2</v>
      </c>
      <c r="G184" s="68">
        <v>3500</v>
      </c>
      <c r="H184" s="56" t="s">
        <v>92</v>
      </c>
      <c r="I184" s="4">
        <v>0</v>
      </c>
      <c r="J184" s="56">
        <v>11</v>
      </c>
      <c r="K184" s="4">
        <v>0</v>
      </c>
      <c r="L184" s="56" t="s">
        <v>234</v>
      </c>
      <c r="M184" s="4" t="s">
        <v>176</v>
      </c>
      <c r="N184" s="4" t="s">
        <v>193</v>
      </c>
      <c r="O184" s="4" t="s">
        <v>178</v>
      </c>
    </row>
    <row r="185" spans="2:16">
      <c r="B185" s="20"/>
      <c r="C185" s="20">
        <v>44678</v>
      </c>
      <c r="D185" s="54">
        <v>50470190</v>
      </c>
      <c r="E185" s="55" t="s">
        <v>12</v>
      </c>
      <c r="F185" s="56">
        <v>3</v>
      </c>
      <c r="G185" s="68">
        <v>869400</v>
      </c>
      <c r="H185" s="56" t="s">
        <v>92</v>
      </c>
      <c r="J185" s="56">
        <v>11</v>
      </c>
      <c r="K185" s="4">
        <v>0</v>
      </c>
      <c r="L185" s="56" t="s">
        <v>230</v>
      </c>
      <c r="M185" s="4" t="s">
        <v>176</v>
      </c>
      <c r="N185" s="4" t="s">
        <v>193</v>
      </c>
      <c r="O185" s="4" t="s">
        <v>178</v>
      </c>
    </row>
    <row r="186" spans="2:16">
      <c r="B186" s="20"/>
      <c r="C186" s="20">
        <v>44678</v>
      </c>
      <c r="D186" s="54">
        <v>50144951</v>
      </c>
      <c r="E186" s="55" t="s">
        <v>267</v>
      </c>
      <c r="F186" s="56">
        <v>1</v>
      </c>
      <c r="G186" s="68">
        <v>22050</v>
      </c>
      <c r="H186" s="56" t="s">
        <v>92</v>
      </c>
      <c r="J186" s="56">
        <v>11</v>
      </c>
      <c r="K186" s="4">
        <v>0</v>
      </c>
      <c r="L186" s="56" t="s">
        <v>228</v>
      </c>
      <c r="M186" s="4" t="s">
        <v>176</v>
      </c>
      <c r="N186" s="4" t="s">
        <v>193</v>
      </c>
      <c r="O186" s="4" t="s">
        <v>178</v>
      </c>
      <c r="P186" s="4" t="s">
        <v>293</v>
      </c>
    </row>
    <row r="187" spans="2:16">
      <c r="B187" s="20"/>
      <c r="C187" s="20">
        <v>44678</v>
      </c>
      <c r="D187" s="54">
        <v>50142327</v>
      </c>
      <c r="E187" s="55" t="s">
        <v>256</v>
      </c>
      <c r="F187" s="56">
        <v>6</v>
      </c>
      <c r="G187" s="68">
        <v>4086</v>
      </c>
      <c r="H187" s="56" t="s">
        <v>82</v>
      </c>
      <c r="I187" s="4">
        <v>6</v>
      </c>
      <c r="J187" s="56">
        <v>11</v>
      </c>
      <c r="K187" s="4">
        <v>0</v>
      </c>
      <c r="L187" s="56" t="s">
        <v>213</v>
      </c>
      <c r="M187" s="4" t="s">
        <v>176</v>
      </c>
      <c r="N187" s="4" t="s">
        <v>193</v>
      </c>
      <c r="O187" s="4" t="s">
        <v>178</v>
      </c>
      <c r="P187" s="4" t="s">
        <v>293</v>
      </c>
    </row>
    <row r="188" spans="2:16">
      <c r="B188" s="20"/>
      <c r="C188" s="20">
        <v>44678</v>
      </c>
      <c r="D188" s="54">
        <v>50145205</v>
      </c>
      <c r="E188" s="55" t="s">
        <v>241</v>
      </c>
      <c r="F188" s="56">
        <v>3</v>
      </c>
      <c r="G188" s="68">
        <v>66150</v>
      </c>
      <c r="H188" s="56" t="s">
        <v>92</v>
      </c>
      <c r="J188" s="56">
        <v>11</v>
      </c>
      <c r="K188" s="4">
        <v>0</v>
      </c>
      <c r="L188" s="56" t="s">
        <v>228</v>
      </c>
      <c r="M188" s="4" t="s">
        <v>176</v>
      </c>
      <c r="N188" s="4" t="s">
        <v>193</v>
      </c>
      <c r="O188" s="4" t="s">
        <v>178</v>
      </c>
      <c r="P188" s="4" t="s">
        <v>293</v>
      </c>
    </row>
    <row r="189" spans="2:16">
      <c r="B189" s="20"/>
      <c r="C189" s="20">
        <v>44678</v>
      </c>
      <c r="D189" s="54">
        <v>50145028</v>
      </c>
      <c r="E189" s="55" t="s">
        <v>23</v>
      </c>
      <c r="F189" s="56">
        <v>1</v>
      </c>
      <c r="G189" s="68">
        <v>192</v>
      </c>
      <c r="H189" s="56" t="s">
        <v>92</v>
      </c>
      <c r="J189" s="56">
        <v>12</v>
      </c>
      <c r="K189" s="4">
        <v>0</v>
      </c>
      <c r="M189" s="4" t="s">
        <v>176</v>
      </c>
      <c r="N189" s="4" t="s">
        <v>177</v>
      </c>
      <c r="O189" s="4" t="s">
        <v>178</v>
      </c>
      <c r="P189" s="4" t="s">
        <v>293</v>
      </c>
    </row>
    <row r="190" spans="2:16">
      <c r="B190" s="20"/>
      <c r="C190" s="20">
        <v>44678</v>
      </c>
      <c r="D190" s="54">
        <v>50143893</v>
      </c>
      <c r="E190" s="55" t="s">
        <v>24</v>
      </c>
      <c r="F190" s="56">
        <v>3</v>
      </c>
      <c r="G190" s="68">
        <v>3132</v>
      </c>
      <c r="H190" s="56" t="s">
        <v>92</v>
      </c>
      <c r="J190" s="56">
        <v>12</v>
      </c>
      <c r="K190" s="4">
        <v>0</v>
      </c>
      <c r="M190" s="4" t="s">
        <v>176</v>
      </c>
      <c r="N190" s="4" t="s">
        <v>177</v>
      </c>
      <c r="O190" s="4" t="s">
        <v>178</v>
      </c>
    </row>
    <row r="191" spans="2:16">
      <c r="B191" s="20"/>
      <c r="C191" s="20">
        <v>44678</v>
      </c>
      <c r="D191" s="54">
        <v>50142327</v>
      </c>
      <c r="E191" s="55" t="s">
        <v>256</v>
      </c>
      <c r="F191" s="56">
        <v>11</v>
      </c>
      <c r="G191" s="68">
        <v>7218.6</v>
      </c>
      <c r="H191" s="56" t="s">
        <v>82</v>
      </c>
      <c r="I191" s="4">
        <v>11</v>
      </c>
      <c r="J191" s="56">
        <v>12</v>
      </c>
      <c r="K191" s="4">
        <v>0</v>
      </c>
      <c r="L191" s="56" t="s">
        <v>213</v>
      </c>
      <c r="M191" s="4" t="s">
        <v>176</v>
      </c>
      <c r="N191" s="4" t="s">
        <v>177</v>
      </c>
      <c r="O191" s="4" t="s">
        <v>178</v>
      </c>
    </row>
    <row r="192" spans="2:16">
      <c r="B192" s="20"/>
      <c r="C192" s="20">
        <v>44678</v>
      </c>
      <c r="D192" s="54">
        <v>50142334</v>
      </c>
      <c r="E192" s="55" t="s">
        <v>257</v>
      </c>
      <c r="F192" s="56">
        <v>1</v>
      </c>
      <c r="G192" s="68">
        <v>681</v>
      </c>
      <c r="H192" s="56" t="s">
        <v>82</v>
      </c>
      <c r="I192" s="4">
        <v>1</v>
      </c>
      <c r="J192" s="56">
        <v>12</v>
      </c>
      <c r="K192" s="4">
        <v>0</v>
      </c>
      <c r="L192" s="56" t="s">
        <v>213</v>
      </c>
      <c r="M192" s="4" t="s">
        <v>176</v>
      </c>
      <c r="N192" s="4" t="s">
        <v>177</v>
      </c>
      <c r="O192" s="4" t="s">
        <v>178</v>
      </c>
    </row>
    <row r="193" spans="2:16">
      <c r="B193" s="20"/>
      <c r="C193" s="20">
        <v>44678</v>
      </c>
      <c r="D193" s="54">
        <v>50145205</v>
      </c>
      <c r="E193" s="55" t="s">
        <v>241</v>
      </c>
      <c r="F193" s="56">
        <v>4</v>
      </c>
      <c r="G193" s="68">
        <v>88200</v>
      </c>
      <c r="H193" s="56" t="s">
        <v>92</v>
      </c>
      <c r="I193" s="4">
        <v>0</v>
      </c>
      <c r="J193" s="56">
        <v>13</v>
      </c>
      <c r="K193" s="4">
        <v>0</v>
      </c>
      <c r="L193" s="56" t="s">
        <v>185</v>
      </c>
      <c r="M193" s="4" t="s">
        <v>176</v>
      </c>
      <c r="N193" s="4" t="s">
        <v>193</v>
      </c>
      <c r="O193" s="4" t="s">
        <v>178</v>
      </c>
      <c r="P193" s="4" t="s">
        <v>293</v>
      </c>
    </row>
    <row r="194" spans="2:16">
      <c r="B194" s="20"/>
      <c r="C194" s="20">
        <v>44678</v>
      </c>
      <c r="D194" s="54">
        <v>50429168</v>
      </c>
      <c r="E194" s="55" t="s">
        <v>294</v>
      </c>
      <c r="F194" s="56">
        <v>1</v>
      </c>
      <c r="G194" s="68">
        <v>459000</v>
      </c>
      <c r="H194" s="56" t="s">
        <v>92</v>
      </c>
      <c r="I194" s="4">
        <v>0</v>
      </c>
      <c r="J194" s="56">
        <v>13</v>
      </c>
      <c r="K194" s="4">
        <v>0</v>
      </c>
      <c r="L194" s="56" t="s">
        <v>259</v>
      </c>
      <c r="M194" s="4" t="s">
        <v>176</v>
      </c>
      <c r="N194" s="4" t="s">
        <v>193</v>
      </c>
      <c r="O194" s="4" t="s">
        <v>178</v>
      </c>
    </row>
    <row r="195" spans="2:16">
      <c r="B195" s="20"/>
      <c r="C195" s="20">
        <v>44678</v>
      </c>
      <c r="D195" s="54">
        <v>50429169</v>
      </c>
      <c r="E195" s="55" t="s">
        <v>295</v>
      </c>
      <c r="F195" s="56">
        <v>1</v>
      </c>
      <c r="G195" s="68">
        <v>459000</v>
      </c>
      <c r="H195" s="56" t="s">
        <v>92</v>
      </c>
      <c r="I195" s="4">
        <v>0</v>
      </c>
      <c r="J195" s="56">
        <v>13</v>
      </c>
      <c r="K195" s="4">
        <v>0</v>
      </c>
      <c r="L195" s="56" t="s">
        <v>259</v>
      </c>
      <c r="M195" s="4" t="s">
        <v>176</v>
      </c>
      <c r="N195" s="4" t="s">
        <v>193</v>
      </c>
      <c r="O195" s="4" t="s">
        <v>178</v>
      </c>
    </row>
    <row r="196" spans="2:16">
      <c r="B196" s="20"/>
      <c r="C196" s="20">
        <v>44678</v>
      </c>
      <c r="D196" s="54">
        <v>50429173</v>
      </c>
      <c r="E196" s="55" t="s">
        <v>296</v>
      </c>
      <c r="F196" s="56">
        <v>1</v>
      </c>
      <c r="G196" s="68">
        <v>459000</v>
      </c>
      <c r="H196" s="56" t="s">
        <v>92</v>
      </c>
      <c r="I196" s="4">
        <v>0</v>
      </c>
      <c r="J196" s="56">
        <v>13</v>
      </c>
      <c r="K196" s="4">
        <v>0</v>
      </c>
      <c r="L196" s="56" t="s">
        <v>259</v>
      </c>
      <c r="M196" s="4" t="s">
        <v>176</v>
      </c>
      <c r="N196" s="4" t="s">
        <v>193</v>
      </c>
      <c r="O196" s="4" t="s">
        <v>178</v>
      </c>
    </row>
    <row r="197" spans="2:16">
      <c r="B197" s="20"/>
      <c r="C197" s="20">
        <v>44678</v>
      </c>
      <c r="D197" s="54">
        <v>50340257</v>
      </c>
      <c r="E197" s="55" t="s">
        <v>297</v>
      </c>
      <c r="F197" s="56">
        <v>1</v>
      </c>
      <c r="G197" s="68">
        <v>580000</v>
      </c>
      <c r="H197" s="56" t="s">
        <v>92</v>
      </c>
      <c r="I197" s="4">
        <v>0</v>
      </c>
      <c r="J197" s="56">
        <v>13</v>
      </c>
      <c r="K197" s="4">
        <v>0</v>
      </c>
      <c r="L197" s="56" t="s">
        <v>259</v>
      </c>
      <c r="M197" s="4" t="s">
        <v>176</v>
      </c>
      <c r="N197" s="4" t="s">
        <v>193</v>
      </c>
      <c r="O197" s="4" t="s">
        <v>178</v>
      </c>
    </row>
    <row r="198" spans="2:16">
      <c r="B198" s="20"/>
      <c r="C198" s="20">
        <v>44678</v>
      </c>
      <c r="D198" s="54">
        <v>50340253</v>
      </c>
      <c r="E198" s="55" t="s">
        <v>298</v>
      </c>
      <c r="F198" s="56">
        <v>1</v>
      </c>
      <c r="G198" s="68">
        <v>648000</v>
      </c>
      <c r="H198" s="56" t="s">
        <v>92</v>
      </c>
      <c r="I198" s="4">
        <v>0</v>
      </c>
      <c r="J198" s="56">
        <v>13</v>
      </c>
      <c r="K198" s="4">
        <v>0</v>
      </c>
      <c r="L198" s="56" t="s">
        <v>259</v>
      </c>
      <c r="M198" s="4" t="s">
        <v>176</v>
      </c>
      <c r="N198" s="4" t="s">
        <v>193</v>
      </c>
      <c r="O198" s="4" t="s">
        <v>178</v>
      </c>
    </row>
    <row r="199" spans="2:16">
      <c r="B199" s="20"/>
      <c r="C199" s="20">
        <v>44678</v>
      </c>
      <c r="D199" s="54">
        <v>50455985</v>
      </c>
      <c r="E199" s="55" t="s">
        <v>299</v>
      </c>
      <c r="F199" s="56">
        <v>1</v>
      </c>
      <c r="G199" s="68">
        <v>508000</v>
      </c>
      <c r="H199" s="56" t="s">
        <v>92</v>
      </c>
      <c r="I199" s="4">
        <v>0</v>
      </c>
      <c r="J199" s="56">
        <v>14</v>
      </c>
      <c r="K199" s="4">
        <v>0</v>
      </c>
      <c r="L199" s="56" t="s">
        <v>259</v>
      </c>
      <c r="M199" s="4" t="s">
        <v>176</v>
      </c>
      <c r="N199" s="4" t="s">
        <v>193</v>
      </c>
      <c r="O199" s="4" t="s">
        <v>178</v>
      </c>
    </row>
    <row r="200" spans="2:16">
      <c r="B200" s="20"/>
      <c r="C200" s="20">
        <v>44678</v>
      </c>
      <c r="D200" s="54">
        <v>50417411</v>
      </c>
      <c r="E200" s="55" t="s">
        <v>300</v>
      </c>
      <c r="F200" s="56">
        <v>1</v>
      </c>
      <c r="G200" s="68">
        <f>336000+5000</f>
        <v>341000</v>
      </c>
      <c r="H200" s="56" t="s">
        <v>92</v>
      </c>
      <c r="I200" s="4">
        <v>0</v>
      </c>
      <c r="J200" s="56">
        <v>14</v>
      </c>
      <c r="K200" s="4">
        <v>0</v>
      </c>
      <c r="L200" s="56" t="s">
        <v>259</v>
      </c>
      <c r="M200" s="4" t="s">
        <v>176</v>
      </c>
      <c r="N200" s="4" t="s">
        <v>193</v>
      </c>
      <c r="O200" s="4" t="s">
        <v>178</v>
      </c>
    </row>
    <row r="201" spans="2:16">
      <c r="B201" s="20"/>
      <c r="C201" s="20">
        <v>44678</v>
      </c>
      <c r="D201" s="54">
        <v>50417412</v>
      </c>
      <c r="E201" s="55" t="s">
        <v>301</v>
      </c>
      <c r="F201" s="56">
        <v>1</v>
      </c>
      <c r="G201" s="68">
        <v>266000</v>
      </c>
      <c r="H201" s="56" t="s">
        <v>92</v>
      </c>
      <c r="I201" s="4">
        <v>0</v>
      </c>
      <c r="J201" s="56">
        <v>14</v>
      </c>
      <c r="K201" s="4">
        <v>0</v>
      </c>
      <c r="L201" s="56" t="s">
        <v>259</v>
      </c>
      <c r="M201" s="4" t="s">
        <v>176</v>
      </c>
      <c r="N201" s="4" t="s">
        <v>193</v>
      </c>
      <c r="O201" s="4" t="s">
        <v>178</v>
      </c>
    </row>
    <row r="202" spans="2:16">
      <c r="B202" s="20"/>
      <c r="C202" s="20">
        <v>44678</v>
      </c>
      <c r="D202" s="54">
        <v>50417411</v>
      </c>
      <c r="E202" s="55" t="s">
        <v>300</v>
      </c>
      <c r="F202" s="56">
        <v>1</v>
      </c>
      <c r="G202" s="68">
        <v>744000</v>
      </c>
      <c r="H202" s="56" t="s">
        <v>92</v>
      </c>
      <c r="I202" s="4">
        <v>0</v>
      </c>
      <c r="J202" s="56">
        <v>14</v>
      </c>
      <c r="K202" s="4">
        <v>0</v>
      </c>
      <c r="L202" s="56" t="s">
        <v>259</v>
      </c>
      <c r="M202" s="4" t="s">
        <v>176</v>
      </c>
      <c r="N202" s="4" t="s">
        <v>193</v>
      </c>
      <c r="O202" s="4" t="s">
        <v>178</v>
      </c>
    </row>
    <row r="203" spans="2:16">
      <c r="B203" s="20"/>
      <c r="C203" s="20">
        <v>44678</v>
      </c>
      <c r="D203" s="54">
        <v>50417410</v>
      </c>
      <c r="E203" s="55" t="s">
        <v>302</v>
      </c>
      <c r="G203" s="68">
        <v>807000</v>
      </c>
      <c r="H203" s="56" t="s">
        <v>92</v>
      </c>
      <c r="I203" s="4">
        <v>0</v>
      </c>
      <c r="J203" s="56">
        <v>14</v>
      </c>
      <c r="K203" s="4">
        <v>0</v>
      </c>
      <c r="L203" s="56" t="s">
        <v>259</v>
      </c>
      <c r="M203" s="4" t="s">
        <v>176</v>
      </c>
      <c r="N203" s="4" t="s">
        <v>193</v>
      </c>
      <c r="O203" s="4" t="s">
        <v>178</v>
      </c>
    </row>
    <row r="204" spans="2:16">
      <c r="B204" s="20"/>
      <c r="C204" s="20">
        <v>44678</v>
      </c>
      <c r="D204" s="54">
        <v>50417412</v>
      </c>
      <c r="E204" s="55" t="s">
        <v>301</v>
      </c>
      <c r="F204" s="56">
        <v>1</v>
      </c>
      <c r="G204" s="68">
        <v>859000</v>
      </c>
      <c r="H204" s="56" t="s">
        <v>92</v>
      </c>
      <c r="I204" s="4">
        <v>0</v>
      </c>
      <c r="J204" s="56">
        <v>14</v>
      </c>
      <c r="K204" s="4">
        <v>0</v>
      </c>
      <c r="L204" s="56" t="s">
        <v>259</v>
      </c>
      <c r="M204" s="4" t="s">
        <v>176</v>
      </c>
      <c r="N204" s="4" t="s">
        <v>193</v>
      </c>
      <c r="O204" s="4" t="s">
        <v>178</v>
      </c>
    </row>
    <row r="205" spans="2:16">
      <c r="B205" s="20"/>
      <c r="C205" s="20">
        <v>44678</v>
      </c>
      <c r="D205" s="54">
        <v>50455990</v>
      </c>
      <c r="E205" s="55" t="s">
        <v>303</v>
      </c>
      <c r="F205" s="56">
        <v>1</v>
      </c>
      <c r="G205" s="68">
        <v>272000</v>
      </c>
      <c r="H205" s="56" t="s">
        <v>92</v>
      </c>
      <c r="I205" s="4">
        <v>0</v>
      </c>
      <c r="J205" s="56">
        <v>14</v>
      </c>
      <c r="K205" s="4">
        <v>0</v>
      </c>
      <c r="L205" s="56" t="s">
        <v>259</v>
      </c>
      <c r="M205" s="4" t="s">
        <v>176</v>
      </c>
      <c r="N205" s="4" t="s">
        <v>193</v>
      </c>
      <c r="O205" s="4" t="s">
        <v>178</v>
      </c>
    </row>
    <row r="206" spans="2:16">
      <c r="B206" s="20"/>
      <c r="C206" s="20">
        <v>44678</v>
      </c>
      <c r="D206" s="54">
        <v>50455988</v>
      </c>
      <c r="E206" s="55" t="s">
        <v>304</v>
      </c>
      <c r="F206" s="56">
        <v>1</v>
      </c>
      <c r="G206" s="68">
        <v>272000</v>
      </c>
      <c r="H206" s="56" t="s">
        <v>92</v>
      </c>
      <c r="I206" s="4">
        <v>0</v>
      </c>
      <c r="J206" s="56">
        <v>14</v>
      </c>
      <c r="K206" s="4">
        <v>0</v>
      </c>
      <c r="L206" s="56" t="s">
        <v>259</v>
      </c>
      <c r="M206" s="4" t="s">
        <v>176</v>
      </c>
      <c r="N206" s="4" t="s">
        <v>193</v>
      </c>
      <c r="O206" s="4" t="s">
        <v>178</v>
      </c>
    </row>
    <row r="207" spans="2:16">
      <c r="B207" s="20"/>
      <c r="C207" s="20">
        <v>44678</v>
      </c>
      <c r="D207" s="54">
        <v>50455989</v>
      </c>
      <c r="E207" s="55" t="s">
        <v>305</v>
      </c>
      <c r="F207" s="56">
        <v>1</v>
      </c>
      <c r="G207" s="68">
        <v>272000</v>
      </c>
      <c r="H207" s="56" t="s">
        <v>92</v>
      </c>
      <c r="I207" s="4">
        <v>0</v>
      </c>
      <c r="J207" s="56">
        <v>14</v>
      </c>
      <c r="K207" s="4">
        <v>0</v>
      </c>
      <c r="L207" s="56" t="s">
        <v>259</v>
      </c>
      <c r="M207" s="4" t="s">
        <v>176</v>
      </c>
      <c r="N207" s="4" t="s">
        <v>193</v>
      </c>
      <c r="O207" s="4" t="s">
        <v>178</v>
      </c>
    </row>
    <row r="208" spans="2:16">
      <c r="B208" s="20"/>
      <c r="C208" s="20">
        <v>44678</v>
      </c>
      <c r="D208" s="54">
        <v>50455861</v>
      </c>
      <c r="E208" s="55" t="s">
        <v>266</v>
      </c>
      <c r="F208" s="56">
        <v>1</v>
      </c>
      <c r="G208" s="68">
        <v>3000</v>
      </c>
      <c r="H208" s="56" t="s">
        <v>92</v>
      </c>
      <c r="I208" s="4">
        <v>0</v>
      </c>
      <c r="J208" s="56">
        <v>15</v>
      </c>
      <c r="K208" s="4">
        <v>0</v>
      </c>
      <c r="L208" s="56" t="s">
        <v>259</v>
      </c>
      <c r="M208" s="4" t="s">
        <v>176</v>
      </c>
      <c r="N208" s="4" t="s">
        <v>193</v>
      </c>
      <c r="O208" s="4" t="s">
        <v>178</v>
      </c>
    </row>
    <row r="209" spans="2:15">
      <c r="B209" s="20"/>
      <c r="C209" s="20">
        <v>44678</v>
      </c>
      <c r="D209" s="54">
        <v>50455986</v>
      </c>
      <c r="E209" s="55" t="s">
        <v>306</v>
      </c>
      <c r="F209" s="56">
        <v>1</v>
      </c>
      <c r="G209" s="68">
        <v>63000</v>
      </c>
      <c r="H209" s="56" t="s">
        <v>92</v>
      </c>
      <c r="I209" s="4">
        <v>0</v>
      </c>
      <c r="J209" s="56">
        <v>15</v>
      </c>
      <c r="K209" s="4">
        <v>0</v>
      </c>
      <c r="L209" s="56" t="s">
        <v>259</v>
      </c>
      <c r="M209" s="4" t="s">
        <v>176</v>
      </c>
      <c r="N209" s="4" t="s">
        <v>193</v>
      </c>
      <c r="O209" s="4" t="s">
        <v>178</v>
      </c>
    </row>
    <row r="210" spans="2:15">
      <c r="B210" s="20"/>
      <c r="C210" s="20">
        <v>44678</v>
      </c>
      <c r="D210" s="54">
        <v>50455987</v>
      </c>
      <c r="E210" s="55" t="s">
        <v>307</v>
      </c>
      <c r="F210" s="56">
        <v>1</v>
      </c>
      <c r="G210" s="68">
        <v>48000</v>
      </c>
      <c r="H210" s="56" t="s">
        <v>92</v>
      </c>
      <c r="I210" s="4">
        <v>0</v>
      </c>
      <c r="J210" s="56">
        <v>15</v>
      </c>
      <c r="K210" s="4">
        <v>0</v>
      </c>
      <c r="L210" s="56" t="s">
        <v>259</v>
      </c>
      <c r="M210" s="4" t="s">
        <v>176</v>
      </c>
      <c r="N210" s="4" t="s">
        <v>193</v>
      </c>
      <c r="O210" s="4" t="s">
        <v>178</v>
      </c>
    </row>
    <row r="211" spans="2:15">
      <c r="B211" s="20"/>
      <c r="C211" s="20">
        <v>44678</v>
      </c>
      <c r="D211" s="54">
        <v>50455985</v>
      </c>
      <c r="E211" s="55" t="s">
        <v>299</v>
      </c>
      <c r="F211" s="56">
        <v>1</v>
      </c>
      <c r="G211" s="68">
        <v>67000</v>
      </c>
      <c r="H211" s="56" t="s">
        <v>92</v>
      </c>
      <c r="I211" s="4">
        <v>0</v>
      </c>
      <c r="J211" s="56">
        <v>15</v>
      </c>
      <c r="K211" s="4">
        <v>0</v>
      </c>
      <c r="L211" s="56" t="s">
        <v>259</v>
      </c>
      <c r="M211" s="4" t="s">
        <v>176</v>
      </c>
      <c r="N211" s="4" t="s">
        <v>193</v>
      </c>
      <c r="O211" s="4" t="s">
        <v>178</v>
      </c>
    </row>
    <row r="212" spans="2:15">
      <c r="B212" s="20"/>
      <c r="C212" s="20">
        <v>44678</v>
      </c>
      <c r="D212" s="54">
        <v>50455770</v>
      </c>
      <c r="E212" s="55" t="s">
        <v>308</v>
      </c>
      <c r="F212" s="56">
        <v>1</v>
      </c>
      <c r="G212" s="68">
        <v>109000</v>
      </c>
      <c r="H212" s="56" t="s">
        <v>92</v>
      </c>
      <c r="I212" s="4">
        <v>0</v>
      </c>
      <c r="J212" s="56">
        <v>15</v>
      </c>
      <c r="K212" s="4">
        <v>0</v>
      </c>
      <c r="L212" s="56" t="s">
        <v>259</v>
      </c>
      <c r="M212" s="4" t="s">
        <v>176</v>
      </c>
      <c r="N212" s="4" t="s">
        <v>193</v>
      </c>
      <c r="O212" s="4" t="s">
        <v>178</v>
      </c>
    </row>
    <row r="213" spans="2:15">
      <c r="B213" s="20"/>
      <c r="C213" s="20">
        <v>44678</v>
      </c>
      <c r="D213" s="54">
        <v>50455587</v>
      </c>
      <c r="E213" s="55" t="s">
        <v>309</v>
      </c>
      <c r="F213" s="56">
        <v>1</v>
      </c>
      <c r="G213" s="68">
        <v>84000</v>
      </c>
      <c r="H213" s="56" t="s">
        <v>92</v>
      </c>
      <c r="I213" s="4">
        <v>0</v>
      </c>
      <c r="J213" s="56">
        <v>15</v>
      </c>
      <c r="K213" s="4">
        <v>0</v>
      </c>
      <c r="L213" s="56" t="s">
        <v>259</v>
      </c>
      <c r="M213" s="4" t="s">
        <v>176</v>
      </c>
      <c r="N213" s="4" t="s">
        <v>193</v>
      </c>
      <c r="O213" s="4" t="s">
        <v>178</v>
      </c>
    </row>
    <row r="214" spans="2:15">
      <c r="B214" s="20"/>
      <c r="C214" s="20">
        <v>44678</v>
      </c>
      <c r="D214" s="54">
        <v>50455589</v>
      </c>
      <c r="E214" s="55" t="s">
        <v>310</v>
      </c>
      <c r="F214" s="56">
        <v>1</v>
      </c>
      <c r="G214" s="68">
        <v>122000</v>
      </c>
      <c r="H214" s="56" t="s">
        <v>92</v>
      </c>
      <c r="I214" s="4">
        <v>0</v>
      </c>
      <c r="J214" s="56">
        <v>15</v>
      </c>
      <c r="K214" s="4">
        <v>0</v>
      </c>
      <c r="L214" s="56" t="s">
        <v>259</v>
      </c>
      <c r="M214" s="4" t="s">
        <v>176</v>
      </c>
      <c r="N214" s="4" t="s">
        <v>193</v>
      </c>
      <c r="O214" s="4" t="s">
        <v>178</v>
      </c>
    </row>
    <row r="215" spans="2:15">
      <c r="B215" s="20"/>
      <c r="C215" s="20">
        <v>44678</v>
      </c>
      <c r="D215" s="54">
        <v>50145378</v>
      </c>
      <c r="E215" s="55" t="s">
        <v>311</v>
      </c>
      <c r="F215" s="56">
        <v>1</v>
      </c>
      <c r="G215" s="68">
        <v>96000</v>
      </c>
      <c r="H215" s="56" t="s">
        <v>92</v>
      </c>
      <c r="I215" s="4">
        <v>0</v>
      </c>
      <c r="J215" s="56">
        <v>15</v>
      </c>
      <c r="K215" s="4">
        <v>0</v>
      </c>
      <c r="L215" s="56" t="s">
        <v>259</v>
      </c>
      <c r="M215" s="4" t="s">
        <v>176</v>
      </c>
      <c r="N215" s="4" t="s">
        <v>193</v>
      </c>
      <c r="O215" s="4" t="s">
        <v>178</v>
      </c>
    </row>
    <row r="216" spans="2:15">
      <c r="B216" s="20"/>
      <c r="C216" s="20">
        <v>44678</v>
      </c>
      <c r="D216" s="54">
        <v>50145377</v>
      </c>
      <c r="E216" s="55" t="s">
        <v>312</v>
      </c>
      <c r="F216" s="56">
        <v>1</v>
      </c>
      <c r="G216" s="68">
        <v>96000</v>
      </c>
      <c r="H216" s="56" t="s">
        <v>92</v>
      </c>
      <c r="I216" s="4">
        <v>0</v>
      </c>
      <c r="J216" s="56">
        <v>15</v>
      </c>
      <c r="K216" s="4">
        <v>0</v>
      </c>
      <c r="L216" s="56" t="s">
        <v>259</v>
      </c>
      <c r="M216" s="4" t="s">
        <v>176</v>
      </c>
      <c r="N216" s="4" t="s">
        <v>193</v>
      </c>
      <c r="O216" s="4" t="s">
        <v>178</v>
      </c>
    </row>
    <row r="217" spans="2:15">
      <c r="B217" s="20"/>
      <c r="C217" s="20">
        <v>44678</v>
      </c>
      <c r="D217" s="54">
        <v>50271800</v>
      </c>
      <c r="E217" s="55" t="s">
        <v>313</v>
      </c>
      <c r="F217" s="56">
        <v>1</v>
      </c>
      <c r="G217" s="68">
        <v>138000</v>
      </c>
      <c r="H217" s="56" t="s">
        <v>92</v>
      </c>
      <c r="I217" s="4">
        <v>0</v>
      </c>
      <c r="J217" s="56">
        <v>15</v>
      </c>
      <c r="K217" s="4">
        <v>0</v>
      </c>
      <c r="L217" s="56" t="s">
        <v>259</v>
      </c>
      <c r="M217" s="4" t="s">
        <v>176</v>
      </c>
      <c r="N217" s="4" t="s">
        <v>193</v>
      </c>
      <c r="O217" s="4" t="s">
        <v>178</v>
      </c>
    </row>
    <row r="218" spans="2:15">
      <c r="B218" s="20"/>
      <c r="C218" s="20">
        <v>44678</v>
      </c>
      <c r="D218" s="54">
        <v>50271740</v>
      </c>
      <c r="E218" s="55" t="s">
        <v>314</v>
      </c>
      <c r="F218" s="56">
        <v>1</v>
      </c>
      <c r="G218" s="68">
        <v>108000</v>
      </c>
      <c r="H218" s="56" t="s">
        <v>92</v>
      </c>
      <c r="I218" s="4">
        <v>0</v>
      </c>
      <c r="J218" s="56">
        <v>15</v>
      </c>
      <c r="K218" s="4">
        <v>0</v>
      </c>
      <c r="L218" s="56" t="s">
        <v>259</v>
      </c>
      <c r="M218" s="4" t="s">
        <v>176</v>
      </c>
      <c r="N218" s="4" t="s">
        <v>193</v>
      </c>
      <c r="O218" s="4" t="s">
        <v>178</v>
      </c>
    </row>
    <row r="219" spans="2:15">
      <c r="B219" s="20"/>
      <c r="C219" s="20">
        <v>44678</v>
      </c>
      <c r="D219" s="54">
        <v>50271801</v>
      </c>
      <c r="E219" s="55" t="s">
        <v>222</v>
      </c>
      <c r="F219" s="56">
        <v>1</v>
      </c>
      <c r="G219" s="68">
        <v>115000</v>
      </c>
      <c r="H219" s="56" t="s">
        <v>92</v>
      </c>
      <c r="I219" s="4">
        <v>0</v>
      </c>
      <c r="J219" s="56">
        <v>15</v>
      </c>
      <c r="K219" s="4">
        <v>0</v>
      </c>
      <c r="L219" s="56" t="s">
        <v>259</v>
      </c>
      <c r="M219" s="4" t="s">
        <v>176</v>
      </c>
      <c r="N219" s="4" t="s">
        <v>193</v>
      </c>
      <c r="O219" s="4" t="s">
        <v>178</v>
      </c>
    </row>
    <row r="220" spans="2:15">
      <c r="B220" s="20"/>
      <c r="C220" s="20">
        <v>44678</v>
      </c>
      <c r="D220" s="54">
        <v>22222</v>
      </c>
      <c r="E220" s="55" t="s">
        <v>229</v>
      </c>
      <c r="F220" s="56">
        <v>40</v>
      </c>
      <c r="G220" s="68">
        <v>40</v>
      </c>
      <c r="H220" s="56" t="s">
        <v>92</v>
      </c>
      <c r="I220" s="4">
        <v>0</v>
      </c>
      <c r="J220" s="56">
        <v>1819</v>
      </c>
      <c r="K220" s="4">
        <v>0</v>
      </c>
      <c r="L220" s="56" t="s">
        <v>315</v>
      </c>
      <c r="M220" s="4" t="s">
        <v>176</v>
      </c>
      <c r="N220" s="4" t="s">
        <v>193</v>
      </c>
      <c r="O220" s="4" t="s">
        <v>178</v>
      </c>
    </row>
    <row r="221" spans="2:15">
      <c r="B221" s="20"/>
      <c r="C221" s="20">
        <v>44678</v>
      </c>
      <c r="D221" s="54">
        <v>40499</v>
      </c>
      <c r="E221" s="55" t="s">
        <v>316</v>
      </c>
      <c r="F221" s="56">
        <v>101</v>
      </c>
      <c r="G221" s="68">
        <v>101</v>
      </c>
      <c r="H221" s="56" t="s">
        <v>92</v>
      </c>
      <c r="I221" s="4">
        <v>0</v>
      </c>
      <c r="J221" s="56">
        <v>1819</v>
      </c>
      <c r="K221" s="4">
        <v>0</v>
      </c>
      <c r="L221" s="56" t="s">
        <v>315</v>
      </c>
      <c r="M221" s="4" t="s">
        <v>176</v>
      </c>
      <c r="N221" s="4" t="s">
        <v>193</v>
      </c>
      <c r="O221" s="4" t="s">
        <v>178</v>
      </c>
    </row>
    <row r="222" spans="2:15">
      <c r="B222" s="20"/>
      <c r="C222" s="20">
        <v>44678</v>
      </c>
      <c r="D222" s="54">
        <v>11111</v>
      </c>
      <c r="E222" s="55" t="s">
        <v>217</v>
      </c>
      <c r="F222" s="56">
        <v>1</v>
      </c>
      <c r="G222" s="68">
        <v>16</v>
      </c>
      <c r="H222" s="56" t="s">
        <v>92</v>
      </c>
      <c r="I222" s="4">
        <v>0</v>
      </c>
      <c r="J222" s="56">
        <v>1819</v>
      </c>
      <c r="K222" s="4">
        <v>0</v>
      </c>
      <c r="L222" s="56" t="s">
        <v>315</v>
      </c>
      <c r="M222" s="4" t="s">
        <v>176</v>
      </c>
      <c r="N222" s="4" t="s">
        <v>193</v>
      </c>
      <c r="O222" s="4" t="s">
        <v>178</v>
      </c>
    </row>
    <row r="223" spans="2:15">
      <c r="B223" s="20"/>
      <c r="C223" s="20">
        <v>44678</v>
      </c>
      <c r="D223" s="54">
        <v>66666</v>
      </c>
      <c r="E223" s="55" t="s">
        <v>317</v>
      </c>
      <c r="G223" s="68">
        <f>SUM(G1:G6)</f>
        <v>0</v>
      </c>
      <c r="H223" s="56" t="s">
        <v>92</v>
      </c>
      <c r="I223" s="4">
        <v>0</v>
      </c>
      <c r="J223" s="56">
        <v>1819</v>
      </c>
      <c r="K223" s="4">
        <v>0</v>
      </c>
      <c r="L223" s="56" t="s">
        <v>315</v>
      </c>
      <c r="M223" s="4" t="s">
        <v>176</v>
      </c>
      <c r="N223" s="4" t="s">
        <v>193</v>
      </c>
      <c r="O223" s="4" t="s">
        <v>178</v>
      </c>
    </row>
    <row r="224" spans="2:15">
      <c r="B224" s="20"/>
      <c r="C224" s="20">
        <v>44679</v>
      </c>
      <c r="D224" s="54">
        <v>50470190</v>
      </c>
      <c r="E224" s="55" t="s">
        <v>12</v>
      </c>
      <c r="F224" s="56">
        <v>32</v>
      </c>
      <c r="G224" s="68">
        <v>9273600</v>
      </c>
      <c r="H224" s="56" t="s">
        <v>92</v>
      </c>
      <c r="I224" s="4">
        <v>0</v>
      </c>
      <c r="J224" s="56">
        <v>13987</v>
      </c>
      <c r="K224" s="4">
        <v>0</v>
      </c>
      <c r="L224" s="56" t="s">
        <v>230</v>
      </c>
      <c r="M224" s="4" t="s">
        <v>318</v>
      </c>
      <c r="N224" s="4" t="s">
        <v>319</v>
      </c>
      <c r="O224" s="4" t="s">
        <v>178</v>
      </c>
    </row>
    <row r="225" spans="2:15">
      <c r="B225" s="20"/>
      <c r="C225" s="20">
        <v>44679</v>
      </c>
      <c r="D225" s="54">
        <v>50470190</v>
      </c>
      <c r="E225" s="55" t="s">
        <v>12</v>
      </c>
      <c r="F225" s="56">
        <v>32</v>
      </c>
      <c r="G225" s="68">
        <v>9273600</v>
      </c>
      <c r="H225" s="56" t="s">
        <v>92</v>
      </c>
      <c r="I225" s="4">
        <v>0</v>
      </c>
      <c r="J225" s="56">
        <v>13977</v>
      </c>
      <c r="K225" s="4">
        <v>0</v>
      </c>
      <c r="L225" s="56" t="s">
        <v>230</v>
      </c>
      <c r="M225" s="4" t="s">
        <v>318</v>
      </c>
      <c r="N225" s="4" t="s">
        <v>320</v>
      </c>
      <c r="O225" s="4" t="s">
        <v>178</v>
      </c>
    </row>
    <row r="226" spans="2:15">
      <c r="B226" s="20"/>
      <c r="C226" s="20">
        <v>44685</v>
      </c>
      <c r="D226" s="54">
        <v>50272278</v>
      </c>
      <c r="E226" s="55" t="s">
        <v>21</v>
      </c>
      <c r="F226" s="56">
        <v>12</v>
      </c>
      <c r="G226" s="68">
        <v>6000</v>
      </c>
      <c r="H226" s="56" t="s">
        <v>92</v>
      </c>
      <c r="I226" s="4">
        <v>0</v>
      </c>
      <c r="J226" s="56">
        <v>1822</v>
      </c>
      <c r="K226" s="4">
        <v>0</v>
      </c>
      <c r="L226" s="56" t="s">
        <v>321</v>
      </c>
      <c r="M226" s="4" t="s">
        <v>176</v>
      </c>
      <c r="N226" s="4" t="s">
        <v>193</v>
      </c>
      <c r="O226" s="4" t="s">
        <v>178</v>
      </c>
    </row>
    <row r="227" spans="2:15">
      <c r="B227" s="20"/>
      <c r="C227" s="20">
        <v>44685</v>
      </c>
      <c r="D227" s="54">
        <v>50369034</v>
      </c>
      <c r="E227" s="55" t="s">
        <v>322</v>
      </c>
      <c r="F227" s="56">
        <v>6</v>
      </c>
      <c r="G227" s="68">
        <v>4135.95</v>
      </c>
      <c r="H227" s="56" t="s">
        <v>82</v>
      </c>
      <c r="I227" s="4">
        <v>0</v>
      </c>
      <c r="J227" s="56">
        <v>1822</v>
      </c>
      <c r="K227" s="4">
        <v>0</v>
      </c>
      <c r="L227" s="56" t="s">
        <v>243</v>
      </c>
      <c r="M227" s="4" t="s">
        <v>176</v>
      </c>
      <c r="N227" s="4" t="s">
        <v>193</v>
      </c>
      <c r="O227" s="4" t="s">
        <v>178</v>
      </c>
    </row>
    <row r="228" spans="2:15">
      <c r="B228" s="20"/>
      <c r="C228" s="20">
        <v>44685</v>
      </c>
      <c r="D228" s="54">
        <v>40499</v>
      </c>
      <c r="E228" s="55" t="s">
        <v>316</v>
      </c>
      <c r="F228" s="56">
        <v>67</v>
      </c>
      <c r="G228" s="68">
        <v>67</v>
      </c>
      <c r="H228" s="56" t="s">
        <v>92</v>
      </c>
      <c r="I228" s="4">
        <v>0</v>
      </c>
      <c r="J228" s="56">
        <v>1822</v>
      </c>
      <c r="K228" s="4">
        <v>0</v>
      </c>
      <c r="M228" s="4" t="s">
        <v>176</v>
      </c>
      <c r="N228" s="4" t="s">
        <v>193</v>
      </c>
      <c r="O228" s="4" t="s">
        <v>178</v>
      </c>
    </row>
    <row r="229" spans="2:15">
      <c r="B229" s="20"/>
      <c r="C229" s="20">
        <v>44686</v>
      </c>
      <c r="D229" s="54">
        <v>50142055</v>
      </c>
      <c r="E229" s="55" t="s">
        <v>206</v>
      </c>
      <c r="F229" s="56">
        <v>20</v>
      </c>
      <c r="G229" s="68">
        <v>12000</v>
      </c>
      <c r="H229" s="56" t="s">
        <v>82</v>
      </c>
      <c r="I229" s="4">
        <v>0</v>
      </c>
      <c r="J229" s="56">
        <v>900768729</v>
      </c>
      <c r="K229" s="4" t="s">
        <v>323</v>
      </c>
      <c r="L229" s="56" t="s">
        <v>324</v>
      </c>
      <c r="M229" s="4" t="s">
        <v>209</v>
      </c>
      <c r="N229" s="4" t="s">
        <v>325</v>
      </c>
      <c r="O229" s="4" t="s">
        <v>178</v>
      </c>
    </row>
    <row r="230" spans="2:15">
      <c r="B230" s="20"/>
      <c r="C230" s="20">
        <v>44686</v>
      </c>
      <c r="D230" s="54">
        <v>50340257</v>
      </c>
      <c r="E230" s="55" t="s">
        <v>297</v>
      </c>
      <c r="F230" s="56">
        <v>1</v>
      </c>
      <c r="G230" s="68">
        <v>285000</v>
      </c>
      <c r="H230" s="56" t="s">
        <v>92</v>
      </c>
      <c r="I230" s="4">
        <v>0</v>
      </c>
      <c r="J230" s="56">
        <v>1824</v>
      </c>
      <c r="K230" s="4">
        <v>0</v>
      </c>
      <c r="L230" s="56" t="s">
        <v>228</v>
      </c>
      <c r="M230" s="4" t="s">
        <v>326</v>
      </c>
      <c r="N230" s="4" t="s">
        <v>327</v>
      </c>
      <c r="O230" s="4" t="s">
        <v>178</v>
      </c>
    </row>
    <row r="231" spans="2:15">
      <c r="B231" s="20"/>
      <c r="C231" s="20">
        <v>44686</v>
      </c>
      <c r="D231" s="54">
        <v>50145031</v>
      </c>
      <c r="E231" s="55" t="s">
        <v>282</v>
      </c>
      <c r="F231" s="56">
        <v>1</v>
      </c>
      <c r="G231" s="68">
        <v>268.05</v>
      </c>
      <c r="H231" s="56" t="s">
        <v>82</v>
      </c>
      <c r="I231" s="4">
        <v>0</v>
      </c>
      <c r="J231" s="56">
        <v>1824</v>
      </c>
      <c r="K231" s="4">
        <v>0</v>
      </c>
      <c r="L231" s="56" t="s">
        <v>228</v>
      </c>
      <c r="M231" s="4" t="s">
        <v>326</v>
      </c>
      <c r="N231" s="4" t="s">
        <v>327</v>
      </c>
      <c r="O231" s="4" t="s">
        <v>178</v>
      </c>
    </row>
    <row r="232" spans="2:15">
      <c r="B232" s="20"/>
      <c r="C232" s="20">
        <v>44686</v>
      </c>
      <c r="D232" s="54">
        <v>50340253</v>
      </c>
      <c r="E232" s="55" t="s">
        <v>298</v>
      </c>
      <c r="F232" s="56">
        <v>1</v>
      </c>
      <c r="G232" s="68">
        <v>223500</v>
      </c>
      <c r="H232" s="56" t="s">
        <v>92</v>
      </c>
      <c r="I232" s="4">
        <v>0</v>
      </c>
      <c r="J232" s="56">
        <v>1824</v>
      </c>
      <c r="K232" s="4">
        <v>0</v>
      </c>
      <c r="L232" s="56" t="s">
        <v>243</v>
      </c>
      <c r="M232" s="4" t="s">
        <v>326</v>
      </c>
      <c r="N232" s="4" t="s">
        <v>327</v>
      </c>
      <c r="O232" s="4" t="s">
        <v>178</v>
      </c>
    </row>
    <row r="233" spans="2:15">
      <c r="B233" s="20"/>
      <c r="C233" s="20">
        <v>44686</v>
      </c>
      <c r="D233" s="54">
        <v>50417619</v>
      </c>
      <c r="E233" s="55" t="s">
        <v>328</v>
      </c>
      <c r="G233" s="68">
        <v>500</v>
      </c>
      <c r="H233" s="56" t="s">
        <v>82</v>
      </c>
      <c r="I233" s="4">
        <v>0</v>
      </c>
      <c r="J233" s="56">
        <v>1824</v>
      </c>
      <c r="K233" s="4">
        <v>0</v>
      </c>
      <c r="L233" s="56" t="s">
        <v>243</v>
      </c>
      <c r="M233" s="4" t="s">
        <v>326</v>
      </c>
      <c r="N233" s="4" t="s">
        <v>327</v>
      </c>
      <c r="O233" s="4" t="s">
        <v>178</v>
      </c>
    </row>
    <row r="234" spans="2:15">
      <c r="B234" s="20"/>
      <c r="C234" s="20">
        <v>44686</v>
      </c>
      <c r="D234" s="54">
        <v>50455865</v>
      </c>
      <c r="E234" s="55" t="s">
        <v>329</v>
      </c>
      <c r="G234" s="68">
        <v>440</v>
      </c>
      <c r="H234" s="56" t="s">
        <v>82</v>
      </c>
      <c r="I234" s="4">
        <v>0</v>
      </c>
      <c r="J234" s="56">
        <v>1824</v>
      </c>
      <c r="K234" s="4">
        <v>0</v>
      </c>
      <c r="L234" s="56" t="s">
        <v>243</v>
      </c>
      <c r="M234" s="4" t="s">
        <v>326</v>
      </c>
      <c r="N234" s="4" t="s">
        <v>327</v>
      </c>
      <c r="O234" s="4" t="s">
        <v>178</v>
      </c>
    </row>
    <row r="235" spans="2:15">
      <c r="B235" s="20"/>
      <c r="C235" s="20">
        <v>44691</v>
      </c>
      <c r="D235" s="54">
        <v>50142327</v>
      </c>
      <c r="E235" s="55" t="s">
        <v>256</v>
      </c>
      <c r="F235" s="56">
        <v>20</v>
      </c>
      <c r="G235" s="68">
        <v>13620</v>
      </c>
      <c r="H235" s="56" t="s">
        <v>82</v>
      </c>
      <c r="I235" s="4">
        <v>0</v>
      </c>
      <c r="J235" s="56" t="s">
        <v>330</v>
      </c>
      <c r="K235" s="4">
        <v>0</v>
      </c>
      <c r="L235" s="56" t="s">
        <v>213</v>
      </c>
      <c r="M235" s="4" t="s">
        <v>176</v>
      </c>
      <c r="N235" s="4" t="s">
        <v>193</v>
      </c>
      <c r="O235" s="4" t="s">
        <v>178</v>
      </c>
    </row>
    <row r="236" spans="2:15">
      <c r="B236" s="20"/>
      <c r="C236" s="20">
        <v>44691</v>
      </c>
      <c r="D236" s="54">
        <v>50142327</v>
      </c>
      <c r="E236" s="55" t="s">
        <v>256</v>
      </c>
      <c r="F236" s="56">
        <v>10</v>
      </c>
      <c r="G236" s="68">
        <v>5992.8</v>
      </c>
      <c r="H236" s="56" t="s">
        <v>82</v>
      </c>
      <c r="I236" s="4">
        <v>0</v>
      </c>
      <c r="J236" s="56" t="s">
        <v>331</v>
      </c>
      <c r="K236" s="4">
        <v>0</v>
      </c>
      <c r="L236" s="56" t="s">
        <v>213</v>
      </c>
      <c r="M236" s="4" t="s">
        <v>326</v>
      </c>
      <c r="N236" s="4" t="s">
        <v>332</v>
      </c>
      <c r="O236" s="4" t="s">
        <v>178</v>
      </c>
    </row>
    <row r="237" spans="2:15">
      <c r="B237" s="20"/>
      <c r="C237" s="20">
        <v>44691</v>
      </c>
      <c r="D237" s="54">
        <v>50142334</v>
      </c>
      <c r="E237" s="55" t="s">
        <v>257</v>
      </c>
      <c r="F237" s="56">
        <v>8</v>
      </c>
      <c r="G237" s="68">
        <v>5448</v>
      </c>
      <c r="H237" s="56" t="s">
        <v>82</v>
      </c>
      <c r="I237" s="4">
        <v>0</v>
      </c>
      <c r="J237" s="56" t="s">
        <v>331</v>
      </c>
      <c r="K237" s="4">
        <v>0</v>
      </c>
      <c r="L237" s="56" t="s">
        <v>213</v>
      </c>
      <c r="M237" s="4" t="s">
        <v>326</v>
      </c>
      <c r="N237" s="4" t="s">
        <v>332</v>
      </c>
      <c r="O237" s="4" t="s">
        <v>178</v>
      </c>
    </row>
    <row r="238" spans="2:15">
      <c r="B238" s="20"/>
      <c r="C238" s="20">
        <v>44692</v>
      </c>
      <c r="D238" s="54">
        <v>50142334</v>
      </c>
      <c r="E238" s="55" t="s">
        <v>257</v>
      </c>
      <c r="F238" s="56">
        <v>18</v>
      </c>
      <c r="G238" s="68">
        <v>12258</v>
      </c>
      <c r="H238" s="56" t="s">
        <v>82</v>
      </c>
      <c r="I238" s="4">
        <v>0</v>
      </c>
      <c r="J238" s="56" t="s">
        <v>333</v>
      </c>
      <c r="K238" s="4">
        <v>0</v>
      </c>
      <c r="L238" s="56" t="s">
        <v>213</v>
      </c>
      <c r="M238" s="4" t="s">
        <v>326</v>
      </c>
      <c r="N238" s="4" t="s">
        <v>332</v>
      </c>
      <c r="O238" s="4" t="s">
        <v>178</v>
      </c>
    </row>
    <row r="239" spans="2:15">
      <c r="B239" s="20"/>
      <c r="C239" s="20">
        <v>44692</v>
      </c>
      <c r="D239" s="54">
        <v>50272278</v>
      </c>
      <c r="E239" s="55" t="s">
        <v>21</v>
      </c>
      <c r="F239" s="56">
        <v>20</v>
      </c>
      <c r="G239" s="68">
        <v>10000</v>
      </c>
      <c r="H239" s="56" t="s">
        <v>92</v>
      </c>
      <c r="I239" s="4">
        <v>0</v>
      </c>
      <c r="J239" s="56">
        <v>1830</v>
      </c>
      <c r="K239" s="4">
        <v>0</v>
      </c>
      <c r="L239" s="56" t="s">
        <v>201</v>
      </c>
      <c r="M239" s="4" t="s">
        <v>326</v>
      </c>
      <c r="N239" s="4" t="s">
        <v>332</v>
      </c>
      <c r="O239" s="4" t="s">
        <v>178</v>
      </c>
    </row>
    <row r="240" spans="2:15">
      <c r="B240" s="20"/>
      <c r="C240" s="20">
        <v>44693</v>
      </c>
      <c r="D240" s="54">
        <v>50142334</v>
      </c>
      <c r="E240" s="55" t="s">
        <v>257</v>
      </c>
      <c r="F240" s="56">
        <v>18</v>
      </c>
      <c r="G240" s="68">
        <v>12258</v>
      </c>
      <c r="H240" s="56" t="s">
        <v>82</v>
      </c>
      <c r="I240" s="4">
        <v>0</v>
      </c>
      <c r="J240" s="56" t="s">
        <v>334</v>
      </c>
      <c r="K240" s="4">
        <v>0</v>
      </c>
      <c r="L240" s="56" t="s">
        <v>213</v>
      </c>
      <c r="M240" s="4" t="s">
        <v>176</v>
      </c>
      <c r="N240" s="4" t="s">
        <v>177</v>
      </c>
      <c r="O240" s="4" t="s">
        <v>178</v>
      </c>
    </row>
    <row r="241" spans="2:15">
      <c r="B241" s="20"/>
      <c r="C241" s="20">
        <v>44693</v>
      </c>
      <c r="D241" s="54">
        <v>50142334</v>
      </c>
      <c r="E241" s="55" t="s">
        <v>257</v>
      </c>
      <c r="F241" s="56">
        <v>20</v>
      </c>
      <c r="G241" s="68">
        <v>13620</v>
      </c>
      <c r="H241" s="56" t="s">
        <v>82</v>
      </c>
      <c r="I241" s="4">
        <v>0</v>
      </c>
      <c r="J241" s="56" t="s">
        <v>335</v>
      </c>
      <c r="K241" s="4">
        <v>0</v>
      </c>
      <c r="L241" s="56" t="s">
        <v>213</v>
      </c>
      <c r="M241" s="4" t="s">
        <v>176</v>
      </c>
      <c r="N241" s="4" t="s">
        <v>193</v>
      </c>
      <c r="O241" s="4" t="s">
        <v>178</v>
      </c>
    </row>
    <row r="242" spans="2:15">
      <c r="B242" s="20"/>
      <c r="C242" s="20">
        <v>44693</v>
      </c>
      <c r="D242" s="54">
        <v>50142334</v>
      </c>
      <c r="E242" s="55" t="s">
        <v>257</v>
      </c>
      <c r="F242" s="56">
        <v>18</v>
      </c>
      <c r="G242" s="68">
        <v>12258</v>
      </c>
      <c r="H242" s="56" t="s">
        <v>82</v>
      </c>
      <c r="I242" s="4">
        <v>0</v>
      </c>
      <c r="J242" s="56" t="s">
        <v>336</v>
      </c>
      <c r="K242" s="4">
        <v>0</v>
      </c>
      <c r="L242" s="56" t="s">
        <v>213</v>
      </c>
      <c r="M242" s="4" t="s">
        <v>176</v>
      </c>
      <c r="N242" s="4" t="s">
        <v>177</v>
      </c>
      <c r="O242" s="4" t="s">
        <v>178</v>
      </c>
    </row>
    <row r="243" spans="2:15">
      <c r="B243" s="20"/>
      <c r="C243" s="20">
        <v>44693</v>
      </c>
      <c r="D243" s="54">
        <v>50142334</v>
      </c>
      <c r="E243" s="55" t="s">
        <v>257</v>
      </c>
      <c r="F243" s="56">
        <v>20</v>
      </c>
      <c r="G243" s="68">
        <v>13620</v>
      </c>
      <c r="H243" s="56" t="s">
        <v>82</v>
      </c>
      <c r="I243" s="4">
        <v>0</v>
      </c>
      <c r="J243" s="56" t="s">
        <v>337</v>
      </c>
      <c r="K243" s="4">
        <v>0</v>
      </c>
      <c r="L243" s="56" t="s">
        <v>213</v>
      </c>
      <c r="M243" s="4" t="s">
        <v>176</v>
      </c>
      <c r="N243" s="4" t="s">
        <v>193</v>
      </c>
      <c r="O243" s="4" t="s">
        <v>178</v>
      </c>
    </row>
    <row r="244" spans="2:15">
      <c r="B244" s="20"/>
      <c r="C244" s="20">
        <v>44693</v>
      </c>
      <c r="D244" s="54">
        <v>50513699</v>
      </c>
      <c r="E244" s="55" t="s">
        <v>338</v>
      </c>
      <c r="F244" s="56">
        <v>12</v>
      </c>
      <c r="G244" s="68">
        <v>8399.94</v>
      </c>
      <c r="H244" s="56" t="s">
        <v>82</v>
      </c>
      <c r="I244" s="4">
        <v>0</v>
      </c>
      <c r="J244" s="56">
        <v>1831</v>
      </c>
      <c r="K244" s="4">
        <v>0</v>
      </c>
      <c r="L244" s="56" t="s">
        <v>243</v>
      </c>
      <c r="M244" s="4" t="s">
        <v>326</v>
      </c>
      <c r="N244" s="4" t="s">
        <v>332</v>
      </c>
      <c r="O244" s="4" t="s">
        <v>178</v>
      </c>
    </row>
    <row r="245" spans="2:15">
      <c r="B245" s="20"/>
      <c r="C245" s="20">
        <v>44693</v>
      </c>
      <c r="D245" s="54">
        <v>50277308</v>
      </c>
      <c r="E245" s="55" t="s">
        <v>339</v>
      </c>
      <c r="F245" s="56">
        <v>8</v>
      </c>
      <c r="G245" s="68">
        <v>5658</v>
      </c>
      <c r="H245" s="56" t="s">
        <v>82</v>
      </c>
      <c r="I245" s="4">
        <v>0</v>
      </c>
      <c r="J245" s="56">
        <v>1831</v>
      </c>
      <c r="K245" s="4">
        <v>0</v>
      </c>
      <c r="L245" s="56" t="s">
        <v>243</v>
      </c>
      <c r="M245" s="4" t="s">
        <v>326</v>
      </c>
      <c r="N245" s="4" t="s">
        <v>332</v>
      </c>
      <c r="O245" s="4" t="s">
        <v>178</v>
      </c>
    </row>
    <row r="246" spans="2:15">
      <c r="B246" s="20"/>
      <c r="C246" s="20">
        <v>44693</v>
      </c>
      <c r="D246" s="54">
        <v>50280361</v>
      </c>
      <c r="E246" s="55" t="s">
        <v>340</v>
      </c>
      <c r="F246" s="56">
        <v>18</v>
      </c>
      <c r="G246" s="68">
        <v>27000</v>
      </c>
      <c r="H246" s="56" t="s">
        <v>92</v>
      </c>
      <c r="I246" s="4">
        <v>0</v>
      </c>
      <c r="J246" s="56" t="s">
        <v>341</v>
      </c>
      <c r="K246" s="4">
        <v>0</v>
      </c>
      <c r="L246" s="56" t="s">
        <v>342</v>
      </c>
      <c r="M246" s="4" t="s">
        <v>326</v>
      </c>
      <c r="N246" s="4" t="s">
        <v>343</v>
      </c>
      <c r="O246" s="4" t="s">
        <v>178</v>
      </c>
    </row>
    <row r="247" spans="2:15">
      <c r="B247" s="20"/>
      <c r="C247" s="20">
        <v>44694</v>
      </c>
      <c r="D247" s="54">
        <v>50280361</v>
      </c>
      <c r="E247" s="55" t="s">
        <v>340</v>
      </c>
      <c r="F247" s="56">
        <v>4</v>
      </c>
      <c r="G247" s="68">
        <v>4840</v>
      </c>
      <c r="H247" s="56" t="s">
        <v>92</v>
      </c>
      <c r="I247" s="4">
        <v>0</v>
      </c>
      <c r="J247" s="56" t="s">
        <v>344</v>
      </c>
      <c r="K247" s="4">
        <v>0</v>
      </c>
      <c r="L247" s="56" t="s">
        <v>342</v>
      </c>
      <c r="M247" s="4" t="s">
        <v>326</v>
      </c>
      <c r="N247" s="4" t="s">
        <v>345</v>
      </c>
      <c r="O247" s="4" t="s">
        <v>178</v>
      </c>
    </row>
    <row r="248" spans="2:15">
      <c r="B248" s="20"/>
      <c r="C248" s="20">
        <v>44694</v>
      </c>
      <c r="D248" s="54">
        <v>50144959</v>
      </c>
      <c r="E248" s="55" t="s">
        <v>346</v>
      </c>
      <c r="F248" s="56">
        <v>21</v>
      </c>
      <c r="G248" s="68">
        <v>20500</v>
      </c>
      <c r="H248" s="56" t="s">
        <v>92</v>
      </c>
      <c r="I248" s="4">
        <v>0</v>
      </c>
      <c r="J248" s="56">
        <v>1202</v>
      </c>
      <c r="K248" s="4">
        <v>0</v>
      </c>
      <c r="L248" s="56" t="s">
        <v>228</v>
      </c>
      <c r="M248" s="4" t="s">
        <v>235</v>
      </c>
      <c r="N248" s="4" t="s">
        <v>236</v>
      </c>
      <c r="O248" s="4" t="s">
        <v>178</v>
      </c>
    </row>
    <row r="249" spans="2:15">
      <c r="B249" s="20"/>
      <c r="C249" s="20">
        <v>44694</v>
      </c>
      <c r="D249" s="54">
        <v>50340254</v>
      </c>
      <c r="E249" s="55" t="s">
        <v>347</v>
      </c>
      <c r="F249" s="56">
        <v>1</v>
      </c>
      <c r="G249" s="68">
        <v>750</v>
      </c>
      <c r="H249" s="56" t="s">
        <v>92</v>
      </c>
      <c r="I249" s="4">
        <v>0</v>
      </c>
      <c r="J249" s="56">
        <v>1202</v>
      </c>
      <c r="K249" s="4">
        <v>0</v>
      </c>
      <c r="L249" s="56" t="s">
        <v>228</v>
      </c>
      <c r="M249" s="4" t="s">
        <v>235</v>
      </c>
      <c r="N249" s="4" t="s">
        <v>236</v>
      </c>
      <c r="O249" s="4" t="s">
        <v>178</v>
      </c>
    </row>
    <row r="250" spans="2:15">
      <c r="B250" s="20"/>
      <c r="C250" s="20">
        <v>44694</v>
      </c>
      <c r="D250" s="54">
        <v>50340256</v>
      </c>
      <c r="E250" s="55" t="s">
        <v>271</v>
      </c>
      <c r="F250" s="56">
        <v>1</v>
      </c>
      <c r="G250" s="68">
        <v>3900</v>
      </c>
      <c r="H250" s="56" t="s">
        <v>92</v>
      </c>
      <c r="I250" s="4">
        <v>0</v>
      </c>
      <c r="J250" s="56">
        <v>1202</v>
      </c>
      <c r="K250" s="4">
        <v>0</v>
      </c>
      <c r="L250" s="56" t="s">
        <v>228</v>
      </c>
      <c r="M250" s="4" t="s">
        <v>235</v>
      </c>
      <c r="N250" s="4" t="s">
        <v>236</v>
      </c>
      <c r="O250" s="4" t="s">
        <v>178</v>
      </c>
    </row>
    <row r="251" spans="2:15">
      <c r="B251" s="20"/>
      <c r="C251" s="20">
        <v>44694</v>
      </c>
      <c r="D251" s="54">
        <v>50142334</v>
      </c>
      <c r="E251" s="55" t="s">
        <v>257</v>
      </c>
      <c r="F251" s="56">
        <v>18</v>
      </c>
      <c r="G251" s="68">
        <v>10623.6</v>
      </c>
      <c r="H251" s="56" t="s">
        <v>82</v>
      </c>
      <c r="I251" s="4">
        <v>0</v>
      </c>
      <c r="J251" s="56" t="s">
        <v>348</v>
      </c>
      <c r="K251" s="4">
        <v>0</v>
      </c>
      <c r="L251" s="56" t="s">
        <v>213</v>
      </c>
      <c r="M251" s="4" t="s">
        <v>176</v>
      </c>
      <c r="N251" s="4" t="s">
        <v>177</v>
      </c>
      <c r="O251" s="4" t="s">
        <v>178</v>
      </c>
    </row>
    <row r="252" spans="2:15">
      <c r="B252" s="20"/>
      <c r="C252" s="20">
        <v>44694</v>
      </c>
      <c r="D252" s="54">
        <v>50142334</v>
      </c>
      <c r="E252" s="55" t="s">
        <v>257</v>
      </c>
      <c r="F252" s="56">
        <v>20</v>
      </c>
      <c r="G252" s="68">
        <v>13620</v>
      </c>
      <c r="H252" s="56" t="s">
        <v>82</v>
      </c>
      <c r="I252" s="4">
        <v>0</v>
      </c>
      <c r="J252" s="56" t="s">
        <v>349</v>
      </c>
      <c r="K252" s="4">
        <v>0</v>
      </c>
      <c r="L252" s="56" t="s">
        <v>213</v>
      </c>
      <c r="M252" s="4" t="s">
        <v>176</v>
      </c>
      <c r="N252" s="4" t="s">
        <v>193</v>
      </c>
      <c r="O252" s="4" t="s">
        <v>178</v>
      </c>
    </row>
    <row r="253" spans="2:15">
      <c r="B253" s="20"/>
      <c r="C253" s="20">
        <v>44694</v>
      </c>
      <c r="D253" s="54">
        <v>50142334</v>
      </c>
      <c r="E253" s="55" t="s">
        <v>257</v>
      </c>
      <c r="F253" s="56">
        <v>10</v>
      </c>
      <c r="G253" s="68">
        <v>6401.4</v>
      </c>
      <c r="H253" s="56" t="s">
        <v>82</v>
      </c>
      <c r="I253" s="4">
        <v>0</v>
      </c>
      <c r="J253" s="56" t="s">
        <v>350</v>
      </c>
      <c r="K253" s="4">
        <v>0</v>
      </c>
      <c r="L253" s="56" t="s">
        <v>213</v>
      </c>
      <c r="M253" s="4" t="s">
        <v>176</v>
      </c>
      <c r="N253" s="4" t="s">
        <v>177</v>
      </c>
      <c r="O253" s="4" t="s">
        <v>178</v>
      </c>
    </row>
    <row r="254" spans="2:15">
      <c r="B254" s="20"/>
      <c r="C254" s="20">
        <v>44695</v>
      </c>
      <c r="D254" s="54">
        <v>50272278</v>
      </c>
      <c r="E254" s="55" t="s">
        <v>21</v>
      </c>
      <c r="F254" s="56">
        <v>20</v>
      </c>
      <c r="G254" s="68">
        <v>10000</v>
      </c>
      <c r="H254" s="56" t="s">
        <v>92</v>
      </c>
      <c r="I254" s="4">
        <v>0</v>
      </c>
      <c r="J254" s="56">
        <v>5798</v>
      </c>
      <c r="K254" s="4">
        <v>0</v>
      </c>
      <c r="L254" s="56" t="s">
        <v>201</v>
      </c>
      <c r="N254" s="4" t="s">
        <v>351</v>
      </c>
      <c r="O254" s="4" t="s">
        <v>178</v>
      </c>
    </row>
    <row r="255" spans="2:15">
      <c r="B255" s="20"/>
      <c r="C255" s="20">
        <v>44698</v>
      </c>
      <c r="D255" s="54">
        <v>50501722</v>
      </c>
      <c r="E255" s="55" t="s">
        <v>253</v>
      </c>
      <c r="F255" s="56">
        <v>3</v>
      </c>
      <c r="G255" s="68">
        <v>2118.35</v>
      </c>
      <c r="H255" s="56" t="s">
        <v>82</v>
      </c>
      <c r="I255" s="4">
        <v>0</v>
      </c>
      <c r="J255" s="56">
        <v>1836</v>
      </c>
      <c r="K255" s="4">
        <v>0</v>
      </c>
      <c r="L255" s="56" t="s">
        <v>243</v>
      </c>
      <c r="M255" s="4" t="s">
        <v>176</v>
      </c>
      <c r="N255" s="4" t="s">
        <v>193</v>
      </c>
      <c r="O255" s="4" t="s">
        <v>178</v>
      </c>
    </row>
    <row r="256" spans="2:15">
      <c r="B256" s="20"/>
      <c r="C256" s="20">
        <v>44698</v>
      </c>
      <c r="D256" s="54">
        <v>50522169</v>
      </c>
      <c r="E256" s="55" t="s">
        <v>250</v>
      </c>
      <c r="F256" s="56">
        <v>2</v>
      </c>
      <c r="G256" s="68">
        <v>928.85</v>
      </c>
      <c r="H256" s="56" t="s">
        <v>82</v>
      </c>
      <c r="I256" s="4">
        <v>0</v>
      </c>
      <c r="J256" s="56">
        <v>1836</v>
      </c>
      <c r="K256" s="4">
        <v>0</v>
      </c>
      <c r="L256" s="56" t="s">
        <v>243</v>
      </c>
      <c r="M256" s="4" t="s">
        <v>176</v>
      </c>
      <c r="N256" s="4" t="s">
        <v>193</v>
      </c>
      <c r="O256" s="4" t="s">
        <v>178</v>
      </c>
    </row>
    <row r="257" spans="2:15">
      <c r="B257" s="20"/>
      <c r="C257" s="20">
        <v>44698</v>
      </c>
      <c r="D257" s="54">
        <v>50280269</v>
      </c>
      <c r="E257" s="55" t="s">
        <v>352</v>
      </c>
      <c r="F257" s="56">
        <v>2</v>
      </c>
      <c r="G257" s="68">
        <v>232.43</v>
      </c>
      <c r="H257" s="56" t="s">
        <v>82</v>
      </c>
      <c r="I257" s="4">
        <v>0</v>
      </c>
      <c r="J257" s="56">
        <v>1836</v>
      </c>
      <c r="K257" s="4">
        <v>0</v>
      </c>
      <c r="L257" s="56" t="s">
        <v>243</v>
      </c>
      <c r="M257" s="4" t="s">
        <v>176</v>
      </c>
      <c r="N257" s="4" t="s">
        <v>193</v>
      </c>
      <c r="O257" s="4" t="s">
        <v>178</v>
      </c>
    </row>
    <row r="258" spans="2:15">
      <c r="B258" s="20"/>
      <c r="C258" s="20">
        <v>44698</v>
      </c>
      <c r="D258" s="54">
        <v>50455863</v>
      </c>
      <c r="E258" s="55" t="s">
        <v>265</v>
      </c>
      <c r="F258" s="56">
        <v>3</v>
      </c>
      <c r="G258" s="68">
        <v>739000</v>
      </c>
      <c r="H258" s="56" t="s">
        <v>92</v>
      </c>
      <c r="I258" s="4">
        <v>0</v>
      </c>
      <c r="J258" s="56">
        <v>1837</v>
      </c>
      <c r="K258" s="4">
        <v>0</v>
      </c>
      <c r="L258" s="56" t="s">
        <v>185</v>
      </c>
      <c r="M258" s="4" t="s">
        <v>326</v>
      </c>
      <c r="N258" s="4" t="s">
        <v>327</v>
      </c>
      <c r="O258" s="4" t="s">
        <v>178</v>
      </c>
    </row>
    <row r="259" spans="2:15">
      <c r="B259" s="20"/>
      <c r="C259" s="20">
        <v>44698</v>
      </c>
      <c r="D259" s="54">
        <v>50340253</v>
      </c>
      <c r="E259" s="55" t="s">
        <v>298</v>
      </c>
      <c r="F259" s="56">
        <v>2</v>
      </c>
      <c r="G259" s="68">
        <v>871500</v>
      </c>
      <c r="H259" s="56" t="s">
        <v>92</v>
      </c>
      <c r="I259" s="4">
        <v>0</v>
      </c>
      <c r="J259" s="56">
        <v>1839</v>
      </c>
      <c r="K259" s="4">
        <v>0</v>
      </c>
      <c r="L259" s="56" t="s">
        <v>185</v>
      </c>
      <c r="M259" s="4" t="s">
        <v>326</v>
      </c>
      <c r="N259" s="4" t="s">
        <v>327</v>
      </c>
      <c r="O259" s="4" t="s">
        <v>178</v>
      </c>
    </row>
    <row r="260" spans="2:15">
      <c r="B260" s="20"/>
      <c r="C260" s="20">
        <v>44698</v>
      </c>
      <c r="D260" s="54">
        <v>50417410</v>
      </c>
      <c r="E260" s="55" t="s">
        <v>302</v>
      </c>
      <c r="G260" s="68">
        <v>537000</v>
      </c>
      <c r="H260" s="56" t="s">
        <v>92</v>
      </c>
      <c r="I260" s="4">
        <v>0</v>
      </c>
      <c r="J260" s="56">
        <v>1839</v>
      </c>
      <c r="K260" s="4">
        <v>0</v>
      </c>
      <c r="L260" s="56" t="s">
        <v>259</v>
      </c>
      <c r="M260" s="4" t="s">
        <v>326</v>
      </c>
      <c r="N260" s="4" t="s">
        <v>327</v>
      </c>
      <c r="O260" s="4" t="s">
        <v>178</v>
      </c>
    </row>
    <row r="261" spans="2:15">
      <c r="B261" s="20"/>
      <c r="C261" s="20">
        <v>44698</v>
      </c>
      <c r="D261" s="54">
        <v>50417411</v>
      </c>
      <c r="E261" s="55" t="s">
        <v>300</v>
      </c>
      <c r="F261" s="56">
        <v>2</v>
      </c>
      <c r="G261" s="68">
        <v>1085000</v>
      </c>
      <c r="H261" s="56" t="s">
        <v>92</v>
      </c>
      <c r="I261" s="4">
        <v>0</v>
      </c>
      <c r="J261" s="56">
        <v>1839</v>
      </c>
      <c r="K261" s="4">
        <v>0</v>
      </c>
      <c r="L261" s="56" t="s">
        <v>259</v>
      </c>
      <c r="M261" s="4" t="s">
        <v>326</v>
      </c>
      <c r="N261" s="4" t="s">
        <v>327</v>
      </c>
      <c r="O261" s="4" t="s">
        <v>178</v>
      </c>
    </row>
    <row r="262" spans="2:15">
      <c r="B262" s="20"/>
      <c r="C262" s="20">
        <v>44698</v>
      </c>
      <c r="D262" s="54">
        <v>50455985</v>
      </c>
      <c r="E262" s="55" t="s">
        <v>299</v>
      </c>
      <c r="F262" s="56">
        <v>2</v>
      </c>
      <c r="G262" s="68">
        <v>575000</v>
      </c>
      <c r="H262" s="56" t="s">
        <v>92</v>
      </c>
      <c r="I262" s="4">
        <v>0</v>
      </c>
      <c r="J262" s="56">
        <v>1839</v>
      </c>
      <c r="K262" s="4">
        <v>0</v>
      </c>
      <c r="L262" s="56" t="s">
        <v>259</v>
      </c>
      <c r="M262" s="4" t="s">
        <v>326</v>
      </c>
      <c r="N262" s="4" t="s">
        <v>327</v>
      </c>
      <c r="O262" s="4" t="s">
        <v>178</v>
      </c>
    </row>
    <row r="263" spans="2:15">
      <c r="B263" s="20"/>
      <c r="C263" s="20">
        <v>44698</v>
      </c>
      <c r="D263" s="54">
        <v>50417412</v>
      </c>
      <c r="E263" s="55" t="s">
        <v>301</v>
      </c>
      <c r="F263" s="56">
        <v>2</v>
      </c>
      <c r="G263" s="68">
        <v>1125000</v>
      </c>
      <c r="H263" s="56" t="s">
        <v>92</v>
      </c>
      <c r="I263" s="4">
        <v>0</v>
      </c>
      <c r="J263" s="56">
        <v>1839</v>
      </c>
      <c r="K263" s="4">
        <v>0</v>
      </c>
      <c r="L263" s="56" t="s">
        <v>259</v>
      </c>
      <c r="M263" s="4" t="s">
        <v>326</v>
      </c>
      <c r="N263" s="4" t="s">
        <v>327</v>
      </c>
      <c r="O263" s="4" t="s">
        <v>178</v>
      </c>
    </row>
    <row r="264" spans="2:15">
      <c r="B264" s="20"/>
      <c r="C264" s="20">
        <v>44698</v>
      </c>
      <c r="D264" s="54">
        <v>50455589</v>
      </c>
      <c r="E264" s="55" t="s">
        <v>310</v>
      </c>
      <c r="F264" s="56">
        <v>1</v>
      </c>
      <c r="G264" s="68">
        <v>122000</v>
      </c>
      <c r="H264" s="56" t="s">
        <v>92</v>
      </c>
      <c r="I264" s="4">
        <v>0</v>
      </c>
      <c r="J264" s="56">
        <v>1839</v>
      </c>
      <c r="K264" s="4">
        <v>0</v>
      </c>
      <c r="L264" s="56" t="s">
        <v>259</v>
      </c>
      <c r="M264" s="4" t="s">
        <v>326</v>
      </c>
      <c r="N264" s="4" t="s">
        <v>327</v>
      </c>
      <c r="O264" s="4" t="s">
        <v>178</v>
      </c>
    </row>
    <row r="265" spans="2:15">
      <c r="B265" s="20"/>
      <c r="C265" s="20">
        <v>44698</v>
      </c>
      <c r="D265" s="54">
        <v>50455987</v>
      </c>
      <c r="E265" s="55" t="s">
        <v>307</v>
      </c>
      <c r="F265" s="56">
        <v>1</v>
      </c>
      <c r="G265" s="68">
        <v>48000</v>
      </c>
      <c r="H265" s="56" t="s">
        <v>92</v>
      </c>
      <c r="I265" s="4">
        <v>0</v>
      </c>
      <c r="J265" s="56">
        <v>1839</v>
      </c>
      <c r="K265" s="4">
        <v>0</v>
      </c>
      <c r="L265" s="56" t="s">
        <v>259</v>
      </c>
      <c r="M265" s="4" t="s">
        <v>326</v>
      </c>
      <c r="N265" s="4" t="s">
        <v>327</v>
      </c>
      <c r="O265" s="4" t="s">
        <v>178</v>
      </c>
    </row>
    <row r="266" spans="2:15">
      <c r="B266" s="20"/>
      <c r="C266" s="20">
        <v>44698</v>
      </c>
      <c r="D266" s="54">
        <v>50409393</v>
      </c>
      <c r="E266" s="55" t="s">
        <v>278</v>
      </c>
      <c r="F266" s="56">
        <v>2</v>
      </c>
      <c r="G266" s="68">
        <v>940.05</v>
      </c>
      <c r="H266" s="56" t="s">
        <v>82</v>
      </c>
      <c r="I266" s="4">
        <v>0</v>
      </c>
      <c r="J266" s="56">
        <v>1839</v>
      </c>
      <c r="K266" s="4">
        <v>0</v>
      </c>
      <c r="L266" s="56" t="s">
        <v>243</v>
      </c>
      <c r="M266" s="4" t="s">
        <v>326</v>
      </c>
      <c r="N266" s="4" t="s">
        <v>327</v>
      </c>
      <c r="O266" s="4" t="s">
        <v>178</v>
      </c>
    </row>
    <row r="267" spans="2:15">
      <c r="B267" s="20"/>
      <c r="C267" s="20">
        <v>44698</v>
      </c>
      <c r="D267" s="54">
        <v>50340257</v>
      </c>
      <c r="E267" s="55" t="s">
        <v>297</v>
      </c>
      <c r="F267" s="56">
        <v>2</v>
      </c>
      <c r="G267" s="68">
        <v>865000</v>
      </c>
      <c r="H267" s="56" t="s">
        <v>92</v>
      </c>
      <c r="I267" s="4">
        <v>0</v>
      </c>
      <c r="J267" s="56">
        <v>1838</v>
      </c>
      <c r="K267" s="4">
        <v>0</v>
      </c>
      <c r="L267" s="56" t="s">
        <v>259</v>
      </c>
      <c r="M267" s="4" t="s">
        <v>326</v>
      </c>
      <c r="N267" s="4" t="s">
        <v>327</v>
      </c>
      <c r="O267" s="4" t="s">
        <v>178</v>
      </c>
    </row>
    <row r="268" spans="2:15">
      <c r="B268" s="20"/>
      <c r="C268" s="20">
        <v>44698</v>
      </c>
      <c r="D268" s="54">
        <v>50455770</v>
      </c>
      <c r="E268" s="55" t="s">
        <v>308</v>
      </c>
      <c r="F268" s="56">
        <v>1</v>
      </c>
      <c r="G268" s="68">
        <v>109000</v>
      </c>
      <c r="H268" s="56" t="s">
        <v>92</v>
      </c>
      <c r="I268" s="4">
        <v>0</v>
      </c>
      <c r="J268" s="56">
        <v>1838</v>
      </c>
      <c r="K268" s="4">
        <v>0</v>
      </c>
      <c r="L268" s="56" t="s">
        <v>259</v>
      </c>
      <c r="M268" s="4" t="s">
        <v>326</v>
      </c>
      <c r="N268" s="4" t="s">
        <v>327</v>
      </c>
      <c r="O268" s="4" t="s">
        <v>178</v>
      </c>
    </row>
    <row r="269" spans="2:15">
      <c r="B269" s="20"/>
      <c r="C269" s="20">
        <v>44698</v>
      </c>
      <c r="D269" s="54">
        <v>50455993</v>
      </c>
      <c r="E269" s="55" t="s">
        <v>281</v>
      </c>
      <c r="F269" s="56">
        <v>1</v>
      </c>
      <c r="G269" s="68">
        <v>461.02</v>
      </c>
      <c r="H269" s="56" t="s">
        <v>82</v>
      </c>
      <c r="I269" s="4">
        <v>0</v>
      </c>
      <c r="J269" s="56">
        <v>1838</v>
      </c>
      <c r="K269" s="4">
        <v>0</v>
      </c>
      <c r="L269" s="56" t="s">
        <v>243</v>
      </c>
      <c r="M269" s="4" t="s">
        <v>326</v>
      </c>
      <c r="N269" s="4" t="s">
        <v>327</v>
      </c>
      <c r="O269" s="4" t="s">
        <v>178</v>
      </c>
    </row>
    <row r="270" spans="2:15">
      <c r="B270" s="20"/>
      <c r="C270" s="20">
        <v>44698</v>
      </c>
      <c r="D270" s="54">
        <v>50455996</v>
      </c>
      <c r="E270" s="55" t="s">
        <v>279</v>
      </c>
      <c r="F270" s="56">
        <v>1</v>
      </c>
      <c r="G270" s="68">
        <v>351.49</v>
      </c>
      <c r="H270" s="56" t="s">
        <v>82</v>
      </c>
      <c r="I270" s="4">
        <v>0</v>
      </c>
      <c r="J270" s="56">
        <v>1838</v>
      </c>
      <c r="K270" s="4">
        <v>0</v>
      </c>
      <c r="L270" s="56" t="s">
        <v>243</v>
      </c>
      <c r="M270" s="4" t="s">
        <v>326</v>
      </c>
      <c r="N270" s="4" t="s">
        <v>327</v>
      </c>
      <c r="O270" s="4" t="s">
        <v>178</v>
      </c>
    </row>
    <row r="271" spans="2:15">
      <c r="B271" s="20"/>
      <c r="C271" s="20">
        <v>44698</v>
      </c>
      <c r="D271" s="54">
        <v>50455587</v>
      </c>
      <c r="E271" s="55" t="s">
        <v>309</v>
      </c>
      <c r="F271" s="56">
        <v>1</v>
      </c>
      <c r="G271" s="68">
        <v>84000</v>
      </c>
      <c r="H271" s="56" t="s">
        <v>92</v>
      </c>
      <c r="I271" s="4">
        <v>0</v>
      </c>
      <c r="J271" s="56">
        <v>1838</v>
      </c>
      <c r="K271" s="4">
        <v>0</v>
      </c>
      <c r="L271" s="56" t="s">
        <v>259</v>
      </c>
      <c r="M271" s="4" t="s">
        <v>326</v>
      </c>
      <c r="N271" s="4" t="s">
        <v>327</v>
      </c>
      <c r="O271" s="4" t="s">
        <v>178</v>
      </c>
    </row>
    <row r="272" spans="2:15">
      <c r="B272" s="20"/>
      <c r="C272" s="20">
        <v>44698</v>
      </c>
      <c r="D272" s="54">
        <v>50455986</v>
      </c>
      <c r="E272" s="55" t="s">
        <v>306</v>
      </c>
      <c r="F272" s="56">
        <v>1</v>
      </c>
      <c r="G272" s="68">
        <v>63000</v>
      </c>
      <c r="H272" s="56" t="s">
        <v>92</v>
      </c>
      <c r="I272" s="4">
        <v>0</v>
      </c>
      <c r="J272" s="56">
        <v>1838</v>
      </c>
      <c r="K272" s="4">
        <v>0</v>
      </c>
      <c r="L272" s="56" t="s">
        <v>259</v>
      </c>
      <c r="M272" s="4" t="s">
        <v>326</v>
      </c>
      <c r="N272" s="4" t="s">
        <v>327</v>
      </c>
      <c r="O272" s="4" t="s">
        <v>178</v>
      </c>
    </row>
    <row r="273" spans="2:15">
      <c r="B273" s="20"/>
      <c r="C273" s="20">
        <v>44698</v>
      </c>
      <c r="D273" s="54">
        <v>50409392</v>
      </c>
      <c r="E273" s="55" t="s">
        <v>277</v>
      </c>
      <c r="F273" s="56">
        <v>1</v>
      </c>
      <c r="G273" s="68">
        <v>136.75</v>
      </c>
      <c r="H273" s="56" t="s">
        <v>82</v>
      </c>
      <c r="I273" s="4">
        <v>0</v>
      </c>
      <c r="J273" s="56">
        <v>1838</v>
      </c>
      <c r="K273" s="4">
        <v>0</v>
      </c>
      <c r="L273" s="56" t="s">
        <v>243</v>
      </c>
      <c r="M273" s="4" t="s">
        <v>326</v>
      </c>
      <c r="N273" s="4" t="s">
        <v>327</v>
      </c>
      <c r="O273" s="4" t="s">
        <v>178</v>
      </c>
    </row>
    <row r="274" spans="2:15">
      <c r="B274" s="20"/>
      <c r="C274" s="20">
        <v>44698</v>
      </c>
      <c r="D274" s="54">
        <v>50455865</v>
      </c>
      <c r="E274" s="55" t="s">
        <v>329</v>
      </c>
      <c r="G274" s="68">
        <v>440</v>
      </c>
      <c r="H274" s="56" t="s">
        <v>82</v>
      </c>
      <c r="I274" s="4">
        <v>0</v>
      </c>
      <c r="J274" s="56">
        <v>1838</v>
      </c>
      <c r="K274" s="4">
        <v>0</v>
      </c>
      <c r="L274" s="56" t="s">
        <v>259</v>
      </c>
      <c r="M274" s="4" t="s">
        <v>326</v>
      </c>
      <c r="N274" s="4" t="s">
        <v>327</v>
      </c>
      <c r="O274" s="4" t="s">
        <v>178</v>
      </c>
    </row>
    <row r="275" spans="2:15">
      <c r="B275" s="20"/>
      <c r="C275" s="20">
        <v>44698</v>
      </c>
      <c r="D275" s="54">
        <v>50417619</v>
      </c>
      <c r="E275" s="55" t="s">
        <v>328</v>
      </c>
      <c r="G275" s="68">
        <v>500</v>
      </c>
      <c r="H275" s="56" t="s">
        <v>82</v>
      </c>
      <c r="I275" s="4">
        <v>0</v>
      </c>
      <c r="J275" s="56">
        <v>1838</v>
      </c>
      <c r="K275" s="4">
        <v>0</v>
      </c>
      <c r="L275" s="56" t="s">
        <v>259</v>
      </c>
      <c r="M275" s="4" t="s">
        <v>326</v>
      </c>
      <c r="N275" s="4" t="s">
        <v>327</v>
      </c>
      <c r="O275" s="4" t="s">
        <v>178</v>
      </c>
    </row>
    <row r="276" spans="2:15">
      <c r="B276" s="20"/>
      <c r="C276" s="20">
        <v>44698</v>
      </c>
      <c r="D276" s="54">
        <v>50340254</v>
      </c>
      <c r="E276" s="55" t="s">
        <v>347</v>
      </c>
      <c r="F276" s="56">
        <v>1</v>
      </c>
      <c r="G276" s="68">
        <v>750</v>
      </c>
      <c r="H276" s="56" t="s">
        <v>92</v>
      </c>
      <c r="I276" s="4">
        <v>0</v>
      </c>
      <c r="J276" s="56">
        <v>1839</v>
      </c>
      <c r="K276" s="4">
        <v>0</v>
      </c>
      <c r="L276" s="56" t="s">
        <v>228</v>
      </c>
      <c r="M276" s="4" t="s">
        <v>326</v>
      </c>
      <c r="N276" s="4" t="s">
        <v>327</v>
      </c>
      <c r="O276" s="4" t="s">
        <v>178</v>
      </c>
    </row>
    <row r="277" spans="2:15">
      <c r="B277" s="20"/>
      <c r="C277" s="20">
        <v>44698</v>
      </c>
      <c r="D277" s="54">
        <v>50493261</v>
      </c>
      <c r="E277" s="55" t="s">
        <v>276</v>
      </c>
      <c r="F277" s="56">
        <v>4</v>
      </c>
      <c r="G277" s="68">
        <v>1825.7</v>
      </c>
      <c r="H277" s="56" t="s">
        <v>82</v>
      </c>
      <c r="I277" s="4">
        <v>0</v>
      </c>
      <c r="J277" s="56">
        <v>1839</v>
      </c>
      <c r="K277" s="4">
        <v>0</v>
      </c>
      <c r="L277" s="56" t="s">
        <v>243</v>
      </c>
      <c r="M277" s="4" t="s">
        <v>326</v>
      </c>
      <c r="N277" s="4" t="s">
        <v>327</v>
      </c>
      <c r="O277" s="4" t="s">
        <v>178</v>
      </c>
    </row>
    <row r="278" spans="2:15">
      <c r="B278" s="20"/>
      <c r="C278" s="20">
        <v>44701</v>
      </c>
      <c r="D278" s="54">
        <v>50501722</v>
      </c>
      <c r="E278" s="55" t="s">
        <v>253</v>
      </c>
      <c r="F278" s="56">
        <v>6</v>
      </c>
      <c r="G278" s="68">
        <v>4193.4</v>
      </c>
      <c r="H278" s="56" t="s">
        <v>82</v>
      </c>
      <c r="I278" s="4">
        <v>0</v>
      </c>
      <c r="J278" s="56">
        <v>11108</v>
      </c>
      <c r="K278" s="4">
        <v>0</v>
      </c>
      <c r="L278" s="56" t="s">
        <v>243</v>
      </c>
      <c r="M278" s="4" t="s">
        <v>243</v>
      </c>
      <c r="N278" s="4" t="s">
        <v>353</v>
      </c>
      <c r="O278" s="4" t="s">
        <v>178</v>
      </c>
    </row>
    <row r="279" spans="2:15">
      <c r="B279" s="20"/>
      <c r="C279" s="20">
        <v>44704</v>
      </c>
      <c r="D279" s="54">
        <v>50369034</v>
      </c>
      <c r="E279" s="55" t="s">
        <v>322</v>
      </c>
      <c r="F279" s="56">
        <v>10</v>
      </c>
      <c r="G279" s="68">
        <v>6799.7</v>
      </c>
      <c r="H279" s="56" t="s">
        <v>82</v>
      </c>
      <c r="I279" s="4">
        <v>0</v>
      </c>
      <c r="J279" s="56">
        <v>1847</v>
      </c>
      <c r="K279" s="4">
        <v>0</v>
      </c>
      <c r="L279" s="56" t="s">
        <v>243</v>
      </c>
      <c r="M279" s="4" t="s">
        <v>176</v>
      </c>
      <c r="N279" s="4" t="s">
        <v>177</v>
      </c>
      <c r="O279" s="4" t="s">
        <v>178</v>
      </c>
    </row>
    <row r="280" spans="2:15">
      <c r="B280" s="20"/>
      <c r="C280" s="20">
        <v>44706</v>
      </c>
      <c r="D280" s="54">
        <v>50010080</v>
      </c>
      <c r="E280" s="55" t="s">
        <v>354</v>
      </c>
      <c r="F280" s="56">
        <v>10</v>
      </c>
      <c r="G280" s="68">
        <v>15000</v>
      </c>
      <c r="H280" s="56" t="s">
        <v>82</v>
      </c>
      <c r="I280" s="4">
        <v>0</v>
      </c>
      <c r="J280" s="56">
        <v>356</v>
      </c>
      <c r="K280" s="4">
        <v>0</v>
      </c>
      <c r="L280" s="56" t="s">
        <v>355</v>
      </c>
      <c r="M280" s="4" t="s">
        <v>356</v>
      </c>
      <c r="N280" s="4" t="s">
        <v>357</v>
      </c>
      <c r="O280" s="4" t="s">
        <v>178</v>
      </c>
    </row>
    <row r="281" spans="2:15">
      <c r="B281" s="20"/>
      <c r="C281" s="20">
        <v>44707</v>
      </c>
      <c r="D281" s="54">
        <v>50551883</v>
      </c>
      <c r="E281" s="55" t="s">
        <v>223</v>
      </c>
      <c r="F281" s="56">
        <v>7</v>
      </c>
      <c r="G281" s="68">
        <v>2520000</v>
      </c>
      <c r="H281" s="56" t="s">
        <v>92</v>
      </c>
      <c r="I281" s="4">
        <v>0</v>
      </c>
      <c r="J281" s="56">
        <v>1849</v>
      </c>
      <c r="K281" s="4">
        <v>0</v>
      </c>
      <c r="L281" s="56" t="s">
        <v>358</v>
      </c>
      <c r="M281" s="4" t="s">
        <v>176</v>
      </c>
      <c r="N281" s="4" t="s">
        <v>193</v>
      </c>
      <c r="O281" s="4" t="s">
        <v>178</v>
      </c>
    </row>
    <row r="282" spans="2:15">
      <c r="B282" s="20"/>
      <c r="C282" s="20">
        <v>44707</v>
      </c>
      <c r="D282" s="54">
        <v>50395897</v>
      </c>
      <c r="E282" s="55" t="s">
        <v>359</v>
      </c>
      <c r="F282" s="56">
        <v>3</v>
      </c>
      <c r="G282" s="68">
        <v>2160000</v>
      </c>
      <c r="H282" s="56" t="s">
        <v>92</v>
      </c>
      <c r="I282" s="4">
        <v>0</v>
      </c>
      <c r="J282" s="56">
        <v>1849</v>
      </c>
      <c r="K282" s="4">
        <v>0</v>
      </c>
      <c r="L282" s="56" t="s">
        <v>358</v>
      </c>
      <c r="M282" s="4" t="s">
        <v>176</v>
      </c>
      <c r="N282" s="4" t="s">
        <v>193</v>
      </c>
      <c r="O282" s="4" t="s">
        <v>178</v>
      </c>
    </row>
    <row r="283" spans="2:15">
      <c r="B283" s="20"/>
      <c r="C283" s="20">
        <v>44707</v>
      </c>
      <c r="D283" s="54">
        <v>50551884</v>
      </c>
      <c r="E283" s="55" t="s">
        <v>360</v>
      </c>
      <c r="F283" s="56">
        <v>1</v>
      </c>
      <c r="G283" s="68">
        <v>1122000</v>
      </c>
      <c r="H283" s="56" t="s">
        <v>92</v>
      </c>
      <c r="I283" s="4">
        <v>0</v>
      </c>
      <c r="J283" s="56">
        <v>1849</v>
      </c>
      <c r="K283" s="4">
        <v>0</v>
      </c>
      <c r="L283" s="56" t="s">
        <v>358</v>
      </c>
      <c r="M283" s="4" t="s">
        <v>176</v>
      </c>
      <c r="N283" s="4" t="s">
        <v>193</v>
      </c>
      <c r="O283" s="4" t="s">
        <v>178</v>
      </c>
    </row>
    <row r="284" spans="2:15">
      <c r="B284" s="20"/>
      <c r="C284" s="20">
        <v>44707</v>
      </c>
      <c r="D284" s="54">
        <v>40003932</v>
      </c>
      <c r="E284" s="55" t="s">
        <v>361</v>
      </c>
      <c r="F284" s="56">
        <v>11</v>
      </c>
      <c r="G284" s="68">
        <v>4851</v>
      </c>
      <c r="H284" s="56" t="s">
        <v>80</v>
      </c>
      <c r="I284" s="4">
        <v>0</v>
      </c>
      <c r="J284" s="56">
        <v>1849</v>
      </c>
      <c r="K284" s="4">
        <v>0</v>
      </c>
      <c r="L284" s="56" t="s">
        <v>200</v>
      </c>
      <c r="M284" s="4" t="s">
        <v>176</v>
      </c>
      <c r="N284" s="4" t="s">
        <v>193</v>
      </c>
      <c r="O284" s="4" t="s">
        <v>178</v>
      </c>
    </row>
    <row r="285" spans="2:15">
      <c r="B285" s="20"/>
      <c r="C285" s="20">
        <v>44708</v>
      </c>
      <c r="D285" s="54">
        <v>50470190</v>
      </c>
      <c r="E285" s="55" t="s">
        <v>12</v>
      </c>
      <c r="F285" s="56">
        <v>32</v>
      </c>
      <c r="G285" s="68">
        <v>9273600</v>
      </c>
      <c r="H285" s="56" t="s">
        <v>92</v>
      </c>
      <c r="I285" s="4">
        <v>0</v>
      </c>
      <c r="J285" s="56">
        <v>14362</v>
      </c>
      <c r="K285" s="4">
        <v>0</v>
      </c>
      <c r="L285" s="56" t="s">
        <v>230</v>
      </c>
      <c r="M285" s="4" t="s">
        <v>318</v>
      </c>
      <c r="N285" s="4" t="s">
        <v>362</v>
      </c>
      <c r="O285" s="4" t="s">
        <v>178</v>
      </c>
    </row>
    <row r="286" spans="2:15">
      <c r="B286" s="20"/>
      <c r="C286" s="20">
        <v>44708</v>
      </c>
      <c r="D286" s="54">
        <v>50470190</v>
      </c>
      <c r="E286" s="55" t="s">
        <v>12</v>
      </c>
      <c r="F286" s="56">
        <v>32</v>
      </c>
      <c r="G286" s="68">
        <v>9273600</v>
      </c>
      <c r="H286" s="56" t="s">
        <v>92</v>
      </c>
      <c r="I286" s="4">
        <v>0</v>
      </c>
      <c r="J286" s="56">
        <v>14363</v>
      </c>
      <c r="K286" s="4">
        <v>0</v>
      </c>
      <c r="L286" s="56" t="s">
        <v>230</v>
      </c>
      <c r="M286" s="4" t="s">
        <v>318</v>
      </c>
      <c r="N286" s="4" t="s">
        <v>319</v>
      </c>
      <c r="O286" s="4" t="s">
        <v>178</v>
      </c>
    </row>
    <row r="287" spans="2:15">
      <c r="B287" s="20"/>
      <c r="C287" s="20">
        <v>44712</v>
      </c>
      <c r="D287" s="54">
        <v>50272278</v>
      </c>
      <c r="E287" s="55" t="s">
        <v>21</v>
      </c>
      <c r="F287" s="56">
        <v>20</v>
      </c>
      <c r="G287" s="68">
        <v>10000</v>
      </c>
      <c r="H287" s="56" t="s">
        <v>92</v>
      </c>
      <c r="I287" s="4">
        <v>0</v>
      </c>
      <c r="J287" s="56">
        <v>6179</v>
      </c>
      <c r="K287" s="4">
        <v>0</v>
      </c>
      <c r="L287" s="56" t="s">
        <v>201</v>
      </c>
      <c r="M287" s="4" t="s">
        <v>201</v>
      </c>
      <c r="N287" s="4" t="s">
        <v>363</v>
      </c>
      <c r="O287" s="4" t="s">
        <v>178</v>
      </c>
    </row>
    <row r="288" spans="2:15">
      <c r="B288" s="20"/>
      <c r="C288" s="20">
        <v>44713</v>
      </c>
      <c r="D288" s="54">
        <v>50534881</v>
      </c>
      <c r="E288" s="55" t="s">
        <v>227</v>
      </c>
      <c r="F288" s="56">
        <v>9</v>
      </c>
      <c r="G288" s="68">
        <v>73500</v>
      </c>
      <c r="H288" s="56" t="s">
        <v>92</v>
      </c>
      <c r="I288" s="4">
        <v>0</v>
      </c>
      <c r="J288" s="56">
        <v>1861</v>
      </c>
      <c r="K288" s="4">
        <v>0</v>
      </c>
      <c r="L288" s="56" t="s">
        <v>228</v>
      </c>
      <c r="M288" s="4" t="s">
        <v>176</v>
      </c>
      <c r="N288" s="4" t="s">
        <v>177</v>
      </c>
      <c r="O288" s="4" t="s">
        <v>178</v>
      </c>
    </row>
    <row r="289" spans="2:15">
      <c r="B289" s="20"/>
      <c r="C289" s="20">
        <v>44713</v>
      </c>
      <c r="D289" s="54">
        <v>50272278</v>
      </c>
      <c r="E289" s="55" t="s">
        <v>21</v>
      </c>
      <c r="F289" s="56">
        <v>8</v>
      </c>
      <c r="G289" s="68">
        <v>4000</v>
      </c>
      <c r="H289" s="56" t="s">
        <v>92</v>
      </c>
      <c r="I289" s="4">
        <v>0</v>
      </c>
      <c r="J289" s="56">
        <v>16715</v>
      </c>
      <c r="K289" s="4">
        <v>0</v>
      </c>
      <c r="L289" s="56" t="s">
        <v>226</v>
      </c>
      <c r="M289" s="4" t="s">
        <v>262</v>
      </c>
      <c r="N289" s="4" t="s">
        <v>364</v>
      </c>
      <c r="O289" s="4" t="s">
        <v>178</v>
      </c>
    </row>
    <row r="290" spans="2:15">
      <c r="B290" s="20"/>
      <c r="C290" s="20">
        <v>44713</v>
      </c>
      <c r="D290" s="54">
        <v>50272278</v>
      </c>
      <c r="E290" s="55" t="s">
        <v>21</v>
      </c>
      <c r="F290" s="56">
        <v>4</v>
      </c>
      <c r="G290" s="68">
        <v>2000</v>
      </c>
      <c r="H290" s="56" t="s">
        <v>92</v>
      </c>
      <c r="I290" s="4">
        <v>0</v>
      </c>
      <c r="J290" s="56">
        <v>16714</v>
      </c>
      <c r="K290" s="4">
        <v>0</v>
      </c>
      <c r="L290" s="56" t="s">
        <v>226</v>
      </c>
      <c r="M290" s="4" t="s">
        <v>262</v>
      </c>
      <c r="N290" s="4" t="s">
        <v>364</v>
      </c>
      <c r="O290" s="4" t="s">
        <v>178</v>
      </c>
    </row>
    <row r="291" spans="2:15">
      <c r="B291" s="20"/>
      <c r="C291" s="20">
        <v>44715</v>
      </c>
      <c r="D291" s="54">
        <v>50142055</v>
      </c>
      <c r="E291" s="55" t="s">
        <v>206</v>
      </c>
      <c r="F291" s="56">
        <v>10</v>
      </c>
      <c r="G291" s="68">
        <v>6000</v>
      </c>
      <c r="H291" s="56" t="s">
        <v>82</v>
      </c>
      <c r="I291" s="4">
        <v>0</v>
      </c>
      <c r="J291" s="56">
        <v>900781045</v>
      </c>
      <c r="K291" s="4" t="s">
        <v>365</v>
      </c>
      <c r="L291" s="56" t="s">
        <v>324</v>
      </c>
      <c r="M291" s="4" t="s">
        <v>366</v>
      </c>
      <c r="N291" s="4" t="s">
        <v>367</v>
      </c>
      <c r="O291" s="4" t="s">
        <v>178</v>
      </c>
    </row>
    <row r="292" spans="2:15">
      <c r="B292" s="20"/>
      <c r="C292" s="20">
        <v>44715</v>
      </c>
      <c r="D292" s="54">
        <v>50145380</v>
      </c>
      <c r="E292" s="55" t="s">
        <v>368</v>
      </c>
      <c r="F292" s="56">
        <v>1</v>
      </c>
      <c r="G292" s="68">
        <v>859</v>
      </c>
      <c r="H292" s="56" t="s">
        <v>92</v>
      </c>
      <c r="I292" s="4">
        <v>0</v>
      </c>
      <c r="J292" s="56">
        <v>2848</v>
      </c>
      <c r="K292" s="4">
        <v>0</v>
      </c>
      <c r="L292" s="56" t="s">
        <v>342</v>
      </c>
      <c r="M292" s="4" t="s">
        <v>326</v>
      </c>
      <c r="N292" s="4" t="s">
        <v>327</v>
      </c>
      <c r="O292" s="4" t="s">
        <v>178</v>
      </c>
    </row>
    <row r="293" spans="2:15">
      <c r="B293" s="20"/>
      <c r="C293" s="20">
        <v>44715</v>
      </c>
      <c r="D293" s="54">
        <v>50145381</v>
      </c>
      <c r="E293" s="55" t="s">
        <v>369</v>
      </c>
      <c r="F293" s="56">
        <v>1</v>
      </c>
      <c r="G293" s="68">
        <v>12731</v>
      </c>
      <c r="H293" s="56" t="s">
        <v>92</v>
      </c>
      <c r="I293" s="4">
        <v>0</v>
      </c>
      <c r="J293" s="56">
        <v>2848</v>
      </c>
      <c r="K293" s="4">
        <v>0</v>
      </c>
      <c r="L293" s="56" t="s">
        <v>342</v>
      </c>
      <c r="M293" s="4" t="s">
        <v>326</v>
      </c>
      <c r="N293" s="4" t="s">
        <v>327</v>
      </c>
      <c r="O293" s="4" t="s">
        <v>178</v>
      </c>
    </row>
    <row r="294" spans="2:15">
      <c r="B294" s="20"/>
      <c r="C294" s="20">
        <v>44715</v>
      </c>
      <c r="D294" s="54">
        <v>50372640</v>
      </c>
      <c r="E294" s="55" t="s">
        <v>274</v>
      </c>
      <c r="F294" s="56">
        <v>4</v>
      </c>
      <c r="G294" s="68">
        <v>8875</v>
      </c>
      <c r="H294" s="56" t="s">
        <v>92</v>
      </c>
      <c r="I294" s="4">
        <v>0</v>
      </c>
      <c r="J294" s="56">
        <v>2848</v>
      </c>
      <c r="K294" s="4">
        <v>0</v>
      </c>
      <c r="L294" s="56" t="s">
        <v>342</v>
      </c>
      <c r="M294" s="4" t="s">
        <v>326</v>
      </c>
      <c r="N294" s="4" t="s">
        <v>327</v>
      </c>
      <c r="O294" s="4" t="s">
        <v>178</v>
      </c>
    </row>
    <row r="295" spans="2:15">
      <c r="B295" s="20"/>
      <c r="C295" s="20">
        <v>44715</v>
      </c>
      <c r="D295" s="54">
        <v>50458295</v>
      </c>
      <c r="E295" s="55" t="s">
        <v>370</v>
      </c>
      <c r="F295" s="56">
        <v>1</v>
      </c>
      <c r="G295" s="68">
        <v>4800</v>
      </c>
      <c r="H295" s="56" t="s">
        <v>92</v>
      </c>
      <c r="I295" s="4">
        <v>0</v>
      </c>
      <c r="J295" s="56">
        <v>2848</v>
      </c>
      <c r="K295" s="4">
        <v>0</v>
      </c>
      <c r="L295" s="56" t="s">
        <v>342</v>
      </c>
      <c r="M295" s="4" t="s">
        <v>326</v>
      </c>
      <c r="N295" s="4" t="s">
        <v>327</v>
      </c>
      <c r="O295" s="4" t="s">
        <v>178</v>
      </c>
    </row>
    <row r="296" spans="2:15">
      <c r="B296" s="20"/>
      <c r="C296" s="20">
        <v>44715</v>
      </c>
      <c r="D296" s="54">
        <v>50460510</v>
      </c>
      <c r="E296" s="55" t="s">
        <v>371</v>
      </c>
      <c r="F296" s="56">
        <v>1</v>
      </c>
      <c r="G296" s="68">
        <v>740</v>
      </c>
      <c r="H296" s="56" t="s">
        <v>92</v>
      </c>
      <c r="I296" s="4">
        <v>0</v>
      </c>
      <c r="J296" s="56">
        <v>2848</v>
      </c>
      <c r="K296" s="4">
        <v>0</v>
      </c>
      <c r="L296" s="56" t="s">
        <v>342</v>
      </c>
      <c r="M296" s="4" t="s">
        <v>326</v>
      </c>
      <c r="N296" s="4" t="s">
        <v>327</v>
      </c>
      <c r="O296" s="4" t="s">
        <v>178</v>
      </c>
    </row>
    <row r="297" spans="2:15">
      <c r="B297" s="20"/>
      <c r="C297" s="20">
        <v>44715</v>
      </c>
      <c r="D297" s="54">
        <v>50483023</v>
      </c>
      <c r="E297" s="55" t="s">
        <v>372</v>
      </c>
      <c r="F297" s="56">
        <v>1</v>
      </c>
      <c r="G297" s="68">
        <v>42</v>
      </c>
      <c r="H297" s="56" t="s">
        <v>92</v>
      </c>
      <c r="I297" s="4">
        <v>0</v>
      </c>
      <c r="J297" s="56">
        <v>2848</v>
      </c>
      <c r="K297" s="4">
        <v>0</v>
      </c>
      <c r="L297" s="56" t="s">
        <v>342</v>
      </c>
      <c r="M297" s="4" t="s">
        <v>326</v>
      </c>
      <c r="N297" s="4" t="s">
        <v>327</v>
      </c>
      <c r="O297" s="4" t="s">
        <v>178</v>
      </c>
    </row>
    <row r="298" spans="2:15">
      <c r="B298" s="20"/>
      <c r="C298" s="20">
        <v>44715</v>
      </c>
      <c r="D298" s="54">
        <v>50489210</v>
      </c>
      <c r="E298" s="55" t="s">
        <v>373</v>
      </c>
      <c r="F298" s="56">
        <v>1</v>
      </c>
      <c r="G298" s="68">
        <v>650</v>
      </c>
      <c r="H298" s="56" t="s">
        <v>92</v>
      </c>
      <c r="I298" s="4">
        <v>0</v>
      </c>
      <c r="J298" s="56">
        <v>2848</v>
      </c>
      <c r="K298" s="4">
        <v>0</v>
      </c>
      <c r="L298" s="56" t="s">
        <v>342</v>
      </c>
      <c r="M298" s="4" t="s">
        <v>326</v>
      </c>
      <c r="N298" s="4" t="s">
        <v>327</v>
      </c>
      <c r="O298" s="4" t="s">
        <v>178</v>
      </c>
    </row>
    <row r="299" spans="2:15">
      <c r="B299" s="20"/>
      <c r="C299" s="20">
        <v>44715</v>
      </c>
      <c r="D299" s="54">
        <v>50491486</v>
      </c>
      <c r="E299" s="55" t="s">
        <v>374</v>
      </c>
      <c r="F299" s="56">
        <v>1</v>
      </c>
      <c r="G299" s="68">
        <v>3842</v>
      </c>
      <c r="H299" s="56" t="s">
        <v>92</v>
      </c>
      <c r="I299" s="4">
        <v>0</v>
      </c>
      <c r="J299" s="56">
        <v>2848</v>
      </c>
      <c r="K299" s="4">
        <v>0</v>
      </c>
      <c r="L299" s="56" t="s">
        <v>342</v>
      </c>
      <c r="M299" s="4" t="s">
        <v>326</v>
      </c>
      <c r="N299" s="4" t="s">
        <v>327</v>
      </c>
      <c r="O299" s="4" t="s">
        <v>178</v>
      </c>
    </row>
    <row r="300" spans="2:15">
      <c r="B300" s="20"/>
      <c r="C300" s="20">
        <v>44715</v>
      </c>
      <c r="D300" s="54">
        <v>50550702</v>
      </c>
      <c r="E300" s="55" t="s">
        <v>375</v>
      </c>
      <c r="F300" s="56">
        <v>1</v>
      </c>
      <c r="G300" s="68">
        <v>2940</v>
      </c>
      <c r="H300" s="56" t="s">
        <v>92</v>
      </c>
      <c r="I300" s="4">
        <v>0</v>
      </c>
      <c r="J300" s="56">
        <v>2848</v>
      </c>
      <c r="K300" s="4">
        <v>0</v>
      </c>
      <c r="L300" s="56" t="s">
        <v>342</v>
      </c>
      <c r="M300" s="4" t="s">
        <v>326</v>
      </c>
      <c r="N300" s="4" t="s">
        <v>327</v>
      </c>
      <c r="O300" s="4" t="s">
        <v>178</v>
      </c>
    </row>
    <row r="301" spans="2:15">
      <c r="B301" s="20"/>
      <c r="C301" s="20">
        <v>44715</v>
      </c>
      <c r="D301" s="54">
        <v>50663978</v>
      </c>
      <c r="E301" s="55" t="s">
        <v>376</v>
      </c>
      <c r="F301" s="56">
        <v>1</v>
      </c>
      <c r="G301" s="68">
        <v>573</v>
      </c>
      <c r="H301" s="56" t="s">
        <v>92</v>
      </c>
      <c r="I301" s="4">
        <v>0</v>
      </c>
      <c r="J301" s="56">
        <v>2848</v>
      </c>
      <c r="K301" s="4">
        <v>0</v>
      </c>
      <c r="L301" s="56" t="s">
        <v>342</v>
      </c>
      <c r="M301" s="4" t="s">
        <v>326</v>
      </c>
      <c r="N301" s="4" t="s">
        <v>327</v>
      </c>
      <c r="O301" s="4" t="s">
        <v>178</v>
      </c>
    </row>
    <row r="302" spans="2:15">
      <c r="B302" s="20"/>
      <c r="C302" s="20">
        <v>44715</v>
      </c>
      <c r="D302" s="54">
        <v>40499</v>
      </c>
      <c r="E302" s="55" t="s">
        <v>316</v>
      </c>
      <c r="F302" s="56">
        <v>2</v>
      </c>
      <c r="G302" s="68">
        <v>2</v>
      </c>
      <c r="H302" s="56" t="s">
        <v>92</v>
      </c>
      <c r="I302" s="4">
        <v>0</v>
      </c>
      <c r="J302" s="56">
        <v>2848</v>
      </c>
      <c r="K302" s="4">
        <v>0</v>
      </c>
      <c r="M302" s="4" t="s">
        <v>326</v>
      </c>
      <c r="N302" s="4" t="s">
        <v>327</v>
      </c>
      <c r="O302" s="4" t="s">
        <v>178</v>
      </c>
    </row>
    <row r="303" spans="2:15">
      <c r="B303" s="20"/>
      <c r="C303" s="20">
        <v>44715</v>
      </c>
      <c r="D303" s="54">
        <v>50482947</v>
      </c>
      <c r="E303" s="55" t="s">
        <v>377</v>
      </c>
      <c r="F303" s="56">
        <v>1</v>
      </c>
      <c r="G303" s="68">
        <v>10404</v>
      </c>
      <c r="H303" s="56" t="s">
        <v>92</v>
      </c>
      <c r="I303" s="4">
        <v>0</v>
      </c>
      <c r="J303" s="56">
        <v>2847</v>
      </c>
      <c r="K303" s="4">
        <v>0</v>
      </c>
      <c r="L303" s="56" t="s">
        <v>342</v>
      </c>
      <c r="M303" s="4" t="s">
        <v>326</v>
      </c>
      <c r="N303" s="4" t="s">
        <v>343</v>
      </c>
      <c r="O303" s="4" t="s">
        <v>178</v>
      </c>
    </row>
    <row r="304" spans="2:15">
      <c r="B304" s="20"/>
      <c r="C304" s="20">
        <v>44715</v>
      </c>
      <c r="D304" s="54">
        <v>50482948</v>
      </c>
      <c r="E304" s="55" t="s">
        <v>378</v>
      </c>
      <c r="F304" s="56">
        <v>3</v>
      </c>
      <c r="G304" s="68">
        <v>30000</v>
      </c>
      <c r="H304" s="56" t="s">
        <v>92</v>
      </c>
      <c r="I304" s="4">
        <v>0</v>
      </c>
      <c r="J304" s="56">
        <v>2847</v>
      </c>
      <c r="K304" s="4">
        <v>0</v>
      </c>
      <c r="L304" s="56" t="s">
        <v>342</v>
      </c>
      <c r="M304" s="4" t="s">
        <v>326</v>
      </c>
      <c r="N304" s="4" t="s">
        <v>343</v>
      </c>
      <c r="O304" s="4" t="s">
        <v>178</v>
      </c>
    </row>
    <row r="305" spans="2:15">
      <c r="B305" s="20"/>
      <c r="C305" s="20">
        <v>44715</v>
      </c>
      <c r="D305" s="54">
        <v>50482949</v>
      </c>
      <c r="E305" s="55" t="s">
        <v>379</v>
      </c>
      <c r="F305" s="56">
        <v>7</v>
      </c>
      <c r="G305" s="68">
        <v>76292</v>
      </c>
      <c r="H305" s="56" t="s">
        <v>92</v>
      </c>
      <c r="I305" s="4">
        <v>0</v>
      </c>
      <c r="J305" s="56">
        <v>2847</v>
      </c>
      <c r="K305" s="4">
        <v>0</v>
      </c>
      <c r="L305" s="56" t="s">
        <v>342</v>
      </c>
      <c r="M305" s="4" t="s">
        <v>326</v>
      </c>
      <c r="N305" s="4" t="s">
        <v>343</v>
      </c>
      <c r="O305" s="4" t="s">
        <v>178</v>
      </c>
    </row>
    <row r="306" spans="2:15">
      <c r="B306" s="20"/>
      <c r="C306" s="20">
        <v>44715</v>
      </c>
      <c r="D306" s="54">
        <v>50484810</v>
      </c>
      <c r="E306" s="55" t="s">
        <v>380</v>
      </c>
      <c r="F306" s="56">
        <v>6</v>
      </c>
      <c r="G306" s="68">
        <v>69930</v>
      </c>
      <c r="H306" s="56" t="s">
        <v>92</v>
      </c>
      <c r="I306" s="4">
        <v>0</v>
      </c>
      <c r="J306" s="56">
        <v>2847</v>
      </c>
      <c r="K306" s="4">
        <v>0</v>
      </c>
      <c r="L306" s="56" t="s">
        <v>342</v>
      </c>
      <c r="M306" s="4" t="s">
        <v>326</v>
      </c>
      <c r="N306" s="4" t="s">
        <v>343</v>
      </c>
      <c r="O306" s="4" t="s">
        <v>178</v>
      </c>
    </row>
    <row r="307" spans="2:15">
      <c r="B307" s="20"/>
      <c r="C307" s="20">
        <v>44715</v>
      </c>
      <c r="D307" s="54">
        <v>50598322</v>
      </c>
      <c r="E307" s="55" t="s">
        <v>381</v>
      </c>
      <c r="F307" s="56">
        <v>3</v>
      </c>
      <c r="G307" s="68">
        <v>31931</v>
      </c>
      <c r="H307" s="56" t="s">
        <v>92</v>
      </c>
      <c r="I307" s="4">
        <v>0</v>
      </c>
      <c r="J307" s="56">
        <v>2847</v>
      </c>
      <c r="K307" s="4">
        <v>0</v>
      </c>
      <c r="L307" s="56" t="s">
        <v>342</v>
      </c>
      <c r="M307" s="4" t="s">
        <v>326</v>
      </c>
      <c r="N307" s="4" t="s">
        <v>343</v>
      </c>
      <c r="O307" s="4" t="s">
        <v>178</v>
      </c>
    </row>
    <row r="308" spans="2:15">
      <c r="B308" s="20"/>
      <c r="C308" s="20">
        <v>44715</v>
      </c>
      <c r="D308" s="54">
        <v>50756651</v>
      </c>
      <c r="E308" s="55" t="s">
        <v>382</v>
      </c>
      <c r="F308" s="56">
        <v>2</v>
      </c>
      <c r="G308" s="68">
        <v>12366</v>
      </c>
      <c r="H308" s="56" t="s">
        <v>92</v>
      </c>
      <c r="I308" s="4">
        <v>0</v>
      </c>
      <c r="J308" s="56">
        <v>2847</v>
      </c>
      <c r="K308" s="4">
        <v>0</v>
      </c>
      <c r="L308" s="56" t="s">
        <v>342</v>
      </c>
      <c r="M308" s="4" t="s">
        <v>326</v>
      </c>
      <c r="N308" s="4" t="s">
        <v>343</v>
      </c>
      <c r="O308" s="4" t="s">
        <v>178</v>
      </c>
    </row>
    <row r="309" spans="2:15">
      <c r="B309" s="20"/>
      <c r="C309" s="20">
        <v>44715</v>
      </c>
      <c r="D309" s="54">
        <v>40499</v>
      </c>
      <c r="E309" s="55" t="s">
        <v>316</v>
      </c>
      <c r="F309" s="56">
        <v>15</v>
      </c>
      <c r="G309" s="68">
        <v>15</v>
      </c>
      <c r="H309" s="56" t="s">
        <v>92</v>
      </c>
      <c r="I309" s="4">
        <v>0</v>
      </c>
      <c r="J309" s="56">
        <v>2847</v>
      </c>
      <c r="K309" s="4">
        <v>0</v>
      </c>
      <c r="M309" s="4" t="s">
        <v>326</v>
      </c>
      <c r="N309" s="4" t="s">
        <v>343</v>
      </c>
      <c r="O309" s="4" t="s">
        <v>178</v>
      </c>
    </row>
    <row r="310" spans="2:15">
      <c r="B310" s="20"/>
      <c r="C310" s="20">
        <v>44718</v>
      </c>
      <c r="D310" s="54">
        <v>50144376</v>
      </c>
      <c r="E310" s="55" t="s">
        <v>19</v>
      </c>
      <c r="F310" s="56">
        <v>20</v>
      </c>
      <c r="G310" s="68">
        <v>10000</v>
      </c>
      <c r="H310" s="56" t="s">
        <v>92</v>
      </c>
      <c r="I310" s="4">
        <v>0</v>
      </c>
      <c r="J310" s="56">
        <v>6333</v>
      </c>
      <c r="K310" s="4">
        <v>0</v>
      </c>
      <c r="L310" s="56" t="s">
        <v>201</v>
      </c>
      <c r="M310" s="4" t="s">
        <v>201</v>
      </c>
      <c r="N310" s="4" t="s">
        <v>383</v>
      </c>
      <c r="O310" s="4" t="s">
        <v>178</v>
      </c>
    </row>
    <row r="311" spans="2:15">
      <c r="B311" s="20"/>
      <c r="C311" s="20">
        <v>44718</v>
      </c>
      <c r="D311" s="54">
        <v>50272278</v>
      </c>
      <c r="E311" s="55" t="s">
        <v>21</v>
      </c>
      <c r="F311" s="56">
        <v>12</v>
      </c>
      <c r="G311" s="68">
        <v>6000</v>
      </c>
      <c r="H311" s="56" t="s">
        <v>92</v>
      </c>
      <c r="I311" s="4">
        <v>0</v>
      </c>
      <c r="J311" s="56">
        <v>16734</v>
      </c>
      <c r="K311" s="4">
        <v>0</v>
      </c>
      <c r="L311" s="56" t="s">
        <v>226</v>
      </c>
      <c r="M311" s="4" t="s">
        <v>262</v>
      </c>
      <c r="N311" s="4" t="s">
        <v>364</v>
      </c>
      <c r="O311" s="4" t="s">
        <v>178</v>
      </c>
    </row>
    <row r="312" spans="2:15">
      <c r="B312" s="20"/>
      <c r="C312" s="20">
        <v>44719</v>
      </c>
      <c r="D312" s="54">
        <v>40010086</v>
      </c>
      <c r="E312" s="55" t="s">
        <v>79</v>
      </c>
      <c r="F312" s="56">
        <v>2</v>
      </c>
      <c r="G312" s="68">
        <v>4610</v>
      </c>
      <c r="H312" s="56" t="s">
        <v>80</v>
      </c>
      <c r="I312" s="4">
        <v>0</v>
      </c>
      <c r="J312" s="56">
        <v>165795433</v>
      </c>
      <c r="K312" s="4" t="s">
        <v>384</v>
      </c>
      <c r="L312" s="56" t="s">
        <v>175</v>
      </c>
      <c r="M312" s="4" t="s">
        <v>385</v>
      </c>
      <c r="N312" s="4" t="s">
        <v>386</v>
      </c>
      <c r="O312" s="4" t="s">
        <v>178</v>
      </c>
    </row>
    <row r="313" spans="2:15">
      <c r="B313" s="20"/>
      <c r="C313" s="20">
        <v>44719</v>
      </c>
      <c r="D313" s="54">
        <v>40010087</v>
      </c>
      <c r="E313" s="55" t="s">
        <v>387</v>
      </c>
      <c r="F313" s="56">
        <v>7</v>
      </c>
      <c r="G313" s="68">
        <v>4760</v>
      </c>
      <c r="H313" s="56" t="s">
        <v>80</v>
      </c>
      <c r="I313" s="4">
        <v>0</v>
      </c>
      <c r="J313" s="56">
        <v>165795433</v>
      </c>
      <c r="K313" s="4" t="s">
        <v>384</v>
      </c>
      <c r="L313" s="56" t="s">
        <v>175</v>
      </c>
      <c r="M313" s="4" t="s">
        <v>385</v>
      </c>
      <c r="N313" s="4" t="s">
        <v>386</v>
      </c>
      <c r="O313" s="4" t="s">
        <v>178</v>
      </c>
    </row>
    <row r="314" spans="2:15">
      <c r="B314" s="20"/>
      <c r="C314" s="20">
        <v>44719</v>
      </c>
      <c r="D314" s="54">
        <v>50272278</v>
      </c>
      <c r="E314" s="55" t="s">
        <v>21</v>
      </c>
      <c r="F314" s="56">
        <v>20</v>
      </c>
      <c r="G314" s="68">
        <v>10000</v>
      </c>
      <c r="H314" s="56" t="s">
        <v>92</v>
      </c>
      <c r="I314" s="4">
        <v>0</v>
      </c>
      <c r="J314" s="56">
        <v>6367</v>
      </c>
      <c r="K314" s="4">
        <v>0</v>
      </c>
      <c r="L314" s="56" t="s">
        <v>201</v>
      </c>
      <c r="M314" s="4" t="s">
        <v>201</v>
      </c>
      <c r="N314" s="4" t="s">
        <v>363</v>
      </c>
      <c r="O314" s="4" t="s">
        <v>178</v>
      </c>
    </row>
    <row r="315" spans="2:15">
      <c r="B315" s="20"/>
      <c r="C315" s="20">
        <v>44720</v>
      </c>
      <c r="D315" s="54">
        <v>50144376</v>
      </c>
      <c r="E315" s="55" t="s">
        <v>19</v>
      </c>
      <c r="F315" s="56">
        <v>12</v>
      </c>
      <c r="G315" s="68">
        <v>6000</v>
      </c>
      <c r="H315" s="56" t="s">
        <v>92</v>
      </c>
      <c r="I315" s="4">
        <v>0</v>
      </c>
      <c r="J315" s="56">
        <v>16744</v>
      </c>
      <c r="K315" s="4">
        <v>0</v>
      </c>
      <c r="L315" s="56" t="s">
        <v>226</v>
      </c>
      <c r="M315" s="4" t="s">
        <v>262</v>
      </c>
      <c r="N315" s="4" t="s">
        <v>364</v>
      </c>
      <c r="O315" s="4" t="s">
        <v>178</v>
      </c>
    </row>
    <row r="316" spans="2:15">
      <c r="B316" s="20"/>
      <c r="C316" s="20">
        <v>44721</v>
      </c>
      <c r="D316" s="54">
        <v>50144376</v>
      </c>
      <c r="E316" s="55" t="s">
        <v>19</v>
      </c>
      <c r="F316" s="56">
        <v>12</v>
      </c>
      <c r="G316" s="68">
        <v>6000</v>
      </c>
      <c r="H316" s="56" t="s">
        <v>92</v>
      </c>
      <c r="I316" s="4">
        <v>0</v>
      </c>
      <c r="J316" s="56">
        <v>16752</v>
      </c>
      <c r="K316" s="4">
        <v>0</v>
      </c>
      <c r="L316" s="56" t="s">
        <v>226</v>
      </c>
      <c r="M316" s="4" t="s">
        <v>262</v>
      </c>
      <c r="N316" s="4" t="s">
        <v>364</v>
      </c>
      <c r="O316" s="4" t="s">
        <v>178</v>
      </c>
    </row>
    <row r="317" spans="2:15">
      <c r="B317" s="20"/>
      <c r="C317" s="20">
        <v>44722</v>
      </c>
      <c r="D317" s="54">
        <v>50145028</v>
      </c>
      <c r="E317" s="55" t="s">
        <v>23</v>
      </c>
      <c r="F317" s="56">
        <v>6</v>
      </c>
      <c r="G317" s="68">
        <v>1000</v>
      </c>
      <c r="H317" s="56" t="s">
        <v>92</v>
      </c>
      <c r="I317" s="4">
        <v>0</v>
      </c>
      <c r="J317" s="56">
        <v>2019</v>
      </c>
      <c r="K317" s="4">
        <v>0</v>
      </c>
      <c r="L317" s="56" t="s">
        <v>388</v>
      </c>
      <c r="M317" s="4" t="s">
        <v>388</v>
      </c>
      <c r="N317" s="4" t="s">
        <v>389</v>
      </c>
      <c r="O317" s="4" t="s">
        <v>178</v>
      </c>
    </row>
    <row r="318" spans="2:15">
      <c r="B318" s="20"/>
      <c r="C318" s="20">
        <v>44722</v>
      </c>
      <c r="D318" s="54">
        <v>50142327</v>
      </c>
      <c r="E318" s="55" t="s">
        <v>256</v>
      </c>
      <c r="F318" s="56">
        <v>8</v>
      </c>
      <c r="G318" s="68">
        <v>5448</v>
      </c>
      <c r="H318" s="56" t="s">
        <v>82</v>
      </c>
      <c r="I318" s="4">
        <v>0</v>
      </c>
      <c r="J318" s="56" t="s">
        <v>390</v>
      </c>
      <c r="K318" s="4">
        <v>0</v>
      </c>
      <c r="L318" s="56" t="s">
        <v>391</v>
      </c>
      <c r="M318" s="4" t="s">
        <v>176</v>
      </c>
      <c r="N318" s="4" t="s">
        <v>177</v>
      </c>
      <c r="O318" s="4" t="s">
        <v>178</v>
      </c>
    </row>
    <row r="319" spans="2:15">
      <c r="B319" s="20"/>
      <c r="C319" s="20">
        <v>44722</v>
      </c>
      <c r="D319" s="54">
        <v>22222</v>
      </c>
      <c r="E319" s="55" t="s">
        <v>229</v>
      </c>
      <c r="F319" s="56">
        <v>80</v>
      </c>
      <c r="G319" s="68">
        <v>80</v>
      </c>
      <c r="H319" s="56" t="s">
        <v>92</v>
      </c>
      <c r="I319" s="4">
        <v>0</v>
      </c>
      <c r="J319" s="56" t="s">
        <v>390</v>
      </c>
      <c r="K319" s="4">
        <v>0</v>
      </c>
      <c r="L319" s="56" t="s">
        <v>392</v>
      </c>
      <c r="M319" s="4" t="s">
        <v>176</v>
      </c>
      <c r="N319" s="4" t="s">
        <v>177</v>
      </c>
      <c r="O319" s="4" t="s">
        <v>178</v>
      </c>
    </row>
    <row r="320" spans="2:15">
      <c r="B320" s="20"/>
      <c r="C320" s="20">
        <v>44722</v>
      </c>
      <c r="D320" s="54">
        <v>50272278</v>
      </c>
      <c r="E320" s="55" t="s">
        <v>21</v>
      </c>
      <c r="F320" s="56">
        <v>12</v>
      </c>
      <c r="G320" s="68">
        <v>6000</v>
      </c>
      <c r="H320" s="56" t="s">
        <v>92</v>
      </c>
      <c r="I320" s="4">
        <v>0</v>
      </c>
      <c r="J320" s="56">
        <v>16760</v>
      </c>
      <c r="K320" s="4">
        <v>0</v>
      </c>
      <c r="L320" s="56" t="s">
        <v>226</v>
      </c>
      <c r="M320" s="4" t="s">
        <v>262</v>
      </c>
      <c r="N320" s="4" t="s">
        <v>364</v>
      </c>
      <c r="O320" s="4" t="s">
        <v>178</v>
      </c>
    </row>
    <row r="321" spans="2:15">
      <c r="B321" s="20"/>
      <c r="C321" s="20">
        <v>44725</v>
      </c>
      <c r="D321" s="54">
        <v>50142350</v>
      </c>
      <c r="E321" s="55" t="s">
        <v>212</v>
      </c>
      <c r="F321" s="56">
        <v>4</v>
      </c>
      <c r="G321" s="68">
        <v>2486</v>
      </c>
      <c r="H321" s="56" t="s">
        <v>82</v>
      </c>
      <c r="I321" s="4">
        <v>0</v>
      </c>
      <c r="K321" s="4" t="s">
        <v>393</v>
      </c>
      <c r="L321" s="56" t="s">
        <v>213</v>
      </c>
      <c r="M321" s="4" t="s">
        <v>394</v>
      </c>
      <c r="N321" s="4" t="s">
        <v>395</v>
      </c>
      <c r="O321" s="4" t="s">
        <v>178</v>
      </c>
    </row>
    <row r="322" spans="2:15">
      <c r="B322" s="20"/>
      <c r="C322" s="20">
        <v>44725</v>
      </c>
      <c r="D322" s="54">
        <v>50144376</v>
      </c>
      <c r="E322" s="55" t="s">
        <v>19</v>
      </c>
      <c r="F322" s="56">
        <v>21</v>
      </c>
      <c r="G322" s="68">
        <f>10500</f>
        <v>10500</v>
      </c>
      <c r="H322" s="56" t="s">
        <v>92</v>
      </c>
      <c r="I322" s="4">
        <v>0</v>
      </c>
      <c r="J322" s="56">
        <v>1870</v>
      </c>
      <c r="K322" s="4">
        <v>0</v>
      </c>
      <c r="L322" s="56" t="s">
        <v>226</v>
      </c>
      <c r="M322" s="4" t="s">
        <v>176</v>
      </c>
      <c r="N322" s="4" t="s">
        <v>193</v>
      </c>
      <c r="O322" s="4" t="s">
        <v>178</v>
      </c>
    </row>
    <row r="323" spans="2:15">
      <c r="B323" s="20"/>
      <c r="C323" s="20">
        <v>44725</v>
      </c>
      <c r="D323" s="54">
        <v>50486295</v>
      </c>
      <c r="E323" s="55" t="s">
        <v>232</v>
      </c>
      <c r="F323" s="56">
        <v>1</v>
      </c>
      <c r="G323" s="68">
        <v>165</v>
      </c>
      <c r="H323" s="56" t="s">
        <v>82</v>
      </c>
      <c r="I323" s="4">
        <v>0</v>
      </c>
      <c r="J323" s="56">
        <v>1870</v>
      </c>
      <c r="K323" s="4">
        <v>0</v>
      </c>
      <c r="L323" s="56" t="s">
        <v>233</v>
      </c>
      <c r="M323" s="4" t="s">
        <v>176</v>
      </c>
      <c r="N323" s="4" t="s">
        <v>193</v>
      </c>
      <c r="O323" s="4" t="s">
        <v>178</v>
      </c>
    </row>
    <row r="324" spans="2:15">
      <c r="B324" s="20"/>
      <c r="C324" s="20">
        <v>44725</v>
      </c>
      <c r="D324" s="54">
        <v>40499</v>
      </c>
      <c r="E324" s="55" t="s">
        <v>316</v>
      </c>
      <c r="F324" s="56">
        <v>10</v>
      </c>
      <c r="G324" s="68">
        <v>10</v>
      </c>
      <c r="H324" s="56" t="s">
        <v>92</v>
      </c>
      <c r="I324" s="4">
        <v>0</v>
      </c>
      <c r="J324" s="56">
        <v>1870</v>
      </c>
      <c r="K324" s="4">
        <v>0</v>
      </c>
      <c r="M324" s="4" t="s">
        <v>176</v>
      </c>
      <c r="N324" s="4" t="s">
        <v>193</v>
      </c>
      <c r="O324" s="4" t="s">
        <v>178</v>
      </c>
    </row>
    <row r="325" spans="2:15">
      <c r="B325" s="20"/>
      <c r="C325" s="20">
        <v>44725</v>
      </c>
      <c r="D325" s="54">
        <v>50143646</v>
      </c>
      <c r="E325" s="55" t="s">
        <v>191</v>
      </c>
      <c r="F325" s="56">
        <v>21</v>
      </c>
      <c r="G325" s="68">
        <v>10080</v>
      </c>
      <c r="H325" s="56" t="s">
        <v>82</v>
      </c>
      <c r="I325" s="4">
        <v>0</v>
      </c>
      <c r="J325" s="56" t="s">
        <v>396</v>
      </c>
      <c r="K325" s="4" t="s">
        <v>397</v>
      </c>
      <c r="L325" s="56" t="s">
        <v>194</v>
      </c>
      <c r="M325" s="4" t="s">
        <v>394</v>
      </c>
      <c r="N325" s="4" t="s">
        <v>398</v>
      </c>
      <c r="O325" s="4" t="s">
        <v>178</v>
      </c>
    </row>
    <row r="326" spans="2:15">
      <c r="B326" s="20"/>
      <c r="C326" s="20">
        <v>44728</v>
      </c>
      <c r="D326" s="54">
        <v>50144200</v>
      </c>
      <c r="E326" s="55" t="s">
        <v>184</v>
      </c>
      <c r="F326" s="56">
        <v>13</v>
      </c>
      <c r="G326" s="68">
        <v>3421000</v>
      </c>
      <c r="H326" s="56" t="s">
        <v>92</v>
      </c>
      <c r="I326" s="4">
        <v>0</v>
      </c>
      <c r="J326" s="56" t="s">
        <v>399</v>
      </c>
      <c r="K326" s="4" t="s">
        <v>400</v>
      </c>
      <c r="L326" s="56" t="s">
        <v>185</v>
      </c>
      <c r="M326" s="4" t="s">
        <v>401</v>
      </c>
      <c r="N326" s="4" t="s">
        <v>402</v>
      </c>
      <c r="O326" s="4" t="s">
        <v>178</v>
      </c>
    </row>
    <row r="327" spans="2:15">
      <c r="B327" s="20"/>
      <c r="C327" s="20">
        <v>44728</v>
      </c>
      <c r="D327" s="54">
        <v>50337816</v>
      </c>
      <c r="E327" s="55" t="s">
        <v>245</v>
      </c>
      <c r="F327" s="56">
        <v>3</v>
      </c>
      <c r="G327" s="68">
        <v>792</v>
      </c>
      <c r="H327" s="56" t="s">
        <v>80</v>
      </c>
      <c r="I327" s="4">
        <v>0</v>
      </c>
      <c r="J327" s="56" t="s">
        <v>399</v>
      </c>
      <c r="K327" s="4" t="s">
        <v>400</v>
      </c>
      <c r="L327" s="56" t="s">
        <v>185</v>
      </c>
      <c r="M327" s="4" t="s">
        <v>401</v>
      </c>
      <c r="N327" s="4" t="s">
        <v>402</v>
      </c>
      <c r="O327" s="4" t="s">
        <v>178</v>
      </c>
    </row>
    <row r="328" spans="2:15">
      <c r="B328" s="20"/>
      <c r="C328" s="20">
        <v>44728</v>
      </c>
      <c r="D328" s="54">
        <v>50232060</v>
      </c>
      <c r="E328" s="55" t="s">
        <v>361</v>
      </c>
      <c r="F328" s="56">
        <v>5</v>
      </c>
      <c r="G328" s="68">
        <v>1320000</v>
      </c>
      <c r="H328" s="56" t="s">
        <v>92</v>
      </c>
      <c r="I328" s="4">
        <v>3</v>
      </c>
      <c r="J328" s="56" t="s">
        <v>399</v>
      </c>
      <c r="K328" s="4" t="s">
        <v>400</v>
      </c>
      <c r="L328" s="56" t="s">
        <v>185</v>
      </c>
      <c r="M328" s="4" t="s">
        <v>401</v>
      </c>
      <c r="N328" s="4" t="s">
        <v>402</v>
      </c>
      <c r="O328" s="4" t="s">
        <v>178</v>
      </c>
    </row>
    <row r="329" spans="2:15">
      <c r="B329" s="20"/>
      <c r="C329" s="20">
        <v>44728</v>
      </c>
      <c r="D329" s="54">
        <v>50144200</v>
      </c>
      <c r="E329" s="55" t="s">
        <v>184</v>
      </c>
      <c r="F329" s="56">
        <v>13</v>
      </c>
      <c r="G329" s="68">
        <v>3432000</v>
      </c>
      <c r="H329" s="56" t="s">
        <v>92</v>
      </c>
      <c r="I329" s="4">
        <v>0</v>
      </c>
      <c r="J329" s="56" t="s">
        <v>399</v>
      </c>
      <c r="K329" s="4" t="s">
        <v>403</v>
      </c>
      <c r="L329" s="56" t="s">
        <v>185</v>
      </c>
      <c r="M329" s="4" t="s">
        <v>404</v>
      </c>
      <c r="N329" s="4" t="s">
        <v>405</v>
      </c>
      <c r="O329" s="4" t="s">
        <v>178</v>
      </c>
    </row>
    <row r="330" spans="2:15">
      <c r="B330" s="20"/>
      <c r="C330" s="20">
        <v>44728</v>
      </c>
      <c r="D330" s="54">
        <v>50337816</v>
      </c>
      <c r="E330" s="55" t="s">
        <v>245</v>
      </c>
      <c r="F330" s="56">
        <v>4</v>
      </c>
      <c r="G330" s="68">
        <v>1056</v>
      </c>
      <c r="H330" s="56" t="s">
        <v>80</v>
      </c>
      <c r="I330" s="4">
        <v>0</v>
      </c>
      <c r="J330" s="56" t="s">
        <v>399</v>
      </c>
      <c r="K330" s="4" t="s">
        <v>403</v>
      </c>
      <c r="L330" s="56" t="s">
        <v>185</v>
      </c>
      <c r="M330" s="4" t="s">
        <v>404</v>
      </c>
      <c r="N330" s="4" t="s">
        <v>405</v>
      </c>
      <c r="O330" s="4" t="s">
        <v>178</v>
      </c>
    </row>
    <row r="331" spans="2:15">
      <c r="B331" s="20"/>
      <c r="C331" s="20">
        <v>44728</v>
      </c>
      <c r="D331" s="54">
        <v>50232060</v>
      </c>
      <c r="E331" s="55" t="s">
        <v>361</v>
      </c>
      <c r="F331" s="56">
        <v>4</v>
      </c>
      <c r="G331" s="68">
        <v>1056000</v>
      </c>
      <c r="H331" s="56" t="s">
        <v>92</v>
      </c>
      <c r="I331" s="4">
        <v>0</v>
      </c>
      <c r="J331" s="56" t="s">
        <v>399</v>
      </c>
      <c r="K331" s="4" t="s">
        <v>403</v>
      </c>
      <c r="L331" s="56" t="s">
        <v>185</v>
      </c>
      <c r="M331" s="4" t="s">
        <v>404</v>
      </c>
      <c r="N331" s="4" t="s">
        <v>405</v>
      </c>
      <c r="O331" s="4" t="s">
        <v>178</v>
      </c>
    </row>
    <row r="332" spans="2:15">
      <c r="B332" s="20"/>
      <c r="C332" s="20">
        <v>44729</v>
      </c>
      <c r="D332" s="54">
        <v>50522171</v>
      </c>
      <c r="E332" s="55" t="s">
        <v>203</v>
      </c>
      <c r="F332" s="56">
        <v>3</v>
      </c>
      <c r="G332" s="68">
        <v>1206.7</v>
      </c>
      <c r="H332" s="56" t="s">
        <v>82</v>
      </c>
      <c r="I332" s="4">
        <v>0</v>
      </c>
      <c r="J332" s="56">
        <v>11187</v>
      </c>
      <c r="L332" s="56" t="s">
        <v>243</v>
      </c>
      <c r="M332" s="4" t="s">
        <v>243</v>
      </c>
      <c r="N332" s="4" t="s">
        <v>353</v>
      </c>
      <c r="O332" s="4" t="s">
        <v>178</v>
      </c>
    </row>
    <row r="333" spans="2:15">
      <c r="B333" s="20"/>
      <c r="C333" s="20">
        <v>44729</v>
      </c>
      <c r="D333" s="54">
        <v>50522169</v>
      </c>
      <c r="E333" s="55" t="s">
        <v>250</v>
      </c>
      <c r="F333" s="56">
        <v>8</v>
      </c>
      <c r="G333" s="68">
        <v>5213.6</v>
      </c>
      <c r="H333" s="56" t="s">
        <v>82</v>
      </c>
      <c r="I333" s="4">
        <v>0</v>
      </c>
      <c r="J333" s="56">
        <v>11188</v>
      </c>
      <c r="L333" s="56" t="s">
        <v>243</v>
      </c>
      <c r="M333" s="4" t="s">
        <v>243</v>
      </c>
      <c r="N333" s="4" t="s">
        <v>353</v>
      </c>
      <c r="O333" s="4" t="s">
        <v>178</v>
      </c>
    </row>
    <row r="334" spans="2:15">
      <c r="B334" s="20"/>
      <c r="C334" s="20">
        <v>44729</v>
      </c>
      <c r="D334" s="54">
        <v>50507916</v>
      </c>
      <c r="E334" s="55" t="s">
        <v>406</v>
      </c>
      <c r="F334" s="56">
        <v>6</v>
      </c>
      <c r="G334" s="68">
        <v>1584000</v>
      </c>
      <c r="H334" s="56" t="s">
        <v>92</v>
      </c>
      <c r="I334" s="4">
        <v>0</v>
      </c>
      <c r="J334" s="56">
        <v>1878</v>
      </c>
      <c r="L334" s="56" t="s">
        <v>185</v>
      </c>
      <c r="M334" s="4" t="s">
        <v>176</v>
      </c>
      <c r="N334" s="4" t="s">
        <v>193</v>
      </c>
      <c r="O334" s="4" t="s">
        <v>178</v>
      </c>
    </row>
    <row r="335" spans="2:15">
      <c r="B335" s="20"/>
      <c r="C335" s="20">
        <v>44729</v>
      </c>
      <c r="D335" s="54">
        <v>50337816</v>
      </c>
      <c r="E335" s="55" t="s">
        <v>245</v>
      </c>
      <c r="F335" s="56">
        <v>15</v>
      </c>
      <c r="G335" s="68">
        <v>3960</v>
      </c>
      <c r="H335" s="56" t="s">
        <v>80</v>
      </c>
      <c r="I335" s="4">
        <v>0</v>
      </c>
      <c r="J335" s="56">
        <v>1878</v>
      </c>
      <c r="L335" s="56" t="s">
        <v>185</v>
      </c>
      <c r="M335" s="4" t="s">
        <v>176</v>
      </c>
      <c r="N335" s="4" t="s">
        <v>193</v>
      </c>
      <c r="O335" s="4" t="s">
        <v>178</v>
      </c>
    </row>
    <row r="336" spans="2:15">
      <c r="B336" s="20"/>
      <c r="C336" s="20">
        <v>44729</v>
      </c>
      <c r="D336" s="54">
        <v>50507913</v>
      </c>
      <c r="E336" s="55" t="s">
        <v>407</v>
      </c>
      <c r="F336" s="56">
        <v>1</v>
      </c>
      <c r="G336" s="68">
        <v>264</v>
      </c>
      <c r="H336" s="56" t="s">
        <v>80</v>
      </c>
      <c r="I336" s="4">
        <v>0</v>
      </c>
      <c r="J336" s="56">
        <v>1878</v>
      </c>
      <c r="L336" s="56" t="s">
        <v>185</v>
      </c>
      <c r="M336" s="4" t="s">
        <v>176</v>
      </c>
      <c r="N336" s="4" t="s">
        <v>193</v>
      </c>
      <c r="O336" s="4" t="s">
        <v>178</v>
      </c>
    </row>
    <row r="337" spans="2:15">
      <c r="B337" s="20"/>
      <c r="C337" s="20">
        <v>44732</v>
      </c>
      <c r="D337" s="54">
        <v>50141786</v>
      </c>
      <c r="E337" s="55" t="s">
        <v>188</v>
      </c>
      <c r="F337" s="56">
        <v>20</v>
      </c>
      <c r="G337" s="68">
        <v>11200</v>
      </c>
      <c r="H337" s="56" t="s">
        <v>82</v>
      </c>
      <c r="I337" s="4">
        <v>0</v>
      </c>
      <c r="J337" s="56">
        <v>10786</v>
      </c>
      <c r="K337" s="4" t="s">
        <v>408</v>
      </c>
      <c r="L337" s="56" t="s">
        <v>189</v>
      </c>
      <c r="M337" s="4" t="s">
        <v>209</v>
      </c>
      <c r="N337" s="4" t="s">
        <v>409</v>
      </c>
      <c r="O337" s="4" t="s">
        <v>178</v>
      </c>
    </row>
    <row r="338" spans="2:15">
      <c r="B338" s="20"/>
      <c r="C338" s="20">
        <v>44732</v>
      </c>
      <c r="D338" s="54">
        <v>50141786</v>
      </c>
      <c r="E338" s="55" t="s">
        <v>188</v>
      </c>
      <c r="F338" s="56">
        <v>20</v>
      </c>
      <c r="G338" s="68">
        <v>11200</v>
      </c>
      <c r="H338" s="56" t="s">
        <v>82</v>
      </c>
      <c r="I338" s="4">
        <v>0</v>
      </c>
      <c r="J338" s="56">
        <v>107897</v>
      </c>
      <c r="K338" s="4" t="s">
        <v>410</v>
      </c>
      <c r="L338" s="56" t="s">
        <v>189</v>
      </c>
      <c r="M338" s="4" t="s">
        <v>411</v>
      </c>
      <c r="N338" s="4" t="s">
        <v>412</v>
      </c>
      <c r="O338" s="4" t="s">
        <v>178</v>
      </c>
    </row>
    <row r="339" spans="2:15">
      <c r="B339" s="20"/>
      <c r="C339" s="20">
        <v>44733</v>
      </c>
      <c r="D339" s="54">
        <v>50143646</v>
      </c>
      <c r="E339" s="55" t="s">
        <v>191</v>
      </c>
      <c r="F339" s="56">
        <v>21</v>
      </c>
      <c r="G339" s="68">
        <v>10080</v>
      </c>
      <c r="H339" s="56" t="s">
        <v>82</v>
      </c>
      <c r="I339" s="4">
        <v>0</v>
      </c>
      <c r="J339" s="56">
        <v>9036</v>
      </c>
      <c r="K339" s="4" t="s">
        <v>413</v>
      </c>
      <c r="L339" s="56" t="s">
        <v>194</v>
      </c>
      <c r="M339" s="4" t="s">
        <v>414</v>
      </c>
      <c r="N339" s="4" t="s">
        <v>415</v>
      </c>
      <c r="O339" s="4" t="s">
        <v>178</v>
      </c>
    </row>
    <row r="340" spans="2:15">
      <c r="B340" s="20"/>
      <c r="C340" s="20">
        <v>44733</v>
      </c>
      <c r="D340" s="54">
        <v>50470190</v>
      </c>
      <c r="E340" s="55" t="s">
        <v>12</v>
      </c>
      <c r="F340" s="56">
        <v>18</v>
      </c>
      <c r="G340" s="68">
        <v>5216400</v>
      </c>
      <c r="H340" s="56" t="s">
        <v>92</v>
      </c>
      <c r="I340" s="4">
        <v>0</v>
      </c>
      <c r="J340" s="56">
        <v>1879</v>
      </c>
      <c r="L340" s="56" t="s">
        <v>230</v>
      </c>
      <c r="M340" s="4" t="s">
        <v>416</v>
      </c>
      <c r="N340" s="4" t="s">
        <v>417</v>
      </c>
      <c r="O340" s="4" t="s">
        <v>178</v>
      </c>
    </row>
    <row r="341" spans="2:15">
      <c r="B341" s="20"/>
      <c r="C341" s="20">
        <v>44735</v>
      </c>
      <c r="D341" s="54">
        <v>50010080</v>
      </c>
      <c r="E341" s="55" t="s">
        <v>354</v>
      </c>
      <c r="F341" s="56">
        <v>10</v>
      </c>
      <c r="G341" s="68">
        <v>15000</v>
      </c>
      <c r="H341" s="56" t="s">
        <v>82</v>
      </c>
      <c r="I341" s="4">
        <v>0</v>
      </c>
      <c r="J341" s="56">
        <v>1255</v>
      </c>
      <c r="L341" s="56" t="s">
        <v>355</v>
      </c>
      <c r="M341" s="4" t="s">
        <v>355</v>
      </c>
      <c r="N341" s="4" t="s">
        <v>418</v>
      </c>
      <c r="O341" s="4" t="s">
        <v>178</v>
      </c>
    </row>
    <row r="342" spans="2:15">
      <c r="B342" s="20"/>
      <c r="C342" s="20">
        <v>44736</v>
      </c>
      <c r="D342" s="54">
        <v>50144376</v>
      </c>
      <c r="E342" s="55" t="s">
        <v>19</v>
      </c>
      <c r="F342" s="56">
        <v>12</v>
      </c>
      <c r="G342" s="68">
        <v>6000</v>
      </c>
      <c r="H342" s="56" t="s">
        <v>92</v>
      </c>
      <c r="I342" s="4">
        <v>0</v>
      </c>
      <c r="J342" s="56">
        <v>16816</v>
      </c>
      <c r="K342" s="4">
        <v>0</v>
      </c>
      <c r="L342" s="56" t="s">
        <v>226</v>
      </c>
      <c r="M342" s="4" t="s">
        <v>262</v>
      </c>
      <c r="N342" s="4" t="s">
        <v>364</v>
      </c>
      <c r="O342" s="4" t="s">
        <v>178</v>
      </c>
    </row>
    <row r="343" spans="2:15">
      <c r="B343" s="20"/>
      <c r="C343" s="20">
        <v>44739</v>
      </c>
      <c r="D343" s="54">
        <v>50486295</v>
      </c>
      <c r="E343" s="55" t="s">
        <v>232</v>
      </c>
      <c r="F343" s="56">
        <v>3</v>
      </c>
      <c r="G343" s="68">
        <v>1029.4</v>
      </c>
      <c r="H343" s="56" t="s">
        <v>82</v>
      </c>
      <c r="I343" s="4">
        <v>0</v>
      </c>
      <c r="J343" s="56">
        <v>2662</v>
      </c>
      <c r="K343" s="4" t="s">
        <v>419</v>
      </c>
      <c r="L343" s="56" t="s">
        <v>233</v>
      </c>
      <c r="M343" s="4" t="s">
        <v>233</v>
      </c>
      <c r="N343" s="4" t="s">
        <v>292</v>
      </c>
      <c r="O343" s="4" t="s">
        <v>178</v>
      </c>
    </row>
    <row r="344" spans="2:15">
      <c r="B344" s="20"/>
      <c r="C344" s="20">
        <v>44739</v>
      </c>
      <c r="D344" s="54">
        <v>50470190</v>
      </c>
      <c r="E344" s="55" t="s">
        <v>12</v>
      </c>
      <c r="F344" s="56">
        <v>32</v>
      </c>
      <c r="G344" s="68">
        <v>9273600</v>
      </c>
      <c r="H344" s="56" t="s">
        <v>92</v>
      </c>
      <c r="J344" s="56">
        <v>14780</v>
      </c>
      <c r="L344" s="56" t="s">
        <v>230</v>
      </c>
      <c r="M344" s="4" t="s">
        <v>318</v>
      </c>
      <c r="N344" s="4" t="s">
        <v>319</v>
      </c>
      <c r="O344" s="4" t="s">
        <v>178</v>
      </c>
    </row>
    <row r="345" spans="2:15">
      <c r="B345" s="20"/>
      <c r="C345" s="20">
        <v>44746</v>
      </c>
      <c r="D345" s="54">
        <v>40011080</v>
      </c>
      <c r="E345" s="55" t="s">
        <v>420</v>
      </c>
      <c r="F345" s="56">
        <v>26</v>
      </c>
      <c r="G345" s="68">
        <v>11700</v>
      </c>
      <c r="H345" s="56" t="s">
        <v>80</v>
      </c>
      <c r="J345" s="56" t="s">
        <v>421</v>
      </c>
      <c r="K345" s="4" t="s">
        <v>422</v>
      </c>
      <c r="L345" s="56" t="s">
        <v>423</v>
      </c>
      <c r="M345" s="4" t="s">
        <v>424</v>
      </c>
      <c r="N345" s="4" t="s">
        <v>425</v>
      </c>
      <c r="O345" s="4" t="s">
        <v>178</v>
      </c>
    </row>
    <row r="346" spans="2:15">
      <c r="B346" s="20"/>
      <c r="C346" s="20">
        <v>44746</v>
      </c>
      <c r="D346" s="54">
        <v>50144376</v>
      </c>
      <c r="E346" s="55" t="s">
        <v>19</v>
      </c>
      <c r="F346" s="56">
        <v>20</v>
      </c>
      <c r="G346" s="68">
        <v>10000</v>
      </c>
      <c r="H346" s="56" t="s">
        <v>92</v>
      </c>
      <c r="I346" s="4">
        <v>0</v>
      </c>
      <c r="J346" s="56">
        <v>7011</v>
      </c>
      <c r="K346" s="4">
        <v>0</v>
      </c>
      <c r="L346" s="56" t="s">
        <v>201</v>
      </c>
      <c r="M346" s="4" t="s">
        <v>201</v>
      </c>
      <c r="N346" s="4" t="s">
        <v>363</v>
      </c>
      <c r="O346" s="4" t="s">
        <v>178</v>
      </c>
    </row>
    <row r="347" spans="2:15">
      <c r="B347" s="20"/>
      <c r="C347" s="20">
        <v>44747</v>
      </c>
      <c r="D347" s="54">
        <v>50145028</v>
      </c>
      <c r="E347" s="55" t="s">
        <v>23</v>
      </c>
      <c r="F347" s="56">
        <v>10</v>
      </c>
      <c r="G347" s="68">
        <v>1920</v>
      </c>
      <c r="H347" s="56" t="s">
        <v>92</v>
      </c>
      <c r="J347" s="56">
        <v>1889</v>
      </c>
      <c r="L347" s="56" t="s">
        <v>388</v>
      </c>
      <c r="M347" s="4" t="s">
        <v>176</v>
      </c>
      <c r="N347" s="4" t="s">
        <v>177</v>
      </c>
      <c r="O347" s="4" t="s">
        <v>178</v>
      </c>
    </row>
    <row r="348" spans="2:15">
      <c r="B348" s="20"/>
      <c r="C348" s="20">
        <v>44747</v>
      </c>
      <c r="D348" s="54">
        <v>50144334</v>
      </c>
      <c r="E348" s="55" t="s">
        <v>426</v>
      </c>
      <c r="F348" s="56">
        <v>7</v>
      </c>
      <c r="G348" s="68">
        <v>4850</v>
      </c>
      <c r="H348" s="56" t="s">
        <v>82</v>
      </c>
      <c r="J348" s="56">
        <v>1889</v>
      </c>
      <c r="L348" s="56" t="s">
        <v>427</v>
      </c>
      <c r="M348" s="4" t="s">
        <v>176</v>
      </c>
      <c r="N348" s="4" t="s">
        <v>177</v>
      </c>
      <c r="O348" s="4" t="s">
        <v>178</v>
      </c>
    </row>
    <row r="349" spans="2:15">
      <c r="B349" s="20"/>
      <c r="C349" s="20">
        <v>44747</v>
      </c>
      <c r="D349" s="54">
        <v>50144376</v>
      </c>
      <c r="E349" s="55" t="s">
        <v>19</v>
      </c>
      <c r="F349" s="56">
        <v>2</v>
      </c>
      <c r="G349" s="68">
        <v>1000</v>
      </c>
      <c r="H349" s="56" t="s">
        <v>92</v>
      </c>
      <c r="I349" s="4">
        <v>0</v>
      </c>
      <c r="J349" s="56">
        <v>1889</v>
      </c>
      <c r="K349" s="4">
        <v>0</v>
      </c>
      <c r="L349" s="56" t="s">
        <v>201</v>
      </c>
      <c r="M349" s="4" t="s">
        <v>176</v>
      </c>
      <c r="N349" s="4" t="s">
        <v>177</v>
      </c>
      <c r="O349" s="4" t="s">
        <v>178</v>
      </c>
    </row>
    <row r="350" spans="2:15">
      <c r="B350" s="20"/>
      <c r="C350" s="20">
        <v>44747</v>
      </c>
      <c r="D350" s="54">
        <v>50272278</v>
      </c>
      <c r="E350" s="55" t="s">
        <v>21</v>
      </c>
      <c r="F350" s="56">
        <v>1</v>
      </c>
      <c r="G350" s="68">
        <v>500</v>
      </c>
      <c r="H350" s="56" t="s">
        <v>92</v>
      </c>
      <c r="J350" s="56">
        <v>1889</v>
      </c>
      <c r="L350" s="56" t="s">
        <v>201</v>
      </c>
      <c r="M350" s="4" t="s">
        <v>176</v>
      </c>
      <c r="N350" s="4" t="s">
        <v>177</v>
      </c>
      <c r="O350" s="4" t="s">
        <v>178</v>
      </c>
    </row>
    <row r="351" spans="2:15">
      <c r="B351" s="20"/>
      <c r="C351" s="20">
        <v>44747</v>
      </c>
      <c r="D351" s="54">
        <v>50145028</v>
      </c>
      <c r="E351" s="55" t="s">
        <v>23</v>
      </c>
      <c r="F351" s="56">
        <v>6</v>
      </c>
      <c r="G351" s="68">
        <v>1000</v>
      </c>
      <c r="H351" s="56" t="s">
        <v>92</v>
      </c>
      <c r="J351" s="56">
        <v>2026</v>
      </c>
      <c r="L351" s="56" t="s">
        <v>388</v>
      </c>
      <c r="M351" s="4" t="s">
        <v>388</v>
      </c>
      <c r="N351" s="4" t="s">
        <v>428</v>
      </c>
      <c r="O351" s="4" t="s">
        <v>178</v>
      </c>
    </row>
    <row r="352" spans="2:15">
      <c r="B352" s="20"/>
      <c r="C352" s="20">
        <v>44748</v>
      </c>
      <c r="D352" s="54">
        <v>50395897</v>
      </c>
      <c r="E352" s="55" t="s">
        <v>359</v>
      </c>
      <c r="F352" s="56">
        <v>3</v>
      </c>
      <c r="G352" s="68">
        <v>1764000</v>
      </c>
      <c r="H352" s="56" t="s">
        <v>92</v>
      </c>
      <c r="J352" s="56" t="s">
        <v>429</v>
      </c>
      <c r="K352" s="4" t="s">
        <v>430</v>
      </c>
      <c r="L352" s="56" t="s">
        <v>358</v>
      </c>
      <c r="M352" s="4" t="s">
        <v>431</v>
      </c>
      <c r="N352" s="4" t="s">
        <v>432</v>
      </c>
      <c r="O352" s="4" t="s">
        <v>178</v>
      </c>
    </row>
    <row r="353" spans="2:15">
      <c r="B353" s="20"/>
      <c r="C353" s="20">
        <v>44748</v>
      </c>
      <c r="D353" s="54">
        <v>50551884</v>
      </c>
      <c r="E353" s="55" t="s">
        <v>360</v>
      </c>
      <c r="F353" s="56">
        <v>1</v>
      </c>
      <c r="G353" s="68">
        <v>1900000</v>
      </c>
      <c r="H353" s="56" t="s">
        <v>92</v>
      </c>
      <c r="J353" s="56" t="s">
        <v>429</v>
      </c>
      <c r="K353" s="4" t="s">
        <v>430</v>
      </c>
      <c r="L353" s="56" t="s">
        <v>358</v>
      </c>
      <c r="M353" s="4" t="s">
        <v>431</v>
      </c>
      <c r="N353" s="4" t="s">
        <v>432</v>
      </c>
      <c r="O353" s="4" t="s">
        <v>178</v>
      </c>
    </row>
    <row r="354" spans="2:15">
      <c r="B354" s="20"/>
      <c r="C354" s="20">
        <v>44748</v>
      </c>
      <c r="D354" s="54">
        <v>50551883</v>
      </c>
      <c r="E354" s="55" t="s">
        <v>223</v>
      </c>
      <c r="F354" s="56">
        <v>4</v>
      </c>
      <c r="G354" s="68">
        <v>1498100</v>
      </c>
      <c r="H354" s="56" t="s">
        <v>92</v>
      </c>
      <c r="J354" s="56" t="s">
        <v>429</v>
      </c>
      <c r="K354" s="4" t="s">
        <v>430</v>
      </c>
      <c r="L354" s="56" t="s">
        <v>358</v>
      </c>
      <c r="M354" s="4" t="s">
        <v>431</v>
      </c>
      <c r="N354" s="4" t="s">
        <v>432</v>
      </c>
      <c r="O354" s="4" t="s">
        <v>178</v>
      </c>
    </row>
    <row r="355" spans="2:15">
      <c r="B355" s="20"/>
      <c r="C355" s="20">
        <v>44748</v>
      </c>
      <c r="D355" s="54">
        <v>50145028</v>
      </c>
      <c r="E355" s="55" t="s">
        <v>23</v>
      </c>
      <c r="F355" s="56">
        <v>6</v>
      </c>
      <c r="G355" s="68">
        <v>1000</v>
      </c>
      <c r="H355" s="56" t="s">
        <v>92</v>
      </c>
      <c r="J355" s="56">
        <v>2027</v>
      </c>
      <c r="L355" s="56" t="s">
        <v>388</v>
      </c>
      <c r="M355" s="4" t="s">
        <v>388</v>
      </c>
      <c r="N355" s="4" t="s">
        <v>428</v>
      </c>
      <c r="O355" s="4" t="s">
        <v>178</v>
      </c>
    </row>
    <row r="356" spans="2:15">
      <c r="B356" s="20"/>
      <c r="C356" s="20">
        <v>44748</v>
      </c>
      <c r="D356" s="54">
        <v>50142619</v>
      </c>
      <c r="E356" s="55" t="s">
        <v>433</v>
      </c>
      <c r="F356" s="56">
        <v>11</v>
      </c>
      <c r="G356" s="68">
        <v>7216</v>
      </c>
      <c r="H356" s="56" t="s">
        <v>82</v>
      </c>
      <c r="J356" s="56">
        <v>16242</v>
      </c>
      <c r="L356" s="56" t="s">
        <v>434</v>
      </c>
      <c r="M356" s="4" t="s">
        <v>434</v>
      </c>
      <c r="N356" s="4" t="s">
        <v>435</v>
      </c>
      <c r="O356" s="4" t="s">
        <v>178</v>
      </c>
    </row>
    <row r="357" spans="2:15">
      <c r="B357" s="20"/>
      <c r="C357" s="20">
        <v>44748</v>
      </c>
      <c r="D357" s="54">
        <v>50272278</v>
      </c>
      <c r="E357" s="55" t="s">
        <v>21</v>
      </c>
      <c r="F357" s="56">
        <v>12</v>
      </c>
      <c r="G357" s="68">
        <v>6000</v>
      </c>
      <c r="H357" s="56" t="s">
        <v>92</v>
      </c>
      <c r="J357" s="56">
        <v>16874</v>
      </c>
      <c r="L357" s="56" t="s">
        <v>226</v>
      </c>
      <c r="M357" s="4" t="s">
        <v>262</v>
      </c>
      <c r="N357" s="4" t="s">
        <v>364</v>
      </c>
      <c r="O357" s="4" t="s">
        <v>178</v>
      </c>
    </row>
    <row r="358" spans="2:15">
      <c r="B358" s="20"/>
      <c r="C358" s="20">
        <v>44748</v>
      </c>
      <c r="D358" s="54">
        <v>50534881</v>
      </c>
      <c r="E358" s="55" t="s">
        <v>227</v>
      </c>
      <c r="F358" s="56">
        <v>19</v>
      </c>
      <c r="G358" s="68">
        <v>163500</v>
      </c>
      <c r="H358" s="56" t="s">
        <v>92</v>
      </c>
      <c r="J358" s="56">
        <v>1891</v>
      </c>
      <c r="L358" s="56" t="s">
        <v>228</v>
      </c>
      <c r="M358" s="4" t="s">
        <v>176</v>
      </c>
      <c r="N358" s="4" t="s">
        <v>177</v>
      </c>
      <c r="O358" s="4" t="s">
        <v>178</v>
      </c>
    </row>
    <row r="359" spans="2:15">
      <c r="B359" s="20"/>
      <c r="C359" s="20">
        <v>44748</v>
      </c>
      <c r="D359" s="54">
        <v>50145521</v>
      </c>
      <c r="E359" s="55" t="s">
        <v>436</v>
      </c>
      <c r="G359" s="68">
        <v>1580000</v>
      </c>
      <c r="H359" s="56" t="s">
        <v>92</v>
      </c>
      <c r="J359" s="56">
        <v>1891</v>
      </c>
      <c r="L359" s="56" t="s">
        <v>228</v>
      </c>
      <c r="M359" s="4" t="s">
        <v>176</v>
      </c>
      <c r="N359" s="4" t="s">
        <v>177</v>
      </c>
      <c r="O359" s="4" t="s">
        <v>178</v>
      </c>
    </row>
    <row r="360" spans="2:15">
      <c r="B360" s="20"/>
      <c r="C360" s="20">
        <v>44748</v>
      </c>
      <c r="D360" s="54">
        <v>50534881</v>
      </c>
      <c r="E360" s="55" t="s">
        <v>227</v>
      </c>
      <c r="F360" s="56">
        <v>15</v>
      </c>
      <c r="G360" s="68">
        <v>126900</v>
      </c>
      <c r="H360" s="56" t="s">
        <v>92</v>
      </c>
      <c r="J360" s="56">
        <v>1892</v>
      </c>
      <c r="L360" s="56" t="s">
        <v>228</v>
      </c>
      <c r="M360" s="4" t="s">
        <v>176</v>
      </c>
      <c r="N360" s="4" t="s">
        <v>177</v>
      </c>
      <c r="O360" s="4" t="s">
        <v>178</v>
      </c>
    </row>
    <row r="361" spans="2:15">
      <c r="B361" s="20"/>
      <c r="C361" s="20">
        <v>44748</v>
      </c>
      <c r="D361" s="54">
        <v>50272278</v>
      </c>
      <c r="E361" s="55" t="s">
        <v>21</v>
      </c>
      <c r="F361" s="56">
        <v>12</v>
      </c>
      <c r="G361" s="68">
        <v>6000</v>
      </c>
      <c r="H361" s="56" t="s">
        <v>92</v>
      </c>
      <c r="J361" s="56">
        <v>16875</v>
      </c>
      <c r="L361" s="56" t="s">
        <v>226</v>
      </c>
      <c r="M361" s="4" t="s">
        <v>262</v>
      </c>
      <c r="N361" s="4" t="s">
        <v>364</v>
      </c>
      <c r="O361" s="4" t="s">
        <v>178</v>
      </c>
    </row>
    <row r="362" spans="2:15">
      <c r="B362" s="20"/>
      <c r="C362" s="20">
        <v>44748</v>
      </c>
      <c r="D362" s="54">
        <v>50493248</v>
      </c>
      <c r="E362" s="55" t="s">
        <v>437</v>
      </c>
      <c r="F362" s="56">
        <v>1</v>
      </c>
      <c r="G362" s="68">
        <v>450</v>
      </c>
      <c r="H362" s="56" t="s">
        <v>82</v>
      </c>
      <c r="J362" s="56">
        <v>1894</v>
      </c>
      <c r="L362" s="56" t="s">
        <v>243</v>
      </c>
      <c r="M362" s="4" t="s">
        <v>176</v>
      </c>
      <c r="N362" s="4" t="s">
        <v>193</v>
      </c>
      <c r="O362" s="4" t="s">
        <v>178</v>
      </c>
    </row>
    <row r="363" spans="2:15">
      <c r="B363" s="20"/>
      <c r="C363" s="20">
        <v>44748</v>
      </c>
      <c r="D363" s="54">
        <v>50419454</v>
      </c>
      <c r="E363" s="55" t="s">
        <v>438</v>
      </c>
      <c r="F363" s="56">
        <v>9</v>
      </c>
      <c r="G363" s="68">
        <v>5274.6</v>
      </c>
      <c r="H363" s="56" t="s">
        <v>82</v>
      </c>
      <c r="J363" s="56">
        <v>1894</v>
      </c>
      <c r="L363" s="56" t="s">
        <v>243</v>
      </c>
      <c r="M363" s="4" t="s">
        <v>176</v>
      </c>
      <c r="N363" s="4" t="s">
        <v>193</v>
      </c>
      <c r="O363" s="4" t="s">
        <v>178</v>
      </c>
    </row>
    <row r="364" spans="2:15">
      <c r="B364" s="20"/>
      <c r="C364" s="20">
        <v>44748</v>
      </c>
      <c r="D364" s="54">
        <v>50510331</v>
      </c>
      <c r="E364" s="55" t="s">
        <v>242</v>
      </c>
      <c r="F364" s="56">
        <v>2</v>
      </c>
      <c r="G364" s="68">
        <v>785.8</v>
      </c>
      <c r="H364" s="56" t="s">
        <v>82</v>
      </c>
      <c r="J364" s="56">
        <v>1894</v>
      </c>
      <c r="L364" s="56" t="s">
        <v>243</v>
      </c>
      <c r="M364" s="4" t="s">
        <v>176</v>
      </c>
      <c r="N364" s="4" t="s">
        <v>193</v>
      </c>
      <c r="O364" s="4" t="s">
        <v>178</v>
      </c>
    </row>
    <row r="365" spans="2:15">
      <c r="B365" s="20"/>
      <c r="C365" s="20">
        <v>44748</v>
      </c>
      <c r="D365" s="54">
        <v>50522164</v>
      </c>
      <c r="E365" s="55" t="s">
        <v>439</v>
      </c>
      <c r="F365" s="56">
        <v>4</v>
      </c>
      <c r="G365" s="68">
        <v>1382.2</v>
      </c>
      <c r="H365" s="56" t="s">
        <v>82</v>
      </c>
      <c r="J365" s="56">
        <v>1894</v>
      </c>
      <c r="L365" s="56" t="s">
        <v>243</v>
      </c>
      <c r="M365" s="4" t="s">
        <v>176</v>
      </c>
      <c r="N365" s="4" t="s">
        <v>193</v>
      </c>
      <c r="O365" s="4" t="s">
        <v>178</v>
      </c>
    </row>
    <row r="366" spans="2:15">
      <c r="B366" s="20"/>
      <c r="C366" s="20">
        <v>44749</v>
      </c>
      <c r="D366" s="54">
        <v>50272278</v>
      </c>
      <c r="E366" s="55" t="s">
        <v>21</v>
      </c>
      <c r="F366" s="56">
        <v>12</v>
      </c>
      <c r="G366" s="68">
        <v>6000</v>
      </c>
      <c r="H366" s="56" t="s">
        <v>92</v>
      </c>
      <c r="J366" s="56">
        <v>16879</v>
      </c>
      <c r="L366" s="56" t="s">
        <v>226</v>
      </c>
      <c r="M366" s="4" t="s">
        <v>262</v>
      </c>
      <c r="N366" s="4" t="s">
        <v>364</v>
      </c>
      <c r="O366" s="4" t="s">
        <v>178</v>
      </c>
    </row>
    <row r="367" spans="2:15">
      <c r="B367" s="20"/>
      <c r="C367" s="20">
        <v>44749</v>
      </c>
      <c r="D367" s="54">
        <v>50272278</v>
      </c>
      <c r="E367" s="55" t="s">
        <v>21</v>
      </c>
      <c r="F367" s="56">
        <v>12</v>
      </c>
      <c r="G367" s="68">
        <v>6000</v>
      </c>
      <c r="H367" s="56" t="s">
        <v>92</v>
      </c>
      <c r="J367" s="56">
        <v>16881</v>
      </c>
      <c r="L367" s="56" t="s">
        <v>226</v>
      </c>
      <c r="M367" s="4" t="s">
        <v>262</v>
      </c>
      <c r="N367" s="4" t="s">
        <v>364</v>
      </c>
      <c r="O367" s="4" t="s">
        <v>178</v>
      </c>
    </row>
    <row r="368" spans="2:15">
      <c r="B368" s="20"/>
      <c r="C368" s="20">
        <v>44749</v>
      </c>
      <c r="D368" s="54">
        <v>50493867</v>
      </c>
      <c r="E368" s="55" t="s">
        <v>255</v>
      </c>
      <c r="F368" s="56">
        <v>11</v>
      </c>
      <c r="G368" s="68">
        <v>6235.5</v>
      </c>
      <c r="H368" s="56" t="s">
        <v>82</v>
      </c>
      <c r="J368" s="56">
        <v>1896</v>
      </c>
      <c r="L368" s="56" t="s">
        <v>243</v>
      </c>
      <c r="M368" s="4" t="s">
        <v>176</v>
      </c>
      <c r="N368" s="4" t="s">
        <v>177</v>
      </c>
      <c r="O368" s="4" t="s">
        <v>178</v>
      </c>
    </row>
    <row r="369" spans="2:15">
      <c r="B369" s="20"/>
      <c r="C369" s="20">
        <v>44749</v>
      </c>
      <c r="D369" s="54">
        <v>50486295</v>
      </c>
      <c r="E369" s="55" t="s">
        <v>232</v>
      </c>
      <c r="F369" s="56">
        <v>4</v>
      </c>
      <c r="G369" s="68">
        <v>1099.004</v>
      </c>
      <c r="H369" s="56" t="s">
        <v>82</v>
      </c>
      <c r="J369" s="56">
        <v>1896</v>
      </c>
      <c r="L369" s="56" t="s">
        <v>233</v>
      </c>
      <c r="M369" s="4" t="s">
        <v>176</v>
      </c>
      <c r="N369" s="4" t="s">
        <v>177</v>
      </c>
      <c r="O369" s="4" t="s">
        <v>178</v>
      </c>
    </row>
    <row r="370" spans="2:15">
      <c r="B370" s="20"/>
      <c r="C370" s="20">
        <v>44749</v>
      </c>
      <c r="D370" s="54">
        <v>50272278</v>
      </c>
      <c r="E370" s="55" t="s">
        <v>21</v>
      </c>
      <c r="F370" s="56">
        <v>3</v>
      </c>
      <c r="G370" s="68">
        <v>1150</v>
      </c>
      <c r="H370" s="56" t="s">
        <v>92</v>
      </c>
      <c r="J370" s="56">
        <v>1896</v>
      </c>
      <c r="L370" s="56" t="s">
        <v>226</v>
      </c>
      <c r="M370" s="4" t="s">
        <v>176</v>
      </c>
      <c r="N370" s="4" t="s">
        <v>177</v>
      </c>
      <c r="O370" s="4" t="s">
        <v>178</v>
      </c>
    </row>
    <row r="371" spans="2:15">
      <c r="B371" s="20"/>
      <c r="C371" s="20">
        <v>44749</v>
      </c>
      <c r="D371" s="54">
        <v>40499</v>
      </c>
      <c r="E371" s="55" t="s">
        <v>316</v>
      </c>
      <c r="F371" s="56">
        <v>3</v>
      </c>
      <c r="G371" s="68">
        <v>3</v>
      </c>
      <c r="H371" s="56" t="s">
        <v>92</v>
      </c>
      <c r="J371" s="56">
        <v>1896</v>
      </c>
      <c r="M371" s="4" t="s">
        <v>176</v>
      </c>
      <c r="N371" s="4" t="s">
        <v>177</v>
      </c>
      <c r="O371" s="4" t="s">
        <v>178</v>
      </c>
    </row>
    <row r="372" spans="2:15">
      <c r="B372" s="20"/>
      <c r="C372" s="20">
        <v>44750</v>
      </c>
      <c r="D372" s="54">
        <v>50470190</v>
      </c>
      <c r="E372" s="55" t="s">
        <v>12</v>
      </c>
      <c r="F372" s="56">
        <v>32</v>
      </c>
      <c r="G372" s="68">
        <v>9273600</v>
      </c>
      <c r="H372" s="56" t="s">
        <v>92</v>
      </c>
      <c r="J372" s="56">
        <v>15036</v>
      </c>
      <c r="K372" s="4">
        <v>0</v>
      </c>
      <c r="L372" s="56" t="s">
        <v>230</v>
      </c>
      <c r="M372" s="4" t="s">
        <v>318</v>
      </c>
      <c r="N372" s="4" t="s">
        <v>319</v>
      </c>
      <c r="O372" s="4" t="s">
        <v>178</v>
      </c>
    </row>
    <row r="373" spans="2:15">
      <c r="B373" s="20"/>
      <c r="C373" s="20">
        <v>44750</v>
      </c>
      <c r="D373" s="54">
        <v>50498014</v>
      </c>
      <c r="E373" s="55" t="s">
        <v>440</v>
      </c>
      <c r="F373" s="56">
        <v>2</v>
      </c>
      <c r="G373" s="68">
        <v>781.65</v>
      </c>
      <c r="H373" s="56" t="s">
        <v>82</v>
      </c>
      <c r="J373" s="56">
        <v>1898</v>
      </c>
      <c r="L373" s="56" t="s">
        <v>243</v>
      </c>
      <c r="M373" s="4" t="s">
        <v>176</v>
      </c>
      <c r="N373" s="4" t="s">
        <v>177</v>
      </c>
      <c r="O373" s="4" t="s">
        <v>178</v>
      </c>
    </row>
    <row r="374" spans="2:15">
      <c r="B374" s="20"/>
      <c r="C374" s="20">
        <v>44750</v>
      </c>
      <c r="D374" s="54">
        <v>50145031</v>
      </c>
      <c r="E374" s="55" t="s">
        <v>282</v>
      </c>
      <c r="F374" s="56">
        <v>2</v>
      </c>
      <c r="G374" s="68">
        <v>1010</v>
      </c>
      <c r="H374" s="56" t="s">
        <v>82</v>
      </c>
      <c r="J374" s="56">
        <v>1898</v>
      </c>
      <c r="L374" s="56" t="s">
        <v>243</v>
      </c>
      <c r="M374" s="4" t="s">
        <v>176</v>
      </c>
      <c r="N374" s="4" t="s">
        <v>177</v>
      </c>
      <c r="O374" s="4" t="s">
        <v>178</v>
      </c>
    </row>
    <row r="375" spans="2:15">
      <c r="B375" s="20"/>
      <c r="C375" s="20">
        <v>44750</v>
      </c>
      <c r="D375" s="54">
        <v>50369034</v>
      </c>
      <c r="E375" s="55" t="s">
        <v>322</v>
      </c>
      <c r="F375" s="56">
        <v>7</v>
      </c>
      <c r="G375" s="68">
        <v>4792.8</v>
      </c>
      <c r="H375" s="56" t="s">
        <v>82</v>
      </c>
      <c r="J375" s="56">
        <v>1898</v>
      </c>
      <c r="L375" s="56" t="s">
        <v>243</v>
      </c>
      <c r="M375" s="4" t="s">
        <v>176</v>
      </c>
      <c r="N375" s="4" t="s">
        <v>177</v>
      </c>
      <c r="O375" s="4" t="s">
        <v>178</v>
      </c>
    </row>
    <row r="376" spans="2:15">
      <c r="B376" s="20"/>
      <c r="C376" s="20">
        <v>44750</v>
      </c>
      <c r="D376" s="54">
        <v>50522164</v>
      </c>
      <c r="E376" s="55" t="s">
        <v>439</v>
      </c>
      <c r="F376" s="56">
        <v>2</v>
      </c>
      <c r="G376" s="68">
        <v>1345.6</v>
      </c>
      <c r="H376" s="56" t="s">
        <v>82</v>
      </c>
      <c r="J376" s="56">
        <v>1898</v>
      </c>
      <c r="L376" s="56" t="s">
        <v>243</v>
      </c>
      <c r="M376" s="4" t="s">
        <v>176</v>
      </c>
      <c r="N376" s="4" t="s">
        <v>177</v>
      </c>
      <c r="O376" s="4" t="s">
        <v>178</v>
      </c>
    </row>
    <row r="377" spans="2:15">
      <c r="B377" s="20"/>
      <c r="C377" s="20">
        <v>44750</v>
      </c>
      <c r="D377" s="54">
        <v>50272278</v>
      </c>
      <c r="E377" s="55" t="s">
        <v>21</v>
      </c>
      <c r="F377" s="56">
        <v>2</v>
      </c>
      <c r="G377" s="68">
        <v>550</v>
      </c>
      <c r="H377" s="56" t="s">
        <v>92</v>
      </c>
      <c r="J377" s="56">
        <v>1898</v>
      </c>
      <c r="L377" s="56" t="s">
        <v>201</v>
      </c>
      <c r="M377" s="4" t="s">
        <v>176</v>
      </c>
      <c r="N377" s="4" t="s">
        <v>177</v>
      </c>
      <c r="O377" s="4" t="s">
        <v>178</v>
      </c>
    </row>
    <row r="378" spans="2:15">
      <c r="B378" s="20"/>
      <c r="C378" s="20">
        <v>44750</v>
      </c>
      <c r="D378" s="54">
        <v>50369034</v>
      </c>
      <c r="E378" s="55" t="s">
        <v>322</v>
      </c>
      <c r="F378" s="56">
        <v>3</v>
      </c>
      <c r="G378" s="68">
        <v>1521.95</v>
      </c>
      <c r="H378" s="56" t="s">
        <v>82</v>
      </c>
      <c r="J378" s="56">
        <v>1898</v>
      </c>
      <c r="L378" s="56" t="s">
        <v>243</v>
      </c>
      <c r="M378" s="4" t="s">
        <v>176</v>
      </c>
      <c r="N378" s="4" t="s">
        <v>177</v>
      </c>
      <c r="O378" s="4" t="s">
        <v>178</v>
      </c>
    </row>
    <row r="379" spans="2:15">
      <c r="B379" s="20"/>
      <c r="C379" s="20">
        <v>44750</v>
      </c>
      <c r="D379" s="54">
        <v>50486297</v>
      </c>
      <c r="E379" s="55" t="s">
        <v>441</v>
      </c>
      <c r="F379" s="56">
        <v>1</v>
      </c>
      <c r="G379" s="68">
        <v>540</v>
      </c>
      <c r="H379" s="56" t="s">
        <v>82</v>
      </c>
      <c r="J379" s="56">
        <v>1898</v>
      </c>
      <c r="L379" s="56" t="s">
        <v>243</v>
      </c>
      <c r="M379" s="4" t="s">
        <v>176</v>
      </c>
      <c r="N379" s="4" t="s">
        <v>177</v>
      </c>
      <c r="O379" s="4" t="s">
        <v>178</v>
      </c>
    </row>
    <row r="380" spans="2:15">
      <c r="B380" s="20"/>
      <c r="C380" s="20">
        <v>44750</v>
      </c>
      <c r="D380" s="54">
        <v>40499</v>
      </c>
      <c r="E380" s="55" t="s">
        <v>316</v>
      </c>
      <c r="F380" s="56">
        <v>2</v>
      </c>
      <c r="G380" s="68">
        <v>2</v>
      </c>
      <c r="H380" s="56" t="s">
        <v>92</v>
      </c>
      <c r="J380" s="56">
        <v>1898</v>
      </c>
      <c r="L380" s="56" t="s">
        <v>243</v>
      </c>
      <c r="M380" s="4" t="s">
        <v>176</v>
      </c>
      <c r="N380" s="4" t="s">
        <v>177</v>
      </c>
      <c r="O380" s="4" t="s">
        <v>178</v>
      </c>
    </row>
    <row r="381" spans="2:15">
      <c r="B381" s="20"/>
      <c r="C381" s="20">
        <v>44753</v>
      </c>
      <c r="D381" s="54">
        <v>40011069</v>
      </c>
      <c r="E381" s="55" t="s">
        <v>442</v>
      </c>
      <c r="F381" s="56">
        <v>1</v>
      </c>
      <c r="G381" s="68">
        <v>1964</v>
      </c>
      <c r="H381" s="56" t="s">
        <v>80</v>
      </c>
      <c r="J381" s="56">
        <v>169339128</v>
      </c>
      <c r="K381" s="4" t="s">
        <v>443</v>
      </c>
      <c r="L381" s="56" t="s">
        <v>175</v>
      </c>
      <c r="M381" s="4" t="s">
        <v>431</v>
      </c>
      <c r="N381" s="4" t="s">
        <v>432</v>
      </c>
      <c r="O381" s="4" t="s">
        <v>178</v>
      </c>
    </row>
    <row r="382" spans="2:15">
      <c r="B382" s="20"/>
      <c r="C382" s="20">
        <v>44753</v>
      </c>
      <c r="D382" s="54">
        <v>40011070</v>
      </c>
      <c r="E382" s="55" t="s">
        <v>444</v>
      </c>
      <c r="F382" s="56">
        <v>2</v>
      </c>
      <c r="G382" s="68">
        <v>2622</v>
      </c>
      <c r="H382" s="56" t="s">
        <v>80</v>
      </c>
      <c r="J382" s="56">
        <v>169339128</v>
      </c>
      <c r="K382" s="4" t="s">
        <v>443</v>
      </c>
      <c r="L382" s="56" t="s">
        <v>175</v>
      </c>
      <c r="M382" s="4" t="s">
        <v>431</v>
      </c>
      <c r="N382" s="4" t="s">
        <v>432</v>
      </c>
      <c r="O382" s="4" t="s">
        <v>178</v>
      </c>
    </row>
    <row r="383" spans="2:15">
      <c r="B383" s="20"/>
      <c r="C383" s="20">
        <v>44753</v>
      </c>
      <c r="D383" s="54">
        <v>40011132</v>
      </c>
      <c r="E383" s="55" t="s">
        <v>445</v>
      </c>
      <c r="F383" s="56">
        <v>11</v>
      </c>
      <c r="G383" s="68">
        <v>8143</v>
      </c>
      <c r="H383" s="56" t="s">
        <v>80</v>
      </c>
      <c r="J383" s="56">
        <v>169339128</v>
      </c>
      <c r="K383" s="4" t="s">
        <v>443</v>
      </c>
      <c r="L383" s="56" t="s">
        <v>175</v>
      </c>
      <c r="M383" s="4" t="s">
        <v>431</v>
      </c>
      <c r="N383" s="4" t="s">
        <v>432</v>
      </c>
      <c r="O383" s="4" t="s">
        <v>178</v>
      </c>
    </row>
    <row r="384" spans="2:15">
      <c r="B384" s="20"/>
      <c r="C384" s="20">
        <v>44753</v>
      </c>
      <c r="D384" s="54">
        <v>40011229</v>
      </c>
      <c r="E384" s="55" t="s">
        <v>446</v>
      </c>
      <c r="F384" s="56">
        <v>3</v>
      </c>
      <c r="G384" s="68">
        <v>4951</v>
      </c>
      <c r="H384" s="56" t="s">
        <v>80</v>
      </c>
      <c r="J384" s="56">
        <v>169339128</v>
      </c>
      <c r="K384" s="4" t="s">
        <v>443</v>
      </c>
      <c r="L384" s="56" t="s">
        <v>175</v>
      </c>
      <c r="M384" s="4" t="s">
        <v>431</v>
      </c>
      <c r="N384" s="4" t="s">
        <v>432</v>
      </c>
      <c r="O384" s="4" t="s">
        <v>178</v>
      </c>
    </row>
    <row r="385" spans="2:15">
      <c r="B385" s="20"/>
      <c r="C385" s="20">
        <v>44753</v>
      </c>
      <c r="D385" s="54">
        <v>50501722</v>
      </c>
      <c r="E385" s="55" t="s">
        <v>253</v>
      </c>
      <c r="F385" s="56">
        <v>6</v>
      </c>
      <c r="G385" s="68">
        <v>4204.15</v>
      </c>
      <c r="H385" s="56" t="s">
        <v>82</v>
      </c>
      <c r="J385" s="56">
        <v>11245</v>
      </c>
      <c r="L385" s="56" t="s">
        <v>243</v>
      </c>
      <c r="M385" s="4" t="s">
        <v>243</v>
      </c>
      <c r="N385" s="4" t="s">
        <v>447</v>
      </c>
      <c r="O385" s="4" t="s">
        <v>178</v>
      </c>
    </row>
    <row r="386" spans="2:15">
      <c r="B386" s="20"/>
      <c r="C386" s="20">
        <v>44753</v>
      </c>
      <c r="D386" s="54">
        <v>50522171</v>
      </c>
      <c r="E386" s="55" t="s">
        <v>203</v>
      </c>
      <c r="F386" s="56">
        <v>6</v>
      </c>
      <c r="G386" s="68">
        <v>2511.9</v>
      </c>
      <c r="H386" s="56" t="s">
        <v>82</v>
      </c>
      <c r="J386" s="56">
        <v>11245</v>
      </c>
      <c r="L386" s="56" t="s">
        <v>243</v>
      </c>
      <c r="M386" s="4" t="s">
        <v>243</v>
      </c>
      <c r="N386" s="4" t="s">
        <v>447</v>
      </c>
      <c r="O386" s="4" t="s">
        <v>178</v>
      </c>
    </row>
    <row r="387" spans="2:15">
      <c r="B387" s="20"/>
      <c r="C387" s="20">
        <v>44753</v>
      </c>
      <c r="D387" s="54">
        <v>50470190</v>
      </c>
      <c r="E387" s="55" t="s">
        <v>12</v>
      </c>
      <c r="F387" s="56">
        <v>32</v>
      </c>
      <c r="G387" s="68">
        <v>9273600</v>
      </c>
      <c r="H387" s="56" t="s">
        <v>92</v>
      </c>
      <c r="J387" s="56">
        <v>15095</v>
      </c>
      <c r="L387" s="56" t="s">
        <v>230</v>
      </c>
      <c r="M387" s="4" t="s">
        <v>318</v>
      </c>
      <c r="N387" s="4" t="s">
        <v>319</v>
      </c>
      <c r="O387" s="4" t="s">
        <v>178</v>
      </c>
    </row>
    <row r="388" spans="2:15">
      <c r="B388" s="20"/>
      <c r="C388" s="20">
        <v>44753</v>
      </c>
      <c r="D388" s="54">
        <v>50272278</v>
      </c>
      <c r="E388" s="55" t="s">
        <v>21</v>
      </c>
      <c r="F388" s="56">
        <v>12</v>
      </c>
      <c r="G388" s="68">
        <v>6000</v>
      </c>
      <c r="H388" s="56" t="s">
        <v>92</v>
      </c>
      <c r="J388" s="56">
        <v>16888</v>
      </c>
      <c r="L388" s="56" t="s">
        <v>226</v>
      </c>
      <c r="M388" s="4" t="s">
        <v>262</v>
      </c>
      <c r="N388" s="4" t="s">
        <v>364</v>
      </c>
      <c r="O388" s="4" t="s">
        <v>178</v>
      </c>
    </row>
    <row r="389" spans="2:15">
      <c r="B389" s="20"/>
      <c r="C389" s="20">
        <v>44754</v>
      </c>
      <c r="D389" s="54">
        <v>40011080</v>
      </c>
      <c r="E389" s="55" t="s">
        <v>420</v>
      </c>
      <c r="F389" s="56">
        <v>2</v>
      </c>
      <c r="G389" s="68">
        <v>165.2</v>
      </c>
      <c r="H389" s="56" t="s">
        <v>80</v>
      </c>
      <c r="J389" s="56" t="s">
        <v>448</v>
      </c>
      <c r="K389" s="4" t="s">
        <v>449</v>
      </c>
      <c r="L389" s="56" t="s">
        <v>423</v>
      </c>
      <c r="M389" s="4" t="s">
        <v>394</v>
      </c>
      <c r="N389" s="4" t="s">
        <v>450</v>
      </c>
      <c r="O389" s="4" t="s">
        <v>178</v>
      </c>
    </row>
    <row r="390" spans="2:15">
      <c r="B390" s="20"/>
      <c r="C390" s="20">
        <v>44754</v>
      </c>
      <c r="D390" s="54">
        <v>40011148</v>
      </c>
      <c r="E390" s="55" t="s">
        <v>86</v>
      </c>
      <c r="F390" s="56">
        <v>5</v>
      </c>
      <c r="G390" s="68">
        <v>2070</v>
      </c>
      <c r="H390" s="56" t="s">
        <v>80</v>
      </c>
      <c r="J390" s="56" t="s">
        <v>448</v>
      </c>
      <c r="K390" s="4" t="s">
        <v>449</v>
      </c>
      <c r="L390" s="56" t="s">
        <v>423</v>
      </c>
      <c r="M390" s="4" t="s">
        <v>394</v>
      </c>
      <c r="N390" s="4" t="s">
        <v>450</v>
      </c>
      <c r="O390" s="4" t="s">
        <v>178</v>
      </c>
    </row>
    <row r="391" spans="2:15">
      <c r="B391" s="20"/>
      <c r="C391" s="20">
        <v>44754</v>
      </c>
      <c r="D391" s="54">
        <v>40011149</v>
      </c>
      <c r="E391" s="55" t="s">
        <v>37</v>
      </c>
      <c r="F391" s="56">
        <v>12</v>
      </c>
      <c r="G391" s="68">
        <v>4224</v>
      </c>
      <c r="H391" s="56" t="s">
        <v>80</v>
      </c>
      <c r="J391" s="56" t="s">
        <v>448</v>
      </c>
      <c r="K391" s="4" t="s">
        <v>449</v>
      </c>
      <c r="L391" s="56" t="s">
        <v>423</v>
      </c>
      <c r="M391" s="4" t="s">
        <v>394</v>
      </c>
      <c r="N391" s="4" t="s">
        <v>450</v>
      </c>
      <c r="O391" s="4" t="s">
        <v>178</v>
      </c>
    </row>
    <row r="392" spans="2:15">
      <c r="B392" s="20"/>
      <c r="C392" s="20">
        <v>44754</v>
      </c>
      <c r="D392" s="54">
        <v>40011080</v>
      </c>
      <c r="E392" s="55" t="s">
        <v>420</v>
      </c>
      <c r="F392" s="56">
        <v>26</v>
      </c>
      <c r="G392" s="68">
        <v>11490</v>
      </c>
      <c r="H392" s="56" t="s">
        <v>80</v>
      </c>
      <c r="J392" s="56" t="s">
        <v>448</v>
      </c>
      <c r="K392" s="4" t="s">
        <v>451</v>
      </c>
      <c r="L392" s="56" t="s">
        <v>423</v>
      </c>
      <c r="M392" s="4" t="s">
        <v>394</v>
      </c>
      <c r="N392" s="4" t="s">
        <v>452</v>
      </c>
      <c r="O392" s="4" t="s">
        <v>178</v>
      </c>
    </row>
    <row r="393" spans="2:15">
      <c r="B393" s="20"/>
      <c r="C393" s="20">
        <v>44754</v>
      </c>
      <c r="D393" s="54">
        <v>50144334</v>
      </c>
      <c r="E393" s="55" t="s">
        <v>426</v>
      </c>
      <c r="F393" s="56">
        <v>2</v>
      </c>
      <c r="G393" s="68">
        <v>1170</v>
      </c>
      <c r="H393" s="56" t="s">
        <v>82</v>
      </c>
      <c r="J393" s="56">
        <v>3295</v>
      </c>
      <c r="L393" s="56" t="s">
        <v>453</v>
      </c>
      <c r="M393" s="4" t="s">
        <v>453</v>
      </c>
      <c r="N393" s="4" t="s">
        <v>454</v>
      </c>
      <c r="O393" s="4" t="s">
        <v>178</v>
      </c>
    </row>
    <row r="394" spans="2:15">
      <c r="B394" s="20"/>
      <c r="C394" s="20">
        <v>44754</v>
      </c>
      <c r="D394" s="54">
        <v>50272278</v>
      </c>
      <c r="E394" s="55" t="s">
        <v>21</v>
      </c>
      <c r="F394" s="56">
        <v>12</v>
      </c>
      <c r="G394" s="68">
        <v>6000</v>
      </c>
      <c r="H394" s="56" t="s">
        <v>92</v>
      </c>
      <c r="J394" s="56">
        <v>16895</v>
      </c>
      <c r="L394" s="56" t="s">
        <v>226</v>
      </c>
      <c r="M394" s="4" t="s">
        <v>262</v>
      </c>
      <c r="N394" s="4" t="s">
        <v>364</v>
      </c>
      <c r="O394" s="4" t="s">
        <v>178</v>
      </c>
    </row>
    <row r="395" spans="2:15">
      <c r="B395" s="20"/>
      <c r="C395" s="20">
        <v>44755</v>
      </c>
      <c r="D395" s="54">
        <v>50534881</v>
      </c>
      <c r="E395" s="55" t="s">
        <v>227</v>
      </c>
      <c r="F395" s="56">
        <v>1</v>
      </c>
      <c r="G395" s="68">
        <v>6900</v>
      </c>
      <c r="H395" s="56" t="s">
        <v>92</v>
      </c>
      <c r="J395" s="56">
        <v>1900</v>
      </c>
      <c r="L395" s="56" t="s">
        <v>228</v>
      </c>
      <c r="M395" s="4" t="s">
        <v>176</v>
      </c>
      <c r="N395" s="4" t="s">
        <v>177</v>
      </c>
      <c r="O395" s="4" t="s">
        <v>178</v>
      </c>
    </row>
    <row r="396" spans="2:15">
      <c r="B396" s="20"/>
      <c r="C396" s="20">
        <v>44755</v>
      </c>
      <c r="D396" s="54">
        <v>50486295</v>
      </c>
      <c r="E396" s="55" t="s">
        <v>232</v>
      </c>
      <c r="F396" s="56">
        <v>3</v>
      </c>
      <c r="G396" s="68">
        <v>1016.45</v>
      </c>
      <c r="H396" s="56" t="s">
        <v>82</v>
      </c>
      <c r="J396" s="56">
        <v>1900</v>
      </c>
      <c r="L396" s="56" t="s">
        <v>243</v>
      </c>
      <c r="M396" s="4" t="s">
        <v>176</v>
      </c>
      <c r="N396" s="4" t="s">
        <v>177</v>
      </c>
      <c r="O396" s="4" t="s">
        <v>178</v>
      </c>
    </row>
    <row r="397" spans="2:15">
      <c r="B397" s="20"/>
      <c r="C397" s="20">
        <v>44755</v>
      </c>
      <c r="D397" s="54">
        <v>50369034</v>
      </c>
      <c r="E397" s="55" t="s">
        <v>322</v>
      </c>
      <c r="F397" s="56">
        <v>4</v>
      </c>
      <c r="G397" s="68">
        <v>1343.9</v>
      </c>
      <c r="H397" s="56" t="s">
        <v>82</v>
      </c>
      <c r="J397" s="56">
        <v>1900</v>
      </c>
      <c r="L397" s="56" t="s">
        <v>243</v>
      </c>
      <c r="M397" s="4" t="s">
        <v>176</v>
      </c>
      <c r="N397" s="4" t="s">
        <v>177</v>
      </c>
      <c r="O397" s="4" t="s">
        <v>178</v>
      </c>
    </row>
    <row r="398" spans="2:15">
      <c r="B398" s="20"/>
      <c r="C398" s="20">
        <v>44755</v>
      </c>
      <c r="D398" s="54">
        <v>50277308</v>
      </c>
      <c r="E398" s="55" t="s">
        <v>339</v>
      </c>
      <c r="F398" s="56">
        <v>1</v>
      </c>
      <c r="G398" s="68">
        <v>272</v>
      </c>
      <c r="H398" s="56" t="s">
        <v>82</v>
      </c>
      <c r="J398" s="56">
        <v>1900</v>
      </c>
      <c r="L398" s="56" t="s">
        <v>243</v>
      </c>
      <c r="M398" s="4" t="s">
        <v>176</v>
      </c>
      <c r="N398" s="4" t="s">
        <v>177</v>
      </c>
      <c r="O398" s="4" t="s">
        <v>178</v>
      </c>
    </row>
    <row r="399" spans="2:15">
      <c r="B399" s="20"/>
      <c r="C399" s="20">
        <v>44755</v>
      </c>
      <c r="D399" s="54">
        <v>50550701</v>
      </c>
      <c r="E399" s="55" t="s">
        <v>244</v>
      </c>
      <c r="F399" s="56">
        <v>1</v>
      </c>
      <c r="G399" s="68">
        <v>245</v>
      </c>
      <c r="H399" s="56" t="s">
        <v>82</v>
      </c>
      <c r="J399" s="56">
        <v>1900</v>
      </c>
      <c r="L399" s="56" t="s">
        <v>243</v>
      </c>
      <c r="M399" s="4" t="s">
        <v>176</v>
      </c>
      <c r="N399" s="4" t="s">
        <v>177</v>
      </c>
      <c r="O399" s="4" t="s">
        <v>178</v>
      </c>
    </row>
    <row r="400" spans="2:15">
      <c r="B400" s="20"/>
      <c r="C400" s="20">
        <v>44755</v>
      </c>
      <c r="D400" s="54">
        <v>50522168</v>
      </c>
      <c r="E400" s="55" t="s">
        <v>252</v>
      </c>
      <c r="F400" s="56">
        <v>1</v>
      </c>
      <c r="G400" s="68">
        <v>222</v>
      </c>
      <c r="H400" s="56" t="s">
        <v>82</v>
      </c>
      <c r="J400" s="56">
        <v>1900</v>
      </c>
      <c r="L400" s="56" t="s">
        <v>243</v>
      </c>
      <c r="M400" s="4" t="s">
        <v>176</v>
      </c>
      <c r="N400" s="4" t="s">
        <v>177</v>
      </c>
      <c r="O400" s="4" t="s">
        <v>178</v>
      </c>
    </row>
    <row r="401" spans="2:15">
      <c r="B401" s="20"/>
      <c r="C401" s="20">
        <v>44755</v>
      </c>
      <c r="D401" s="54">
        <v>50522176</v>
      </c>
      <c r="E401" s="55" t="s">
        <v>455</v>
      </c>
      <c r="F401" s="56">
        <v>1</v>
      </c>
      <c r="G401" s="68">
        <v>303</v>
      </c>
      <c r="H401" s="56" t="s">
        <v>82</v>
      </c>
      <c r="J401" s="56">
        <v>1900</v>
      </c>
      <c r="L401" s="56" t="s">
        <v>243</v>
      </c>
      <c r="M401" s="4" t="s">
        <v>176</v>
      </c>
      <c r="N401" s="4" t="s">
        <v>177</v>
      </c>
      <c r="O401" s="4" t="s">
        <v>178</v>
      </c>
    </row>
    <row r="402" spans="2:15">
      <c r="B402" s="20"/>
      <c r="C402" s="20">
        <v>44755</v>
      </c>
      <c r="D402" s="54">
        <v>50655374</v>
      </c>
      <c r="E402" s="55" t="s">
        <v>456</v>
      </c>
      <c r="F402" s="56">
        <v>1</v>
      </c>
      <c r="G402" s="68">
        <v>767.55</v>
      </c>
      <c r="H402" s="56" t="s">
        <v>82</v>
      </c>
      <c r="J402" s="56">
        <v>1900</v>
      </c>
      <c r="L402" s="56" t="s">
        <v>243</v>
      </c>
      <c r="M402" s="4" t="s">
        <v>176</v>
      </c>
      <c r="N402" s="4" t="s">
        <v>177</v>
      </c>
      <c r="O402" s="4" t="s">
        <v>178</v>
      </c>
    </row>
    <row r="403" spans="2:15">
      <c r="B403" s="20"/>
      <c r="C403" s="20">
        <v>44755</v>
      </c>
      <c r="D403" s="54">
        <v>50785688</v>
      </c>
      <c r="E403" s="55" t="s">
        <v>457</v>
      </c>
      <c r="F403" s="56">
        <v>1</v>
      </c>
      <c r="G403" s="68">
        <v>462</v>
      </c>
      <c r="H403" s="56" t="s">
        <v>82</v>
      </c>
      <c r="J403" s="56">
        <v>1900</v>
      </c>
      <c r="L403" s="56" t="s">
        <v>243</v>
      </c>
      <c r="M403" s="4" t="s">
        <v>176</v>
      </c>
      <c r="N403" s="4" t="s">
        <v>177</v>
      </c>
      <c r="O403" s="4" t="s">
        <v>178</v>
      </c>
    </row>
    <row r="404" spans="2:15">
      <c r="B404" s="20"/>
      <c r="C404" s="20">
        <v>44755</v>
      </c>
      <c r="D404" s="54">
        <v>50272278</v>
      </c>
      <c r="E404" s="55" t="s">
        <v>21</v>
      </c>
      <c r="F404" s="56">
        <v>12</v>
      </c>
      <c r="G404" s="68">
        <v>6000</v>
      </c>
      <c r="H404" s="56" t="s">
        <v>92</v>
      </c>
      <c r="J404" s="56">
        <v>16899</v>
      </c>
      <c r="L404" s="56" t="s">
        <v>226</v>
      </c>
      <c r="M404" s="4" t="s">
        <v>262</v>
      </c>
      <c r="N404" s="4" t="s">
        <v>364</v>
      </c>
      <c r="O404" s="4" t="s">
        <v>178</v>
      </c>
    </row>
    <row r="405" spans="2:15">
      <c r="B405" s="20"/>
      <c r="C405" s="20">
        <v>44756</v>
      </c>
      <c r="D405" s="54">
        <v>50272278</v>
      </c>
      <c r="E405" s="55" t="s">
        <v>21</v>
      </c>
      <c r="F405" s="56">
        <v>12</v>
      </c>
      <c r="G405" s="68">
        <v>6500</v>
      </c>
      <c r="H405" s="56" t="s">
        <v>92</v>
      </c>
      <c r="L405" s="56" t="s">
        <v>226</v>
      </c>
      <c r="M405" s="4" t="s">
        <v>262</v>
      </c>
      <c r="N405" s="4" t="s">
        <v>364</v>
      </c>
      <c r="O405" s="4" t="s">
        <v>178</v>
      </c>
    </row>
    <row r="406" spans="2:15">
      <c r="B406" s="20"/>
      <c r="C406" s="20">
        <v>44761</v>
      </c>
      <c r="D406" s="54">
        <v>50143646</v>
      </c>
      <c r="E406" s="55" t="s">
        <v>191</v>
      </c>
      <c r="F406" s="56">
        <v>21</v>
      </c>
      <c r="G406" s="68">
        <v>10080</v>
      </c>
      <c r="H406" s="56" t="s">
        <v>82</v>
      </c>
      <c r="J406" s="56">
        <v>2000567</v>
      </c>
      <c r="K406" s="4" t="s">
        <v>458</v>
      </c>
      <c r="L406" s="56" t="s">
        <v>194</v>
      </c>
      <c r="M406" s="4" t="s">
        <v>394</v>
      </c>
      <c r="N406" s="4" t="s">
        <v>459</v>
      </c>
      <c r="O406" s="4" t="s">
        <v>178</v>
      </c>
    </row>
    <row r="407" spans="2:15">
      <c r="B407" s="20"/>
      <c r="C407" s="20">
        <v>44761</v>
      </c>
      <c r="D407" s="54">
        <v>50143646</v>
      </c>
      <c r="E407" s="55" t="s">
        <v>191</v>
      </c>
      <c r="F407" s="56">
        <v>21</v>
      </c>
      <c r="G407" s="68">
        <v>10080</v>
      </c>
      <c r="H407" s="56" t="s">
        <v>82</v>
      </c>
      <c r="J407" s="56">
        <v>2000567</v>
      </c>
      <c r="K407" s="4" t="s">
        <v>460</v>
      </c>
      <c r="L407" s="56" t="s">
        <v>194</v>
      </c>
      <c r="M407" s="4" t="s">
        <v>394</v>
      </c>
      <c r="N407" s="4" t="s">
        <v>461</v>
      </c>
      <c r="O407" s="4" t="s">
        <v>178</v>
      </c>
    </row>
    <row r="408" spans="2:15">
      <c r="B408" s="20"/>
      <c r="C408" s="20">
        <v>44762</v>
      </c>
      <c r="D408" s="54">
        <v>50507916</v>
      </c>
      <c r="E408" s="55" t="s">
        <v>406</v>
      </c>
      <c r="F408" s="56">
        <v>10</v>
      </c>
      <c r="G408" s="68">
        <v>2640000</v>
      </c>
      <c r="H408" s="56" t="s">
        <v>92</v>
      </c>
      <c r="J408" s="56" t="s">
        <v>462</v>
      </c>
      <c r="K408" s="4" t="s">
        <v>463</v>
      </c>
      <c r="L408" s="56" t="s">
        <v>185</v>
      </c>
      <c r="M408" s="4" t="s">
        <v>209</v>
      </c>
      <c r="N408" s="4" t="s">
        <v>464</v>
      </c>
      <c r="O408" s="4" t="s">
        <v>178</v>
      </c>
    </row>
    <row r="409" spans="2:15">
      <c r="B409" s="20"/>
      <c r="C409" s="20">
        <v>44762</v>
      </c>
      <c r="D409" s="54">
        <v>50507913</v>
      </c>
      <c r="E409" s="55" t="s">
        <v>407</v>
      </c>
      <c r="F409" s="56">
        <v>10</v>
      </c>
      <c r="G409" s="68">
        <v>2640</v>
      </c>
      <c r="H409" s="56" t="s">
        <v>80</v>
      </c>
      <c r="J409" s="56" t="s">
        <v>462</v>
      </c>
      <c r="K409" s="4" t="s">
        <v>463</v>
      </c>
      <c r="L409" s="56" t="s">
        <v>185</v>
      </c>
      <c r="M409" s="4" t="s">
        <v>209</v>
      </c>
      <c r="N409" s="4" t="s">
        <v>464</v>
      </c>
      <c r="O409" s="4" t="s">
        <v>178</v>
      </c>
    </row>
    <row r="410" spans="2:15">
      <c r="B410" s="20"/>
      <c r="C410" s="20">
        <v>44762</v>
      </c>
      <c r="D410" s="54">
        <v>50145187</v>
      </c>
      <c r="E410" s="55" t="s">
        <v>465</v>
      </c>
      <c r="F410" s="56">
        <v>1</v>
      </c>
      <c r="G410" s="68">
        <v>264000</v>
      </c>
      <c r="H410" s="56" t="s">
        <v>92</v>
      </c>
      <c r="J410" s="56" t="s">
        <v>462</v>
      </c>
      <c r="K410" s="4" t="s">
        <v>463</v>
      </c>
      <c r="L410" s="56" t="s">
        <v>185</v>
      </c>
      <c r="M410" s="4" t="s">
        <v>209</v>
      </c>
      <c r="N410" s="4" t="s">
        <v>464</v>
      </c>
      <c r="O410" s="4" t="s">
        <v>178</v>
      </c>
    </row>
    <row r="411" spans="2:15">
      <c r="B411" s="20"/>
      <c r="C411" s="20">
        <v>44762</v>
      </c>
      <c r="D411" s="54">
        <v>50507916</v>
      </c>
      <c r="E411" s="55" t="s">
        <v>406</v>
      </c>
      <c r="F411" s="56">
        <v>8</v>
      </c>
      <c r="G411" s="68">
        <v>2112000</v>
      </c>
      <c r="H411" s="56" t="s">
        <v>92</v>
      </c>
      <c r="J411" s="56" t="s">
        <v>462</v>
      </c>
      <c r="K411" s="4" t="s">
        <v>466</v>
      </c>
      <c r="L411" s="56" t="s">
        <v>185</v>
      </c>
      <c r="M411" s="4" t="s">
        <v>209</v>
      </c>
      <c r="N411" s="4" t="s">
        <v>467</v>
      </c>
      <c r="O411" s="4" t="s">
        <v>178</v>
      </c>
    </row>
    <row r="412" spans="2:15">
      <c r="B412" s="20"/>
      <c r="C412" s="20">
        <v>44762</v>
      </c>
      <c r="D412" s="54">
        <v>50507913</v>
      </c>
      <c r="E412" s="55" t="s">
        <v>407</v>
      </c>
      <c r="F412" s="56">
        <v>1</v>
      </c>
      <c r="G412" s="68">
        <v>185</v>
      </c>
      <c r="H412" s="56" t="s">
        <v>80</v>
      </c>
      <c r="J412" s="56" t="s">
        <v>462</v>
      </c>
      <c r="K412" s="4" t="s">
        <v>466</v>
      </c>
      <c r="L412" s="56" t="s">
        <v>185</v>
      </c>
      <c r="M412" s="4" t="s">
        <v>209</v>
      </c>
      <c r="N412" s="4" t="s">
        <v>467</v>
      </c>
      <c r="O412" s="4" t="s">
        <v>178</v>
      </c>
    </row>
    <row r="413" spans="2:15">
      <c r="B413" s="20"/>
      <c r="C413" s="20">
        <v>44762</v>
      </c>
      <c r="D413" s="54">
        <v>50145187</v>
      </c>
      <c r="E413" s="55" t="s">
        <v>465</v>
      </c>
      <c r="F413" s="56">
        <v>11</v>
      </c>
      <c r="G413" s="68">
        <v>2750000</v>
      </c>
      <c r="H413" s="56" t="s">
        <v>92</v>
      </c>
      <c r="J413" s="56" t="s">
        <v>462</v>
      </c>
      <c r="K413" s="4" t="s">
        <v>466</v>
      </c>
      <c r="L413" s="56" t="s">
        <v>185</v>
      </c>
      <c r="M413" s="4" t="s">
        <v>209</v>
      </c>
      <c r="N413" s="4" t="s">
        <v>467</v>
      </c>
      <c r="O413" s="4" t="s">
        <v>178</v>
      </c>
    </row>
    <row r="414" spans="2:15">
      <c r="B414" s="20"/>
      <c r="C414" s="20">
        <v>44762</v>
      </c>
      <c r="D414" s="54">
        <v>50144200</v>
      </c>
      <c r="E414" s="55" t="s">
        <v>184</v>
      </c>
      <c r="F414" s="56">
        <v>1</v>
      </c>
      <c r="G414" s="68">
        <v>264000</v>
      </c>
      <c r="H414" s="56" t="s">
        <v>92</v>
      </c>
      <c r="J414" s="56" t="s">
        <v>462</v>
      </c>
      <c r="K414" s="4" t="s">
        <v>466</v>
      </c>
      <c r="L414" s="56" t="s">
        <v>185</v>
      </c>
      <c r="M414" s="4" t="s">
        <v>209</v>
      </c>
      <c r="N414" s="4" t="s">
        <v>467</v>
      </c>
      <c r="O414" s="4" t="s">
        <v>178</v>
      </c>
    </row>
    <row r="415" spans="2:15">
      <c r="B415" s="20"/>
      <c r="C415" s="20">
        <v>44762</v>
      </c>
      <c r="D415" s="54">
        <v>50144376</v>
      </c>
      <c r="E415" s="55" t="s">
        <v>19</v>
      </c>
      <c r="F415" s="56">
        <v>12</v>
      </c>
      <c r="G415" s="68">
        <v>6000</v>
      </c>
      <c r="H415" s="56" t="s">
        <v>92</v>
      </c>
      <c r="I415" s="4">
        <v>0</v>
      </c>
      <c r="J415" s="56">
        <v>16933</v>
      </c>
      <c r="K415" s="4">
        <v>0</v>
      </c>
      <c r="L415" s="56" t="s">
        <v>226</v>
      </c>
      <c r="M415" s="4" t="s">
        <v>262</v>
      </c>
      <c r="N415" s="4" t="s">
        <v>364</v>
      </c>
      <c r="O415" s="4" t="s">
        <v>178</v>
      </c>
    </row>
    <row r="416" spans="2:15">
      <c r="B416" s="20"/>
      <c r="C416" s="20">
        <v>44763</v>
      </c>
      <c r="D416" s="54">
        <v>50142055</v>
      </c>
      <c r="E416" s="55" t="s">
        <v>206</v>
      </c>
      <c r="F416" s="56">
        <v>20</v>
      </c>
      <c r="G416" s="68">
        <v>12000</v>
      </c>
      <c r="H416" s="56" t="s">
        <v>82</v>
      </c>
      <c r="K416" s="4" t="s">
        <v>468</v>
      </c>
      <c r="L416" s="56" t="s">
        <v>324</v>
      </c>
      <c r="M416" s="4" t="s">
        <v>209</v>
      </c>
      <c r="N416" s="4" t="s">
        <v>469</v>
      </c>
      <c r="O416" s="4" t="s">
        <v>178</v>
      </c>
    </row>
    <row r="417" spans="2:15">
      <c r="B417" s="20"/>
      <c r="C417" s="20">
        <v>44764</v>
      </c>
      <c r="D417" s="54">
        <v>50145028</v>
      </c>
      <c r="E417" s="55" t="s">
        <v>23</v>
      </c>
      <c r="F417" s="56">
        <v>6</v>
      </c>
      <c r="G417" s="68">
        <v>1000</v>
      </c>
      <c r="H417" s="56" t="s">
        <v>92</v>
      </c>
      <c r="J417" s="56">
        <v>2032</v>
      </c>
      <c r="L417" s="56" t="s">
        <v>388</v>
      </c>
      <c r="M417" s="4" t="s">
        <v>388</v>
      </c>
      <c r="N417" s="4" t="s">
        <v>428</v>
      </c>
      <c r="O417" s="4" t="s">
        <v>178</v>
      </c>
    </row>
    <row r="418" spans="2:15">
      <c r="B418" s="20"/>
      <c r="C418" s="20">
        <v>44764</v>
      </c>
      <c r="D418" s="54">
        <v>50501722</v>
      </c>
      <c r="E418" s="55" t="s">
        <v>253</v>
      </c>
      <c r="F418" s="56">
        <v>5</v>
      </c>
      <c r="G418" s="68">
        <v>3288.4</v>
      </c>
      <c r="H418" s="56" t="s">
        <v>82</v>
      </c>
      <c r="J418" s="56">
        <v>11268</v>
      </c>
      <c r="L418" s="56" t="s">
        <v>243</v>
      </c>
      <c r="M418" s="4" t="s">
        <v>470</v>
      </c>
      <c r="N418" s="4" t="s">
        <v>471</v>
      </c>
      <c r="O418" s="4" t="s">
        <v>178</v>
      </c>
    </row>
    <row r="419" spans="2:15">
      <c r="B419" s="20"/>
      <c r="C419" s="20">
        <v>44767</v>
      </c>
      <c r="D419" s="54">
        <v>50144376</v>
      </c>
      <c r="E419" s="55" t="s">
        <v>19</v>
      </c>
      <c r="F419" s="56">
        <v>12</v>
      </c>
      <c r="G419" s="68">
        <v>6000</v>
      </c>
      <c r="H419" s="56" t="s">
        <v>92</v>
      </c>
      <c r="I419" s="4">
        <v>0</v>
      </c>
      <c r="J419" s="56">
        <v>16952</v>
      </c>
      <c r="K419" s="4">
        <v>0</v>
      </c>
      <c r="L419" s="56" t="s">
        <v>226</v>
      </c>
      <c r="M419" s="4" t="s">
        <v>262</v>
      </c>
      <c r="N419" s="4" t="s">
        <v>364</v>
      </c>
      <c r="O419" s="4" t="s">
        <v>178</v>
      </c>
    </row>
    <row r="420" spans="2:15">
      <c r="B420" s="20"/>
      <c r="C420" s="20">
        <v>44767</v>
      </c>
      <c r="D420" s="54">
        <v>50470190</v>
      </c>
      <c r="E420" s="55" t="s">
        <v>12</v>
      </c>
      <c r="F420" s="56">
        <v>32</v>
      </c>
      <c r="G420" s="68">
        <v>9273600</v>
      </c>
      <c r="H420" s="56" t="s">
        <v>92</v>
      </c>
      <c r="J420" s="56">
        <v>15423</v>
      </c>
      <c r="L420" s="56" t="s">
        <v>230</v>
      </c>
      <c r="M420" s="4" t="s">
        <v>318</v>
      </c>
      <c r="N420" s="4" t="s">
        <v>319</v>
      </c>
      <c r="O420" s="4" t="s">
        <v>178</v>
      </c>
    </row>
    <row r="421" spans="2:15">
      <c r="B421" s="20"/>
      <c r="C421" s="20">
        <v>44768</v>
      </c>
      <c r="D421" s="54">
        <v>40007941</v>
      </c>
      <c r="E421" s="55" t="s">
        <v>211</v>
      </c>
      <c r="F421" s="56">
        <v>11</v>
      </c>
      <c r="G421" s="68">
        <v>7884</v>
      </c>
      <c r="H421" s="56" t="s">
        <v>80</v>
      </c>
      <c r="J421" s="56">
        <v>171280795</v>
      </c>
      <c r="K421" s="4" t="s">
        <v>472</v>
      </c>
      <c r="L421" s="56" t="s">
        <v>175</v>
      </c>
      <c r="M421" s="4" t="s">
        <v>431</v>
      </c>
      <c r="N421" s="4" t="s">
        <v>432</v>
      </c>
      <c r="O421" s="4" t="s">
        <v>178</v>
      </c>
    </row>
    <row r="422" spans="2:15">
      <c r="B422" s="20"/>
      <c r="C422" s="20">
        <v>44768</v>
      </c>
      <c r="D422" s="54">
        <v>40010084</v>
      </c>
      <c r="E422" s="55" t="s">
        <v>81</v>
      </c>
      <c r="F422" s="56">
        <v>5</v>
      </c>
      <c r="G422" s="68">
        <v>6126</v>
      </c>
      <c r="H422" s="56" t="s">
        <v>80</v>
      </c>
      <c r="J422" s="56">
        <v>171280795</v>
      </c>
      <c r="K422" s="4" t="s">
        <v>472</v>
      </c>
      <c r="L422" s="56" t="s">
        <v>175</v>
      </c>
      <c r="M422" s="4" t="s">
        <v>431</v>
      </c>
      <c r="N422" s="4" t="s">
        <v>432</v>
      </c>
      <c r="O422" s="4" t="s">
        <v>178</v>
      </c>
    </row>
    <row r="423" spans="2:15">
      <c r="B423" s="20"/>
      <c r="C423" s="20">
        <v>44768</v>
      </c>
      <c r="D423" s="54">
        <v>40007942</v>
      </c>
      <c r="E423" s="55" t="s">
        <v>219</v>
      </c>
      <c r="F423" s="56">
        <v>3</v>
      </c>
      <c r="G423" s="68">
        <v>7392</v>
      </c>
      <c r="H423" s="56" t="s">
        <v>80</v>
      </c>
      <c r="J423" s="56">
        <v>171280795</v>
      </c>
      <c r="K423" s="4" t="s">
        <v>472</v>
      </c>
      <c r="L423" s="56" t="s">
        <v>175</v>
      </c>
      <c r="M423" s="4" t="s">
        <v>431</v>
      </c>
      <c r="N423" s="4" t="s">
        <v>432</v>
      </c>
      <c r="O423" s="4" t="s">
        <v>178</v>
      </c>
    </row>
    <row r="424" spans="2:15">
      <c r="B424" s="20"/>
      <c r="C424" s="20">
        <v>44768</v>
      </c>
      <c r="D424" s="54">
        <v>40010086</v>
      </c>
      <c r="E424" s="55" t="s">
        <v>79</v>
      </c>
      <c r="F424" s="56">
        <v>2</v>
      </c>
      <c r="G424" s="68">
        <v>4406</v>
      </c>
      <c r="H424" s="56" t="s">
        <v>80</v>
      </c>
      <c r="J424" s="56">
        <v>171280795</v>
      </c>
      <c r="K424" s="4" t="s">
        <v>472</v>
      </c>
      <c r="L424" s="56" t="s">
        <v>175</v>
      </c>
      <c r="M424" s="4" t="s">
        <v>431</v>
      </c>
      <c r="N424" s="4" t="s">
        <v>432</v>
      </c>
      <c r="O424" s="4" t="s">
        <v>178</v>
      </c>
    </row>
    <row r="425" spans="2:15">
      <c r="B425" s="20"/>
      <c r="C425" s="20">
        <v>44768</v>
      </c>
      <c r="D425" s="54">
        <v>40009543</v>
      </c>
      <c r="E425" s="55" t="s">
        <v>473</v>
      </c>
      <c r="F425" s="56">
        <v>4</v>
      </c>
      <c r="G425" s="68">
        <v>6073</v>
      </c>
      <c r="H425" s="56" t="s">
        <v>80</v>
      </c>
      <c r="J425" s="56">
        <v>171280795</v>
      </c>
      <c r="K425" s="4" t="s">
        <v>472</v>
      </c>
      <c r="L425" s="56" t="s">
        <v>175</v>
      </c>
      <c r="M425" s="4" t="s">
        <v>431</v>
      </c>
      <c r="N425" s="4" t="s">
        <v>432</v>
      </c>
      <c r="O425" s="4" t="s">
        <v>178</v>
      </c>
    </row>
    <row r="426" spans="2:15">
      <c r="B426" s="20"/>
      <c r="C426" s="20">
        <v>44768</v>
      </c>
      <c r="D426" s="54">
        <v>40010083</v>
      </c>
      <c r="E426" s="55" t="s">
        <v>85</v>
      </c>
      <c r="F426" s="56">
        <v>2</v>
      </c>
      <c r="G426" s="68">
        <v>5795</v>
      </c>
      <c r="H426" s="56" t="s">
        <v>80</v>
      </c>
      <c r="J426" s="56">
        <v>171280795</v>
      </c>
      <c r="K426" s="4" t="s">
        <v>472</v>
      </c>
      <c r="L426" s="56" t="s">
        <v>175</v>
      </c>
      <c r="M426" s="4" t="s">
        <v>431</v>
      </c>
      <c r="N426" s="4" t="s">
        <v>432</v>
      </c>
      <c r="O426" s="4" t="s">
        <v>178</v>
      </c>
    </row>
    <row r="427" spans="2:15">
      <c r="B427" s="20"/>
      <c r="C427" s="20">
        <v>44768</v>
      </c>
      <c r="D427" s="54">
        <v>40009546</v>
      </c>
      <c r="E427" s="55" t="s">
        <v>174</v>
      </c>
      <c r="F427" s="56">
        <v>22</v>
      </c>
      <c r="G427" s="68">
        <v>16632</v>
      </c>
      <c r="H427" s="56" t="s">
        <v>80</v>
      </c>
      <c r="J427" s="56">
        <v>171280795</v>
      </c>
      <c r="K427" s="4" t="s">
        <v>474</v>
      </c>
      <c r="L427" s="56" t="s">
        <v>175</v>
      </c>
      <c r="M427" s="4" t="s">
        <v>431</v>
      </c>
      <c r="N427" s="4" t="s">
        <v>475</v>
      </c>
      <c r="O427" s="4" t="s">
        <v>178</v>
      </c>
    </row>
    <row r="428" spans="2:15">
      <c r="B428" s="20"/>
      <c r="C428" s="20">
        <v>44768</v>
      </c>
      <c r="D428" s="54">
        <v>40007939</v>
      </c>
      <c r="E428" s="55" t="s">
        <v>476</v>
      </c>
      <c r="F428" s="56">
        <v>2</v>
      </c>
      <c r="G428" s="68">
        <v>1458</v>
      </c>
      <c r="H428" s="56" t="s">
        <v>80</v>
      </c>
      <c r="J428" s="56">
        <v>171280795</v>
      </c>
      <c r="K428" s="4" t="s">
        <v>474</v>
      </c>
      <c r="L428" s="56" t="s">
        <v>175</v>
      </c>
      <c r="M428" s="4" t="s">
        <v>431</v>
      </c>
      <c r="N428" s="4" t="s">
        <v>475</v>
      </c>
      <c r="O428" s="4" t="s">
        <v>178</v>
      </c>
    </row>
    <row r="429" spans="2:15">
      <c r="B429" s="20"/>
      <c r="C429" s="20">
        <v>44768</v>
      </c>
      <c r="D429" s="54">
        <v>40007940</v>
      </c>
      <c r="E429" s="55" t="s">
        <v>477</v>
      </c>
      <c r="F429" s="56">
        <v>1</v>
      </c>
      <c r="G429" s="68">
        <v>1374</v>
      </c>
      <c r="H429" s="56" t="s">
        <v>80</v>
      </c>
      <c r="J429" s="56">
        <v>171280795</v>
      </c>
      <c r="K429" s="4" t="s">
        <v>474</v>
      </c>
      <c r="L429" s="56" t="s">
        <v>175</v>
      </c>
      <c r="M429" s="4" t="s">
        <v>431</v>
      </c>
      <c r="N429" s="4" t="s">
        <v>475</v>
      </c>
      <c r="O429" s="4" t="s">
        <v>178</v>
      </c>
    </row>
    <row r="430" spans="2:15">
      <c r="B430" s="20"/>
      <c r="C430" s="20">
        <v>44768</v>
      </c>
      <c r="D430" s="54">
        <v>40011096</v>
      </c>
      <c r="E430" s="55" t="s">
        <v>478</v>
      </c>
      <c r="F430" s="56">
        <v>1</v>
      </c>
      <c r="G430" s="68">
        <v>1357</v>
      </c>
      <c r="H430" s="56" t="s">
        <v>80</v>
      </c>
      <c r="J430" s="56">
        <v>171280795</v>
      </c>
      <c r="K430" s="4" t="s">
        <v>474</v>
      </c>
      <c r="L430" s="56" t="s">
        <v>175</v>
      </c>
      <c r="M430" s="4" t="s">
        <v>431</v>
      </c>
      <c r="N430" s="4" t="s">
        <v>475</v>
      </c>
      <c r="O430" s="4" t="s">
        <v>178</v>
      </c>
    </row>
    <row r="431" spans="2:15">
      <c r="B431" s="20"/>
      <c r="C431" s="20">
        <v>44769</v>
      </c>
      <c r="D431" s="54">
        <v>50501722</v>
      </c>
      <c r="E431" s="55" t="s">
        <v>253</v>
      </c>
      <c r="F431" s="56">
        <v>8</v>
      </c>
      <c r="G431" s="68">
        <v>5577.75</v>
      </c>
      <c r="H431" s="56" t="s">
        <v>82</v>
      </c>
      <c r="J431" s="56">
        <v>11276</v>
      </c>
      <c r="L431" s="56" t="s">
        <v>243</v>
      </c>
      <c r="M431" s="4" t="s">
        <v>470</v>
      </c>
      <c r="N431" s="4" t="s">
        <v>471</v>
      </c>
      <c r="O431" s="4" t="s">
        <v>178</v>
      </c>
    </row>
    <row r="432" spans="2:15">
      <c r="B432" s="20"/>
      <c r="C432" s="20">
        <v>44770</v>
      </c>
      <c r="D432" s="54">
        <v>50470190</v>
      </c>
      <c r="E432" s="55" t="s">
        <v>12</v>
      </c>
      <c r="F432" s="56">
        <v>32</v>
      </c>
      <c r="G432" s="68">
        <v>9273600</v>
      </c>
      <c r="H432" s="56" t="s">
        <v>92</v>
      </c>
      <c r="J432" s="56">
        <v>15504</v>
      </c>
      <c r="L432" s="56" t="s">
        <v>230</v>
      </c>
      <c r="M432" s="4" t="s">
        <v>318</v>
      </c>
      <c r="N432" s="4" t="s">
        <v>362</v>
      </c>
      <c r="O432" s="4" t="s">
        <v>178</v>
      </c>
    </row>
    <row r="433" spans="2:15">
      <c r="B433" s="20"/>
      <c r="C433" s="20">
        <v>44771</v>
      </c>
      <c r="D433" s="54">
        <v>50141786</v>
      </c>
      <c r="E433" s="55" t="s">
        <v>188</v>
      </c>
      <c r="F433" s="56">
        <v>20</v>
      </c>
      <c r="G433" s="68">
        <v>11200</v>
      </c>
      <c r="H433" s="56" t="s">
        <v>82</v>
      </c>
      <c r="J433" s="56">
        <v>108330</v>
      </c>
      <c r="K433" s="4" t="s">
        <v>479</v>
      </c>
      <c r="L433" s="56" t="s">
        <v>189</v>
      </c>
      <c r="M433" s="4" t="s">
        <v>404</v>
      </c>
      <c r="N433" s="4" t="s">
        <v>480</v>
      </c>
      <c r="O433" s="4" t="s">
        <v>178</v>
      </c>
    </row>
    <row r="434" spans="2:15">
      <c r="B434" s="20"/>
      <c r="C434" s="20">
        <v>44771</v>
      </c>
      <c r="D434" s="54">
        <v>50141786</v>
      </c>
      <c r="E434" s="55" t="s">
        <v>188</v>
      </c>
      <c r="F434" s="56">
        <v>20</v>
      </c>
      <c r="G434" s="68">
        <v>11200</v>
      </c>
      <c r="H434" s="56" t="s">
        <v>82</v>
      </c>
      <c r="J434" s="56">
        <v>108330</v>
      </c>
      <c r="K434" s="4" t="s">
        <v>481</v>
      </c>
      <c r="L434" s="56" t="s">
        <v>189</v>
      </c>
      <c r="M434" s="4" t="s">
        <v>482</v>
      </c>
      <c r="N434" s="4" t="s">
        <v>483</v>
      </c>
      <c r="O434" s="4" t="s">
        <v>178</v>
      </c>
    </row>
    <row r="435" spans="2:15">
      <c r="B435" s="20"/>
      <c r="C435" s="20">
        <v>44772</v>
      </c>
      <c r="D435" s="54">
        <v>50141786</v>
      </c>
      <c r="E435" s="55" t="s">
        <v>188</v>
      </c>
      <c r="F435" s="56">
        <v>20</v>
      </c>
      <c r="G435" s="68">
        <v>11200</v>
      </c>
      <c r="H435" s="56" t="s">
        <v>82</v>
      </c>
      <c r="J435" s="56">
        <v>108280</v>
      </c>
      <c r="K435" s="4" t="s">
        <v>484</v>
      </c>
      <c r="L435" s="56" t="s">
        <v>189</v>
      </c>
      <c r="M435" s="4" t="s">
        <v>209</v>
      </c>
      <c r="N435" s="4" t="s">
        <v>409</v>
      </c>
      <c r="O435" s="4" t="s">
        <v>178</v>
      </c>
    </row>
    <row r="436" spans="2:15">
      <c r="B436" s="20"/>
      <c r="C436" s="20">
        <v>44772</v>
      </c>
      <c r="D436" s="54">
        <v>50141786</v>
      </c>
      <c r="E436" s="55" t="s">
        <v>188</v>
      </c>
      <c r="F436" s="56">
        <v>20</v>
      </c>
      <c r="G436" s="68">
        <v>11200</v>
      </c>
      <c r="H436" s="56" t="s">
        <v>82</v>
      </c>
      <c r="J436" s="56">
        <v>108280</v>
      </c>
      <c r="K436" s="4" t="s">
        <v>485</v>
      </c>
      <c r="L436" s="56" t="s">
        <v>189</v>
      </c>
      <c r="M436" s="4" t="s">
        <v>209</v>
      </c>
      <c r="N436" s="4" t="s">
        <v>486</v>
      </c>
      <c r="O436" s="4" t="s">
        <v>178</v>
      </c>
    </row>
    <row r="437" spans="2:15">
      <c r="B437" s="20"/>
      <c r="C437" s="20">
        <v>44772</v>
      </c>
      <c r="D437" s="54">
        <v>50141786</v>
      </c>
      <c r="E437" s="55" t="s">
        <v>188</v>
      </c>
      <c r="F437" s="56">
        <v>20</v>
      </c>
      <c r="G437" s="68">
        <v>11200</v>
      </c>
      <c r="H437" s="56" t="s">
        <v>82</v>
      </c>
      <c r="J437" s="56">
        <v>108283</v>
      </c>
      <c r="K437" s="4" t="s">
        <v>487</v>
      </c>
      <c r="L437" s="56" t="s">
        <v>189</v>
      </c>
      <c r="M437" s="4" t="s">
        <v>209</v>
      </c>
      <c r="N437" s="4" t="s">
        <v>488</v>
      </c>
      <c r="O437" s="4" t="s">
        <v>178</v>
      </c>
    </row>
    <row r="438" spans="2:15">
      <c r="B438" s="20"/>
      <c r="C438" s="20">
        <v>44772</v>
      </c>
      <c r="D438" s="54">
        <v>50141786</v>
      </c>
      <c r="E438" s="55" t="s">
        <v>188</v>
      </c>
      <c r="F438" s="56">
        <v>20</v>
      </c>
      <c r="G438" s="68">
        <v>11200</v>
      </c>
      <c r="H438" s="56" t="s">
        <v>82</v>
      </c>
      <c r="J438" s="56">
        <v>108280</v>
      </c>
      <c r="K438" s="4" t="s">
        <v>489</v>
      </c>
      <c r="L438" s="56" t="s">
        <v>189</v>
      </c>
      <c r="M438" s="4" t="s">
        <v>209</v>
      </c>
      <c r="N438" s="4" t="s">
        <v>490</v>
      </c>
      <c r="O438" s="4" t="s">
        <v>178</v>
      </c>
    </row>
    <row r="439" spans="2:15">
      <c r="B439" s="20"/>
      <c r="C439" s="20">
        <v>44772</v>
      </c>
      <c r="D439" s="54">
        <v>50142055</v>
      </c>
      <c r="E439" s="55" t="s">
        <v>206</v>
      </c>
      <c r="F439" s="56">
        <v>20</v>
      </c>
      <c r="G439" s="68">
        <v>12000</v>
      </c>
      <c r="H439" s="56" t="s">
        <v>82</v>
      </c>
      <c r="K439" s="4" t="s">
        <v>491</v>
      </c>
      <c r="L439" s="56" t="s">
        <v>324</v>
      </c>
      <c r="M439" s="4" t="s">
        <v>492</v>
      </c>
      <c r="N439" s="4" t="s">
        <v>493</v>
      </c>
      <c r="O439" s="4" t="s">
        <v>178</v>
      </c>
    </row>
    <row r="440" spans="2:15">
      <c r="B440" s="20"/>
      <c r="C440" s="20">
        <v>44772</v>
      </c>
      <c r="D440" s="54">
        <v>50141533</v>
      </c>
      <c r="E440" s="55" t="s">
        <v>494</v>
      </c>
      <c r="F440" s="56">
        <v>10</v>
      </c>
      <c r="G440" s="68">
        <v>10000</v>
      </c>
      <c r="H440" s="56" t="s">
        <v>82</v>
      </c>
      <c r="J440" s="56">
        <v>1511</v>
      </c>
      <c r="L440" s="56" t="s">
        <v>495</v>
      </c>
      <c r="M440" s="4" t="s">
        <v>495</v>
      </c>
      <c r="N440" s="4" t="s">
        <v>496</v>
      </c>
      <c r="O440" s="4" t="s">
        <v>178</v>
      </c>
    </row>
    <row r="441" spans="2:15">
      <c r="B441" s="20"/>
      <c r="C441" s="20">
        <v>44775</v>
      </c>
      <c r="D441" s="54">
        <v>50142330</v>
      </c>
      <c r="E441" s="55" t="s">
        <v>195</v>
      </c>
      <c r="F441" s="56">
        <v>9</v>
      </c>
      <c r="G441" s="68">
        <v>3013.96</v>
      </c>
      <c r="H441" s="56" t="s">
        <v>82</v>
      </c>
      <c r="J441" s="56">
        <v>923864382</v>
      </c>
      <c r="K441" s="4" t="s">
        <v>497</v>
      </c>
      <c r="L441" s="56" t="s">
        <v>196</v>
      </c>
      <c r="M441" s="4" t="s">
        <v>498</v>
      </c>
      <c r="N441" s="4" t="s">
        <v>499</v>
      </c>
      <c r="O441" s="4" t="s">
        <v>178</v>
      </c>
    </row>
    <row r="442" spans="2:15">
      <c r="B442" s="20"/>
      <c r="C442" s="20">
        <v>44777</v>
      </c>
      <c r="D442" s="54">
        <v>50272278</v>
      </c>
      <c r="E442" s="55" t="s">
        <v>21</v>
      </c>
      <c r="F442" s="56">
        <v>12</v>
      </c>
      <c r="G442" s="68">
        <v>6000</v>
      </c>
      <c r="H442" s="56" t="s">
        <v>92</v>
      </c>
      <c r="J442" s="56">
        <v>16994</v>
      </c>
      <c r="L442" s="56" t="s">
        <v>226</v>
      </c>
      <c r="M442" s="4" t="s">
        <v>262</v>
      </c>
      <c r="N442" s="4" t="s">
        <v>364</v>
      </c>
      <c r="O442" s="4" t="s">
        <v>178</v>
      </c>
    </row>
    <row r="443" spans="2:15">
      <c r="B443" s="20"/>
      <c r="C443" s="20">
        <v>44778</v>
      </c>
      <c r="D443" s="54">
        <v>50272278</v>
      </c>
      <c r="E443" s="55" t="s">
        <v>21</v>
      </c>
      <c r="F443" s="56">
        <v>12</v>
      </c>
      <c r="G443" s="68">
        <v>6000</v>
      </c>
      <c r="H443" s="56" t="s">
        <v>92</v>
      </c>
      <c r="J443" s="56">
        <v>16995</v>
      </c>
      <c r="L443" s="56" t="s">
        <v>226</v>
      </c>
      <c r="M443" s="4" t="s">
        <v>262</v>
      </c>
      <c r="N443" s="4" t="s">
        <v>364</v>
      </c>
      <c r="O443" s="4" t="s">
        <v>178</v>
      </c>
    </row>
    <row r="444" spans="2:15">
      <c r="B444" s="20"/>
      <c r="C444" s="20">
        <v>44778</v>
      </c>
      <c r="D444" s="54">
        <v>50144376</v>
      </c>
      <c r="E444" s="55" t="s">
        <v>19</v>
      </c>
      <c r="F444" s="56">
        <v>12</v>
      </c>
      <c r="G444" s="68">
        <v>6000</v>
      </c>
      <c r="H444" s="56" t="s">
        <v>92</v>
      </c>
      <c r="J444" s="56">
        <v>16999</v>
      </c>
      <c r="L444" s="56" t="s">
        <v>226</v>
      </c>
      <c r="M444" s="4" t="s">
        <v>262</v>
      </c>
      <c r="N444" s="4" t="s">
        <v>364</v>
      </c>
      <c r="O444" s="4" t="s">
        <v>178</v>
      </c>
    </row>
    <row r="445" spans="2:15">
      <c r="B445" s="20"/>
      <c r="C445" s="20">
        <v>44782</v>
      </c>
      <c r="D445" s="54">
        <v>50272278</v>
      </c>
      <c r="E445" s="55" t="s">
        <v>21</v>
      </c>
      <c r="F445" s="56">
        <v>12</v>
      </c>
      <c r="G445" s="68">
        <v>6000</v>
      </c>
      <c r="H445" s="56" t="s">
        <v>92</v>
      </c>
      <c r="J445" s="56">
        <v>17010</v>
      </c>
      <c r="L445" s="56" t="s">
        <v>226</v>
      </c>
      <c r="M445" s="4" t="s">
        <v>262</v>
      </c>
      <c r="N445" s="4" t="s">
        <v>364</v>
      </c>
      <c r="O445" s="4" t="s">
        <v>178</v>
      </c>
    </row>
    <row r="446" spans="2:15">
      <c r="B446" s="20"/>
      <c r="C446" s="20">
        <v>44783</v>
      </c>
      <c r="D446" s="54">
        <v>50272278</v>
      </c>
      <c r="E446" s="55" t="s">
        <v>21</v>
      </c>
      <c r="F446" s="56">
        <v>3</v>
      </c>
      <c r="G446" s="68">
        <v>1500</v>
      </c>
      <c r="H446" s="56" t="s">
        <v>92</v>
      </c>
      <c r="J446" s="56">
        <v>17015</v>
      </c>
      <c r="L446" s="56" t="s">
        <v>226</v>
      </c>
      <c r="M446" s="4" t="s">
        <v>262</v>
      </c>
      <c r="N446" s="4" t="s">
        <v>364</v>
      </c>
      <c r="O446" s="4" t="s">
        <v>178</v>
      </c>
    </row>
    <row r="447" spans="2:15">
      <c r="B447" s="20"/>
      <c r="C447" s="20">
        <v>44783</v>
      </c>
      <c r="D447" s="54">
        <v>50272278</v>
      </c>
      <c r="E447" s="55" t="s">
        <v>21</v>
      </c>
      <c r="F447" s="56">
        <v>9</v>
      </c>
      <c r="G447" s="68">
        <v>4500</v>
      </c>
      <c r="H447" s="56" t="s">
        <v>92</v>
      </c>
      <c r="J447" s="56">
        <v>17014</v>
      </c>
      <c r="L447" s="56" t="s">
        <v>226</v>
      </c>
      <c r="M447" s="4" t="s">
        <v>262</v>
      </c>
      <c r="N447" s="4" t="s">
        <v>364</v>
      </c>
      <c r="O447" s="4" t="s">
        <v>178</v>
      </c>
    </row>
    <row r="448" spans="2:15">
      <c r="B448" s="20"/>
      <c r="C448" s="20">
        <v>44783</v>
      </c>
      <c r="D448" s="54">
        <v>50145205</v>
      </c>
      <c r="E448" s="55" t="s">
        <v>241</v>
      </c>
      <c r="F448" s="56">
        <v>2</v>
      </c>
      <c r="G448" s="68">
        <v>28450</v>
      </c>
      <c r="H448" s="56" t="s">
        <v>92</v>
      </c>
      <c r="J448" s="56">
        <v>1362</v>
      </c>
      <c r="L448" s="56" t="s">
        <v>416</v>
      </c>
      <c r="M448" s="4" t="s">
        <v>416</v>
      </c>
      <c r="N448" s="4" t="s">
        <v>417</v>
      </c>
      <c r="O448" s="4" t="s">
        <v>178</v>
      </c>
    </row>
    <row r="449" spans="2:15">
      <c r="B449" s="20"/>
      <c r="C449" s="20">
        <v>44783</v>
      </c>
      <c r="D449" s="54">
        <v>50145377</v>
      </c>
      <c r="E449" s="55" t="s">
        <v>312</v>
      </c>
      <c r="F449" s="56">
        <v>1</v>
      </c>
      <c r="G449" s="68">
        <v>70000</v>
      </c>
      <c r="H449" s="56" t="s">
        <v>92</v>
      </c>
      <c r="J449" s="56">
        <v>1687</v>
      </c>
      <c r="M449" s="4" t="s">
        <v>176</v>
      </c>
      <c r="N449" s="4" t="s">
        <v>177</v>
      </c>
      <c r="O449" s="4" t="s">
        <v>178</v>
      </c>
    </row>
    <row r="450" spans="2:15">
      <c r="B450" s="20"/>
      <c r="C450" s="20">
        <v>44783</v>
      </c>
      <c r="D450" s="54">
        <v>50145379</v>
      </c>
      <c r="E450" s="55" t="s">
        <v>500</v>
      </c>
      <c r="F450" s="56">
        <v>1</v>
      </c>
      <c r="G450" s="68">
        <v>11000</v>
      </c>
      <c r="H450" s="56" t="s">
        <v>92</v>
      </c>
      <c r="J450" s="56">
        <v>1687</v>
      </c>
      <c r="M450" s="4" t="s">
        <v>176</v>
      </c>
      <c r="N450" s="4" t="s">
        <v>177</v>
      </c>
      <c r="O450" s="4" t="s">
        <v>178</v>
      </c>
    </row>
    <row r="451" spans="2:15">
      <c r="B451" s="20"/>
      <c r="C451" s="20">
        <v>44783</v>
      </c>
      <c r="D451" s="54">
        <v>50145378</v>
      </c>
      <c r="E451" s="55" t="s">
        <v>311</v>
      </c>
      <c r="G451" s="68">
        <v>39000</v>
      </c>
      <c r="H451" s="56" t="s">
        <v>92</v>
      </c>
      <c r="J451" s="56">
        <v>1687</v>
      </c>
      <c r="M451" s="4" t="s">
        <v>176</v>
      </c>
      <c r="N451" s="4" t="s">
        <v>177</v>
      </c>
      <c r="O451" s="4" t="s">
        <v>178</v>
      </c>
    </row>
    <row r="452" spans="2:15">
      <c r="B452" s="20"/>
      <c r="C452" s="20">
        <v>44783</v>
      </c>
      <c r="D452" s="54">
        <v>50145205</v>
      </c>
      <c r="E452" s="55" t="s">
        <v>241</v>
      </c>
      <c r="F452" s="56">
        <v>4</v>
      </c>
      <c r="G452" s="68">
        <v>74450</v>
      </c>
      <c r="H452" s="56" t="s">
        <v>92</v>
      </c>
      <c r="J452" s="56">
        <v>1687</v>
      </c>
      <c r="M452" s="4" t="s">
        <v>176</v>
      </c>
      <c r="N452" s="4" t="s">
        <v>177</v>
      </c>
      <c r="O452" s="4" t="s">
        <v>178</v>
      </c>
    </row>
    <row r="453" spans="2:15">
      <c r="B453" s="20"/>
      <c r="C453" s="20">
        <v>44783</v>
      </c>
      <c r="D453" s="54">
        <v>50498014</v>
      </c>
      <c r="E453" s="55" t="s">
        <v>440</v>
      </c>
      <c r="F453" s="56">
        <v>1</v>
      </c>
      <c r="G453" s="68">
        <v>742</v>
      </c>
      <c r="H453" s="56" t="s">
        <v>82</v>
      </c>
      <c r="J453" s="56">
        <v>1687</v>
      </c>
      <c r="M453" s="4" t="s">
        <v>176</v>
      </c>
      <c r="N453" s="4" t="s">
        <v>177</v>
      </c>
      <c r="O453" s="4" t="s">
        <v>178</v>
      </c>
    </row>
    <row r="454" spans="2:15">
      <c r="B454" s="20"/>
      <c r="C454" s="20">
        <v>44783</v>
      </c>
      <c r="D454" s="54">
        <v>50272278</v>
      </c>
      <c r="E454" s="55" t="s">
        <v>21</v>
      </c>
      <c r="F454" s="56">
        <v>1</v>
      </c>
      <c r="G454" s="68">
        <v>500</v>
      </c>
      <c r="H454" s="56" t="s">
        <v>92</v>
      </c>
      <c r="J454" s="56">
        <v>1687</v>
      </c>
      <c r="M454" s="4" t="s">
        <v>176</v>
      </c>
      <c r="N454" s="4" t="s">
        <v>177</v>
      </c>
      <c r="O454" s="4" t="s">
        <v>178</v>
      </c>
    </row>
    <row r="455" spans="2:15">
      <c r="B455" s="20"/>
      <c r="C455" s="20">
        <v>44783</v>
      </c>
      <c r="D455" s="54">
        <v>50446609</v>
      </c>
      <c r="E455" s="55" t="s">
        <v>501</v>
      </c>
      <c r="F455" s="56">
        <v>10</v>
      </c>
      <c r="G455" s="68">
        <v>16800</v>
      </c>
      <c r="H455" s="56" t="s">
        <v>92</v>
      </c>
      <c r="J455" s="56" t="s">
        <v>502</v>
      </c>
      <c r="M455" s="4" t="s">
        <v>326</v>
      </c>
      <c r="N455" s="4" t="s">
        <v>503</v>
      </c>
      <c r="O455" s="4" t="s">
        <v>178</v>
      </c>
    </row>
    <row r="456" spans="2:15">
      <c r="B456" s="20"/>
      <c r="C456" s="20">
        <v>44783</v>
      </c>
      <c r="D456" s="54">
        <v>50280269</v>
      </c>
      <c r="E456" s="55" t="s">
        <v>352</v>
      </c>
      <c r="F456" s="56">
        <v>1</v>
      </c>
      <c r="G456" s="68">
        <v>60</v>
      </c>
      <c r="H456" s="56" t="s">
        <v>82</v>
      </c>
      <c r="J456" s="56" t="s">
        <v>502</v>
      </c>
      <c r="M456" s="4" t="s">
        <v>326</v>
      </c>
      <c r="N456" s="4" t="s">
        <v>503</v>
      </c>
      <c r="O456" s="4" t="s">
        <v>178</v>
      </c>
    </row>
    <row r="457" spans="2:15">
      <c r="B457" s="20"/>
      <c r="C457" s="20">
        <v>44784</v>
      </c>
      <c r="D457" s="54">
        <v>50272278</v>
      </c>
      <c r="E457" s="55" t="s">
        <v>21</v>
      </c>
      <c r="F457" s="56">
        <v>12</v>
      </c>
      <c r="G457" s="68">
        <v>6000</v>
      </c>
      <c r="H457" s="56" t="s">
        <v>92</v>
      </c>
      <c r="J457" s="56">
        <v>17020</v>
      </c>
      <c r="L457" s="56" t="s">
        <v>226</v>
      </c>
      <c r="M457" s="4" t="s">
        <v>262</v>
      </c>
      <c r="N457" s="4" t="s">
        <v>364</v>
      </c>
      <c r="O457" s="4" t="s">
        <v>178</v>
      </c>
    </row>
    <row r="458" spans="2:15">
      <c r="B458" s="20"/>
      <c r="C458" s="20">
        <v>44784</v>
      </c>
      <c r="D458" s="54">
        <v>50145012</v>
      </c>
      <c r="E458" s="55" t="s">
        <v>504</v>
      </c>
      <c r="G458" s="68">
        <v>12</v>
      </c>
      <c r="H458" s="56" t="s">
        <v>505</v>
      </c>
      <c r="J458" s="56">
        <v>313</v>
      </c>
      <c r="L458" s="56" t="s">
        <v>506</v>
      </c>
      <c r="M458" s="4" t="s">
        <v>507</v>
      </c>
      <c r="N458" s="4" t="s">
        <v>508</v>
      </c>
      <c r="O458" s="4" t="s">
        <v>178</v>
      </c>
    </row>
    <row r="459" spans="2:15">
      <c r="B459" s="20"/>
      <c r="C459" s="20">
        <v>44784</v>
      </c>
      <c r="D459" s="54">
        <v>50392046</v>
      </c>
      <c r="E459" s="55" t="s">
        <v>509</v>
      </c>
      <c r="G459" s="68">
        <v>6</v>
      </c>
      <c r="H459" s="56" t="s">
        <v>505</v>
      </c>
      <c r="J459" s="56">
        <v>313</v>
      </c>
      <c r="L459" s="56" t="s">
        <v>506</v>
      </c>
      <c r="M459" s="4" t="s">
        <v>507</v>
      </c>
      <c r="N459" s="4" t="s">
        <v>508</v>
      </c>
      <c r="O459" s="4" t="s">
        <v>178</v>
      </c>
    </row>
    <row r="460" spans="2:15">
      <c r="B460" s="20"/>
      <c r="C460" s="20">
        <v>44784</v>
      </c>
      <c r="D460" s="54">
        <v>50144334</v>
      </c>
      <c r="E460" s="55" t="s">
        <v>426</v>
      </c>
      <c r="F460" s="56">
        <v>3</v>
      </c>
      <c r="G460" s="68">
        <v>1500</v>
      </c>
      <c r="H460" s="56" t="s">
        <v>82</v>
      </c>
      <c r="J460" s="56">
        <v>3318</v>
      </c>
      <c r="L460" s="56" t="s">
        <v>510</v>
      </c>
      <c r="M460" s="4" t="s">
        <v>511</v>
      </c>
      <c r="N460" s="4" t="s">
        <v>512</v>
      </c>
      <c r="O460" s="4" t="s">
        <v>178</v>
      </c>
    </row>
    <row r="461" spans="2:15">
      <c r="B461" s="20"/>
      <c r="C461" s="20">
        <v>44784</v>
      </c>
      <c r="D461" s="54">
        <v>50272278</v>
      </c>
      <c r="E461" s="55" t="s">
        <v>21</v>
      </c>
      <c r="F461" s="56">
        <v>12</v>
      </c>
      <c r="G461" s="68">
        <v>6000</v>
      </c>
      <c r="H461" s="56" t="s">
        <v>92</v>
      </c>
      <c r="J461" s="56">
        <v>17027</v>
      </c>
      <c r="L461" s="56" t="s">
        <v>226</v>
      </c>
      <c r="M461" s="4" t="s">
        <v>262</v>
      </c>
      <c r="N461" s="4" t="s">
        <v>364</v>
      </c>
      <c r="O461" s="4" t="s">
        <v>178</v>
      </c>
    </row>
    <row r="462" spans="2:15">
      <c r="B462" s="20"/>
      <c r="C462" s="20">
        <v>44785</v>
      </c>
      <c r="D462" s="54">
        <v>50272278</v>
      </c>
      <c r="E462" s="55" t="s">
        <v>21</v>
      </c>
      <c r="F462" s="56">
        <v>12</v>
      </c>
      <c r="G462" s="68">
        <v>6000</v>
      </c>
      <c r="H462" s="56" t="s">
        <v>92</v>
      </c>
      <c r="J462" s="56">
        <v>17029</v>
      </c>
      <c r="L462" s="56" t="s">
        <v>226</v>
      </c>
      <c r="M462" s="4" t="s">
        <v>262</v>
      </c>
      <c r="N462" s="4" t="s">
        <v>364</v>
      </c>
      <c r="O462" s="4" t="s">
        <v>178</v>
      </c>
    </row>
    <row r="463" spans="2:15">
      <c r="B463" s="20"/>
      <c r="C463" s="20">
        <v>44785</v>
      </c>
      <c r="D463" s="54">
        <v>50010080</v>
      </c>
      <c r="E463" s="55" t="s">
        <v>354</v>
      </c>
      <c r="F463" s="56">
        <v>15</v>
      </c>
      <c r="G463" s="68">
        <v>15000</v>
      </c>
      <c r="H463" s="56" t="s">
        <v>82</v>
      </c>
      <c r="J463" s="56">
        <v>2954</v>
      </c>
      <c r="L463" s="56" t="s">
        <v>355</v>
      </c>
      <c r="M463" s="4" t="s">
        <v>355</v>
      </c>
      <c r="N463" s="4" t="s">
        <v>513</v>
      </c>
      <c r="O463" s="4" t="s">
        <v>178</v>
      </c>
    </row>
    <row r="464" spans="2:15">
      <c r="B464" s="20"/>
      <c r="C464" s="20">
        <v>44789</v>
      </c>
      <c r="D464" s="54">
        <v>50144376</v>
      </c>
      <c r="E464" s="55" t="s">
        <v>19</v>
      </c>
      <c r="F464" s="56">
        <v>12</v>
      </c>
      <c r="G464" s="68">
        <v>6000</v>
      </c>
      <c r="H464" s="56" t="s">
        <v>92</v>
      </c>
      <c r="J464" s="56">
        <v>17039</v>
      </c>
      <c r="L464" s="56" t="s">
        <v>226</v>
      </c>
      <c r="M464" s="4" t="s">
        <v>262</v>
      </c>
      <c r="N464" s="4" t="s">
        <v>364</v>
      </c>
      <c r="O464" s="4" t="s">
        <v>178</v>
      </c>
    </row>
    <row r="465" spans="2:15">
      <c r="B465" s="20"/>
      <c r="C465" s="20">
        <v>44789</v>
      </c>
      <c r="D465" s="54">
        <v>50470190</v>
      </c>
      <c r="E465" s="55" t="s">
        <v>12</v>
      </c>
      <c r="F465" s="56">
        <v>32</v>
      </c>
      <c r="G465" s="68">
        <v>9273600</v>
      </c>
      <c r="H465" s="56" t="s">
        <v>92</v>
      </c>
      <c r="J465" s="56">
        <v>15888</v>
      </c>
      <c r="L465" s="56" t="s">
        <v>230</v>
      </c>
      <c r="M465" s="4" t="s">
        <v>392</v>
      </c>
      <c r="N465" s="4" t="s">
        <v>319</v>
      </c>
      <c r="O465" s="4" t="s">
        <v>178</v>
      </c>
    </row>
    <row r="466" spans="2:15">
      <c r="B466" s="20"/>
      <c r="C466" s="20">
        <v>44790</v>
      </c>
      <c r="D466" s="54">
        <v>50144376</v>
      </c>
      <c r="E466" s="55" t="s">
        <v>19</v>
      </c>
      <c r="F466" s="56">
        <v>12</v>
      </c>
      <c r="G466" s="68">
        <v>6000</v>
      </c>
      <c r="H466" s="56" t="s">
        <v>92</v>
      </c>
      <c r="J466" s="56">
        <v>17041</v>
      </c>
      <c r="L466" s="56" t="s">
        <v>226</v>
      </c>
      <c r="M466" s="4" t="s">
        <v>262</v>
      </c>
      <c r="N466" s="4" t="s">
        <v>364</v>
      </c>
      <c r="O466" s="4" t="s">
        <v>178</v>
      </c>
    </row>
    <row r="467" spans="2:15">
      <c r="B467" s="20"/>
      <c r="C467" s="20">
        <v>44790</v>
      </c>
      <c r="D467" s="54">
        <v>50144376</v>
      </c>
      <c r="E467" s="55" t="s">
        <v>19</v>
      </c>
      <c r="F467" s="56">
        <v>12</v>
      </c>
      <c r="G467" s="68">
        <v>6000</v>
      </c>
      <c r="H467" s="56" t="s">
        <v>92</v>
      </c>
      <c r="J467" s="56">
        <v>17044</v>
      </c>
      <c r="L467" s="56" t="s">
        <v>226</v>
      </c>
      <c r="M467" s="4" t="s">
        <v>262</v>
      </c>
      <c r="N467" s="4" t="s">
        <v>364</v>
      </c>
      <c r="O467" s="4" t="s">
        <v>178</v>
      </c>
    </row>
    <row r="468" spans="2:15">
      <c r="B468" s="20"/>
      <c r="C468" s="20">
        <v>44793</v>
      </c>
      <c r="D468" s="54">
        <v>50272278</v>
      </c>
      <c r="E468" s="55" t="s">
        <v>21</v>
      </c>
      <c r="F468" s="56">
        <v>12</v>
      </c>
      <c r="G468" s="68">
        <v>6000</v>
      </c>
      <c r="H468" s="56" t="s">
        <v>92</v>
      </c>
      <c r="J468" s="56">
        <v>17057</v>
      </c>
      <c r="L468" s="56" t="s">
        <v>226</v>
      </c>
      <c r="M468" s="4" t="s">
        <v>262</v>
      </c>
      <c r="N468" s="4" t="s">
        <v>364</v>
      </c>
      <c r="O468" s="4" t="s">
        <v>178</v>
      </c>
    </row>
    <row r="469" spans="2:15">
      <c r="B469" s="20"/>
      <c r="C469" s="20">
        <v>44793</v>
      </c>
      <c r="D469" s="54">
        <v>50272278</v>
      </c>
      <c r="E469" s="55" t="s">
        <v>21</v>
      </c>
      <c r="F469" s="56">
        <v>12</v>
      </c>
      <c r="G469" s="68">
        <v>6000</v>
      </c>
      <c r="H469" s="56" t="s">
        <v>92</v>
      </c>
      <c r="J469" s="56">
        <v>17059</v>
      </c>
      <c r="L469" s="56" t="s">
        <v>226</v>
      </c>
      <c r="M469" s="4" t="s">
        <v>262</v>
      </c>
      <c r="N469" s="4" t="s">
        <v>364</v>
      </c>
      <c r="O469" s="4" t="s">
        <v>178</v>
      </c>
    </row>
    <row r="470" spans="2:15">
      <c r="B470" s="20"/>
      <c r="C470" s="20">
        <v>44796</v>
      </c>
      <c r="D470" s="54">
        <v>50470190</v>
      </c>
      <c r="E470" s="55" t="s">
        <v>12</v>
      </c>
      <c r="F470" s="56">
        <v>32</v>
      </c>
      <c r="G470" s="68">
        <v>9273600</v>
      </c>
      <c r="H470" s="56" t="s">
        <v>92</v>
      </c>
      <c r="J470" s="56">
        <v>16153</v>
      </c>
      <c r="L470" s="56" t="s">
        <v>230</v>
      </c>
      <c r="M470" s="4" t="s">
        <v>392</v>
      </c>
      <c r="N470" s="4" t="s">
        <v>319</v>
      </c>
      <c r="O470" s="4" t="s">
        <v>178</v>
      </c>
    </row>
    <row r="471" spans="2:15">
      <c r="B471" s="20"/>
      <c r="C471" s="20">
        <v>44796</v>
      </c>
      <c r="D471" s="54">
        <v>50272278</v>
      </c>
      <c r="E471" s="55" t="s">
        <v>21</v>
      </c>
      <c r="F471" s="56">
        <v>20</v>
      </c>
      <c r="G471" s="68">
        <v>10000</v>
      </c>
      <c r="H471" s="56" t="s">
        <v>92</v>
      </c>
      <c r="J471" s="56">
        <v>8067</v>
      </c>
      <c r="L471" s="56" t="s">
        <v>201</v>
      </c>
      <c r="M471" s="4" t="s">
        <v>201</v>
      </c>
      <c r="N471" s="4" t="s">
        <v>383</v>
      </c>
      <c r="O471" s="4" t="s">
        <v>178</v>
      </c>
    </row>
    <row r="472" spans="2:15">
      <c r="B472" s="20"/>
      <c r="C472" s="20">
        <v>44797</v>
      </c>
      <c r="D472" s="54">
        <v>50144376</v>
      </c>
      <c r="E472" s="55" t="s">
        <v>19</v>
      </c>
      <c r="F472" s="56">
        <v>12</v>
      </c>
      <c r="G472" s="68">
        <v>6000</v>
      </c>
      <c r="H472" s="56" t="s">
        <v>92</v>
      </c>
      <c r="J472" s="56">
        <v>17073</v>
      </c>
      <c r="L472" s="56" t="s">
        <v>226</v>
      </c>
      <c r="M472" s="4" t="s">
        <v>262</v>
      </c>
      <c r="N472" s="4" t="s">
        <v>364</v>
      </c>
      <c r="O472" s="4" t="s">
        <v>178</v>
      </c>
    </row>
    <row r="473" spans="2:15">
      <c r="B473" s="20"/>
      <c r="C473" s="20">
        <v>44798</v>
      </c>
      <c r="D473" s="54">
        <v>40011080</v>
      </c>
      <c r="E473" s="55" t="s">
        <v>420</v>
      </c>
      <c r="F473" s="56">
        <v>26</v>
      </c>
      <c r="G473" s="68">
        <v>11530</v>
      </c>
      <c r="H473" s="56" t="s">
        <v>80</v>
      </c>
      <c r="J473" s="56" t="s">
        <v>514</v>
      </c>
      <c r="K473" s="4" t="s">
        <v>515</v>
      </c>
      <c r="L473" s="56" t="s">
        <v>423</v>
      </c>
      <c r="M473" s="4" t="s">
        <v>394</v>
      </c>
      <c r="N473" s="4" t="s">
        <v>516</v>
      </c>
      <c r="O473" s="4" t="s">
        <v>178</v>
      </c>
    </row>
    <row r="474" spans="2:15">
      <c r="B474" s="20"/>
      <c r="C474" s="20">
        <v>44798</v>
      </c>
      <c r="D474" s="54">
        <v>50144376</v>
      </c>
      <c r="E474" s="55" t="s">
        <v>19</v>
      </c>
      <c r="F474" s="56">
        <v>12</v>
      </c>
      <c r="G474" s="68">
        <v>6000</v>
      </c>
      <c r="H474" s="56" t="s">
        <v>92</v>
      </c>
      <c r="J474" s="56">
        <v>17081</v>
      </c>
      <c r="L474" s="56" t="s">
        <v>226</v>
      </c>
      <c r="M474" s="4" t="s">
        <v>262</v>
      </c>
      <c r="N474" s="4" t="s">
        <v>364</v>
      </c>
      <c r="O474" s="4" t="s">
        <v>178</v>
      </c>
    </row>
    <row r="475" spans="2:15">
      <c r="B475" s="20"/>
      <c r="C475" s="20">
        <v>44799</v>
      </c>
      <c r="D475" s="54">
        <v>50272278</v>
      </c>
      <c r="E475" s="55" t="s">
        <v>21</v>
      </c>
      <c r="F475" s="56">
        <v>12</v>
      </c>
      <c r="G475" s="68">
        <v>6000</v>
      </c>
      <c r="H475" s="56" t="s">
        <v>92</v>
      </c>
      <c r="J475" s="56">
        <v>17083</v>
      </c>
      <c r="L475" s="56" t="s">
        <v>226</v>
      </c>
      <c r="M475" s="4" t="s">
        <v>262</v>
      </c>
      <c r="N475" s="4" t="s">
        <v>364</v>
      </c>
      <c r="O475" s="4" t="s">
        <v>178</v>
      </c>
    </row>
    <row r="476" spans="2:15">
      <c r="B476" s="20"/>
      <c r="C476" s="20">
        <v>44799</v>
      </c>
      <c r="D476" s="54">
        <v>40011080</v>
      </c>
      <c r="E476" s="55" t="s">
        <v>420</v>
      </c>
      <c r="F476" s="56">
        <v>4</v>
      </c>
      <c r="G476" s="68">
        <v>1510</v>
      </c>
      <c r="H476" s="56" t="s">
        <v>80</v>
      </c>
      <c r="K476" s="4" t="s">
        <v>517</v>
      </c>
      <c r="L476" s="56" t="s">
        <v>423</v>
      </c>
      <c r="M476" s="4" t="s">
        <v>394</v>
      </c>
      <c r="N476" s="4" t="s">
        <v>518</v>
      </c>
      <c r="O476" s="4" t="s">
        <v>178</v>
      </c>
    </row>
    <row r="477" spans="2:15">
      <c r="B477" s="20"/>
      <c r="C477" s="20">
        <v>44799</v>
      </c>
      <c r="D477" s="54">
        <v>40011148</v>
      </c>
      <c r="E477" s="55" t="s">
        <v>86</v>
      </c>
      <c r="F477" s="56">
        <v>22</v>
      </c>
      <c r="G477" s="68">
        <v>9860</v>
      </c>
      <c r="H477" s="56" t="s">
        <v>80</v>
      </c>
      <c r="K477" s="4" t="s">
        <v>517</v>
      </c>
      <c r="L477" s="56" t="s">
        <v>423</v>
      </c>
      <c r="M477" s="4" t="s">
        <v>394</v>
      </c>
      <c r="N477" s="4" t="s">
        <v>518</v>
      </c>
      <c r="O477" s="4" t="s">
        <v>178</v>
      </c>
    </row>
    <row r="478" spans="2:15">
      <c r="B478" s="20"/>
      <c r="C478" s="20">
        <v>44799</v>
      </c>
      <c r="D478" s="54">
        <v>50272278</v>
      </c>
      <c r="E478" s="55" t="s">
        <v>21</v>
      </c>
      <c r="F478" s="56">
        <v>12</v>
      </c>
      <c r="G478" s="68">
        <v>6000</v>
      </c>
      <c r="H478" s="56" t="s">
        <v>92</v>
      </c>
      <c r="J478" s="56">
        <v>17086</v>
      </c>
      <c r="L478" s="56" t="s">
        <v>226</v>
      </c>
      <c r="M478" s="4" t="s">
        <v>262</v>
      </c>
      <c r="N478" s="4" t="s">
        <v>364</v>
      </c>
      <c r="O478" s="4" t="s">
        <v>178</v>
      </c>
    </row>
    <row r="479" spans="2:15">
      <c r="B479" s="20"/>
      <c r="C479" s="20">
        <v>44800</v>
      </c>
      <c r="D479" s="54">
        <v>40010087</v>
      </c>
      <c r="E479" s="55" t="s">
        <v>387</v>
      </c>
      <c r="F479" s="56">
        <v>10</v>
      </c>
      <c r="G479" s="68">
        <v>6964</v>
      </c>
      <c r="H479" s="56" t="s">
        <v>80</v>
      </c>
      <c r="J479" s="56">
        <v>175121522</v>
      </c>
      <c r="K479" s="4" t="s">
        <v>519</v>
      </c>
      <c r="L479" s="56" t="s">
        <v>175</v>
      </c>
      <c r="M479" s="4" t="s">
        <v>520</v>
      </c>
      <c r="N479" s="4" t="s">
        <v>521</v>
      </c>
      <c r="O479" s="4" t="s">
        <v>178</v>
      </c>
    </row>
    <row r="480" spans="2:15">
      <c r="B480" s="20"/>
      <c r="C480" s="20">
        <v>44800</v>
      </c>
      <c r="D480" s="54">
        <v>40010086</v>
      </c>
      <c r="E480" s="55" t="s">
        <v>79</v>
      </c>
      <c r="F480" s="56">
        <v>3</v>
      </c>
      <c r="G480" s="68">
        <v>7084</v>
      </c>
      <c r="H480" s="56" t="s">
        <v>80</v>
      </c>
      <c r="J480" s="56">
        <v>175121522</v>
      </c>
      <c r="K480" s="4" t="s">
        <v>519</v>
      </c>
      <c r="L480" s="56" t="s">
        <v>175</v>
      </c>
      <c r="M480" s="4" t="s">
        <v>520</v>
      </c>
      <c r="N480" s="4" t="s">
        <v>521</v>
      </c>
      <c r="O480" s="4" t="s">
        <v>178</v>
      </c>
    </row>
    <row r="481" spans="2:15">
      <c r="B481" s="20"/>
      <c r="C481" s="20">
        <v>44800</v>
      </c>
      <c r="D481" s="54">
        <v>400112720</v>
      </c>
      <c r="E481" s="55" t="s">
        <v>522</v>
      </c>
      <c r="F481" s="56">
        <v>1</v>
      </c>
      <c r="G481" s="68">
        <v>438</v>
      </c>
      <c r="H481" s="56" t="s">
        <v>80</v>
      </c>
      <c r="J481" s="56">
        <v>175121522</v>
      </c>
      <c r="K481" s="4" t="s">
        <v>519</v>
      </c>
      <c r="L481" s="56" t="s">
        <v>175</v>
      </c>
      <c r="M481" s="4" t="s">
        <v>520</v>
      </c>
      <c r="N481" s="4" t="s">
        <v>521</v>
      </c>
      <c r="O481" s="4" t="s">
        <v>178</v>
      </c>
    </row>
    <row r="482" spans="2:15">
      <c r="B482" s="20"/>
      <c r="C482" s="20">
        <v>44802</v>
      </c>
      <c r="D482" s="54">
        <v>50272278</v>
      </c>
      <c r="E482" s="55" t="s">
        <v>21</v>
      </c>
      <c r="F482" s="56">
        <v>20</v>
      </c>
      <c r="G482" s="68">
        <v>10000</v>
      </c>
      <c r="H482" s="56" t="s">
        <v>92</v>
      </c>
      <c r="J482" s="56">
        <v>8158</v>
      </c>
      <c r="L482" s="56" t="s">
        <v>201</v>
      </c>
      <c r="M482" s="4" t="s">
        <v>201</v>
      </c>
      <c r="N482" s="4" t="s">
        <v>363</v>
      </c>
      <c r="O482" s="4" t="s">
        <v>178</v>
      </c>
    </row>
    <row r="483" spans="2:15">
      <c r="B483" s="20"/>
      <c r="C483" s="20">
        <v>44802</v>
      </c>
      <c r="D483" s="54">
        <v>50470190</v>
      </c>
      <c r="E483" s="55" t="s">
        <v>12</v>
      </c>
      <c r="F483" s="56">
        <v>32</v>
      </c>
      <c r="G483" s="68">
        <v>9273600</v>
      </c>
      <c r="H483" s="56" t="s">
        <v>92</v>
      </c>
      <c r="J483" s="56">
        <v>16396</v>
      </c>
      <c r="L483" s="56" t="s">
        <v>230</v>
      </c>
      <c r="M483" s="4" t="s">
        <v>392</v>
      </c>
      <c r="N483" s="4" t="s">
        <v>362</v>
      </c>
      <c r="O483" s="4" t="s">
        <v>178</v>
      </c>
    </row>
    <row r="484" spans="2:15">
      <c r="B484" s="20"/>
      <c r="C484" s="20">
        <v>44803</v>
      </c>
      <c r="D484" s="54">
        <v>50144376</v>
      </c>
      <c r="E484" s="55" t="s">
        <v>19</v>
      </c>
      <c r="F484" s="56">
        <v>12</v>
      </c>
      <c r="G484" s="68">
        <v>6000</v>
      </c>
      <c r="H484" s="56" t="s">
        <v>92</v>
      </c>
      <c r="J484" s="56">
        <v>17101</v>
      </c>
      <c r="L484" s="56" t="s">
        <v>226</v>
      </c>
      <c r="M484" s="4" t="s">
        <v>262</v>
      </c>
      <c r="N484" s="4" t="s">
        <v>364</v>
      </c>
      <c r="O484" s="4" t="s">
        <v>178</v>
      </c>
    </row>
    <row r="485" spans="2:15">
      <c r="B485" s="20"/>
      <c r="C485" s="20">
        <v>44803</v>
      </c>
      <c r="D485" s="54">
        <v>50144376</v>
      </c>
      <c r="E485" s="55" t="s">
        <v>19</v>
      </c>
      <c r="F485" s="56">
        <v>12</v>
      </c>
      <c r="G485" s="68">
        <v>6000</v>
      </c>
      <c r="H485" s="56" t="s">
        <v>92</v>
      </c>
      <c r="J485" s="56">
        <v>17104</v>
      </c>
      <c r="L485" s="56" t="s">
        <v>226</v>
      </c>
      <c r="M485" s="4" t="s">
        <v>262</v>
      </c>
      <c r="N485" s="4" t="s">
        <v>518</v>
      </c>
      <c r="O485" s="4" t="s">
        <v>178</v>
      </c>
    </row>
    <row r="486" spans="2:15">
      <c r="B486" s="20"/>
      <c r="C486" s="20">
        <v>44805</v>
      </c>
      <c r="D486" s="54">
        <v>50797537</v>
      </c>
      <c r="E486" s="55" t="s">
        <v>232</v>
      </c>
      <c r="F486" s="56">
        <v>1</v>
      </c>
      <c r="G486" s="68">
        <v>210.35</v>
      </c>
      <c r="H486" s="56" t="s">
        <v>92</v>
      </c>
      <c r="J486" s="56">
        <v>670002738</v>
      </c>
      <c r="K486" s="4" t="s">
        <v>523</v>
      </c>
      <c r="L486" s="56" t="s">
        <v>233</v>
      </c>
      <c r="M486" s="4" t="s">
        <v>524</v>
      </c>
      <c r="N486" s="4" t="s">
        <v>525</v>
      </c>
      <c r="O486" s="4" t="s">
        <v>178</v>
      </c>
    </row>
    <row r="487" spans="2:15">
      <c r="B487" s="20"/>
      <c r="C487" s="20">
        <v>44809</v>
      </c>
      <c r="D487" s="54">
        <v>50272278</v>
      </c>
      <c r="E487" s="55" t="s">
        <v>21</v>
      </c>
      <c r="F487" s="56">
        <v>12</v>
      </c>
      <c r="G487" s="68">
        <v>6000</v>
      </c>
      <c r="H487" s="56" t="s">
        <v>92</v>
      </c>
      <c r="J487" s="56">
        <v>17129</v>
      </c>
      <c r="L487" s="56" t="s">
        <v>226</v>
      </c>
      <c r="M487" s="4" t="s">
        <v>262</v>
      </c>
      <c r="N487" s="4" t="s">
        <v>364</v>
      </c>
      <c r="O487" s="4" t="s">
        <v>178</v>
      </c>
    </row>
    <row r="488" spans="2:15">
      <c r="B488" s="20"/>
      <c r="C488" s="20">
        <v>44810</v>
      </c>
      <c r="D488" s="54">
        <v>40011080</v>
      </c>
      <c r="E488" s="55" t="s">
        <v>420</v>
      </c>
      <c r="F488" s="56">
        <v>21</v>
      </c>
      <c r="G488" s="68">
        <v>9450</v>
      </c>
      <c r="H488" s="56" t="s">
        <v>80</v>
      </c>
      <c r="J488" s="56">
        <v>3287000835</v>
      </c>
      <c r="K488" s="4" t="s">
        <v>526</v>
      </c>
      <c r="L488" s="56" t="s">
        <v>423</v>
      </c>
      <c r="M488" s="4" t="s">
        <v>394</v>
      </c>
      <c r="N488" s="4" t="s">
        <v>527</v>
      </c>
      <c r="O488" s="4" t="s">
        <v>178</v>
      </c>
    </row>
    <row r="489" spans="2:15">
      <c r="B489" s="20"/>
      <c r="C489" s="20">
        <v>44810</v>
      </c>
      <c r="D489" s="54">
        <v>40011660</v>
      </c>
      <c r="E489" s="55" t="s">
        <v>528</v>
      </c>
      <c r="F489" s="56">
        <v>5</v>
      </c>
      <c r="G489" s="68">
        <v>2120</v>
      </c>
      <c r="H489" s="56" t="s">
        <v>80</v>
      </c>
      <c r="J489" s="56">
        <v>3287000835</v>
      </c>
      <c r="K489" s="4" t="s">
        <v>526</v>
      </c>
      <c r="L489" s="56" t="s">
        <v>423</v>
      </c>
      <c r="M489" s="4" t="s">
        <v>394</v>
      </c>
      <c r="N489" s="4" t="s">
        <v>527</v>
      </c>
      <c r="O489" s="4" t="s">
        <v>178</v>
      </c>
    </row>
    <row r="490" spans="2:15">
      <c r="B490" s="20"/>
      <c r="C490" s="20">
        <v>44810</v>
      </c>
      <c r="D490" s="54">
        <v>50470190</v>
      </c>
      <c r="E490" s="55" t="s">
        <v>12</v>
      </c>
      <c r="F490" s="56">
        <v>32</v>
      </c>
      <c r="G490" s="68">
        <v>9273600</v>
      </c>
      <c r="H490" s="56" t="s">
        <v>92</v>
      </c>
      <c r="J490" s="56">
        <v>16635</v>
      </c>
      <c r="L490" s="56" t="s">
        <v>230</v>
      </c>
      <c r="M490" s="4" t="s">
        <v>392</v>
      </c>
      <c r="N490" s="4" t="s">
        <v>529</v>
      </c>
      <c r="O490" s="4" t="s">
        <v>530</v>
      </c>
    </row>
    <row r="491" spans="2:15">
      <c r="B491" s="20"/>
      <c r="C491" s="20">
        <v>44811</v>
      </c>
      <c r="D491" s="54">
        <v>50142055</v>
      </c>
      <c r="E491" s="55" t="s">
        <v>206</v>
      </c>
      <c r="F491" s="56">
        <v>10</v>
      </c>
      <c r="G491" s="68">
        <v>6000</v>
      </c>
      <c r="H491" s="56" t="s">
        <v>82</v>
      </c>
      <c r="J491" s="56">
        <v>900826291</v>
      </c>
      <c r="K491" s="4" t="s">
        <v>531</v>
      </c>
      <c r="L491" s="56" t="s">
        <v>324</v>
      </c>
      <c r="M491" s="4" t="s">
        <v>492</v>
      </c>
      <c r="N491" s="4" t="s">
        <v>532</v>
      </c>
      <c r="O491" s="4" t="s">
        <v>178</v>
      </c>
    </row>
    <row r="492" spans="2:15">
      <c r="B492" s="20"/>
      <c r="C492" s="20">
        <v>44811</v>
      </c>
      <c r="D492" s="54">
        <v>50272278</v>
      </c>
      <c r="E492" s="55" t="s">
        <v>21</v>
      </c>
      <c r="F492" s="56">
        <v>12</v>
      </c>
      <c r="G492" s="68">
        <v>6000</v>
      </c>
      <c r="H492" s="56" t="s">
        <v>92</v>
      </c>
      <c r="J492" s="56">
        <v>17410</v>
      </c>
      <c r="L492" s="56" t="s">
        <v>226</v>
      </c>
      <c r="M492" s="4" t="s">
        <v>262</v>
      </c>
      <c r="N492" s="4" t="s">
        <v>364</v>
      </c>
      <c r="O492" s="4" t="s">
        <v>178</v>
      </c>
    </row>
    <row r="493" spans="2:15">
      <c r="B493" s="20"/>
      <c r="C493" s="20">
        <v>44812</v>
      </c>
      <c r="D493" s="54">
        <v>50272278</v>
      </c>
      <c r="E493" s="55" t="s">
        <v>21</v>
      </c>
      <c r="F493" s="56">
        <v>12</v>
      </c>
      <c r="G493" s="68">
        <v>6000</v>
      </c>
      <c r="H493" s="56" t="s">
        <v>92</v>
      </c>
      <c r="J493" s="56">
        <v>17148</v>
      </c>
      <c r="L493" s="56" t="s">
        <v>226</v>
      </c>
      <c r="M493" s="4" t="s">
        <v>262</v>
      </c>
      <c r="N493" s="4" t="s">
        <v>364</v>
      </c>
      <c r="O493" s="4" t="s">
        <v>533</v>
      </c>
    </row>
    <row r="494" spans="2:15">
      <c r="B494" s="20"/>
      <c r="C494" s="20">
        <v>44813</v>
      </c>
      <c r="D494" s="54">
        <v>50272278</v>
      </c>
      <c r="E494" s="55" t="s">
        <v>21</v>
      </c>
      <c r="F494" s="56">
        <v>12</v>
      </c>
      <c r="G494" s="68">
        <v>6000</v>
      </c>
      <c r="H494" s="56" t="s">
        <v>92</v>
      </c>
      <c r="J494" s="56">
        <v>17150</v>
      </c>
      <c r="L494" s="56" t="s">
        <v>226</v>
      </c>
      <c r="M494" s="4" t="s">
        <v>262</v>
      </c>
      <c r="N494" s="4" t="s">
        <v>364</v>
      </c>
      <c r="O494" s="4" t="s">
        <v>533</v>
      </c>
    </row>
    <row r="495" spans="2:15">
      <c r="B495" s="20"/>
      <c r="C495" s="20">
        <v>44813</v>
      </c>
      <c r="D495" s="54">
        <v>50144376</v>
      </c>
      <c r="E495" s="55" t="s">
        <v>19</v>
      </c>
      <c r="F495" s="56">
        <v>9</v>
      </c>
      <c r="G495" s="68">
        <v>4500</v>
      </c>
      <c r="H495" s="56" t="s">
        <v>92</v>
      </c>
      <c r="J495" s="56">
        <v>17154</v>
      </c>
      <c r="L495" s="56" t="s">
        <v>226</v>
      </c>
      <c r="M495" s="4" t="s">
        <v>262</v>
      </c>
      <c r="N495" s="4" t="s">
        <v>364</v>
      </c>
      <c r="O495" s="4" t="s">
        <v>533</v>
      </c>
    </row>
    <row r="496" spans="2:15">
      <c r="B496" s="20"/>
      <c r="C496" s="20">
        <v>44813</v>
      </c>
      <c r="D496" s="54">
        <v>50144376</v>
      </c>
      <c r="E496" s="55" t="s">
        <v>19</v>
      </c>
      <c r="F496" s="56">
        <v>3</v>
      </c>
      <c r="G496" s="68">
        <v>1500</v>
      </c>
      <c r="H496" s="56" t="s">
        <v>92</v>
      </c>
      <c r="J496" s="56">
        <v>17155</v>
      </c>
      <c r="L496" s="56" t="s">
        <v>226</v>
      </c>
      <c r="M496" s="4" t="s">
        <v>262</v>
      </c>
      <c r="N496" s="4" t="s">
        <v>364</v>
      </c>
      <c r="O496" s="4" t="s">
        <v>533</v>
      </c>
    </row>
    <row r="497" spans="2:15">
      <c r="B497" s="20"/>
      <c r="C497" s="20">
        <v>44816</v>
      </c>
      <c r="D497" s="54">
        <v>50470190</v>
      </c>
      <c r="E497" s="55" t="s">
        <v>12</v>
      </c>
      <c r="F497" s="56">
        <v>32</v>
      </c>
      <c r="G497" s="68">
        <v>9273600</v>
      </c>
      <c r="H497" s="56" t="s">
        <v>92</v>
      </c>
      <c r="J497" s="56">
        <v>16822</v>
      </c>
      <c r="L497" s="56" t="s">
        <v>230</v>
      </c>
      <c r="M497" s="4" t="s">
        <v>392</v>
      </c>
      <c r="N497" s="4" t="s">
        <v>362</v>
      </c>
      <c r="O497" s="4" t="s">
        <v>533</v>
      </c>
    </row>
    <row r="498" spans="2:15">
      <c r="B498" s="20"/>
      <c r="C498" s="20">
        <v>44816</v>
      </c>
      <c r="D498" s="54">
        <v>50145187</v>
      </c>
      <c r="E498" s="55" t="s">
        <v>465</v>
      </c>
      <c r="F498" s="56">
        <v>4</v>
      </c>
      <c r="G498" s="68">
        <v>1034000</v>
      </c>
      <c r="H498" s="56" t="s">
        <v>92</v>
      </c>
      <c r="J498" s="56" t="s">
        <v>534</v>
      </c>
      <c r="K498" s="4" t="s">
        <v>535</v>
      </c>
      <c r="L498" s="56" t="s">
        <v>185</v>
      </c>
      <c r="M498" s="4" t="s">
        <v>536</v>
      </c>
      <c r="N498" s="4" t="s">
        <v>537</v>
      </c>
      <c r="O498" s="4" t="s">
        <v>533</v>
      </c>
    </row>
    <row r="499" spans="2:15">
      <c r="B499" s="20"/>
      <c r="C499" s="20">
        <v>44816</v>
      </c>
      <c r="D499" s="54">
        <v>50272278</v>
      </c>
      <c r="E499" s="55" t="s">
        <v>21</v>
      </c>
      <c r="F499" s="56">
        <v>20</v>
      </c>
      <c r="G499" s="68">
        <v>10000</v>
      </c>
      <c r="H499" s="56" t="s">
        <v>92</v>
      </c>
      <c r="J499" s="56">
        <v>8510</v>
      </c>
      <c r="L499" s="56" t="s">
        <v>201</v>
      </c>
      <c r="M499" s="4" t="s">
        <v>201</v>
      </c>
      <c r="N499" s="4" t="s">
        <v>538</v>
      </c>
      <c r="O499" s="4" t="s">
        <v>533</v>
      </c>
    </row>
    <row r="500" spans="2:15">
      <c r="B500" s="20"/>
      <c r="C500" s="20">
        <v>44817</v>
      </c>
      <c r="D500" s="54">
        <v>50142350</v>
      </c>
      <c r="E500" s="55" t="s">
        <v>212</v>
      </c>
      <c r="F500" s="56">
        <v>4</v>
      </c>
      <c r="G500" s="68">
        <f>13*5*3*11.3+11.3*5*5</f>
        <v>2486</v>
      </c>
      <c r="H500" s="56" t="s">
        <v>82</v>
      </c>
      <c r="J500" s="56" t="s">
        <v>539</v>
      </c>
      <c r="K500" s="4" t="s">
        <v>540</v>
      </c>
      <c r="L500" s="56" t="s">
        <v>541</v>
      </c>
      <c r="M500" s="4" t="s">
        <v>424</v>
      </c>
      <c r="N500" s="4" t="s">
        <v>542</v>
      </c>
      <c r="O500" s="4" t="s">
        <v>533</v>
      </c>
    </row>
    <row r="501" spans="2:15">
      <c r="B501" s="20"/>
      <c r="C501" s="20">
        <v>44818</v>
      </c>
      <c r="D501" s="54">
        <v>50143646</v>
      </c>
      <c r="E501" s="55" t="s">
        <v>191</v>
      </c>
      <c r="F501" s="56">
        <v>21</v>
      </c>
      <c r="G501" s="68">
        <v>10080</v>
      </c>
      <c r="H501" s="56" t="s">
        <v>82</v>
      </c>
      <c r="J501" s="56">
        <v>200000587</v>
      </c>
      <c r="K501" s="4" t="s">
        <v>543</v>
      </c>
      <c r="L501" s="56" t="s">
        <v>194</v>
      </c>
      <c r="M501" s="4" t="s">
        <v>394</v>
      </c>
      <c r="N501" s="4" t="s">
        <v>544</v>
      </c>
      <c r="O501" s="4" t="s">
        <v>530</v>
      </c>
    </row>
    <row r="502" spans="2:15">
      <c r="B502" s="20"/>
      <c r="C502" s="20">
        <v>44818</v>
      </c>
      <c r="D502" s="54">
        <v>50143646</v>
      </c>
      <c r="E502" s="55" t="s">
        <v>191</v>
      </c>
      <c r="F502" s="56">
        <v>21</v>
      </c>
      <c r="G502" s="68">
        <v>10080</v>
      </c>
      <c r="H502" s="56" t="s">
        <v>82</v>
      </c>
      <c r="J502" s="56">
        <v>200000587</v>
      </c>
      <c r="K502" s="4" t="s">
        <v>545</v>
      </c>
      <c r="L502" s="56" t="s">
        <v>194</v>
      </c>
      <c r="M502" s="4" t="s">
        <v>394</v>
      </c>
      <c r="N502" s="4" t="s">
        <v>546</v>
      </c>
      <c r="O502" s="4" t="s">
        <v>530</v>
      </c>
    </row>
    <row r="503" spans="2:15">
      <c r="B503" s="20"/>
      <c r="C503" s="20">
        <v>44818</v>
      </c>
      <c r="D503" s="54">
        <v>40009544</v>
      </c>
      <c r="E503" s="55" t="s">
        <v>179</v>
      </c>
      <c r="F503" s="56">
        <v>7</v>
      </c>
      <c r="G503" s="68">
        <v>26460</v>
      </c>
      <c r="H503" s="56" t="s">
        <v>80</v>
      </c>
      <c r="J503" s="56">
        <v>177406283</v>
      </c>
      <c r="K503" s="4" t="s">
        <v>547</v>
      </c>
      <c r="L503" s="56" t="s">
        <v>175</v>
      </c>
      <c r="M503" s="4" t="s">
        <v>520</v>
      </c>
      <c r="N503" s="4" t="s">
        <v>548</v>
      </c>
      <c r="O503" s="4" t="s">
        <v>178</v>
      </c>
    </row>
    <row r="504" spans="2:15">
      <c r="B504" s="20"/>
      <c r="C504" s="20">
        <v>44818</v>
      </c>
      <c r="D504" s="54">
        <v>40007941</v>
      </c>
      <c r="E504" s="55" t="s">
        <v>211</v>
      </c>
      <c r="F504" s="56">
        <v>15</v>
      </c>
      <c r="G504" s="68">
        <v>10863</v>
      </c>
      <c r="H504" s="56" t="s">
        <v>80</v>
      </c>
      <c r="J504" s="56">
        <v>177406283</v>
      </c>
      <c r="K504" s="4" t="s">
        <v>547</v>
      </c>
      <c r="L504" s="56" t="s">
        <v>175</v>
      </c>
      <c r="M504" s="4" t="s">
        <v>520</v>
      </c>
      <c r="N504" s="4" t="s">
        <v>548</v>
      </c>
      <c r="O504" s="4" t="s">
        <v>178</v>
      </c>
    </row>
    <row r="505" spans="2:15">
      <c r="B505" s="20"/>
      <c r="C505" s="20">
        <v>44818</v>
      </c>
      <c r="D505" s="54">
        <v>40007942</v>
      </c>
      <c r="E505" s="55" t="s">
        <v>219</v>
      </c>
      <c r="F505" s="56">
        <v>4</v>
      </c>
      <c r="G505" s="68">
        <v>11125</v>
      </c>
      <c r="H505" s="56" t="s">
        <v>80</v>
      </c>
      <c r="J505" s="56">
        <v>177406283</v>
      </c>
      <c r="K505" s="4" t="s">
        <v>547</v>
      </c>
      <c r="L505" s="56" t="s">
        <v>175</v>
      </c>
      <c r="M505" s="4" t="s">
        <v>520</v>
      </c>
      <c r="N505" s="4" t="s">
        <v>548</v>
      </c>
      <c r="O505" s="4" t="s">
        <v>178</v>
      </c>
    </row>
    <row r="506" spans="2:15">
      <c r="B506" s="20"/>
      <c r="C506" s="20">
        <v>44818</v>
      </c>
      <c r="D506" s="54">
        <v>40009544</v>
      </c>
      <c r="E506" s="55" t="s">
        <v>179</v>
      </c>
      <c r="F506" s="56">
        <v>7</v>
      </c>
      <c r="G506" s="68">
        <v>23520</v>
      </c>
      <c r="H506" s="56" t="s">
        <v>80</v>
      </c>
      <c r="J506" s="56">
        <v>177407616</v>
      </c>
      <c r="K506" s="4" t="s">
        <v>549</v>
      </c>
      <c r="L506" s="56" t="s">
        <v>175</v>
      </c>
      <c r="M506" s="4" t="s">
        <v>520</v>
      </c>
      <c r="N506" s="4" t="s">
        <v>550</v>
      </c>
      <c r="O506" s="4" t="s">
        <v>178</v>
      </c>
    </row>
    <row r="507" spans="2:15">
      <c r="B507" s="20"/>
      <c r="C507" s="20">
        <v>44818</v>
      </c>
      <c r="D507" s="54">
        <v>40009546</v>
      </c>
      <c r="E507" s="55" t="s">
        <v>174</v>
      </c>
      <c r="F507" s="56">
        <v>6</v>
      </c>
      <c r="G507" s="68">
        <v>3921</v>
      </c>
      <c r="H507" s="56" t="s">
        <v>80</v>
      </c>
      <c r="J507" s="56">
        <v>177407616</v>
      </c>
      <c r="K507" s="4" t="s">
        <v>549</v>
      </c>
      <c r="L507" s="56" t="s">
        <v>175</v>
      </c>
      <c r="M507" s="4" t="s">
        <v>520</v>
      </c>
      <c r="N507" s="4" t="s">
        <v>550</v>
      </c>
      <c r="O507" s="4" t="s">
        <v>178</v>
      </c>
    </row>
    <row r="508" spans="2:15">
      <c r="B508" s="20"/>
      <c r="C508" s="20">
        <v>44818</v>
      </c>
      <c r="D508" s="54">
        <v>50795259</v>
      </c>
      <c r="E508" s="55" t="s">
        <v>551</v>
      </c>
      <c r="F508" s="56">
        <v>2</v>
      </c>
      <c r="G508" s="68">
        <v>2176</v>
      </c>
      <c r="H508" s="56" t="s">
        <v>80</v>
      </c>
      <c r="J508" s="56">
        <v>177407616</v>
      </c>
      <c r="K508" s="4" t="s">
        <v>549</v>
      </c>
      <c r="L508" s="56" t="s">
        <v>175</v>
      </c>
      <c r="M508" s="4" t="s">
        <v>520</v>
      </c>
      <c r="N508" s="4" t="s">
        <v>550</v>
      </c>
      <c r="O508" s="4" t="s">
        <v>178</v>
      </c>
    </row>
    <row r="509" spans="2:15">
      <c r="B509" s="20"/>
      <c r="C509" s="20">
        <v>44818</v>
      </c>
      <c r="D509" s="54">
        <v>50795396</v>
      </c>
      <c r="E509" s="55" t="s">
        <v>552</v>
      </c>
      <c r="F509" s="56">
        <v>2</v>
      </c>
      <c r="G509" s="68">
        <v>4392</v>
      </c>
      <c r="H509" s="56" t="s">
        <v>80</v>
      </c>
      <c r="J509" s="56">
        <v>177407616</v>
      </c>
      <c r="K509" s="4" t="s">
        <v>549</v>
      </c>
      <c r="L509" s="56" t="s">
        <v>175</v>
      </c>
      <c r="M509" s="4" t="s">
        <v>520</v>
      </c>
      <c r="N509" s="4" t="s">
        <v>550</v>
      </c>
      <c r="O509" s="4" t="s">
        <v>178</v>
      </c>
    </row>
    <row r="510" spans="2:15">
      <c r="B510" s="20"/>
      <c r="C510" s="20">
        <v>44818</v>
      </c>
      <c r="D510" s="54">
        <v>50795395</v>
      </c>
      <c r="E510" s="55" t="s">
        <v>553</v>
      </c>
      <c r="F510" s="56">
        <v>1</v>
      </c>
      <c r="G510" s="68">
        <v>2333</v>
      </c>
      <c r="H510" s="56" t="s">
        <v>80</v>
      </c>
      <c r="J510" s="56">
        <v>177407616</v>
      </c>
      <c r="K510" s="4" t="s">
        <v>549</v>
      </c>
      <c r="L510" s="56" t="s">
        <v>175</v>
      </c>
      <c r="M510" s="4" t="s">
        <v>520</v>
      </c>
      <c r="N510" s="4" t="s">
        <v>550</v>
      </c>
      <c r="O510" s="4" t="s">
        <v>178</v>
      </c>
    </row>
    <row r="511" spans="2:15">
      <c r="B511" s="20"/>
      <c r="C511" s="20">
        <v>44818</v>
      </c>
      <c r="D511" s="54">
        <v>50795390</v>
      </c>
      <c r="E511" s="55" t="s">
        <v>554</v>
      </c>
      <c r="F511" s="56">
        <v>1</v>
      </c>
      <c r="G511" s="68">
        <v>2146</v>
      </c>
      <c r="H511" s="56" t="s">
        <v>80</v>
      </c>
      <c r="J511" s="56">
        <v>177407616</v>
      </c>
      <c r="K511" s="4" t="s">
        <v>549</v>
      </c>
      <c r="L511" s="56" t="s">
        <v>175</v>
      </c>
      <c r="M511" s="4" t="s">
        <v>520</v>
      </c>
      <c r="N511" s="4" t="s">
        <v>550</v>
      </c>
      <c r="O511" s="4" t="s">
        <v>178</v>
      </c>
    </row>
    <row r="512" spans="2:15">
      <c r="B512" s="20"/>
      <c r="C512" s="20">
        <v>44818</v>
      </c>
      <c r="D512" s="54">
        <v>50795258</v>
      </c>
      <c r="E512" s="55" t="s">
        <v>555</v>
      </c>
      <c r="F512" s="56">
        <v>2</v>
      </c>
      <c r="G512" s="68">
        <v>4032</v>
      </c>
      <c r="H512" s="56" t="s">
        <v>80</v>
      </c>
      <c r="J512" s="56">
        <v>177407616</v>
      </c>
      <c r="K512" s="4" t="s">
        <v>549</v>
      </c>
      <c r="L512" s="56" t="s">
        <v>175</v>
      </c>
      <c r="M512" s="4" t="s">
        <v>520</v>
      </c>
      <c r="N512" s="4" t="s">
        <v>550</v>
      </c>
      <c r="O512" s="4" t="s">
        <v>178</v>
      </c>
    </row>
    <row r="513" spans="2:15">
      <c r="B513" s="20"/>
      <c r="C513" s="20">
        <v>44818</v>
      </c>
      <c r="D513" s="54">
        <v>50795257</v>
      </c>
      <c r="E513" s="55" t="s">
        <v>556</v>
      </c>
      <c r="F513" s="56">
        <v>6</v>
      </c>
      <c r="G513" s="68">
        <v>4099</v>
      </c>
      <c r="H513" s="56" t="s">
        <v>80</v>
      </c>
      <c r="J513" s="56">
        <v>177407616</v>
      </c>
      <c r="K513" s="4" t="s">
        <v>549</v>
      </c>
      <c r="L513" s="56" t="s">
        <v>175</v>
      </c>
      <c r="M513" s="4" t="s">
        <v>520</v>
      </c>
      <c r="N513" s="4" t="s">
        <v>550</v>
      </c>
      <c r="O513" s="4" t="s">
        <v>178</v>
      </c>
    </row>
    <row r="514" spans="2:15">
      <c r="B514" s="20"/>
      <c r="C514" s="20">
        <v>44818</v>
      </c>
      <c r="D514" s="54">
        <v>50142397</v>
      </c>
      <c r="E514" s="55" t="s">
        <v>557</v>
      </c>
      <c r="F514" s="56">
        <v>4</v>
      </c>
      <c r="G514" s="68">
        <v>100</v>
      </c>
      <c r="H514" s="56" t="s">
        <v>92</v>
      </c>
      <c r="J514" s="56">
        <v>13572</v>
      </c>
      <c r="L514" s="56" t="s">
        <v>558</v>
      </c>
      <c r="M514" s="4" t="s">
        <v>558</v>
      </c>
      <c r="N514" s="4" t="s">
        <v>559</v>
      </c>
      <c r="O514" s="4" t="s">
        <v>178</v>
      </c>
    </row>
    <row r="515" spans="2:15">
      <c r="B515" s="20"/>
      <c r="C515" s="20">
        <v>44818</v>
      </c>
      <c r="D515" s="54">
        <v>50142455</v>
      </c>
      <c r="E515" s="55" t="s">
        <v>560</v>
      </c>
      <c r="F515" s="56">
        <v>2</v>
      </c>
      <c r="G515" s="68">
        <v>50</v>
      </c>
      <c r="H515" s="56" t="s">
        <v>92</v>
      </c>
      <c r="J515" s="56">
        <v>13572</v>
      </c>
      <c r="L515" s="56" t="s">
        <v>558</v>
      </c>
      <c r="M515" s="4" t="s">
        <v>558</v>
      </c>
      <c r="N515" s="4" t="s">
        <v>559</v>
      </c>
      <c r="O515" s="4" t="s">
        <v>178</v>
      </c>
    </row>
    <row r="516" spans="2:15">
      <c r="B516" s="20"/>
      <c r="C516" s="20">
        <v>44818</v>
      </c>
      <c r="D516" s="54">
        <v>50142551</v>
      </c>
      <c r="E516" s="55" t="s">
        <v>215</v>
      </c>
      <c r="F516" s="56">
        <v>4</v>
      </c>
      <c r="G516" s="68">
        <v>100</v>
      </c>
      <c r="H516" s="56" t="s">
        <v>92</v>
      </c>
      <c r="J516" s="56">
        <v>13572</v>
      </c>
      <c r="L516" s="56" t="s">
        <v>558</v>
      </c>
      <c r="M516" s="4" t="s">
        <v>558</v>
      </c>
      <c r="N516" s="4" t="s">
        <v>559</v>
      </c>
      <c r="O516" s="4" t="s">
        <v>178</v>
      </c>
    </row>
    <row r="517" spans="2:15">
      <c r="B517" s="20"/>
      <c r="C517" s="20">
        <v>44819</v>
      </c>
      <c r="D517" s="54">
        <v>50789524</v>
      </c>
      <c r="E517" s="55" t="s">
        <v>561</v>
      </c>
      <c r="F517" s="56">
        <v>1</v>
      </c>
      <c r="G517" s="68">
        <v>420000</v>
      </c>
      <c r="H517" s="56" t="s">
        <v>82</v>
      </c>
      <c r="J517" s="56">
        <v>7247986</v>
      </c>
      <c r="K517" s="4" t="s">
        <v>562</v>
      </c>
      <c r="L517" s="56" t="s">
        <v>563</v>
      </c>
      <c r="M517" s="4" t="s">
        <v>564</v>
      </c>
      <c r="N517" s="4" t="s">
        <v>565</v>
      </c>
      <c r="O517" s="4" t="s">
        <v>178</v>
      </c>
    </row>
    <row r="518" spans="2:15">
      <c r="B518" s="20"/>
      <c r="C518" s="20">
        <v>44819</v>
      </c>
      <c r="D518" s="54">
        <v>50272278</v>
      </c>
      <c r="E518" s="55" t="s">
        <v>21</v>
      </c>
      <c r="F518" s="56">
        <v>12</v>
      </c>
      <c r="G518" s="68">
        <v>6000</v>
      </c>
      <c r="H518" s="56" t="s">
        <v>92</v>
      </c>
      <c r="J518" s="56">
        <v>17174</v>
      </c>
      <c r="L518" s="56" t="s">
        <v>226</v>
      </c>
      <c r="M518" s="4" t="s">
        <v>262</v>
      </c>
      <c r="N518" s="4" t="s">
        <v>364</v>
      </c>
      <c r="O518" s="4" t="s">
        <v>178</v>
      </c>
    </row>
    <row r="519" spans="2:15">
      <c r="B519" s="20"/>
      <c r="C519" s="20">
        <v>44819</v>
      </c>
      <c r="D519" s="54">
        <v>50144376</v>
      </c>
      <c r="E519" s="55" t="s">
        <v>19</v>
      </c>
      <c r="F519" s="56">
        <v>12</v>
      </c>
      <c r="G519" s="68">
        <v>6000</v>
      </c>
      <c r="H519" s="56" t="s">
        <v>92</v>
      </c>
      <c r="J519" s="56">
        <v>17175</v>
      </c>
      <c r="L519" s="56" t="s">
        <v>226</v>
      </c>
      <c r="M519" s="4" t="s">
        <v>262</v>
      </c>
      <c r="N519" s="4" t="s">
        <v>364</v>
      </c>
      <c r="O519" s="4" t="s">
        <v>178</v>
      </c>
    </row>
    <row r="520" spans="2:15">
      <c r="B520" s="20"/>
      <c r="C520" s="20">
        <v>44819</v>
      </c>
      <c r="D520" s="54">
        <v>50142631</v>
      </c>
      <c r="E520" s="55" t="s">
        <v>566</v>
      </c>
      <c r="F520" s="56">
        <v>1</v>
      </c>
      <c r="G520" s="68">
        <v>1500</v>
      </c>
      <c r="H520" s="56" t="s">
        <v>82</v>
      </c>
      <c r="J520" s="56">
        <v>52313</v>
      </c>
      <c r="L520" s="56" t="s">
        <v>567</v>
      </c>
      <c r="M520" s="4" t="s">
        <v>568</v>
      </c>
      <c r="N520" s="4" t="s">
        <v>569</v>
      </c>
      <c r="O520" s="4" t="s">
        <v>530</v>
      </c>
    </row>
    <row r="521" spans="2:15">
      <c r="B521" s="20"/>
      <c r="C521" s="20">
        <v>44820</v>
      </c>
      <c r="D521" s="54">
        <v>50272278</v>
      </c>
      <c r="E521" s="55" t="s">
        <v>21</v>
      </c>
      <c r="F521" s="56">
        <v>12</v>
      </c>
      <c r="G521" s="68">
        <v>6000</v>
      </c>
      <c r="H521" s="56" t="s">
        <v>92</v>
      </c>
      <c r="J521" s="56">
        <v>1779</v>
      </c>
      <c r="L521" s="56" t="s">
        <v>226</v>
      </c>
      <c r="M521" s="4" t="s">
        <v>262</v>
      </c>
      <c r="N521" s="4" t="s">
        <v>364</v>
      </c>
      <c r="O521" s="4" t="s">
        <v>530</v>
      </c>
    </row>
    <row r="522" spans="2:15">
      <c r="B522" s="20"/>
      <c r="C522" s="20">
        <v>44820</v>
      </c>
      <c r="D522" s="54">
        <v>50272278</v>
      </c>
      <c r="E522" s="55" t="s">
        <v>21</v>
      </c>
      <c r="F522" s="56">
        <v>12</v>
      </c>
      <c r="G522" s="68">
        <v>6000</v>
      </c>
      <c r="H522" s="56" t="s">
        <v>92</v>
      </c>
      <c r="J522" s="56">
        <v>17182</v>
      </c>
      <c r="L522" s="56" t="s">
        <v>226</v>
      </c>
      <c r="M522" s="4" t="s">
        <v>262</v>
      </c>
      <c r="N522" s="4" t="s">
        <v>364</v>
      </c>
      <c r="O522" s="4" t="s">
        <v>178</v>
      </c>
    </row>
    <row r="523" spans="2:15">
      <c r="B523" s="20"/>
      <c r="C523" s="20">
        <v>44820</v>
      </c>
      <c r="D523" s="54">
        <v>50470190</v>
      </c>
      <c r="E523" s="55" t="s">
        <v>12</v>
      </c>
      <c r="F523" s="56">
        <v>32</v>
      </c>
      <c r="G523" s="68">
        <v>9273600</v>
      </c>
      <c r="H523" s="56" t="s">
        <v>92</v>
      </c>
      <c r="J523" s="56">
        <v>17012</v>
      </c>
      <c r="L523" s="56" t="s">
        <v>230</v>
      </c>
      <c r="M523" s="4" t="s">
        <v>392</v>
      </c>
      <c r="N523" s="4" t="s">
        <v>362</v>
      </c>
      <c r="O523" s="4" t="s">
        <v>178</v>
      </c>
    </row>
    <row r="524" spans="2:15">
      <c r="B524" s="20"/>
      <c r="C524" s="20">
        <v>44820</v>
      </c>
      <c r="D524" s="54">
        <v>50785753</v>
      </c>
      <c r="E524" s="55" t="s">
        <v>570</v>
      </c>
      <c r="F524" s="56">
        <v>9</v>
      </c>
      <c r="G524" s="68">
        <v>3420.5</v>
      </c>
      <c r="H524" s="56" t="s">
        <v>82</v>
      </c>
      <c r="J524" s="56">
        <v>11383</v>
      </c>
      <c r="L524" s="56" t="s">
        <v>243</v>
      </c>
      <c r="M524" s="4" t="s">
        <v>470</v>
      </c>
      <c r="N524" s="4" t="s">
        <v>353</v>
      </c>
      <c r="O524" s="4" t="s">
        <v>530</v>
      </c>
    </row>
    <row r="525" spans="2:15">
      <c r="B525" s="20"/>
      <c r="C525" s="20">
        <v>44821</v>
      </c>
      <c r="D525" s="54">
        <v>50142281</v>
      </c>
      <c r="E525" s="55" t="s">
        <v>204</v>
      </c>
      <c r="F525" s="56">
        <v>28</v>
      </c>
      <c r="G525" s="68">
        <v>12600</v>
      </c>
      <c r="H525" s="56" t="s">
        <v>82</v>
      </c>
      <c r="J525" s="56">
        <v>97692585</v>
      </c>
      <c r="K525" s="4" t="s">
        <v>571</v>
      </c>
      <c r="L525" s="56" t="s">
        <v>572</v>
      </c>
      <c r="M525" s="4" t="s">
        <v>520</v>
      </c>
      <c r="N525" s="4" t="s">
        <v>573</v>
      </c>
      <c r="O525" s="4" t="s">
        <v>530</v>
      </c>
    </row>
    <row r="526" spans="2:15">
      <c r="B526" s="20"/>
      <c r="C526" s="20">
        <v>44823</v>
      </c>
      <c r="D526" s="54">
        <v>50144376</v>
      </c>
      <c r="E526" s="55" t="s">
        <v>19</v>
      </c>
      <c r="F526" s="56">
        <v>20</v>
      </c>
      <c r="G526" s="68">
        <v>10000</v>
      </c>
      <c r="H526" s="56" t="s">
        <v>92</v>
      </c>
      <c r="J526" s="56">
        <v>8687</v>
      </c>
      <c r="L526" s="56" t="s">
        <v>201</v>
      </c>
      <c r="M526" s="4" t="s">
        <v>201</v>
      </c>
      <c r="N526" s="4" t="s">
        <v>383</v>
      </c>
      <c r="O526" s="4" t="s">
        <v>178</v>
      </c>
    </row>
    <row r="527" spans="2:15">
      <c r="B527" s="20"/>
      <c r="C527" s="20">
        <v>44823</v>
      </c>
      <c r="D527" s="54">
        <v>50272278</v>
      </c>
      <c r="E527" s="55" t="s">
        <v>21</v>
      </c>
      <c r="F527" s="56">
        <v>8</v>
      </c>
      <c r="G527" s="68">
        <v>4000</v>
      </c>
      <c r="H527" s="56" t="s">
        <v>92</v>
      </c>
      <c r="J527" s="56">
        <v>17189</v>
      </c>
      <c r="L527" s="56" t="s">
        <v>226</v>
      </c>
      <c r="M527" s="4" t="s">
        <v>262</v>
      </c>
      <c r="N527" s="4" t="s">
        <v>364</v>
      </c>
      <c r="O527" s="4" t="s">
        <v>530</v>
      </c>
    </row>
    <row r="528" spans="2:15">
      <c r="B528" s="20"/>
      <c r="C528" s="20">
        <v>44823</v>
      </c>
      <c r="D528" s="54">
        <v>50501722</v>
      </c>
      <c r="E528" s="55" t="s">
        <v>253</v>
      </c>
      <c r="F528" s="56">
        <v>4</v>
      </c>
      <c r="G528" s="68">
        <v>2773.25</v>
      </c>
      <c r="H528" s="56" t="s">
        <v>82</v>
      </c>
      <c r="J528" s="56">
        <v>11392</v>
      </c>
      <c r="L528" s="56" t="s">
        <v>243</v>
      </c>
      <c r="M528" s="4" t="s">
        <v>470</v>
      </c>
      <c r="N528" s="4" t="s">
        <v>574</v>
      </c>
      <c r="O528" s="4" t="s">
        <v>178</v>
      </c>
    </row>
    <row r="529" spans="2:15">
      <c r="B529" s="20"/>
      <c r="C529" s="20">
        <v>44823</v>
      </c>
      <c r="D529" s="54">
        <v>50369034</v>
      </c>
      <c r="E529" s="55" t="s">
        <v>322</v>
      </c>
      <c r="F529" s="56">
        <v>4</v>
      </c>
      <c r="G529" s="68">
        <v>2804.15</v>
      </c>
      <c r="H529" s="56" t="s">
        <v>82</v>
      </c>
      <c r="J529" s="56">
        <v>11392</v>
      </c>
      <c r="L529" s="56" t="s">
        <v>243</v>
      </c>
      <c r="M529" s="4" t="s">
        <v>470</v>
      </c>
      <c r="N529" s="4" t="s">
        <v>574</v>
      </c>
      <c r="O529" s="4" t="s">
        <v>178</v>
      </c>
    </row>
    <row r="530" spans="2:15">
      <c r="B530" s="20"/>
      <c r="C530" s="20">
        <v>44824</v>
      </c>
      <c r="D530" s="54">
        <v>50141786</v>
      </c>
      <c r="E530" s="55" t="s">
        <v>188</v>
      </c>
      <c r="F530" s="56">
        <v>20</v>
      </c>
      <c r="G530" s="68">
        <v>11200</v>
      </c>
      <c r="H530" s="56" t="s">
        <v>575</v>
      </c>
      <c r="J530" s="56">
        <v>108799</v>
      </c>
      <c r="K530" s="4" t="s">
        <v>576</v>
      </c>
      <c r="L530" s="56" t="s">
        <v>189</v>
      </c>
      <c r="M530" s="4" t="s">
        <v>209</v>
      </c>
      <c r="N530" s="4" t="s">
        <v>577</v>
      </c>
      <c r="O530" s="4" t="s">
        <v>178</v>
      </c>
    </row>
    <row r="531" spans="2:15">
      <c r="B531" s="20"/>
      <c r="C531" s="20">
        <v>44824</v>
      </c>
      <c r="D531" s="54">
        <v>50141786</v>
      </c>
      <c r="E531" s="55" t="s">
        <v>188</v>
      </c>
      <c r="F531" s="56">
        <v>20</v>
      </c>
      <c r="G531" s="68">
        <v>11200</v>
      </c>
      <c r="H531" s="56" t="s">
        <v>575</v>
      </c>
      <c r="J531" s="56">
        <v>108799</v>
      </c>
      <c r="K531" s="4" t="s">
        <v>578</v>
      </c>
      <c r="L531" s="56" t="s">
        <v>189</v>
      </c>
      <c r="M531" s="4" t="s">
        <v>209</v>
      </c>
      <c r="N531" s="4" t="s">
        <v>579</v>
      </c>
      <c r="O531" s="4" t="s">
        <v>178</v>
      </c>
    </row>
    <row r="532" spans="2:15">
      <c r="B532" s="20"/>
      <c r="C532" s="20">
        <v>44824</v>
      </c>
      <c r="D532" s="54">
        <v>50010080</v>
      </c>
      <c r="E532" s="55" t="s">
        <v>354</v>
      </c>
      <c r="F532" s="56">
        <v>15</v>
      </c>
      <c r="G532" s="68">
        <v>15000</v>
      </c>
      <c r="H532" s="56" t="s">
        <v>82</v>
      </c>
      <c r="J532" s="56" t="s">
        <v>580</v>
      </c>
      <c r="L532" s="56" t="s">
        <v>355</v>
      </c>
      <c r="M532" s="4" t="s">
        <v>355</v>
      </c>
      <c r="N532" s="4" t="s">
        <v>581</v>
      </c>
      <c r="O532" s="4" t="s">
        <v>178</v>
      </c>
    </row>
    <row r="533" spans="2:15">
      <c r="B533" s="20"/>
      <c r="C533" s="20">
        <v>44824</v>
      </c>
      <c r="D533" s="54">
        <v>40011080</v>
      </c>
      <c r="E533" s="55" t="s">
        <v>420</v>
      </c>
      <c r="F533" s="56">
        <v>1</v>
      </c>
      <c r="G533" s="68">
        <v>120</v>
      </c>
      <c r="H533" s="56" t="s">
        <v>80</v>
      </c>
      <c r="J533" s="56">
        <v>328700848</v>
      </c>
      <c r="K533" s="4" t="s">
        <v>582</v>
      </c>
      <c r="L533" s="56" t="s">
        <v>423</v>
      </c>
      <c r="M533" s="4" t="s">
        <v>394</v>
      </c>
      <c r="N533" s="4" t="s">
        <v>583</v>
      </c>
      <c r="O533" s="4" t="s">
        <v>178</v>
      </c>
    </row>
    <row r="534" spans="2:15">
      <c r="B534" s="20"/>
      <c r="C534" s="20">
        <v>44824</v>
      </c>
      <c r="D534" s="54">
        <v>40011780</v>
      </c>
      <c r="E534" s="55" t="s">
        <v>584</v>
      </c>
      <c r="F534" s="56">
        <v>8</v>
      </c>
      <c r="G534" s="68">
        <v>3256.4</v>
      </c>
      <c r="H534" s="56" t="s">
        <v>80</v>
      </c>
      <c r="J534" s="56">
        <v>328700848</v>
      </c>
      <c r="K534" s="4" t="s">
        <v>582</v>
      </c>
      <c r="L534" s="56" t="s">
        <v>423</v>
      </c>
      <c r="M534" s="4" t="s">
        <v>394</v>
      </c>
      <c r="N534" s="4" t="s">
        <v>583</v>
      </c>
      <c r="O534" s="4" t="s">
        <v>178</v>
      </c>
    </row>
    <row r="535" spans="2:15">
      <c r="B535" s="20"/>
      <c r="C535" s="20">
        <v>44824</v>
      </c>
      <c r="D535" s="54">
        <v>40011588</v>
      </c>
      <c r="E535" s="55" t="s">
        <v>585</v>
      </c>
      <c r="F535" s="56">
        <v>16</v>
      </c>
      <c r="G535" s="68">
        <v>7220</v>
      </c>
      <c r="H535" s="56" t="s">
        <v>80</v>
      </c>
      <c r="J535" s="56">
        <v>328700848</v>
      </c>
      <c r="K535" s="4" t="s">
        <v>582</v>
      </c>
      <c r="L535" s="56" t="s">
        <v>423</v>
      </c>
      <c r="M535" s="4" t="s">
        <v>394</v>
      </c>
      <c r="N535" s="4" t="s">
        <v>583</v>
      </c>
      <c r="O535" s="4" t="s">
        <v>178</v>
      </c>
    </row>
    <row r="536" spans="2:15">
      <c r="B536" s="20"/>
      <c r="C536" s="20">
        <v>44824</v>
      </c>
      <c r="D536" s="54">
        <v>50522176</v>
      </c>
      <c r="E536" s="55" t="s">
        <v>455</v>
      </c>
      <c r="F536" s="56">
        <v>3</v>
      </c>
      <c r="G536" s="68">
        <v>1511.4</v>
      </c>
      <c r="H536" s="56" t="s">
        <v>82</v>
      </c>
      <c r="J536" s="56">
        <v>11394</v>
      </c>
      <c r="L536" s="56" t="s">
        <v>243</v>
      </c>
      <c r="M536" s="4" t="s">
        <v>470</v>
      </c>
      <c r="N536" s="4" t="s">
        <v>586</v>
      </c>
      <c r="O536" s="4" t="s">
        <v>178</v>
      </c>
    </row>
    <row r="537" spans="2:15">
      <c r="B537" s="20"/>
      <c r="C537" s="20">
        <v>44824</v>
      </c>
      <c r="D537" s="54">
        <v>50522169</v>
      </c>
      <c r="E537" s="55" t="s">
        <v>250</v>
      </c>
      <c r="F537" s="56">
        <v>6</v>
      </c>
      <c r="G537" s="68">
        <v>3619.5</v>
      </c>
      <c r="H537" s="56" t="s">
        <v>82</v>
      </c>
      <c r="J537" s="56">
        <v>11394</v>
      </c>
      <c r="L537" s="56" t="s">
        <v>243</v>
      </c>
      <c r="M537" s="4" t="s">
        <v>470</v>
      </c>
      <c r="N537" s="4" t="s">
        <v>586</v>
      </c>
      <c r="O537" s="4" t="s">
        <v>178</v>
      </c>
    </row>
    <row r="538" spans="2:15">
      <c r="B538" s="20"/>
      <c r="C538" s="20">
        <v>44824</v>
      </c>
      <c r="D538" s="54">
        <v>50369034</v>
      </c>
      <c r="E538" s="55" t="s">
        <v>322</v>
      </c>
      <c r="F538" s="56">
        <v>11</v>
      </c>
      <c r="G538" s="68">
        <v>7694.25</v>
      </c>
      <c r="H538" s="56" t="s">
        <v>82</v>
      </c>
      <c r="J538" s="56">
        <v>11393</v>
      </c>
      <c r="L538" s="56" t="s">
        <v>243</v>
      </c>
      <c r="M538" s="4" t="s">
        <v>470</v>
      </c>
      <c r="N538" s="4" t="s">
        <v>353</v>
      </c>
      <c r="O538" s="4" t="s">
        <v>178</v>
      </c>
    </row>
    <row r="539" spans="2:15">
      <c r="B539" s="20"/>
      <c r="C539" s="20">
        <v>44824</v>
      </c>
      <c r="D539" s="54">
        <v>50785753</v>
      </c>
      <c r="E539" s="55" t="s">
        <v>570</v>
      </c>
      <c r="F539" s="56">
        <v>2</v>
      </c>
      <c r="G539" s="68">
        <v>921.1</v>
      </c>
      <c r="H539" s="56" t="s">
        <v>82</v>
      </c>
      <c r="J539" s="56">
        <v>11395</v>
      </c>
      <c r="L539" s="56" t="s">
        <v>243</v>
      </c>
      <c r="M539" s="4" t="s">
        <v>470</v>
      </c>
      <c r="N539" s="4" t="s">
        <v>587</v>
      </c>
      <c r="O539" s="4" t="s">
        <v>178</v>
      </c>
    </row>
    <row r="540" spans="2:15">
      <c r="B540" s="20"/>
      <c r="C540" s="20">
        <v>44824</v>
      </c>
      <c r="D540" s="54">
        <v>50522169</v>
      </c>
      <c r="E540" s="55" t="s">
        <v>250</v>
      </c>
      <c r="F540" s="56">
        <v>5</v>
      </c>
      <c r="G540" s="68">
        <v>3533.7</v>
      </c>
      <c r="H540" s="56" t="s">
        <v>82</v>
      </c>
      <c r="J540" s="56">
        <v>9708</v>
      </c>
      <c r="L540" s="56" t="s">
        <v>243</v>
      </c>
      <c r="M540" s="4" t="s">
        <v>176</v>
      </c>
      <c r="N540" s="4" t="s">
        <v>193</v>
      </c>
      <c r="O540" s="4" t="s">
        <v>178</v>
      </c>
    </row>
    <row r="541" spans="2:15">
      <c r="B541" s="20"/>
      <c r="C541" s="20">
        <v>44824</v>
      </c>
      <c r="D541" s="54">
        <v>40011660</v>
      </c>
      <c r="E541" s="55" t="s">
        <v>528</v>
      </c>
      <c r="F541" s="56">
        <v>2</v>
      </c>
      <c r="G541" s="68">
        <v>900</v>
      </c>
      <c r="H541" s="56" t="s">
        <v>80</v>
      </c>
      <c r="J541" s="56">
        <v>9708</v>
      </c>
      <c r="L541" s="56" t="s">
        <v>423</v>
      </c>
      <c r="M541" s="4" t="s">
        <v>176</v>
      </c>
      <c r="N541" s="4" t="s">
        <v>193</v>
      </c>
      <c r="O541" s="4" t="s">
        <v>178</v>
      </c>
    </row>
    <row r="542" spans="2:15">
      <c r="B542" s="20"/>
      <c r="C542" s="20">
        <v>44824</v>
      </c>
      <c r="D542" s="54">
        <v>50144334</v>
      </c>
      <c r="E542" s="55" t="s">
        <v>426</v>
      </c>
      <c r="F542" s="56">
        <v>1</v>
      </c>
      <c r="G542" s="68">
        <v>750</v>
      </c>
      <c r="H542" s="56" t="s">
        <v>82</v>
      </c>
      <c r="J542" s="56">
        <v>9708</v>
      </c>
      <c r="L542" s="56" t="s">
        <v>427</v>
      </c>
      <c r="M542" s="4" t="s">
        <v>176</v>
      </c>
      <c r="N542" s="4" t="s">
        <v>193</v>
      </c>
      <c r="O542" s="4" t="s">
        <v>178</v>
      </c>
    </row>
    <row r="543" spans="2:15">
      <c r="B543" s="20"/>
      <c r="C543" s="20">
        <v>44824</v>
      </c>
      <c r="D543" s="54">
        <v>40011149</v>
      </c>
      <c r="E543" s="55" t="s">
        <v>37</v>
      </c>
      <c r="F543" s="56">
        <v>3</v>
      </c>
      <c r="G543" s="68">
        <v>1080</v>
      </c>
      <c r="H543" s="56" t="s">
        <v>80</v>
      </c>
      <c r="J543" s="56">
        <v>9708</v>
      </c>
      <c r="L543" s="56" t="s">
        <v>423</v>
      </c>
      <c r="M543" s="4" t="s">
        <v>176</v>
      </c>
      <c r="N543" s="4" t="s">
        <v>193</v>
      </c>
      <c r="O543" s="4" t="s">
        <v>178</v>
      </c>
    </row>
    <row r="544" spans="2:15">
      <c r="B544" s="20"/>
      <c r="C544" s="20">
        <v>44824</v>
      </c>
      <c r="D544" s="54">
        <v>40007616</v>
      </c>
      <c r="E544" s="55" t="s">
        <v>588</v>
      </c>
      <c r="F544" s="56">
        <v>3</v>
      </c>
      <c r="G544" s="68">
        <v>1197</v>
      </c>
      <c r="H544" s="56" t="s">
        <v>80</v>
      </c>
      <c r="J544" s="56">
        <v>9708</v>
      </c>
      <c r="L544" s="56" t="s">
        <v>175</v>
      </c>
      <c r="M544" s="4" t="s">
        <v>176</v>
      </c>
      <c r="N544" s="4" t="s">
        <v>193</v>
      </c>
      <c r="O544" s="4" t="s">
        <v>178</v>
      </c>
    </row>
    <row r="545" spans="2:15">
      <c r="B545" s="20"/>
      <c r="C545" s="20">
        <v>44824</v>
      </c>
      <c r="D545" s="54">
        <v>40011148</v>
      </c>
      <c r="E545" s="55" t="s">
        <v>86</v>
      </c>
      <c r="F545" s="56">
        <v>1</v>
      </c>
      <c r="G545" s="68">
        <v>450</v>
      </c>
      <c r="H545" s="56" t="s">
        <v>80</v>
      </c>
      <c r="J545" s="56">
        <v>9708</v>
      </c>
      <c r="L545" s="56" t="s">
        <v>423</v>
      </c>
      <c r="M545" s="4" t="s">
        <v>176</v>
      </c>
      <c r="N545" s="4" t="s">
        <v>193</v>
      </c>
      <c r="O545" s="4" t="s">
        <v>178</v>
      </c>
    </row>
    <row r="546" spans="2:15">
      <c r="B546" s="20"/>
      <c r="C546" s="20">
        <v>44824</v>
      </c>
      <c r="D546" s="54">
        <v>40011080</v>
      </c>
      <c r="E546" s="55" t="s">
        <v>420</v>
      </c>
      <c r="F546" s="56">
        <v>4</v>
      </c>
      <c r="G546" s="68">
        <v>1350</v>
      </c>
      <c r="H546" s="56" t="s">
        <v>80</v>
      </c>
      <c r="J546" s="56">
        <v>9708</v>
      </c>
      <c r="L546" s="56" t="s">
        <v>423</v>
      </c>
      <c r="M546" s="4" t="s">
        <v>176</v>
      </c>
      <c r="N546" s="4" t="s">
        <v>193</v>
      </c>
      <c r="O546" s="4" t="s">
        <v>178</v>
      </c>
    </row>
    <row r="547" spans="2:15">
      <c r="B547" s="20"/>
      <c r="C547" s="20">
        <v>44824</v>
      </c>
      <c r="D547" s="54">
        <v>40004887</v>
      </c>
      <c r="E547" s="55" t="s">
        <v>272</v>
      </c>
      <c r="F547" s="56">
        <v>2</v>
      </c>
      <c r="G547" s="68">
        <v>880</v>
      </c>
      <c r="H547" s="56" t="s">
        <v>80</v>
      </c>
      <c r="J547" s="56">
        <v>9708</v>
      </c>
      <c r="L547" s="56" t="s">
        <v>175</v>
      </c>
      <c r="M547" s="4" t="s">
        <v>176</v>
      </c>
      <c r="N547" s="4" t="s">
        <v>193</v>
      </c>
      <c r="O547" s="4" t="s">
        <v>178</v>
      </c>
    </row>
    <row r="548" spans="2:15">
      <c r="B548" s="20"/>
      <c r="C548" s="20">
        <v>44824</v>
      </c>
      <c r="D548" s="54">
        <v>50470190</v>
      </c>
      <c r="E548" s="55" t="s">
        <v>12</v>
      </c>
      <c r="F548" s="56">
        <v>32</v>
      </c>
      <c r="G548" s="68">
        <v>9273600</v>
      </c>
      <c r="H548" s="56" t="s">
        <v>92</v>
      </c>
      <c r="J548" s="56">
        <v>17135</v>
      </c>
      <c r="L548" s="56" t="s">
        <v>230</v>
      </c>
      <c r="M548" s="4" t="s">
        <v>392</v>
      </c>
      <c r="N548" s="4" t="s">
        <v>589</v>
      </c>
      <c r="O548" s="4" t="s">
        <v>178</v>
      </c>
    </row>
    <row r="549" spans="2:15">
      <c r="B549" s="20"/>
      <c r="C549" s="20">
        <v>44824</v>
      </c>
      <c r="D549" s="54">
        <v>50272278</v>
      </c>
      <c r="E549" s="55" t="s">
        <v>21</v>
      </c>
      <c r="F549" s="56">
        <v>12</v>
      </c>
      <c r="G549" s="68">
        <v>6000</v>
      </c>
      <c r="H549" s="56" t="s">
        <v>92</v>
      </c>
      <c r="J549" s="56">
        <v>17197</v>
      </c>
      <c r="L549" s="56" t="s">
        <v>226</v>
      </c>
      <c r="M549" s="4" t="s">
        <v>262</v>
      </c>
      <c r="N549" s="4" t="s">
        <v>364</v>
      </c>
      <c r="O549" s="4" t="s">
        <v>178</v>
      </c>
    </row>
    <row r="550" spans="2:15">
      <c r="B550" s="20"/>
      <c r="C550" s="20">
        <v>44825</v>
      </c>
      <c r="D550" s="54">
        <v>40009546</v>
      </c>
      <c r="E550" s="55" t="s">
        <v>174</v>
      </c>
      <c r="F550" s="56">
        <v>28</v>
      </c>
      <c r="G550" s="68">
        <v>21168</v>
      </c>
      <c r="H550" s="56" t="s">
        <v>80</v>
      </c>
      <c r="J550" s="56">
        <v>778457275</v>
      </c>
      <c r="K550" s="4" t="s">
        <v>590</v>
      </c>
      <c r="L550" s="56" t="s">
        <v>175</v>
      </c>
      <c r="M550" s="4" t="s">
        <v>520</v>
      </c>
      <c r="N550" s="4" t="s">
        <v>591</v>
      </c>
      <c r="O550" s="4" t="s">
        <v>178</v>
      </c>
    </row>
    <row r="551" spans="2:15">
      <c r="B551" s="20"/>
      <c r="C551" s="20">
        <v>44825</v>
      </c>
      <c r="D551" s="54">
        <v>50272278</v>
      </c>
      <c r="E551" s="55" t="s">
        <v>21</v>
      </c>
      <c r="F551" s="56">
        <v>20</v>
      </c>
      <c r="G551" s="68">
        <v>10000</v>
      </c>
      <c r="H551" s="56" t="s">
        <v>92</v>
      </c>
      <c r="J551" s="56" t="s">
        <v>592</v>
      </c>
      <c r="L551" s="56" t="s">
        <v>201</v>
      </c>
      <c r="M551" s="4" t="s">
        <v>201</v>
      </c>
      <c r="N551" s="4" t="s">
        <v>363</v>
      </c>
      <c r="O551" s="4" t="s">
        <v>178</v>
      </c>
    </row>
    <row r="552" spans="2:15">
      <c r="B552" s="20"/>
      <c r="C552" s="20">
        <v>44825</v>
      </c>
      <c r="D552" s="54">
        <v>50758307</v>
      </c>
      <c r="E552" s="55" t="s">
        <v>593</v>
      </c>
      <c r="F552" s="56">
        <v>9</v>
      </c>
      <c r="G552" s="68">
        <v>58082</v>
      </c>
      <c r="H552" s="56" t="s">
        <v>92</v>
      </c>
      <c r="J552" s="56">
        <v>9798</v>
      </c>
      <c r="M552" s="4" t="s">
        <v>176</v>
      </c>
      <c r="N552" s="4" t="s">
        <v>177</v>
      </c>
      <c r="O552" s="4" t="s">
        <v>178</v>
      </c>
    </row>
    <row r="553" spans="2:15">
      <c r="B553" s="20"/>
      <c r="C553" s="20">
        <v>44825</v>
      </c>
      <c r="D553" s="54">
        <v>50144954</v>
      </c>
      <c r="E553" s="55" t="s">
        <v>268</v>
      </c>
      <c r="F553" s="56">
        <v>4</v>
      </c>
      <c r="G553" s="68">
        <v>8500</v>
      </c>
      <c r="H553" s="56" t="s">
        <v>92</v>
      </c>
      <c r="J553" s="56">
        <v>9798</v>
      </c>
      <c r="M553" s="4" t="s">
        <v>176</v>
      </c>
      <c r="N553" s="4" t="s">
        <v>177</v>
      </c>
      <c r="O553" s="4" t="s">
        <v>178</v>
      </c>
    </row>
    <row r="554" spans="2:15">
      <c r="B554" s="20"/>
      <c r="C554" s="20">
        <v>44825</v>
      </c>
      <c r="D554" s="54">
        <v>50272278</v>
      </c>
      <c r="E554" s="55" t="s">
        <v>21</v>
      </c>
      <c r="F554" s="56">
        <v>3</v>
      </c>
      <c r="G554" s="68">
        <v>1500</v>
      </c>
      <c r="H554" s="56" t="s">
        <v>92</v>
      </c>
      <c r="J554" s="56">
        <v>9798</v>
      </c>
      <c r="M554" s="4" t="s">
        <v>176</v>
      </c>
      <c r="N554" s="4" t="s">
        <v>177</v>
      </c>
      <c r="O554" s="4" t="s">
        <v>178</v>
      </c>
    </row>
    <row r="555" spans="2:15">
      <c r="B555" s="20"/>
      <c r="C555" s="20">
        <v>44825</v>
      </c>
      <c r="D555" s="54">
        <v>50144376</v>
      </c>
      <c r="E555" s="55" t="s">
        <v>19</v>
      </c>
      <c r="F555" s="56">
        <v>5</v>
      </c>
      <c r="G555" s="68">
        <v>2500</v>
      </c>
      <c r="H555" s="56" t="s">
        <v>92</v>
      </c>
      <c r="J555" s="56">
        <v>9798</v>
      </c>
      <c r="M555" s="4" t="s">
        <v>176</v>
      </c>
      <c r="N555" s="4" t="s">
        <v>177</v>
      </c>
      <c r="O555" s="4" t="s">
        <v>178</v>
      </c>
    </row>
    <row r="556" spans="2:15">
      <c r="B556" s="20"/>
      <c r="C556" s="20">
        <v>44826</v>
      </c>
      <c r="D556" s="54">
        <v>50501722</v>
      </c>
      <c r="E556" s="55" t="s">
        <v>253</v>
      </c>
      <c r="F556" s="56">
        <v>2</v>
      </c>
      <c r="G556" s="68">
        <v>2085.3</v>
      </c>
      <c r="H556" s="56" t="s">
        <v>82</v>
      </c>
      <c r="J556" s="56">
        <v>11403</v>
      </c>
      <c r="L556" s="56" t="s">
        <v>243</v>
      </c>
      <c r="M556" s="4" t="s">
        <v>470</v>
      </c>
      <c r="N556" s="4" t="s">
        <v>447</v>
      </c>
      <c r="O556" s="4" t="s">
        <v>178</v>
      </c>
    </row>
    <row r="557" spans="2:15">
      <c r="B557" s="20"/>
      <c r="C557" s="20">
        <v>44826</v>
      </c>
      <c r="D557" s="54">
        <v>50794589</v>
      </c>
      <c r="E557" s="55" t="s">
        <v>594</v>
      </c>
      <c r="F557" s="56">
        <v>4</v>
      </c>
      <c r="G557" s="68">
        <v>2515.8</v>
      </c>
      <c r="H557" s="56" t="s">
        <v>82</v>
      </c>
      <c r="J557" s="56">
        <v>11399</v>
      </c>
      <c r="L557" s="56" t="s">
        <v>243</v>
      </c>
      <c r="M557" s="4" t="s">
        <v>470</v>
      </c>
      <c r="N557" s="4" t="s">
        <v>447</v>
      </c>
      <c r="O557" s="4" t="s">
        <v>178</v>
      </c>
    </row>
    <row r="558" spans="2:15">
      <c r="B558" s="20"/>
      <c r="C558" s="20">
        <v>44826</v>
      </c>
      <c r="D558" s="54">
        <v>50501722</v>
      </c>
      <c r="E558" s="55" t="s">
        <v>253</v>
      </c>
      <c r="F558" s="56">
        <v>3</v>
      </c>
      <c r="G558" s="68">
        <v>2418</v>
      </c>
      <c r="H558" s="56" t="s">
        <v>82</v>
      </c>
      <c r="J558" s="56">
        <v>11400</v>
      </c>
      <c r="L558" s="56" t="s">
        <v>243</v>
      </c>
      <c r="M558" s="4" t="s">
        <v>470</v>
      </c>
      <c r="N558" s="4" t="s">
        <v>447</v>
      </c>
      <c r="O558" s="4" t="s">
        <v>178</v>
      </c>
    </row>
    <row r="559" spans="2:15">
      <c r="B559" s="20"/>
      <c r="C559" s="20">
        <v>44826</v>
      </c>
      <c r="D559" s="54">
        <v>50501722</v>
      </c>
      <c r="E559" s="55" t="s">
        <v>253</v>
      </c>
      <c r="F559" s="56">
        <v>5</v>
      </c>
      <c r="G559" s="68">
        <v>4916.5</v>
      </c>
      <c r="H559" s="56" t="s">
        <v>82</v>
      </c>
      <c r="J559" s="56">
        <v>11404</v>
      </c>
      <c r="L559" s="56" t="s">
        <v>243</v>
      </c>
      <c r="M559" s="4" t="s">
        <v>470</v>
      </c>
      <c r="N559" s="4" t="s">
        <v>574</v>
      </c>
      <c r="O559" s="4" t="s">
        <v>178</v>
      </c>
    </row>
    <row r="560" spans="2:15">
      <c r="B560" s="20"/>
      <c r="C560" s="20">
        <v>44827</v>
      </c>
      <c r="D560" s="54">
        <v>50501722</v>
      </c>
      <c r="E560" s="55" t="s">
        <v>253</v>
      </c>
      <c r="F560" s="56">
        <v>7</v>
      </c>
      <c r="G560" s="68">
        <v>5015.85</v>
      </c>
      <c r="H560" s="56" t="s">
        <v>82</v>
      </c>
      <c r="J560" s="56">
        <v>11409</v>
      </c>
      <c r="L560" s="56" t="s">
        <v>243</v>
      </c>
      <c r="M560" s="4" t="s">
        <v>470</v>
      </c>
      <c r="N560" s="4" t="s">
        <v>574</v>
      </c>
      <c r="O560" s="4" t="s">
        <v>178</v>
      </c>
    </row>
    <row r="561" spans="2:15">
      <c r="B561" s="20"/>
      <c r="C561" s="20">
        <v>44827</v>
      </c>
      <c r="D561" s="54">
        <v>50470190</v>
      </c>
      <c r="E561" s="55" t="s">
        <v>12</v>
      </c>
      <c r="F561" s="56">
        <v>32</v>
      </c>
      <c r="G561" s="68">
        <v>9273600</v>
      </c>
      <c r="H561" s="56" t="s">
        <v>92</v>
      </c>
      <c r="J561" s="56">
        <v>17291</v>
      </c>
      <c r="L561" s="56" t="s">
        <v>230</v>
      </c>
      <c r="M561" s="4" t="s">
        <v>392</v>
      </c>
      <c r="N561" s="4" t="s">
        <v>529</v>
      </c>
      <c r="O561" s="4" t="s">
        <v>530</v>
      </c>
    </row>
    <row r="562" spans="2:15">
      <c r="B562" s="20"/>
      <c r="C562" s="20">
        <v>44830</v>
      </c>
      <c r="D562" s="54">
        <v>50522168</v>
      </c>
      <c r="E562" s="55" t="s">
        <v>252</v>
      </c>
      <c r="F562" s="56">
        <v>7</v>
      </c>
      <c r="G562" s="68">
        <v>5007.6</v>
      </c>
      <c r="H562" s="56" t="s">
        <v>82</v>
      </c>
      <c r="J562" s="56">
        <v>11413</v>
      </c>
      <c r="L562" s="56" t="s">
        <v>243</v>
      </c>
      <c r="M562" s="4" t="s">
        <v>470</v>
      </c>
      <c r="N562" s="4" t="s">
        <v>353</v>
      </c>
      <c r="O562" s="4" t="s">
        <v>530</v>
      </c>
    </row>
    <row r="563" spans="2:15">
      <c r="B563" s="20"/>
      <c r="C563" s="20">
        <v>44830</v>
      </c>
      <c r="D563" s="54">
        <v>50498013</v>
      </c>
      <c r="E563" s="55" t="s">
        <v>595</v>
      </c>
      <c r="F563" s="56">
        <v>4</v>
      </c>
      <c r="G563" s="68">
        <v>3165.4</v>
      </c>
      <c r="H563" s="56" t="s">
        <v>82</v>
      </c>
      <c r="J563" s="56">
        <v>11413</v>
      </c>
      <c r="L563" s="56" t="s">
        <v>243</v>
      </c>
      <c r="M563" s="4" t="s">
        <v>470</v>
      </c>
      <c r="N563" s="4" t="s">
        <v>353</v>
      </c>
      <c r="O563" s="4" t="s">
        <v>530</v>
      </c>
    </row>
    <row r="564" spans="2:15">
      <c r="B564" s="20"/>
      <c r="C564" s="20">
        <v>44831</v>
      </c>
      <c r="D564" s="54">
        <v>40009546</v>
      </c>
      <c r="E564" s="55" t="s">
        <v>174</v>
      </c>
      <c r="F564" s="56">
        <v>11</v>
      </c>
      <c r="G564" s="68">
        <v>7389</v>
      </c>
      <c r="H564" s="56" t="s">
        <v>80</v>
      </c>
      <c r="J564" s="56">
        <v>17845754</v>
      </c>
      <c r="K564" s="4" t="s">
        <v>596</v>
      </c>
      <c r="L564" s="56" t="s">
        <v>175</v>
      </c>
      <c r="M564" s="4" t="s">
        <v>520</v>
      </c>
      <c r="N564" s="4" t="s">
        <v>597</v>
      </c>
      <c r="O564" s="4" t="s">
        <v>530</v>
      </c>
    </row>
    <row r="565" spans="2:15">
      <c r="B565" s="20"/>
      <c r="C565" s="20">
        <v>44831</v>
      </c>
      <c r="D565" s="54">
        <v>40009544</v>
      </c>
      <c r="E565" s="55" t="s">
        <v>179</v>
      </c>
      <c r="F565" s="56">
        <v>2</v>
      </c>
      <c r="G565" s="68">
        <v>3220</v>
      </c>
      <c r="H565" s="56" t="s">
        <v>80</v>
      </c>
      <c r="J565" s="56">
        <v>17845754</v>
      </c>
      <c r="K565" s="4" t="s">
        <v>596</v>
      </c>
      <c r="L565" s="56" t="s">
        <v>175</v>
      </c>
      <c r="M565" s="4" t="s">
        <v>520</v>
      </c>
      <c r="N565" s="4" t="s">
        <v>597</v>
      </c>
      <c r="O565" s="4" t="s">
        <v>530</v>
      </c>
    </row>
    <row r="566" spans="2:15">
      <c r="B566" s="20"/>
      <c r="C566" s="20">
        <v>44831</v>
      </c>
      <c r="D566" s="54">
        <v>40009546</v>
      </c>
      <c r="E566" s="55" t="s">
        <v>174</v>
      </c>
      <c r="F566" s="56">
        <v>28</v>
      </c>
      <c r="G566" s="68">
        <v>21168</v>
      </c>
      <c r="H566" s="56" t="s">
        <v>80</v>
      </c>
      <c r="J566" s="56">
        <v>178457792</v>
      </c>
      <c r="K566" s="4" t="s">
        <v>598</v>
      </c>
      <c r="L566" s="56" t="s">
        <v>175</v>
      </c>
      <c r="M566" s="4" t="s">
        <v>520</v>
      </c>
      <c r="N566" s="4" t="s">
        <v>599</v>
      </c>
      <c r="O566" s="4" t="s">
        <v>178</v>
      </c>
    </row>
    <row r="567" spans="2:15">
      <c r="B567" s="20"/>
      <c r="C567" s="20">
        <v>44831</v>
      </c>
      <c r="D567" s="54">
        <v>50145028</v>
      </c>
      <c r="E567" s="55" t="s">
        <v>23</v>
      </c>
      <c r="F567" s="56">
        <v>6</v>
      </c>
      <c r="G567" s="68">
        <v>1000</v>
      </c>
      <c r="H567" s="56" t="s">
        <v>92</v>
      </c>
      <c r="J567" s="56">
        <v>2053</v>
      </c>
      <c r="L567" s="56" t="s">
        <v>388</v>
      </c>
      <c r="M567" s="4" t="s">
        <v>388</v>
      </c>
      <c r="N567" s="4" t="s">
        <v>428</v>
      </c>
      <c r="O567" s="4" t="s">
        <v>178</v>
      </c>
    </row>
    <row r="568" spans="2:15">
      <c r="B568" s="20"/>
      <c r="C568" s="20">
        <v>44831</v>
      </c>
      <c r="D568" s="54">
        <v>50522169</v>
      </c>
      <c r="E568" s="55" t="s">
        <v>250</v>
      </c>
      <c r="F568" s="56">
        <v>10</v>
      </c>
      <c r="G568" s="68">
        <v>7067.45</v>
      </c>
      <c r="H568" s="56" t="s">
        <v>82</v>
      </c>
      <c r="J568" s="56">
        <v>11415</v>
      </c>
      <c r="L568" s="56" t="s">
        <v>243</v>
      </c>
      <c r="M568" s="4" t="s">
        <v>470</v>
      </c>
      <c r="N568" s="4" t="s">
        <v>353</v>
      </c>
      <c r="O568" s="4" t="s">
        <v>178</v>
      </c>
    </row>
    <row r="569" spans="2:15">
      <c r="B569" s="20"/>
      <c r="C569" s="20">
        <v>44831</v>
      </c>
      <c r="D569" s="54">
        <v>50144376</v>
      </c>
      <c r="E569" s="55" t="s">
        <v>19</v>
      </c>
      <c r="F569" s="56">
        <v>12</v>
      </c>
      <c r="G569" s="68">
        <v>6000</v>
      </c>
      <c r="H569" s="56" t="s">
        <v>92</v>
      </c>
      <c r="J569" s="56">
        <v>17231</v>
      </c>
      <c r="L569" s="56" t="s">
        <v>226</v>
      </c>
      <c r="M569" s="4" t="s">
        <v>262</v>
      </c>
      <c r="N569" s="4" t="s">
        <v>518</v>
      </c>
      <c r="O569" s="4" t="s">
        <v>178</v>
      </c>
    </row>
    <row r="570" spans="2:15">
      <c r="B570" s="20"/>
      <c r="C570" s="20">
        <v>44832</v>
      </c>
      <c r="D570" s="54">
        <v>50144376</v>
      </c>
      <c r="E570" s="55" t="s">
        <v>19</v>
      </c>
      <c r="F570" s="56">
        <v>12</v>
      </c>
      <c r="G570" s="68">
        <v>6000</v>
      </c>
      <c r="H570" s="56" t="s">
        <v>92</v>
      </c>
      <c r="J570" s="56">
        <v>17237</v>
      </c>
      <c r="L570" s="56" t="s">
        <v>226</v>
      </c>
      <c r="M570" s="4" t="s">
        <v>262</v>
      </c>
      <c r="N570" s="4" t="s">
        <v>518</v>
      </c>
      <c r="O570" s="4" t="s">
        <v>178</v>
      </c>
    </row>
    <row r="571" spans="2:15">
      <c r="B571" s="20"/>
      <c r="C571" s="20">
        <v>44832</v>
      </c>
      <c r="D571" s="54">
        <v>50272278</v>
      </c>
      <c r="E571" s="55" t="s">
        <v>21</v>
      </c>
      <c r="F571" s="56">
        <v>12</v>
      </c>
      <c r="G571" s="68">
        <v>6000</v>
      </c>
      <c r="H571" s="56" t="s">
        <v>92</v>
      </c>
      <c r="J571" s="56">
        <v>17242</v>
      </c>
      <c r="L571" s="56" t="s">
        <v>226</v>
      </c>
      <c r="M571" s="4" t="s">
        <v>262</v>
      </c>
      <c r="N571" s="4" t="s">
        <v>518</v>
      </c>
      <c r="O571" s="4" t="s">
        <v>178</v>
      </c>
    </row>
    <row r="572" spans="2:15">
      <c r="B572" s="20"/>
      <c r="C572" s="20">
        <v>44832</v>
      </c>
      <c r="D572" s="54">
        <v>40006588</v>
      </c>
      <c r="E572" s="55" t="s">
        <v>600</v>
      </c>
      <c r="F572" s="56">
        <v>2</v>
      </c>
      <c r="G572" s="68">
        <v>441</v>
      </c>
      <c r="H572" s="56" t="s">
        <v>80</v>
      </c>
      <c r="J572" s="56">
        <v>177401821</v>
      </c>
      <c r="K572" s="4" t="s">
        <v>601</v>
      </c>
      <c r="L572" s="56" t="s">
        <v>200</v>
      </c>
      <c r="M572" s="4" t="s">
        <v>602</v>
      </c>
      <c r="N572" s="4" t="s">
        <v>603</v>
      </c>
      <c r="O572" s="4" t="s">
        <v>178</v>
      </c>
    </row>
    <row r="573" spans="2:15">
      <c r="B573" s="20"/>
      <c r="C573" s="20">
        <v>44832</v>
      </c>
      <c r="D573" s="54">
        <v>50272278</v>
      </c>
      <c r="E573" s="55" t="s">
        <v>21</v>
      </c>
      <c r="F573" s="56">
        <v>12</v>
      </c>
      <c r="G573" s="68">
        <v>6000</v>
      </c>
      <c r="H573" s="56" t="s">
        <v>92</v>
      </c>
      <c r="J573" s="56">
        <v>17244</v>
      </c>
      <c r="L573" s="56" t="s">
        <v>226</v>
      </c>
      <c r="M573" s="4" t="s">
        <v>262</v>
      </c>
      <c r="N573" s="4" t="s">
        <v>518</v>
      </c>
      <c r="O573" s="4" t="s">
        <v>178</v>
      </c>
    </row>
    <row r="574" spans="2:15">
      <c r="B574" s="20"/>
      <c r="C574" s="20">
        <v>44832</v>
      </c>
      <c r="D574" s="54">
        <v>40499</v>
      </c>
      <c r="E574" s="55" t="s">
        <v>316</v>
      </c>
      <c r="F574" s="56">
        <v>30</v>
      </c>
      <c r="G574" s="68">
        <v>30</v>
      </c>
      <c r="H574" s="56" t="s">
        <v>92</v>
      </c>
      <c r="J574" s="56">
        <v>10156</v>
      </c>
      <c r="L574" s="56" t="s">
        <v>315</v>
      </c>
      <c r="M574" s="4" t="s">
        <v>176</v>
      </c>
      <c r="N574" s="4" t="s">
        <v>177</v>
      </c>
      <c r="O574" s="4" t="s">
        <v>178</v>
      </c>
    </row>
    <row r="575" spans="2:15">
      <c r="B575" s="20"/>
      <c r="C575" s="20">
        <v>44832</v>
      </c>
      <c r="D575" s="54">
        <v>50272278</v>
      </c>
      <c r="E575" s="55" t="s">
        <v>21</v>
      </c>
      <c r="F575" s="56">
        <v>1</v>
      </c>
      <c r="G575" s="68">
        <v>500</v>
      </c>
      <c r="H575" s="56" t="s">
        <v>92</v>
      </c>
      <c r="J575" s="56">
        <v>10156</v>
      </c>
      <c r="L575" s="56" t="s">
        <v>315</v>
      </c>
      <c r="M575" s="4" t="s">
        <v>176</v>
      </c>
      <c r="N575" s="4" t="s">
        <v>177</v>
      </c>
      <c r="O575" s="4" t="s">
        <v>178</v>
      </c>
    </row>
    <row r="576" spans="2:15">
      <c r="B576" s="20"/>
      <c r="C576" s="20">
        <v>44833</v>
      </c>
      <c r="D576" s="54">
        <v>50272278</v>
      </c>
      <c r="E576" s="55" t="s">
        <v>21</v>
      </c>
      <c r="F576" s="56">
        <v>12</v>
      </c>
      <c r="G576" s="68">
        <v>6000</v>
      </c>
      <c r="H576" s="56" t="s">
        <v>92</v>
      </c>
      <c r="J576" s="56">
        <v>17247</v>
      </c>
      <c r="L576" s="56" t="s">
        <v>226</v>
      </c>
      <c r="M576" s="4" t="s">
        <v>262</v>
      </c>
      <c r="N576" s="4" t="s">
        <v>518</v>
      </c>
      <c r="O576" s="4" t="s">
        <v>178</v>
      </c>
    </row>
    <row r="577" spans="2:15">
      <c r="B577" s="20"/>
      <c r="C577" s="20">
        <v>44833</v>
      </c>
      <c r="D577" s="54">
        <v>50272278</v>
      </c>
      <c r="E577" s="55" t="s">
        <v>21</v>
      </c>
      <c r="F577" s="56">
        <v>12</v>
      </c>
      <c r="G577" s="68">
        <v>6000</v>
      </c>
      <c r="H577" s="56" t="s">
        <v>92</v>
      </c>
      <c r="J577" s="56">
        <v>17250</v>
      </c>
      <c r="L577" s="56" t="s">
        <v>226</v>
      </c>
      <c r="M577" s="4" t="s">
        <v>262</v>
      </c>
      <c r="N577" s="4" t="s">
        <v>518</v>
      </c>
      <c r="O577" s="4" t="s">
        <v>178</v>
      </c>
    </row>
    <row r="578" spans="2:15">
      <c r="B578" s="20"/>
      <c r="C578" s="20">
        <v>44833</v>
      </c>
      <c r="D578" s="54">
        <v>50272278</v>
      </c>
      <c r="E578" s="55" t="s">
        <v>21</v>
      </c>
      <c r="F578" s="56">
        <v>12</v>
      </c>
      <c r="G578" s="68">
        <v>6000</v>
      </c>
      <c r="H578" s="56" t="s">
        <v>92</v>
      </c>
      <c r="J578" s="56">
        <v>17251</v>
      </c>
      <c r="L578" s="56" t="s">
        <v>226</v>
      </c>
      <c r="M578" s="4" t="s">
        <v>262</v>
      </c>
      <c r="N578" s="4" t="s">
        <v>518</v>
      </c>
      <c r="O578" s="4" t="s">
        <v>178</v>
      </c>
    </row>
    <row r="579" spans="2:15">
      <c r="B579" s="20"/>
      <c r="C579" s="20">
        <v>44834</v>
      </c>
      <c r="D579" s="54">
        <v>50470190</v>
      </c>
      <c r="E579" s="55" t="s">
        <v>12</v>
      </c>
      <c r="F579" s="56">
        <v>32</v>
      </c>
      <c r="G579" s="68">
        <v>9273600</v>
      </c>
      <c r="H579" s="56" t="s">
        <v>92</v>
      </c>
      <c r="J579" s="56">
        <v>17574</v>
      </c>
      <c r="L579" s="56" t="s">
        <v>230</v>
      </c>
      <c r="M579" s="4" t="s">
        <v>392</v>
      </c>
      <c r="N579" s="4" t="s">
        <v>362</v>
      </c>
      <c r="O579" s="4" t="s">
        <v>178</v>
      </c>
    </row>
    <row r="580" spans="2:15">
      <c r="B580" s="20"/>
      <c r="C580" s="20">
        <v>44834</v>
      </c>
      <c r="D580" s="54">
        <v>40499</v>
      </c>
      <c r="E580" s="55" t="s">
        <v>316</v>
      </c>
      <c r="F580" s="56">
        <v>50</v>
      </c>
      <c r="G580" s="68">
        <v>50</v>
      </c>
      <c r="H580" s="56" t="s">
        <v>92</v>
      </c>
      <c r="J580" s="56">
        <v>10219</v>
      </c>
      <c r="L580" s="56" t="s">
        <v>315</v>
      </c>
      <c r="M580" s="4" t="s">
        <v>176</v>
      </c>
      <c r="N580" s="4" t="s">
        <v>193</v>
      </c>
      <c r="O580" s="4" t="s">
        <v>178</v>
      </c>
    </row>
    <row r="581" spans="2:15">
      <c r="B581" s="20"/>
      <c r="C581" s="20">
        <v>44834</v>
      </c>
      <c r="D581" s="54">
        <v>50144376</v>
      </c>
      <c r="E581" s="55" t="s">
        <v>19</v>
      </c>
      <c r="F581" s="56">
        <v>20</v>
      </c>
      <c r="G581" s="68">
        <v>10000</v>
      </c>
      <c r="H581" s="56" t="s">
        <v>92</v>
      </c>
      <c r="J581" s="56">
        <v>9016</v>
      </c>
      <c r="L581" s="56" t="s">
        <v>201</v>
      </c>
      <c r="M581" s="4" t="s">
        <v>201</v>
      </c>
      <c r="N581" s="4" t="s">
        <v>383</v>
      </c>
      <c r="O581" s="4" t="s">
        <v>178</v>
      </c>
    </row>
    <row r="582" spans="2:15">
      <c r="B582" s="20"/>
      <c r="C582" s="20">
        <v>44834</v>
      </c>
      <c r="D582" s="54">
        <v>50144376</v>
      </c>
      <c r="E582" s="55" t="s">
        <v>19</v>
      </c>
      <c r="F582" s="56">
        <v>20</v>
      </c>
      <c r="G582" s="68">
        <v>10000</v>
      </c>
      <c r="H582" s="56" t="s">
        <v>92</v>
      </c>
      <c r="J582" s="56">
        <v>9017</v>
      </c>
      <c r="L582" s="56" t="s">
        <v>201</v>
      </c>
      <c r="M582" s="4" t="s">
        <v>201</v>
      </c>
      <c r="N582" s="4" t="s">
        <v>604</v>
      </c>
      <c r="O582" s="4" t="s">
        <v>178</v>
      </c>
    </row>
    <row r="583" spans="2:15">
      <c r="B583" s="20"/>
      <c r="C583" s="20">
        <v>44834</v>
      </c>
      <c r="D583" s="54">
        <v>50142571</v>
      </c>
      <c r="E583" s="55" t="s">
        <v>605</v>
      </c>
      <c r="F583" s="56">
        <v>1</v>
      </c>
      <c r="G583" s="68">
        <v>720</v>
      </c>
      <c r="H583" s="56" t="s">
        <v>82</v>
      </c>
      <c r="J583" s="56">
        <v>920</v>
      </c>
      <c r="L583" s="56" t="s">
        <v>434</v>
      </c>
      <c r="M583" s="4" t="s">
        <v>176</v>
      </c>
      <c r="N583" s="4" t="s">
        <v>606</v>
      </c>
      <c r="O583" s="4" t="s">
        <v>178</v>
      </c>
    </row>
    <row r="584" spans="2:15">
      <c r="B584" s="20"/>
      <c r="C584" s="20">
        <v>44839</v>
      </c>
      <c r="D584" s="54">
        <v>50272278</v>
      </c>
      <c r="E584" s="55" t="s">
        <v>21</v>
      </c>
      <c r="F584" s="56">
        <v>12</v>
      </c>
      <c r="G584" s="68">
        <v>6000</v>
      </c>
      <c r="H584" s="56" t="s">
        <v>92</v>
      </c>
      <c r="J584" s="56">
        <v>17274</v>
      </c>
      <c r="L584" s="56" t="s">
        <v>226</v>
      </c>
      <c r="M584" s="4" t="s">
        <v>262</v>
      </c>
      <c r="N584" s="4" t="s">
        <v>364</v>
      </c>
      <c r="O584" s="4" t="s">
        <v>178</v>
      </c>
    </row>
    <row r="585" spans="2:15">
      <c r="B585" s="20"/>
      <c r="C585" s="20">
        <v>44839</v>
      </c>
      <c r="D585" s="54">
        <v>40011588</v>
      </c>
      <c r="E585" s="55" t="s">
        <v>585</v>
      </c>
      <c r="F585" s="56">
        <v>15</v>
      </c>
      <c r="G585" s="68">
        <v>6400</v>
      </c>
      <c r="H585" s="56" t="s">
        <v>80</v>
      </c>
      <c r="J585" s="56">
        <v>32870873</v>
      </c>
      <c r="K585" s="4" t="s">
        <v>607</v>
      </c>
      <c r="L585" s="56" t="s">
        <v>423</v>
      </c>
      <c r="M585" s="4" t="s">
        <v>394</v>
      </c>
      <c r="N585" s="4" t="s">
        <v>527</v>
      </c>
      <c r="O585" s="4" t="s">
        <v>530</v>
      </c>
    </row>
    <row r="586" spans="2:15">
      <c r="B586" s="20"/>
      <c r="C586" s="20">
        <v>44839</v>
      </c>
      <c r="D586" s="54">
        <v>40011661</v>
      </c>
      <c r="E586" s="55" t="s">
        <v>608</v>
      </c>
      <c r="F586" s="56">
        <v>9</v>
      </c>
      <c r="G586" s="68">
        <v>4050</v>
      </c>
      <c r="H586" s="56" t="s">
        <v>80</v>
      </c>
      <c r="J586" s="56">
        <v>32870873</v>
      </c>
      <c r="K586" s="4" t="s">
        <v>607</v>
      </c>
      <c r="L586" s="56" t="s">
        <v>423</v>
      </c>
      <c r="M586" s="4" t="s">
        <v>394</v>
      </c>
      <c r="N586" s="4" t="s">
        <v>527</v>
      </c>
      <c r="O586" s="4" t="s">
        <v>530</v>
      </c>
    </row>
    <row r="587" spans="2:15">
      <c r="B587" s="20"/>
      <c r="C587" s="20">
        <v>44840</v>
      </c>
      <c r="D587" s="54">
        <v>50272278</v>
      </c>
      <c r="E587" s="55" t="s">
        <v>21</v>
      </c>
      <c r="F587" s="56">
        <v>12</v>
      </c>
      <c r="G587" s="68">
        <v>6000</v>
      </c>
      <c r="H587" s="56" t="s">
        <v>92</v>
      </c>
      <c r="J587" s="56">
        <v>17278</v>
      </c>
      <c r="L587" s="56" t="s">
        <v>226</v>
      </c>
      <c r="M587" s="4" t="s">
        <v>262</v>
      </c>
      <c r="N587" s="4" t="s">
        <v>364</v>
      </c>
      <c r="O587" s="4" t="s">
        <v>178</v>
      </c>
    </row>
    <row r="588" spans="2:15">
      <c r="B588" s="20"/>
      <c r="C588" s="20">
        <v>44841</v>
      </c>
      <c r="D588" s="54">
        <v>50761569</v>
      </c>
      <c r="E588" s="55" t="s">
        <v>609</v>
      </c>
      <c r="F588" s="56">
        <v>5</v>
      </c>
      <c r="G588" s="68">
        <v>3300.45</v>
      </c>
      <c r="H588" s="56" t="s">
        <v>82</v>
      </c>
      <c r="J588" s="56">
        <v>11440</v>
      </c>
      <c r="L588" s="56" t="s">
        <v>243</v>
      </c>
      <c r="M588" s="4" t="s">
        <v>470</v>
      </c>
      <c r="N588" s="4" t="s">
        <v>574</v>
      </c>
      <c r="O588" s="4" t="s">
        <v>178</v>
      </c>
    </row>
    <row r="589" spans="2:15">
      <c r="B589" s="20"/>
      <c r="C589" s="20">
        <v>44842</v>
      </c>
      <c r="D589" s="54">
        <v>111111111</v>
      </c>
      <c r="E589" s="55" t="s">
        <v>610</v>
      </c>
      <c r="F589" s="56">
        <v>1</v>
      </c>
      <c r="G589" s="68">
        <v>1500</v>
      </c>
      <c r="H589" s="56" t="s">
        <v>82</v>
      </c>
      <c r="J589" s="56">
        <v>16766</v>
      </c>
      <c r="L589" s="56" t="s">
        <v>434</v>
      </c>
      <c r="M589" s="4" t="s">
        <v>176</v>
      </c>
      <c r="N589" s="4" t="s">
        <v>181</v>
      </c>
      <c r="O589" s="4" t="s">
        <v>178</v>
      </c>
    </row>
    <row r="590" spans="2:15">
      <c r="B590" s="20"/>
      <c r="C590" s="20">
        <v>44845</v>
      </c>
      <c r="D590" s="54">
        <v>50470190</v>
      </c>
      <c r="E590" s="55" t="s">
        <v>12</v>
      </c>
      <c r="F590" s="56">
        <v>32</v>
      </c>
      <c r="G590" s="68">
        <v>9273600</v>
      </c>
      <c r="H590" s="56" t="s">
        <v>92</v>
      </c>
      <c r="J590" s="56">
        <v>17898</v>
      </c>
      <c r="L590" s="56" t="s">
        <v>230</v>
      </c>
      <c r="M590" s="4" t="s">
        <v>392</v>
      </c>
      <c r="N590" s="4" t="s">
        <v>362</v>
      </c>
      <c r="O590" s="4" t="s">
        <v>178</v>
      </c>
    </row>
    <row r="591" spans="2:15">
      <c r="B591" s="20"/>
      <c r="C591" s="20">
        <v>44845</v>
      </c>
      <c r="D591" s="54">
        <v>50772905</v>
      </c>
      <c r="E591" s="55" t="s">
        <v>611</v>
      </c>
      <c r="F591" s="56">
        <v>3</v>
      </c>
      <c r="G591" s="68">
        <v>2099.5</v>
      </c>
      <c r="H591" s="56" t="s">
        <v>82</v>
      </c>
      <c r="J591" s="56">
        <v>11447</v>
      </c>
      <c r="L591" s="56" t="s">
        <v>243</v>
      </c>
      <c r="M591" s="4" t="s">
        <v>470</v>
      </c>
      <c r="N591" s="4" t="s">
        <v>586</v>
      </c>
      <c r="O591" s="4" t="s">
        <v>178</v>
      </c>
    </row>
    <row r="592" spans="2:15">
      <c r="B592" s="20"/>
      <c r="C592" s="20">
        <v>44845</v>
      </c>
      <c r="D592" s="54">
        <v>50142350</v>
      </c>
      <c r="E592" s="55" t="s">
        <v>212</v>
      </c>
      <c r="F592" s="56">
        <v>4</v>
      </c>
      <c r="G592" s="68">
        <v>2203.5</v>
      </c>
      <c r="H592" s="56" t="s">
        <v>82</v>
      </c>
      <c r="J592" s="56">
        <v>10638</v>
      </c>
      <c r="M592" s="4" t="s">
        <v>176</v>
      </c>
      <c r="N592" s="4" t="s">
        <v>177</v>
      </c>
      <c r="O592" s="4" t="s">
        <v>178</v>
      </c>
    </row>
    <row r="593" spans="2:15">
      <c r="B593" s="20"/>
      <c r="C593" s="20">
        <v>44845</v>
      </c>
      <c r="D593" s="54">
        <v>50534881</v>
      </c>
      <c r="E593" s="55" t="s">
        <v>227</v>
      </c>
      <c r="F593" s="56">
        <v>9</v>
      </c>
      <c r="G593" s="68">
        <v>57600</v>
      </c>
      <c r="H593" s="56" t="s">
        <v>92</v>
      </c>
      <c r="J593" s="56">
        <v>10638</v>
      </c>
      <c r="M593" s="4" t="s">
        <v>176</v>
      </c>
      <c r="N593" s="4" t="s">
        <v>177</v>
      </c>
      <c r="O593" s="4" t="s">
        <v>178</v>
      </c>
    </row>
    <row r="594" spans="2:15">
      <c r="B594" s="20"/>
      <c r="C594" s="20">
        <v>44846</v>
      </c>
      <c r="D594" s="54">
        <v>40011129</v>
      </c>
      <c r="E594" s="55" t="s">
        <v>79</v>
      </c>
      <c r="F594" s="56">
        <v>2</v>
      </c>
      <c r="G594" s="68">
        <v>6770</v>
      </c>
      <c r="H594" s="56" t="s">
        <v>80</v>
      </c>
      <c r="J594" s="56">
        <v>180321254</v>
      </c>
      <c r="K594" s="4" t="s">
        <v>612</v>
      </c>
      <c r="L594" s="56" t="s">
        <v>175</v>
      </c>
      <c r="M594" s="4" t="s">
        <v>564</v>
      </c>
      <c r="N594" s="4" t="s">
        <v>613</v>
      </c>
      <c r="O594" s="4" t="s">
        <v>530</v>
      </c>
    </row>
    <row r="595" spans="2:15">
      <c r="B595" s="20"/>
      <c r="C595" s="20">
        <v>44846</v>
      </c>
      <c r="D595" s="54">
        <v>40010087</v>
      </c>
      <c r="E595" s="55" t="s">
        <v>387</v>
      </c>
      <c r="F595" s="56">
        <v>21</v>
      </c>
      <c r="G595" s="68">
        <v>15368</v>
      </c>
      <c r="H595" s="56" t="s">
        <v>80</v>
      </c>
      <c r="J595" s="56">
        <v>180321254</v>
      </c>
      <c r="K595" s="4" t="s">
        <v>612</v>
      </c>
      <c r="L595" s="56" t="s">
        <v>175</v>
      </c>
      <c r="M595" s="4" t="s">
        <v>564</v>
      </c>
      <c r="N595" s="4" t="s">
        <v>613</v>
      </c>
      <c r="O595" s="4" t="s">
        <v>530</v>
      </c>
    </row>
    <row r="596" spans="2:15">
      <c r="B596" s="20"/>
      <c r="C596" s="20">
        <v>44846</v>
      </c>
      <c r="D596" s="54">
        <v>50266247</v>
      </c>
      <c r="E596" s="55" t="s">
        <v>614</v>
      </c>
      <c r="F596" s="56">
        <v>3</v>
      </c>
      <c r="G596" s="68">
        <v>20000</v>
      </c>
      <c r="H596" s="56" t="s">
        <v>92</v>
      </c>
      <c r="J596" s="56">
        <v>11667</v>
      </c>
      <c r="L596" s="56" t="s">
        <v>615</v>
      </c>
      <c r="M596" s="4" t="s">
        <v>615</v>
      </c>
      <c r="N596" s="4" t="s">
        <v>616</v>
      </c>
      <c r="O596" s="4" t="s">
        <v>530</v>
      </c>
    </row>
    <row r="597" spans="2:15">
      <c r="B597" s="20"/>
      <c r="C597" s="20">
        <v>44847</v>
      </c>
      <c r="D597" s="54">
        <v>50010080</v>
      </c>
      <c r="E597" s="55" t="s">
        <v>354</v>
      </c>
      <c r="F597" s="56">
        <v>15</v>
      </c>
      <c r="G597" s="68">
        <v>15000</v>
      </c>
      <c r="H597" s="56" t="s">
        <v>82</v>
      </c>
      <c r="J597" s="56">
        <v>5161</v>
      </c>
      <c r="L597" s="56" t="s">
        <v>355</v>
      </c>
      <c r="M597" s="4" t="s">
        <v>356</v>
      </c>
      <c r="N597" s="4" t="s">
        <v>418</v>
      </c>
      <c r="O597" s="4" t="s">
        <v>178</v>
      </c>
    </row>
    <row r="598" spans="2:15">
      <c r="B598" s="20"/>
      <c r="C598" s="20">
        <v>44847</v>
      </c>
      <c r="D598" s="54">
        <v>50272278</v>
      </c>
      <c r="E598" s="55" t="s">
        <v>21</v>
      </c>
      <c r="F598" s="56">
        <v>12</v>
      </c>
      <c r="G598" s="68">
        <v>6000</v>
      </c>
      <c r="H598" s="56" t="s">
        <v>92</v>
      </c>
      <c r="J598" s="56">
        <v>17306</v>
      </c>
      <c r="L598" s="56" t="s">
        <v>226</v>
      </c>
      <c r="M598" s="4" t="s">
        <v>262</v>
      </c>
      <c r="N598" s="4" t="s">
        <v>364</v>
      </c>
      <c r="O598" s="4" t="s">
        <v>178</v>
      </c>
    </row>
    <row r="599" spans="2:15">
      <c r="B599" s="20"/>
      <c r="C599" s="20">
        <v>44847</v>
      </c>
      <c r="D599" s="54">
        <v>50272278</v>
      </c>
      <c r="E599" s="55" t="s">
        <v>21</v>
      </c>
      <c r="F599" s="56">
        <v>12</v>
      </c>
      <c r="G599" s="68">
        <v>6000</v>
      </c>
      <c r="H599" s="56" t="s">
        <v>92</v>
      </c>
      <c r="J599" s="56">
        <v>17307</v>
      </c>
      <c r="L599" s="56" t="s">
        <v>226</v>
      </c>
      <c r="M599" s="4" t="s">
        <v>262</v>
      </c>
      <c r="N599" s="4" t="s">
        <v>364</v>
      </c>
      <c r="O599" s="4" t="s">
        <v>178</v>
      </c>
    </row>
    <row r="600" spans="2:15">
      <c r="B600" s="20"/>
      <c r="C600" s="20">
        <v>44848</v>
      </c>
      <c r="D600" s="54">
        <v>50470190</v>
      </c>
      <c r="E600" s="55" t="s">
        <v>12</v>
      </c>
      <c r="F600" s="56">
        <v>32</v>
      </c>
      <c r="G600" s="68">
        <v>9273600</v>
      </c>
      <c r="H600" s="56" t="s">
        <v>92</v>
      </c>
      <c r="J600" s="56">
        <v>18035</v>
      </c>
      <c r="L600" s="56" t="s">
        <v>230</v>
      </c>
      <c r="M600" s="4" t="s">
        <v>392</v>
      </c>
      <c r="N600" s="4" t="s">
        <v>362</v>
      </c>
      <c r="O600" s="4" t="s">
        <v>178</v>
      </c>
    </row>
    <row r="601" spans="2:15">
      <c r="B601" s="20"/>
      <c r="C601" s="20">
        <v>44848</v>
      </c>
      <c r="D601" s="54">
        <v>50142237</v>
      </c>
      <c r="E601" s="55" t="s">
        <v>617</v>
      </c>
      <c r="F601" s="56">
        <v>30</v>
      </c>
      <c r="G601" s="68">
        <v>30000</v>
      </c>
      <c r="H601" s="56" t="s">
        <v>92</v>
      </c>
      <c r="J601" s="56">
        <v>54977</v>
      </c>
      <c r="L601" s="56" t="s">
        <v>618</v>
      </c>
      <c r="M601" s="4" t="s">
        <v>619</v>
      </c>
      <c r="N601" s="4" t="s">
        <v>620</v>
      </c>
      <c r="O601" s="4" t="s">
        <v>178</v>
      </c>
    </row>
    <row r="602" spans="2:15">
      <c r="B602" s="20"/>
      <c r="C602" s="20">
        <v>44848</v>
      </c>
      <c r="D602" s="54">
        <v>50272278</v>
      </c>
      <c r="E602" s="55" t="s">
        <v>21</v>
      </c>
      <c r="F602" s="56">
        <v>12</v>
      </c>
      <c r="G602" s="68">
        <v>6000</v>
      </c>
      <c r="H602" s="56" t="s">
        <v>92</v>
      </c>
      <c r="J602" s="56">
        <v>17311</v>
      </c>
      <c r="L602" s="56" t="s">
        <v>226</v>
      </c>
      <c r="M602" s="4" t="s">
        <v>262</v>
      </c>
      <c r="N602" s="4" t="s">
        <v>364</v>
      </c>
      <c r="O602" s="4" t="s">
        <v>178</v>
      </c>
    </row>
    <row r="603" spans="2:15">
      <c r="B603" s="20"/>
      <c r="C603" s="20">
        <v>44851</v>
      </c>
      <c r="D603" s="54">
        <v>50144376</v>
      </c>
      <c r="E603" s="55" t="s">
        <v>19</v>
      </c>
      <c r="F603" s="56">
        <v>20</v>
      </c>
      <c r="G603" s="68">
        <v>10000</v>
      </c>
      <c r="H603" s="56" t="s">
        <v>92</v>
      </c>
      <c r="J603" s="56">
        <v>305</v>
      </c>
      <c r="L603" s="56" t="s">
        <v>201</v>
      </c>
      <c r="M603" s="4" t="s">
        <v>201</v>
      </c>
      <c r="N603" s="4" t="s">
        <v>621</v>
      </c>
      <c r="O603" s="4" t="s">
        <v>178</v>
      </c>
    </row>
    <row r="604" spans="2:15">
      <c r="B604" s="20"/>
      <c r="C604" s="20">
        <v>44851</v>
      </c>
      <c r="D604" s="54">
        <v>50144376</v>
      </c>
      <c r="E604" s="55" t="s">
        <v>19</v>
      </c>
      <c r="F604" s="56">
        <v>20</v>
      </c>
      <c r="G604" s="68">
        <v>10000</v>
      </c>
      <c r="H604" s="56" t="s">
        <v>92</v>
      </c>
      <c r="J604" s="56">
        <v>307</v>
      </c>
      <c r="L604" s="56" t="s">
        <v>201</v>
      </c>
      <c r="M604" s="4" t="s">
        <v>201</v>
      </c>
      <c r="N604" s="4" t="s">
        <v>622</v>
      </c>
      <c r="O604" s="4" t="s">
        <v>178</v>
      </c>
    </row>
    <row r="605" spans="2:15">
      <c r="B605" s="20"/>
      <c r="C605" s="20">
        <v>44851</v>
      </c>
      <c r="D605" s="54">
        <v>50144376</v>
      </c>
      <c r="E605" s="55" t="s">
        <v>19</v>
      </c>
      <c r="F605" s="56">
        <v>12</v>
      </c>
      <c r="G605" s="68">
        <v>6000</v>
      </c>
      <c r="H605" s="56" t="s">
        <v>92</v>
      </c>
      <c r="J605" s="56">
        <v>17321</v>
      </c>
      <c r="L605" s="56" t="s">
        <v>226</v>
      </c>
      <c r="M605" s="4" t="s">
        <v>262</v>
      </c>
      <c r="N605" s="4" t="s">
        <v>364</v>
      </c>
      <c r="O605" s="4" t="s">
        <v>178</v>
      </c>
    </row>
    <row r="606" spans="2:15">
      <c r="B606" s="20"/>
      <c r="C606" s="20">
        <v>44852</v>
      </c>
      <c r="D606" s="54">
        <v>50272278</v>
      </c>
      <c r="E606" s="55" t="s">
        <v>21</v>
      </c>
      <c r="F606" s="56">
        <v>20</v>
      </c>
      <c r="G606" s="68">
        <v>10000</v>
      </c>
      <c r="H606" s="56" t="s">
        <v>92</v>
      </c>
      <c r="J606" s="56">
        <v>372</v>
      </c>
      <c r="L606" s="56" t="s">
        <v>201</v>
      </c>
      <c r="M606" s="4" t="s">
        <v>201</v>
      </c>
      <c r="N606" s="4" t="s">
        <v>623</v>
      </c>
      <c r="O606" s="4" t="s">
        <v>178</v>
      </c>
    </row>
    <row r="607" spans="2:15">
      <c r="B607" s="20"/>
      <c r="C607" s="20">
        <v>44852</v>
      </c>
      <c r="D607" s="54">
        <v>50272278</v>
      </c>
      <c r="E607" s="55" t="s">
        <v>21</v>
      </c>
      <c r="F607" s="56">
        <v>12</v>
      </c>
      <c r="G607" s="68">
        <v>6000</v>
      </c>
      <c r="H607" s="56" t="s">
        <v>92</v>
      </c>
      <c r="J607" s="56">
        <v>17327</v>
      </c>
      <c r="L607" s="56" t="s">
        <v>226</v>
      </c>
      <c r="M607" s="4" t="s">
        <v>262</v>
      </c>
      <c r="N607" s="4" t="s">
        <v>518</v>
      </c>
      <c r="O607" s="4" t="s">
        <v>178</v>
      </c>
    </row>
    <row r="608" spans="2:15">
      <c r="B608" s="20"/>
      <c r="C608" s="20">
        <v>44852</v>
      </c>
      <c r="D608" s="54">
        <v>50470190</v>
      </c>
      <c r="E608" s="55" t="s">
        <v>12</v>
      </c>
      <c r="F608" s="56">
        <v>32</v>
      </c>
      <c r="G608" s="68">
        <v>9273600</v>
      </c>
      <c r="H608" s="56" t="s">
        <v>92</v>
      </c>
      <c r="J608" s="56">
        <v>18171</v>
      </c>
      <c r="L608" s="56" t="s">
        <v>230</v>
      </c>
      <c r="M608" s="4" t="s">
        <v>392</v>
      </c>
      <c r="N608" s="4" t="s">
        <v>589</v>
      </c>
      <c r="O608" s="4" t="s">
        <v>178</v>
      </c>
    </row>
    <row r="609" spans="2:15">
      <c r="B609" s="20"/>
      <c r="C609" s="20">
        <v>44853</v>
      </c>
      <c r="D609" s="54">
        <v>50142334</v>
      </c>
      <c r="E609" s="55" t="s">
        <v>257</v>
      </c>
      <c r="F609" s="56">
        <v>30</v>
      </c>
      <c r="G609" s="68">
        <v>20021.4</v>
      </c>
      <c r="H609" s="56" t="s">
        <v>82</v>
      </c>
      <c r="J609" s="56">
        <v>8302173637</v>
      </c>
      <c r="L609" s="56" t="s">
        <v>624</v>
      </c>
      <c r="M609" s="4" t="s">
        <v>209</v>
      </c>
      <c r="N609" s="4" t="s">
        <v>625</v>
      </c>
      <c r="O609" s="4" t="s">
        <v>178</v>
      </c>
    </row>
    <row r="610" spans="2:15">
      <c r="B610" s="20"/>
      <c r="C610" s="20">
        <v>44853</v>
      </c>
      <c r="D610" s="54">
        <v>50272278</v>
      </c>
      <c r="E610" s="55" t="s">
        <v>21</v>
      </c>
      <c r="F610" s="56">
        <v>20</v>
      </c>
      <c r="G610" s="68">
        <v>10000</v>
      </c>
      <c r="H610" s="56" t="s">
        <v>92</v>
      </c>
      <c r="J610" s="56">
        <v>387</v>
      </c>
      <c r="L610" s="56" t="s">
        <v>201</v>
      </c>
      <c r="M610" s="4" t="s">
        <v>201</v>
      </c>
      <c r="N610" s="4" t="s">
        <v>626</v>
      </c>
      <c r="O610" s="4" t="s">
        <v>178</v>
      </c>
    </row>
    <row r="611" spans="2:15">
      <c r="B611" s="20"/>
      <c r="C611" s="20">
        <v>44853</v>
      </c>
      <c r="D611" s="54">
        <v>50272278</v>
      </c>
      <c r="E611" s="55" t="s">
        <v>21</v>
      </c>
      <c r="F611" s="56">
        <v>12</v>
      </c>
      <c r="G611" s="68">
        <v>6000</v>
      </c>
      <c r="H611" s="56" t="s">
        <v>92</v>
      </c>
      <c r="J611" s="56">
        <v>17338</v>
      </c>
      <c r="L611" s="56" t="s">
        <v>226</v>
      </c>
      <c r="M611" s="4" t="s">
        <v>262</v>
      </c>
      <c r="N611" s="4" t="s">
        <v>364</v>
      </c>
      <c r="O611" s="4" t="s">
        <v>178</v>
      </c>
    </row>
    <row r="612" spans="2:15">
      <c r="B612" s="20"/>
      <c r="C612" s="20">
        <v>44854</v>
      </c>
      <c r="D612" s="54">
        <v>50766060</v>
      </c>
      <c r="E612" s="55" t="s">
        <v>627</v>
      </c>
      <c r="F612" s="56">
        <v>16</v>
      </c>
      <c r="G612" s="68">
        <v>129900</v>
      </c>
      <c r="H612" s="56" t="s">
        <v>92</v>
      </c>
      <c r="J612" s="56" t="s">
        <v>628</v>
      </c>
      <c r="K612" s="4" t="s">
        <v>629</v>
      </c>
      <c r="L612" s="56" t="s">
        <v>228</v>
      </c>
      <c r="M612" s="4" t="s">
        <v>394</v>
      </c>
      <c r="N612" s="4" t="s">
        <v>630</v>
      </c>
      <c r="O612" s="4" t="s">
        <v>178</v>
      </c>
    </row>
    <row r="613" spans="2:15">
      <c r="B613" s="20"/>
      <c r="C613" s="20">
        <v>44855</v>
      </c>
      <c r="D613" s="54">
        <v>50144376</v>
      </c>
      <c r="E613" s="55" t="s">
        <v>19</v>
      </c>
      <c r="F613" s="56">
        <v>12</v>
      </c>
      <c r="G613" s="68">
        <v>6000</v>
      </c>
      <c r="H613" s="56" t="s">
        <v>92</v>
      </c>
      <c r="J613" s="56">
        <v>17346</v>
      </c>
      <c r="L613" s="56" t="s">
        <v>226</v>
      </c>
      <c r="M613" s="4" t="s">
        <v>262</v>
      </c>
      <c r="N613" s="4" t="s">
        <v>364</v>
      </c>
      <c r="O613" s="4" t="s">
        <v>178</v>
      </c>
    </row>
    <row r="614" spans="2:15">
      <c r="B614" s="20"/>
      <c r="C614" s="20">
        <v>44855</v>
      </c>
      <c r="D614" s="54">
        <v>50470190</v>
      </c>
      <c r="E614" s="55" t="s">
        <v>12</v>
      </c>
      <c r="F614" s="56">
        <v>32</v>
      </c>
      <c r="G614" s="68">
        <v>9273600</v>
      </c>
      <c r="H614" s="56" t="s">
        <v>92</v>
      </c>
      <c r="J614" s="56">
        <v>18337</v>
      </c>
      <c r="L614" s="56" t="s">
        <v>230</v>
      </c>
      <c r="M614" s="4" t="s">
        <v>392</v>
      </c>
      <c r="N614" s="4" t="s">
        <v>362</v>
      </c>
      <c r="O614" s="4" t="s">
        <v>178</v>
      </c>
    </row>
    <row r="615" spans="2:15">
      <c r="B615" s="20"/>
      <c r="C615" s="20">
        <v>44855</v>
      </c>
      <c r="D615" s="54">
        <v>50272278</v>
      </c>
      <c r="E615" s="55" t="s">
        <v>21</v>
      </c>
      <c r="F615" s="56">
        <v>12</v>
      </c>
      <c r="G615" s="68">
        <v>6000</v>
      </c>
      <c r="H615" s="56" t="s">
        <v>92</v>
      </c>
      <c r="J615" s="56">
        <v>17351</v>
      </c>
      <c r="L615" s="56" t="s">
        <v>226</v>
      </c>
      <c r="M615" s="4" t="s">
        <v>262</v>
      </c>
      <c r="N615" s="4" t="s">
        <v>364</v>
      </c>
      <c r="O615" s="4" t="s">
        <v>178</v>
      </c>
    </row>
    <row r="616" spans="2:15">
      <c r="B616" s="20"/>
      <c r="C616" s="20">
        <v>44855</v>
      </c>
      <c r="D616" s="54">
        <v>50145028</v>
      </c>
      <c r="E616" s="55" t="s">
        <v>23</v>
      </c>
      <c r="F616" s="56">
        <v>5</v>
      </c>
      <c r="G616" s="68">
        <v>1000</v>
      </c>
      <c r="H616" s="56" t="s">
        <v>92</v>
      </c>
      <c r="J616" s="56">
        <v>11828</v>
      </c>
      <c r="L616" s="56" t="s">
        <v>388</v>
      </c>
      <c r="M616" s="4" t="s">
        <v>176</v>
      </c>
      <c r="N616" s="4" t="s">
        <v>177</v>
      </c>
      <c r="O616" s="4" t="s">
        <v>178</v>
      </c>
    </row>
    <row r="617" spans="2:15">
      <c r="B617" s="20"/>
      <c r="C617" s="20">
        <v>44856</v>
      </c>
      <c r="D617" s="54">
        <v>40011130</v>
      </c>
      <c r="E617" s="55" t="s">
        <v>631</v>
      </c>
      <c r="F617" s="56">
        <v>5</v>
      </c>
      <c r="G617" s="68">
        <v>14059</v>
      </c>
      <c r="H617" s="56" t="s">
        <v>80</v>
      </c>
      <c r="J617" s="56">
        <v>181895031</v>
      </c>
      <c r="K617" s="4" t="s">
        <v>632</v>
      </c>
      <c r="L617" s="56" t="s">
        <v>175</v>
      </c>
      <c r="M617" s="4" t="s">
        <v>520</v>
      </c>
      <c r="N617" s="4" t="s">
        <v>633</v>
      </c>
      <c r="O617" s="4" t="s">
        <v>178</v>
      </c>
    </row>
    <row r="618" spans="2:15">
      <c r="B618" s="20"/>
      <c r="C618" s="20">
        <v>44856</v>
      </c>
      <c r="D618" s="54">
        <v>40011133</v>
      </c>
      <c r="E618" s="55" t="s">
        <v>634</v>
      </c>
      <c r="F618" s="56">
        <v>20</v>
      </c>
      <c r="G618" s="68">
        <v>14189</v>
      </c>
      <c r="H618" s="56" t="s">
        <v>80</v>
      </c>
      <c r="J618" s="56">
        <v>181895031</v>
      </c>
      <c r="K618" s="4" t="s">
        <v>632</v>
      </c>
      <c r="L618" s="56" t="s">
        <v>175</v>
      </c>
      <c r="M618" s="4" t="s">
        <v>520</v>
      </c>
      <c r="N618" s="4" t="s">
        <v>633</v>
      </c>
      <c r="O618" s="4" t="s">
        <v>178</v>
      </c>
    </row>
    <row r="619" spans="2:15">
      <c r="B619" s="20"/>
      <c r="C619" s="20">
        <v>44858</v>
      </c>
      <c r="D619" s="54">
        <v>50142631</v>
      </c>
      <c r="E619" s="55" t="s">
        <v>566</v>
      </c>
      <c r="F619" s="56">
        <v>2</v>
      </c>
      <c r="G619" s="68">
        <v>1500</v>
      </c>
      <c r="H619" s="56" t="s">
        <v>82</v>
      </c>
      <c r="J619" s="56">
        <v>158042</v>
      </c>
      <c r="L619" s="56" t="s">
        <v>567</v>
      </c>
      <c r="M619" s="4" t="s">
        <v>568</v>
      </c>
      <c r="N619" s="4" t="s">
        <v>569</v>
      </c>
      <c r="O619" s="4" t="s">
        <v>178</v>
      </c>
    </row>
    <row r="620" spans="2:15">
      <c r="B620" s="20"/>
      <c r="C620" s="20">
        <v>44858</v>
      </c>
      <c r="D620" s="54">
        <v>50142424</v>
      </c>
      <c r="E620" s="55" t="s">
        <v>33</v>
      </c>
      <c r="F620" s="56">
        <v>6</v>
      </c>
      <c r="G620" s="68">
        <v>6000</v>
      </c>
      <c r="H620" s="56" t="s">
        <v>82</v>
      </c>
      <c r="J620" s="56">
        <v>900834942</v>
      </c>
      <c r="K620" s="4" t="s">
        <v>635</v>
      </c>
      <c r="L620" s="56" t="s">
        <v>324</v>
      </c>
      <c r="M620" s="4" t="s">
        <v>209</v>
      </c>
      <c r="N620" s="4" t="s">
        <v>636</v>
      </c>
      <c r="O620" s="4" t="s">
        <v>178</v>
      </c>
    </row>
    <row r="621" spans="2:15">
      <c r="B621" s="20"/>
      <c r="C621" s="20">
        <v>44858</v>
      </c>
      <c r="D621" s="54">
        <v>50272278</v>
      </c>
      <c r="E621" s="55" t="s">
        <v>21</v>
      </c>
      <c r="F621" s="56">
        <v>12</v>
      </c>
      <c r="G621" s="68">
        <v>6000</v>
      </c>
      <c r="H621" s="56" t="s">
        <v>92</v>
      </c>
      <c r="J621" s="56">
        <v>17356</v>
      </c>
      <c r="L621" s="56" t="s">
        <v>226</v>
      </c>
      <c r="M621" s="4" t="s">
        <v>262</v>
      </c>
      <c r="N621" s="4" t="s">
        <v>364</v>
      </c>
      <c r="O621" s="4" t="s">
        <v>178</v>
      </c>
    </row>
    <row r="622" spans="2:15">
      <c r="B622" s="20"/>
      <c r="C622" s="20">
        <v>44858</v>
      </c>
      <c r="D622" s="54">
        <v>50534881</v>
      </c>
      <c r="E622" s="55" t="s">
        <v>227</v>
      </c>
      <c r="F622" s="56">
        <v>10</v>
      </c>
      <c r="G622" s="68">
        <v>88360</v>
      </c>
      <c r="H622" s="56" t="s">
        <v>92</v>
      </c>
      <c r="J622" s="56">
        <v>11924</v>
      </c>
      <c r="L622" s="56" t="s">
        <v>228</v>
      </c>
      <c r="M622" s="4" t="s">
        <v>176</v>
      </c>
      <c r="N622" s="4" t="s">
        <v>193</v>
      </c>
      <c r="O622" s="4" t="s">
        <v>178</v>
      </c>
    </row>
    <row r="623" spans="2:15">
      <c r="B623" s="20"/>
      <c r="C623" s="20">
        <v>44858</v>
      </c>
      <c r="D623" s="54">
        <v>40499</v>
      </c>
      <c r="E623" s="55" t="s">
        <v>316</v>
      </c>
      <c r="F623" s="56">
        <v>50</v>
      </c>
      <c r="G623" s="68">
        <v>50</v>
      </c>
      <c r="H623" s="56" t="s">
        <v>92</v>
      </c>
      <c r="J623" s="56">
        <v>11924</v>
      </c>
      <c r="L623" s="56" t="s">
        <v>228</v>
      </c>
      <c r="M623" s="4" t="s">
        <v>176</v>
      </c>
      <c r="N623" s="4" t="s">
        <v>193</v>
      </c>
      <c r="O623" s="4" t="s">
        <v>178</v>
      </c>
    </row>
    <row r="624" spans="2:15">
      <c r="B624" s="20"/>
      <c r="C624" s="20">
        <v>44859</v>
      </c>
      <c r="D624" s="54">
        <v>50141786</v>
      </c>
      <c r="E624" s="55" t="s">
        <v>188</v>
      </c>
      <c r="F624" s="56">
        <v>20</v>
      </c>
      <c r="G624" s="68">
        <v>11200</v>
      </c>
      <c r="H624" s="56" t="s">
        <v>82</v>
      </c>
      <c r="J624" s="56">
        <v>109132</v>
      </c>
      <c r="K624" s="4" t="s">
        <v>637</v>
      </c>
      <c r="L624" s="56" t="s">
        <v>189</v>
      </c>
      <c r="M624" s="4" t="s">
        <v>498</v>
      </c>
      <c r="N624" s="4" t="s">
        <v>638</v>
      </c>
      <c r="O624" s="4" t="s">
        <v>178</v>
      </c>
    </row>
    <row r="625" spans="2:15">
      <c r="B625" s="20"/>
      <c r="C625" s="20">
        <v>44859</v>
      </c>
      <c r="D625" s="54">
        <v>50141786</v>
      </c>
      <c r="E625" s="55" t="s">
        <v>188</v>
      </c>
      <c r="F625" s="56">
        <v>20</v>
      </c>
      <c r="G625" s="68">
        <v>11200</v>
      </c>
      <c r="H625" s="56" t="s">
        <v>82</v>
      </c>
      <c r="J625" s="56">
        <v>109132</v>
      </c>
      <c r="K625" s="4" t="s">
        <v>639</v>
      </c>
      <c r="L625" s="56" t="s">
        <v>189</v>
      </c>
      <c r="M625" s="4" t="s">
        <v>498</v>
      </c>
      <c r="N625" s="4" t="s">
        <v>640</v>
      </c>
      <c r="O625" s="4" t="s">
        <v>178</v>
      </c>
    </row>
    <row r="626" spans="2:15">
      <c r="B626" s="20"/>
      <c r="C626" s="20">
        <v>44859</v>
      </c>
      <c r="D626" s="54">
        <v>50141786</v>
      </c>
      <c r="E626" s="55" t="s">
        <v>188</v>
      </c>
      <c r="F626" s="56">
        <v>20</v>
      </c>
      <c r="G626" s="68">
        <v>11200</v>
      </c>
      <c r="H626" s="56" t="s">
        <v>82</v>
      </c>
      <c r="J626" s="56">
        <v>108811</v>
      </c>
      <c r="K626" s="4" t="s">
        <v>641</v>
      </c>
      <c r="L626" s="56" t="s">
        <v>189</v>
      </c>
      <c r="M626" s="4" t="s">
        <v>209</v>
      </c>
      <c r="N626" s="4" t="s">
        <v>579</v>
      </c>
      <c r="O626" s="4" t="s">
        <v>178</v>
      </c>
    </row>
    <row r="627" spans="2:15">
      <c r="B627" s="20"/>
      <c r="C627" s="20">
        <v>44859</v>
      </c>
      <c r="D627" s="54">
        <v>50141786</v>
      </c>
      <c r="E627" s="55" t="s">
        <v>188</v>
      </c>
      <c r="F627" s="56">
        <v>20</v>
      </c>
      <c r="G627" s="68">
        <v>11200</v>
      </c>
      <c r="H627" s="56" t="s">
        <v>82</v>
      </c>
      <c r="J627" s="56">
        <v>108811</v>
      </c>
      <c r="K627" s="4" t="s">
        <v>642</v>
      </c>
      <c r="L627" s="56" t="s">
        <v>189</v>
      </c>
      <c r="M627" s="4" t="s">
        <v>209</v>
      </c>
      <c r="N627" s="4" t="s">
        <v>490</v>
      </c>
      <c r="O627" s="4" t="s">
        <v>178</v>
      </c>
    </row>
    <row r="628" spans="2:15">
      <c r="B628" s="20"/>
      <c r="C628" s="20">
        <v>44859</v>
      </c>
      <c r="D628" s="54">
        <v>50144376</v>
      </c>
      <c r="E628" s="55" t="s">
        <v>19</v>
      </c>
      <c r="F628" s="56">
        <v>12</v>
      </c>
      <c r="G628" s="68">
        <v>6000</v>
      </c>
      <c r="H628" s="56" t="s">
        <v>92</v>
      </c>
      <c r="J628" s="56">
        <v>17354</v>
      </c>
      <c r="L628" s="56" t="s">
        <v>226</v>
      </c>
      <c r="M628" s="4" t="s">
        <v>262</v>
      </c>
      <c r="N628" s="4" t="s">
        <v>364</v>
      </c>
      <c r="O628" s="4" t="s">
        <v>178</v>
      </c>
    </row>
    <row r="629" spans="2:15">
      <c r="B629" s="20"/>
      <c r="C629" s="20">
        <v>44861</v>
      </c>
      <c r="D629" s="54">
        <v>50272278</v>
      </c>
      <c r="E629" s="55" t="s">
        <v>21</v>
      </c>
      <c r="F629" s="56">
        <v>12</v>
      </c>
      <c r="G629" s="68">
        <v>6000</v>
      </c>
      <c r="H629" s="56" t="s">
        <v>92</v>
      </c>
      <c r="J629" s="56">
        <v>17376</v>
      </c>
      <c r="L629" s="56" t="s">
        <v>226</v>
      </c>
      <c r="M629" s="4" t="s">
        <v>262</v>
      </c>
      <c r="N629" s="4" t="s">
        <v>364</v>
      </c>
      <c r="O629" s="4" t="s">
        <v>178</v>
      </c>
    </row>
    <row r="630" spans="2:15">
      <c r="B630" s="20"/>
      <c r="C630" s="20">
        <v>44862</v>
      </c>
      <c r="D630" s="54">
        <v>50272278</v>
      </c>
      <c r="E630" s="55" t="s">
        <v>21</v>
      </c>
      <c r="F630" s="56">
        <v>12</v>
      </c>
      <c r="G630" s="68">
        <v>6000</v>
      </c>
      <c r="H630" s="56" t="s">
        <v>92</v>
      </c>
      <c r="J630" s="56">
        <v>17380</v>
      </c>
      <c r="L630" s="56" t="s">
        <v>226</v>
      </c>
      <c r="M630" s="4" t="s">
        <v>262</v>
      </c>
      <c r="N630" s="4" t="s">
        <v>364</v>
      </c>
      <c r="O630" s="4" t="s">
        <v>178</v>
      </c>
    </row>
    <row r="631" spans="2:15">
      <c r="B631" s="20"/>
      <c r="C631" s="20">
        <v>44862</v>
      </c>
      <c r="D631" s="54">
        <v>50272278</v>
      </c>
      <c r="E631" s="55" t="s">
        <v>21</v>
      </c>
      <c r="F631" s="56">
        <v>12</v>
      </c>
      <c r="G631" s="68">
        <v>6000</v>
      </c>
      <c r="H631" s="56" t="s">
        <v>92</v>
      </c>
      <c r="J631" s="56">
        <v>17382</v>
      </c>
      <c r="L631" s="56" t="s">
        <v>226</v>
      </c>
      <c r="M631" s="4" t="s">
        <v>262</v>
      </c>
      <c r="N631" s="4" t="s">
        <v>364</v>
      </c>
      <c r="O631" s="4" t="s">
        <v>178</v>
      </c>
    </row>
    <row r="632" spans="2:15">
      <c r="B632" s="20"/>
      <c r="C632" s="20">
        <v>44862</v>
      </c>
      <c r="D632" s="54">
        <v>50272278</v>
      </c>
      <c r="E632" s="55" t="s">
        <v>21</v>
      </c>
      <c r="F632" s="56">
        <v>12</v>
      </c>
      <c r="G632" s="68">
        <v>6000</v>
      </c>
      <c r="H632" s="56" t="s">
        <v>92</v>
      </c>
      <c r="J632" s="56">
        <v>17385</v>
      </c>
      <c r="L632" s="56" t="s">
        <v>226</v>
      </c>
      <c r="M632" s="4" t="s">
        <v>262</v>
      </c>
      <c r="N632" s="4" t="s">
        <v>364</v>
      </c>
      <c r="O632" s="4" t="s">
        <v>178</v>
      </c>
    </row>
    <row r="633" spans="2:15">
      <c r="B633" s="20"/>
      <c r="C633" s="20">
        <v>44862</v>
      </c>
      <c r="D633" s="54">
        <v>50470190</v>
      </c>
      <c r="E633" s="55" t="s">
        <v>12</v>
      </c>
      <c r="F633" s="56">
        <v>32</v>
      </c>
      <c r="G633" s="68">
        <v>9273600</v>
      </c>
      <c r="H633" s="56" t="s">
        <v>92</v>
      </c>
      <c r="J633" s="56">
        <v>18611</v>
      </c>
      <c r="L633" s="56" t="s">
        <v>230</v>
      </c>
      <c r="M633" s="4" t="s">
        <v>392</v>
      </c>
      <c r="N633" s="4" t="s">
        <v>362</v>
      </c>
      <c r="O633" s="4" t="s">
        <v>178</v>
      </c>
    </row>
    <row r="634" spans="2:15">
      <c r="B634" s="20"/>
      <c r="C634" s="20">
        <v>44862</v>
      </c>
      <c r="D634" s="54">
        <v>40011659</v>
      </c>
      <c r="E634" s="55" t="s">
        <v>89</v>
      </c>
      <c r="F634" s="56">
        <v>11</v>
      </c>
      <c r="G634" s="68">
        <v>3552</v>
      </c>
      <c r="H634" s="56" t="s">
        <v>80</v>
      </c>
      <c r="J634" s="56" t="s">
        <v>643</v>
      </c>
      <c r="K634" s="4" t="s">
        <v>644</v>
      </c>
      <c r="L634" s="56" t="s">
        <v>423</v>
      </c>
      <c r="M634" s="4" t="s">
        <v>645</v>
      </c>
      <c r="N634" s="4" t="s">
        <v>527</v>
      </c>
      <c r="O634" s="4" t="s">
        <v>178</v>
      </c>
    </row>
    <row r="635" spans="2:15">
      <c r="B635" s="20"/>
      <c r="C635" s="20">
        <v>44862</v>
      </c>
      <c r="D635" s="54">
        <v>40011661</v>
      </c>
      <c r="E635" s="55" t="s">
        <v>608</v>
      </c>
      <c r="F635" s="56">
        <v>14</v>
      </c>
      <c r="G635" s="68">
        <v>5930</v>
      </c>
      <c r="H635" s="56" t="s">
        <v>80</v>
      </c>
      <c r="J635" s="56" t="s">
        <v>643</v>
      </c>
      <c r="K635" s="4" t="s">
        <v>644</v>
      </c>
      <c r="L635" s="56" t="s">
        <v>423</v>
      </c>
      <c r="M635" s="4" t="s">
        <v>645</v>
      </c>
      <c r="N635" s="4" t="s">
        <v>527</v>
      </c>
      <c r="O635" s="4" t="s">
        <v>178</v>
      </c>
    </row>
    <row r="636" spans="2:15">
      <c r="B636" s="20"/>
      <c r="C636" s="20">
        <v>44862</v>
      </c>
      <c r="D636" s="54">
        <v>40011081</v>
      </c>
      <c r="E636" s="55" t="s">
        <v>646</v>
      </c>
      <c r="F636" s="56">
        <v>18</v>
      </c>
      <c r="G636" s="68">
        <v>6208</v>
      </c>
      <c r="H636" s="56" t="s">
        <v>80</v>
      </c>
      <c r="J636" s="56" t="s">
        <v>643</v>
      </c>
      <c r="K636" s="4" t="s">
        <v>647</v>
      </c>
      <c r="L636" s="56" t="s">
        <v>423</v>
      </c>
      <c r="M636" s="4" t="s">
        <v>645</v>
      </c>
      <c r="N636" s="4" t="s">
        <v>546</v>
      </c>
      <c r="O636" s="4" t="s">
        <v>178</v>
      </c>
    </row>
    <row r="637" spans="2:15">
      <c r="B637" s="20"/>
      <c r="C637" s="20">
        <v>44865</v>
      </c>
      <c r="D637" s="54">
        <v>50144376</v>
      </c>
      <c r="E637" s="55" t="s">
        <v>19</v>
      </c>
      <c r="F637" s="56">
        <v>12</v>
      </c>
      <c r="G637" s="68">
        <v>6000</v>
      </c>
      <c r="H637" s="56" t="s">
        <v>92</v>
      </c>
      <c r="J637" s="56">
        <v>17387</v>
      </c>
      <c r="L637" s="56" t="s">
        <v>226</v>
      </c>
      <c r="M637" s="4" t="s">
        <v>262</v>
      </c>
      <c r="N637" s="4" t="s">
        <v>364</v>
      </c>
      <c r="O637" s="4" t="s">
        <v>178</v>
      </c>
    </row>
    <row r="638" spans="2:15">
      <c r="B638" s="20"/>
      <c r="C638" s="20">
        <v>44866</v>
      </c>
      <c r="D638" s="54">
        <v>40011129</v>
      </c>
      <c r="E638" s="55" t="s">
        <v>79</v>
      </c>
      <c r="F638" s="56">
        <v>4</v>
      </c>
      <c r="G638" s="68">
        <v>12503</v>
      </c>
      <c r="H638" s="56" t="s">
        <v>80</v>
      </c>
      <c r="J638" s="56">
        <v>18387567</v>
      </c>
      <c r="K638" s="4" t="s">
        <v>648</v>
      </c>
      <c r="L638" s="56" t="s">
        <v>175</v>
      </c>
      <c r="M638" s="4" t="s">
        <v>520</v>
      </c>
      <c r="N638" s="4" t="s">
        <v>649</v>
      </c>
      <c r="O638" s="4" t="s">
        <v>178</v>
      </c>
    </row>
    <row r="639" spans="2:15">
      <c r="B639" s="20"/>
      <c r="C639" s="20">
        <v>44866</v>
      </c>
      <c r="D639" s="54">
        <v>40010087</v>
      </c>
      <c r="E639" s="55" t="s">
        <v>387</v>
      </c>
      <c r="F639" s="56">
        <v>16</v>
      </c>
      <c r="G639" s="68">
        <v>11484</v>
      </c>
      <c r="H639" s="56" t="s">
        <v>80</v>
      </c>
      <c r="J639" s="56">
        <v>18387567</v>
      </c>
      <c r="K639" s="4" t="s">
        <v>648</v>
      </c>
      <c r="L639" s="56" t="s">
        <v>175</v>
      </c>
      <c r="M639" s="4" t="s">
        <v>520</v>
      </c>
      <c r="N639" s="4" t="s">
        <v>649</v>
      </c>
      <c r="O639" s="4" t="s">
        <v>178</v>
      </c>
    </row>
    <row r="640" spans="2:15">
      <c r="B640" s="20"/>
      <c r="C640" s="20">
        <v>44866</v>
      </c>
      <c r="D640" s="54">
        <v>50010080</v>
      </c>
      <c r="E640" s="55" t="s">
        <v>354</v>
      </c>
      <c r="F640" s="56">
        <v>15</v>
      </c>
      <c r="G640" s="68">
        <v>15000</v>
      </c>
      <c r="H640" s="56" t="s">
        <v>82</v>
      </c>
      <c r="J640" s="56">
        <v>6017</v>
      </c>
      <c r="L640" s="56" t="s">
        <v>355</v>
      </c>
      <c r="M640" s="4" t="s">
        <v>650</v>
      </c>
      <c r="N640" s="4" t="s">
        <v>651</v>
      </c>
      <c r="O640" s="4" t="s">
        <v>178</v>
      </c>
    </row>
    <row r="641" spans="2:15">
      <c r="B641" s="20"/>
      <c r="C641" s="20">
        <v>44867</v>
      </c>
      <c r="D641" s="54">
        <v>50272278</v>
      </c>
      <c r="E641" s="55" t="s">
        <v>21</v>
      </c>
      <c r="F641" s="56">
        <v>12</v>
      </c>
      <c r="G641" s="68">
        <v>6000</v>
      </c>
      <c r="H641" s="56" t="s">
        <v>92</v>
      </c>
      <c r="J641" s="56">
        <v>17399</v>
      </c>
      <c r="L641" s="56" t="s">
        <v>226</v>
      </c>
      <c r="M641" s="4" t="s">
        <v>262</v>
      </c>
      <c r="N641" s="4" t="s">
        <v>364</v>
      </c>
      <c r="O641" s="4" t="s">
        <v>178</v>
      </c>
    </row>
    <row r="642" spans="2:15">
      <c r="B642" s="20"/>
      <c r="C642" s="20">
        <v>44868</v>
      </c>
      <c r="D642" s="54">
        <v>50272278</v>
      </c>
      <c r="E642" s="55" t="s">
        <v>21</v>
      </c>
      <c r="F642" s="56">
        <v>20</v>
      </c>
      <c r="G642" s="68">
        <v>10000</v>
      </c>
      <c r="H642" s="56" t="s">
        <v>92</v>
      </c>
      <c r="J642" s="56">
        <v>781</v>
      </c>
      <c r="L642" s="56" t="s">
        <v>201</v>
      </c>
      <c r="M642" s="4" t="s">
        <v>201</v>
      </c>
      <c r="N642" s="4" t="s">
        <v>652</v>
      </c>
      <c r="O642" s="4" t="s">
        <v>530</v>
      </c>
    </row>
    <row r="643" spans="2:15">
      <c r="B643" s="20"/>
      <c r="C643" s="20">
        <v>44868</v>
      </c>
      <c r="D643" s="54">
        <v>50272278</v>
      </c>
      <c r="E643" s="55" t="s">
        <v>21</v>
      </c>
      <c r="F643" s="56">
        <v>20</v>
      </c>
      <c r="G643" s="68">
        <v>10000</v>
      </c>
      <c r="H643" s="56" t="s">
        <v>92</v>
      </c>
      <c r="J643" s="56">
        <v>789</v>
      </c>
      <c r="L643" s="56" t="s">
        <v>201</v>
      </c>
      <c r="M643" s="4" t="s">
        <v>201</v>
      </c>
      <c r="N643" s="4" t="s">
        <v>652</v>
      </c>
      <c r="O643" s="4" t="s">
        <v>530</v>
      </c>
    </row>
    <row r="644" spans="2:15">
      <c r="B644" s="20"/>
      <c r="C644" s="20">
        <v>44868</v>
      </c>
      <c r="D644" s="54">
        <v>404990</v>
      </c>
      <c r="E644" s="55" t="s">
        <v>653</v>
      </c>
      <c r="F644" s="56">
        <v>160</v>
      </c>
      <c r="G644" s="68">
        <v>160</v>
      </c>
      <c r="H644" s="56" t="s">
        <v>92</v>
      </c>
      <c r="J644" s="56">
        <v>8163</v>
      </c>
      <c r="L644" s="56" t="s">
        <v>654</v>
      </c>
      <c r="M644" s="4" t="s">
        <v>654</v>
      </c>
      <c r="N644" s="4" t="s">
        <v>655</v>
      </c>
      <c r="O644" s="4" t="s">
        <v>530</v>
      </c>
    </row>
    <row r="645" spans="2:15">
      <c r="B645" s="20"/>
      <c r="C645" s="20">
        <v>44868</v>
      </c>
      <c r="D645" s="54">
        <v>50272278</v>
      </c>
      <c r="E645" s="55" t="s">
        <v>21</v>
      </c>
      <c r="F645" s="56">
        <v>12</v>
      </c>
      <c r="G645" s="68">
        <v>6000</v>
      </c>
      <c r="H645" s="56" t="s">
        <v>92</v>
      </c>
      <c r="J645" s="56">
        <v>17414</v>
      </c>
      <c r="L645" s="56" t="s">
        <v>226</v>
      </c>
      <c r="M645" s="4" t="s">
        <v>262</v>
      </c>
      <c r="N645" s="4" t="s">
        <v>518</v>
      </c>
      <c r="O645" s="4" t="s">
        <v>530</v>
      </c>
    </row>
    <row r="646" spans="2:15">
      <c r="B646" s="20"/>
      <c r="C646" s="20">
        <v>44869</v>
      </c>
      <c r="D646" s="54">
        <v>50435419</v>
      </c>
      <c r="E646" s="55" t="s">
        <v>656</v>
      </c>
      <c r="F646" s="56">
        <v>3</v>
      </c>
      <c r="G646" s="68">
        <v>2016</v>
      </c>
      <c r="H646" s="56" t="s">
        <v>82</v>
      </c>
      <c r="J646" s="56">
        <v>3287914</v>
      </c>
      <c r="K646" s="4" t="s">
        <v>657</v>
      </c>
      <c r="L646" s="56" t="s">
        <v>658</v>
      </c>
      <c r="M646" s="4" t="s">
        <v>394</v>
      </c>
      <c r="N646" s="4" t="s">
        <v>659</v>
      </c>
      <c r="O646" s="4" t="s">
        <v>530</v>
      </c>
    </row>
    <row r="647" spans="2:15">
      <c r="B647" s="20"/>
      <c r="C647" s="20">
        <v>44869</v>
      </c>
      <c r="D647" s="54">
        <v>50272278</v>
      </c>
      <c r="E647" s="55" t="s">
        <v>21</v>
      </c>
      <c r="F647" s="56">
        <v>12</v>
      </c>
      <c r="G647" s="68">
        <v>6000</v>
      </c>
      <c r="H647" s="56" t="s">
        <v>92</v>
      </c>
      <c r="J647" s="56">
        <v>17415</v>
      </c>
      <c r="L647" s="56" t="s">
        <v>226</v>
      </c>
      <c r="M647" s="4" t="s">
        <v>262</v>
      </c>
      <c r="N647" s="4" t="s">
        <v>518</v>
      </c>
      <c r="O647" s="4" t="s">
        <v>530</v>
      </c>
    </row>
    <row r="648" spans="2:15">
      <c r="B648" s="20"/>
      <c r="C648" s="20">
        <v>44872</v>
      </c>
      <c r="D648" s="54">
        <v>404990</v>
      </c>
      <c r="E648" s="55" t="s">
        <v>653</v>
      </c>
      <c r="F648" s="56">
        <v>170</v>
      </c>
      <c r="G648" s="68">
        <v>170</v>
      </c>
      <c r="H648" s="56" t="s">
        <v>92</v>
      </c>
      <c r="J648" s="56">
        <v>8177</v>
      </c>
      <c r="L648" s="56" t="s">
        <v>654</v>
      </c>
      <c r="M648" s="4" t="s">
        <v>654</v>
      </c>
      <c r="N648" s="4" t="s">
        <v>655</v>
      </c>
      <c r="O648" s="4" t="s">
        <v>530</v>
      </c>
    </row>
    <row r="649" spans="2:15">
      <c r="B649" s="20"/>
      <c r="C649" s="20">
        <v>44872</v>
      </c>
      <c r="D649" s="54">
        <v>50272278</v>
      </c>
      <c r="E649" s="55" t="s">
        <v>21</v>
      </c>
      <c r="F649" s="56">
        <v>20</v>
      </c>
      <c r="G649" s="68">
        <v>10000</v>
      </c>
      <c r="H649" s="56" t="s">
        <v>92</v>
      </c>
      <c r="J649" s="56">
        <v>887</v>
      </c>
      <c r="L649" s="56" t="s">
        <v>201</v>
      </c>
      <c r="M649" s="4" t="s">
        <v>201</v>
      </c>
      <c r="N649" s="4" t="s">
        <v>652</v>
      </c>
      <c r="O649" s="4" t="s">
        <v>530</v>
      </c>
    </row>
    <row r="650" spans="2:15">
      <c r="B650" s="20"/>
      <c r="C650" s="20">
        <v>44872</v>
      </c>
      <c r="D650" s="54">
        <v>50144376</v>
      </c>
      <c r="E650" s="55" t="s">
        <v>19</v>
      </c>
      <c r="F650" s="56">
        <v>20</v>
      </c>
      <c r="G650" s="68">
        <v>10000</v>
      </c>
      <c r="H650" s="56" t="s">
        <v>92</v>
      </c>
      <c r="J650" s="56">
        <v>892</v>
      </c>
      <c r="L650" s="56" t="s">
        <v>201</v>
      </c>
      <c r="M650" s="4" t="s">
        <v>201</v>
      </c>
      <c r="N650" s="4" t="s">
        <v>622</v>
      </c>
      <c r="O650" s="4" t="s">
        <v>530</v>
      </c>
    </row>
    <row r="651" spans="2:15">
      <c r="B651" s="20"/>
      <c r="C651" s="20">
        <v>44872</v>
      </c>
      <c r="D651" s="54">
        <v>40499</v>
      </c>
      <c r="E651" s="55" t="s">
        <v>316</v>
      </c>
      <c r="F651" s="56">
        <v>40</v>
      </c>
      <c r="G651" s="68">
        <v>40</v>
      </c>
      <c r="H651" s="56" t="s">
        <v>92</v>
      </c>
      <c r="J651" s="56">
        <v>12480</v>
      </c>
      <c r="L651" s="56" t="s">
        <v>315</v>
      </c>
      <c r="M651" s="4" t="s">
        <v>176</v>
      </c>
      <c r="N651" s="4" t="s">
        <v>177</v>
      </c>
      <c r="O651" s="4" t="s">
        <v>530</v>
      </c>
    </row>
    <row r="652" spans="2:15">
      <c r="B652" s="20"/>
      <c r="C652" s="20">
        <v>44872</v>
      </c>
      <c r="D652" s="54">
        <v>50534881</v>
      </c>
      <c r="E652" s="55" t="s">
        <v>227</v>
      </c>
      <c r="F652" s="56">
        <v>1</v>
      </c>
      <c r="G652" s="68">
        <v>9000</v>
      </c>
      <c r="H652" s="56" t="s">
        <v>92</v>
      </c>
      <c r="J652" s="56">
        <v>12480</v>
      </c>
      <c r="L652" s="56" t="s">
        <v>315</v>
      </c>
      <c r="M652" s="4" t="s">
        <v>176</v>
      </c>
      <c r="N652" s="4" t="s">
        <v>177</v>
      </c>
      <c r="O652" s="4" t="s">
        <v>530</v>
      </c>
    </row>
    <row r="653" spans="2:15">
      <c r="B653" s="20"/>
      <c r="C653" s="20">
        <v>44872</v>
      </c>
      <c r="D653" s="54">
        <v>50144376</v>
      </c>
      <c r="E653" s="55" t="s">
        <v>19</v>
      </c>
      <c r="F653" s="56">
        <v>7</v>
      </c>
      <c r="G653" s="68">
        <v>3500</v>
      </c>
      <c r="H653" s="56" t="s">
        <v>92</v>
      </c>
      <c r="J653" s="56">
        <v>12480</v>
      </c>
      <c r="L653" s="56" t="s">
        <v>315</v>
      </c>
      <c r="M653" s="4" t="s">
        <v>176</v>
      </c>
      <c r="N653" s="4" t="s">
        <v>177</v>
      </c>
      <c r="O653" s="4" t="s">
        <v>530</v>
      </c>
    </row>
    <row r="654" spans="2:15">
      <c r="B654" s="20"/>
      <c r="C654" s="20">
        <v>44872</v>
      </c>
      <c r="D654" s="54">
        <v>50522168</v>
      </c>
      <c r="E654" s="55" t="s">
        <v>252</v>
      </c>
      <c r="F654" s="56">
        <v>8</v>
      </c>
      <c r="G654" s="68">
        <v>3862.55</v>
      </c>
      <c r="H654" s="56" t="s">
        <v>82</v>
      </c>
      <c r="J654" s="56">
        <v>11601</v>
      </c>
      <c r="L654" s="56" t="s">
        <v>243</v>
      </c>
      <c r="M654" s="4" t="s">
        <v>660</v>
      </c>
      <c r="N654" s="4" t="s">
        <v>586</v>
      </c>
      <c r="O654" s="4" t="s">
        <v>178</v>
      </c>
    </row>
    <row r="655" spans="2:15">
      <c r="B655" s="20"/>
      <c r="C655" s="20">
        <v>44872</v>
      </c>
      <c r="D655" s="54">
        <v>50794589</v>
      </c>
      <c r="E655" s="55" t="s">
        <v>594</v>
      </c>
      <c r="F655" s="56">
        <v>9</v>
      </c>
      <c r="G655" s="68">
        <v>4999.85</v>
      </c>
      <c r="H655" s="56" t="s">
        <v>82</v>
      </c>
      <c r="J655" s="56">
        <v>11602</v>
      </c>
      <c r="L655" s="56" t="s">
        <v>243</v>
      </c>
      <c r="M655" s="4" t="s">
        <v>660</v>
      </c>
      <c r="N655" s="4" t="s">
        <v>428</v>
      </c>
      <c r="O655" s="4" t="s">
        <v>178</v>
      </c>
    </row>
    <row r="656" spans="2:15">
      <c r="B656" s="20"/>
      <c r="C656" s="20">
        <v>44872</v>
      </c>
      <c r="D656" s="54">
        <v>50142327</v>
      </c>
      <c r="E656" s="55" t="s">
        <v>256</v>
      </c>
      <c r="F656" s="56">
        <v>30</v>
      </c>
      <c r="G656" s="68">
        <v>20021.4</v>
      </c>
      <c r="H656" s="56" t="s">
        <v>82</v>
      </c>
      <c r="J656" s="56">
        <v>8302174431</v>
      </c>
      <c r="K656" s="4" t="s">
        <v>661</v>
      </c>
      <c r="L656" s="56" t="s">
        <v>624</v>
      </c>
      <c r="N656" s="4" t="s">
        <v>662</v>
      </c>
      <c r="O656" s="4" t="s">
        <v>178</v>
      </c>
    </row>
    <row r="657" spans="2:15">
      <c r="B657" s="20"/>
      <c r="C657" s="20">
        <v>44872</v>
      </c>
      <c r="D657" s="54">
        <v>40499</v>
      </c>
      <c r="E657" s="55" t="s">
        <v>316</v>
      </c>
      <c r="F657" s="56">
        <v>50</v>
      </c>
      <c r="G657" s="68">
        <v>50</v>
      </c>
      <c r="H657" s="56" t="s">
        <v>92</v>
      </c>
      <c r="L657" s="56" t="s">
        <v>315</v>
      </c>
      <c r="M657" s="4" t="s">
        <v>176</v>
      </c>
      <c r="N657" s="4" t="s">
        <v>193</v>
      </c>
      <c r="O657" s="4" t="s">
        <v>178</v>
      </c>
    </row>
    <row r="658" spans="2:15">
      <c r="B658" s="20"/>
      <c r="C658" s="20">
        <v>44873</v>
      </c>
      <c r="D658" s="54">
        <v>50785753</v>
      </c>
      <c r="E658" s="55" t="s">
        <v>570</v>
      </c>
      <c r="F658" s="56">
        <v>12</v>
      </c>
      <c r="G658" s="68">
        <v>4636</v>
      </c>
      <c r="H658" s="56" t="s">
        <v>82</v>
      </c>
      <c r="J658" s="56">
        <v>12530</v>
      </c>
      <c r="L658" s="56" t="s">
        <v>243</v>
      </c>
      <c r="M658" s="4" t="s">
        <v>176</v>
      </c>
      <c r="N658" s="4" t="s">
        <v>177</v>
      </c>
      <c r="O658" s="4" t="s">
        <v>530</v>
      </c>
    </row>
    <row r="659" spans="2:15">
      <c r="B659" s="20"/>
      <c r="C659" s="20">
        <v>44873</v>
      </c>
      <c r="D659" s="54">
        <v>50493867</v>
      </c>
      <c r="E659" s="55" t="s">
        <v>255</v>
      </c>
      <c r="F659" s="56">
        <v>7</v>
      </c>
      <c r="G659" s="68">
        <v>4951.4</v>
      </c>
      <c r="H659" s="56" t="s">
        <v>82</v>
      </c>
      <c r="J659" s="56">
        <v>12530</v>
      </c>
      <c r="L659" s="56" t="s">
        <v>243</v>
      </c>
      <c r="M659" s="4" t="s">
        <v>176</v>
      </c>
      <c r="N659" s="4" t="s">
        <v>177</v>
      </c>
      <c r="O659" s="4" t="s">
        <v>530</v>
      </c>
    </row>
    <row r="660" spans="2:15">
      <c r="B660" s="20"/>
      <c r="C660" s="20">
        <v>44873</v>
      </c>
      <c r="D660" s="54">
        <v>40007942</v>
      </c>
      <c r="E660" s="55" t="s">
        <v>219</v>
      </c>
      <c r="F660" s="56">
        <v>3</v>
      </c>
      <c r="G660" s="68">
        <v>8334</v>
      </c>
      <c r="H660" s="56" t="s">
        <v>80</v>
      </c>
      <c r="J660" s="56">
        <v>189481237</v>
      </c>
      <c r="K660" s="4" t="s">
        <v>663</v>
      </c>
      <c r="L660" s="56" t="s">
        <v>175</v>
      </c>
      <c r="M660" s="4" t="s">
        <v>520</v>
      </c>
      <c r="N660" s="4" t="s">
        <v>521</v>
      </c>
      <c r="O660" s="4" t="s">
        <v>530</v>
      </c>
    </row>
    <row r="661" spans="2:15">
      <c r="B661" s="20"/>
      <c r="C661" s="20">
        <v>44873</v>
      </c>
      <c r="D661" s="54">
        <v>40011069</v>
      </c>
      <c r="E661" s="55" t="s">
        <v>442</v>
      </c>
      <c r="F661" s="56">
        <v>1</v>
      </c>
      <c r="G661" s="68">
        <v>800</v>
      </c>
      <c r="H661" s="56" t="s">
        <v>80</v>
      </c>
      <c r="J661" s="56">
        <v>189481237</v>
      </c>
      <c r="K661" s="4" t="s">
        <v>663</v>
      </c>
      <c r="L661" s="56" t="s">
        <v>175</v>
      </c>
      <c r="M661" s="4" t="s">
        <v>520</v>
      </c>
      <c r="N661" s="4" t="s">
        <v>521</v>
      </c>
      <c r="O661" s="4" t="s">
        <v>530</v>
      </c>
    </row>
    <row r="662" spans="2:15">
      <c r="B662" s="20"/>
      <c r="C662" s="20">
        <v>44873</v>
      </c>
      <c r="D662" s="54">
        <v>40011070</v>
      </c>
      <c r="E662" s="55" t="s">
        <v>444</v>
      </c>
      <c r="F662" s="56">
        <v>2</v>
      </c>
      <c r="G662" s="68">
        <v>3059</v>
      </c>
      <c r="H662" s="56" t="s">
        <v>80</v>
      </c>
      <c r="J662" s="56">
        <v>189481237</v>
      </c>
      <c r="K662" s="4" t="s">
        <v>663</v>
      </c>
      <c r="L662" s="56" t="s">
        <v>175</v>
      </c>
      <c r="M662" s="4" t="s">
        <v>520</v>
      </c>
      <c r="N662" s="4" t="s">
        <v>521</v>
      </c>
      <c r="O662" s="4" t="s">
        <v>530</v>
      </c>
    </row>
    <row r="663" spans="2:15">
      <c r="B663" s="20"/>
      <c r="C663" s="20">
        <v>44873</v>
      </c>
      <c r="D663" s="54">
        <v>40007941</v>
      </c>
      <c r="E663" s="55" t="s">
        <v>211</v>
      </c>
      <c r="F663" s="56">
        <v>12</v>
      </c>
      <c r="G663" s="68">
        <v>8368</v>
      </c>
      <c r="H663" s="56" t="s">
        <v>80</v>
      </c>
      <c r="J663" s="56">
        <v>189481237</v>
      </c>
      <c r="K663" s="4" t="s">
        <v>663</v>
      </c>
      <c r="L663" s="56" t="s">
        <v>175</v>
      </c>
      <c r="M663" s="4" t="s">
        <v>520</v>
      </c>
      <c r="N663" s="4" t="s">
        <v>521</v>
      </c>
      <c r="O663" s="4" t="s">
        <v>530</v>
      </c>
    </row>
    <row r="664" spans="2:15">
      <c r="B664" s="20"/>
      <c r="C664" s="20">
        <v>44873</v>
      </c>
      <c r="D664" s="54">
        <v>50272278</v>
      </c>
      <c r="E664" s="55" t="s">
        <v>21</v>
      </c>
      <c r="F664" s="56">
        <v>12</v>
      </c>
      <c r="G664" s="68">
        <v>6000</v>
      </c>
      <c r="H664" s="56" t="s">
        <v>92</v>
      </c>
      <c r="J664" s="56">
        <v>17426</v>
      </c>
      <c r="L664" s="56" t="s">
        <v>226</v>
      </c>
      <c r="M664" s="4" t="s">
        <v>262</v>
      </c>
      <c r="N664" s="4" t="s">
        <v>364</v>
      </c>
      <c r="O664" s="4" t="s">
        <v>530</v>
      </c>
    </row>
    <row r="665" spans="2:15">
      <c r="B665" s="20"/>
      <c r="C665" s="20">
        <v>44873</v>
      </c>
      <c r="D665" s="54">
        <v>50141533</v>
      </c>
      <c r="E665" s="55" t="s">
        <v>494</v>
      </c>
      <c r="F665" s="56">
        <v>4</v>
      </c>
      <c r="G665" s="68">
        <v>5000</v>
      </c>
      <c r="H665" s="56" t="s">
        <v>82</v>
      </c>
      <c r="J665" s="56">
        <v>2735</v>
      </c>
      <c r="L665" s="56" t="s">
        <v>495</v>
      </c>
      <c r="M665" s="4" t="s">
        <v>664</v>
      </c>
      <c r="N665" s="4" t="s">
        <v>665</v>
      </c>
      <c r="O665" s="4" t="s">
        <v>530</v>
      </c>
    </row>
    <row r="666" spans="2:15">
      <c r="B666" s="20"/>
      <c r="C666" s="20">
        <v>44873</v>
      </c>
      <c r="D666" s="54">
        <v>50507916</v>
      </c>
      <c r="E666" s="55" t="s">
        <v>406</v>
      </c>
      <c r="F666" s="56">
        <v>30</v>
      </c>
      <c r="G666" s="68">
        <v>7942000</v>
      </c>
      <c r="H666" s="56" t="s">
        <v>92</v>
      </c>
      <c r="J666" s="56" t="s">
        <v>666</v>
      </c>
      <c r="L666" s="56" t="s">
        <v>185</v>
      </c>
      <c r="M666" s="4" t="s">
        <v>667</v>
      </c>
      <c r="N666" s="4" t="s">
        <v>668</v>
      </c>
      <c r="O666" s="4" t="s">
        <v>530</v>
      </c>
    </row>
    <row r="667" spans="2:15">
      <c r="B667" s="20"/>
      <c r="C667" s="20">
        <v>44873</v>
      </c>
      <c r="D667" s="54">
        <v>50315365</v>
      </c>
      <c r="E667" s="55" t="s">
        <v>584</v>
      </c>
      <c r="F667" s="56">
        <v>16</v>
      </c>
      <c r="G667" s="68">
        <v>4224</v>
      </c>
      <c r="H667" s="56" t="s">
        <v>80</v>
      </c>
      <c r="J667" s="56" t="s">
        <v>666</v>
      </c>
      <c r="L667" s="56" t="s">
        <v>185</v>
      </c>
      <c r="M667" s="4" t="s">
        <v>667</v>
      </c>
      <c r="N667" s="4" t="s">
        <v>668</v>
      </c>
      <c r="O667" s="4" t="s">
        <v>530</v>
      </c>
    </row>
    <row r="668" spans="2:15">
      <c r="B668" s="20"/>
      <c r="C668" s="20">
        <v>44873</v>
      </c>
      <c r="D668" s="54">
        <v>50337814</v>
      </c>
      <c r="E668" s="55" t="s">
        <v>669</v>
      </c>
      <c r="F668" s="56">
        <v>16</v>
      </c>
      <c r="G668" s="68">
        <v>4074</v>
      </c>
      <c r="H668" s="56" t="s">
        <v>80</v>
      </c>
      <c r="J668" s="56" t="s">
        <v>666</v>
      </c>
      <c r="L668" s="56" t="s">
        <v>185</v>
      </c>
      <c r="M668" s="4" t="s">
        <v>667</v>
      </c>
      <c r="N668" s="4" t="s">
        <v>668</v>
      </c>
      <c r="O668" s="4" t="s">
        <v>530</v>
      </c>
    </row>
    <row r="669" spans="2:15">
      <c r="B669" s="20"/>
      <c r="C669" s="20">
        <v>44873</v>
      </c>
      <c r="D669" s="54">
        <v>50337816</v>
      </c>
      <c r="E669" s="55" t="s">
        <v>245</v>
      </c>
      <c r="F669" s="56">
        <v>35</v>
      </c>
      <c r="G669" s="68">
        <v>8985</v>
      </c>
      <c r="H669" s="56" t="s">
        <v>80</v>
      </c>
      <c r="J669" s="56" t="s">
        <v>666</v>
      </c>
      <c r="L669" s="56" t="s">
        <v>185</v>
      </c>
      <c r="M669" s="4" t="s">
        <v>667</v>
      </c>
      <c r="N669" s="4" t="s">
        <v>670</v>
      </c>
      <c r="O669" s="4" t="s">
        <v>530</v>
      </c>
    </row>
    <row r="670" spans="2:15">
      <c r="B670" s="20"/>
      <c r="C670" s="20">
        <v>44873</v>
      </c>
      <c r="D670" s="54">
        <v>50509889</v>
      </c>
      <c r="E670" s="55" t="s">
        <v>671</v>
      </c>
      <c r="F670" s="56">
        <v>30</v>
      </c>
      <c r="G670" s="68">
        <v>7865000</v>
      </c>
      <c r="H670" s="56" t="s">
        <v>92</v>
      </c>
      <c r="J670" s="56" t="s">
        <v>666</v>
      </c>
      <c r="L670" s="56" t="s">
        <v>185</v>
      </c>
      <c r="M670" s="4" t="s">
        <v>667</v>
      </c>
      <c r="N670" s="4" t="s">
        <v>672</v>
      </c>
      <c r="O670" s="4" t="s">
        <v>530</v>
      </c>
    </row>
    <row r="671" spans="2:15">
      <c r="B671" s="20"/>
      <c r="C671" s="20">
        <v>44875</v>
      </c>
      <c r="D671" s="54">
        <v>50369034</v>
      </c>
      <c r="E671" s="55" t="s">
        <v>322</v>
      </c>
      <c r="F671" s="56">
        <v>1</v>
      </c>
      <c r="G671" s="68">
        <v>502.4</v>
      </c>
      <c r="H671" s="56" t="s">
        <v>82</v>
      </c>
      <c r="J671" s="56">
        <v>12607</v>
      </c>
      <c r="L671" s="56" t="s">
        <v>243</v>
      </c>
      <c r="M671" s="4" t="s">
        <v>176</v>
      </c>
      <c r="N671" s="4" t="s">
        <v>177</v>
      </c>
      <c r="O671" s="4" t="s">
        <v>530</v>
      </c>
    </row>
    <row r="672" spans="2:15">
      <c r="B672" s="20"/>
      <c r="C672" s="20">
        <v>44875</v>
      </c>
      <c r="D672" s="54">
        <v>50272278</v>
      </c>
      <c r="E672" s="55" t="s">
        <v>21</v>
      </c>
      <c r="F672" s="56">
        <v>2</v>
      </c>
      <c r="G672" s="68">
        <v>750</v>
      </c>
      <c r="H672" s="56" t="s">
        <v>92</v>
      </c>
      <c r="J672" s="56">
        <v>12607</v>
      </c>
      <c r="L672" s="56" t="s">
        <v>315</v>
      </c>
      <c r="M672" s="4" t="s">
        <v>176</v>
      </c>
      <c r="N672" s="4" t="s">
        <v>177</v>
      </c>
      <c r="O672" s="4" t="s">
        <v>530</v>
      </c>
    </row>
    <row r="673" spans="2:15">
      <c r="B673" s="20"/>
      <c r="C673" s="20">
        <v>44875</v>
      </c>
      <c r="D673" s="54">
        <v>40499</v>
      </c>
      <c r="E673" s="55" t="s">
        <v>316</v>
      </c>
      <c r="F673" s="56">
        <v>50</v>
      </c>
      <c r="G673" s="68">
        <v>50</v>
      </c>
      <c r="H673" s="56" t="s">
        <v>92</v>
      </c>
      <c r="J673" s="56">
        <v>12607</v>
      </c>
      <c r="L673" s="56" t="s">
        <v>315</v>
      </c>
      <c r="M673" s="4" t="s">
        <v>176</v>
      </c>
      <c r="N673" s="4" t="s">
        <v>177</v>
      </c>
      <c r="O673" s="4" t="s">
        <v>530</v>
      </c>
    </row>
    <row r="674" spans="2:15">
      <c r="B674" s="20"/>
      <c r="C674" s="20">
        <v>44875</v>
      </c>
      <c r="D674" s="54">
        <v>50145028</v>
      </c>
      <c r="E674" s="55" t="s">
        <v>23</v>
      </c>
      <c r="F674" s="56">
        <v>1</v>
      </c>
      <c r="G674" s="68">
        <v>128</v>
      </c>
      <c r="H674" s="56" t="s">
        <v>92</v>
      </c>
      <c r="J674" s="56">
        <v>20</v>
      </c>
      <c r="L674" s="56" t="s">
        <v>673</v>
      </c>
      <c r="M674" s="4" t="s">
        <v>673</v>
      </c>
      <c r="N674" s="4" t="s">
        <v>674</v>
      </c>
      <c r="O674" s="4" t="s">
        <v>530</v>
      </c>
    </row>
    <row r="675" spans="2:15">
      <c r="B675" s="20"/>
      <c r="C675" s="20">
        <v>44876</v>
      </c>
      <c r="D675" s="54">
        <v>40011069</v>
      </c>
      <c r="E675" s="55" t="s">
        <v>442</v>
      </c>
      <c r="F675" s="56">
        <v>1</v>
      </c>
      <c r="G675" s="68">
        <v>970</v>
      </c>
      <c r="H675" s="56" t="s">
        <v>80</v>
      </c>
      <c r="J675" s="56">
        <v>185120860</v>
      </c>
      <c r="L675" s="56" t="s">
        <v>175</v>
      </c>
      <c r="M675" s="4" t="s">
        <v>520</v>
      </c>
      <c r="N675" s="4" t="s">
        <v>675</v>
      </c>
      <c r="O675" s="4" t="s">
        <v>530</v>
      </c>
    </row>
    <row r="676" spans="2:15">
      <c r="B676" s="20"/>
      <c r="C676" s="20">
        <v>44876</v>
      </c>
      <c r="D676" s="54">
        <v>40499</v>
      </c>
      <c r="E676" s="55" t="s">
        <v>316</v>
      </c>
      <c r="F676" s="56">
        <v>40</v>
      </c>
      <c r="G676" s="68">
        <v>40</v>
      </c>
      <c r="H676" s="56" t="s">
        <v>92</v>
      </c>
      <c r="J676" s="56">
        <v>12635</v>
      </c>
      <c r="L676" s="56" t="s">
        <v>315</v>
      </c>
      <c r="M676" s="4" t="s">
        <v>176</v>
      </c>
      <c r="N676" s="4" t="s">
        <v>177</v>
      </c>
      <c r="O676" s="4" t="s">
        <v>178</v>
      </c>
    </row>
    <row r="677" spans="2:15">
      <c r="B677" s="20"/>
      <c r="C677" s="20">
        <v>44876</v>
      </c>
      <c r="D677" s="54">
        <v>50272278</v>
      </c>
      <c r="E677" s="55" t="s">
        <v>21</v>
      </c>
      <c r="F677" s="56">
        <v>12</v>
      </c>
      <c r="G677" s="68">
        <v>6000</v>
      </c>
      <c r="H677" s="56" t="s">
        <v>92</v>
      </c>
      <c r="J677" s="56">
        <v>17427</v>
      </c>
      <c r="L677" s="56" t="s">
        <v>262</v>
      </c>
      <c r="M677" s="4" t="s">
        <v>262</v>
      </c>
      <c r="N677" s="4" t="s">
        <v>518</v>
      </c>
      <c r="O677" s="4" t="s">
        <v>178</v>
      </c>
    </row>
    <row r="678" spans="2:15">
      <c r="B678" s="20"/>
      <c r="C678" s="20">
        <v>44876</v>
      </c>
      <c r="D678" s="54">
        <v>50272278</v>
      </c>
      <c r="E678" s="55" t="s">
        <v>21</v>
      </c>
      <c r="F678" s="56">
        <v>28</v>
      </c>
      <c r="G678" s="68">
        <v>14000</v>
      </c>
      <c r="H678" s="56" t="s">
        <v>92</v>
      </c>
      <c r="J678" s="56">
        <v>17432</v>
      </c>
      <c r="L678" s="56" t="s">
        <v>262</v>
      </c>
      <c r="M678" s="4" t="s">
        <v>262</v>
      </c>
      <c r="N678" s="4" t="s">
        <v>518</v>
      </c>
      <c r="O678" s="4" t="s">
        <v>178</v>
      </c>
    </row>
    <row r="679" spans="2:15">
      <c r="B679" s="20"/>
      <c r="C679" s="20">
        <v>44879</v>
      </c>
      <c r="D679" s="54">
        <v>50272278</v>
      </c>
      <c r="E679" s="55" t="s">
        <v>21</v>
      </c>
      <c r="F679" s="56">
        <v>20</v>
      </c>
      <c r="G679" s="68">
        <v>10000</v>
      </c>
      <c r="H679" s="56" t="s">
        <v>92</v>
      </c>
      <c r="J679" s="56">
        <v>1019</v>
      </c>
      <c r="L679" s="56" t="s">
        <v>201</v>
      </c>
      <c r="M679" s="4" t="s">
        <v>201</v>
      </c>
      <c r="N679" s="4" t="s">
        <v>538</v>
      </c>
      <c r="O679" s="4" t="s">
        <v>178</v>
      </c>
    </row>
    <row r="680" spans="2:15">
      <c r="B680" s="20"/>
      <c r="C680" s="20">
        <v>44880</v>
      </c>
      <c r="D680" s="54">
        <v>50144376</v>
      </c>
      <c r="E680" s="55" t="s">
        <v>19</v>
      </c>
      <c r="F680" s="56">
        <v>18</v>
      </c>
      <c r="G680" s="68">
        <v>9000</v>
      </c>
      <c r="H680" s="56" t="s">
        <v>92</v>
      </c>
      <c r="J680" s="56">
        <v>1040</v>
      </c>
      <c r="L680" s="56" t="s">
        <v>201</v>
      </c>
      <c r="M680" s="4" t="s">
        <v>201</v>
      </c>
      <c r="N680" s="4" t="s">
        <v>363</v>
      </c>
      <c r="O680" s="4" t="s">
        <v>178</v>
      </c>
    </row>
    <row r="681" spans="2:15">
      <c r="B681" s="20"/>
      <c r="C681" s="20">
        <v>44880</v>
      </c>
      <c r="D681" s="54">
        <v>50144376</v>
      </c>
      <c r="E681" s="55" t="s">
        <v>19</v>
      </c>
      <c r="F681" s="56">
        <v>12</v>
      </c>
      <c r="G681" s="68">
        <v>6000</v>
      </c>
      <c r="H681" s="56" t="s">
        <v>92</v>
      </c>
      <c r="J681" s="56">
        <v>17445</v>
      </c>
      <c r="L681" s="56" t="s">
        <v>226</v>
      </c>
      <c r="M681" s="4" t="s">
        <v>262</v>
      </c>
      <c r="N681" s="4" t="s">
        <v>364</v>
      </c>
      <c r="O681" s="4" t="s">
        <v>178</v>
      </c>
    </row>
    <row r="682" spans="2:15">
      <c r="B682" s="20"/>
      <c r="C682" s="20">
        <v>44881</v>
      </c>
      <c r="D682" s="54">
        <v>50272278</v>
      </c>
      <c r="E682" s="55" t="s">
        <v>21</v>
      </c>
      <c r="F682" s="56">
        <v>20</v>
      </c>
      <c r="G682" s="68">
        <v>10000</v>
      </c>
      <c r="H682" s="56" t="s">
        <v>92</v>
      </c>
      <c r="J682" s="56">
        <v>1074</v>
      </c>
      <c r="L682" s="56" t="s">
        <v>201</v>
      </c>
      <c r="M682" s="4" t="s">
        <v>201</v>
      </c>
      <c r="N682" s="4" t="s">
        <v>538</v>
      </c>
      <c r="O682" s="4" t="s">
        <v>178</v>
      </c>
    </row>
    <row r="683" spans="2:15">
      <c r="B683" s="20"/>
      <c r="C683" s="20">
        <v>44881</v>
      </c>
      <c r="D683" s="54">
        <v>50142237</v>
      </c>
      <c r="E683" s="55" t="s">
        <v>617</v>
      </c>
      <c r="F683" s="56">
        <v>8</v>
      </c>
      <c r="G683" s="68">
        <v>8000</v>
      </c>
      <c r="H683" s="56" t="s">
        <v>92</v>
      </c>
      <c r="J683" s="56">
        <v>55990</v>
      </c>
      <c r="L683" s="56" t="s">
        <v>618</v>
      </c>
      <c r="M683" s="4" t="s">
        <v>619</v>
      </c>
      <c r="N683" s="4" t="s">
        <v>676</v>
      </c>
      <c r="O683" s="4" t="s">
        <v>178</v>
      </c>
    </row>
    <row r="684" spans="2:15">
      <c r="B684" s="20"/>
      <c r="C684" s="20">
        <v>44881</v>
      </c>
      <c r="D684" s="54">
        <v>50522169</v>
      </c>
      <c r="E684" s="55" t="s">
        <v>250</v>
      </c>
      <c r="F684" s="56">
        <v>9</v>
      </c>
      <c r="G684" s="68">
        <v>4898.75</v>
      </c>
      <c r="H684" s="56" t="s">
        <v>82</v>
      </c>
      <c r="J684" s="56">
        <v>12930</v>
      </c>
      <c r="L684" s="56" t="s">
        <v>243</v>
      </c>
      <c r="M684" s="4" t="s">
        <v>176</v>
      </c>
      <c r="N684" s="4" t="s">
        <v>177</v>
      </c>
      <c r="O684" s="4" t="s">
        <v>178</v>
      </c>
    </row>
    <row r="685" spans="2:15">
      <c r="B685" s="20"/>
      <c r="C685" s="20">
        <v>44881</v>
      </c>
      <c r="D685" s="54">
        <v>40499</v>
      </c>
      <c r="E685" s="55" t="s">
        <v>316</v>
      </c>
      <c r="F685" s="56">
        <v>100</v>
      </c>
      <c r="G685" s="68">
        <v>100</v>
      </c>
      <c r="H685" s="56" t="s">
        <v>92</v>
      </c>
      <c r="J685" s="56">
        <v>12930</v>
      </c>
      <c r="L685" s="56" t="s">
        <v>315</v>
      </c>
      <c r="M685" s="4" t="s">
        <v>176</v>
      </c>
      <c r="N685" s="4" t="s">
        <v>177</v>
      </c>
      <c r="O685" s="4" t="s">
        <v>178</v>
      </c>
    </row>
    <row r="686" spans="2:15">
      <c r="B686" s="20"/>
      <c r="C686" s="20">
        <v>44881</v>
      </c>
      <c r="D686" s="54">
        <v>50145028</v>
      </c>
      <c r="E686" s="55" t="s">
        <v>23</v>
      </c>
      <c r="F686" s="56">
        <v>10</v>
      </c>
      <c r="G686" s="68">
        <v>1920</v>
      </c>
      <c r="H686" s="56" t="s">
        <v>92</v>
      </c>
      <c r="J686" s="56">
        <v>23</v>
      </c>
      <c r="L686" s="56" t="s">
        <v>673</v>
      </c>
      <c r="M686" s="4" t="s">
        <v>673</v>
      </c>
      <c r="N686" s="4" t="s">
        <v>677</v>
      </c>
      <c r="O686" s="4" t="s">
        <v>178</v>
      </c>
    </row>
    <row r="687" spans="2:15">
      <c r="B687" s="20"/>
      <c r="C687" s="20">
        <v>44881</v>
      </c>
      <c r="D687" s="54">
        <v>50272278</v>
      </c>
      <c r="E687" s="55" t="s">
        <v>21</v>
      </c>
      <c r="F687" s="56">
        <v>12</v>
      </c>
      <c r="G687" s="68">
        <v>6000</v>
      </c>
      <c r="H687" s="56" t="s">
        <v>92</v>
      </c>
      <c r="J687" s="56">
        <v>17456</v>
      </c>
      <c r="L687" s="56" t="s">
        <v>262</v>
      </c>
      <c r="M687" s="4" t="s">
        <v>262</v>
      </c>
      <c r="N687" s="4" t="s">
        <v>364</v>
      </c>
      <c r="O687" s="4" t="s">
        <v>178</v>
      </c>
    </row>
    <row r="688" spans="2:15">
      <c r="B688" s="20"/>
      <c r="C688" s="20">
        <v>44881</v>
      </c>
      <c r="D688" s="54">
        <v>50522169</v>
      </c>
      <c r="E688" s="55" t="s">
        <v>250</v>
      </c>
      <c r="F688" s="56">
        <v>10</v>
      </c>
      <c r="G688" s="68">
        <v>4923.45</v>
      </c>
      <c r="H688" s="56" t="s">
        <v>82</v>
      </c>
      <c r="J688" s="56">
        <v>11526</v>
      </c>
      <c r="L688" s="56" t="s">
        <v>243</v>
      </c>
      <c r="M688" s="4" t="s">
        <v>243</v>
      </c>
      <c r="N688" s="4" t="s">
        <v>353</v>
      </c>
      <c r="O688" s="4" t="s">
        <v>178</v>
      </c>
    </row>
    <row r="689" spans="2:15">
      <c r="B689" s="20"/>
      <c r="C689" s="20">
        <v>44882</v>
      </c>
      <c r="D689" s="54">
        <v>50272278</v>
      </c>
      <c r="E689" s="55" t="s">
        <v>21</v>
      </c>
      <c r="F689" s="56">
        <v>12</v>
      </c>
      <c r="G689" s="68">
        <v>6000</v>
      </c>
      <c r="H689" s="56" t="s">
        <v>92</v>
      </c>
      <c r="J689" s="56">
        <v>17459</v>
      </c>
      <c r="L689" s="56" t="s">
        <v>262</v>
      </c>
      <c r="M689" s="4" t="s">
        <v>262</v>
      </c>
      <c r="N689" s="4" t="s">
        <v>364</v>
      </c>
      <c r="O689" s="4" t="s">
        <v>178</v>
      </c>
    </row>
    <row r="690" spans="2:15">
      <c r="B690" s="20"/>
      <c r="C690" s="20">
        <v>44882</v>
      </c>
      <c r="D690" s="54">
        <v>40011080</v>
      </c>
      <c r="E690" s="55" t="s">
        <v>420</v>
      </c>
      <c r="F690" s="56">
        <v>26</v>
      </c>
      <c r="G690" s="68">
        <v>11700</v>
      </c>
      <c r="H690" s="56" t="s">
        <v>80</v>
      </c>
      <c r="J690" s="56">
        <v>32870942</v>
      </c>
      <c r="K690" s="4" t="s">
        <v>678</v>
      </c>
      <c r="L690" s="56" t="s">
        <v>423</v>
      </c>
      <c r="M690" s="4" t="s">
        <v>645</v>
      </c>
      <c r="N690" s="4" t="s">
        <v>679</v>
      </c>
      <c r="O690" s="4" t="s">
        <v>178</v>
      </c>
    </row>
    <row r="691" spans="2:15">
      <c r="B691" s="20"/>
      <c r="C691" s="20">
        <v>44882</v>
      </c>
      <c r="D691" s="54">
        <v>40011080</v>
      </c>
      <c r="E691" s="55" t="s">
        <v>420</v>
      </c>
      <c r="F691" s="56">
        <v>26</v>
      </c>
      <c r="G691" s="68">
        <v>11550</v>
      </c>
      <c r="H691" s="56" t="s">
        <v>80</v>
      </c>
      <c r="J691" s="56">
        <v>32870942</v>
      </c>
      <c r="K691" s="4" t="s">
        <v>680</v>
      </c>
      <c r="L691" s="56" t="s">
        <v>423</v>
      </c>
      <c r="M691" s="4" t="s">
        <v>645</v>
      </c>
      <c r="N691" s="4" t="s">
        <v>681</v>
      </c>
      <c r="O691" s="4" t="s">
        <v>178</v>
      </c>
    </row>
    <row r="692" spans="2:15">
      <c r="B692" s="20"/>
      <c r="C692" s="20">
        <v>44882</v>
      </c>
      <c r="D692" s="54">
        <v>50522168</v>
      </c>
      <c r="E692" s="55" t="s">
        <v>252</v>
      </c>
      <c r="F692" s="56">
        <v>2</v>
      </c>
      <c r="G692" s="68">
        <v>1037.35</v>
      </c>
      <c r="H692" s="56" t="s">
        <v>82</v>
      </c>
      <c r="J692" s="56">
        <v>11528</v>
      </c>
      <c r="L692" s="56" t="s">
        <v>243</v>
      </c>
      <c r="M692" s="4" t="s">
        <v>470</v>
      </c>
      <c r="N692" s="4" t="s">
        <v>428</v>
      </c>
      <c r="O692" s="4" t="s">
        <v>178</v>
      </c>
    </row>
    <row r="693" spans="2:15">
      <c r="B693" s="20"/>
      <c r="C693" s="20">
        <v>44882</v>
      </c>
      <c r="D693" s="54">
        <v>50522169</v>
      </c>
      <c r="E693" s="55" t="s">
        <v>250</v>
      </c>
      <c r="F693" s="56">
        <v>12</v>
      </c>
      <c r="G693" s="68">
        <v>6325.5</v>
      </c>
      <c r="H693" s="56" t="s">
        <v>82</v>
      </c>
      <c r="J693" s="56">
        <v>11528</v>
      </c>
      <c r="L693" s="56" t="s">
        <v>243</v>
      </c>
      <c r="M693" s="4" t="s">
        <v>470</v>
      </c>
      <c r="N693" s="4" t="s">
        <v>428</v>
      </c>
      <c r="O693" s="4" t="s">
        <v>178</v>
      </c>
    </row>
    <row r="694" spans="2:15">
      <c r="B694" s="20"/>
      <c r="C694" s="20">
        <v>44882</v>
      </c>
      <c r="D694" s="54">
        <v>50145028</v>
      </c>
      <c r="E694" s="55" t="s">
        <v>23</v>
      </c>
      <c r="F694" s="56">
        <v>6</v>
      </c>
      <c r="G694" s="68">
        <v>1000</v>
      </c>
      <c r="H694" s="56" t="s">
        <v>92</v>
      </c>
      <c r="J694" s="56">
        <v>2069</v>
      </c>
      <c r="L694" s="56" t="s">
        <v>388</v>
      </c>
      <c r="M694" s="4" t="s">
        <v>388</v>
      </c>
      <c r="N694" s="4" t="s">
        <v>682</v>
      </c>
      <c r="O694" s="4" t="s">
        <v>178</v>
      </c>
    </row>
    <row r="695" spans="2:15">
      <c r="B695" s="20"/>
      <c r="C695" s="20">
        <v>44882</v>
      </c>
      <c r="D695" s="54">
        <v>50272278</v>
      </c>
      <c r="E695" s="55" t="s">
        <v>21</v>
      </c>
      <c r="F695" s="56">
        <v>12</v>
      </c>
      <c r="G695" s="68">
        <v>6000</v>
      </c>
      <c r="H695" s="56" t="s">
        <v>92</v>
      </c>
      <c r="J695" s="56">
        <v>17462</v>
      </c>
      <c r="L695" s="56" t="s">
        <v>262</v>
      </c>
      <c r="M695" s="4" t="s">
        <v>262</v>
      </c>
      <c r="N695" s="4" t="s">
        <v>364</v>
      </c>
      <c r="O695" s="4" t="s">
        <v>178</v>
      </c>
    </row>
    <row r="696" spans="2:15">
      <c r="B696" s="20"/>
      <c r="C696" s="20">
        <v>44882</v>
      </c>
      <c r="D696" s="54">
        <v>50522168</v>
      </c>
      <c r="E696" s="55" t="s">
        <v>252</v>
      </c>
      <c r="F696" s="56">
        <v>8</v>
      </c>
      <c r="G696" s="68">
        <v>3867.1</v>
      </c>
      <c r="H696" s="56" t="s">
        <v>82</v>
      </c>
      <c r="J696" s="56">
        <v>11530</v>
      </c>
      <c r="N696" s="4"/>
    </row>
    <row r="697" spans="2:15">
      <c r="B697" s="20"/>
      <c r="C697" s="20">
        <v>44882</v>
      </c>
      <c r="D697" s="54">
        <v>50144376</v>
      </c>
      <c r="E697" s="55" t="s">
        <v>19</v>
      </c>
      <c r="F697" s="56">
        <v>12</v>
      </c>
      <c r="G697" s="68">
        <v>6000</v>
      </c>
      <c r="H697" s="56" t="s">
        <v>92</v>
      </c>
      <c r="J697" s="56">
        <v>17463</v>
      </c>
      <c r="L697" s="56" t="s">
        <v>226</v>
      </c>
      <c r="M697" s="4" t="s">
        <v>262</v>
      </c>
      <c r="N697" s="4" t="s">
        <v>364</v>
      </c>
      <c r="O697" s="4" t="s">
        <v>178</v>
      </c>
    </row>
    <row r="698" spans="2:15">
      <c r="B698" s="20"/>
      <c r="C698" s="20">
        <v>44882</v>
      </c>
      <c r="D698" s="54">
        <v>50142237</v>
      </c>
      <c r="E698" s="55" t="s">
        <v>617</v>
      </c>
      <c r="F698" s="56">
        <v>27</v>
      </c>
      <c r="G698" s="68">
        <v>27000</v>
      </c>
      <c r="H698" s="56" t="s">
        <v>92</v>
      </c>
      <c r="J698" s="56">
        <v>56048</v>
      </c>
      <c r="L698" s="56" t="s">
        <v>618</v>
      </c>
      <c r="M698" s="4" t="s">
        <v>619</v>
      </c>
      <c r="N698" s="4" t="s">
        <v>683</v>
      </c>
      <c r="O698" s="4" t="s">
        <v>178</v>
      </c>
    </row>
    <row r="699" spans="2:15">
      <c r="B699" s="20"/>
      <c r="C699" s="20">
        <v>44886</v>
      </c>
      <c r="D699" s="54">
        <v>50510331</v>
      </c>
      <c r="E699" s="55" t="s">
        <v>242</v>
      </c>
      <c r="F699" s="56">
        <v>10</v>
      </c>
      <c r="G699" s="68">
        <v>5212.8</v>
      </c>
      <c r="H699" s="56" t="s">
        <v>92</v>
      </c>
      <c r="J699" s="56">
        <v>11542</v>
      </c>
      <c r="L699" s="56" t="s">
        <v>243</v>
      </c>
      <c r="M699" s="4" t="s">
        <v>660</v>
      </c>
      <c r="N699" s="4" t="s">
        <v>684</v>
      </c>
      <c r="O699" s="4" t="s">
        <v>178</v>
      </c>
    </row>
    <row r="700" spans="2:15">
      <c r="B700" s="20"/>
      <c r="C700" s="20">
        <v>44887</v>
      </c>
      <c r="D700" s="54">
        <v>40009541</v>
      </c>
      <c r="E700" s="55" t="s">
        <v>685</v>
      </c>
      <c r="F700" s="56">
        <v>2</v>
      </c>
      <c r="G700" s="68">
        <v>7203</v>
      </c>
      <c r="H700" s="56" t="s">
        <v>80</v>
      </c>
      <c r="J700" s="56">
        <v>186479075</v>
      </c>
      <c r="K700" s="4" t="s">
        <v>686</v>
      </c>
      <c r="L700" s="56" t="s">
        <v>175</v>
      </c>
      <c r="M700" s="4" t="s">
        <v>520</v>
      </c>
      <c r="N700" s="4" t="s">
        <v>687</v>
      </c>
      <c r="O700" s="4" t="s">
        <v>178</v>
      </c>
    </row>
    <row r="701" spans="2:15">
      <c r="B701" s="20"/>
      <c r="C701" s="20">
        <v>44887</v>
      </c>
      <c r="D701" s="54">
        <v>40009543</v>
      </c>
      <c r="E701" s="55" t="s">
        <v>473</v>
      </c>
      <c r="F701" s="56">
        <v>5</v>
      </c>
      <c r="G701" s="68">
        <v>8100</v>
      </c>
      <c r="H701" s="56" t="s">
        <v>80</v>
      </c>
      <c r="J701" s="56">
        <v>186479075</v>
      </c>
      <c r="K701" s="4" t="s">
        <v>686</v>
      </c>
      <c r="L701" s="56" t="s">
        <v>175</v>
      </c>
      <c r="M701" s="4" t="s">
        <v>520</v>
      </c>
      <c r="N701" s="4" t="s">
        <v>687</v>
      </c>
      <c r="O701" s="4" t="s">
        <v>178</v>
      </c>
    </row>
    <row r="702" spans="2:15">
      <c r="B702" s="20"/>
      <c r="C702" s="20">
        <v>44887</v>
      </c>
      <c r="D702" s="54">
        <v>40009544</v>
      </c>
      <c r="E702" s="55" t="s">
        <v>179</v>
      </c>
      <c r="F702" s="56">
        <v>4</v>
      </c>
      <c r="G702" s="68">
        <v>10360</v>
      </c>
      <c r="H702" s="56" t="s">
        <v>80</v>
      </c>
      <c r="J702" s="56">
        <v>186479075</v>
      </c>
      <c r="K702" s="4" t="s">
        <v>686</v>
      </c>
      <c r="L702" s="56" t="s">
        <v>175</v>
      </c>
      <c r="M702" s="4" t="s">
        <v>520</v>
      </c>
      <c r="N702" s="4" t="s">
        <v>687</v>
      </c>
      <c r="O702" s="4" t="s">
        <v>178</v>
      </c>
    </row>
    <row r="703" spans="2:15">
      <c r="B703" s="20"/>
      <c r="C703" s="20">
        <v>44887</v>
      </c>
      <c r="D703" s="54">
        <v>40009546</v>
      </c>
      <c r="E703" s="55" t="s">
        <v>174</v>
      </c>
      <c r="F703" s="56">
        <v>14</v>
      </c>
      <c r="G703" s="68">
        <v>10348</v>
      </c>
      <c r="H703" s="56" t="s">
        <v>80</v>
      </c>
      <c r="J703" s="56">
        <v>186479075</v>
      </c>
      <c r="K703" s="4" t="s">
        <v>686</v>
      </c>
      <c r="L703" s="56" t="s">
        <v>175</v>
      </c>
      <c r="M703" s="4" t="s">
        <v>520</v>
      </c>
      <c r="N703" s="4" t="s">
        <v>687</v>
      </c>
      <c r="O703" s="4" t="s">
        <v>178</v>
      </c>
    </row>
    <row r="704" spans="2:15">
      <c r="B704" s="20"/>
      <c r="C704" s="20">
        <v>44887</v>
      </c>
      <c r="D704" s="54">
        <v>40011069</v>
      </c>
      <c r="E704" s="55" t="s">
        <v>442</v>
      </c>
      <c r="F704" s="56">
        <v>1</v>
      </c>
      <c r="G704" s="68">
        <v>1368</v>
      </c>
      <c r="H704" s="56" t="s">
        <v>80</v>
      </c>
      <c r="J704" s="56">
        <v>186479075</v>
      </c>
      <c r="K704" s="4" t="s">
        <v>686</v>
      </c>
      <c r="L704" s="56" t="s">
        <v>175</v>
      </c>
      <c r="M704" s="4" t="s">
        <v>520</v>
      </c>
      <c r="N704" s="4" t="s">
        <v>687</v>
      </c>
      <c r="O704" s="4" t="s">
        <v>178</v>
      </c>
    </row>
    <row r="705" spans="2:15">
      <c r="B705" s="20"/>
      <c r="C705" s="20">
        <v>44887</v>
      </c>
      <c r="D705" s="54">
        <v>40011070</v>
      </c>
      <c r="E705" s="55" t="s">
        <v>444</v>
      </c>
      <c r="F705" s="56">
        <v>1</v>
      </c>
      <c r="G705" s="68">
        <v>1535</v>
      </c>
      <c r="H705" s="56" t="s">
        <v>80</v>
      </c>
      <c r="J705" s="56">
        <v>186479075</v>
      </c>
      <c r="K705" s="4" t="s">
        <v>686</v>
      </c>
      <c r="L705" s="56" t="s">
        <v>175</v>
      </c>
      <c r="M705" s="4" t="s">
        <v>520</v>
      </c>
      <c r="N705" s="4" t="s">
        <v>687</v>
      </c>
      <c r="O705" s="4" t="s">
        <v>178</v>
      </c>
    </row>
    <row r="706" spans="2:15">
      <c r="B706" s="20"/>
      <c r="C706" s="20">
        <v>44887</v>
      </c>
      <c r="D706" s="54">
        <v>50272278</v>
      </c>
      <c r="E706" s="55" t="s">
        <v>21</v>
      </c>
      <c r="F706" s="56">
        <v>3</v>
      </c>
      <c r="G706" s="68">
        <v>3000</v>
      </c>
      <c r="H706" s="56" t="s">
        <v>92</v>
      </c>
      <c r="J706" s="56">
        <v>17473</v>
      </c>
      <c r="L706" s="56" t="s">
        <v>262</v>
      </c>
      <c r="M706" s="4" t="s">
        <v>262</v>
      </c>
      <c r="N706" s="4" t="s">
        <v>364</v>
      </c>
      <c r="O706" s="4" t="s">
        <v>178</v>
      </c>
    </row>
    <row r="707" spans="2:15">
      <c r="B707" s="20"/>
      <c r="C707" s="20">
        <v>44887</v>
      </c>
      <c r="D707" s="54">
        <v>50142281</v>
      </c>
      <c r="E707" s="55" t="s">
        <v>204</v>
      </c>
      <c r="F707" s="56">
        <v>20</v>
      </c>
      <c r="G707" s="68">
        <v>9000</v>
      </c>
      <c r="H707" s="56" t="s">
        <v>82</v>
      </c>
      <c r="J707" s="56">
        <v>97701721</v>
      </c>
      <c r="K707" s="4" t="s">
        <v>688</v>
      </c>
      <c r="L707" s="56" t="s">
        <v>572</v>
      </c>
      <c r="M707" s="4" t="s">
        <v>520</v>
      </c>
      <c r="N707" s="4" t="s">
        <v>633</v>
      </c>
      <c r="O707" s="4" t="s">
        <v>178</v>
      </c>
    </row>
    <row r="708" spans="2:15">
      <c r="B708" s="20"/>
      <c r="C708" s="20">
        <v>44888</v>
      </c>
      <c r="D708" s="54">
        <v>50272278</v>
      </c>
      <c r="E708" s="55" t="s">
        <v>21</v>
      </c>
      <c r="F708" s="56">
        <v>12</v>
      </c>
      <c r="G708" s="68">
        <v>6000</v>
      </c>
      <c r="H708" s="56" t="s">
        <v>92</v>
      </c>
      <c r="J708" s="56">
        <v>17483</v>
      </c>
      <c r="L708" s="56" t="s">
        <v>262</v>
      </c>
      <c r="M708" s="4" t="s">
        <v>262</v>
      </c>
      <c r="N708" s="4" t="s">
        <v>364</v>
      </c>
      <c r="O708" s="4" t="s">
        <v>178</v>
      </c>
    </row>
    <row r="709" spans="2:15">
      <c r="B709" s="20"/>
      <c r="C709" s="20">
        <v>44888</v>
      </c>
      <c r="D709" s="54">
        <v>50144376</v>
      </c>
      <c r="E709" s="55" t="s">
        <v>19</v>
      </c>
      <c r="F709" s="56">
        <v>12</v>
      </c>
      <c r="G709" s="68">
        <v>6000</v>
      </c>
      <c r="H709" s="56" t="s">
        <v>92</v>
      </c>
      <c r="J709" s="56">
        <v>17487</v>
      </c>
      <c r="L709" s="56" t="s">
        <v>262</v>
      </c>
      <c r="M709" s="4" t="s">
        <v>262</v>
      </c>
      <c r="N709" s="4" t="s">
        <v>364</v>
      </c>
      <c r="O709" s="4" t="s">
        <v>178</v>
      </c>
    </row>
    <row r="710" spans="2:15">
      <c r="B710" s="20"/>
      <c r="C710" s="20">
        <v>44888</v>
      </c>
      <c r="D710" s="54">
        <v>50776524</v>
      </c>
      <c r="E710" s="55" t="s">
        <v>689</v>
      </c>
      <c r="F710" s="56">
        <v>1</v>
      </c>
      <c r="G710" s="68">
        <v>302.45</v>
      </c>
      <c r="H710" s="56" t="s">
        <v>82</v>
      </c>
      <c r="J710" s="56">
        <v>11548</v>
      </c>
      <c r="L710" s="56" t="s">
        <v>243</v>
      </c>
      <c r="M710" s="4" t="s">
        <v>660</v>
      </c>
      <c r="N710" s="4" t="s">
        <v>586</v>
      </c>
      <c r="O710" s="4" t="s">
        <v>178</v>
      </c>
    </row>
    <row r="711" spans="2:15">
      <c r="B711" s="20"/>
      <c r="C711" s="20">
        <v>44888</v>
      </c>
      <c r="D711" s="54">
        <v>50010080</v>
      </c>
      <c r="E711" s="55" t="s">
        <v>354</v>
      </c>
      <c r="F711" s="56">
        <v>15</v>
      </c>
      <c r="G711" s="68">
        <v>15000</v>
      </c>
      <c r="H711" s="56" t="s">
        <v>82</v>
      </c>
      <c r="L711" s="56" t="s">
        <v>355</v>
      </c>
      <c r="M711" s="4" t="s">
        <v>355</v>
      </c>
      <c r="N711" s="4">
        <v>40011081</v>
      </c>
      <c r="O711" s="4" t="s">
        <v>178</v>
      </c>
    </row>
    <row r="712" spans="2:15">
      <c r="B712" s="20"/>
      <c r="C712" s="20">
        <v>44890</v>
      </c>
      <c r="D712" s="54">
        <v>50142424</v>
      </c>
      <c r="E712" s="55" t="s">
        <v>33</v>
      </c>
      <c r="F712" s="56">
        <v>6</v>
      </c>
      <c r="G712" s="68">
        <v>6000</v>
      </c>
      <c r="H712" s="56" t="s">
        <v>82</v>
      </c>
      <c r="J712" s="56">
        <v>900846447</v>
      </c>
      <c r="K712" s="4" t="s">
        <v>690</v>
      </c>
      <c r="L712" s="56" t="s">
        <v>324</v>
      </c>
      <c r="M712" s="4" t="s">
        <v>209</v>
      </c>
      <c r="N712" s="4" t="s">
        <v>691</v>
      </c>
      <c r="O712" s="4" t="s">
        <v>178</v>
      </c>
    </row>
    <row r="713" spans="2:15">
      <c r="B713" s="20"/>
      <c r="C713" s="20">
        <v>44890</v>
      </c>
      <c r="D713" s="54">
        <v>50144376</v>
      </c>
      <c r="E713" s="55" t="s">
        <v>19</v>
      </c>
      <c r="F713" s="56">
        <v>1</v>
      </c>
      <c r="G713" s="68">
        <v>500</v>
      </c>
      <c r="H713" s="56" t="s">
        <v>92</v>
      </c>
      <c r="J713" s="56">
        <v>1319</v>
      </c>
      <c r="L713" s="56" t="s">
        <v>201</v>
      </c>
      <c r="M713" s="4" t="s">
        <v>201</v>
      </c>
      <c r="N713" s="4" t="s">
        <v>621</v>
      </c>
      <c r="O713" s="4" t="s">
        <v>178</v>
      </c>
    </row>
    <row r="714" spans="2:15">
      <c r="B714" s="20"/>
      <c r="C714" s="20">
        <v>44890</v>
      </c>
      <c r="D714" s="54">
        <v>50272278</v>
      </c>
      <c r="E714" s="55" t="s">
        <v>21</v>
      </c>
      <c r="F714" s="56">
        <v>20</v>
      </c>
      <c r="G714" s="68">
        <v>10000</v>
      </c>
      <c r="H714" s="56" t="s">
        <v>92</v>
      </c>
      <c r="J714" s="56">
        <v>1319</v>
      </c>
      <c r="L714" s="56" t="s">
        <v>201</v>
      </c>
      <c r="M714" s="4" t="s">
        <v>201</v>
      </c>
      <c r="N714" s="4" t="s">
        <v>621</v>
      </c>
      <c r="O714" s="4" t="s">
        <v>178</v>
      </c>
    </row>
    <row r="715" spans="2:15">
      <c r="B715" s="20"/>
      <c r="C715" s="20">
        <v>44890</v>
      </c>
      <c r="D715" s="54">
        <v>50272278</v>
      </c>
      <c r="E715" s="55" t="s">
        <v>21</v>
      </c>
      <c r="F715" s="56">
        <v>12</v>
      </c>
      <c r="G715" s="68">
        <v>6000</v>
      </c>
      <c r="H715" s="56" t="s">
        <v>92</v>
      </c>
      <c r="J715" s="56">
        <v>17506</v>
      </c>
      <c r="L715" s="56" t="s">
        <v>262</v>
      </c>
      <c r="M715" s="4" t="s">
        <v>262</v>
      </c>
      <c r="N715" s="4" t="s">
        <v>364</v>
      </c>
      <c r="O715" s="4" t="s">
        <v>178</v>
      </c>
    </row>
    <row r="716" spans="2:15">
      <c r="B716" s="20"/>
      <c r="C716" s="20">
        <v>44893</v>
      </c>
      <c r="D716" s="54">
        <v>50144376</v>
      </c>
      <c r="E716" s="55" t="s">
        <v>19</v>
      </c>
      <c r="F716" s="56">
        <v>20</v>
      </c>
      <c r="G716" s="68">
        <v>10000</v>
      </c>
      <c r="H716" s="56" t="s">
        <v>92</v>
      </c>
      <c r="J716" s="56">
        <v>1340</v>
      </c>
      <c r="L716" s="56" t="s">
        <v>201</v>
      </c>
      <c r="M716" s="4" t="s">
        <v>201</v>
      </c>
      <c r="N716" s="4" t="s">
        <v>692</v>
      </c>
      <c r="O716" s="4" t="s">
        <v>178</v>
      </c>
    </row>
    <row r="717" spans="2:15">
      <c r="B717" s="20"/>
      <c r="C717" s="20">
        <v>44893</v>
      </c>
      <c r="D717" s="54">
        <v>50272278</v>
      </c>
      <c r="E717" s="55" t="s">
        <v>21</v>
      </c>
      <c r="F717" s="56">
        <v>20</v>
      </c>
      <c r="G717" s="68">
        <v>10000</v>
      </c>
      <c r="H717" s="56" t="s">
        <v>92</v>
      </c>
      <c r="J717" s="56">
        <v>1339</v>
      </c>
      <c r="L717" s="56" t="s">
        <v>201</v>
      </c>
      <c r="M717" s="4" t="s">
        <v>201</v>
      </c>
      <c r="N717" s="4" t="s">
        <v>538</v>
      </c>
      <c r="O717" s="4" t="s">
        <v>178</v>
      </c>
    </row>
    <row r="718" spans="2:15">
      <c r="B718" s="20"/>
      <c r="C718" s="20">
        <v>44893</v>
      </c>
      <c r="D718" s="54">
        <v>50272278</v>
      </c>
      <c r="E718" s="55" t="s">
        <v>21</v>
      </c>
      <c r="F718" s="56">
        <v>20</v>
      </c>
      <c r="G718" s="68">
        <v>10000</v>
      </c>
      <c r="H718" s="56" t="s">
        <v>92</v>
      </c>
      <c r="J718" s="56">
        <v>1331</v>
      </c>
      <c r="L718" s="56" t="s">
        <v>201</v>
      </c>
      <c r="M718" s="4" t="s">
        <v>201</v>
      </c>
      <c r="N718" s="4" t="s">
        <v>693</v>
      </c>
      <c r="O718" s="4" t="s">
        <v>178</v>
      </c>
    </row>
    <row r="719" spans="2:15">
      <c r="B719" s="20"/>
      <c r="C719" s="20">
        <v>44893</v>
      </c>
      <c r="D719" s="54">
        <v>50272278</v>
      </c>
      <c r="E719" s="55" t="s">
        <v>21</v>
      </c>
      <c r="F719" s="56">
        <v>12</v>
      </c>
      <c r="G719" s="68">
        <v>6000</v>
      </c>
      <c r="H719" s="56" t="s">
        <v>92</v>
      </c>
      <c r="J719" s="56">
        <v>17512</v>
      </c>
      <c r="L719" s="56" t="s">
        <v>262</v>
      </c>
      <c r="M719" s="4" t="s">
        <v>262</v>
      </c>
      <c r="N719" s="4" t="s">
        <v>364</v>
      </c>
      <c r="O719" s="4" t="s">
        <v>178</v>
      </c>
    </row>
    <row r="720" spans="2:15">
      <c r="B720" s="20"/>
      <c r="C720" s="20">
        <v>44893</v>
      </c>
      <c r="D720" s="54">
        <v>50142551</v>
      </c>
      <c r="E720" s="55" t="s">
        <v>215</v>
      </c>
      <c r="F720" s="56">
        <v>4</v>
      </c>
      <c r="G720" s="68">
        <v>100</v>
      </c>
      <c r="H720" s="56" t="s">
        <v>92</v>
      </c>
      <c r="J720" s="56">
        <v>13700</v>
      </c>
      <c r="L720" s="56" t="s">
        <v>558</v>
      </c>
      <c r="M720" s="4" t="s">
        <v>558</v>
      </c>
      <c r="N720" s="4" t="s">
        <v>559</v>
      </c>
      <c r="O720" s="4" t="s">
        <v>178</v>
      </c>
    </row>
    <row r="721" spans="2:15">
      <c r="B721" s="20"/>
      <c r="C721" s="20">
        <v>44893</v>
      </c>
      <c r="D721" s="54">
        <v>50470190</v>
      </c>
      <c r="E721" s="55" t="s">
        <v>12</v>
      </c>
      <c r="F721" s="56">
        <v>32</v>
      </c>
      <c r="G721" s="68">
        <v>9273600</v>
      </c>
      <c r="H721" s="56" t="s">
        <v>92</v>
      </c>
      <c r="J721" s="56">
        <v>19222</v>
      </c>
      <c r="L721" s="56" t="s">
        <v>230</v>
      </c>
      <c r="M721" s="4" t="s">
        <v>392</v>
      </c>
      <c r="N721" s="4" t="s">
        <v>362</v>
      </c>
      <c r="O721" s="4" t="s">
        <v>178</v>
      </c>
    </row>
    <row r="722" spans="2:15">
      <c r="B722" s="20"/>
      <c r="C722" s="20">
        <v>44894</v>
      </c>
      <c r="D722" s="54">
        <v>50144376</v>
      </c>
      <c r="E722" s="55" t="s">
        <v>19</v>
      </c>
      <c r="F722" s="56">
        <v>20</v>
      </c>
      <c r="G722" s="68">
        <v>10000</v>
      </c>
      <c r="H722" s="56" t="s">
        <v>92</v>
      </c>
      <c r="J722" s="56">
        <v>1375</v>
      </c>
      <c r="L722" s="56" t="s">
        <v>201</v>
      </c>
      <c r="M722" s="4" t="s">
        <v>201</v>
      </c>
      <c r="N722" s="4" t="s">
        <v>538</v>
      </c>
      <c r="O722" s="4" t="s">
        <v>178</v>
      </c>
    </row>
    <row r="723" spans="2:15">
      <c r="B723" s="20"/>
      <c r="C723" s="20">
        <v>44894</v>
      </c>
      <c r="D723" s="54">
        <v>50272278</v>
      </c>
      <c r="E723" s="55" t="s">
        <v>21</v>
      </c>
      <c r="F723" s="56">
        <v>12</v>
      </c>
      <c r="G723" s="68">
        <v>6000</v>
      </c>
      <c r="H723" s="56" t="s">
        <v>92</v>
      </c>
      <c r="J723" s="56">
        <v>17517</v>
      </c>
      <c r="L723" s="56" t="s">
        <v>262</v>
      </c>
      <c r="M723" s="4" t="s">
        <v>262</v>
      </c>
      <c r="N723" s="4" t="s">
        <v>364</v>
      </c>
      <c r="O723" s="4" t="s">
        <v>178</v>
      </c>
    </row>
    <row r="724" spans="2:15">
      <c r="B724" s="20"/>
      <c r="C724" s="20">
        <v>44894</v>
      </c>
      <c r="D724" s="54">
        <v>50470190</v>
      </c>
      <c r="E724" s="55" t="s">
        <v>12</v>
      </c>
      <c r="F724" s="56">
        <v>32</v>
      </c>
      <c r="G724" s="68">
        <v>9273600</v>
      </c>
      <c r="H724" s="56" t="s">
        <v>92</v>
      </c>
      <c r="J724" s="56">
        <v>19297</v>
      </c>
      <c r="L724" s="56" t="s">
        <v>230</v>
      </c>
      <c r="M724" s="4" t="s">
        <v>392</v>
      </c>
      <c r="N724" s="4" t="s">
        <v>362</v>
      </c>
      <c r="O724" s="4" t="s">
        <v>178</v>
      </c>
    </row>
    <row r="725" spans="2:15">
      <c r="B725" s="20"/>
      <c r="C725" s="20">
        <v>44895</v>
      </c>
      <c r="D725" s="54">
        <v>50141786</v>
      </c>
      <c r="E725" s="55" t="s">
        <v>188</v>
      </c>
      <c r="F725" s="56">
        <v>20</v>
      </c>
      <c r="G725" s="68">
        <v>11200</v>
      </c>
      <c r="H725" s="56" t="s">
        <v>82</v>
      </c>
      <c r="J725" s="56">
        <v>1093600</v>
      </c>
      <c r="K725" s="4" t="s">
        <v>694</v>
      </c>
      <c r="L725" s="56" t="s">
        <v>189</v>
      </c>
      <c r="M725" s="4" t="s">
        <v>209</v>
      </c>
      <c r="N725" s="4" t="s">
        <v>490</v>
      </c>
      <c r="O725" s="4" t="s">
        <v>178</v>
      </c>
    </row>
    <row r="726" spans="2:15">
      <c r="B726" s="20"/>
      <c r="C726" s="20">
        <v>44895</v>
      </c>
      <c r="D726" s="54">
        <v>50141786</v>
      </c>
      <c r="E726" s="55" t="s">
        <v>188</v>
      </c>
      <c r="F726" s="56">
        <v>20</v>
      </c>
      <c r="G726" s="68">
        <v>11200</v>
      </c>
      <c r="H726" s="56" t="s">
        <v>82</v>
      </c>
      <c r="J726" s="56">
        <v>1093600</v>
      </c>
      <c r="K726" s="4" t="s">
        <v>695</v>
      </c>
      <c r="L726" s="56" t="s">
        <v>189</v>
      </c>
      <c r="M726" s="4" t="s">
        <v>209</v>
      </c>
      <c r="N726" s="4" t="s">
        <v>696</v>
      </c>
      <c r="O726" s="4" t="s">
        <v>178</v>
      </c>
    </row>
    <row r="727" spans="2:15">
      <c r="B727" s="20"/>
      <c r="C727" s="20">
        <v>44895</v>
      </c>
      <c r="D727" s="54">
        <v>50272278</v>
      </c>
      <c r="E727" s="55" t="s">
        <v>21</v>
      </c>
      <c r="F727" s="56">
        <v>20</v>
      </c>
      <c r="G727" s="68">
        <v>10000</v>
      </c>
      <c r="H727" s="56" t="s">
        <v>92</v>
      </c>
      <c r="J727" s="56">
        <v>1427</v>
      </c>
      <c r="L727" s="56" t="s">
        <v>201</v>
      </c>
      <c r="M727" s="4" t="s">
        <v>201</v>
      </c>
      <c r="N727" s="4" t="s">
        <v>538</v>
      </c>
      <c r="O727" s="4" t="s">
        <v>178</v>
      </c>
    </row>
    <row r="728" spans="2:15">
      <c r="B728" s="20"/>
      <c r="C728" s="20">
        <v>44895</v>
      </c>
      <c r="D728" s="54">
        <v>50272278</v>
      </c>
      <c r="E728" s="55" t="s">
        <v>21</v>
      </c>
      <c r="F728" s="56">
        <v>19</v>
      </c>
      <c r="G728" s="68">
        <v>9500</v>
      </c>
      <c r="H728" s="56" t="s">
        <v>92</v>
      </c>
      <c r="J728" s="56">
        <v>1430</v>
      </c>
      <c r="L728" s="56" t="s">
        <v>201</v>
      </c>
      <c r="M728" s="4" t="s">
        <v>201</v>
      </c>
      <c r="N728" s="4" t="s">
        <v>697</v>
      </c>
      <c r="O728" s="4" t="s">
        <v>178</v>
      </c>
    </row>
    <row r="729" spans="2:15">
      <c r="B729" s="20"/>
      <c r="C729" s="20">
        <v>44897</v>
      </c>
      <c r="D729" s="54">
        <v>50144376</v>
      </c>
      <c r="E729" s="55" t="s">
        <v>19</v>
      </c>
      <c r="F729" s="56">
        <v>7</v>
      </c>
      <c r="G729" s="68">
        <v>1000</v>
      </c>
      <c r="H729" s="56" t="s">
        <v>92</v>
      </c>
      <c r="J729" s="56">
        <v>13676</v>
      </c>
      <c r="L729" s="56" t="s">
        <v>315</v>
      </c>
      <c r="M729" s="4" t="s">
        <v>176</v>
      </c>
      <c r="N729" s="4" t="s">
        <v>193</v>
      </c>
      <c r="O729" s="4" t="s">
        <v>178</v>
      </c>
    </row>
    <row r="730" spans="2:15">
      <c r="B730" s="20"/>
      <c r="C730" s="20">
        <v>44897</v>
      </c>
      <c r="D730" s="54">
        <v>50272278</v>
      </c>
      <c r="E730" s="55" t="s">
        <v>21</v>
      </c>
      <c r="F730" s="56">
        <v>4</v>
      </c>
      <c r="G730" s="68">
        <v>2300</v>
      </c>
      <c r="H730" s="56" t="s">
        <v>92</v>
      </c>
      <c r="J730" s="56">
        <v>13676</v>
      </c>
      <c r="L730" s="56" t="s">
        <v>315</v>
      </c>
      <c r="M730" s="4" t="s">
        <v>176</v>
      </c>
      <c r="N730" s="4" t="s">
        <v>193</v>
      </c>
      <c r="O730" s="4" t="s">
        <v>178</v>
      </c>
    </row>
    <row r="731" spans="2:15">
      <c r="B731" s="20"/>
      <c r="C731" s="20">
        <v>44900</v>
      </c>
      <c r="D731" s="54">
        <v>50801001</v>
      </c>
      <c r="E731" s="55" t="s">
        <v>698</v>
      </c>
      <c r="F731" s="56">
        <v>9</v>
      </c>
      <c r="G731" s="68">
        <v>3165.9</v>
      </c>
      <c r="H731" s="56" t="s">
        <v>82</v>
      </c>
      <c r="J731" s="56">
        <v>11597</v>
      </c>
      <c r="L731" s="56" t="s">
        <v>243</v>
      </c>
      <c r="M731" s="4" t="s">
        <v>660</v>
      </c>
      <c r="N731" s="4" t="s">
        <v>353</v>
      </c>
      <c r="O731" s="4" t="s">
        <v>178</v>
      </c>
    </row>
    <row r="732" spans="2:15">
      <c r="B732" s="20"/>
      <c r="C732" s="20">
        <v>44904</v>
      </c>
      <c r="D732" s="54">
        <v>50145028</v>
      </c>
      <c r="E732" s="55" t="s">
        <v>23</v>
      </c>
      <c r="F732" s="56">
        <v>6</v>
      </c>
      <c r="G732" s="68">
        <v>1000</v>
      </c>
      <c r="H732" s="56" t="s">
        <v>92</v>
      </c>
      <c r="J732" s="56">
        <v>2074</v>
      </c>
      <c r="L732" s="56" t="s">
        <v>388</v>
      </c>
      <c r="M732" s="4" t="s">
        <v>388</v>
      </c>
      <c r="N732" s="4" t="s">
        <v>699</v>
      </c>
      <c r="O732" s="4" t="s">
        <v>178</v>
      </c>
    </row>
    <row r="733" spans="2:15">
      <c r="B733" s="20"/>
      <c r="C733" s="20">
        <v>44905</v>
      </c>
      <c r="D733" s="54">
        <v>50142281</v>
      </c>
      <c r="E733" s="55" t="s">
        <v>204</v>
      </c>
      <c r="F733" s="56">
        <v>19</v>
      </c>
      <c r="G733" s="68">
        <v>8550</v>
      </c>
      <c r="H733" s="56" t="s">
        <v>82</v>
      </c>
      <c r="J733" s="56">
        <v>97704204</v>
      </c>
      <c r="K733" s="4" t="s">
        <v>700</v>
      </c>
      <c r="L733" s="56" t="s">
        <v>572</v>
      </c>
      <c r="M733" s="4" t="s">
        <v>520</v>
      </c>
      <c r="N733" s="4" t="s">
        <v>701</v>
      </c>
      <c r="O733" s="4" t="s">
        <v>178</v>
      </c>
    </row>
    <row r="734" spans="2:15">
      <c r="B734" s="20"/>
      <c r="C734" s="20">
        <v>44908</v>
      </c>
      <c r="D734" s="54">
        <v>40011080</v>
      </c>
      <c r="E734" s="55" t="s">
        <v>420</v>
      </c>
      <c r="F734" s="56">
        <v>7</v>
      </c>
      <c r="G734" s="68">
        <v>3016</v>
      </c>
      <c r="H734" s="56" t="s">
        <v>80</v>
      </c>
      <c r="K734" s="4" t="s">
        <v>702</v>
      </c>
      <c r="L734" s="56" t="s">
        <v>423</v>
      </c>
      <c r="M734" s="4" t="s">
        <v>645</v>
      </c>
      <c r="N734" s="4" t="s">
        <v>679</v>
      </c>
      <c r="O734" s="4" t="s">
        <v>178</v>
      </c>
    </row>
    <row r="735" spans="2:15">
      <c r="B735" s="20"/>
      <c r="C735" s="20">
        <v>44908</v>
      </c>
      <c r="D735" s="54">
        <v>40011148</v>
      </c>
      <c r="E735" s="55" t="s">
        <v>86</v>
      </c>
      <c r="F735" s="56">
        <v>14</v>
      </c>
      <c r="G735" s="68">
        <v>6260</v>
      </c>
      <c r="H735" s="56" t="s">
        <v>80</v>
      </c>
      <c r="K735" s="4" t="s">
        <v>702</v>
      </c>
      <c r="L735" s="56" t="s">
        <v>423</v>
      </c>
      <c r="M735" s="4" t="s">
        <v>645</v>
      </c>
      <c r="N735" s="4" t="s">
        <v>679</v>
      </c>
      <c r="O735" s="4" t="s">
        <v>178</v>
      </c>
    </row>
    <row r="736" spans="2:15">
      <c r="B736" s="20"/>
      <c r="C736" s="20">
        <v>44908</v>
      </c>
      <c r="D736" s="54">
        <v>40011149</v>
      </c>
      <c r="E736" s="55" t="s">
        <v>37</v>
      </c>
      <c r="F736" s="56">
        <v>2</v>
      </c>
      <c r="G736" s="68">
        <v>720</v>
      </c>
      <c r="H736" s="56" t="s">
        <v>80</v>
      </c>
      <c r="K736" s="4" t="s">
        <v>702</v>
      </c>
      <c r="L736" s="56" t="s">
        <v>423</v>
      </c>
      <c r="M736" s="4" t="s">
        <v>645</v>
      </c>
      <c r="N736" s="4" t="s">
        <v>679</v>
      </c>
      <c r="O736" s="4" t="s">
        <v>178</v>
      </c>
    </row>
    <row r="737" spans="2:15">
      <c r="B737" s="20"/>
      <c r="C737" s="20">
        <v>44910</v>
      </c>
      <c r="D737" s="54">
        <v>50142631</v>
      </c>
      <c r="E737" s="55" t="s">
        <v>566</v>
      </c>
      <c r="F737" s="56">
        <v>2</v>
      </c>
      <c r="G737" s="68">
        <v>1500</v>
      </c>
      <c r="H737" s="56" t="s">
        <v>82</v>
      </c>
      <c r="J737" s="56">
        <v>53654</v>
      </c>
      <c r="L737" s="56" t="s">
        <v>567</v>
      </c>
      <c r="M737" s="4" t="s">
        <v>568</v>
      </c>
      <c r="N737" s="4" t="s">
        <v>569</v>
      </c>
      <c r="O737" s="4" t="s">
        <v>178</v>
      </c>
    </row>
    <row r="738" spans="2:15">
      <c r="B738" s="20"/>
      <c r="C738" s="20">
        <v>44911</v>
      </c>
      <c r="D738" s="54">
        <v>40010086</v>
      </c>
      <c r="E738" s="55" t="s">
        <v>79</v>
      </c>
      <c r="F738" s="56">
        <v>2</v>
      </c>
      <c r="G738" s="68">
        <v>5829</v>
      </c>
      <c r="H738" s="56" t="s">
        <v>80</v>
      </c>
      <c r="K738" s="4" t="s">
        <v>703</v>
      </c>
      <c r="L738" s="56" t="s">
        <v>175</v>
      </c>
      <c r="M738" s="4" t="s">
        <v>520</v>
      </c>
      <c r="N738" s="4" t="s">
        <v>704</v>
      </c>
      <c r="O738" s="4" t="s">
        <v>178</v>
      </c>
    </row>
    <row r="739" spans="2:15">
      <c r="B739" s="20"/>
      <c r="C739" s="20">
        <v>44911</v>
      </c>
      <c r="D739" s="54">
        <v>40010084</v>
      </c>
      <c r="E739" s="55" t="s">
        <v>81</v>
      </c>
      <c r="F739" s="56">
        <v>4</v>
      </c>
      <c r="G739" s="68">
        <v>4128</v>
      </c>
      <c r="H739" s="56" t="s">
        <v>80</v>
      </c>
      <c r="K739" s="4" t="s">
        <v>703</v>
      </c>
      <c r="L739" s="56" t="s">
        <v>175</v>
      </c>
      <c r="M739" s="4" t="s">
        <v>520</v>
      </c>
      <c r="N739" s="4" t="s">
        <v>704</v>
      </c>
      <c r="O739" s="4" t="s">
        <v>178</v>
      </c>
    </row>
    <row r="740" spans="2:15">
      <c r="B740" s="20"/>
      <c r="C740" s="20">
        <v>44911</v>
      </c>
      <c r="D740" s="54">
        <v>40010087</v>
      </c>
      <c r="E740" s="55" t="s">
        <v>387</v>
      </c>
      <c r="F740" s="56">
        <v>9</v>
      </c>
      <c r="G740" s="68">
        <v>6174</v>
      </c>
      <c r="H740" s="56" t="s">
        <v>80</v>
      </c>
      <c r="K740" s="4" t="s">
        <v>703</v>
      </c>
      <c r="L740" s="56" t="s">
        <v>175</v>
      </c>
      <c r="M740" s="4" t="s">
        <v>520</v>
      </c>
      <c r="N740" s="4" t="s">
        <v>704</v>
      </c>
      <c r="O740" s="4" t="s">
        <v>178</v>
      </c>
    </row>
    <row r="741" spans="2:15">
      <c r="B741" s="20"/>
      <c r="C741" s="20">
        <v>44911</v>
      </c>
      <c r="D741" s="54">
        <v>40010083</v>
      </c>
      <c r="E741" s="55" t="s">
        <v>85</v>
      </c>
      <c r="F741" s="56">
        <v>1</v>
      </c>
      <c r="G741" s="68">
        <v>3808</v>
      </c>
      <c r="H741" s="56" t="s">
        <v>80</v>
      </c>
      <c r="K741" s="4" t="s">
        <v>703</v>
      </c>
      <c r="L741" s="56" t="s">
        <v>175</v>
      </c>
      <c r="M741" s="4" t="s">
        <v>520</v>
      </c>
      <c r="N741" s="4" t="s">
        <v>704</v>
      </c>
      <c r="O741" s="4" t="s">
        <v>178</v>
      </c>
    </row>
    <row r="742" spans="2:15">
      <c r="B742" s="20"/>
      <c r="C742" s="20">
        <v>44911</v>
      </c>
      <c r="D742" s="54">
        <v>50145029</v>
      </c>
      <c r="E742" s="55" t="s">
        <v>705</v>
      </c>
      <c r="G742" s="68">
        <v>12</v>
      </c>
      <c r="H742" s="56" t="s">
        <v>505</v>
      </c>
      <c r="J742" s="56">
        <v>501</v>
      </c>
      <c r="L742" s="56" t="s">
        <v>506</v>
      </c>
      <c r="M742" s="4" t="s">
        <v>507</v>
      </c>
      <c r="N742" s="4" t="s">
        <v>706</v>
      </c>
      <c r="O742" s="4" t="s">
        <v>178</v>
      </c>
    </row>
    <row r="743" spans="2:15">
      <c r="B743" s="20"/>
      <c r="C743" s="20">
        <v>44911</v>
      </c>
      <c r="D743" s="54">
        <v>50392045</v>
      </c>
      <c r="E743" s="55" t="s">
        <v>707</v>
      </c>
      <c r="G743" s="68">
        <v>24</v>
      </c>
      <c r="H743" s="56" t="s">
        <v>505</v>
      </c>
      <c r="J743" s="56">
        <v>501</v>
      </c>
      <c r="L743" s="56" t="s">
        <v>506</v>
      </c>
      <c r="M743" s="4" t="s">
        <v>507</v>
      </c>
      <c r="N743" s="4" t="s">
        <v>706</v>
      </c>
      <c r="O743" s="4" t="s">
        <v>178</v>
      </c>
    </row>
    <row r="744" spans="2:15">
      <c r="B744" s="20"/>
      <c r="C744" s="20">
        <v>44911</v>
      </c>
      <c r="D744" s="54">
        <v>50145012</v>
      </c>
      <c r="E744" s="55" t="s">
        <v>504</v>
      </c>
      <c r="G744" s="68">
        <v>12</v>
      </c>
      <c r="H744" s="56" t="s">
        <v>505</v>
      </c>
      <c r="J744" s="56">
        <v>501</v>
      </c>
      <c r="L744" s="56" t="s">
        <v>506</v>
      </c>
      <c r="M744" s="4" t="s">
        <v>507</v>
      </c>
      <c r="N744" s="4" t="s">
        <v>706</v>
      </c>
      <c r="O744" s="4" t="s">
        <v>178</v>
      </c>
    </row>
    <row r="745" spans="2:15">
      <c r="B745" s="20"/>
      <c r="C745" s="20">
        <v>44911</v>
      </c>
      <c r="D745" s="54">
        <v>50392046</v>
      </c>
      <c r="E745" s="55" t="s">
        <v>509</v>
      </c>
      <c r="G745" s="68">
        <v>12</v>
      </c>
      <c r="H745" s="56" t="s">
        <v>505</v>
      </c>
      <c r="J745" s="56">
        <v>501</v>
      </c>
      <c r="L745" s="56" t="s">
        <v>506</v>
      </c>
      <c r="M745" s="4" t="s">
        <v>507</v>
      </c>
      <c r="N745" s="4" t="s">
        <v>706</v>
      </c>
      <c r="O745" s="4" t="s">
        <v>178</v>
      </c>
    </row>
    <row r="746" spans="2:15">
      <c r="B746" s="20"/>
      <c r="C746" s="20">
        <v>44911</v>
      </c>
      <c r="D746" s="54">
        <v>50470190</v>
      </c>
      <c r="E746" s="55" t="s">
        <v>12</v>
      </c>
      <c r="F746" s="56">
        <v>32</v>
      </c>
      <c r="G746" s="68">
        <v>9273600</v>
      </c>
      <c r="H746" s="56" t="s">
        <v>92</v>
      </c>
      <c r="J746" s="56">
        <v>19731</v>
      </c>
      <c r="L746" s="56" t="s">
        <v>230</v>
      </c>
      <c r="M746" s="4" t="s">
        <v>392</v>
      </c>
      <c r="N746" s="4" t="s">
        <v>589</v>
      </c>
      <c r="O746" s="4" t="s">
        <v>178</v>
      </c>
    </row>
    <row r="747" spans="2:15">
      <c r="B747" s="20"/>
      <c r="C747" s="20">
        <v>44915</v>
      </c>
      <c r="D747" s="54">
        <v>50010080</v>
      </c>
      <c r="E747" s="55" t="s">
        <v>354</v>
      </c>
      <c r="F747" s="56">
        <v>15</v>
      </c>
      <c r="G747" s="68">
        <v>15000</v>
      </c>
      <c r="H747" s="56" t="s">
        <v>82</v>
      </c>
      <c r="J747" s="56">
        <v>7670</v>
      </c>
      <c r="L747" s="56" t="s">
        <v>355</v>
      </c>
      <c r="M747" s="4" t="s">
        <v>650</v>
      </c>
      <c r="N747" s="4" t="s">
        <v>708</v>
      </c>
      <c r="O747" s="4" t="s">
        <v>178</v>
      </c>
    </row>
    <row r="748" spans="2:15">
      <c r="B748" s="20"/>
      <c r="C748" s="20">
        <v>44916</v>
      </c>
      <c r="D748" s="54">
        <v>50507916</v>
      </c>
      <c r="E748" s="55" t="s">
        <v>406</v>
      </c>
      <c r="F748" s="56">
        <v>42</v>
      </c>
      <c r="G748" s="68">
        <v>11077000</v>
      </c>
      <c r="H748" s="56" t="s">
        <v>92</v>
      </c>
      <c r="J748" s="56" t="s">
        <v>709</v>
      </c>
      <c r="K748" s="4" t="s">
        <v>710</v>
      </c>
      <c r="L748" s="56" t="s">
        <v>711</v>
      </c>
      <c r="M748" s="4" t="s">
        <v>209</v>
      </c>
      <c r="N748" s="4" t="s">
        <v>712</v>
      </c>
      <c r="O748" s="4" t="s">
        <v>178</v>
      </c>
    </row>
    <row r="749" spans="2:15">
      <c r="B749" s="20"/>
      <c r="C749" s="20">
        <v>44916</v>
      </c>
      <c r="D749" s="54">
        <v>50143875</v>
      </c>
      <c r="E749" s="55" t="s">
        <v>713</v>
      </c>
      <c r="G749" s="68">
        <v>10000</v>
      </c>
      <c r="H749" s="56" t="s">
        <v>92</v>
      </c>
      <c r="J749" s="56">
        <v>12819</v>
      </c>
      <c r="L749" s="56" t="s">
        <v>615</v>
      </c>
      <c r="M749" s="4" t="s">
        <v>615</v>
      </c>
      <c r="N749" s="4" t="s">
        <v>714</v>
      </c>
      <c r="O749" s="4" t="s">
        <v>178</v>
      </c>
    </row>
    <row r="750" spans="2:15">
      <c r="B750" s="20"/>
      <c r="C750" s="20">
        <v>44917</v>
      </c>
      <c r="D750" s="54">
        <v>50507916</v>
      </c>
      <c r="E750" s="55" t="s">
        <v>406</v>
      </c>
      <c r="F750" s="56">
        <v>42</v>
      </c>
      <c r="G750" s="68">
        <v>11088000</v>
      </c>
      <c r="H750" s="56" t="s">
        <v>92</v>
      </c>
      <c r="J750" s="56" t="s">
        <v>709</v>
      </c>
      <c r="K750" s="4" t="s">
        <v>715</v>
      </c>
      <c r="L750" s="56" t="s">
        <v>711</v>
      </c>
      <c r="M750" s="4" t="s">
        <v>209</v>
      </c>
      <c r="N750" s="4" t="s">
        <v>716</v>
      </c>
      <c r="O750" s="4" t="s">
        <v>178</v>
      </c>
    </row>
    <row r="751" spans="2:15">
      <c r="B751" s="20"/>
      <c r="C751" s="20">
        <v>44918</v>
      </c>
      <c r="D751" s="54">
        <v>50272278</v>
      </c>
      <c r="E751" s="55" t="s">
        <v>21</v>
      </c>
      <c r="F751" s="56">
        <v>12</v>
      </c>
      <c r="G751" s="68">
        <v>6000</v>
      </c>
      <c r="H751" s="56" t="s">
        <v>92</v>
      </c>
      <c r="J751" s="56">
        <v>17604</v>
      </c>
      <c r="L751" s="56" t="s">
        <v>262</v>
      </c>
      <c r="M751" s="4" t="s">
        <v>262</v>
      </c>
      <c r="N751" s="4" t="s">
        <v>364</v>
      </c>
      <c r="O751" s="4" t="s">
        <v>178</v>
      </c>
    </row>
    <row r="752" spans="2:15">
      <c r="B752" s="20"/>
      <c r="C752" s="20">
        <v>44918</v>
      </c>
      <c r="D752" s="54">
        <v>50145028</v>
      </c>
      <c r="E752" s="55" t="s">
        <v>23</v>
      </c>
      <c r="F752" s="56">
        <v>6</v>
      </c>
      <c r="G752" s="68">
        <v>1000</v>
      </c>
      <c r="H752" s="56" t="s">
        <v>92</v>
      </c>
      <c r="J752" s="56">
        <v>2082</v>
      </c>
      <c r="L752" s="56" t="s">
        <v>388</v>
      </c>
      <c r="M752" s="4" t="s">
        <v>388</v>
      </c>
      <c r="N752" s="4" t="s">
        <v>699</v>
      </c>
      <c r="O752" s="4" t="s">
        <v>178</v>
      </c>
    </row>
    <row r="753" spans="2:15">
      <c r="B753" s="20"/>
      <c r="C753" s="20">
        <v>44918</v>
      </c>
      <c r="D753" s="54">
        <v>50470190</v>
      </c>
      <c r="E753" s="55" t="s">
        <v>12</v>
      </c>
      <c r="F753" s="56">
        <v>32</v>
      </c>
      <c r="G753" s="68">
        <v>9273600</v>
      </c>
      <c r="H753" s="56" t="s">
        <v>92</v>
      </c>
      <c r="J753" s="56">
        <v>19844</v>
      </c>
      <c r="L753" s="56" t="s">
        <v>230</v>
      </c>
      <c r="M753" s="4" t="s">
        <v>392</v>
      </c>
      <c r="N753" s="4" t="s">
        <v>589</v>
      </c>
      <c r="O753" s="4" t="s">
        <v>178</v>
      </c>
    </row>
    <row r="754" spans="2:15">
      <c r="B754" s="20"/>
      <c r="C754" s="20">
        <v>44921</v>
      </c>
      <c r="D754" s="54">
        <v>50144376</v>
      </c>
      <c r="E754" s="55" t="s">
        <v>19</v>
      </c>
      <c r="F754" s="56">
        <v>20</v>
      </c>
      <c r="G754" s="68">
        <v>10000</v>
      </c>
      <c r="H754" s="56" t="s">
        <v>92</v>
      </c>
      <c r="J754" s="56">
        <v>1974</v>
      </c>
      <c r="L754" s="56" t="s">
        <v>201</v>
      </c>
      <c r="M754" s="4" t="s">
        <v>717</v>
      </c>
      <c r="N754" s="4" t="s">
        <v>623</v>
      </c>
      <c r="O754" s="4" t="s">
        <v>178</v>
      </c>
    </row>
    <row r="755" spans="2:15">
      <c r="B755" s="20"/>
      <c r="C755" s="20">
        <v>44922</v>
      </c>
      <c r="D755" s="54">
        <v>40011661</v>
      </c>
      <c r="E755" s="55" t="s">
        <v>608</v>
      </c>
      <c r="F755" s="56">
        <v>26</v>
      </c>
      <c r="G755" s="68">
        <v>10790</v>
      </c>
      <c r="H755" s="56" t="s">
        <v>80</v>
      </c>
      <c r="J755" s="56" t="s">
        <v>718</v>
      </c>
      <c r="K755" s="4" t="s">
        <v>719</v>
      </c>
      <c r="L755" s="56" t="s">
        <v>423</v>
      </c>
      <c r="M755" s="4" t="s">
        <v>394</v>
      </c>
      <c r="N755" s="4" t="s">
        <v>720</v>
      </c>
      <c r="O755" s="4" t="s">
        <v>178</v>
      </c>
    </row>
    <row r="756" spans="2:15">
      <c r="B756" s="20"/>
      <c r="C756" s="20">
        <v>44922</v>
      </c>
      <c r="D756" s="54">
        <v>40011659</v>
      </c>
      <c r="E756" s="55" t="s">
        <v>89</v>
      </c>
      <c r="F756" s="56">
        <v>10</v>
      </c>
      <c r="G756" s="68">
        <v>3432</v>
      </c>
      <c r="H756" s="56" t="s">
        <v>80</v>
      </c>
      <c r="J756" s="56" t="s">
        <v>718</v>
      </c>
      <c r="K756" s="4" t="s">
        <v>721</v>
      </c>
      <c r="L756" s="56" t="s">
        <v>423</v>
      </c>
      <c r="M756" s="4" t="s">
        <v>394</v>
      </c>
      <c r="N756" s="4" t="s">
        <v>452</v>
      </c>
      <c r="O756" s="4" t="s">
        <v>178</v>
      </c>
    </row>
    <row r="757" spans="2:15">
      <c r="B757" s="20"/>
      <c r="C757" s="20">
        <v>44922</v>
      </c>
      <c r="D757" s="54">
        <v>40011780</v>
      </c>
      <c r="E757" s="55" t="s">
        <v>584</v>
      </c>
      <c r="F757" s="56">
        <v>5</v>
      </c>
      <c r="G757" s="68">
        <v>2030</v>
      </c>
      <c r="H757" s="56" t="s">
        <v>80</v>
      </c>
      <c r="J757" s="56" t="s">
        <v>718</v>
      </c>
      <c r="K757" s="4" t="s">
        <v>721</v>
      </c>
      <c r="L757" s="56" t="s">
        <v>423</v>
      </c>
      <c r="M757" s="4" t="s">
        <v>394</v>
      </c>
      <c r="N757" s="4" t="s">
        <v>452</v>
      </c>
      <c r="O757" s="4" t="s">
        <v>178</v>
      </c>
    </row>
    <row r="758" spans="2:15">
      <c r="B758" s="20"/>
      <c r="C758" s="20">
        <v>44922</v>
      </c>
      <c r="D758" s="54">
        <v>40011588</v>
      </c>
      <c r="E758" s="55" t="s">
        <v>585</v>
      </c>
      <c r="F758" s="56">
        <v>13</v>
      </c>
      <c r="G758" s="68">
        <v>5495.7</v>
      </c>
      <c r="H758" s="56" t="s">
        <v>80</v>
      </c>
      <c r="J758" s="56" t="s">
        <v>718</v>
      </c>
      <c r="K758" s="4" t="s">
        <v>721</v>
      </c>
      <c r="L758" s="56" t="s">
        <v>423</v>
      </c>
      <c r="M758" s="4" t="s">
        <v>394</v>
      </c>
      <c r="N758" s="4" t="s">
        <v>452</v>
      </c>
      <c r="O758" s="4" t="s">
        <v>178</v>
      </c>
    </row>
    <row r="759" spans="2:15">
      <c r="B759" s="20"/>
      <c r="C759" s="20">
        <v>44923</v>
      </c>
      <c r="D759" s="54">
        <v>50272278</v>
      </c>
      <c r="E759" s="55" t="s">
        <v>21</v>
      </c>
      <c r="F759" s="56">
        <v>20</v>
      </c>
      <c r="G759" s="68">
        <v>10000</v>
      </c>
      <c r="H759" s="56" t="s">
        <v>92</v>
      </c>
      <c r="J759" s="56">
        <v>2030</v>
      </c>
      <c r="L759" s="56" t="s">
        <v>201</v>
      </c>
      <c r="M759" s="4" t="s">
        <v>201</v>
      </c>
      <c r="N759" s="4" t="s">
        <v>692</v>
      </c>
      <c r="O759" s="4" t="s">
        <v>178</v>
      </c>
    </row>
    <row r="760" spans="2:15">
      <c r="B760" s="20"/>
      <c r="C760" s="20">
        <v>44923</v>
      </c>
      <c r="D760" s="54">
        <v>50144376</v>
      </c>
      <c r="E760" s="55" t="s">
        <v>19</v>
      </c>
      <c r="F760" s="56">
        <v>20</v>
      </c>
      <c r="G760" s="68">
        <v>10000</v>
      </c>
      <c r="H760" s="56" t="s">
        <v>92</v>
      </c>
      <c r="J760" s="56">
        <v>2029</v>
      </c>
      <c r="L760" s="56" t="s">
        <v>201</v>
      </c>
      <c r="M760" s="4" t="s">
        <v>201</v>
      </c>
      <c r="N760" s="4" t="s">
        <v>538</v>
      </c>
      <c r="O760" s="4" t="s">
        <v>178</v>
      </c>
    </row>
    <row r="761" spans="2:15">
      <c r="B761" s="20"/>
      <c r="C761" s="20">
        <v>44923</v>
      </c>
      <c r="D761" s="54">
        <v>50435419</v>
      </c>
      <c r="E761" s="55" t="s">
        <v>656</v>
      </c>
      <c r="F761" s="56">
        <v>7</v>
      </c>
      <c r="G761" s="68">
        <v>6132</v>
      </c>
      <c r="H761" s="56" t="s">
        <v>82</v>
      </c>
      <c r="J761" s="56">
        <v>1158062567</v>
      </c>
      <c r="L761" s="56" t="s">
        <v>722</v>
      </c>
      <c r="M761" s="4" t="s">
        <v>209</v>
      </c>
      <c r="N761" s="4" t="s">
        <v>488</v>
      </c>
      <c r="O761" s="4" t="s">
        <v>178</v>
      </c>
    </row>
    <row r="762" spans="2:15">
      <c r="B762" s="20"/>
      <c r="C762" s="20">
        <v>44924</v>
      </c>
      <c r="D762" s="54">
        <v>50142055</v>
      </c>
      <c r="E762" s="55" t="s">
        <v>206</v>
      </c>
      <c r="F762" s="56">
        <v>20</v>
      </c>
      <c r="G762" s="68">
        <v>12000</v>
      </c>
      <c r="H762" s="56" t="s">
        <v>82</v>
      </c>
      <c r="J762" s="56">
        <v>90866178</v>
      </c>
      <c r="K762" s="4" t="s">
        <v>723</v>
      </c>
      <c r="L762" s="56" t="s">
        <v>324</v>
      </c>
      <c r="M762" s="4" t="s">
        <v>209</v>
      </c>
      <c r="N762" s="4" t="s">
        <v>724</v>
      </c>
      <c r="O762" s="4" t="s">
        <v>178</v>
      </c>
    </row>
    <row r="763" spans="2:15">
      <c r="B763" s="20"/>
      <c r="C763" s="20">
        <v>44924</v>
      </c>
      <c r="D763" s="54">
        <v>50510131</v>
      </c>
      <c r="E763" s="55" t="s">
        <v>725</v>
      </c>
      <c r="F763" s="56">
        <v>4</v>
      </c>
      <c r="G763" s="68">
        <v>2062.45</v>
      </c>
      <c r="H763" s="56" t="s">
        <v>82</v>
      </c>
      <c r="J763" s="56">
        <v>11806</v>
      </c>
      <c r="L763" s="56" t="s">
        <v>243</v>
      </c>
      <c r="M763" s="4" t="s">
        <v>470</v>
      </c>
      <c r="N763" s="4" t="s">
        <v>353</v>
      </c>
      <c r="O763" s="4" t="s">
        <v>178</v>
      </c>
    </row>
    <row r="764" spans="2:15">
      <c r="B764" s="20"/>
      <c r="C764" s="20">
        <v>44925</v>
      </c>
      <c r="D764" s="54">
        <v>50145028</v>
      </c>
      <c r="E764" s="55" t="s">
        <v>23</v>
      </c>
      <c r="F764" s="56">
        <v>6</v>
      </c>
      <c r="G764" s="68">
        <v>1000</v>
      </c>
      <c r="H764" s="56" t="s">
        <v>92</v>
      </c>
      <c r="J764" s="56">
        <v>2084</v>
      </c>
      <c r="L764" s="56" t="s">
        <v>388</v>
      </c>
      <c r="M764" s="4" t="s">
        <v>388</v>
      </c>
      <c r="N764" s="4" t="s">
        <v>699</v>
      </c>
      <c r="O764" s="4" t="s">
        <v>178</v>
      </c>
    </row>
    <row r="765" spans="2:15">
      <c r="B765" s="20"/>
      <c r="C765" s="20">
        <v>44929</v>
      </c>
      <c r="D765" s="54">
        <v>50142334</v>
      </c>
      <c r="E765" s="55" t="s">
        <v>257</v>
      </c>
      <c r="F765" s="56">
        <v>30</v>
      </c>
      <c r="G765" s="68">
        <v>20021.4</v>
      </c>
      <c r="H765" s="56" t="s">
        <v>82</v>
      </c>
      <c r="J765" s="56">
        <v>8302175314</v>
      </c>
      <c r="K765" s="4" t="s">
        <v>726</v>
      </c>
      <c r="L765" s="56" t="s">
        <v>727</v>
      </c>
      <c r="M765" s="4" t="s">
        <v>209</v>
      </c>
      <c r="N765" s="4" t="s">
        <v>728</v>
      </c>
      <c r="O765" s="4" t="s">
        <v>178</v>
      </c>
    </row>
    <row r="766" spans="2:15">
      <c r="B766" s="20"/>
      <c r="C766" s="20">
        <v>44929</v>
      </c>
      <c r="D766" s="54">
        <v>50145028</v>
      </c>
      <c r="E766" s="55" t="s">
        <v>23</v>
      </c>
      <c r="F766" s="56">
        <v>6</v>
      </c>
      <c r="G766" s="68">
        <v>1000</v>
      </c>
      <c r="H766" s="56" t="s">
        <v>92</v>
      </c>
      <c r="J766" s="56">
        <v>2089</v>
      </c>
      <c r="L766" s="56" t="s">
        <v>388</v>
      </c>
      <c r="M766" s="4" t="s">
        <v>388</v>
      </c>
      <c r="N766" s="4" t="s">
        <v>699</v>
      </c>
      <c r="O766" s="4" t="s">
        <v>178</v>
      </c>
    </row>
    <row r="767" spans="2:15">
      <c r="B767" s="20"/>
      <c r="C767" s="20">
        <v>44929</v>
      </c>
      <c r="D767" s="54">
        <v>50141533</v>
      </c>
      <c r="E767" s="55" t="s">
        <v>494</v>
      </c>
      <c r="F767" s="56">
        <v>8</v>
      </c>
      <c r="G767" s="68">
        <v>9950</v>
      </c>
      <c r="H767" s="56" t="s">
        <v>82</v>
      </c>
      <c r="J767" s="56" t="s">
        <v>729</v>
      </c>
      <c r="L767" s="56" t="s">
        <v>495</v>
      </c>
      <c r="M767" s="4" t="s">
        <v>495</v>
      </c>
      <c r="N767" s="4" t="s">
        <v>730</v>
      </c>
      <c r="O767" s="4" t="s">
        <v>178</v>
      </c>
    </row>
    <row r="768" spans="2:15">
      <c r="B768" s="20"/>
      <c r="C768" s="20">
        <v>44930</v>
      </c>
      <c r="D768" s="54">
        <v>50143646</v>
      </c>
      <c r="E768" s="55" t="s">
        <v>191</v>
      </c>
      <c r="F768" s="56">
        <v>21</v>
      </c>
      <c r="G768" s="68">
        <v>10080</v>
      </c>
      <c r="H768" s="56" t="s">
        <v>82</v>
      </c>
      <c r="J768" s="56" t="s">
        <v>731</v>
      </c>
      <c r="K768" s="4" t="s">
        <v>732</v>
      </c>
      <c r="L768" s="56" t="s">
        <v>194</v>
      </c>
      <c r="M768" s="4" t="s">
        <v>645</v>
      </c>
      <c r="N768" s="4" t="s">
        <v>395</v>
      </c>
      <c r="O768" s="4" t="s">
        <v>178</v>
      </c>
    </row>
    <row r="769" spans="2:15">
      <c r="B769" s="20"/>
      <c r="C769" s="20">
        <v>44930</v>
      </c>
      <c r="D769" s="54">
        <v>50143646</v>
      </c>
      <c r="E769" s="55" t="s">
        <v>191</v>
      </c>
      <c r="F769" s="56">
        <v>21</v>
      </c>
      <c r="G769" s="68">
        <v>10080</v>
      </c>
      <c r="H769" s="56" t="s">
        <v>82</v>
      </c>
      <c r="J769" s="56" t="s">
        <v>731</v>
      </c>
      <c r="K769" s="4" t="s">
        <v>733</v>
      </c>
      <c r="L769" s="56" t="s">
        <v>194</v>
      </c>
      <c r="M769" s="4" t="s">
        <v>645</v>
      </c>
      <c r="N769" s="4" t="s">
        <v>734</v>
      </c>
      <c r="O769" s="4" t="s">
        <v>178</v>
      </c>
    </row>
    <row r="770" spans="2:15">
      <c r="B770" s="20"/>
      <c r="C770" s="20">
        <v>44935</v>
      </c>
      <c r="D770" s="54">
        <v>50145029</v>
      </c>
      <c r="E770" s="55" t="s">
        <v>705</v>
      </c>
      <c r="G770" s="68">
        <v>60</v>
      </c>
      <c r="H770" s="56" t="s">
        <v>505</v>
      </c>
      <c r="J770" s="56" t="s">
        <v>735</v>
      </c>
      <c r="L770" s="56" t="s">
        <v>506</v>
      </c>
      <c r="M770" s="4" t="s">
        <v>507</v>
      </c>
      <c r="N770" s="4" t="s">
        <v>706</v>
      </c>
      <c r="O770" s="4" t="s">
        <v>178</v>
      </c>
    </row>
    <row r="771" spans="2:15">
      <c r="B771" s="20"/>
      <c r="C771" s="20">
        <v>44935</v>
      </c>
      <c r="D771" s="54">
        <v>50392045</v>
      </c>
      <c r="E771" s="55" t="s">
        <v>707</v>
      </c>
      <c r="G771" s="68">
        <v>42</v>
      </c>
      <c r="H771" s="56" t="s">
        <v>505</v>
      </c>
      <c r="J771" s="56" t="s">
        <v>735</v>
      </c>
      <c r="L771" s="56" t="s">
        <v>506</v>
      </c>
      <c r="M771" s="4" t="s">
        <v>507</v>
      </c>
      <c r="N771" s="4" t="s">
        <v>706</v>
      </c>
      <c r="O771" s="4" t="s">
        <v>178</v>
      </c>
    </row>
    <row r="772" spans="2:15">
      <c r="B772" s="20"/>
      <c r="C772" s="20">
        <v>44935</v>
      </c>
      <c r="D772" s="54">
        <v>50145012</v>
      </c>
      <c r="E772" s="55" t="s">
        <v>504</v>
      </c>
      <c r="G772" s="68">
        <v>6</v>
      </c>
      <c r="H772" s="56" t="s">
        <v>505</v>
      </c>
      <c r="J772" s="56" t="s">
        <v>735</v>
      </c>
      <c r="L772" s="56" t="s">
        <v>506</v>
      </c>
      <c r="M772" s="4" t="s">
        <v>507</v>
      </c>
      <c r="N772" s="4" t="s">
        <v>706</v>
      </c>
      <c r="O772" s="4" t="s">
        <v>178</v>
      </c>
    </row>
    <row r="773" spans="2:15">
      <c r="B773" s="20"/>
      <c r="C773" s="20">
        <v>44935</v>
      </c>
      <c r="D773" s="54">
        <v>50392046</v>
      </c>
      <c r="E773" s="55" t="s">
        <v>509</v>
      </c>
      <c r="G773" s="68">
        <v>24</v>
      </c>
      <c r="H773" s="56" t="s">
        <v>505</v>
      </c>
      <c r="J773" s="56" t="s">
        <v>735</v>
      </c>
      <c r="L773" s="56" t="s">
        <v>506</v>
      </c>
      <c r="M773" s="4" t="s">
        <v>507</v>
      </c>
      <c r="N773" s="4" t="s">
        <v>706</v>
      </c>
      <c r="O773" s="4" t="s">
        <v>178</v>
      </c>
    </row>
    <row r="774" spans="2:15">
      <c r="B774" s="20"/>
      <c r="C774" s="20">
        <v>44937</v>
      </c>
      <c r="D774" s="54">
        <v>50145028</v>
      </c>
      <c r="E774" s="55" t="s">
        <v>23</v>
      </c>
      <c r="F774" s="56">
        <v>5</v>
      </c>
      <c r="G774" s="68">
        <v>1000</v>
      </c>
      <c r="H774" s="56" t="s">
        <v>92</v>
      </c>
      <c r="J774" s="56">
        <v>2095</v>
      </c>
      <c r="L774" s="56" t="s">
        <v>388</v>
      </c>
      <c r="M774" s="4" t="s">
        <v>388</v>
      </c>
      <c r="N774" s="4" t="s">
        <v>682</v>
      </c>
      <c r="O774" s="4" t="s">
        <v>178</v>
      </c>
    </row>
    <row r="775" spans="2:15">
      <c r="B775" s="20"/>
      <c r="C775" s="20">
        <v>44937</v>
      </c>
      <c r="D775" s="54">
        <v>50761569</v>
      </c>
      <c r="E775" s="55" t="s">
        <v>609</v>
      </c>
      <c r="F775" s="56">
        <v>10</v>
      </c>
      <c r="G775" s="68">
        <v>5036.6</v>
      </c>
      <c r="H775" s="56" t="s">
        <v>82</v>
      </c>
      <c r="J775" s="56">
        <v>11840</v>
      </c>
      <c r="L775" s="56" t="s">
        <v>243</v>
      </c>
      <c r="M775" s="4" t="s">
        <v>243</v>
      </c>
      <c r="N775" s="4" t="s">
        <v>574</v>
      </c>
      <c r="O775" s="4" t="s">
        <v>178</v>
      </c>
    </row>
    <row r="776" spans="2:15">
      <c r="B776" s="20"/>
      <c r="C776" s="20">
        <v>44937</v>
      </c>
      <c r="D776" s="54">
        <v>50337816</v>
      </c>
      <c r="E776" s="55" t="s">
        <v>245</v>
      </c>
      <c r="F776" s="56">
        <v>42</v>
      </c>
      <c r="G776" s="68">
        <v>11059</v>
      </c>
      <c r="H776" s="56" t="s">
        <v>80</v>
      </c>
      <c r="J776" s="56" t="s">
        <v>736</v>
      </c>
      <c r="K776" s="4" t="s">
        <v>737</v>
      </c>
      <c r="L776" s="56" t="s">
        <v>711</v>
      </c>
      <c r="M776" s="4" t="s">
        <v>209</v>
      </c>
      <c r="N776" s="4" t="s">
        <v>738</v>
      </c>
      <c r="O776" s="4" t="s">
        <v>178</v>
      </c>
    </row>
    <row r="777" spans="2:15">
      <c r="B777" s="20"/>
      <c r="C777" s="20">
        <v>44937</v>
      </c>
      <c r="D777" s="54">
        <v>50509889</v>
      </c>
      <c r="E777" s="55" t="s">
        <v>671</v>
      </c>
      <c r="F777" s="56">
        <v>16</v>
      </c>
      <c r="G777" s="68">
        <v>4302000</v>
      </c>
      <c r="H777" s="56" t="s">
        <v>92</v>
      </c>
      <c r="J777" s="56" t="s">
        <v>736</v>
      </c>
      <c r="K777" s="4" t="s">
        <v>739</v>
      </c>
      <c r="L777" s="56" t="s">
        <v>711</v>
      </c>
      <c r="M777" s="4" t="s">
        <v>209</v>
      </c>
      <c r="N777" s="4" t="s">
        <v>464</v>
      </c>
      <c r="O777" s="4" t="s">
        <v>178</v>
      </c>
    </row>
    <row r="778" spans="2:15">
      <c r="B778" s="20"/>
      <c r="C778" s="20">
        <v>44937</v>
      </c>
      <c r="D778" s="54">
        <v>50507916</v>
      </c>
      <c r="E778" s="55" t="s">
        <v>406</v>
      </c>
      <c r="F778" s="56">
        <v>11</v>
      </c>
      <c r="G778" s="68">
        <v>2901000</v>
      </c>
      <c r="H778" s="56" t="s">
        <v>92</v>
      </c>
      <c r="J778" s="56" t="s">
        <v>736</v>
      </c>
      <c r="K778" s="4" t="s">
        <v>739</v>
      </c>
      <c r="L778" s="56" t="s">
        <v>711</v>
      </c>
      <c r="M778" s="4" t="s">
        <v>209</v>
      </c>
      <c r="N778" s="4" t="s">
        <v>464</v>
      </c>
      <c r="O778" s="4" t="s">
        <v>178</v>
      </c>
    </row>
    <row r="779" spans="2:15">
      <c r="B779" s="20"/>
      <c r="C779" s="20">
        <v>44937</v>
      </c>
      <c r="D779" s="54">
        <v>50270855</v>
      </c>
      <c r="E779" s="55" t="s">
        <v>740</v>
      </c>
      <c r="F779" s="56">
        <v>8</v>
      </c>
      <c r="G779" s="68">
        <v>2112000</v>
      </c>
      <c r="H779" s="56" t="s">
        <v>92</v>
      </c>
      <c r="J779" s="56" t="s">
        <v>736</v>
      </c>
      <c r="K779" s="4" t="s">
        <v>739</v>
      </c>
      <c r="L779" s="56" t="s">
        <v>711</v>
      </c>
      <c r="M779" s="4" t="s">
        <v>209</v>
      </c>
      <c r="N779" s="4" t="s">
        <v>464</v>
      </c>
      <c r="O779" s="4" t="s">
        <v>178</v>
      </c>
    </row>
    <row r="780" spans="2:15">
      <c r="B780" s="20"/>
      <c r="C780" s="20">
        <v>44937</v>
      </c>
      <c r="D780" s="54">
        <v>50144376</v>
      </c>
      <c r="E780" s="55" t="s">
        <v>19</v>
      </c>
      <c r="F780" s="56">
        <v>20</v>
      </c>
      <c r="G780" s="68">
        <v>10000</v>
      </c>
      <c r="H780" s="56" t="s">
        <v>92</v>
      </c>
      <c r="J780" s="56">
        <v>267</v>
      </c>
      <c r="L780" s="56" t="s">
        <v>201</v>
      </c>
      <c r="M780" s="4" t="s">
        <v>201</v>
      </c>
      <c r="N780" s="4" t="s">
        <v>363</v>
      </c>
      <c r="O780" s="4" t="s">
        <v>178</v>
      </c>
    </row>
    <row r="781" spans="2:15">
      <c r="B781" s="20"/>
      <c r="C781" s="20">
        <v>44938</v>
      </c>
      <c r="D781" s="54">
        <v>50144376</v>
      </c>
      <c r="E781" s="55" t="s">
        <v>19</v>
      </c>
      <c r="F781" s="56">
        <v>12</v>
      </c>
      <c r="G781" s="68">
        <v>6000</v>
      </c>
      <c r="H781" s="56" t="s">
        <v>92</v>
      </c>
      <c r="J781" s="56">
        <v>17658</v>
      </c>
      <c r="L781" s="56" t="s">
        <v>262</v>
      </c>
      <c r="M781" s="4" t="s">
        <v>262</v>
      </c>
      <c r="N781" s="4" t="s">
        <v>364</v>
      </c>
      <c r="O781" s="4" t="s">
        <v>178</v>
      </c>
    </row>
    <row r="782" spans="2:15">
      <c r="B782" s="20"/>
      <c r="C782" s="20">
        <v>44939</v>
      </c>
      <c r="D782" s="54">
        <v>50171162</v>
      </c>
      <c r="E782" s="55" t="s">
        <v>741</v>
      </c>
      <c r="F782" s="56">
        <v>9</v>
      </c>
      <c r="G782" s="68">
        <v>388.8</v>
      </c>
      <c r="H782" s="56" t="s">
        <v>82</v>
      </c>
      <c r="J782" s="56">
        <v>1056243</v>
      </c>
      <c r="K782" s="4" t="s">
        <v>742</v>
      </c>
      <c r="L782" s="56" t="s">
        <v>743</v>
      </c>
      <c r="M782" s="4" t="s">
        <v>209</v>
      </c>
      <c r="N782" s="4"/>
      <c r="O782" s="4" t="s">
        <v>178</v>
      </c>
    </row>
    <row r="783" spans="2:15">
      <c r="B783" s="20"/>
      <c r="C783" s="20">
        <v>44939</v>
      </c>
      <c r="D783" s="54">
        <v>50799770</v>
      </c>
      <c r="E783" s="55" t="s">
        <v>17</v>
      </c>
      <c r="F783" s="56">
        <v>12</v>
      </c>
      <c r="G783" s="68">
        <v>6000</v>
      </c>
      <c r="H783" s="56" t="s">
        <v>92</v>
      </c>
      <c r="J783" s="56">
        <v>17663</v>
      </c>
      <c r="L783" s="56" t="s">
        <v>262</v>
      </c>
      <c r="M783" s="4" t="s">
        <v>262</v>
      </c>
      <c r="N783" s="4" t="s">
        <v>364</v>
      </c>
      <c r="O783" s="4" t="s">
        <v>178</v>
      </c>
    </row>
    <row r="784" spans="2:15">
      <c r="B784" s="20"/>
      <c r="C784" s="20">
        <v>44940</v>
      </c>
      <c r="D784" s="54">
        <v>50141786</v>
      </c>
      <c r="E784" s="55" t="s">
        <v>188</v>
      </c>
      <c r="F784" s="56">
        <v>20</v>
      </c>
      <c r="G784" s="68">
        <v>11200</v>
      </c>
      <c r="H784" s="56" t="s">
        <v>82</v>
      </c>
      <c r="J784" s="56">
        <v>109542</v>
      </c>
      <c r="K784" s="4" t="s">
        <v>744</v>
      </c>
      <c r="L784" s="56" t="s">
        <v>189</v>
      </c>
      <c r="M784" s="4" t="s">
        <v>209</v>
      </c>
      <c r="N784" s="4" t="s">
        <v>745</v>
      </c>
      <c r="O784" s="4" t="s">
        <v>178</v>
      </c>
    </row>
    <row r="785" spans="2:15">
      <c r="B785" s="20"/>
      <c r="C785" s="20">
        <v>44940</v>
      </c>
      <c r="D785" s="54">
        <v>50141786</v>
      </c>
      <c r="E785" s="55" t="s">
        <v>188</v>
      </c>
      <c r="F785" s="56">
        <v>20</v>
      </c>
      <c r="G785" s="68">
        <v>11200</v>
      </c>
      <c r="H785" s="56" t="s">
        <v>82</v>
      </c>
      <c r="J785" s="56">
        <v>109542</v>
      </c>
      <c r="K785" s="4" t="s">
        <v>746</v>
      </c>
      <c r="L785" s="56" t="s">
        <v>189</v>
      </c>
      <c r="M785" s="4" t="s">
        <v>209</v>
      </c>
      <c r="N785" s="4" t="s">
        <v>488</v>
      </c>
      <c r="O785" s="4" t="s">
        <v>178</v>
      </c>
    </row>
    <row r="786" spans="2:15">
      <c r="B786" s="20"/>
      <c r="C786" s="20">
        <v>44940</v>
      </c>
      <c r="D786" s="54">
        <v>50141786</v>
      </c>
      <c r="E786" s="55" t="s">
        <v>188</v>
      </c>
      <c r="F786" s="56">
        <v>20</v>
      </c>
      <c r="G786" s="68">
        <v>11200</v>
      </c>
      <c r="H786" s="56" t="s">
        <v>82</v>
      </c>
      <c r="J786" s="56">
        <v>109543</v>
      </c>
      <c r="K786" s="4" t="s">
        <v>747</v>
      </c>
      <c r="L786" s="56" t="s">
        <v>189</v>
      </c>
      <c r="M786" s="4" t="s">
        <v>209</v>
      </c>
      <c r="N786" s="4" t="s">
        <v>659</v>
      </c>
      <c r="O786" s="4" t="s">
        <v>178</v>
      </c>
    </row>
    <row r="787" spans="2:15">
      <c r="B787" s="20"/>
      <c r="C787" s="20">
        <v>44940</v>
      </c>
      <c r="D787" s="54">
        <v>50141786</v>
      </c>
      <c r="E787" s="55" t="s">
        <v>188</v>
      </c>
      <c r="F787" s="56">
        <v>20</v>
      </c>
      <c r="G787" s="68">
        <v>11200</v>
      </c>
      <c r="H787" s="56" t="s">
        <v>82</v>
      </c>
      <c r="J787" s="56">
        <v>109543</v>
      </c>
      <c r="K787" s="4" t="s">
        <v>748</v>
      </c>
      <c r="L787" s="56" t="s">
        <v>189</v>
      </c>
      <c r="M787" s="4" t="s">
        <v>209</v>
      </c>
      <c r="N787" s="4" t="s">
        <v>490</v>
      </c>
      <c r="O787" s="4" t="s">
        <v>178</v>
      </c>
    </row>
    <row r="788" spans="2:15">
      <c r="B788" s="20"/>
      <c r="C788" s="20">
        <v>44942</v>
      </c>
      <c r="D788" s="54">
        <v>50144376</v>
      </c>
      <c r="E788" s="55" t="s">
        <v>19</v>
      </c>
      <c r="F788" s="56">
        <v>20</v>
      </c>
      <c r="G788" s="68">
        <v>10000</v>
      </c>
      <c r="H788" s="56" t="s">
        <v>92</v>
      </c>
      <c r="J788" s="56">
        <v>353</v>
      </c>
      <c r="L788" s="56" t="s">
        <v>201</v>
      </c>
      <c r="M788" s="4" t="s">
        <v>201</v>
      </c>
      <c r="N788" s="4" t="s">
        <v>652</v>
      </c>
      <c r="O788" s="4" t="s">
        <v>178</v>
      </c>
    </row>
    <row r="789" spans="2:15">
      <c r="B789" s="20"/>
      <c r="C789" s="20">
        <v>44942</v>
      </c>
      <c r="D789" s="54">
        <v>50144376</v>
      </c>
      <c r="E789" s="55" t="s">
        <v>19</v>
      </c>
      <c r="F789" s="56">
        <v>20</v>
      </c>
      <c r="G789" s="68">
        <v>10000</v>
      </c>
      <c r="H789" s="56" t="s">
        <v>92</v>
      </c>
      <c r="J789" s="56">
        <v>354</v>
      </c>
      <c r="L789" s="56" t="s">
        <v>201</v>
      </c>
      <c r="M789" s="4" t="s">
        <v>201</v>
      </c>
      <c r="N789" s="4" t="s">
        <v>383</v>
      </c>
      <c r="O789" s="4" t="s">
        <v>178</v>
      </c>
    </row>
    <row r="790" spans="2:15">
      <c r="B790" s="20"/>
      <c r="C790" s="20">
        <v>44943</v>
      </c>
      <c r="D790" s="54">
        <v>50522169</v>
      </c>
      <c r="E790" s="55" t="s">
        <v>250</v>
      </c>
      <c r="F790" s="56">
        <v>10</v>
      </c>
      <c r="G790" s="68">
        <v>4882.05</v>
      </c>
      <c r="H790" s="56" t="s">
        <v>82</v>
      </c>
      <c r="J790" s="56">
        <v>11853</v>
      </c>
      <c r="L790" s="56" t="s">
        <v>243</v>
      </c>
      <c r="M790" s="4" t="s">
        <v>660</v>
      </c>
      <c r="N790" s="4" t="s">
        <v>574</v>
      </c>
      <c r="O790" s="4" t="s">
        <v>178</v>
      </c>
    </row>
    <row r="791" spans="2:15">
      <c r="B791" s="20"/>
      <c r="C791" s="20">
        <v>44943</v>
      </c>
      <c r="D791" s="54">
        <v>50142350</v>
      </c>
      <c r="E791" s="55" t="s">
        <v>212</v>
      </c>
      <c r="F791" s="56">
        <v>4</v>
      </c>
      <c r="G791" s="68">
        <v>2486</v>
      </c>
      <c r="H791" s="56" t="s">
        <v>82</v>
      </c>
      <c r="J791" s="56" t="s">
        <v>749</v>
      </c>
      <c r="L791" s="56" t="s">
        <v>541</v>
      </c>
      <c r="M791" s="4" t="s">
        <v>750</v>
      </c>
      <c r="N791" s="4" t="s">
        <v>751</v>
      </c>
      <c r="O791" s="4" t="s">
        <v>178</v>
      </c>
    </row>
    <row r="792" spans="2:15">
      <c r="B792" s="20"/>
      <c r="C792" s="20">
        <v>44944</v>
      </c>
      <c r="D792" s="54">
        <v>50486294</v>
      </c>
      <c r="E792" s="55" t="s">
        <v>752</v>
      </c>
      <c r="F792" s="56">
        <v>10</v>
      </c>
      <c r="G792" s="68">
        <v>5115.55</v>
      </c>
      <c r="H792" s="56" t="s">
        <v>82</v>
      </c>
      <c r="J792" s="56">
        <v>11856</v>
      </c>
      <c r="L792" s="56" t="s">
        <v>243</v>
      </c>
      <c r="M792" s="4" t="s">
        <v>660</v>
      </c>
      <c r="N792" s="4" t="s">
        <v>428</v>
      </c>
      <c r="O792" s="4" t="s">
        <v>178</v>
      </c>
    </row>
    <row r="793" spans="2:15">
      <c r="B793" s="20"/>
      <c r="C793" s="20">
        <v>44944</v>
      </c>
      <c r="D793" s="54">
        <v>50142631</v>
      </c>
      <c r="E793" s="55" t="s">
        <v>566</v>
      </c>
      <c r="F793" s="56">
        <v>2</v>
      </c>
      <c r="G793" s="68">
        <v>1500</v>
      </c>
      <c r="H793" s="56" t="s">
        <v>82</v>
      </c>
      <c r="J793" s="56">
        <v>54095</v>
      </c>
      <c r="L793" s="56" t="s">
        <v>567</v>
      </c>
      <c r="M793" s="4" t="s">
        <v>568</v>
      </c>
      <c r="N793" s="4" t="s">
        <v>569</v>
      </c>
      <c r="O793" s="4" t="s">
        <v>178</v>
      </c>
    </row>
    <row r="794" spans="2:15">
      <c r="B794" s="20"/>
      <c r="C794" s="20">
        <v>44944</v>
      </c>
      <c r="D794" s="54">
        <v>50501722</v>
      </c>
      <c r="E794" s="55" t="s">
        <v>253</v>
      </c>
      <c r="F794" s="56">
        <v>9</v>
      </c>
      <c r="G794" s="68">
        <v>4442.3</v>
      </c>
      <c r="H794" s="56" t="s">
        <v>753</v>
      </c>
      <c r="J794" s="56">
        <v>11857</v>
      </c>
      <c r="L794" s="56" t="s">
        <v>243</v>
      </c>
      <c r="M794" s="4" t="s">
        <v>660</v>
      </c>
      <c r="N794" s="4" t="s">
        <v>428</v>
      </c>
      <c r="O794" s="4" t="s">
        <v>178</v>
      </c>
    </row>
    <row r="795" spans="2:15">
      <c r="B795" s="20"/>
      <c r="C795" s="20">
        <v>44944</v>
      </c>
      <c r="D795" s="54">
        <v>50144376</v>
      </c>
      <c r="E795" s="55" t="s">
        <v>19</v>
      </c>
      <c r="F795" s="56">
        <v>12</v>
      </c>
      <c r="G795" s="68">
        <v>6000</v>
      </c>
      <c r="H795" s="56" t="s">
        <v>92</v>
      </c>
      <c r="J795" s="56">
        <v>17681</v>
      </c>
      <c r="L795" s="56" t="s">
        <v>262</v>
      </c>
      <c r="M795" s="4" t="s">
        <v>262</v>
      </c>
      <c r="N795" s="4" t="s">
        <v>364</v>
      </c>
      <c r="O795" s="4" t="s">
        <v>178</v>
      </c>
    </row>
    <row r="796" spans="2:15">
      <c r="B796" s="20"/>
      <c r="C796" s="20">
        <v>44945</v>
      </c>
      <c r="D796" s="54">
        <v>50449311</v>
      </c>
      <c r="E796" s="55" t="s">
        <v>754</v>
      </c>
      <c r="G796" s="68">
        <v>5</v>
      </c>
      <c r="H796" s="56" t="s">
        <v>92</v>
      </c>
      <c r="J796" s="56">
        <v>14694</v>
      </c>
      <c r="L796" s="56" t="s">
        <v>558</v>
      </c>
      <c r="M796" s="4" t="s">
        <v>558</v>
      </c>
      <c r="N796" s="4" t="s">
        <v>755</v>
      </c>
      <c r="O796" s="4" t="s">
        <v>178</v>
      </c>
    </row>
    <row r="797" spans="2:15">
      <c r="B797" s="20">
        <v>44946</v>
      </c>
      <c r="C797" s="20">
        <v>44946</v>
      </c>
      <c r="D797" s="54">
        <v>50141521</v>
      </c>
      <c r="E797" s="55" t="s">
        <v>756</v>
      </c>
      <c r="F797" s="56">
        <v>6</v>
      </c>
      <c r="G797" s="68">
        <v>6000</v>
      </c>
      <c r="H797" s="56" t="s">
        <v>82</v>
      </c>
      <c r="J797" s="56" t="s">
        <v>757</v>
      </c>
      <c r="K797" s="4" t="s">
        <v>758</v>
      </c>
      <c r="L797" s="56" t="s">
        <v>759</v>
      </c>
      <c r="M797" s="4" t="s">
        <v>750</v>
      </c>
      <c r="N797" s="4" t="s">
        <v>760</v>
      </c>
      <c r="O797" s="4" t="s">
        <v>178</v>
      </c>
    </row>
    <row r="798" spans="2:15">
      <c r="B798" s="20">
        <v>44946</v>
      </c>
      <c r="C798" s="20">
        <v>44946</v>
      </c>
      <c r="D798" s="54">
        <v>50144376</v>
      </c>
      <c r="E798" s="55" t="s">
        <v>19</v>
      </c>
      <c r="F798" s="56">
        <v>20</v>
      </c>
      <c r="G798" s="68">
        <v>10000</v>
      </c>
      <c r="H798" s="56" t="s">
        <v>92</v>
      </c>
      <c r="J798" s="56" t="s">
        <v>761</v>
      </c>
      <c r="L798" s="56" t="s">
        <v>201</v>
      </c>
      <c r="M798" s="4" t="s">
        <v>201</v>
      </c>
      <c r="N798" s="4" t="s">
        <v>383</v>
      </c>
      <c r="O798" s="4" t="s">
        <v>178</v>
      </c>
    </row>
    <row r="799" spans="2:15">
      <c r="B799" s="20">
        <v>44947</v>
      </c>
      <c r="C799" s="20">
        <v>44947</v>
      </c>
      <c r="D799" s="54">
        <v>40011080</v>
      </c>
      <c r="E799" s="55" t="s">
        <v>420</v>
      </c>
      <c r="F799" s="56">
        <v>26</v>
      </c>
      <c r="G799" s="68">
        <v>11500</v>
      </c>
      <c r="H799" s="56" t="s">
        <v>80</v>
      </c>
      <c r="J799" s="56" t="s">
        <v>762</v>
      </c>
      <c r="L799" s="56" t="s">
        <v>423</v>
      </c>
      <c r="M799" s="4" t="s">
        <v>750</v>
      </c>
      <c r="N799" s="4" t="s">
        <v>763</v>
      </c>
      <c r="O799" s="4" t="s">
        <v>178</v>
      </c>
    </row>
    <row r="800" spans="2:15">
      <c r="B800" s="20">
        <v>44947</v>
      </c>
      <c r="C800" s="20">
        <v>44947</v>
      </c>
      <c r="D800" s="54">
        <v>40011080</v>
      </c>
      <c r="E800" s="55" t="s">
        <v>420</v>
      </c>
      <c r="F800" s="56">
        <v>26</v>
      </c>
      <c r="G800" s="68">
        <v>11700</v>
      </c>
      <c r="H800" s="56" t="s">
        <v>80</v>
      </c>
      <c r="J800" s="56" t="s">
        <v>762</v>
      </c>
      <c r="L800" s="56" t="s">
        <v>423</v>
      </c>
      <c r="M800" s="4" t="s">
        <v>764</v>
      </c>
      <c r="N800" s="4" t="s">
        <v>765</v>
      </c>
      <c r="O800" s="4" t="s">
        <v>178</v>
      </c>
    </row>
    <row r="801" spans="2:15">
      <c r="B801" s="20">
        <v>44949</v>
      </c>
      <c r="C801" s="20">
        <v>44949</v>
      </c>
      <c r="D801" s="54">
        <v>50522169</v>
      </c>
      <c r="E801" s="55" t="s">
        <v>250</v>
      </c>
      <c r="F801" s="56">
        <v>8</v>
      </c>
      <c r="G801" s="68">
        <v>5193.15</v>
      </c>
      <c r="H801" s="56" t="s">
        <v>82</v>
      </c>
      <c r="J801" s="56">
        <v>11865</v>
      </c>
      <c r="L801" s="56" t="s">
        <v>243</v>
      </c>
      <c r="M801" s="4" t="s">
        <v>243</v>
      </c>
      <c r="N801" s="4" t="s">
        <v>574</v>
      </c>
      <c r="O801" s="4" t="s">
        <v>178</v>
      </c>
    </row>
    <row r="802" spans="2:15">
      <c r="B802" s="20">
        <v>44949</v>
      </c>
      <c r="C802" s="20">
        <v>44949</v>
      </c>
      <c r="D802" s="54">
        <v>50142237</v>
      </c>
      <c r="E802" s="55" t="s">
        <v>617</v>
      </c>
      <c r="F802" s="56">
        <v>15</v>
      </c>
      <c r="G802" s="68">
        <v>15000</v>
      </c>
      <c r="H802" s="56" t="s">
        <v>92</v>
      </c>
      <c r="J802" s="56">
        <v>58072</v>
      </c>
      <c r="L802" s="56" t="s">
        <v>618</v>
      </c>
      <c r="M802" s="4" t="s">
        <v>619</v>
      </c>
      <c r="N802" s="4" t="s">
        <v>766</v>
      </c>
      <c r="O802" s="4" t="s">
        <v>178</v>
      </c>
    </row>
    <row r="803" spans="2:15">
      <c r="B803" s="20">
        <v>44949</v>
      </c>
      <c r="C803" s="20">
        <v>44949</v>
      </c>
      <c r="D803" s="54">
        <v>50142328</v>
      </c>
      <c r="E803" s="55" t="s">
        <v>767</v>
      </c>
      <c r="F803" s="56">
        <v>1</v>
      </c>
      <c r="G803" s="68">
        <v>1000</v>
      </c>
      <c r="H803" s="56" t="s">
        <v>82</v>
      </c>
      <c r="J803" s="56">
        <v>3622</v>
      </c>
      <c r="L803" s="56" t="s">
        <v>768</v>
      </c>
      <c r="M803" s="4" t="s">
        <v>769</v>
      </c>
      <c r="N803" s="4" t="s">
        <v>770</v>
      </c>
      <c r="O803" s="4" t="s">
        <v>178</v>
      </c>
    </row>
    <row r="804" spans="2:15">
      <c r="B804" s="20">
        <v>44949</v>
      </c>
      <c r="C804" s="20">
        <v>44949</v>
      </c>
      <c r="D804" s="54">
        <v>50144376</v>
      </c>
      <c r="E804" s="55" t="s">
        <v>19</v>
      </c>
      <c r="F804" s="56">
        <v>1</v>
      </c>
      <c r="G804" s="68">
        <v>250</v>
      </c>
      <c r="H804" s="56" t="s">
        <v>92</v>
      </c>
      <c r="J804" s="56">
        <v>16290</v>
      </c>
      <c r="L804" s="56" t="s">
        <v>315</v>
      </c>
      <c r="M804" s="4" t="s">
        <v>176</v>
      </c>
      <c r="N804" s="4" t="s">
        <v>177</v>
      </c>
      <c r="O804" s="4" t="s">
        <v>178</v>
      </c>
    </row>
    <row r="805" spans="2:15">
      <c r="B805" s="20">
        <v>44949</v>
      </c>
      <c r="C805" s="20">
        <v>44949</v>
      </c>
      <c r="D805" s="54">
        <v>50272278</v>
      </c>
      <c r="E805" s="55" t="s">
        <v>21</v>
      </c>
      <c r="F805" s="56">
        <v>1</v>
      </c>
      <c r="G805" s="68">
        <v>500</v>
      </c>
      <c r="H805" s="56" t="s">
        <v>92</v>
      </c>
      <c r="J805" s="56">
        <v>16290</v>
      </c>
      <c r="L805" s="56" t="s">
        <v>315</v>
      </c>
      <c r="M805" s="4" t="s">
        <v>176</v>
      </c>
      <c r="N805" s="4" t="s">
        <v>177</v>
      </c>
      <c r="O805" s="4" t="s">
        <v>178</v>
      </c>
    </row>
    <row r="806" spans="2:15">
      <c r="B806" s="20">
        <v>44949</v>
      </c>
      <c r="C806" s="20">
        <v>44949</v>
      </c>
      <c r="D806" s="54">
        <v>123456</v>
      </c>
      <c r="E806" s="55" t="s">
        <v>771</v>
      </c>
      <c r="G806" s="68">
        <v>50</v>
      </c>
      <c r="H806" s="56" t="s">
        <v>92</v>
      </c>
      <c r="J806" s="56">
        <v>16290</v>
      </c>
      <c r="L806" s="56" t="s">
        <v>315</v>
      </c>
      <c r="M806" s="4" t="s">
        <v>176</v>
      </c>
      <c r="N806" s="4" t="s">
        <v>177</v>
      </c>
      <c r="O806" s="4" t="s">
        <v>178</v>
      </c>
    </row>
    <row r="807" spans="2:15">
      <c r="B807" s="20">
        <v>44950</v>
      </c>
      <c r="C807" s="20">
        <v>44950</v>
      </c>
      <c r="D807" s="54">
        <v>50522169</v>
      </c>
      <c r="E807" s="55" t="s">
        <v>250</v>
      </c>
      <c r="F807" s="56">
        <v>10</v>
      </c>
      <c r="G807" s="68">
        <v>4661.15</v>
      </c>
      <c r="H807" s="56" t="s">
        <v>82</v>
      </c>
      <c r="J807" s="56">
        <v>11867</v>
      </c>
      <c r="N807" s="4"/>
      <c r="O807" s="4" t="s">
        <v>178</v>
      </c>
    </row>
    <row r="808" spans="2:15">
      <c r="B808" s="20">
        <v>44950</v>
      </c>
      <c r="C808" s="20">
        <v>44950</v>
      </c>
      <c r="D808" s="54">
        <v>50010080</v>
      </c>
      <c r="E808" s="55" t="s">
        <v>354</v>
      </c>
      <c r="F808" s="56">
        <v>15</v>
      </c>
      <c r="G808" s="68">
        <v>15000</v>
      </c>
      <c r="H808" s="56" t="s">
        <v>82</v>
      </c>
      <c r="J808" s="56">
        <v>8587</v>
      </c>
      <c r="L808" s="56" t="s">
        <v>355</v>
      </c>
      <c r="M808" s="4" t="s">
        <v>650</v>
      </c>
      <c r="N808" s="4" t="s">
        <v>772</v>
      </c>
      <c r="O808" s="4" t="s">
        <v>178</v>
      </c>
    </row>
    <row r="809" spans="2:15">
      <c r="B809" s="20">
        <v>44950</v>
      </c>
      <c r="C809" s="20">
        <v>44950</v>
      </c>
      <c r="D809" s="54">
        <v>20016185</v>
      </c>
      <c r="E809" s="55" t="s">
        <v>285</v>
      </c>
      <c r="F809" s="56">
        <v>100</v>
      </c>
      <c r="G809" s="68">
        <v>100000</v>
      </c>
      <c r="H809" s="56" t="s">
        <v>92</v>
      </c>
      <c r="J809" s="56">
        <v>144</v>
      </c>
      <c r="L809" s="56" t="s">
        <v>286</v>
      </c>
      <c r="M809" s="4" t="s">
        <v>286</v>
      </c>
      <c r="N809" s="4" t="s">
        <v>773</v>
      </c>
      <c r="O809" s="4" t="s">
        <v>178</v>
      </c>
    </row>
    <row r="810" spans="2:15">
      <c r="B810" s="20">
        <v>44951</v>
      </c>
      <c r="C810" s="20">
        <v>44951</v>
      </c>
      <c r="D810" s="54">
        <v>50144376</v>
      </c>
      <c r="E810" s="55" t="s">
        <v>19</v>
      </c>
      <c r="F810" s="56">
        <v>12</v>
      </c>
      <c r="G810" s="68">
        <v>6000</v>
      </c>
      <c r="H810" s="56" t="s">
        <v>92</v>
      </c>
      <c r="J810" s="56">
        <v>17707</v>
      </c>
      <c r="L810" s="56" t="s">
        <v>262</v>
      </c>
      <c r="M810" s="4" t="s">
        <v>262</v>
      </c>
      <c r="N810" s="4" t="s">
        <v>364</v>
      </c>
      <c r="O810" s="4" t="s">
        <v>178</v>
      </c>
    </row>
    <row r="811" spans="2:15">
      <c r="B811" s="20">
        <v>44952</v>
      </c>
      <c r="C811" s="20">
        <v>44952</v>
      </c>
      <c r="D811" s="54">
        <v>50144376</v>
      </c>
      <c r="E811" s="55" t="s">
        <v>19</v>
      </c>
      <c r="F811" s="56">
        <v>20</v>
      </c>
      <c r="G811" s="68">
        <v>10000</v>
      </c>
      <c r="H811" s="56" t="s">
        <v>92</v>
      </c>
      <c r="J811" s="56">
        <v>574</v>
      </c>
      <c r="L811" s="56" t="s">
        <v>201</v>
      </c>
      <c r="M811" s="4" t="s">
        <v>201</v>
      </c>
      <c r="N811" s="4" t="s">
        <v>363</v>
      </c>
      <c r="O811" s="4" t="s">
        <v>178</v>
      </c>
    </row>
    <row r="812" spans="2:15">
      <c r="B812" s="20">
        <v>44952</v>
      </c>
      <c r="C812" s="20">
        <v>44952</v>
      </c>
      <c r="D812" s="54">
        <v>50144376</v>
      </c>
      <c r="E812" s="55" t="s">
        <v>19</v>
      </c>
      <c r="F812" s="56">
        <v>20</v>
      </c>
      <c r="G812" s="68">
        <v>10000</v>
      </c>
      <c r="H812" s="56" t="s">
        <v>92</v>
      </c>
      <c r="J812" s="56">
        <v>588</v>
      </c>
      <c r="L812" s="56" t="s">
        <v>201</v>
      </c>
      <c r="M812" s="4" t="s">
        <v>201</v>
      </c>
      <c r="N812" s="4" t="s">
        <v>774</v>
      </c>
      <c r="O812" s="4" t="s">
        <v>178</v>
      </c>
    </row>
    <row r="813" spans="2:15">
      <c r="B813" s="20">
        <v>44952</v>
      </c>
      <c r="C813" s="20">
        <v>44952</v>
      </c>
      <c r="D813" s="54">
        <v>50142327</v>
      </c>
      <c r="E813" s="55" t="s">
        <v>256</v>
      </c>
      <c r="F813" s="56">
        <v>30</v>
      </c>
      <c r="G813" s="68">
        <v>20021.4</v>
      </c>
      <c r="H813" s="56" t="s">
        <v>82</v>
      </c>
      <c r="J813" s="56">
        <v>8302175967</v>
      </c>
      <c r="K813" s="4" t="s">
        <v>775</v>
      </c>
      <c r="L813" s="56" t="s">
        <v>624</v>
      </c>
      <c r="M813" s="4" t="s">
        <v>750</v>
      </c>
      <c r="N813" s="4" t="s">
        <v>776</v>
      </c>
      <c r="O813" s="4" t="s">
        <v>178</v>
      </c>
    </row>
    <row r="814" spans="2:15">
      <c r="B814" s="20">
        <v>44952</v>
      </c>
      <c r="C814" s="20">
        <v>44952</v>
      </c>
      <c r="D814" s="54">
        <v>50272278</v>
      </c>
      <c r="E814" s="55" t="s">
        <v>21</v>
      </c>
      <c r="F814" s="56">
        <v>12</v>
      </c>
      <c r="G814" s="68">
        <v>6000</v>
      </c>
      <c r="H814" s="56" t="s">
        <v>92</v>
      </c>
      <c r="J814" s="56">
        <v>17715</v>
      </c>
      <c r="L814" s="56" t="s">
        <v>262</v>
      </c>
      <c r="M814" s="4" t="s">
        <v>262</v>
      </c>
      <c r="N814" s="4" t="s">
        <v>364</v>
      </c>
      <c r="O814" s="4" t="s">
        <v>178</v>
      </c>
    </row>
    <row r="815" spans="2:15">
      <c r="B815" s="20">
        <v>44953</v>
      </c>
      <c r="C815" s="20">
        <v>44953</v>
      </c>
      <c r="D815" s="54">
        <v>50272278</v>
      </c>
      <c r="E815" s="55" t="s">
        <v>21</v>
      </c>
      <c r="F815" s="56">
        <v>12</v>
      </c>
      <c r="G815" s="68">
        <v>6000</v>
      </c>
      <c r="H815" s="56" t="s">
        <v>92</v>
      </c>
      <c r="J815" s="56">
        <v>17718</v>
      </c>
      <c r="L815" s="56" t="s">
        <v>262</v>
      </c>
      <c r="M815" s="4" t="s">
        <v>262</v>
      </c>
      <c r="N815" s="4" t="s">
        <v>364</v>
      </c>
      <c r="O815" s="4" t="s">
        <v>178</v>
      </c>
    </row>
    <row r="816" spans="2:15">
      <c r="B816" s="20">
        <v>44953</v>
      </c>
      <c r="C816" s="20">
        <v>44953</v>
      </c>
      <c r="D816" s="54">
        <v>50272278</v>
      </c>
      <c r="E816" s="55" t="s">
        <v>21</v>
      </c>
      <c r="F816" s="56">
        <v>20</v>
      </c>
      <c r="G816" s="68">
        <v>10000</v>
      </c>
      <c r="H816" s="56" t="s">
        <v>92</v>
      </c>
      <c r="J816" s="56">
        <v>627</v>
      </c>
      <c r="L816" s="56" t="s">
        <v>201</v>
      </c>
      <c r="M816" s="4" t="s">
        <v>201</v>
      </c>
      <c r="N816" s="4" t="s">
        <v>538</v>
      </c>
      <c r="O816" s="4" t="s">
        <v>178</v>
      </c>
    </row>
    <row r="817" spans="2:15">
      <c r="B817" s="20">
        <v>44953</v>
      </c>
      <c r="C817" s="20">
        <v>44953</v>
      </c>
      <c r="D817" s="54">
        <v>40499</v>
      </c>
      <c r="E817" s="55" t="s">
        <v>316</v>
      </c>
      <c r="F817" s="56">
        <v>24</v>
      </c>
      <c r="G817" s="68">
        <v>24</v>
      </c>
      <c r="H817" s="56" t="s">
        <v>92</v>
      </c>
      <c r="J817" s="56">
        <v>16525</v>
      </c>
      <c r="L817" s="56" t="s">
        <v>315</v>
      </c>
      <c r="M817" s="4" t="s">
        <v>176</v>
      </c>
      <c r="N817" s="4" t="s">
        <v>177</v>
      </c>
      <c r="O817" s="4" t="s">
        <v>178</v>
      </c>
    </row>
    <row r="818" spans="2:15">
      <c r="B818" s="20">
        <v>44956</v>
      </c>
      <c r="C818" s="20">
        <v>44956</v>
      </c>
      <c r="D818" s="54">
        <v>50142551</v>
      </c>
      <c r="E818" s="55" t="s">
        <v>215</v>
      </c>
      <c r="G818" s="68">
        <v>25</v>
      </c>
      <c r="H818" s="56" t="s">
        <v>92</v>
      </c>
      <c r="J818" s="56">
        <v>14779</v>
      </c>
      <c r="L818" s="56" t="s">
        <v>558</v>
      </c>
      <c r="M818" s="4" t="s">
        <v>558</v>
      </c>
      <c r="N818" s="4" t="s">
        <v>559</v>
      </c>
      <c r="O818" s="4" t="s">
        <v>178</v>
      </c>
    </row>
    <row r="819" spans="2:15">
      <c r="B819" s="20">
        <v>44956</v>
      </c>
      <c r="C819" s="20">
        <v>44956</v>
      </c>
      <c r="D819" s="54">
        <v>50470190</v>
      </c>
      <c r="E819" s="55" t="s">
        <v>12</v>
      </c>
      <c r="F819" s="56">
        <v>32</v>
      </c>
      <c r="G819" s="68">
        <v>9273600</v>
      </c>
      <c r="H819" s="56" t="s">
        <v>92</v>
      </c>
      <c r="L819" s="56" t="s">
        <v>230</v>
      </c>
      <c r="M819" s="4" t="s">
        <v>392</v>
      </c>
      <c r="N819" s="4" t="s">
        <v>777</v>
      </c>
      <c r="O819" s="4" t="s">
        <v>178</v>
      </c>
    </row>
    <row r="820" spans="2:15">
      <c r="B820" s="20">
        <v>44956</v>
      </c>
      <c r="C820" s="20">
        <v>44956</v>
      </c>
      <c r="D820" s="54">
        <v>50143875</v>
      </c>
      <c r="E820" s="55" t="s">
        <v>713</v>
      </c>
      <c r="G820" s="68">
        <v>10000</v>
      </c>
      <c r="H820" s="56" t="s">
        <v>92</v>
      </c>
      <c r="J820" s="56" t="s">
        <v>778</v>
      </c>
      <c r="L820" s="56" t="s">
        <v>615</v>
      </c>
      <c r="M820" s="4" t="s">
        <v>615</v>
      </c>
      <c r="N820" s="4" t="s">
        <v>714</v>
      </c>
      <c r="O820" s="4" t="s">
        <v>178</v>
      </c>
    </row>
    <row r="821" spans="2:15">
      <c r="B821" s="20">
        <v>44958</v>
      </c>
      <c r="C821" s="20">
        <v>44958</v>
      </c>
      <c r="D821" s="54">
        <v>50272278</v>
      </c>
      <c r="E821" s="55" t="s">
        <v>21</v>
      </c>
      <c r="F821" s="56">
        <v>12</v>
      </c>
      <c r="G821" s="68">
        <v>6000</v>
      </c>
      <c r="H821" s="56" t="s">
        <v>92</v>
      </c>
      <c r="J821" s="56">
        <v>17738</v>
      </c>
      <c r="L821" s="56" t="s">
        <v>262</v>
      </c>
      <c r="M821" s="4" t="s">
        <v>262</v>
      </c>
      <c r="N821" s="4" t="s">
        <v>364</v>
      </c>
      <c r="O821" s="4" t="s">
        <v>178</v>
      </c>
    </row>
    <row r="822" spans="2:15">
      <c r="B822" s="20">
        <v>44959</v>
      </c>
      <c r="C822" s="20">
        <v>44959</v>
      </c>
      <c r="D822" s="54">
        <v>50272278</v>
      </c>
      <c r="E822" s="55" t="s">
        <v>21</v>
      </c>
      <c r="F822" s="56">
        <v>12</v>
      </c>
      <c r="G822" s="68">
        <v>6000</v>
      </c>
      <c r="H822" s="56" t="s">
        <v>92</v>
      </c>
      <c r="J822" s="56">
        <v>17743</v>
      </c>
      <c r="L822" s="56" t="s">
        <v>262</v>
      </c>
      <c r="M822" s="4" t="s">
        <v>262</v>
      </c>
      <c r="N822" s="4" t="s">
        <v>364</v>
      </c>
      <c r="O822" s="4" t="s">
        <v>178</v>
      </c>
    </row>
    <row r="823" spans="2:15">
      <c r="B823" s="20">
        <v>44959</v>
      </c>
      <c r="C823" s="20">
        <v>44959</v>
      </c>
      <c r="D823" s="54">
        <v>50142262</v>
      </c>
      <c r="E823" s="55" t="s">
        <v>779</v>
      </c>
      <c r="F823" s="56">
        <v>1</v>
      </c>
      <c r="G823" s="68">
        <v>200</v>
      </c>
      <c r="H823" s="56" t="s">
        <v>82</v>
      </c>
      <c r="J823" s="56">
        <v>4366</v>
      </c>
      <c r="L823" s="56" t="s">
        <v>780</v>
      </c>
      <c r="M823" s="4" t="s">
        <v>780</v>
      </c>
      <c r="N823" s="4" t="s">
        <v>781</v>
      </c>
      <c r="O823" s="4" t="s">
        <v>178</v>
      </c>
    </row>
    <row r="824" spans="2:15">
      <c r="B824" s="20">
        <v>44960</v>
      </c>
      <c r="C824" s="20">
        <v>44960</v>
      </c>
      <c r="D824" s="54">
        <v>40011130</v>
      </c>
      <c r="E824" s="55" t="s">
        <v>631</v>
      </c>
      <c r="F824" s="56">
        <v>3</v>
      </c>
      <c r="G824" s="68">
        <v>6678</v>
      </c>
      <c r="H824" s="56" t="s">
        <v>80</v>
      </c>
      <c r="J824" s="56">
        <v>1964533581</v>
      </c>
      <c r="K824" s="4" t="s">
        <v>782</v>
      </c>
      <c r="L824" s="56" t="s">
        <v>175</v>
      </c>
      <c r="M824" s="4" t="s">
        <v>520</v>
      </c>
      <c r="N824" s="4" t="s">
        <v>783</v>
      </c>
      <c r="O824" s="4" t="s">
        <v>178</v>
      </c>
    </row>
    <row r="825" spans="2:15">
      <c r="B825" s="20">
        <v>44960</v>
      </c>
      <c r="C825" s="20">
        <v>44960</v>
      </c>
      <c r="D825" s="54">
        <v>40011133</v>
      </c>
      <c r="E825" s="55" t="s">
        <v>634</v>
      </c>
      <c r="F825" s="56">
        <v>10</v>
      </c>
      <c r="G825" s="68">
        <v>6975</v>
      </c>
      <c r="H825" s="56" t="s">
        <v>80</v>
      </c>
      <c r="L825" s="56" t="s">
        <v>175</v>
      </c>
      <c r="M825" s="4" t="s">
        <v>520</v>
      </c>
      <c r="N825" s="4" t="s">
        <v>783</v>
      </c>
      <c r="O825" s="4" t="s">
        <v>178</v>
      </c>
    </row>
    <row r="826" spans="2:15">
      <c r="B826" s="20">
        <v>44960</v>
      </c>
      <c r="C826" s="20">
        <v>44960</v>
      </c>
      <c r="D826" s="54">
        <v>40010080</v>
      </c>
      <c r="E826" s="55" t="s">
        <v>784</v>
      </c>
      <c r="F826" s="56">
        <v>2</v>
      </c>
      <c r="G826" s="68">
        <v>2031</v>
      </c>
      <c r="H826" s="56" t="s">
        <v>80</v>
      </c>
      <c r="J826" s="56">
        <v>1964533581</v>
      </c>
      <c r="K826" s="4" t="s">
        <v>782</v>
      </c>
      <c r="L826" s="56" t="s">
        <v>175</v>
      </c>
      <c r="M826" s="4" t="s">
        <v>520</v>
      </c>
      <c r="N826" s="4" t="s">
        <v>783</v>
      </c>
      <c r="O826" s="4" t="s">
        <v>178</v>
      </c>
    </row>
    <row r="827" spans="2:15">
      <c r="B827" s="20">
        <v>44960</v>
      </c>
      <c r="C827" s="20">
        <v>44960</v>
      </c>
      <c r="D827" s="54">
        <v>50272278</v>
      </c>
      <c r="E827" s="55" t="s">
        <v>21</v>
      </c>
      <c r="F827" s="56">
        <v>20</v>
      </c>
      <c r="G827" s="68">
        <v>10000</v>
      </c>
      <c r="H827" s="56" t="s">
        <v>92</v>
      </c>
      <c r="J827" s="56">
        <v>759</v>
      </c>
      <c r="L827" s="56" t="s">
        <v>201</v>
      </c>
      <c r="M827" s="4" t="s">
        <v>201</v>
      </c>
      <c r="N827" s="4" t="s">
        <v>538</v>
      </c>
      <c r="O827" s="4" t="s">
        <v>178</v>
      </c>
    </row>
    <row r="828" spans="2:15">
      <c r="B828" s="20">
        <v>44960</v>
      </c>
      <c r="C828" s="20">
        <v>44960</v>
      </c>
      <c r="D828" s="54">
        <v>50272278</v>
      </c>
      <c r="E828" s="55" t="s">
        <v>21</v>
      </c>
      <c r="F828" s="56">
        <v>20</v>
      </c>
      <c r="G828" s="68">
        <v>10000</v>
      </c>
      <c r="H828" s="56" t="s">
        <v>92</v>
      </c>
      <c r="J828" s="56">
        <v>771</v>
      </c>
      <c r="L828" s="56" t="s">
        <v>201</v>
      </c>
      <c r="M828" s="4" t="s">
        <v>201</v>
      </c>
      <c r="N828" s="4" t="s">
        <v>538</v>
      </c>
      <c r="O828" s="4" t="s">
        <v>178</v>
      </c>
    </row>
    <row r="829" spans="2:15">
      <c r="B829" s="20">
        <v>44960</v>
      </c>
      <c r="C829" s="20">
        <v>44960</v>
      </c>
      <c r="D829" s="54">
        <v>50142237</v>
      </c>
      <c r="E829" s="55" t="s">
        <v>617</v>
      </c>
      <c r="F829" s="56">
        <v>25</v>
      </c>
      <c r="G829" s="68">
        <v>25000</v>
      </c>
      <c r="H829" s="56" t="s">
        <v>92</v>
      </c>
      <c r="J829" s="56">
        <v>558456</v>
      </c>
      <c r="L829" s="56" t="s">
        <v>618</v>
      </c>
      <c r="M829" s="4" t="s">
        <v>619</v>
      </c>
      <c r="N829" s="4" t="s">
        <v>785</v>
      </c>
      <c r="O829" s="4" t="s">
        <v>178</v>
      </c>
    </row>
    <row r="830" spans="2:15">
      <c r="B830" s="20">
        <v>44963</v>
      </c>
      <c r="C830" s="20">
        <v>44963</v>
      </c>
      <c r="D830" s="54">
        <v>50272278</v>
      </c>
      <c r="E830" s="55" t="s">
        <v>21</v>
      </c>
      <c r="F830" s="56">
        <v>20</v>
      </c>
      <c r="G830" s="68">
        <v>10000</v>
      </c>
      <c r="H830" s="56" t="s">
        <v>92</v>
      </c>
      <c r="J830" s="56">
        <v>806</v>
      </c>
      <c r="L830" s="56" t="s">
        <v>201</v>
      </c>
      <c r="M830" s="4" t="s">
        <v>201</v>
      </c>
      <c r="N830" s="4" t="s">
        <v>697</v>
      </c>
      <c r="O830" s="4" t="s">
        <v>178</v>
      </c>
    </row>
    <row r="831" spans="2:15">
      <c r="B831" s="20">
        <v>44963</v>
      </c>
      <c r="C831" s="20">
        <v>44963</v>
      </c>
      <c r="D831" s="54">
        <v>50272278</v>
      </c>
      <c r="E831" s="55" t="s">
        <v>21</v>
      </c>
      <c r="F831" s="56">
        <v>20</v>
      </c>
      <c r="G831" s="68">
        <v>9500</v>
      </c>
      <c r="H831" s="56" t="s">
        <v>92</v>
      </c>
      <c r="J831" s="56">
        <v>807</v>
      </c>
      <c r="L831" s="56" t="s">
        <v>201</v>
      </c>
      <c r="M831" s="4" t="s">
        <v>201</v>
      </c>
      <c r="N831" s="4" t="s">
        <v>786</v>
      </c>
      <c r="O831" s="4" t="s">
        <v>178</v>
      </c>
    </row>
    <row r="832" spans="2:15">
      <c r="B832" s="20">
        <v>44965</v>
      </c>
      <c r="C832" s="20">
        <v>44965</v>
      </c>
      <c r="D832" s="54">
        <v>50369034</v>
      </c>
      <c r="E832" s="55" t="s">
        <v>322</v>
      </c>
      <c r="F832" s="56">
        <v>10</v>
      </c>
      <c r="G832" s="68">
        <v>5090.45</v>
      </c>
      <c r="H832" s="56" t="s">
        <v>82</v>
      </c>
      <c r="J832" s="56">
        <v>11895</v>
      </c>
      <c r="L832" s="56" t="s">
        <v>243</v>
      </c>
      <c r="M832" s="4" t="s">
        <v>660</v>
      </c>
      <c r="N832" s="4" t="s">
        <v>447</v>
      </c>
      <c r="O832" s="4" t="s">
        <v>178</v>
      </c>
    </row>
    <row r="833" spans="2:15">
      <c r="B833" s="20">
        <v>44965</v>
      </c>
      <c r="C833" s="20">
        <v>44965</v>
      </c>
      <c r="D833" s="54">
        <v>50145028</v>
      </c>
      <c r="E833" s="55" t="s">
        <v>23</v>
      </c>
      <c r="F833" s="56">
        <v>8</v>
      </c>
      <c r="G833" s="68">
        <v>1536</v>
      </c>
      <c r="H833" s="56" t="s">
        <v>92</v>
      </c>
      <c r="L833" s="56" t="s">
        <v>388</v>
      </c>
      <c r="M833" s="4" t="s">
        <v>176</v>
      </c>
      <c r="N833" s="4" t="s">
        <v>193</v>
      </c>
      <c r="O833" s="4" t="s">
        <v>178</v>
      </c>
    </row>
    <row r="834" spans="2:15">
      <c r="B834" s="20">
        <v>44965</v>
      </c>
      <c r="C834" s="20">
        <v>44965</v>
      </c>
      <c r="D834" s="54">
        <v>50799770</v>
      </c>
      <c r="E834" s="55" t="s">
        <v>17</v>
      </c>
      <c r="F834" s="56">
        <v>12</v>
      </c>
      <c r="G834" s="68">
        <v>6000</v>
      </c>
      <c r="H834" s="56" t="s">
        <v>92</v>
      </c>
      <c r="L834" s="56" t="s">
        <v>262</v>
      </c>
      <c r="M834" s="4" t="s">
        <v>176</v>
      </c>
      <c r="N834" s="4" t="s">
        <v>193</v>
      </c>
      <c r="O834" s="4" t="s">
        <v>178</v>
      </c>
    </row>
    <row r="835" spans="2:15">
      <c r="B835" s="20">
        <v>44965</v>
      </c>
      <c r="C835" s="20">
        <v>44965</v>
      </c>
      <c r="D835" s="54">
        <v>50522164</v>
      </c>
      <c r="E835" s="55" t="s">
        <v>439</v>
      </c>
      <c r="F835" s="56">
        <v>4</v>
      </c>
      <c r="G835" s="68">
        <v>1805.1</v>
      </c>
      <c r="H835" s="56" t="s">
        <v>82</v>
      </c>
      <c r="L835" s="56" t="s">
        <v>243</v>
      </c>
      <c r="M835" s="4" t="s">
        <v>176</v>
      </c>
      <c r="N835" s="4" t="s">
        <v>193</v>
      </c>
      <c r="O835" s="4" t="s">
        <v>178</v>
      </c>
    </row>
    <row r="836" spans="2:15">
      <c r="B836" s="20">
        <v>44966</v>
      </c>
      <c r="C836" s="20">
        <v>44966</v>
      </c>
      <c r="D836" s="54">
        <v>50486778</v>
      </c>
      <c r="E836" s="55" t="s">
        <v>787</v>
      </c>
      <c r="F836" s="56">
        <v>8</v>
      </c>
      <c r="G836" s="68">
        <v>2318400</v>
      </c>
      <c r="H836" s="56" t="s">
        <v>92</v>
      </c>
      <c r="J836" s="56">
        <v>2572023</v>
      </c>
      <c r="K836" s="4" t="s">
        <v>788</v>
      </c>
      <c r="L836" s="56" t="s">
        <v>789</v>
      </c>
      <c r="M836" s="4" t="s">
        <v>790</v>
      </c>
      <c r="N836" s="4" t="s">
        <v>791</v>
      </c>
      <c r="O836" s="4" t="s">
        <v>178</v>
      </c>
    </row>
    <row r="837" spans="2:15">
      <c r="B837" s="20">
        <v>44966</v>
      </c>
      <c r="C837" s="20">
        <v>44966</v>
      </c>
      <c r="D837" s="54">
        <v>50470190</v>
      </c>
      <c r="E837" s="55" t="s">
        <v>12</v>
      </c>
      <c r="F837" s="56">
        <v>24</v>
      </c>
      <c r="G837" s="68">
        <v>6955200</v>
      </c>
      <c r="H837" s="56" t="s">
        <v>92</v>
      </c>
      <c r="J837" s="56">
        <v>2572023</v>
      </c>
      <c r="K837" s="4" t="s">
        <v>788</v>
      </c>
      <c r="L837" s="56" t="s">
        <v>789</v>
      </c>
      <c r="M837" s="4" t="s">
        <v>790</v>
      </c>
      <c r="N837" s="4" t="s">
        <v>791</v>
      </c>
      <c r="O837" s="4" t="s">
        <v>178</v>
      </c>
    </row>
    <row r="838" spans="2:15">
      <c r="B838" s="20">
        <v>44971</v>
      </c>
      <c r="C838" s="20">
        <v>44971</v>
      </c>
      <c r="D838" s="54">
        <v>40010086</v>
      </c>
      <c r="E838" s="55" t="s">
        <v>79</v>
      </c>
      <c r="F838" s="56">
        <v>1</v>
      </c>
      <c r="G838" s="68">
        <v>1868</v>
      </c>
      <c r="H838" s="56" t="s">
        <v>80</v>
      </c>
      <c r="J838" s="56">
        <v>197600629</v>
      </c>
      <c r="L838" s="56" t="s">
        <v>175</v>
      </c>
      <c r="M838" s="4" t="s">
        <v>520</v>
      </c>
      <c r="N838" s="4" t="s">
        <v>792</v>
      </c>
      <c r="O838" s="4" t="s">
        <v>178</v>
      </c>
    </row>
    <row r="839" spans="2:15">
      <c r="B839" s="20">
        <v>44971</v>
      </c>
      <c r="C839" s="20">
        <v>44971</v>
      </c>
      <c r="D839" s="54">
        <v>40009546</v>
      </c>
      <c r="E839" s="55" t="s">
        <v>174</v>
      </c>
      <c r="F839" s="56">
        <v>21</v>
      </c>
      <c r="G839" s="68">
        <v>15876</v>
      </c>
      <c r="H839" s="56" t="s">
        <v>80</v>
      </c>
      <c r="J839" s="56">
        <v>197600629</v>
      </c>
      <c r="L839" s="56" t="s">
        <v>175</v>
      </c>
      <c r="M839" s="4" t="s">
        <v>520</v>
      </c>
      <c r="N839" s="4" t="s">
        <v>792</v>
      </c>
      <c r="O839" s="4" t="s">
        <v>178</v>
      </c>
    </row>
    <row r="840" spans="2:15">
      <c r="B840" s="20">
        <v>44971</v>
      </c>
      <c r="C840" s="20">
        <v>44971</v>
      </c>
      <c r="D840" s="54">
        <v>40010087</v>
      </c>
      <c r="E840" s="55" t="s">
        <v>387</v>
      </c>
      <c r="F840" s="56">
        <v>3</v>
      </c>
      <c r="G840" s="68">
        <v>2375</v>
      </c>
      <c r="H840" s="56" t="s">
        <v>80</v>
      </c>
      <c r="J840" s="56">
        <v>197600629</v>
      </c>
      <c r="L840" s="56" t="s">
        <v>175</v>
      </c>
      <c r="M840" s="4" t="s">
        <v>520</v>
      </c>
      <c r="N840" s="4" t="s">
        <v>792</v>
      </c>
      <c r="O840" s="4" t="s">
        <v>178</v>
      </c>
    </row>
    <row r="841" spans="2:15">
      <c r="B841" s="20">
        <v>44971</v>
      </c>
      <c r="C841" s="20">
        <v>44971</v>
      </c>
      <c r="D841" s="54">
        <v>50144376</v>
      </c>
      <c r="E841" s="55" t="s">
        <v>19</v>
      </c>
      <c r="F841" s="56">
        <v>20</v>
      </c>
      <c r="G841" s="68">
        <v>10000</v>
      </c>
      <c r="H841" s="56" t="s">
        <v>92</v>
      </c>
      <c r="J841" s="56">
        <v>963</v>
      </c>
      <c r="L841" s="56" t="s">
        <v>201</v>
      </c>
      <c r="M841" s="4" t="s">
        <v>201</v>
      </c>
      <c r="N841" s="4" t="s">
        <v>793</v>
      </c>
      <c r="O841" s="4" t="s">
        <v>178</v>
      </c>
    </row>
    <row r="842" spans="2:15">
      <c r="B842" s="20">
        <v>44971</v>
      </c>
      <c r="C842" s="20">
        <v>44971</v>
      </c>
      <c r="D842" s="54">
        <v>50470190</v>
      </c>
      <c r="E842" s="55" t="s">
        <v>12</v>
      </c>
      <c r="F842" s="56">
        <v>32</v>
      </c>
      <c r="G842" s="68">
        <v>9273600</v>
      </c>
      <c r="H842" s="56" t="s">
        <v>92</v>
      </c>
      <c r="J842" s="56">
        <v>459</v>
      </c>
      <c r="L842" s="56" t="s">
        <v>230</v>
      </c>
      <c r="M842" s="4" t="s">
        <v>230</v>
      </c>
      <c r="N842" s="4" t="s">
        <v>589</v>
      </c>
      <c r="O842" s="4" t="s">
        <v>178</v>
      </c>
    </row>
    <row r="843" spans="2:15">
      <c r="B843" s="20">
        <v>44973</v>
      </c>
      <c r="C843" s="20">
        <v>44973</v>
      </c>
      <c r="D843" s="54">
        <v>50142551</v>
      </c>
      <c r="E843" s="55" t="s">
        <v>215</v>
      </c>
      <c r="F843" s="56">
        <v>1</v>
      </c>
      <c r="G843" s="68">
        <v>25</v>
      </c>
      <c r="H843" s="56" t="s">
        <v>92</v>
      </c>
      <c r="J843" s="56">
        <v>14925</v>
      </c>
      <c r="L843" s="56" t="s">
        <v>558</v>
      </c>
      <c r="M843" s="4" t="s">
        <v>558</v>
      </c>
      <c r="N843" s="4" t="s">
        <v>559</v>
      </c>
      <c r="O843" s="4" t="s">
        <v>178</v>
      </c>
    </row>
    <row r="844" spans="2:15">
      <c r="B844" s="20">
        <v>44973</v>
      </c>
      <c r="C844" s="20">
        <v>44973</v>
      </c>
      <c r="D844" s="54">
        <v>50142334</v>
      </c>
      <c r="E844" s="55" t="s">
        <v>257</v>
      </c>
      <c r="F844" s="56">
        <v>18</v>
      </c>
      <c r="G844" s="68">
        <v>12258</v>
      </c>
      <c r="H844" s="56" t="s">
        <v>82</v>
      </c>
      <c r="J844" s="56" t="s">
        <v>794</v>
      </c>
      <c r="L844" s="56" t="s">
        <v>213</v>
      </c>
      <c r="M844" s="4" t="s">
        <v>326</v>
      </c>
      <c r="N844" s="4" t="s">
        <v>327</v>
      </c>
      <c r="O844" s="4" t="s">
        <v>178</v>
      </c>
    </row>
    <row r="845" spans="2:15">
      <c r="B845" s="20">
        <v>44973</v>
      </c>
      <c r="C845" s="20">
        <v>44973</v>
      </c>
      <c r="D845" s="54">
        <v>40499</v>
      </c>
      <c r="E845" s="55" t="s">
        <v>316</v>
      </c>
      <c r="F845" s="56">
        <v>18</v>
      </c>
      <c r="G845" s="68">
        <v>18</v>
      </c>
      <c r="H845" s="56" t="s">
        <v>92</v>
      </c>
      <c r="J845" s="56" t="s">
        <v>794</v>
      </c>
      <c r="M845" s="4" t="s">
        <v>326</v>
      </c>
      <c r="N845" s="4" t="s">
        <v>327</v>
      </c>
      <c r="O845" s="4" t="s">
        <v>178</v>
      </c>
    </row>
    <row r="846" spans="2:15">
      <c r="B846" s="20">
        <v>44973</v>
      </c>
      <c r="C846" s="20">
        <v>44973</v>
      </c>
      <c r="D846" s="54">
        <v>50470190</v>
      </c>
      <c r="E846" s="55" t="s">
        <v>12</v>
      </c>
      <c r="F846" s="56">
        <v>6</v>
      </c>
      <c r="G846" s="68">
        <v>1738800</v>
      </c>
      <c r="H846" s="56" t="s">
        <v>92</v>
      </c>
      <c r="J846" s="56" t="s">
        <v>795</v>
      </c>
      <c r="L846" s="56" t="s">
        <v>213</v>
      </c>
      <c r="M846" s="4" t="s">
        <v>326</v>
      </c>
      <c r="N846" s="4" t="s">
        <v>503</v>
      </c>
      <c r="O846" s="4" t="s">
        <v>178</v>
      </c>
    </row>
    <row r="847" spans="2:15">
      <c r="B847" s="20">
        <v>44973</v>
      </c>
      <c r="C847" s="20">
        <v>44973</v>
      </c>
      <c r="D847" s="54">
        <v>50142334</v>
      </c>
      <c r="E847" s="55" t="s">
        <v>257</v>
      </c>
      <c r="F847" s="56">
        <v>13</v>
      </c>
      <c r="G847" s="68">
        <v>8853</v>
      </c>
      <c r="H847" s="56" t="s">
        <v>82</v>
      </c>
      <c r="J847" s="56" t="s">
        <v>795</v>
      </c>
      <c r="L847" s="56" t="s">
        <v>230</v>
      </c>
      <c r="M847" s="4" t="s">
        <v>326</v>
      </c>
      <c r="N847" s="4" t="s">
        <v>503</v>
      </c>
      <c r="O847" s="4" t="s">
        <v>178</v>
      </c>
    </row>
    <row r="848" spans="2:15">
      <c r="B848" s="20">
        <v>44973</v>
      </c>
      <c r="C848" s="20">
        <v>44973</v>
      </c>
      <c r="D848" s="54">
        <v>40499</v>
      </c>
      <c r="E848" s="55" t="s">
        <v>316</v>
      </c>
      <c r="F848" s="56">
        <v>13</v>
      </c>
      <c r="G848" s="68">
        <v>13</v>
      </c>
      <c r="H848" s="56" t="s">
        <v>92</v>
      </c>
      <c r="J848" s="56" t="s">
        <v>795</v>
      </c>
      <c r="M848" s="4" t="s">
        <v>326</v>
      </c>
      <c r="N848" s="4" t="s">
        <v>503</v>
      </c>
      <c r="O848" s="4" t="s">
        <v>178</v>
      </c>
    </row>
    <row r="849" spans="2:15">
      <c r="B849" s="20">
        <v>44974</v>
      </c>
      <c r="C849" s="20">
        <v>44974</v>
      </c>
      <c r="D849" s="54">
        <v>50142237</v>
      </c>
      <c r="E849" s="55" t="s">
        <v>617</v>
      </c>
      <c r="F849" s="56">
        <v>33</v>
      </c>
      <c r="G849" s="68">
        <v>33000</v>
      </c>
      <c r="H849" s="56" t="s">
        <v>92</v>
      </c>
      <c r="L849" s="56" t="s">
        <v>618</v>
      </c>
      <c r="M849" s="4" t="s">
        <v>619</v>
      </c>
      <c r="N849" s="4"/>
      <c r="O849" s="4" t="s">
        <v>178</v>
      </c>
    </row>
    <row r="850" spans="2:15">
      <c r="B850" s="20">
        <v>44974</v>
      </c>
      <c r="C850" s="20">
        <v>44974</v>
      </c>
      <c r="D850" s="54">
        <v>50144376</v>
      </c>
      <c r="E850" s="55" t="s">
        <v>19</v>
      </c>
      <c r="F850" s="56">
        <v>20</v>
      </c>
      <c r="G850" s="68">
        <v>10000</v>
      </c>
      <c r="H850" s="56" t="s">
        <v>92</v>
      </c>
      <c r="J850" s="56">
        <v>1040</v>
      </c>
      <c r="L850" s="56" t="s">
        <v>201</v>
      </c>
      <c r="M850" s="4" t="s">
        <v>201</v>
      </c>
      <c r="N850" s="4" t="s">
        <v>538</v>
      </c>
      <c r="O850" s="4" t="s">
        <v>178</v>
      </c>
    </row>
    <row r="851" spans="2:15">
      <c r="B851" s="20">
        <v>44974</v>
      </c>
      <c r="C851" s="20">
        <v>44974</v>
      </c>
      <c r="D851" s="54">
        <v>50272278</v>
      </c>
      <c r="E851" s="55" t="s">
        <v>21</v>
      </c>
      <c r="F851" s="56">
        <v>20</v>
      </c>
      <c r="G851" s="68">
        <v>10000</v>
      </c>
      <c r="H851" s="56" t="s">
        <v>92</v>
      </c>
      <c r="J851" s="56">
        <v>1065</v>
      </c>
      <c r="L851" s="56" t="s">
        <v>201</v>
      </c>
      <c r="M851" s="4" t="s">
        <v>201</v>
      </c>
      <c r="N851" s="4" t="s">
        <v>363</v>
      </c>
      <c r="O851" s="4" t="s">
        <v>178</v>
      </c>
    </row>
    <row r="852" spans="2:15">
      <c r="B852" s="20">
        <v>44974</v>
      </c>
      <c r="C852" s="20">
        <v>44974</v>
      </c>
      <c r="D852" s="54">
        <v>50010080</v>
      </c>
      <c r="E852" s="55" t="s">
        <v>354</v>
      </c>
      <c r="F852" s="56">
        <v>15</v>
      </c>
      <c r="G852" s="68">
        <v>15000</v>
      </c>
      <c r="H852" s="56" t="s">
        <v>82</v>
      </c>
      <c r="J852" s="56">
        <v>9364</v>
      </c>
      <c r="L852" s="56" t="s">
        <v>355</v>
      </c>
      <c r="M852" s="4" t="s">
        <v>650</v>
      </c>
      <c r="N852" s="4" t="s">
        <v>796</v>
      </c>
      <c r="O852" s="4" t="s">
        <v>178</v>
      </c>
    </row>
    <row r="853" spans="2:15">
      <c r="B853" s="20">
        <v>44975</v>
      </c>
      <c r="C853" s="20">
        <v>44975</v>
      </c>
      <c r="D853" s="54">
        <v>40009544</v>
      </c>
      <c r="E853" s="55" t="s">
        <v>179</v>
      </c>
      <c r="F853" s="56">
        <v>7</v>
      </c>
      <c r="G853" s="68">
        <v>18350</v>
      </c>
      <c r="H853" s="56" t="s">
        <v>80</v>
      </c>
      <c r="J853" s="56">
        <v>198268604</v>
      </c>
      <c r="K853" s="4" t="s">
        <v>797</v>
      </c>
      <c r="L853" s="56" t="s">
        <v>175</v>
      </c>
      <c r="M853" s="4" t="s">
        <v>520</v>
      </c>
      <c r="N853" s="4" t="s">
        <v>798</v>
      </c>
      <c r="O853" s="4" t="s">
        <v>178</v>
      </c>
    </row>
    <row r="854" spans="2:15">
      <c r="B854" s="20">
        <v>44975</v>
      </c>
      <c r="C854" s="20">
        <v>44975</v>
      </c>
      <c r="D854" s="54">
        <v>40009546</v>
      </c>
      <c r="E854" s="55" t="s">
        <v>174</v>
      </c>
      <c r="F854" s="56">
        <v>7</v>
      </c>
      <c r="G854" s="68">
        <v>4788</v>
      </c>
      <c r="H854" s="56" t="s">
        <v>80</v>
      </c>
      <c r="J854" s="56">
        <v>198268604</v>
      </c>
      <c r="K854" s="4" t="s">
        <v>797</v>
      </c>
      <c r="L854" s="56" t="s">
        <v>175</v>
      </c>
      <c r="M854" s="4" t="s">
        <v>520</v>
      </c>
      <c r="N854" s="4" t="s">
        <v>798</v>
      </c>
      <c r="O854" s="4" t="s">
        <v>178</v>
      </c>
    </row>
    <row r="855" spans="2:15">
      <c r="B855" s="20">
        <v>44977</v>
      </c>
      <c r="C855" s="20">
        <v>44977</v>
      </c>
      <c r="D855" s="54">
        <v>50144376</v>
      </c>
      <c r="E855" s="55" t="s">
        <v>19</v>
      </c>
      <c r="F855" s="56">
        <v>20</v>
      </c>
      <c r="G855" s="68">
        <v>10000</v>
      </c>
      <c r="H855" s="56" t="s">
        <v>92</v>
      </c>
      <c r="J855" s="56">
        <v>1091</v>
      </c>
      <c r="L855" s="56" t="s">
        <v>201</v>
      </c>
      <c r="M855" s="4" t="s">
        <v>201</v>
      </c>
      <c r="N855" s="4" t="s">
        <v>799</v>
      </c>
      <c r="O855" s="4" t="s">
        <v>530</v>
      </c>
    </row>
    <row r="856" spans="2:15">
      <c r="B856" s="20">
        <v>44977</v>
      </c>
      <c r="C856" s="20">
        <v>44977</v>
      </c>
      <c r="D856" s="54">
        <v>50142631</v>
      </c>
      <c r="E856" s="55" t="s">
        <v>566</v>
      </c>
      <c r="F856" s="56">
        <v>2</v>
      </c>
      <c r="G856" s="68">
        <v>1500</v>
      </c>
      <c r="H856" s="56" t="s">
        <v>82</v>
      </c>
      <c r="J856" s="56">
        <v>164583</v>
      </c>
      <c r="L856" s="56" t="s">
        <v>567</v>
      </c>
      <c r="M856" s="4" t="s">
        <v>568</v>
      </c>
      <c r="N856" s="4" t="s">
        <v>569</v>
      </c>
      <c r="O856" s="4" t="s">
        <v>530</v>
      </c>
    </row>
    <row r="857" spans="2:15">
      <c r="B857" s="20">
        <v>44977</v>
      </c>
      <c r="C857" s="20">
        <v>44977</v>
      </c>
      <c r="D857" s="54">
        <v>50470190</v>
      </c>
      <c r="E857" s="55" t="s">
        <v>12</v>
      </c>
      <c r="F857" s="56">
        <v>32</v>
      </c>
      <c r="G857" s="68">
        <v>9273600</v>
      </c>
      <c r="H857" s="56" t="s">
        <v>92</v>
      </c>
      <c r="J857" s="56">
        <v>571</v>
      </c>
      <c r="L857" s="56" t="s">
        <v>230</v>
      </c>
      <c r="M857" s="4" t="s">
        <v>392</v>
      </c>
      <c r="N857" s="4" t="s">
        <v>800</v>
      </c>
      <c r="O857" s="4" t="s">
        <v>530</v>
      </c>
    </row>
    <row r="858" spans="2:15">
      <c r="B858" s="20">
        <v>44978</v>
      </c>
      <c r="C858" s="20">
        <v>44978</v>
      </c>
      <c r="D858" s="54">
        <v>50802525</v>
      </c>
      <c r="E858" s="55" t="s">
        <v>801</v>
      </c>
      <c r="F858" s="56">
        <v>10</v>
      </c>
      <c r="G858" s="68">
        <v>148000</v>
      </c>
      <c r="H858" s="56" t="s">
        <v>92</v>
      </c>
      <c r="J858" s="56">
        <v>20000538</v>
      </c>
      <c r="K858" s="4" t="s">
        <v>802</v>
      </c>
      <c r="L858" s="56" t="s">
        <v>259</v>
      </c>
      <c r="N858" s="4" t="s">
        <v>803</v>
      </c>
      <c r="O858" s="4" t="s">
        <v>530</v>
      </c>
    </row>
    <row r="859" spans="2:15">
      <c r="B859" s="20">
        <v>44978</v>
      </c>
      <c r="C859" s="20">
        <v>44978</v>
      </c>
      <c r="D859" s="54">
        <v>50802526</v>
      </c>
      <c r="E859" s="55" t="s">
        <v>804</v>
      </c>
      <c r="F859" s="56">
        <v>1</v>
      </c>
      <c r="G859" s="68">
        <v>148000</v>
      </c>
      <c r="H859" s="56" t="s">
        <v>92</v>
      </c>
      <c r="J859" s="56">
        <v>20000538</v>
      </c>
      <c r="K859" s="4" t="s">
        <v>802</v>
      </c>
      <c r="L859" s="56" t="s">
        <v>259</v>
      </c>
      <c r="N859" s="4" t="s">
        <v>803</v>
      </c>
      <c r="O859" s="4" t="s">
        <v>530</v>
      </c>
    </row>
    <row r="860" spans="2:15">
      <c r="B860" s="20">
        <v>44978</v>
      </c>
      <c r="C860" s="20">
        <v>44978</v>
      </c>
      <c r="D860" s="54">
        <v>50802527</v>
      </c>
      <c r="E860" s="55" t="s">
        <v>805</v>
      </c>
      <c r="F860" s="56">
        <v>1</v>
      </c>
      <c r="G860" s="68">
        <v>148000</v>
      </c>
      <c r="H860" s="56" t="s">
        <v>92</v>
      </c>
      <c r="J860" s="56">
        <v>20000538</v>
      </c>
      <c r="K860" s="4" t="s">
        <v>802</v>
      </c>
      <c r="L860" s="56" t="s">
        <v>259</v>
      </c>
      <c r="N860" s="4" t="s">
        <v>803</v>
      </c>
      <c r="O860" s="4" t="s">
        <v>530</v>
      </c>
    </row>
    <row r="861" spans="2:15">
      <c r="B861" s="20">
        <v>44979</v>
      </c>
      <c r="C861" s="20">
        <v>44979</v>
      </c>
      <c r="D861" s="54">
        <v>50272278</v>
      </c>
      <c r="E861" s="55" t="s">
        <v>21</v>
      </c>
      <c r="F861" s="56">
        <v>12</v>
      </c>
      <c r="G861" s="68">
        <v>6000</v>
      </c>
      <c r="H861" s="56" t="s">
        <v>92</v>
      </c>
      <c r="J861" s="56">
        <v>17824</v>
      </c>
      <c r="L861" s="56" t="s">
        <v>262</v>
      </c>
      <c r="M861" s="4" t="s">
        <v>262</v>
      </c>
      <c r="N861" s="4" t="s">
        <v>806</v>
      </c>
      <c r="O861" s="4" t="s">
        <v>530</v>
      </c>
    </row>
    <row r="862" spans="2:15">
      <c r="B862" s="20">
        <v>44980</v>
      </c>
      <c r="C862" s="20">
        <v>44980</v>
      </c>
      <c r="D862" s="54">
        <v>50272278</v>
      </c>
      <c r="E862" s="55" t="s">
        <v>21</v>
      </c>
      <c r="F862" s="56">
        <v>20</v>
      </c>
      <c r="G862" s="68">
        <v>10000</v>
      </c>
      <c r="H862" s="56" t="s">
        <v>92</v>
      </c>
      <c r="J862" s="56">
        <v>1283</v>
      </c>
      <c r="L862" s="56" t="s">
        <v>201</v>
      </c>
      <c r="M862" s="4" t="s">
        <v>201</v>
      </c>
      <c r="N862" s="4" t="s">
        <v>363</v>
      </c>
      <c r="O862" s="4" t="s">
        <v>530</v>
      </c>
    </row>
    <row r="863" spans="2:15">
      <c r="B863" s="20">
        <v>44981</v>
      </c>
      <c r="C863" s="20">
        <v>44981</v>
      </c>
      <c r="D863" s="54">
        <v>50144376</v>
      </c>
      <c r="E863" s="55" t="s">
        <v>19</v>
      </c>
      <c r="F863" s="56">
        <v>20</v>
      </c>
      <c r="G863" s="68">
        <v>10000</v>
      </c>
      <c r="H863" s="56" t="s">
        <v>92</v>
      </c>
      <c r="J863" s="56">
        <v>1216</v>
      </c>
      <c r="L863" s="56" t="s">
        <v>201</v>
      </c>
      <c r="M863" s="4" t="s">
        <v>201</v>
      </c>
      <c r="N863" s="4" t="s">
        <v>807</v>
      </c>
      <c r="O863" s="4" t="s">
        <v>530</v>
      </c>
    </row>
    <row r="864" spans="2:15">
      <c r="B864" s="20">
        <v>44981</v>
      </c>
      <c r="C864" s="20">
        <v>44981</v>
      </c>
      <c r="D864" s="54">
        <v>50470190</v>
      </c>
      <c r="E864" s="55" t="s">
        <v>12</v>
      </c>
      <c r="F864" s="56">
        <v>32</v>
      </c>
      <c r="G864" s="68">
        <v>9273600</v>
      </c>
      <c r="H864" s="56" t="s">
        <v>92</v>
      </c>
      <c r="J864" s="56">
        <v>690</v>
      </c>
      <c r="L864" s="56" t="s">
        <v>230</v>
      </c>
      <c r="M864" s="4" t="s">
        <v>392</v>
      </c>
      <c r="N864" s="4" t="s">
        <v>319</v>
      </c>
      <c r="O864" s="4" t="s">
        <v>530</v>
      </c>
    </row>
    <row r="865" spans="2:15">
      <c r="B865" s="20">
        <v>44985</v>
      </c>
      <c r="C865" s="20">
        <v>44985</v>
      </c>
      <c r="D865" s="54">
        <v>50145028</v>
      </c>
      <c r="E865" s="55" t="s">
        <v>23</v>
      </c>
      <c r="F865" s="56">
        <v>6</v>
      </c>
      <c r="G865" s="68">
        <v>997</v>
      </c>
      <c r="H865" s="56" t="s">
        <v>92</v>
      </c>
      <c r="J865" s="56">
        <v>46</v>
      </c>
      <c r="L865" s="56" t="s">
        <v>673</v>
      </c>
      <c r="M865" s="4" t="s">
        <v>673</v>
      </c>
      <c r="N865" s="4" t="s">
        <v>808</v>
      </c>
      <c r="O865" s="4" t="s">
        <v>530</v>
      </c>
    </row>
    <row r="866" spans="2:15">
      <c r="B866" s="20">
        <v>44985</v>
      </c>
      <c r="C866" s="20">
        <v>44985</v>
      </c>
      <c r="D866" s="54">
        <v>50369034</v>
      </c>
      <c r="E866" s="55" t="s">
        <v>322</v>
      </c>
      <c r="F866" s="56">
        <v>10</v>
      </c>
      <c r="G866" s="68">
        <v>4818.35</v>
      </c>
      <c r="H866" s="56" t="s">
        <v>82</v>
      </c>
      <c r="J866" s="56">
        <v>11937</v>
      </c>
      <c r="L866" s="56" t="s">
        <v>243</v>
      </c>
      <c r="M866" s="4" t="s">
        <v>660</v>
      </c>
      <c r="N866" s="4" t="s">
        <v>684</v>
      </c>
      <c r="O866" s="4" t="s">
        <v>530</v>
      </c>
    </row>
    <row r="867" spans="2:15">
      <c r="B867" s="20">
        <v>44985</v>
      </c>
      <c r="C867" s="20">
        <v>44985</v>
      </c>
      <c r="D867" s="54">
        <v>50522169</v>
      </c>
      <c r="E867" s="55" t="s">
        <v>250</v>
      </c>
      <c r="F867" s="56">
        <v>10</v>
      </c>
      <c r="G867" s="68">
        <v>5047.6</v>
      </c>
      <c r="H867" s="56" t="s">
        <v>82</v>
      </c>
      <c r="J867" s="56">
        <v>11938</v>
      </c>
      <c r="L867" s="56" t="s">
        <v>243</v>
      </c>
      <c r="M867" s="4" t="s">
        <v>660</v>
      </c>
      <c r="N867" s="4" t="s">
        <v>428</v>
      </c>
      <c r="O867" s="4" t="s">
        <v>530</v>
      </c>
    </row>
    <row r="868" spans="2:15">
      <c r="B868" s="20">
        <v>44985</v>
      </c>
      <c r="C868" s="20">
        <v>44985</v>
      </c>
      <c r="D868" s="54">
        <v>50470190</v>
      </c>
      <c r="E868" s="55" t="s">
        <v>12</v>
      </c>
      <c r="F868" s="56">
        <v>32</v>
      </c>
      <c r="G868" s="68">
        <v>9273600</v>
      </c>
      <c r="H868" s="56" t="s">
        <v>92</v>
      </c>
      <c r="J868" s="56">
        <v>764</v>
      </c>
      <c r="L868" s="56" t="s">
        <v>230</v>
      </c>
      <c r="M868" s="4" t="s">
        <v>392</v>
      </c>
      <c r="N868" s="4" t="s">
        <v>319</v>
      </c>
      <c r="O868" s="4" t="s">
        <v>530</v>
      </c>
    </row>
    <row r="869" spans="2:15">
      <c r="B869" s="20">
        <v>44986</v>
      </c>
      <c r="C869" s="20">
        <v>44986</v>
      </c>
      <c r="D869" s="54">
        <v>40010086</v>
      </c>
      <c r="E869" s="55" t="s">
        <v>79</v>
      </c>
      <c r="F869" s="56">
        <v>3</v>
      </c>
      <c r="G869" s="68">
        <v>7798</v>
      </c>
      <c r="H869" s="56" t="s">
        <v>80</v>
      </c>
      <c r="J869" s="56">
        <v>19973361</v>
      </c>
      <c r="K869" s="4" t="s">
        <v>809</v>
      </c>
      <c r="L869" s="56" t="s">
        <v>175</v>
      </c>
      <c r="M869" s="4" t="s">
        <v>520</v>
      </c>
      <c r="N869" s="4" t="s">
        <v>810</v>
      </c>
      <c r="O869" s="4" t="s">
        <v>530</v>
      </c>
    </row>
    <row r="870" spans="2:15">
      <c r="B870" s="20">
        <v>44986</v>
      </c>
      <c r="C870" s="20">
        <v>44986</v>
      </c>
      <c r="D870" s="54">
        <v>40010087</v>
      </c>
      <c r="E870" s="55" t="s">
        <v>387</v>
      </c>
      <c r="F870" s="56">
        <v>11</v>
      </c>
      <c r="G870" s="68">
        <v>8235</v>
      </c>
      <c r="H870" s="56" t="s">
        <v>80</v>
      </c>
      <c r="J870" s="56">
        <v>19973361</v>
      </c>
      <c r="K870" s="4" t="s">
        <v>809</v>
      </c>
      <c r="L870" s="56" t="s">
        <v>175</v>
      </c>
      <c r="M870" s="4" t="s">
        <v>520</v>
      </c>
      <c r="N870" s="4" t="s">
        <v>810</v>
      </c>
      <c r="O870" s="4" t="s">
        <v>530</v>
      </c>
    </row>
    <row r="871" spans="2:15">
      <c r="B871" s="20">
        <v>44986</v>
      </c>
      <c r="C871" s="20">
        <v>44986</v>
      </c>
      <c r="D871" s="54">
        <v>50337816</v>
      </c>
      <c r="E871" s="55" t="s">
        <v>245</v>
      </c>
      <c r="F871" s="56">
        <v>42</v>
      </c>
      <c r="G871" s="68">
        <v>11044</v>
      </c>
      <c r="H871" s="56" t="s">
        <v>80</v>
      </c>
      <c r="J871" s="56" t="s">
        <v>811</v>
      </c>
      <c r="K871" s="4" t="s">
        <v>812</v>
      </c>
      <c r="L871" s="56" t="s">
        <v>711</v>
      </c>
      <c r="M871" s="4" t="s">
        <v>209</v>
      </c>
      <c r="N871" s="4" t="s">
        <v>813</v>
      </c>
      <c r="O871" s="4" t="s">
        <v>530</v>
      </c>
    </row>
    <row r="872" spans="2:15">
      <c r="B872" s="20">
        <v>44986</v>
      </c>
      <c r="C872" s="20">
        <v>44986</v>
      </c>
      <c r="D872" s="54">
        <v>50143646</v>
      </c>
      <c r="E872" s="55" t="s">
        <v>191</v>
      </c>
      <c r="F872" s="56">
        <v>21</v>
      </c>
      <c r="G872" s="68">
        <v>10080</v>
      </c>
      <c r="H872" s="56" t="s">
        <v>82</v>
      </c>
      <c r="J872" s="56">
        <v>2000668</v>
      </c>
      <c r="K872" s="4" t="s">
        <v>814</v>
      </c>
      <c r="L872" s="56" t="s">
        <v>194</v>
      </c>
      <c r="M872" s="4" t="s">
        <v>394</v>
      </c>
      <c r="N872" s="4" t="s">
        <v>815</v>
      </c>
      <c r="O872" s="4" t="s">
        <v>530</v>
      </c>
    </row>
    <row r="873" spans="2:15">
      <c r="B873" s="20">
        <v>44986</v>
      </c>
      <c r="C873" s="20">
        <v>44986</v>
      </c>
      <c r="D873" s="54">
        <v>50143646</v>
      </c>
      <c r="E873" s="55" t="s">
        <v>191</v>
      </c>
      <c r="F873" s="56">
        <v>21</v>
      </c>
      <c r="G873" s="68">
        <v>10080</v>
      </c>
      <c r="H873" s="56" t="s">
        <v>82</v>
      </c>
      <c r="J873" s="56">
        <v>2000668</v>
      </c>
      <c r="K873" s="4" t="s">
        <v>816</v>
      </c>
      <c r="L873" s="56" t="s">
        <v>194</v>
      </c>
      <c r="M873" s="4" t="s">
        <v>394</v>
      </c>
      <c r="N873" s="4" t="s">
        <v>817</v>
      </c>
      <c r="O873" s="4" t="s">
        <v>530</v>
      </c>
    </row>
    <row r="874" spans="2:15">
      <c r="B874" s="20">
        <v>44987</v>
      </c>
      <c r="C874" s="20">
        <v>44987</v>
      </c>
      <c r="D874" s="54">
        <v>50509889</v>
      </c>
      <c r="E874" s="55" t="s">
        <v>671</v>
      </c>
      <c r="F874" s="56">
        <v>42</v>
      </c>
      <c r="G874" s="68">
        <v>11033000</v>
      </c>
      <c r="H874" s="56" t="s">
        <v>92</v>
      </c>
      <c r="J874" s="56" t="s">
        <v>818</v>
      </c>
      <c r="K874" s="4" t="s">
        <v>819</v>
      </c>
      <c r="L874" s="56" t="s">
        <v>711</v>
      </c>
      <c r="M874" s="4" t="s">
        <v>209</v>
      </c>
      <c r="N874" s="4" t="s">
        <v>820</v>
      </c>
      <c r="O874" s="4" t="s">
        <v>530</v>
      </c>
    </row>
    <row r="875" spans="2:15">
      <c r="B875" s="20">
        <v>44987</v>
      </c>
      <c r="C875" s="20">
        <v>44987</v>
      </c>
      <c r="D875" s="54">
        <v>50272278</v>
      </c>
      <c r="E875" s="55" t="s">
        <v>21</v>
      </c>
      <c r="F875" s="56">
        <v>12</v>
      </c>
      <c r="G875" s="68">
        <v>6000</v>
      </c>
      <c r="H875" s="56" t="s">
        <v>92</v>
      </c>
      <c r="J875" s="56">
        <v>17848</v>
      </c>
      <c r="L875" s="56" t="s">
        <v>821</v>
      </c>
      <c r="M875" s="4" t="s">
        <v>262</v>
      </c>
      <c r="N875" s="4" t="s">
        <v>364</v>
      </c>
      <c r="O875" s="4" t="s">
        <v>530</v>
      </c>
    </row>
    <row r="876" spans="2:15">
      <c r="B876" s="20">
        <v>44987</v>
      </c>
      <c r="C876" s="20">
        <v>44987</v>
      </c>
      <c r="D876" s="54">
        <v>50142551</v>
      </c>
      <c r="E876" s="55" t="s">
        <v>215</v>
      </c>
      <c r="F876" s="56">
        <v>1</v>
      </c>
      <c r="G876" s="68">
        <v>25</v>
      </c>
      <c r="H876" s="56" t="s">
        <v>92</v>
      </c>
      <c r="J876" s="56">
        <v>15102</v>
      </c>
      <c r="L876" s="56" t="s">
        <v>558</v>
      </c>
      <c r="M876" s="4" t="s">
        <v>558</v>
      </c>
      <c r="N876" s="4" t="s">
        <v>755</v>
      </c>
      <c r="O876" s="4" t="s">
        <v>530</v>
      </c>
    </row>
    <row r="877" spans="2:15">
      <c r="B877" s="20">
        <v>44988</v>
      </c>
      <c r="C877" s="20">
        <v>44988</v>
      </c>
      <c r="D877" s="54">
        <v>50272278</v>
      </c>
      <c r="E877" s="55" t="s">
        <v>21</v>
      </c>
      <c r="F877" s="56">
        <v>12</v>
      </c>
      <c r="G877" s="68">
        <v>6000</v>
      </c>
      <c r="H877" s="56" t="s">
        <v>92</v>
      </c>
      <c r="J877" s="56">
        <v>17854</v>
      </c>
      <c r="L877" s="56" t="s">
        <v>821</v>
      </c>
      <c r="M877" s="4" t="s">
        <v>262</v>
      </c>
      <c r="N877" s="4" t="s">
        <v>364</v>
      </c>
      <c r="O877" s="4" t="s">
        <v>530</v>
      </c>
    </row>
    <row r="878" spans="2:15">
      <c r="B878" s="20">
        <v>44990</v>
      </c>
      <c r="C878" s="20">
        <v>44990</v>
      </c>
      <c r="D878" s="54">
        <v>50812974</v>
      </c>
      <c r="E878" s="55" t="s">
        <v>822</v>
      </c>
      <c r="F878" s="56">
        <v>32</v>
      </c>
      <c r="G878" s="68">
        <v>9273600</v>
      </c>
      <c r="H878" s="56" t="s">
        <v>92</v>
      </c>
      <c r="J878" s="56" t="s">
        <v>823</v>
      </c>
      <c r="K878" s="4" t="s">
        <v>824</v>
      </c>
      <c r="L878" s="56" t="s">
        <v>789</v>
      </c>
      <c r="M878" s="4" t="s">
        <v>825</v>
      </c>
      <c r="N878" s="4" t="s">
        <v>826</v>
      </c>
      <c r="O878" s="4" t="s">
        <v>530</v>
      </c>
    </row>
    <row r="879" spans="2:15">
      <c r="B879" s="20">
        <v>44990</v>
      </c>
      <c r="C879" s="20">
        <v>44990</v>
      </c>
      <c r="D879" s="54">
        <v>50812974</v>
      </c>
      <c r="E879" s="55" t="s">
        <v>822</v>
      </c>
      <c r="F879" s="56">
        <v>32</v>
      </c>
      <c r="G879" s="68">
        <v>9273600</v>
      </c>
      <c r="H879" s="56" t="s">
        <v>92</v>
      </c>
      <c r="J879" s="56" t="s">
        <v>827</v>
      </c>
      <c r="K879" s="4" t="s">
        <v>828</v>
      </c>
      <c r="L879" s="56" t="s">
        <v>789</v>
      </c>
      <c r="M879" s="4" t="s">
        <v>829</v>
      </c>
      <c r="N879" s="4" t="s">
        <v>830</v>
      </c>
      <c r="O879" s="4" t="s">
        <v>530</v>
      </c>
    </row>
    <row r="880" spans="2:15">
      <c r="B880" s="20">
        <v>44990</v>
      </c>
      <c r="C880" s="20">
        <v>44990</v>
      </c>
      <c r="D880" s="54">
        <v>50812974</v>
      </c>
      <c r="E880" s="55" t="s">
        <v>822</v>
      </c>
      <c r="F880" s="56">
        <v>32</v>
      </c>
      <c r="G880" s="68">
        <v>9273600</v>
      </c>
      <c r="H880" s="56" t="s">
        <v>92</v>
      </c>
      <c r="J880" s="56" t="s">
        <v>831</v>
      </c>
      <c r="K880" s="4" t="s">
        <v>832</v>
      </c>
      <c r="L880" s="56" t="s">
        <v>789</v>
      </c>
      <c r="M880" s="4" t="s">
        <v>392</v>
      </c>
      <c r="N880" s="4" t="s">
        <v>833</v>
      </c>
      <c r="O880" s="4" t="s">
        <v>530</v>
      </c>
    </row>
    <row r="881" spans="2:15">
      <c r="B881" s="20">
        <v>44991</v>
      </c>
      <c r="C881" s="20">
        <v>44991</v>
      </c>
      <c r="D881" s="54">
        <v>50144376</v>
      </c>
      <c r="E881" s="55" t="s">
        <v>19</v>
      </c>
      <c r="F881" s="56">
        <v>1</v>
      </c>
      <c r="G881" s="68">
        <v>500</v>
      </c>
      <c r="H881" s="56" t="s">
        <v>92</v>
      </c>
      <c r="J881" s="56">
        <v>17953</v>
      </c>
      <c r="L881" s="56" t="s">
        <v>315</v>
      </c>
      <c r="M881" s="4" t="s">
        <v>176</v>
      </c>
      <c r="N881" s="4" t="s">
        <v>193</v>
      </c>
      <c r="O881" s="4" t="s">
        <v>530</v>
      </c>
    </row>
    <row r="882" spans="2:15">
      <c r="B882" s="20">
        <v>44991</v>
      </c>
      <c r="C882" s="20">
        <v>44991</v>
      </c>
      <c r="D882" s="54">
        <v>50272278</v>
      </c>
      <c r="E882" s="55" t="s">
        <v>21</v>
      </c>
      <c r="F882" s="56">
        <v>2</v>
      </c>
      <c r="G882" s="68">
        <v>1500</v>
      </c>
      <c r="H882" s="56" t="s">
        <v>92</v>
      </c>
      <c r="J882" s="56">
        <v>17953</v>
      </c>
      <c r="L882" s="56" t="s">
        <v>315</v>
      </c>
      <c r="M882" s="4" t="s">
        <v>176</v>
      </c>
      <c r="N882" s="4" t="s">
        <v>193</v>
      </c>
      <c r="O882" s="4" t="s">
        <v>530</v>
      </c>
    </row>
    <row r="883" spans="2:15">
      <c r="B883" s="20">
        <v>44991</v>
      </c>
      <c r="C883" s="20">
        <v>44991</v>
      </c>
      <c r="D883" s="54">
        <v>50534881</v>
      </c>
      <c r="E883" s="55" t="s">
        <v>227</v>
      </c>
      <c r="F883" s="56">
        <v>8</v>
      </c>
      <c r="G883" s="68">
        <v>72000</v>
      </c>
      <c r="H883" s="56" t="s">
        <v>92</v>
      </c>
      <c r="J883" s="56">
        <v>17953</v>
      </c>
      <c r="L883" s="56" t="s">
        <v>315</v>
      </c>
      <c r="M883" s="4" t="s">
        <v>176</v>
      </c>
      <c r="N883" s="4" t="s">
        <v>193</v>
      </c>
      <c r="O883" s="4" t="s">
        <v>530</v>
      </c>
    </row>
    <row r="884" spans="2:15">
      <c r="B884" s="20">
        <v>44994</v>
      </c>
      <c r="C884" s="20">
        <v>44994</v>
      </c>
      <c r="D884" s="54">
        <v>50272278</v>
      </c>
      <c r="E884" s="55" t="s">
        <v>21</v>
      </c>
      <c r="F884" s="56">
        <v>12</v>
      </c>
      <c r="G884" s="68">
        <v>6000</v>
      </c>
      <c r="H884" s="56" t="s">
        <v>92</v>
      </c>
      <c r="J884" s="56">
        <v>17882</v>
      </c>
      <c r="L884" s="56" t="s">
        <v>262</v>
      </c>
      <c r="M884" s="4" t="s">
        <v>262</v>
      </c>
      <c r="N884" s="4" t="s">
        <v>364</v>
      </c>
      <c r="O884" s="4" t="s">
        <v>530</v>
      </c>
    </row>
    <row r="885" spans="2:15">
      <c r="B885" s="20">
        <v>44995</v>
      </c>
      <c r="C885" s="20">
        <v>44995</v>
      </c>
      <c r="D885" s="54">
        <v>50802525</v>
      </c>
      <c r="E885" s="55" t="s">
        <v>801</v>
      </c>
      <c r="F885" s="56">
        <v>10</v>
      </c>
      <c r="G885" s="68">
        <v>148000</v>
      </c>
      <c r="H885" s="56" t="s">
        <v>92</v>
      </c>
      <c r="J885" s="56">
        <v>2000539</v>
      </c>
      <c r="K885" s="4" t="s">
        <v>834</v>
      </c>
      <c r="L885" s="56" t="s">
        <v>259</v>
      </c>
      <c r="M885" s="4" t="s">
        <v>750</v>
      </c>
      <c r="N885" s="4" t="s">
        <v>395</v>
      </c>
      <c r="O885" s="4" t="s">
        <v>530</v>
      </c>
    </row>
    <row r="886" spans="2:15">
      <c r="B886" s="20">
        <v>44995</v>
      </c>
      <c r="C886" s="20">
        <v>44995</v>
      </c>
      <c r="D886" s="54">
        <v>50802526</v>
      </c>
      <c r="E886" s="55" t="s">
        <v>804</v>
      </c>
      <c r="F886" s="56">
        <v>1</v>
      </c>
      <c r="G886" s="68">
        <v>148000</v>
      </c>
      <c r="H886" s="56" t="s">
        <v>92</v>
      </c>
      <c r="J886" s="56">
        <v>2000539</v>
      </c>
      <c r="K886" s="4" t="s">
        <v>834</v>
      </c>
      <c r="L886" s="56" t="s">
        <v>259</v>
      </c>
      <c r="M886" s="4" t="s">
        <v>750</v>
      </c>
      <c r="N886" s="4" t="s">
        <v>395</v>
      </c>
      <c r="O886" s="4" t="s">
        <v>530</v>
      </c>
    </row>
    <row r="887" spans="2:15">
      <c r="B887" s="20">
        <v>44995</v>
      </c>
      <c r="C887" s="20">
        <v>44995</v>
      </c>
      <c r="D887" s="54">
        <v>50802527</v>
      </c>
      <c r="E887" s="55" t="s">
        <v>805</v>
      </c>
      <c r="F887" s="56">
        <v>1</v>
      </c>
      <c r="G887" s="68">
        <v>148000</v>
      </c>
      <c r="H887" s="56" t="s">
        <v>92</v>
      </c>
      <c r="J887" s="56">
        <v>2000539</v>
      </c>
      <c r="K887" s="4" t="s">
        <v>834</v>
      </c>
      <c r="L887" s="56" t="s">
        <v>259</v>
      </c>
      <c r="M887" s="4" t="s">
        <v>750</v>
      </c>
      <c r="N887" s="4" t="s">
        <v>395</v>
      </c>
      <c r="O887" s="4" t="s">
        <v>530</v>
      </c>
    </row>
    <row r="888" spans="2:15">
      <c r="B888" s="20">
        <v>44995</v>
      </c>
      <c r="C888" s="20">
        <v>44995</v>
      </c>
      <c r="D888" s="54">
        <v>50144376</v>
      </c>
      <c r="E888" s="55" t="s">
        <v>19</v>
      </c>
      <c r="F888" s="56">
        <v>20</v>
      </c>
      <c r="G888" s="68">
        <v>10000</v>
      </c>
      <c r="H888" s="56" t="s">
        <v>92</v>
      </c>
      <c r="J888" s="56">
        <v>1518</v>
      </c>
      <c r="L888" s="56" t="s">
        <v>201</v>
      </c>
      <c r="M888" s="4" t="s">
        <v>201</v>
      </c>
      <c r="N888" s="4" t="s">
        <v>807</v>
      </c>
      <c r="O888" s="4" t="s">
        <v>530</v>
      </c>
    </row>
    <row r="889" spans="2:15">
      <c r="B889" s="20">
        <v>44995</v>
      </c>
      <c r="C889" s="20">
        <v>44995</v>
      </c>
      <c r="D889" s="54">
        <v>50522169</v>
      </c>
      <c r="E889" s="55" t="s">
        <v>250</v>
      </c>
      <c r="F889" s="56">
        <v>6</v>
      </c>
      <c r="G889" s="68">
        <v>2949.75</v>
      </c>
      <c r="H889" s="56" t="s">
        <v>82</v>
      </c>
      <c r="J889" s="56">
        <v>11962</v>
      </c>
      <c r="L889" s="56" t="s">
        <v>243</v>
      </c>
      <c r="M889" s="4" t="s">
        <v>660</v>
      </c>
      <c r="N889" s="4" t="s">
        <v>574</v>
      </c>
      <c r="O889" s="4" t="s">
        <v>530</v>
      </c>
    </row>
    <row r="890" spans="2:15">
      <c r="B890" s="20">
        <v>44995</v>
      </c>
      <c r="C890" s="20">
        <v>44995</v>
      </c>
      <c r="D890" s="54">
        <v>50470190</v>
      </c>
      <c r="E890" s="55" t="s">
        <v>12</v>
      </c>
      <c r="F890" s="56">
        <v>32</v>
      </c>
      <c r="G890" s="68">
        <v>9273600</v>
      </c>
      <c r="H890" s="56" t="s">
        <v>92</v>
      </c>
      <c r="J890" s="56">
        <v>988</v>
      </c>
      <c r="L890" s="56" t="s">
        <v>230</v>
      </c>
      <c r="M890" s="4" t="s">
        <v>392</v>
      </c>
      <c r="N890" s="4" t="s">
        <v>800</v>
      </c>
      <c r="O890" s="4" t="s">
        <v>530</v>
      </c>
    </row>
    <row r="891" spans="2:15">
      <c r="B891" s="20">
        <v>44998</v>
      </c>
      <c r="C891" s="20">
        <v>44998</v>
      </c>
      <c r="D891" s="54">
        <v>50272278</v>
      </c>
      <c r="E891" s="55" t="s">
        <v>21</v>
      </c>
      <c r="F891" s="56">
        <v>12</v>
      </c>
      <c r="G891" s="68">
        <v>6000</v>
      </c>
      <c r="H891" s="56" t="s">
        <v>92</v>
      </c>
      <c r="J891" s="56">
        <v>17894</v>
      </c>
      <c r="L891" s="56" t="s">
        <v>835</v>
      </c>
      <c r="M891" s="4" t="s">
        <v>262</v>
      </c>
      <c r="N891" s="4" t="s">
        <v>518</v>
      </c>
      <c r="O891" s="4" t="s">
        <v>530</v>
      </c>
    </row>
    <row r="892" spans="2:15">
      <c r="B892" s="20">
        <v>44999</v>
      </c>
      <c r="C892" s="20">
        <v>44999</v>
      </c>
      <c r="D892" s="54">
        <v>50794589</v>
      </c>
      <c r="E892" s="55" t="s">
        <v>594</v>
      </c>
      <c r="F892" s="56">
        <v>9</v>
      </c>
      <c r="G892" s="68">
        <v>5458.6</v>
      </c>
      <c r="H892" s="56" t="s">
        <v>82</v>
      </c>
      <c r="J892" s="56">
        <v>11968</v>
      </c>
      <c r="L892" s="56" t="s">
        <v>243</v>
      </c>
      <c r="M892" s="4" t="s">
        <v>660</v>
      </c>
      <c r="N892" s="4" t="s">
        <v>574</v>
      </c>
      <c r="O892" s="4" t="s">
        <v>530</v>
      </c>
    </row>
    <row r="893" spans="2:15">
      <c r="B893" s="20">
        <v>44999</v>
      </c>
      <c r="C893" s="20">
        <v>44999</v>
      </c>
      <c r="D893" s="54">
        <v>50145012</v>
      </c>
      <c r="E893" s="55" t="s">
        <v>504</v>
      </c>
      <c r="F893" s="56">
        <v>1</v>
      </c>
      <c r="G893" s="68">
        <v>36</v>
      </c>
      <c r="H893" s="56" t="s">
        <v>505</v>
      </c>
      <c r="J893" s="56">
        <v>526</v>
      </c>
      <c r="L893" s="56" t="s">
        <v>506</v>
      </c>
      <c r="M893" s="4" t="s">
        <v>507</v>
      </c>
      <c r="N893" s="4" t="s">
        <v>836</v>
      </c>
      <c r="O893" s="4" t="s">
        <v>530</v>
      </c>
    </row>
    <row r="894" spans="2:15">
      <c r="B894" s="20">
        <v>44999</v>
      </c>
      <c r="C894" s="20">
        <v>44999</v>
      </c>
      <c r="D894" s="54">
        <v>50392046</v>
      </c>
      <c r="E894" s="55" t="s">
        <v>509</v>
      </c>
      <c r="F894" s="56">
        <v>1</v>
      </c>
      <c r="G894" s="68">
        <v>6</v>
      </c>
      <c r="H894" s="56" t="s">
        <v>505</v>
      </c>
      <c r="J894" s="56">
        <v>526</v>
      </c>
      <c r="L894" s="56" t="s">
        <v>506</v>
      </c>
      <c r="M894" s="4" t="s">
        <v>507</v>
      </c>
      <c r="N894" s="4" t="s">
        <v>836</v>
      </c>
      <c r="O894" s="4" t="s">
        <v>530</v>
      </c>
    </row>
    <row r="895" spans="2:15">
      <c r="B895" s="20">
        <v>44999</v>
      </c>
      <c r="C895" s="20">
        <v>44999</v>
      </c>
      <c r="D895" s="54">
        <v>50145029</v>
      </c>
      <c r="E895" s="55" t="s">
        <v>705</v>
      </c>
      <c r="F895" s="56">
        <v>1</v>
      </c>
      <c r="G895" s="68">
        <v>72</v>
      </c>
      <c r="H895" s="56" t="s">
        <v>505</v>
      </c>
      <c r="J895" s="56">
        <v>526</v>
      </c>
      <c r="L895" s="56" t="s">
        <v>506</v>
      </c>
      <c r="M895" s="4" t="s">
        <v>507</v>
      </c>
      <c r="N895" s="4" t="s">
        <v>836</v>
      </c>
      <c r="O895" s="4" t="s">
        <v>530</v>
      </c>
    </row>
    <row r="896" spans="2:15">
      <c r="B896" s="20">
        <v>44999</v>
      </c>
      <c r="C896" s="20">
        <v>44999</v>
      </c>
      <c r="D896" s="54">
        <v>50392045</v>
      </c>
      <c r="E896" s="55" t="s">
        <v>707</v>
      </c>
      <c r="F896" s="56">
        <v>1</v>
      </c>
      <c r="G896" s="68">
        <v>72</v>
      </c>
      <c r="H896" s="56" t="s">
        <v>505</v>
      </c>
      <c r="J896" s="56">
        <v>526</v>
      </c>
      <c r="L896" s="56" t="s">
        <v>506</v>
      </c>
      <c r="M896" s="4" t="s">
        <v>507</v>
      </c>
      <c r="N896" s="4" t="s">
        <v>836</v>
      </c>
      <c r="O896" s="4" t="s">
        <v>530</v>
      </c>
    </row>
    <row r="897" spans="2:15">
      <c r="B897" s="20">
        <v>44999</v>
      </c>
      <c r="C897" s="20">
        <v>44999</v>
      </c>
      <c r="D897" s="54">
        <v>50794589</v>
      </c>
      <c r="E897" s="55" t="s">
        <v>594</v>
      </c>
      <c r="F897" s="56">
        <v>8</v>
      </c>
      <c r="G897" s="68">
        <v>4735.35</v>
      </c>
      <c r="H897" s="56" t="s">
        <v>82</v>
      </c>
      <c r="J897" s="56">
        <v>11970</v>
      </c>
      <c r="L897" s="56" t="s">
        <v>243</v>
      </c>
      <c r="M897" s="4" t="s">
        <v>660</v>
      </c>
      <c r="N897" s="4" t="s">
        <v>447</v>
      </c>
      <c r="O897" s="4" t="s">
        <v>530</v>
      </c>
    </row>
    <row r="898" spans="2:15">
      <c r="B898" s="20">
        <v>44999</v>
      </c>
      <c r="C898" s="20">
        <v>44999</v>
      </c>
      <c r="D898" s="54">
        <v>50142237</v>
      </c>
      <c r="E898" s="55" t="s">
        <v>617</v>
      </c>
      <c r="F898" s="56">
        <v>5</v>
      </c>
      <c r="G898" s="68">
        <v>5000</v>
      </c>
      <c r="H898" s="56" t="s">
        <v>92</v>
      </c>
      <c r="J898" s="56">
        <v>59591</v>
      </c>
      <c r="L898" s="56" t="s">
        <v>618</v>
      </c>
      <c r="M898" s="4" t="s">
        <v>619</v>
      </c>
      <c r="N898" s="4" t="s">
        <v>837</v>
      </c>
      <c r="O898" s="4" t="s">
        <v>530</v>
      </c>
    </row>
    <row r="899" spans="2:15">
      <c r="B899" s="20">
        <v>44999</v>
      </c>
      <c r="C899" s="20">
        <v>44999</v>
      </c>
      <c r="D899" s="54">
        <v>50141786</v>
      </c>
      <c r="E899" s="55" t="s">
        <v>188</v>
      </c>
      <c r="F899" s="56">
        <v>13</v>
      </c>
      <c r="G899" s="68">
        <v>7280</v>
      </c>
      <c r="H899" s="56" t="s">
        <v>82</v>
      </c>
      <c r="J899" s="56">
        <v>18271</v>
      </c>
      <c r="L899" s="56" t="s">
        <v>315</v>
      </c>
      <c r="M899" s="4" t="s">
        <v>176</v>
      </c>
      <c r="N899" s="4" t="s">
        <v>193</v>
      </c>
      <c r="O899" s="4" t="s">
        <v>530</v>
      </c>
    </row>
    <row r="900" spans="2:15">
      <c r="B900" s="20">
        <v>44999</v>
      </c>
      <c r="C900" s="20">
        <v>44999</v>
      </c>
      <c r="D900" s="54">
        <v>50534881</v>
      </c>
      <c r="E900" s="55" t="s">
        <v>227</v>
      </c>
      <c r="F900" s="56">
        <v>6</v>
      </c>
      <c r="G900" s="68">
        <v>54000</v>
      </c>
      <c r="H900" s="56" t="s">
        <v>92</v>
      </c>
      <c r="J900" s="56">
        <v>18271</v>
      </c>
      <c r="L900" s="56" t="s">
        <v>315</v>
      </c>
      <c r="M900" s="4" t="s">
        <v>176</v>
      </c>
      <c r="N900" s="4" t="s">
        <v>193</v>
      </c>
      <c r="O900" s="4" t="s">
        <v>530</v>
      </c>
    </row>
    <row r="901" spans="2:15">
      <c r="B901" s="20">
        <v>44999</v>
      </c>
      <c r="C901" s="20">
        <v>44999</v>
      </c>
      <c r="D901" s="54">
        <v>50272278</v>
      </c>
      <c r="E901" s="55" t="s">
        <v>21</v>
      </c>
      <c r="F901" s="56">
        <v>2</v>
      </c>
      <c r="G901" s="68">
        <v>944</v>
      </c>
      <c r="H901" s="56" t="s">
        <v>92</v>
      </c>
      <c r="J901" s="56">
        <v>18271</v>
      </c>
      <c r="L901" s="56" t="s">
        <v>315</v>
      </c>
      <c r="M901" s="4" t="s">
        <v>176</v>
      </c>
      <c r="N901" s="4" t="s">
        <v>193</v>
      </c>
      <c r="O901" s="4" t="s">
        <v>530</v>
      </c>
    </row>
    <row r="902" spans="2:15">
      <c r="B902" s="20">
        <v>44999</v>
      </c>
      <c r="C902" s="20">
        <v>44999</v>
      </c>
      <c r="D902" s="54">
        <v>50144376</v>
      </c>
      <c r="E902" s="55" t="s">
        <v>19</v>
      </c>
      <c r="F902" s="56">
        <v>4</v>
      </c>
      <c r="G902" s="68">
        <v>1556</v>
      </c>
      <c r="H902" s="56" t="s">
        <v>92</v>
      </c>
      <c r="J902" s="56">
        <v>18271</v>
      </c>
      <c r="L902" s="56" t="s">
        <v>315</v>
      </c>
      <c r="M902" s="4" t="s">
        <v>176</v>
      </c>
      <c r="N902" s="4" t="s">
        <v>193</v>
      </c>
      <c r="O902" s="4" t="s">
        <v>530</v>
      </c>
    </row>
    <row r="903" spans="2:15">
      <c r="B903" s="20">
        <v>44999</v>
      </c>
      <c r="C903" s="20">
        <v>44999</v>
      </c>
      <c r="D903" s="54">
        <v>50799770</v>
      </c>
      <c r="E903" s="55" t="s">
        <v>17</v>
      </c>
      <c r="F903" s="56">
        <v>12</v>
      </c>
      <c r="G903" s="68">
        <v>6000</v>
      </c>
      <c r="H903" s="56" t="s">
        <v>92</v>
      </c>
      <c r="J903" s="56">
        <v>17900</v>
      </c>
      <c r="L903" s="56" t="s">
        <v>262</v>
      </c>
      <c r="M903" s="4" t="s">
        <v>262</v>
      </c>
      <c r="N903" s="4" t="s">
        <v>364</v>
      </c>
      <c r="O903" s="4" t="s">
        <v>530</v>
      </c>
    </row>
    <row r="904" spans="2:15">
      <c r="B904" s="20">
        <v>45000</v>
      </c>
      <c r="C904" s="20">
        <v>45000</v>
      </c>
      <c r="D904" s="54">
        <v>50272278</v>
      </c>
      <c r="E904" s="55" t="s">
        <v>21</v>
      </c>
      <c r="F904" s="56">
        <v>12</v>
      </c>
      <c r="G904" s="68">
        <v>6000</v>
      </c>
      <c r="H904" s="56" t="s">
        <v>92</v>
      </c>
      <c r="J904" s="56">
        <v>17903</v>
      </c>
      <c r="L904" s="56" t="s">
        <v>262</v>
      </c>
      <c r="M904" s="4" t="s">
        <v>262</v>
      </c>
      <c r="N904" s="4" t="s">
        <v>364</v>
      </c>
      <c r="O904" s="4" t="s">
        <v>530</v>
      </c>
    </row>
    <row r="905" spans="2:15">
      <c r="B905" s="20">
        <v>45000</v>
      </c>
      <c r="C905" s="20">
        <v>45000</v>
      </c>
      <c r="D905" s="54">
        <v>50534881</v>
      </c>
      <c r="E905" s="55" t="s">
        <v>227</v>
      </c>
      <c r="F905" s="56">
        <v>2</v>
      </c>
      <c r="G905" s="68">
        <v>18000</v>
      </c>
      <c r="H905" s="56" t="s">
        <v>92</v>
      </c>
      <c r="J905" s="56">
        <v>18324</v>
      </c>
      <c r="N905" s="4"/>
    </row>
    <row r="906" spans="2:15">
      <c r="B906" s="20">
        <v>45000</v>
      </c>
      <c r="C906" s="20">
        <v>45000</v>
      </c>
      <c r="D906" s="54">
        <v>50272278</v>
      </c>
      <c r="E906" s="55" t="s">
        <v>21</v>
      </c>
      <c r="F906" s="56">
        <v>3</v>
      </c>
      <c r="G906" s="68">
        <v>3000</v>
      </c>
      <c r="H906" s="56" t="s">
        <v>92</v>
      </c>
      <c r="J906" s="56">
        <v>18324</v>
      </c>
      <c r="L906" s="56" t="s">
        <v>838</v>
      </c>
      <c r="N906" s="4"/>
    </row>
    <row r="907" spans="2:15">
      <c r="B907" s="20">
        <v>45001</v>
      </c>
      <c r="C907" s="20">
        <v>45001</v>
      </c>
      <c r="D907" s="54">
        <v>50272278</v>
      </c>
      <c r="E907" s="55" t="s">
        <v>21</v>
      </c>
      <c r="F907" s="56">
        <v>12</v>
      </c>
      <c r="G907" s="68">
        <v>6000</v>
      </c>
      <c r="H907" s="56" t="s">
        <v>92</v>
      </c>
      <c r="J907" s="56">
        <v>17909</v>
      </c>
      <c r="L907" s="56" t="s">
        <v>262</v>
      </c>
      <c r="M907" s="4" t="s">
        <v>262</v>
      </c>
      <c r="N907" s="4" t="s">
        <v>364</v>
      </c>
      <c r="O907" s="4" t="s">
        <v>530</v>
      </c>
    </row>
    <row r="908" spans="2:15">
      <c r="B908" s="20">
        <v>45001</v>
      </c>
      <c r="C908" s="20">
        <v>45001</v>
      </c>
      <c r="D908" s="54">
        <v>50501722</v>
      </c>
      <c r="E908" s="55" t="s">
        <v>253</v>
      </c>
      <c r="F908" s="56">
        <v>10</v>
      </c>
      <c r="G908" s="68">
        <v>4949</v>
      </c>
      <c r="H908" s="56" t="s">
        <v>82</v>
      </c>
      <c r="J908" s="56">
        <v>11975</v>
      </c>
      <c r="L908" s="56" t="s">
        <v>243</v>
      </c>
      <c r="M908" s="4" t="s">
        <v>660</v>
      </c>
      <c r="N908" s="4" t="s">
        <v>447</v>
      </c>
      <c r="O908" s="4" t="s">
        <v>530</v>
      </c>
    </row>
    <row r="909" spans="2:15">
      <c r="B909" s="20">
        <v>45001</v>
      </c>
      <c r="C909" s="20">
        <v>45001</v>
      </c>
      <c r="D909" s="54">
        <v>50799770</v>
      </c>
      <c r="E909" s="55" t="s">
        <v>17</v>
      </c>
      <c r="F909" s="56">
        <v>12</v>
      </c>
      <c r="G909" s="68">
        <v>6000</v>
      </c>
      <c r="H909" s="56" t="s">
        <v>92</v>
      </c>
      <c r="J909" s="56">
        <v>17910</v>
      </c>
      <c r="L909" s="56" t="s">
        <v>262</v>
      </c>
      <c r="M909" s="4" t="s">
        <v>262</v>
      </c>
      <c r="N909" s="4" t="s">
        <v>364</v>
      </c>
      <c r="O909" s="4" t="s">
        <v>530</v>
      </c>
    </row>
    <row r="910" spans="2:15">
      <c r="B910" s="20">
        <v>45001</v>
      </c>
      <c r="C910" s="20">
        <v>45001</v>
      </c>
      <c r="D910" s="54">
        <v>50145028</v>
      </c>
      <c r="E910" s="55" t="s">
        <v>23</v>
      </c>
      <c r="F910" s="56">
        <v>6</v>
      </c>
      <c r="G910" s="68">
        <v>1152</v>
      </c>
      <c r="H910" s="56" t="s">
        <v>92</v>
      </c>
      <c r="J910" s="56">
        <v>18379</v>
      </c>
      <c r="L910" s="56" t="s">
        <v>838</v>
      </c>
      <c r="M910" s="4" t="s">
        <v>326</v>
      </c>
      <c r="N910" s="4" t="s">
        <v>239</v>
      </c>
      <c r="O910" s="4" t="s">
        <v>530</v>
      </c>
    </row>
    <row r="911" spans="2:15">
      <c r="B911" s="20">
        <v>45002</v>
      </c>
      <c r="C911" s="20">
        <v>45002</v>
      </c>
      <c r="D911" s="54">
        <v>50799770</v>
      </c>
      <c r="E911" s="55" t="s">
        <v>17</v>
      </c>
      <c r="F911" s="56">
        <v>12</v>
      </c>
      <c r="G911" s="68">
        <v>6000</v>
      </c>
      <c r="H911" s="56" t="s">
        <v>92</v>
      </c>
      <c r="J911" s="56">
        <v>17915</v>
      </c>
      <c r="L911" s="56" t="s">
        <v>262</v>
      </c>
      <c r="M911" s="4" t="s">
        <v>262</v>
      </c>
      <c r="N911" s="4" t="s">
        <v>364</v>
      </c>
      <c r="O911" s="4" t="s">
        <v>530</v>
      </c>
    </row>
    <row r="912" spans="2:15">
      <c r="B912" s="20">
        <v>45002</v>
      </c>
      <c r="C912" s="20">
        <v>45002</v>
      </c>
      <c r="D912" s="54">
        <v>50470190</v>
      </c>
      <c r="E912" s="55" t="s">
        <v>12</v>
      </c>
      <c r="F912" s="56">
        <v>32</v>
      </c>
      <c r="G912" s="68">
        <v>9273600</v>
      </c>
      <c r="H912" s="56" t="s">
        <v>92</v>
      </c>
      <c r="J912" s="56">
        <v>1131</v>
      </c>
      <c r="L912" s="56" t="s">
        <v>230</v>
      </c>
      <c r="M912" s="4" t="s">
        <v>392</v>
      </c>
      <c r="N912" s="4" t="s">
        <v>800</v>
      </c>
      <c r="O912" s="4" t="s">
        <v>530</v>
      </c>
    </row>
    <row r="913" spans="2:15">
      <c r="B913" s="20">
        <v>45005</v>
      </c>
      <c r="C913" s="20">
        <v>45005</v>
      </c>
      <c r="D913" s="54">
        <v>50272278</v>
      </c>
      <c r="E913" s="55" t="s">
        <v>21</v>
      </c>
      <c r="F913" s="56">
        <v>12</v>
      </c>
      <c r="G913" s="68">
        <v>6000</v>
      </c>
      <c r="H913" s="56" t="s">
        <v>92</v>
      </c>
      <c r="J913" s="56">
        <v>17922</v>
      </c>
      <c r="L913" s="56" t="s">
        <v>262</v>
      </c>
      <c r="M913" s="4" t="s">
        <v>262</v>
      </c>
      <c r="N913" s="4" t="s">
        <v>364</v>
      </c>
      <c r="O913" s="4" t="s">
        <v>530</v>
      </c>
    </row>
    <row r="914" spans="2:15">
      <c r="B914" s="20">
        <v>45005</v>
      </c>
      <c r="C914" s="20">
        <v>45005</v>
      </c>
      <c r="D914" s="54">
        <v>50470190</v>
      </c>
      <c r="E914" s="55" t="s">
        <v>12</v>
      </c>
      <c r="F914" s="56">
        <v>32</v>
      </c>
      <c r="G914" s="68">
        <v>9273600</v>
      </c>
      <c r="H914" s="56" t="s">
        <v>92</v>
      </c>
      <c r="J914" s="56">
        <v>1143</v>
      </c>
      <c r="L914" s="56" t="s">
        <v>230</v>
      </c>
      <c r="M914" s="4" t="s">
        <v>392</v>
      </c>
      <c r="N914" s="4" t="s">
        <v>839</v>
      </c>
      <c r="O914" s="4" t="s">
        <v>530</v>
      </c>
    </row>
    <row r="915" spans="2:15">
      <c r="B915" s="20">
        <v>45006</v>
      </c>
      <c r="C915" s="20">
        <v>45006</v>
      </c>
      <c r="D915" s="54">
        <v>50507916</v>
      </c>
      <c r="E915" s="55" t="s">
        <v>406</v>
      </c>
      <c r="F915" s="56">
        <v>4</v>
      </c>
      <c r="G915" s="68">
        <v>1056000</v>
      </c>
      <c r="H915" s="56" t="s">
        <v>92</v>
      </c>
      <c r="J915" s="56">
        <v>18556</v>
      </c>
      <c r="L915" s="56" t="s">
        <v>315</v>
      </c>
      <c r="M915" s="4" t="s">
        <v>176</v>
      </c>
      <c r="N915" s="4" t="s">
        <v>177</v>
      </c>
      <c r="O915" s="4" t="s">
        <v>530</v>
      </c>
    </row>
    <row r="916" spans="2:15">
      <c r="B916" s="20">
        <v>45006</v>
      </c>
      <c r="C916" s="20">
        <v>45006</v>
      </c>
      <c r="D916" s="54">
        <v>50509889</v>
      </c>
      <c r="E916" s="55" t="s">
        <v>671</v>
      </c>
      <c r="F916" s="56">
        <v>4</v>
      </c>
      <c r="G916" s="68">
        <v>1056000</v>
      </c>
      <c r="H916" s="56" t="s">
        <v>92</v>
      </c>
      <c r="J916" s="56">
        <v>18556</v>
      </c>
      <c r="L916" s="56" t="s">
        <v>315</v>
      </c>
      <c r="M916" s="4" t="s">
        <v>176</v>
      </c>
      <c r="N916" s="4" t="s">
        <v>177</v>
      </c>
      <c r="O916" s="4" t="s">
        <v>530</v>
      </c>
    </row>
    <row r="917" spans="2:15">
      <c r="B917" s="20">
        <v>45006</v>
      </c>
      <c r="C917" s="20">
        <v>45006</v>
      </c>
      <c r="D917" s="54">
        <v>50270855</v>
      </c>
      <c r="E917" s="55" t="s">
        <v>740</v>
      </c>
      <c r="F917" s="56">
        <v>3</v>
      </c>
      <c r="G917" s="68">
        <v>792000</v>
      </c>
      <c r="H917" s="56" t="s">
        <v>92</v>
      </c>
      <c r="J917" s="56">
        <v>18556</v>
      </c>
      <c r="L917" s="56" t="s">
        <v>315</v>
      </c>
      <c r="M917" s="4" t="s">
        <v>176</v>
      </c>
      <c r="N917" s="4" t="s">
        <v>177</v>
      </c>
      <c r="O917" s="4" t="s">
        <v>530</v>
      </c>
    </row>
    <row r="918" spans="2:15">
      <c r="B918" s="20">
        <v>45006</v>
      </c>
      <c r="C918" s="20">
        <v>45006</v>
      </c>
      <c r="D918" s="54">
        <v>50272278</v>
      </c>
      <c r="E918" s="55" t="s">
        <v>21</v>
      </c>
      <c r="F918" s="56">
        <v>3</v>
      </c>
      <c r="G918" s="68">
        <v>1500</v>
      </c>
      <c r="H918" s="56" t="s">
        <v>92</v>
      </c>
      <c r="J918" s="56">
        <v>18556</v>
      </c>
      <c r="L918" s="56" t="s">
        <v>315</v>
      </c>
      <c r="M918" s="4" t="s">
        <v>176</v>
      </c>
      <c r="N918" s="4" t="s">
        <v>177</v>
      </c>
      <c r="O918" s="4" t="s">
        <v>530</v>
      </c>
    </row>
    <row r="919" spans="2:15">
      <c r="B919" s="20">
        <v>45006</v>
      </c>
      <c r="C919" s="20">
        <v>45006</v>
      </c>
      <c r="D919" s="54">
        <v>50142137</v>
      </c>
      <c r="E919" s="55" t="s">
        <v>840</v>
      </c>
      <c r="F919" s="56">
        <v>6</v>
      </c>
      <c r="G919" s="68">
        <v>7200</v>
      </c>
      <c r="H919" s="56" t="s">
        <v>82</v>
      </c>
      <c r="J919" s="56">
        <v>18556</v>
      </c>
      <c r="L919" s="56" t="s">
        <v>315</v>
      </c>
      <c r="M919" s="4" t="s">
        <v>176</v>
      </c>
      <c r="N919" s="4" t="s">
        <v>177</v>
      </c>
      <c r="O919" s="4" t="s">
        <v>530</v>
      </c>
    </row>
    <row r="920" spans="2:15">
      <c r="B920" s="20">
        <v>45007</v>
      </c>
      <c r="C920" s="20">
        <v>45007</v>
      </c>
      <c r="D920" s="54">
        <v>50392470</v>
      </c>
      <c r="E920" s="55" t="s">
        <v>841</v>
      </c>
      <c r="F920" s="56">
        <v>5</v>
      </c>
      <c r="G920" s="68">
        <v>1133000</v>
      </c>
      <c r="H920" s="56" t="s">
        <v>92</v>
      </c>
      <c r="J920" s="56" t="s">
        <v>842</v>
      </c>
      <c r="K920" s="4" t="s">
        <v>843</v>
      </c>
      <c r="L920" s="56" t="s">
        <v>185</v>
      </c>
      <c r="M920" s="4" t="s">
        <v>844</v>
      </c>
      <c r="N920" s="4" t="s">
        <v>845</v>
      </c>
      <c r="O920" s="4" t="s">
        <v>530</v>
      </c>
    </row>
    <row r="921" spans="2:15">
      <c r="B921" s="20">
        <v>45007</v>
      </c>
      <c r="C921" s="20">
        <v>45007</v>
      </c>
      <c r="D921" s="54">
        <v>50232060</v>
      </c>
      <c r="E921" s="55" t="s">
        <v>361</v>
      </c>
      <c r="F921" s="56">
        <v>10</v>
      </c>
      <c r="G921" s="68">
        <v>2640000</v>
      </c>
      <c r="H921" s="56" t="s">
        <v>92</v>
      </c>
      <c r="J921" s="56" t="s">
        <v>842</v>
      </c>
      <c r="K921" s="4" t="s">
        <v>843</v>
      </c>
      <c r="L921" s="56" t="s">
        <v>185</v>
      </c>
      <c r="M921" s="4" t="s">
        <v>844</v>
      </c>
      <c r="N921" s="4" t="s">
        <v>845</v>
      </c>
      <c r="O921" s="4" t="s">
        <v>530</v>
      </c>
    </row>
    <row r="922" spans="2:15">
      <c r="B922" s="20">
        <v>45007</v>
      </c>
      <c r="C922" s="20">
        <v>45007</v>
      </c>
      <c r="D922" s="54">
        <v>50337814</v>
      </c>
      <c r="E922" s="55" t="s">
        <v>669</v>
      </c>
      <c r="F922" s="56">
        <v>8</v>
      </c>
      <c r="G922" s="68">
        <v>2040</v>
      </c>
      <c r="H922" s="56" t="s">
        <v>80</v>
      </c>
      <c r="J922" s="56" t="s">
        <v>842</v>
      </c>
      <c r="K922" s="4" t="s">
        <v>843</v>
      </c>
      <c r="L922" s="56" t="s">
        <v>185</v>
      </c>
      <c r="M922" s="4" t="s">
        <v>844</v>
      </c>
      <c r="N922" s="4" t="s">
        <v>845</v>
      </c>
      <c r="O922" s="4" t="s">
        <v>530</v>
      </c>
    </row>
    <row r="923" spans="2:15">
      <c r="B923" s="20">
        <v>45007</v>
      </c>
      <c r="C923" s="20">
        <v>45007</v>
      </c>
      <c r="D923" s="54">
        <v>50144200</v>
      </c>
      <c r="E923" s="55" t="s">
        <v>184</v>
      </c>
      <c r="F923" s="56">
        <v>19</v>
      </c>
      <c r="G923" s="68">
        <v>4950000</v>
      </c>
      <c r="H923" s="56" t="s">
        <v>92</v>
      </c>
      <c r="J923" s="56" t="s">
        <v>842</v>
      </c>
      <c r="K923" s="4" t="s">
        <v>843</v>
      </c>
      <c r="L923" s="56" t="s">
        <v>185</v>
      </c>
      <c r="M923" s="4" t="s">
        <v>844</v>
      </c>
      <c r="N923" s="4" t="s">
        <v>845</v>
      </c>
      <c r="O923" s="4" t="s">
        <v>530</v>
      </c>
    </row>
    <row r="924" spans="2:15">
      <c r="B924" s="20">
        <v>45007</v>
      </c>
      <c r="C924" s="20">
        <v>45007</v>
      </c>
      <c r="D924" s="54">
        <v>50142584</v>
      </c>
      <c r="E924" s="55" t="s">
        <v>846</v>
      </c>
      <c r="F924" s="56">
        <v>1</v>
      </c>
      <c r="G924" s="68">
        <v>50</v>
      </c>
      <c r="H924" s="56" t="s">
        <v>82</v>
      </c>
      <c r="J924" s="56" t="s">
        <v>847</v>
      </c>
      <c r="K924" s="4" t="s">
        <v>848</v>
      </c>
      <c r="N924" s="4"/>
    </row>
    <row r="925" spans="2:15">
      <c r="B925" s="20">
        <v>45007</v>
      </c>
      <c r="C925" s="20">
        <v>45007</v>
      </c>
      <c r="D925" s="54">
        <v>40011080</v>
      </c>
      <c r="E925" s="55" t="s">
        <v>420</v>
      </c>
      <c r="F925" s="56">
        <v>7</v>
      </c>
      <c r="G925" s="68">
        <v>3110</v>
      </c>
      <c r="H925" s="56" t="s">
        <v>80</v>
      </c>
      <c r="J925" s="56" t="s">
        <v>849</v>
      </c>
      <c r="K925" s="4" t="s">
        <v>848</v>
      </c>
      <c r="L925" s="56" t="s">
        <v>850</v>
      </c>
      <c r="M925" s="4" t="s">
        <v>394</v>
      </c>
      <c r="N925" s="4" t="s">
        <v>765</v>
      </c>
      <c r="O925" s="4" t="s">
        <v>530</v>
      </c>
    </row>
    <row r="926" spans="2:15">
      <c r="B926" s="20">
        <v>45007</v>
      </c>
      <c r="C926" s="20">
        <v>45007</v>
      </c>
      <c r="D926" s="54">
        <v>40011661</v>
      </c>
      <c r="E926" s="55" t="s">
        <v>608</v>
      </c>
      <c r="F926" s="56">
        <v>1</v>
      </c>
      <c r="G926" s="68">
        <v>92.35</v>
      </c>
      <c r="H926" s="56" t="s">
        <v>80</v>
      </c>
      <c r="J926" s="56" t="s">
        <v>849</v>
      </c>
      <c r="K926" s="4" t="s">
        <v>848</v>
      </c>
      <c r="L926" s="56" t="s">
        <v>850</v>
      </c>
      <c r="M926" s="4" t="s">
        <v>394</v>
      </c>
      <c r="N926" s="4" t="s">
        <v>765</v>
      </c>
      <c r="O926" s="4" t="s">
        <v>530</v>
      </c>
    </row>
    <row r="927" spans="2:15">
      <c r="B927" s="20">
        <v>45007</v>
      </c>
      <c r="C927" s="20">
        <v>45007</v>
      </c>
      <c r="D927" s="54">
        <v>40011148</v>
      </c>
      <c r="E927" s="55" t="s">
        <v>86</v>
      </c>
      <c r="F927" s="56">
        <v>12</v>
      </c>
      <c r="G927" s="68">
        <v>5400</v>
      </c>
      <c r="H927" s="56" t="s">
        <v>80</v>
      </c>
      <c r="J927" s="56" t="s">
        <v>849</v>
      </c>
      <c r="K927" s="4" t="s">
        <v>848</v>
      </c>
      <c r="L927" s="56" t="s">
        <v>850</v>
      </c>
      <c r="M927" s="4" t="s">
        <v>394</v>
      </c>
      <c r="N927" s="4" t="s">
        <v>765</v>
      </c>
      <c r="O927" s="4" t="s">
        <v>530</v>
      </c>
    </row>
    <row r="928" spans="2:15">
      <c r="B928" s="20">
        <v>45008</v>
      </c>
      <c r="C928" s="20">
        <v>45008</v>
      </c>
      <c r="D928" s="54">
        <v>50144376</v>
      </c>
      <c r="E928" s="55" t="s">
        <v>19</v>
      </c>
      <c r="F928" s="56">
        <v>12</v>
      </c>
      <c r="G928" s="68">
        <v>6000</v>
      </c>
      <c r="H928" s="56" t="s">
        <v>92</v>
      </c>
      <c r="J928" s="56">
        <v>17948</v>
      </c>
      <c r="L928" s="56" t="s">
        <v>226</v>
      </c>
      <c r="M928" s="4" t="s">
        <v>262</v>
      </c>
      <c r="N928" s="4" t="s">
        <v>364</v>
      </c>
      <c r="O928" s="4" t="s">
        <v>533</v>
      </c>
    </row>
    <row r="929" spans="2:15">
      <c r="B929" s="20">
        <v>45008</v>
      </c>
      <c r="C929" s="20">
        <v>45008</v>
      </c>
      <c r="D929" s="54">
        <v>50272278</v>
      </c>
      <c r="E929" s="55" t="s">
        <v>21</v>
      </c>
      <c r="F929" s="56">
        <v>10</v>
      </c>
      <c r="G929" s="68">
        <v>5000</v>
      </c>
      <c r="H929" s="56" t="s">
        <v>92</v>
      </c>
      <c r="J929" s="56">
        <v>18661</v>
      </c>
      <c r="L929" s="56" t="s">
        <v>838</v>
      </c>
      <c r="M929" s="4" t="s">
        <v>176</v>
      </c>
      <c r="N929" s="4" t="s">
        <v>177</v>
      </c>
      <c r="O929" s="4" t="s">
        <v>533</v>
      </c>
    </row>
    <row r="930" spans="2:15">
      <c r="B930" s="20">
        <v>45008</v>
      </c>
      <c r="C930" s="20">
        <v>45008</v>
      </c>
      <c r="D930" s="54">
        <v>50486294</v>
      </c>
      <c r="E930" s="55" t="s">
        <v>752</v>
      </c>
      <c r="F930" s="56">
        <v>8</v>
      </c>
      <c r="G930" s="68">
        <v>3698.9</v>
      </c>
      <c r="H930" s="56" t="s">
        <v>82</v>
      </c>
      <c r="J930" s="56">
        <v>18661</v>
      </c>
      <c r="L930" s="56" t="s">
        <v>838</v>
      </c>
      <c r="M930" s="4" t="s">
        <v>176</v>
      </c>
      <c r="N930" s="4" t="s">
        <v>177</v>
      </c>
      <c r="O930" s="4" t="s">
        <v>533</v>
      </c>
    </row>
    <row r="931" spans="2:15">
      <c r="B931" s="20">
        <v>45009</v>
      </c>
      <c r="C931" s="20">
        <v>45009</v>
      </c>
      <c r="D931" s="54">
        <v>50470190</v>
      </c>
      <c r="E931" s="55" t="s">
        <v>12</v>
      </c>
      <c r="F931" s="56">
        <v>32</v>
      </c>
      <c r="G931" s="68">
        <v>9273600</v>
      </c>
      <c r="H931" s="56" t="s">
        <v>92</v>
      </c>
      <c r="J931" s="56">
        <v>1178</v>
      </c>
      <c r="L931" s="56" t="s">
        <v>230</v>
      </c>
      <c r="M931" s="4" t="s">
        <v>392</v>
      </c>
      <c r="N931" s="4" t="s">
        <v>800</v>
      </c>
      <c r="O931" s="4" t="s">
        <v>533</v>
      </c>
    </row>
    <row r="932" spans="2:15">
      <c r="B932" s="20">
        <v>45009</v>
      </c>
      <c r="C932" s="20">
        <v>45009</v>
      </c>
      <c r="D932" s="54">
        <v>50010080</v>
      </c>
      <c r="E932" s="55" t="s">
        <v>354</v>
      </c>
      <c r="F932" s="56">
        <v>15</v>
      </c>
      <c r="G932" s="68">
        <v>15000</v>
      </c>
      <c r="H932" s="56" t="s">
        <v>82</v>
      </c>
      <c r="J932" s="56">
        <v>10496</v>
      </c>
      <c r="L932" s="56" t="s">
        <v>355</v>
      </c>
      <c r="M932" s="4" t="s">
        <v>650</v>
      </c>
      <c r="N932" s="4" t="s">
        <v>796</v>
      </c>
      <c r="O932" s="4" t="s">
        <v>533</v>
      </c>
    </row>
    <row r="933" spans="2:15">
      <c r="B933" s="20">
        <v>45009</v>
      </c>
      <c r="C933" s="20">
        <v>45009</v>
      </c>
      <c r="D933" s="54">
        <v>50272278</v>
      </c>
      <c r="E933" s="55" t="s">
        <v>21</v>
      </c>
      <c r="F933" s="56">
        <v>12</v>
      </c>
      <c r="G933" s="68">
        <v>6000</v>
      </c>
      <c r="H933" s="56" t="s">
        <v>92</v>
      </c>
      <c r="J933" s="56">
        <v>17954</v>
      </c>
      <c r="L933" s="56" t="s">
        <v>226</v>
      </c>
      <c r="M933" s="4" t="s">
        <v>262</v>
      </c>
      <c r="N933" s="4" t="s">
        <v>806</v>
      </c>
      <c r="O933" s="4" t="s">
        <v>533</v>
      </c>
    </row>
    <row r="934" spans="2:15">
      <c r="B934" s="20">
        <v>45009</v>
      </c>
      <c r="C934" s="20">
        <v>45009</v>
      </c>
      <c r="D934" s="54">
        <v>50144376</v>
      </c>
      <c r="E934" s="55" t="s">
        <v>19</v>
      </c>
      <c r="F934" s="56">
        <v>12</v>
      </c>
      <c r="G934" s="68">
        <v>6000</v>
      </c>
      <c r="H934" s="56" t="s">
        <v>92</v>
      </c>
      <c r="J934" s="56">
        <v>17955</v>
      </c>
      <c r="L934" s="56" t="s">
        <v>226</v>
      </c>
      <c r="M934" s="4" t="s">
        <v>262</v>
      </c>
      <c r="N934" s="4" t="s">
        <v>364</v>
      </c>
      <c r="O934" s="4" t="s">
        <v>533</v>
      </c>
    </row>
    <row r="935" spans="2:15">
      <c r="B935" s="20">
        <v>45009</v>
      </c>
      <c r="C935" s="20">
        <v>45009</v>
      </c>
      <c r="D935" s="54">
        <v>50395897</v>
      </c>
      <c r="E935" s="55" t="s">
        <v>359</v>
      </c>
      <c r="F935" s="56">
        <v>1</v>
      </c>
      <c r="G935" s="68">
        <v>504960</v>
      </c>
      <c r="H935" s="56" t="s">
        <v>92</v>
      </c>
      <c r="J935" s="56" t="s">
        <v>851</v>
      </c>
      <c r="K935" s="4" t="s">
        <v>852</v>
      </c>
      <c r="L935" s="56" t="s">
        <v>853</v>
      </c>
      <c r="M935" s="4" t="s">
        <v>564</v>
      </c>
      <c r="N935" s="4" t="s">
        <v>854</v>
      </c>
      <c r="O935" s="4" t="s">
        <v>533</v>
      </c>
    </row>
    <row r="936" spans="2:15">
      <c r="B936" s="20">
        <v>45009</v>
      </c>
      <c r="C936" s="20">
        <v>45009</v>
      </c>
      <c r="D936" s="54">
        <v>50551883</v>
      </c>
      <c r="E936" s="55" t="s">
        <v>223</v>
      </c>
      <c r="F936" s="56">
        <v>1</v>
      </c>
      <c r="G936" s="68">
        <v>520.995</v>
      </c>
      <c r="H936" s="56" t="s">
        <v>92</v>
      </c>
      <c r="J936" s="56" t="s">
        <v>851</v>
      </c>
      <c r="K936" s="4" t="s">
        <v>852</v>
      </c>
      <c r="L936" s="56" t="s">
        <v>853</v>
      </c>
      <c r="M936" s="4" t="s">
        <v>564</v>
      </c>
      <c r="N936" s="4" t="s">
        <v>854</v>
      </c>
      <c r="O936" s="4" t="s">
        <v>533</v>
      </c>
    </row>
    <row r="937" spans="2:15">
      <c r="B937" s="20">
        <v>45009</v>
      </c>
      <c r="C937" s="20">
        <v>45009</v>
      </c>
      <c r="D937" s="54">
        <v>50551884</v>
      </c>
      <c r="E937" s="55" t="s">
        <v>360</v>
      </c>
      <c r="F937" s="56">
        <v>1</v>
      </c>
      <c r="G937" s="68">
        <v>1015000</v>
      </c>
      <c r="H937" s="56" t="s">
        <v>92</v>
      </c>
      <c r="J937" s="56" t="s">
        <v>851</v>
      </c>
      <c r="K937" s="4" t="s">
        <v>852</v>
      </c>
      <c r="L937" s="56" t="s">
        <v>853</v>
      </c>
      <c r="M937" s="4" t="s">
        <v>564</v>
      </c>
      <c r="N937" s="4" t="s">
        <v>854</v>
      </c>
      <c r="O937" s="4" t="s">
        <v>533</v>
      </c>
    </row>
    <row r="938" spans="2:15">
      <c r="B938" s="20">
        <v>45009</v>
      </c>
      <c r="C938" s="20">
        <v>45009</v>
      </c>
      <c r="D938" s="54">
        <v>50804971</v>
      </c>
      <c r="E938" s="55" t="s">
        <v>855</v>
      </c>
      <c r="F938" s="56">
        <v>0</v>
      </c>
      <c r="G938" s="68">
        <v>50</v>
      </c>
      <c r="H938" s="56" t="s">
        <v>92</v>
      </c>
      <c r="J938" s="56" t="s">
        <v>851</v>
      </c>
      <c r="K938" s="4" t="s">
        <v>852</v>
      </c>
      <c r="L938" s="56" t="s">
        <v>853</v>
      </c>
      <c r="M938" s="4" t="s">
        <v>564</v>
      </c>
      <c r="N938" s="4" t="s">
        <v>854</v>
      </c>
      <c r="O938" s="4" t="s">
        <v>533</v>
      </c>
    </row>
    <row r="939" spans="2:15">
      <c r="B939" s="20">
        <v>45009</v>
      </c>
      <c r="C939" s="20">
        <v>45009</v>
      </c>
      <c r="D939" s="54">
        <v>50804929</v>
      </c>
      <c r="E939" s="55" t="s">
        <v>856</v>
      </c>
      <c r="F939" s="56">
        <v>0</v>
      </c>
      <c r="G939" s="68">
        <v>50</v>
      </c>
      <c r="H939" s="56" t="s">
        <v>92</v>
      </c>
      <c r="J939" s="56" t="s">
        <v>851</v>
      </c>
      <c r="K939" s="4" t="s">
        <v>852</v>
      </c>
      <c r="L939" s="56" t="s">
        <v>853</v>
      </c>
      <c r="M939" s="4" t="s">
        <v>564</v>
      </c>
      <c r="N939" s="4" t="s">
        <v>854</v>
      </c>
      <c r="O939" s="4" t="s">
        <v>533</v>
      </c>
    </row>
    <row r="940" spans="2:15">
      <c r="B940" s="20">
        <v>45009</v>
      </c>
      <c r="C940" s="20">
        <v>45009</v>
      </c>
      <c r="D940" s="54">
        <v>50804970</v>
      </c>
      <c r="E940" s="55" t="s">
        <v>857</v>
      </c>
      <c r="F940" s="56">
        <v>0</v>
      </c>
      <c r="G940" s="68">
        <v>50</v>
      </c>
      <c r="H940" s="56" t="s">
        <v>92</v>
      </c>
      <c r="J940" s="56" t="s">
        <v>851</v>
      </c>
      <c r="K940" s="4" t="s">
        <v>852</v>
      </c>
      <c r="L940" s="56" t="s">
        <v>853</v>
      </c>
      <c r="M940" s="4" t="s">
        <v>564</v>
      </c>
      <c r="N940" s="4" t="s">
        <v>854</v>
      </c>
      <c r="O940" s="4" t="s">
        <v>533</v>
      </c>
    </row>
    <row r="941" spans="2:15">
      <c r="B941" s="20">
        <v>45010</v>
      </c>
      <c r="C941" s="20">
        <v>45010</v>
      </c>
      <c r="D941" s="54">
        <v>40499</v>
      </c>
      <c r="E941" s="55" t="s">
        <v>316</v>
      </c>
      <c r="F941" s="56">
        <v>50</v>
      </c>
      <c r="G941" s="68">
        <v>50</v>
      </c>
      <c r="H941" s="56" t="s">
        <v>92</v>
      </c>
      <c r="J941" s="56">
        <v>18724</v>
      </c>
      <c r="L941" s="56" t="s">
        <v>838</v>
      </c>
      <c r="M941" s="4" t="s">
        <v>176</v>
      </c>
      <c r="N941" s="4" t="s">
        <v>177</v>
      </c>
      <c r="O941" s="4" t="s">
        <v>533</v>
      </c>
    </row>
    <row r="942" spans="2:15">
      <c r="B942" s="20">
        <v>45010</v>
      </c>
      <c r="C942" s="20">
        <v>45010</v>
      </c>
      <c r="D942" s="54">
        <v>50142334</v>
      </c>
      <c r="E942" s="55" t="s">
        <v>257</v>
      </c>
      <c r="F942" s="56">
        <v>30</v>
      </c>
      <c r="G942" s="68">
        <v>20021.4</v>
      </c>
      <c r="H942" s="56" t="s">
        <v>82</v>
      </c>
      <c r="J942" s="56">
        <v>8302177192</v>
      </c>
      <c r="K942" s="4" t="s">
        <v>858</v>
      </c>
      <c r="L942" s="56" t="s">
        <v>624</v>
      </c>
      <c r="M942" s="4" t="s">
        <v>209</v>
      </c>
      <c r="N942" s="4" t="s">
        <v>859</v>
      </c>
      <c r="O942" s="4" t="s">
        <v>533</v>
      </c>
    </row>
    <row r="943" spans="2:15">
      <c r="B943" s="20">
        <v>45012</v>
      </c>
      <c r="C943" s="20">
        <v>45012</v>
      </c>
      <c r="D943" s="54">
        <v>50145028</v>
      </c>
      <c r="E943" s="55" t="s">
        <v>23</v>
      </c>
      <c r="F943" s="56">
        <v>2</v>
      </c>
      <c r="G943" s="68">
        <v>384</v>
      </c>
      <c r="H943" s="56" t="s">
        <v>92</v>
      </c>
      <c r="J943" s="56">
        <v>18779</v>
      </c>
      <c r="L943" s="56" t="s">
        <v>838</v>
      </c>
      <c r="M943" s="4" t="s">
        <v>176</v>
      </c>
      <c r="N943" s="4" t="s">
        <v>177</v>
      </c>
      <c r="O943" s="4" t="s">
        <v>178</v>
      </c>
    </row>
    <row r="944" spans="2:15">
      <c r="B944" s="20">
        <v>45012</v>
      </c>
      <c r="C944" s="20">
        <v>45012</v>
      </c>
      <c r="D944" s="54">
        <v>50143893</v>
      </c>
      <c r="E944" s="55" t="s">
        <v>24</v>
      </c>
      <c r="F944" s="56">
        <v>5</v>
      </c>
      <c r="G944" s="68">
        <v>4980</v>
      </c>
      <c r="H944" s="56" t="s">
        <v>82</v>
      </c>
      <c r="J944" s="56">
        <v>18779</v>
      </c>
      <c r="L944" s="56" t="s">
        <v>838</v>
      </c>
      <c r="M944" s="4" t="s">
        <v>176</v>
      </c>
      <c r="N944" s="4" t="s">
        <v>177</v>
      </c>
      <c r="O944" s="4" t="s">
        <v>178</v>
      </c>
    </row>
    <row r="945" spans="2:15">
      <c r="B945" s="20">
        <v>45012</v>
      </c>
      <c r="C945" s="20">
        <v>45012</v>
      </c>
      <c r="D945" s="54">
        <v>50272278</v>
      </c>
      <c r="E945" s="55" t="s">
        <v>21</v>
      </c>
      <c r="F945" s="56">
        <v>2</v>
      </c>
      <c r="G945" s="68">
        <v>1000</v>
      </c>
      <c r="H945" s="56" t="s">
        <v>92</v>
      </c>
      <c r="J945" s="56">
        <v>18779</v>
      </c>
      <c r="L945" s="56" t="s">
        <v>838</v>
      </c>
      <c r="M945" s="4" t="s">
        <v>176</v>
      </c>
      <c r="N945" s="4" t="s">
        <v>177</v>
      </c>
      <c r="O945" s="4" t="s">
        <v>178</v>
      </c>
    </row>
    <row r="946" spans="2:15">
      <c r="B946" s="20">
        <v>45012</v>
      </c>
      <c r="C946" s="20">
        <v>45012</v>
      </c>
      <c r="D946" s="54">
        <v>40004887</v>
      </c>
      <c r="E946" s="55" t="s">
        <v>272</v>
      </c>
      <c r="F946" s="56">
        <v>2</v>
      </c>
      <c r="G946" s="68">
        <v>882</v>
      </c>
      <c r="H946" s="56" t="s">
        <v>80</v>
      </c>
      <c r="J946" s="56">
        <v>18779</v>
      </c>
      <c r="L946" s="56" t="s">
        <v>838</v>
      </c>
      <c r="M946" s="4" t="s">
        <v>176</v>
      </c>
      <c r="N946" s="4" t="s">
        <v>177</v>
      </c>
      <c r="O946" s="4" t="s">
        <v>178</v>
      </c>
    </row>
    <row r="947" spans="2:15">
      <c r="B947" s="20">
        <v>45012</v>
      </c>
      <c r="C947" s="20">
        <v>45012</v>
      </c>
      <c r="D947" s="54">
        <v>40499</v>
      </c>
      <c r="E947" s="55" t="s">
        <v>316</v>
      </c>
      <c r="F947" s="56">
        <v>60</v>
      </c>
      <c r="G947" s="68">
        <v>60</v>
      </c>
      <c r="H947" s="56" t="s">
        <v>92</v>
      </c>
      <c r="J947" s="56">
        <v>18779</v>
      </c>
      <c r="L947" s="56" t="s">
        <v>838</v>
      </c>
      <c r="M947" s="4" t="s">
        <v>176</v>
      </c>
      <c r="N947" s="4" t="s">
        <v>177</v>
      </c>
      <c r="O947" s="4" t="s">
        <v>178</v>
      </c>
    </row>
    <row r="948" spans="2:15">
      <c r="B948" s="20">
        <v>45013</v>
      </c>
      <c r="C948" s="20">
        <v>45013</v>
      </c>
      <c r="D948" s="54">
        <v>50142551</v>
      </c>
      <c r="E948" s="55" t="s">
        <v>215</v>
      </c>
      <c r="F948" s="56">
        <v>23</v>
      </c>
      <c r="G948" s="68">
        <v>580</v>
      </c>
      <c r="H948" s="56" t="s">
        <v>92</v>
      </c>
      <c r="J948" s="56">
        <v>146</v>
      </c>
      <c r="L948" s="56" t="s">
        <v>558</v>
      </c>
      <c r="M948" s="4" t="s">
        <v>558</v>
      </c>
      <c r="N948" s="4" t="s">
        <v>860</v>
      </c>
      <c r="O948" s="4" t="s">
        <v>178</v>
      </c>
    </row>
    <row r="949" spans="2:15">
      <c r="B949" s="20">
        <v>45013</v>
      </c>
      <c r="C949" s="20">
        <v>45013</v>
      </c>
      <c r="D949" s="54">
        <v>50142397</v>
      </c>
      <c r="E949" s="55" t="s">
        <v>557</v>
      </c>
      <c r="F949" s="56">
        <v>2</v>
      </c>
      <c r="G949" s="68">
        <v>40</v>
      </c>
      <c r="H949" s="56" t="s">
        <v>92</v>
      </c>
      <c r="J949" s="56">
        <v>146</v>
      </c>
      <c r="L949" s="56" t="s">
        <v>558</v>
      </c>
      <c r="M949" s="4" t="s">
        <v>558</v>
      </c>
      <c r="N949" s="4" t="s">
        <v>860</v>
      </c>
      <c r="O949" s="4" t="s">
        <v>178</v>
      </c>
    </row>
    <row r="950" spans="2:15">
      <c r="B950" s="20">
        <v>45013</v>
      </c>
      <c r="C950" s="20">
        <v>45013</v>
      </c>
      <c r="D950" s="54">
        <v>50142455</v>
      </c>
      <c r="E950" s="55" t="s">
        <v>560</v>
      </c>
      <c r="F950" s="56">
        <v>4</v>
      </c>
      <c r="G950" s="68">
        <v>100</v>
      </c>
      <c r="H950" s="56" t="s">
        <v>92</v>
      </c>
      <c r="J950" s="56">
        <v>146</v>
      </c>
      <c r="L950" s="56" t="s">
        <v>558</v>
      </c>
      <c r="M950" s="4" t="s">
        <v>558</v>
      </c>
      <c r="N950" s="4" t="s">
        <v>860</v>
      </c>
      <c r="O950" s="4" t="s">
        <v>178</v>
      </c>
    </row>
    <row r="951" spans="2:15">
      <c r="B951" s="20">
        <v>45013</v>
      </c>
      <c r="C951" s="20">
        <v>45013</v>
      </c>
      <c r="D951" s="54">
        <v>50470190</v>
      </c>
      <c r="E951" s="55" t="s">
        <v>12</v>
      </c>
      <c r="F951" s="56">
        <v>32</v>
      </c>
      <c r="G951" s="68">
        <v>9273600</v>
      </c>
      <c r="H951" s="56" t="s">
        <v>92</v>
      </c>
      <c r="J951" s="56">
        <v>1216</v>
      </c>
      <c r="L951" s="56" t="s">
        <v>230</v>
      </c>
      <c r="M951" s="4" t="s">
        <v>392</v>
      </c>
      <c r="N951" s="4" t="s">
        <v>319</v>
      </c>
      <c r="O951" s="4" t="s">
        <v>178</v>
      </c>
    </row>
    <row r="952" spans="2:15">
      <c r="B952" s="20">
        <v>45014</v>
      </c>
      <c r="C952" s="20">
        <v>45014</v>
      </c>
      <c r="D952" s="54">
        <v>50272278</v>
      </c>
      <c r="E952" s="55" t="s">
        <v>21</v>
      </c>
      <c r="F952" s="56">
        <v>12</v>
      </c>
      <c r="G952" s="68">
        <v>6000</v>
      </c>
      <c r="H952" s="56" t="s">
        <v>92</v>
      </c>
      <c r="J952" s="56">
        <v>17969</v>
      </c>
      <c r="L952" s="56" t="s">
        <v>226</v>
      </c>
      <c r="M952" s="4" t="s">
        <v>262</v>
      </c>
      <c r="N952" s="4" t="s">
        <v>364</v>
      </c>
      <c r="O952" s="4" t="s">
        <v>178</v>
      </c>
    </row>
    <row r="953" spans="2:15">
      <c r="B953" s="20">
        <v>45014</v>
      </c>
      <c r="C953" s="20">
        <v>45014</v>
      </c>
      <c r="D953" s="54">
        <v>40499</v>
      </c>
      <c r="E953" s="55" t="s">
        <v>316</v>
      </c>
      <c r="F953" s="56">
        <v>100</v>
      </c>
      <c r="G953" s="68">
        <v>100</v>
      </c>
      <c r="H953" s="56" t="s">
        <v>92</v>
      </c>
      <c r="J953" s="56">
        <v>18869</v>
      </c>
      <c r="L953" s="56" t="s">
        <v>838</v>
      </c>
      <c r="M953" s="4" t="s">
        <v>176</v>
      </c>
      <c r="N953" s="4" t="s">
        <v>177</v>
      </c>
      <c r="O953" s="4" t="s">
        <v>178</v>
      </c>
    </row>
    <row r="954" spans="2:15">
      <c r="B954" s="20">
        <v>45015</v>
      </c>
      <c r="C954" s="20">
        <v>45015</v>
      </c>
      <c r="D954" s="54">
        <v>50770580</v>
      </c>
      <c r="E954" s="55" t="s">
        <v>861</v>
      </c>
      <c r="F954" s="56">
        <v>1</v>
      </c>
      <c r="G954" s="68">
        <v>232.43</v>
      </c>
      <c r="H954" s="56" t="s">
        <v>92</v>
      </c>
      <c r="J954" s="56" t="s">
        <v>862</v>
      </c>
      <c r="K954" s="4" t="s">
        <v>863</v>
      </c>
      <c r="L954" s="56" t="s">
        <v>864</v>
      </c>
      <c r="M954" s="4" t="s">
        <v>520</v>
      </c>
      <c r="N954" s="4" t="s">
        <v>865</v>
      </c>
      <c r="O954" s="4" t="s">
        <v>178</v>
      </c>
    </row>
    <row r="955" spans="2:15">
      <c r="B955" s="20">
        <v>45016</v>
      </c>
      <c r="C955" s="20">
        <v>45016</v>
      </c>
      <c r="D955" s="54">
        <v>50522168</v>
      </c>
      <c r="E955" s="55" t="s">
        <v>252</v>
      </c>
      <c r="F955" s="56">
        <v>9</v>
      </c>
      <c r="G955" s="68">
        <v>4683.65</v>
      </c>
      <c r="H955" s="56" t="s">
        <v>82</v>
      </c>
      <c r="J955" s="56">
        <v>12015</v>
      </c>
      <c r="L955" s="56" t="s">
        <v>243</v>
      </c>
      <c r="M955" s="4" t="s">
        <v>660</v>
      </c>
      <c r="N955" s="4" t="s">
        <v>447</v>
      </c>
      <c r="O955" s="4" t="s">
        <v>178</v>
      </c>
    </row>
    <row r="956" spans="2:15">
      <c r="B956" s="20">
        <v>45019</v>
      </c>
      <c r="C956" s="20">
        <v>45019</v>
      </c>
      <c r="D956" s="54">
        <v>50522168</v>
      </c>
      <c r="E956" s="55" t="s">
        <v>252</v>
      </c>
      <c r="F956" s="56">
        <v>1</v>
      </c>
      <c r="G956" s="68">
        <v>528.65</v>
      </c>
      <c r="H956" s="56" t="s">
        <v>82</v>
      </c>
      <c r="J956" s="56">
        <v>12020</v>
      </c>
      <c r="L956" s="56" t="s">
        <v>243</v>
      </c>
      <c r="M956" s="4" t="s">
        <v>660</v>
      </c>
      <c r="N956" s="4" t="s">
        <v>447</v>
      </c>
      <c r="O956" s="4" t="s">
        <v>178</v>
      </c>
    </row>
    <row r="957" spans="2:15">
      <c r="B957" s="20">
        <v>45019</v>
      </c>
      <c r="C957" s="20">
        <v>45019</v>
      </c>
      <c r="D957" s="54">
        <v>50142424</v>
      </c>
      <c r="E957" s="55" t="s">
        <v>33</v>
      </c>
      <c r="F957" s="56">
        <v>5</v>
      </c>
      <c r="G957" s="68">
        <v>5000</v>
      </c>
      <c r="H957" s="56" t="s">
        <v>82</v>
      </c>
      <c r="J957" s="56">
        <v>19024</v>
      </c>
      <c r="L957" s="56" t="s">
        <v>838</v>
      </c>
      <c r="M957" s="4" t="s">
        <v>176</v>
      </c>
      <c r="N957" s="4" t="s">
        <v>193</v>
      </c>
      <c r="O957" s="4" t="s">
        <v>178</v>
      </c>
    </row>
    <row r="958" spans="2:15">
      <c r="B958" s="20">
        <v>45019</v>
      </c>
      <c r="C958" s="20">
        <v>45019</v>
      </c>
      <c r="D958" s="54">
        <v>50144334</v>
      </c>
      <c r="E958" s="55" t="s">
        <v>426</v>
      </c>
      <c r="F958" s="56">
        <v>2</v>
      </c>
      <c r="G958" s="68">
        <v>670</v>
      </c>
      <c r="H958" s="56" t="s">
        <v>82</v>
      </c>
      <c r="J958" s="56">
        <v>19024</v>
      </c>
      <c r="L958" s="56" t="s">
        <v>838</v>
      </c>
      <c r="M958" s="4" t="s">
        <v>176</v>
      </c>
      <c r="N958" s="4" t="s">
        <v>193</v>
      </c>
      <c r="O958" s="4" t="s">
        <v>178</v>
      </c>
    </row>
    <row r="959" spans="2:15">
      <c r="B959" s="20">
        <v>45019</v>
      </c>
      <c r="C959" s="20">
        <v>45019</v>
      </c>
      <c r="D959" s="54">
        <v>50799770</v>
      </c>
      <c r="E959" s="55" t="s">
        <v>17</v>
      </c>
      <c r="F959" s="56">
        <v>8</v>
      </c>
      <c r="G959" s="68">
        <v>4000</v>
      </c>
      <c r="H959" s="56" t="s">
        <v>92</v>
      </c>
      <c r="J959" s="56">
        <v>19024</v>
      </c>
      <c r="L959" s="56" t="s">
        <v>838</v>
      </c>
      <c r="M959" s="4" t="s">
        <v>176</v>
      </c>
      <c r="N959" s="4" t="s">
        <v>193</v>
      </c>
      <c r="O959" s="4" t="s">
        <v>178</v>
      </c>
    </row>
    <row r="960" spans="2:15">
      <c r="B960" s="20">
        <v>45051</v>
      </c>
      <c r="C960" s="20">
        <v>45021</v>
      </c>
      <c r="D960" s="54">
        <v>50794589</v>
      </c>
      <c r="E960" s="55" t="s">
        <v>594</v>
      </c>
      <c r="F960" s="56">
        <v>5</v>
      </c>
      <c r="G960" s="68">
        <v>2764.75</v>
      </c>
      <c r="H960" s="56" t="s">
        <v>82</v>
      </c>
      <c r="J960" s="56">
        <v>12081</v>
      </c>
      <c r="L960" s="56" t="s">
        <v>243</v>
      </c>
      <c r="M960" s="4" t="s">
        <v>660</v>
      </c>
      <c r="N960" s="4" t="s">
        <v>866</v>
      </c>
      <c r="O960" s="4" t="s">
        <v>530</v>
      </c>
    </row>
    <row r="961" spans="2:15">
      <c r="B961" s="20">
        <v>45054</v>
      </c>
      <c r="C961" s="20">
        <v>45024</v>
      </c>
      <c r="D961" s="54">
        <v>50144376</v>
      </c>
      <c r="E961" s="55" t="s">
        <v>19</v>
      </c>
      <c r="F961" s="56">
        <v>4</v>
      </c>
      <c r="G961" s="68">
        <v>1170</v>
      </c>
      <c r="H961" s="56" t="s">
        <v>92</v>
      </c>
      <c r="J961" s="56">
        <v>20061</v>
      </c>
      <c r="L961" s="56" t="s">
        <v>315</v>
      </c>
      <c r="M961" s="4" t="s">
        <v>176</v>
      </c>
      <c r="N961" s="4" t="s">
        <v>193</v>
      </c>
      <c r="O961" s="4" t="s">
        <v>530</v>
      </c>
    </row>
    <row r="962" spans="2:15">
      <c r="B962" s="20">
        <v>45054</v>
      </c>
      <c r="C962" s="20">
        <v>45024</v>
      </c>
      <c r="D962" s="54">
        <v>50272278</v>
      </c>
      <c r="E962" s="55" t="s">
        <v>21</v>
      </c>
      <c r="G962" s="68">
        <v>2950</v>
      </c>
      <c r="H962" s="56" t="s">
        <v>92</v>
      </c>
      <c r="J962" s="56">
        <v>20061</v>
      </c>
      <c r="L962" s="56" t="s">
        <v>315</v>
      </c>
      <c r="M962" s="4" t="s">
        <v>176</v>
      </c>
      <c r="N962" s="4" t="s">
        <v>193</v>
      </c>
      <c r="O962" s="4" t="s">
        <v>530</v>
      </c>
    </row>
    <row r="963" spans="2:15">
      <c r="B963" s="20">
        <v>45054</v>
      </c>
      <c r="C963" s="20">
        <v>45024</v>
      </c>
      <c r="D963" s="54">
        <v>50144376</v>
      </c>
      <c r="E963" s="55" t="s">
        <v>19</v>
      </c>
      <c r="F963" s="56">
        <v>12</v>
      </c>
      <c r="G963" s="68">
        <v>6000</v>
      </c>
      <c r="H963" s="56" t="s">
        <v>92</v>
      </c>
      <c r="J963" s="56">
        <v>141</v>
      </c>
      <c r="L963" s="56" t="s">
        <v>262</v>
      </c>
      <c r="M963" s="4" t="s">
        <v>262</v>
      </c>
      <c r="N963" s="4" t="s">
        <v>364</v>
      </c>
      <c r="O963" s="4" t="s">
        <v>530</v>
      </c>
    </row>
    <row r="964" spans="2:15">
      <c r="B964" s="20">
        <v>45054</v>
      </c>
      <c r="C964" s="20">
        <v>45024</v>
      </c>
      <c r="D964" s="54">
        <v>50522169</v>
      </c>
      <c r="E964" s="55" t="s">
        <v>250</v>
      </c>
      <c r="F964" s="56">
        <v>8</v>
      </c>
      <c r="G964" s="68">
        <v>4633.15</v>
      </c>
      <c r="H964" s="56" t="s">
        <v>82</v>
      </c>
      <c r="J964" s="56">
        <v>12086</v>
      </c>
      <c r="L964" s="56" t="s">
        <v>243</v>
      </c>
      <c r="M964" s="4" t="s">
        <v>660</v>
      </c>
      <c r="N964" s="4" t="s">
        <v>867</v>
      </c>
      <c r="O964" s="4" t="s">
        <v>530</v>
      </c>
    </row>
    <row r="965" spans="2:15">
      <c r="B965" s="20">
        <v>45026</v>
      </c>
      <c r="C965" s="20">
        <v>45026</v>
      </c>
      <c r="D965" s="54">
        <v>50145028</v>
      </c>
      <c r="E965" s="55" t="s">
        <v>23</v>
      </c>
      <c r="F965" s="56">
        <v>6</v>
      </c>
      <c r="G965" s="68">
        <v>1000</v>
      </c>
      <c r="H965" s="56" t="s">
        <v>92</v>
      </c>
      <c r="J965" s="56">
        <v>2174</v>
      </c>
      <c r="L965" s="56" t="s">
        <v>388</v>
      </c>
      <c r="M965" s="4" t="s">
        <v>388</v>
      </c>
      <c r="N965" s="4" t="s">
        <v>428</v>
      </c>
      <c r="O965" s="4" t="s">
        <v>178</v>
      </c>
    </row>
    <row r="966" spans="2:15">
      <c r="B966" s="20">
        <v>45027</v>
      </c>
      <c r="C966" s="20">
        <v>45027</v>
      </c>
      <c r="D966" s="54">
        <v>50470190</v>
      </c>
      <c r="E966" s="55" t="s">
        <v>12</v>
      </c>
      <c r="F966" s="56">
        <v>32</v>
      </c>
      <c r="G966" s="68">
        <v>9273600</v>
      </c>
      <c r="H966" s="56" t="s">
        <v>92</v>
      </c>
      <c r="J966" s="56">
        <v>1339</v>
      </c>
      <c r="L966" s="56" t="s">
        <v>230</v>
      </c>
      <c r="M966" s="4" t="s">
        <v>392</v>
      </c>
      <c r="N966" s="4" t="s">
        <v>777</v>
      </c>
      <c r="O966" s="4" t="s">
        <v>178</v>
      </c>
    </row>
    <row r="967" spans="2:15">
      <c r="B967" s="20">
        <v>45027</v>
      </c>
      <c r="C967" s="20">
        <v>45027</v>
      </c>
      <c r="D967" s="54">
        <v>50142237</v>
      </c>
      <c r="E967" s="55" t="s">
        <v>617</v>
      </c>
      <c r="F967" s="56">
        <v>8</v>
      </c>
      <c r="G967" s="68">
        <v>8000</v>
      </c>
      <c r="H967" s="56" t="s">
        <v>92</v>
      </c>
      <c r="J967" s="56">
        <v>60408</v>
      </c>
      <c r="L967" s="56" t="s">
        <v>618</v>
      </c>
      <c r="M967" s="4" t="s">
        <v>619</v>
      </c>
      <c r="N967" s="4" t="s">
        <v>620</v>
      </c>
      <c r="O967" s="4" t="s">
        <v>178</v>
      </c>
    </row>
    <row r="968" spans="2:15">
      <c r="B968" s="20">
        <v>45029</v>
      </c>
      <c r="C968" s="20">
        <v>45029</v>
      </c>
      <c r="D968" s="54">
        <v>50272278</v>
      </c>
      <c r="E968" s="55" t="s">
        <v>21</v>
      </c>
      <c r="F968" s="56">
        <v>12</v>
      </c>
      <c r="G968" s="68">
        <v>6000</v>
      </c>
      <c r="H968" s="56" t="s">
        <v>92</v>
      </c>
      <c r="J968" s="56">
        <v>32</v>
      </c>
      <c r="L968" s="56" t="s">
        <v>262</v>
      </c>
      <c r="M968" s="4" t="s">
        <v>262</v>
      </c>
      <c r="N968" s="4" t="s">
        <v>364</v>
      </c>
      <c r="O968" s="4" t="s">
        <v>178</v>
      </c>
    </row>
    <row r="969" spans="2:15">
      <c r="B969" s="20">
        <v>45030</v>
      </c>
      <c r="C969" s="20">
        <v>45030</v>
      </c>
      <c r="D969" s="54">
        <v>50272278</v>
      </c>
      <c r="E969" s="55" t="s">
        <v>21</v>
      </c>
      <c r="F969" s="56">
        <v>12</v>
      </c>
      <c r="G969" s="68">
        <v>6000</v>
      </c>
      <c r="H969" s="56" t="s">
        <v>92</v>
      </c>
      <c r="J969" s="56">
        <v>42</v>
      </c>
      <c r="L969" s="56" t="s">
        <v>262</v>
      </c>
      <c r="M969" s="4" t="s">
        <v>262</v>
      </c>
      <c r="N969" s="4" t="s">
        <v>364</v>
      </c>
      <c r="O969" s="4" t="s">
        <v>178</v>
      </c>
    </row>
    <row r="970" spans="2:15">
      <c r="B970" s="20">
        <v>45031</v>
      </c>
      <c r="C970" s="20">
        <v>45031</v>
      </c>
      <c r="D970" s="54">
        <v>50143646</v>
      </c>
      <c r="E970" s="55" t="s">
        <v>191</v>
      </c>
      <c r="F970" s="56">
        <v>21</v>
      </c>
      <c r="G970" s="68">
        <v>10080</v>
      </c>
      <c r="H970" s="56" t="s">
        <v>82</v>
      </c>
      <c r="J970" s="56">
        <v>2000000686</v>
      </c>
      <c r="K970" s="4" t="s">
        <v>868</v>
      </c>
      <c r="L970" s="56" t="s">
        <v>194</v>
      </c>
      <c r="M970" s="4" t="s">
        <v>750</v>
      </c>
      <c r="N970" s="4" t="s">
        <v>869</v>
      </c>
      <c r="O970" s="4" t="s">
        <v>178</v>
      </c>
    </row>
    <row r="971" spans="2:15">
      <c r="B971" s="20">
        <v>45031</v>
      </c>
      <c r="C971" s="20">
        <v>45031</v>
      </c>
      <c r="D971" s="54">
        <v>50143646</v>
      </c>
      <c r="E971" s="55" t="s">
        <v>191</v>
      </c>
      <c r="F971" s="56">
        <v>21</v>
      </c>
      <c r="G971" s="68">
        <v>10080</v>
      </c>
      <c r="H971" s="56" t="s">
        <v>82</v>
      </c>
      <c r="J971" s="56">
        <v>2000000686</v>
      </c>
      <c r="K971" s="4" t="s">
        <v>870</v>
      </c>
      <c r="L971" s="56" t="s">
        <v>194</v>
      </c>
      <c r="M971" s="4" t="s">
        <v>750</v>
      </c>
      <c r="N971" s="4" t="s">
        <v>871</v>
      </c>
      <c r="O971" s="4" t="s">
        <v>178</v>
      </c>
    </row>
    <row r="972" spans="2:15">
      <c r="B972" s="20">
        <v>45033</v>
      </c>
      <c r="C972" s="20">
        <v>45033</v>
      </c>
      <c r="D972" s="54">
        <v>50272278</v>
      </c>
      <c r="E972" s="55" t="s">
        <v>21</v>
      </c>
      <c r="F972" s="56">
        <v>12</v>
      </c>
      <c r="G972" s="68">
        <v>6000</v>
      </c>
      <c r="H972" s="56" t="s">
        <v>92</v>
      </c>
      <c r="J972" s="56">
        <v>45</v>
      </c>
      <c r="L972" s="56" t="s">
        <v>262</v>
      </c>
      <c r="M972" s="4" t="s">
        <v>262</v>
      </c>
      <c r="N972" s="4" t="s">
        <v>364</v>
      </c>
      <c r="O972" s="4" t="s">
        <v>178</v>
      </c>
    </row>
    <row r="973" spans="2:15">
      <c r="B973" s="20">
        <v>45033</v>
      </c>
      <c r="C973" s="20">
        <v>45033</v>
      </c>
      <c r="D973" s="54">
        <v>50369034</v>
      </c>
      <c r="E973" s="55" t="s">
        <v>322</v>
      </c>
      <c r="F973" s="56">
        <v>10</v>
      </c>
      <c r="G973" s="68">
        <v>5075.8</v>
      </c>
      <c r="H973" s="56" t="s">
        <v>82</v>
      </c>
      <c r="J973" s="56">
        <v>12046</v>
      </c>
      <c r="L973" s="56" t="s">
        <v>243</v>
      </c>
      <c r="M973" s="4" t="s">
        <v>660</v>
      </c>
      <c r="N973" s="4" t="s">
        <v>353</v>
      </c>
      <c r="O973" s="4" t="s">
        <v>178</v>
      </c>
    </row>
    <row r="974" spans="2:15">
      <c r="B974" s="20">
        <v>45033</v>
      </c>
      <c r="C974" s="20">
        <v>45033</v>
      </c>
      <c r="D974" s="54">
        <v>50272278</v>
      </c>
      <c r="E974" s="55" t="s">
        <v>21</v>
      </c>
      <c r="F974" s="56">
        <v>12</v>
      </c>
      <c r="G974" s="68">
        <v>6000</v>
      </c>
      <c r="H974" s="56" t="s">
        <v>92</v>
      </c>
      <c r="J974" s="56">
        <v>47</v>
      </c>
      <c r="L974" s="56" t="s">
        <v>262</v>
      </c>
      <c r="M974" s="4" t="s">
        <v>262</v>
      </c>
      <c r="N974" s="4" t="s">
        <v>364</v>
      </c>
      <c r="O974" s="4" t="s">
        <v>178</v>
      </c>
    </row>
    <row r="975" spans="2:15">
      <c r="B975" s="20">
        <v>45034</v>
      </c>
      <c r="C975" s="20">
        <v>45034</v>
      </c>
      <c r="D975" s="54">
        <v>50470190</v>
      </c>
      <c r="E975" s="55" t="s">
        <v>12</v>
      </c>
      <c r="F975" s="56">
        <v>32</v>
      </c>
      <c r="G975" s="68">
        <v>9273600</v>
      </c>
      <c r="H975" s="56" t="s">
        <v>92</v>
      </c>
      <c r="J975" s="56">
        <v>1458</v>
      </c>
      <c r="L975" s="56" t="s">
        <v>230</v>
      </c>
      <c r="M975" s="4" t="s">
        <v>392</v>
      </c>
      <c r="N975" s="4" t="s">
        <v>777</v>
      </c>
      <c r="O975" s="4" t="s">
        <v>178</v>
      </c>
    </row>
    <row r="976" spans="2:15">
      <c r="B976" s="20">
        <v>45034</v>
      </c>
      <c r="C976" s="20">
        <v>45034</v>
      </c>
      <c r="D976" s="54">
        <v>50498013</v>
      </c>
      <c r="E976" s="55" t="s">
        <v>595</v>
      </c>
      <c r="F976" s="56">
        <v>4</v>
      </c>
      <c r="G976" s="68">
        <v>2233</v>
      </c>
      <c r="H976" s="56" t="s">
        <v>82</v>
      </c>
      <c r="J976" s="56">
        <v>12049</v>
      </c>
      <c r="L976" s="56" t="s">
        <v>243</v>
      </c>
      <c r="M976" s="4" t="s">
        <v>660</v>
      </c>
      <c r="N976" s="4" t="s">
        <v>353</v>
      </c>
      <c r="O976" s="4" t="s">
        <v>178</v>
      </c>
    </row>
    <row r="977" spans="2:15">
      <c r="B977" s="20">
        <v>45035</v>
      </c>
      <c r="C977" s="20">
        <v>45035</v>
      </c>
      <c r="D977" s="54">
        <v>50272278</v>
      </c>
      <c r="E977" s="55" t="s">
        <v>21</v>
      </c>
      <c r="F977" s="56">
        <v>12</v>
      </c>
      <c r="G977" s="68">
        <v>6000</v>
      </c>
      <c r="H977" s="56" t="s">
        <v>92</v>
      </c>
      <c r="J977" s="56">
        <v>60</v>
      </c>
      <c r="L977" s="56" t="s">
        <v>262</v>
      </c>
      <c r="M977" s="4" t="s">
        <v>262</v>
      </c>
      <c r="N977" s="4" t="s">
        <v>364</v>
      </c>
      <c r="O977" s="4" t="s">
        <v>178</v>
      </c>
    </row>
    <row r="978" spans="2:15">
      <c r="B978" s="20">
        <v>45036</v>
      </c>
      <c r="C978" s="20">
        <v>45036</v>
      </c>
      <c r="D978" s="54">
        <v>50142327</v>
      </c>
      <c r="E978" s="55" t="s">
        <v>256</v>
      </c>
      <c r="F978" s="56">
        <v>16</v>
      </c>
      <c r="G978" s="68">
        <v>10896</v>
      </c>
      <c r="H978" s="56" t="s">
        <v>82</v>
      </c>
      <c r="J978" s="56" t="s">
        <v>872</v>
      </c>
      <c r="L978" s="56" t="s">
        <v>213</v>
      </c>
      <c r="M978" s="4" t="s">
        <v>176</v>
      </c>
      <c r="N978" s="4" t="s">
        <v>177</v>
      </c>
      <c r="O978" s="4" t="s">
        <v>178</v>
      </c>
    </row>
    <row r="979" spans="2:15">
      <c r="B979" s="20">
        <v>45036</v>
      </c>
      <c r="C979" s="20">
        <v>45036</v>
      </c>
      <c r="D979" s="54">
        <v>50272278</v>
      </c>
      <c r="E979" s="55" t="s">
        <v>21</v>
      </c>
      <c r="F979" s="56">
        <v>12</v>
      </c>
      <c r="G979" s="68">
        <v>6000</v>
      </c>
      <c r="H979" s="56" t="s">
        <v>92</v>
      </c>
      <c r="J979" s="56">
        <v>68</v>
      </c>
      <c r="L979" s="56" t="s">
        <v>262</v>
      </c>
      <c r="M979" s="4" t="s">
        <v>262</v>
      </c>
      <c r="N979" s="4" t="s">
        <v>364</v>
      </c>
      <c r="O979" s="4" t="s">
        <v>178</v>
      </c>
    </row>
    <row r="980" spans="2:15">
      <c r="B980" s="20">
        <v>45037</v>
      </c>
      <c r="C980" s="20">
        <v>45037</v>
      </c>
      <c r="D980" s="54">
        <v>50435419</v>
      </c>
      <c r="E980" s="55" t="s">
        <v>656</v>
      </c>
      <c r="F980" s="56">
        <v>2</v>
      </c>
      <c r="G980" s="68">
        <v>1792</v>
      </c>
      <c r="H980" s="56" t="s">
        <v>82</v>
      </c>
      <c r="J980" s="56">
        <v>1158064076</v>
      </c>
      <c r="K980" s="4" t="s">
        <v>873</v>
      </c>
      <c r="L980" s="56" t="s">
        <v>722</v>
      </c>
      <c r="M980" s="4" t="s">
        <v>844</v>
      </c>
      <c r="N980" s="4" t="s">
        <v>490</v>
      </c>
      <c r="O980" s="4" t="s">
        <v>178</v>
      </c>
    </row>
    <row r="981" spans="2:15">
      <c r="B981" s="20">
        <v>45037</v>
      </c>
      <c r="C981" s="20">
        <v>45037</v>
      </c>
      <c r="D981" s="54">
        <v>50751654</v>
      </c>
      <c r="E981" s="55" t="s">
        <v>874</v>
      </c>
      <c r="F981" s="56">
        <v>2</v>
      </c>
      <c r="G981" s="68">
        <v>1792</v>
      </c>
      <c r="H981" s="56" t="s">
        <v>82</v>
      </c>
      <c r="J981" s="56">
        <v>1158064076</v>
      </c>
      <c r="K981" s="4" t="s">
        <v>873</v>
      </c>
      <c r="L981" s="56" t="s">
        <v>722</v>
      </c>
      <c r="M981" s="4" t="s">
        <v>844</v>
      </c>
      <c r="N981" s="4" t="s">
        <v>490</v>
      </c>
      <c r="O981" s="4" t="s">
        <v>178</v>
      </c>
    </row>
    <row r="982" spans="2:15">
      <c r="B982" s="20">
        <v>45037</v>
      </c>
      <c r="C982" s="20">
        <v>45037</v>
      </c>
      <c r="D982" s="54">
        <v>50272278</v>
      </c>
      <c r="E982" s="55" t="s">
        <v>21</v>
      </c>
      <c r="F982" s="56">
        <v>12</v>
      </c>
      <c r="G982" s="68">
        <v>6000</v>
      </c>
      <c r="H982" s="56" t="s">
        <v>92</v>
      </c>
      <c r="J982" s="56">
        <v>74</v>
      </c>
      <c r="L982" s="56" t="s">
        <v>262</v>
      </c>
      <c r="M982" s="4" t="s">
        <v>262</v>
      </c>
      <c r="N982" s="4" t="s">
        <v>364</v>
      </c>
      <c r="O982" s="4" t="s">
        <v>178</v>
      </c>
    </row>
    <row r="983" spans="2:15">
      <c r="B983" s="20">
        <v>45037</v>
      </c>
      <c r="C983" s="20">
        <v>45037</v>
      </c>
      <c r="D983" s="54">
        <v>50272278</v>
      </c>
      <c r="E983" s="55" t="s">
        <v>21</v>
      </c>
      <c r="F983" s="56">
        <v>12</v>
      </c>
      <c r="G983" s="68">
        <v>6000</v>
      </c>
      <c r="H983" s="56" t="s">
        <v>92</v>
      </c>
      <c r="J983" s="56">
        <v>77</v>
      </c>
      <c r="L983" s="56" t="s">
        <v>262</v>
      </c>
      <c r="M983" s="4" t="s">
        <v>262</v>
      </c>
      <c r="N983" s="4" t="s">
        <v>364</v>
      </c>
      <c r="O983" s="4" t="s">
        <v>178</v>
      </c>
    </row>
    <row r="984" spans="2:15">
      <c r="B984" s="20">
        <v>45038</v>
      </c>
      <c r="C984" s="20">
        <v>45038</v>
      </c>
      <c r="D984" s="54">
        <v>50507916</v>
      </c>
      <c r="E984" s="55" t="s">
        <v>406</v>
      </c>
      <c r="F984" s="56">
        <v>40</v>
      </c>
      <c r="G984" s="68">
        <v>10519000</v>
      </c>
      <c r="H984" s="56" t="s">
        <v>92</v>
      </c>
      <c r="J984" s="56" t="s">
        <v>875</v>
      </c>
      <c r="K984" s="4" t="s">
        <v>876</v>
      </c>
      <c r="L984" s="56" t="s">
        <v>877</v>
      </c>
      <c r="M984" s="4" t="s">
        <v>878</v>
      </c>
      <c r="N984" s="4" t="s">
        <v>879</v>
      </c>
      <c r="O984" s="4" t="s">
        <v>178</v>
      </c>
    </row>
    <row r="985" spans="2:15">
      <c r="B985" s="20">
        <v>45038</v>
      </c>
      <c r="C985" s="20">
        <v>45038</v>
      </c>
      <c r="D985" s="54">
        <v>50315365</v>
      </c>
      <c r="E985" s="55" t="s">
        <v>584</v>
      </c>
      <c r="F985" s="56">
        <v>2</v>
      </c>
      <c r="G985" s="68">
        <v>528</v>
      </c>
      <c r="H985" s="56" t="s">
        <v>80</v>
      </c>
      <c r="J985" s="56" t="s">
        <v>875</v>
      </c>
      <c r="K985" s="4" t="s">
        <v>876</v>
      </c>
      <c r="L985" s="56" t="s">
        <v>877</v>
      </c>
      <c r="M985" s="4" t="s">
        <v>878</v>
      </c>
      <c r="N985" s="4" t="s">
        <v>879</v>
      </c>
      <c r="O985" s="4" t="s">
        <v>178</v>
      </c>
    </row>
    <row r="986" spans="2:15">
      <c r="B986" s="20">
        <v>45040</v>
      </c>
      <c r="C986" s="20">
        <v>45040</v>
      </c>
      <c r="D986" s="54">
        <v>50145028</v>
      </c>
      <c r="E986" s="55" t="s">
        <v>23</v>
      </c>
      <c r="F986" s="56">
        <v>6</v>
      </c>
      <c r="G986" s="68">
        <v>1000</v>
      </c>
      <c r="H986" s="56" t="s">
        <v>92</v>
      </c>
      <c r="J986" s="56">
        <v>2181</v>
      </c>
      <c r="L986" s="56" t="s">
        <v>388</v>
      </c>
      <c r="M986" s="4" t="s">
        <v>388</v>
      </c>
      <c r="N986" s="4" t="s">
        <v>699</v>
      </c>
      <c r="O986" s="4" t="s">
        <v>178</v>
      </c>
    </row>
    <row r="987" spans="2:15">
      <c r="B987" s="20">
        <v>45041</v>
      </c>
      <c r="C987" s="20">
        <v>45041</v>
      </c>
      <c r="D987" s="54">
        <v>40011129</v>
      </c>
      <c r="E987" s="55" t="s">
        <v>79</v>
      </c>
      <c r="F987" s="56">
        <v>3</v>
      </c>
      <c r="G987" s="68">
        <v>9609</v>
      </c>
      <c r="H987" s="56" t="s">
        <v>80</v>
      </c>
      <c r="J987" s="56">
        <v>206909730</v>
      </c>
      <c r="K987" s="4" t="s">
        <v>880</v>
      </c>
      <c r="L987" s="56" t="s">
        <v>175</v>
      </c>
      <c r="M987" s="4" t="s">
        <v>520</v>
      </c>
      <c r="N987" s="4" t="s">
        <v>881</v>
      </c>
      <c r="O987" s="4" t="s">
        <v>178</v>
      </c>
    </row>
    <row r="988" spans="2:15">
      <c r="B988" s="20">
        <v>45041</v>
      </c>
      <c r="C988" s="20">
        <v>45041</v>
      </c>
      <c r="D988" s="54">
        <v>50272278</v>
      </c>
      <c r="E988" s="55" t="s">
        <v>21</v>
      </c>
      <c r="F988" s="56">
        <v>20</v>
      </c>
      <c r="G988" s="68">
        <v>10000</v>
      </c>
      <c r="H988" s="56" t="s">
        <v>92</v>
      </c>
      <c r="J988" s="56">
        <v>2506</v>
      </c>
      <c r="L988" s="56" t="s">
        <v>201</v>
      </c>
      <c r="M988" s="4" t="s">
        <v>201</v>
      </c>
      <c r="N988" s="4" t="s">
        <v>383</v>
      </c>
      <c r="O988" s="4" t="s">
        <v>178</v>
      </c>
    </row>
    <row r="989" spans="2:15">
      <c r="B989" s="20">
        <v>45041</v>
      </c>
      <c r="C989" s="20">
        <v>45041</v>
      </c>
      <c r="D989" s="54">
        <v>50470190</v>
      </c>
      <c r="E989" s="55" t="s">
        <v>12</v>
      </c>
      <c r="F989" s="56">
        <v>32</v>
      </c>
      <c r="G989" s="68">
        <v>9273600</v>
      </c>
      <c r="H989" s="56" t="s">
        <v>92</v>
      </c>
      <c r="J989" s="56">
        <v>1511</v>
      </c>
      <c r="L989" s="56" t="s">
        <v>230</v>
      </c>
      <c r="M989" s="4" t="s">
        <v>392</v>
      </c>
      <c r="N989" s="4" t="s">
        <v>800</v>
      </c>
      <c r="O989" s="4" t="s">
        <v>178</v>
      </c>
    </row>
    <row r="990" spans="2:15">
      <c r="B990" s="20">
        <v>45041</v>
      </c>
      <c r="C990" s="20">
        <v>45041</v>
      </c>
      <c r="D990" s="54">
        <v>50272278</v>
      </c>
      <c r="E990" s="55" t="s">
        <v>21</v>
      </c>
      <c r="F990" s="56">
        <v>12</v>
      </c>
      <c r="G990" s="68">
        <v>6000</v>
      </c>
      <c r="H990" s="56" t="s">
        <v>92</v>
      </c>
      <c r="J990" s="56">
        <v>89</v>
      </c>
      <c r="L990" s="56" t="s">
        <v>262</v>
      </c>
      <c r="M990" s="4" t="s">
        <v>262</v>
      </c>
      <c r="N990" s="4" t="s">
        <v>364</v>
      </c>
      <c r="O990" s="4" t="s">
        <v>178</v>
      </c>
    </row>
    <row r="991" spans="2:15">
      <c r="B991" s="20">
        <v>45041</v>
      </c>
      <c r="C991" s="20">
        <v>45041</v>
      </c>
      <c r="D991" s="54">
        <v>50369034</v>
      </c>
      <c r="E991" s="55" t="s">
        <v>322</v>
      </c>
      <c r="F991" s="56">
        <v>9</v>
      </c>
      <c r="G991" s="68">
        <v>4593.7</v>
      </c>
      <c r="H991" s="56" t="s">
        <v>82</v>
      </c>
      <c r="J991" s="56">
        <v>12060</v>
      </c>
      <c r="L991" s="56" t="s">
        <v>243</v>
      </c>
      <c r="M991" s="4" t="s">
        <v>660</v>
      </c>
      <c r="N991" s="4" t="s">
        <v>684</v>
      </c>
      <c r="O991" s="4" t="s">
        <v>178</v>
      </c>
    </row>
    <row r="992" spans="2:15">
      <c r="B992" s="20">
        <v>45041</v>
      </c>
      <c r="C992" s="20">
        <v>45041</v>
      </c>
      <c r="D992" s="54">
        <v>50272278</v>
      </c>
      <c r="E992" s="55" t="s">
        <v>21</v>
      </c>
      <c r="F992" s="56">
        <v>16</v>
      </c>
      <c r="G992" s="68">
        <v>8000</v>
      </c>
      <c r="H992" s="56" t="s">
        <v>92</v>
      </c>
      <c r="J992" s="56">
        <v>2520</v>
      </c>
      <c r="L992" s="56" t="s">
        <v>201</v>
      </c>
      <c r="M992" s="4" t="s">
        <v>201</v>
      </c>
      <c r="N992" s="4" t="s">
        <v>383</v>
      </c>
      <c r="O992" s="4" t="s">
        <v>178</v>
      </c>
    </row>
    <row r="993" spans="2:15">
      <c r="B993" s="20">
        <v>45041</v>
      </c>
      <c r="C993" s="20">
        <v>45041</v>
      </c>
      <c r="D993" s="54">
        <v>50272278</v>
      </c>
      <c r="E993" s="55" t="s">
        <v>21</v>
      </c>
      <c r="F993" s="56">
        <v>12</v>
      </c>
      <c r="G993" s="68">
        <v>6000</v>
      </c>
      <c r="H993" s="56" t="s">
        <v>92</v>
      </c>
      <c r="J993" s="56">
        <v>91</v>
      </c>
      <c r="L993" s="56" t="s">
        <v>262</v>
      </c>
      <c r="M993" s="4" t="s">
        <v>262</v>
      </c>
      <c r="N993" s="4" t="s">
        <v>364</v>
      </c>
      <c r="O993" s="4" t="s">
        <v>178</v>
      </c>
    </row>
    <row r="994" spans="2:15">
      <c r="B994" s="20">
        <v>45042</v>
      </c>
      <c r="C994" s="20">
        <v>45042</v>
      </c>
      <c r="D994" s="54">
        <v>40011148</v>
      </c>
      <c r="E994" s="55" t="s">
        <v>86</v>
      </c>
      <c r="F994" s="56">
        <v>2</v>
      </c>
      <c r="G994" s="68">
        <v>840</v>
      </c>
      <c r="H994" s="56" t="s">
        <v>80</v>
      </c>
      <c r="J994" s="56" t="s">
        <v>882</v>
      </c>
      <c r="K994" s="4" t="s">
        <v>883</v>
      </c>
      <c r="L994" s="56" t="s">
        <v>423</v>
      </c>
      <c r="M994" s="4" t="s">
        <v>498</v>
      </c>
      <c r="N994" s="4" t="s">
        <v>884</v>
      </c>
      <c r="O994" s="4" t="s">
        <v>178</v>
      </c>
    </row>
    <row r="995" spans="2:15">
      <c r="B995" s="20">
        <v>45042</v>
      </c>
      <c r="C995" s="20">
        <v>45042</v>
      </c>
      <c r="D995" s="54">
        <v>40011149</v>
      </c>
      <c r="E995" s="55" t="s">
        <v>37</v>
      </c>
      <c r="F995" s="56">
        <v>18</v>
      </c>
      <c r="G995" s="68">
        <v>6344</v>
      </c>
      <c r="H995" s="56" t="s">
        <v>80</v>
      </c>
      <c r="J995" s="56" t="s">
        <v>882</v>
      </c>
      <c r="K995" s="4" t="s">
        <v>883</v>
      </c>
      <c r="L995" s="56" t="s">
        <v>423</v>
      </c>
      <c r="M995" s="4" t="s">
        <v>498</v>
      </c>
      <c r="N995" s="4" t="s">
        <v>884</v>
      </c>
      <c r="O995" s="4" t="s">
        <v>178</v>
      </c>
    </row>
    <row r="996" spans="2:15">
      <c r="B996" s="20">
        <v>45042</v>
      </c>
      <c r="C996" s="20">
        <v>45042</v>
      </c>
      <c r="D996" s="54">
        <v>40011660</v>
      </c>
      <c r="E996" s="55" t="s">
        <v>528</v>
      </c>
      <c r="F996" s="56">
        <v>5</v>
      </c>
      <c r="G996" s="68">
        <v>1978.3</v>
      </c>
      <c r="H996" s="56" t="s">
        <v>80</v>
      </c>
      <c r="J996" s="56" t="s">
        <v>882</v>
      </c>
      <c r="K996" s="4" t="s">
        <v>883</v>
      </c>
      <c r="L996" s="56" t="s">
        <v>423</v>
      </c>
      <c r="M996" s="4" t="s">
        <v>498</v>
      </c>
      <c r="N996" s="4" t="s">
        <v>884</v>
      </c>
      <c r="O996" s="4" t="s">
        <v>178</v>
      </c>
    </row>
    <row r="997" spans="2:15">
      <c r="B997" s="20">
        <v>45042</v>
      </c>
      <c r="C997" s="20">
        <v>45042</v>
      </c>
      <c r="D997" s="54">
        <v>50507916</v>
      </c>
      <c r="E997" s="55" t="s">
        <v>406</v>
      </c>
      <c r="F997" s="56">
        <v>2</v>
      </c>
      <c r="G997" s="68">
        <v>528000</v>
      </c>
      <c r="H997" s="56" t="s">
        <v>92</v>
      </c>
      <c r="J997" s="56" t="s">
        <v>885</v>
      </c>
      <c r="K997" s="4" t="s">
        <v>886</v>
      </c>
      <c r="L997" s="56" t="s">
        <v>877</v>
      </c>
      <c r="M997" s="4" t="s">
        <v>887</v>
      </c>
      <c r="N997" s="4" t="s">
        <v>888</v>
      </c>
      <c r="O997" s="4" t="s">
        <v>178</v>
      </c>
    </row>
    <row r="998" spans="2:15">
      <c r="B998" s="20">
        <v>45042</v>
      </c>
      <c r="C998" s="20">
        <v>45042</v>
      </c>
      <c r="D998" s="54">
        <v>50315365</v>
      </c>
      <c r="E998" s="55" t="s">
        <v>584</v>
      </c>
      <c r="F998" s="56">
        <v>15</v>
      </c>
      <c r="G998" s="68">
        <v>3421</v>
      </c>
      <c r="H998" s="56" t="s">
        <v>80</v>
      </c>
      <c r="J998" s="56" t="s">
        <v>885</v>
      </c>
      <c r="K998" s="4" t="s">
        <v>886</v>
      </c>
      <c r="L998" s="56" t="s">
        <v>877</v>
      </c>
      <c r="M998" s="4" t="s">
        <v>887</v>
      </c>
      <c r="N998" s="4" t="s">
        <v>888</v>
      </c>
      <c r="O998" s="4" t="s">
        <v>178</v>
      </c>
    </row>
    <row r="999" spans="2:15">
      <c r="B999" s="20">
        <v>45042</v>
      </c>
      <c r="C999" s="20">
        <v>45042</v>
      </c>
      <c r="D999" s="54">
        <v>50337814</v>
      </c>
      <c r="E999" s="55" t="s">
        <v>669</v>
      </c>
      <c r="F999" s="56">
        <v>15</v>
      </c>
      <c r="G999" s="68">
        <v>6028</v>
      </c>
      <c r="H999" s="56" t="s">
        <v>80</v>
      </c>
      <c r="J999" s="56" t="s">
        <v>885</v>
      </c>
      <c r="K999" s="4" t="s">
        <v>886</v>
      </c>
      <c r="L999" s="56" t="s">
        <v>877</v>
      </c>
      <c r="M999" s="4" t="s">
        <v>887</v>
      </c>
      <c r="N999" s="4" t="s">
        <v>888</v>
      </c>
      <c r="O999" s="4" t="s">
        <v>178</v>
      </c>
    </row>
    <row r="1000" spans="2:15">
      <c r="B1000" s="20">
        <v>45042</v>
      </c>
      <c r="C1000" s="20">
        <v>45042</v>
      </c>
      <c r="D1000" s="54">
        <v>50270855</v>
      </c>
      <c r="E1000" s="55" t="s">
        <v>740</v>
      </c>
      <c r="F1000" s="56">
        <v>4</v>
      </c>
      <c r="G1000" s="68">
        <v>1056000</v>
      </c>
      <c r="H1000" s="56" t="s">
        <v>92</v>
      </c>
      <c r="J1000" s="56" t="s">
        <v>885</v>
      </c>
      <c r="K1000" s="4" t="s">
        <v>886</v>
      </c>
      <c r="L1000" s="56" t="s">
        <v>877</v>
      </c>
      <c r="M1000" s="4" t="s">
        <v>887</v>
      </c>
      <c r="N1000" s="4" t="s">
        <v>888</v>
      </c>
      <c r="O1000" s="4" t="s">
        <v>178</v>
      </c>
    </row>
    <row r="1001" spans="2:15">
      <c r="B1001" s="20">
        <v>45042</v>
      </c>
      <c r="C1001" s="20">
        <v>45042</v>
      </c>
      <c r="D1001" s="54">
        <v>50272278</v>
      </c>
      <c r="E1001" s="55" t="s">
        <v>21</v>
      </c>
      <c r="F1001" s="56">
        <v>12</v>
      </c>
      <c r="G1001" s="68">
        <v>6000</v>
      </c>
      <c r="H1001" s="56" t="s">
        <v>92</v>
      </c>
      <c r="J1001" s="56">
        <v>98</v>
      </c>
      <c r="L1001" s="56" t="s">
        <v>262</v>
      </c>
      <c r="M1001" s="4" t="s">
        <v>262</v>
      </c>
      <c r="N1001" s="4" t="s">
        <v>364</v>
      </c>
      <c r="O1001" s="4" t="s">
        <v>178</v>
      </c>
    </row>
    <row r="1002" spans="2:15">
      <c r="B1002" s="20">
        <v>45043</v>
      </c>
      <c r="C1002" s="20">
        <v>45043</v>
      </c>
      <c r="D1002" s="54">
        <v>50522169</v>
      </c>
      <c r="E1002" s="55" t="s">
        <v>250</v>
      </c>
      <c r="F1002" s="56">
        <v>5</v>
      </c>
      <c r="G1002" s="68">
        <v>2300.35</v>
      </c>
      <c r="H1002" s="56" t="s">
        <v>82</v>
      </c>
      <c r="J1002" s="56">
        <v>12066</v>
      </c>
      <c r="L1002" s="56" t="s">
        <v>243</v>
      </c>
      <c r="M1002" s="4" t="s">
        <v>660</v>
      </c>
      <c r="N1002" s="4" t="s">
        <v>574</v>
      </c>
      <c r="O1002" s="4" t="s">
        <v>178</v>
      </c>
    </row>
    <row r="1003" spans="2:15">
      <c r="B1003" s="20">
        <v>45044</v>
      </c>
      <c r="C1003" s="20">
        <v>45044</v>
      </c>
      <c r="D1003" s="54">
        <v>50470190</v>
      </c>
      <c r="E1003" s="55" t="s">
        <v>12</v>
      </c>
      <c r="F1003" s="56">
        <v>32</v>
      </c>
      <c r="G1003" s="68">
        <v>9273600</v>
      </c>
      <c r="H1003" s="56" t="s">
        <v>92</v>
      </c>
      <c r="J1003" s="56">
        <v>1583</v>
      </c>
      <c r="L1003" s="56" t="s">
        <v>230</v>
      </c>
      <c r="M1003" s="4" t="s">
        <v>392</v>
      </c>
      <c r="N1003" s="4" t="s">
        <v>319</v>
      </c>
      <c r="O1003" s="4" t="s">
        <v>178</v>
      </c>
    </row>
    <row r="1004" spans="2:15">
      <c r="B1004" s="20">
        <v>45048</v>
      </c>
      <c r="C1004" s="20">
        <v>45048</v>
      </c>
      <c r="D1004" s="54">
        <v>50010080</v>
      </c>
      <c r="E1004" s="55" t="s">
        <v>354</v>
      </c>
      <c r="F1004" s="56">
        <v>15</v>
      </c>
      <c r="G1004" s="68">
        <v>15000</v>
      </c>
      <c r="H1004" s="56" t="s">
        <v>82</v>
      </c>
      <c r="J1004" s="56">
        <v>11757</v>
      </c>
      <c r="L1004" s="56" t="s">
        <v>355</v>
      </c>
      <c r="M1004" s="4" t="s">
        <v>650</v>
      </c>
      <c r="N1004" s="4" t="s">
        <v>889</v>
      </c>
      <c r="O1004" s="4" t="s">
        <v>178</v>
      </c>
    </row>
    <row r="1005" spans="2:15">
      <c r="B1005" s="20">
        <v>45049</v>
      </c>
      <c r="C1005" s="20">
        <v>45049</v>
      </c>
      <c r="D1005" s="54">
        <v>50144376</v>
      </c>
      <c r="E1005" s="55" t="s">
        <v>19</v>
      </c>
      <c r="F1005" s="56">
        <v>12</v>
      </c>
      <c r="G1005" s="68">
        <v>6000</v>
      </c>
      <c r="H1005" s="56" t="s">
        <v>92</v>
      </c>
      <c r="J1005" s="56">
        <v>123</v>
      </c>
      <c r="L1005" s="56" t="s">
        <v>262</v>
      </c>
      <c r="M1005" s="4" t="s">
        <v>262</v>
      </c>
      <c r="N1005" s="4" t="s">
        <v>364</v>
      </c>
      <c r="O1005" s="4" t="s">
        <v>178</v>
      </c>
    </row>
    <row r="1006" spans="2:15">
      <c r="B1006" s="20">
        <v>45050</v>
      </c>
      <c r="C1006" s="20">
        <v>45050</v>
      </c>
      <c r="D1006" s="54">
        <v>50802526</v>
      </c>
      <c r="E1006" s="55" t="s">
        <v>804</v>
      </c>
      <c r="F1006" s="56">
        <v>1</v>
      </c>
      <c r="G1006" s="68">
        <v>148000</v>
      </c>
      <c r="H1006" s="56" t="s">
        <v>92</v>
      </c>
      <c r="J1006" s="56" t="s">
        <v>890</v>
      </c>
      <c r="K1006" s="4" t="s">
        <v>891</v>
      </c>
      <c r="L1006" s="56" t="s">
        <v>259</v>
      </c>
      <c r="M1006" s="4" t="s">
        <v>750</v>
      </c>
      <c r="N1006" s="4" t="s">
        <v>892</v>
      </c>
      <c r="O1006" s="4" t="s">
        <v>530</v>
      </c>
    </row>
    <row r="1007" spans="2:15">
      <c r="B1007" s="20">
        <v>45050</v>
      </c>
      <c r="C1007" s="20">
        <v>45050</v>
      </c>
      <c r="D1007" s="54">
        <v>50802527</v>
      </c>
      <c r="E1007" s="55" t="s">
        <v>805</v>
      </c>
      <c r="F1007" s="56">
        <v>1</v>
      </c>
      <c r="G1007" s="68">
        <v>148000</v>
      </c>
      <c r="H1007" s="56" t="s">
        <v>92</v>
      </c>
      <c r="J1007" s="56" t="s">
        <v>890</v>
      </c>
      <c r="K1007" s="4" t="s">
        <v>891</v>
      </c>
      <c r="L1007" s="56" t="s">
        <v>259</v>
      </c>
      <c r="M1007" s="4" t="s">
        <v>750</v>
      </c>
      <c r="N1007" s="4" t="s">
        <v>892</v>
      </c>
      <c r="O1007" s="4" t="s">
        <v>530</v>
      </c>
    </row>
    <row r="1008" spans="2:15">
      <c r="B1008" s="20">
        <v>45050</v>
      </c>
      <c r="C1008" s="20">
        <v>45050</v>
      </c>
      <c r="D1008" s="54">
        <v>50802525</v>
      </c>
      <c r="E1008" s="55" t="s">
        <v>801</v>
      </c>
      <c r="F1008" s="56">
        <v>10</v>
      </c>
      <c r="G1008" s="68">
        <v>148000</v>
      </c>
      <c r="H1008" s="56" t="s">
        <v>92</v>
      </c>
      <c r="J1008" s="56" t="s">
        <v>890</v>
      </c>
      <c r="K1008" s="4" t="s">
        <v>891</v>
      </c>
      <c r="L1008" s="56" t="s">
        <v>259</v>
      </c>
      <c r="M1008" s="4" t="s">
        <v>750</v>
      </c>
      <c r="N1008" s="4" t="s">
        <v>892</v>
      </c>
      <c r="O1008" s="4" t="s">
        <v>530</v>
      </c>
    </row>
    <row r="1009" spans="2:15">
      <c r="B1009" s="20">
        <v>45050</v>
      </c>
      <c r="C1009" s="20">
        <v>45050</v>
      </c>
      <c r="D1009" s="54">
        <v>50145028</v>
      </c>
      <c r="E1009" s="55" t="s">
        <v>23</v>
      </c>
      <c r="F1009" s="56">
        <v>6</v>
      </c>
      <c r="G1009" s="68">
        <v>1000</v>
      </c>
      <c r="H1009" s="56" t="s">
        <v>92</v>
      </c>
      <c r="J1009" s="56">
        <v>2185</v>
      </c>
      <c r="L1009" s="56" t="s">
        <v>388</v>
      </c>
      <c r="M1009" s="4" t="s">
        <v>388</v>
      </c>
      <c r="N1009" s="4" t="s">
        <v>428</v>
      </c>
      <c r="O1009" s="4" t="s">
        <v>530</v>
      </c>
    </row>
    <row r="1010" spans="2:15">
      <c r="B1010" s="20">
        <v>45050</v>
      </c>
      <c r="C1010" s="20">
        <v>45050</v>
      </c>
      <c r="D1010" s="54">
        <v>40011080</v>
      </c>
      <c r="E1010" s="55" t="s">
        <v>420</v>
      </c>
      <c r="F1010" s="56">
        <v>26</v>
      </c>
      <c r="G1010" s="68">
        <v>11700</v>
      </c>
      <c r="H1010" s="56" t="s">
        <v>80</v>
      </c>
      <c r="J1010" s="56" t="s">
        <v>893</v>
      </c>
      <c r="K1010" s="4" t="s">
        <v>894</v>
      </c>
      <c r="L1010" s="56" t="s">
        <v>423</v>
      </c>
      <c r="M1010" s="4" t="s">
        <v>750</v>
      </c>
      <c r="N1010" s="4" t="s">
        <v>452</v>
      </c>
      <c r="O1010" s="4" t="s">
        <v>530</v>
      </c>
    </row>
    <row r="1011" spans="2:15">
      <c r="B1011" s="20">
        <v>45055</v>
      </c>
      <c r="C1011" s="20">
        <v>45055</v>
      </c>
      <c r="D1011" s="54">
        <v>50144376</v>
      </c>
      <c r="E1011" s="55" t="s">
        <v>19</v>
      </c>
      <c r="F1011" s="56">
        <v>2</v>
      </c>
      <c r="G1011" s="68">
        <v>600</v>
      </c>
      <c r="H1011" s="56" t="s">
        <v>92</v>
      </c>
      <c r="J1011" s="56">
        <v>20096</v>
      </c>
      <c r="L1011" s="56" t="s">
        <v>315</v>
      </c>
      <c r="M1011" s="4" t="s">
        <v>176</v>
      </c>
      <c r="N1011" s="4" t="s">
        <v>177</v>
      </c>
      <c r="O1011" s="4" t="s">
        <v>530</v>
      </c>
    </row>
    <row r="1012" spans="2:15">
      <c r="B1012" s="20">
        <v>45055</v>
      </c>
      <c r="C1012" s="20">
        <v>45055</v>
      </c>
      <c r="D1012" s="54">
        <v>50272278</v>
      </c>
      <c r="E1012" s="55" t="s">
        <v>21</v>
      </c>
      <c r="F1012" s="56">
        <v>2</v>
      </c>
      <c r="G1012" s="68">
        <v>1093</v>
      </c>
      <c r="H1012" s="56" t="s">
        <v>92</v>
      </c>
      <c r="J1012" s="56">
        <v>20096</v>
      </c>
      <c r="L1012" s="56" t="s">
        <v>315</v>
      </c>
      <c r="M1012" s="4" t="s">
        <v>176</v>
      </c>
      <c r="N1012" s="4" t="s">
        <v>177</v>
      </c>
      <c r="O1012" s="4" t="s">
        <v>530</v>
      </c>
    </row>
    <row r="1013" spans="2:15">
      <c r="B1013" s="20">
        <v>45055</v>
      </c>
      <c r="C1013" s="20">
        <v>45055</v>
      </c>
      <c r="D1013" s="54">
        <v>50799770</v>
      </c>
      <c r="E1013" s="55" t="s">
        <v>17</v>
      </c>
      <c r="F1013" s="56">
        <v>12</v>
      </c>
      <c r="G1013" s="68">
        <v>6000</v>
      </c>
      <c r="H1013" s="56" t="s">
        <v>92</v>
      </c>
      <c r="J1013" s="56">
        <v>147</v>
      </c>
      <c r="L1013" s="56" t="s">
        <v>262</v>
      </c>
      <c r="M1013" s="4" t="s">
        <v>262</v>
      </c>
      <c r="N1013" s="4" t="s">
        <v>364</v>
      </c>
      <c r="O1013" s="4" t="s">
        <v>530</v>
      </c>
    </row>
    <row r="1014" spans="2:15">
      <c r="B1014" s="20">
        <v>45056</v>
      </c>
      <c r="C1014" s="20">
        <v>45056</v>
      </c>
      <c r="D1014" s="54">
        <v>50799770</v>
      </c>
      <c r="E1014" s="55" t="s">
        <v>17</v>
      </c>
      <c r="F1014" s="56">
        <v>12</v>
      </c>
      <c r="G1014" s="68">
        <v>6000</v>
      </c>
      <c r="H1014" s="56" t="s">
        <v>92</v>
      </c>
      <c r="J1014" s="56">
        <v>150</v>
      </c>
      <c r="L1014" s="56" t="s">
        <v>262</v>
      </c>
      <c r="M1014" s="4" t="s">
        <v>262</v>
      </c>
      <c r="N1014" s="4" t="s">
        <v>364</v>
      </c>
      <c r="O1014" s="4" t="s">
        <v>530</v>
      </c>
    </row>
    <row r="1015" spans="2:15">
      <c r="B1015" s="20">
        <v>45056</v>
      </c>
      <c r="C1015" s="20">
        <v>45056</v>
      </c>
      <c r="D1015" s="54">
        <v>50144376</v>
      </c>
      <c r="E1015" s="55" t="s">
        <v>19</v>
      </c>
      <c r="F1015" s="56">
        <v>12</v>
      </c>
      <c r="G1015" s="68">
        <v>6000</v>
      </c>
      <c r="H1015" s="56" t="s">
        <v>92</v>
      </c>
      <c r="J1015" s="56">
        <v>153</v>
      </c>
      <c r="L1015" s="56" t="s">
        <v>262</v>
      </c>
      <c r="M1015" s="4" t="s">
        <v>262</v>
      </c>
      <c r="N1015" s="4" t="s">
        <v>364</v>
      </c>
      <c r="O1015" s="4" t="s">
        <v>530</v>
      </c>
    </row>
    <row r="1016" spans="2:15">
      <c r="B1016" s="20">
        <v>45057</v>
      </c>
      <c r="C1016" s="20">
        <v>45057</v>
      </c>
      <c r="D1016" s="54">
        <v>50802526</v>
      </c>
      <c r="E1016" s="55" t="s">
        <v>804</v>
      </c>
      <c r="F1016" s="56">
        <v>1</v>
      </c>
      <c r="G1016" s="68">
        <v>356000</v>
      </c>
      <c r="H1016" s="56" t="s">
        <v>92</v>
      </c>
      <c r="J1016" s="56" t="s">
        <v>895</v>
      </c>
      <c r="K1016" s="4" t="s">
        <v>896</v>
      </c>
      <c r="L1016" s="56" t="s">
        <v>259</v>
      </c>
      <c r="M1016" s="4" t="s">
        <v>750</v>
      </c>
      <c r="N1016" s="4" t="s">
        <v>803</v>
      </c>
      <c r="O1016" s="4" t="s">
        <v>530</v>
      </c>
    </row>
    <row r="1017" spans="2:15">
      <c r="B1017" s="20">
        <v>45057</v>
      </c>
      <c r="C1017" s="20">
        <v>45057</v>
      </c>
      <c r="D1017" s="54">
        <v>50802527</v>
      </c>
      <c r="E1017" s="55" t="s">
        <v>805</v>
      </c>
      <c r="F1017" s="56">
        <v>1</v>
      </c>
      <c r="G1017" s="68">
        <v>356000</v>
      </c>
      <c r="H1017" s="56" t="s">
        <v>92</v>
      </c>
      <c r="J1017" s="56" t="s">
        <v>895</v>
      </c>
      <c r="K1017" s="4" t="s">
        <v>896</v>
      </c>
      <c r="L1017" s="56" t="s">
        <v>259</v>
      </c>
      <c r="M1017" s="4" t="s">
        <v>750</v>
      </c>
      <c r="N1017" s="4" t="s">
        <v>803</v>
      </c>
      <c r="O1017" s="4" t="s">
        <v>530</v>
      </c>
    </row>
    <row r="1018" spans="2:15">
      <c r="B1018" s="20">
        <v>45057</v>
      </c>
      <c r="C1018" s="20">
        <v>45057</v>
      </c>
      <c r="D1018" s="54">
        <v>50802525</v>
      </c>
      <c r="E1018" s="55" t="s">
        <v>801</v>
      </c>
      <c r="F1018" s="56">
        <v>23</v>
      </c>
      <c r="G1018" s="68">
        <v>356000</v>
      </c>
      <c r="H1018" s="56" t="s">
        <v>92</v>
      </c>
      <c r="J1018" s="56" t="s">
        <v>895</v>
      </c>
      <c r="K1018" s="4" t="s">
        <v>896</v>
      </c>
      <c r="L1018" s="56" t="s">
        <v>259</v>
      </c>
      <c r="M1018" s="4" t="s">
        <v>750</v>
      </c>
      <c r="N1018" s="4" t="s">
        <v>803</v>
      </c>
      <c r="O1018" s="4" t="s">
        <v>530</v>
      </c>
    </row>
    <row r="1019" spans="2:15">
      <c r="B1019" s="20">
        <v>45057</v>
      </c>
      <c r="C1019" s="20">
        <v>45057</v>
      </c>
      <c r="D1019" s="54">
        <v>50272278</v>
      </c>
      <c r="E1019" s="55" t="s">
        <v>21</v>
      </c>
      <c r="F1019" s="56">
        <v>12</v>
      </c>
      <c r="G1019" s="68">
        <v>6000</v>
      </c>
      <c r="H1019" s="56" t="s">
        <v>92</v>
      </c>
      <c r="J1019" s="56">
        <v>157</v>
      </c>
      <c r="L1019" s="56" t="s">
        <v>262</v>
      </c>
      <c r="M1019" s="4" t="s">
        <v>262</v>
      </c>
      <c r="N1019" s="4" t="s">
        <v>364</v>
      </c>
      <c r="O1019" s="4" t="s">
        <v>530</v>
      </c>
    </row>
    <row r="1020" spans="2:15">
      <c r="B1020" s="20">
        <v>45058</v>
      </c>
      <c r="C1020" s="20">
        <v>45058</v>
      </c>
      <c r="D1020" s="54">
        <v>50145028</v>
      </c>
      <c r="E1020" s="55" t="s">
        <v>23</v>
      </c>
      <c r="F1020" s="56">
        <v>6</v>
      </c>
      <c r="G1020" s="68">
        <v>1000</v>
      </c>
      <c r="H1020" s="56" t="s">
        <v>92</v>
      </c>
      <c r="L1020" s="56" t="s">
        <v>388</v>
      </c>
      <c r="M1020" s="4" t="s">
        <v>388</v>
      </c>
      <c r="N1020" s="4" t="s">
        <v>428</v>
      </c>
      <c r="O1020" s="4" t="s">
        <v>178</v>
      </c>
    </row>
    <row r="1021" spans="2:15">
      <c r="B1021" s="20">
        <v>45058</v>
      </c>
      <c r="C1021" s="20">
        <v>45058</v>
      </c>
      <c r="D1021" s="54">
        <v>50470190</v>
      </c>
      <c r="E1021" s="55" t="s">
        <v>12</v>
      </c>
      <c r="F1021" s="56">
        <v>32</v>
      </c>
      <c r="G1021" s="68">
        <v>9273600</v>
      </c>
      <c r="H1021" s="56" t="s">
        <v>92</v>
      </c>
      <c r="L1021" s="56" t="s">
        <v>230</v>
      </c>
      <c r="M1021" s="4" t="s">
        <v>392</v>
      </c>
      <c r="N1021" s="4" t="s">
        <v>589</v>
      </c>
      <c r="O1021" s="4" t="s">
        <v>178</v>
      </c>
    </row>
    <row r="1022" spans="2:15">
      <c r="B1022" s="20">
        <v>45058</v>
      </c>
      <c r="C1022" s="20">
        <v>45058</v>
      </c>
      <c r="D1022" s="54">
        <v>502360907</v>
      </c>
      <c r="E1022" s="55" t="s">
        <v>897</v>
      </c>
      <c r="F1022" s="56">
        <v>18</v>
      </c>
      <c r="G1022" s="68">
        <v>204.12</v>
      </c>
      <c r="H1022" s="56" t="s">
        <v>898</v>
      </c>
      <c r="J1022" s="56" t="s">
        <v>899</v>
      </c>
      <c r="K1022" s="4" t="s">
        <v>900</v>
      </c>
      <c r="L1022" s="56" t="s">
        <v>901</v>
      </c>
      <c r="M1022" s="4" t="s">
        <v>209</v>
      </c>
      <c r="N1022" s="4" t="s">
        <v>490</v>
      </c>
      <c r="O1022" s="4" t="s">
        <v>178</v>
      </c>
    </row>
    <row r="1023" spans="2:15">
      <c r="B1023" s="20">
        <v>45062</v>
      </c>
      <c r="C1023" s="20">
        <v>45062</v>
      </c>
      <c r="D1023" s="54">
        <v>50142237</v>
      </c>
      <c r="E1023" s="55" t="s">
        <v>617</v>
      </c>
      <c r="F1023" s="56">
        <v>30</v>
      </c>
      <c r="G1023" s="68">
        <v>30000</v>
      </c>
      <c r="H1023" s="56" t="s">
        <v>92</v>
      </c>
      <c r="J1023" s="56">
        <v>61493</v>
      </c>
      <c r="L1023" s="56" t="s">
        <v>618</v>
      </c>
      <c r="M1023" s="4" t="s">
        <v>619</v>
      </c>
      <c r="N1023" s="4" t="s">
        <v>902</v>
      </c>
      <c r="O1023" s="4" t="s">
        <v>178</v>
      </c>
    </row>
    <row r="1024" spans="2:15">
      <c r="B1024" s="20">
        <v>45062</v>
      </c>
      <c r="C1024" s="20">
        <v>45062</v>
      </c>
      <c r="D1024" s="54">
        <v>50144376</v>
      </c>
      <c r="E1024" s="55" t="s">
        <v>19</v>
      </c>
      <c r="F1024" s="56">
        <v>12</v>
      </c>
      <c r="G1024" s="68">
        <v>6000</v>
      </c>
      <c r="H1024" s="56" t="s">
        <v>92</v>
      </c>
      <c r="J1024" s="56">
        <v>169</v>
      </c>
      <c r="L1024" s="56" t="s">
        <v>262</v>
      </c>
      <c r="M1024" s="4" t="s">
        <v>262</v>
      </c>
      <c r="N1024" s="4" t="s">
        <v>364</v>
      </c>
      <c r="O1024" s="4" t="s">
        <v>530</v>
      </c>
    </row>
    <row r="1025" spans="2:15">
      <c r="B1025" s="20">
        <v>45063</v>
      </c>
      <c r="C1025" s="20">
        <v>45063</v>
      </c>
      <c r="D1025" s="54">
        <v>50272278</v>
      </c>
      <c r="E1025" s="55" t="s">
        <v>21</v>
      </c>
      <c r="F1025" s="56">
        <v>12</v>
      </c>
      <c r="G1025" s="68">
        <v>6000</v>
      </c>
      <c r="H1025" s="56" t="s">
        <v>92</v>
      </c>
      <c r="J1025" s="56">
        <v>175</v>
      </c>
      <c r="L1025" s="56" t="s">
        <v>262</v>
      </c>
      <c r="M1025" s="4" t="s">
        <v>262</v>
      </c>
      <c r="N1025" s="4" t="s">
        <v>364</v>
      </c>
      <c r="O1025" s="4" t="s">
        <v>530</v>
      </c>
    </row>
    <row r="1026" spans="2:15">
      <c r="B1026" s="20">
        <v>45063</v>
      </c>
      <c r="C1026" s="20">
        <v>45063</v>
      </c>
      <c r="D1026" s="54">
        <v>40499</v>
      </c>
      <c r="E1026" s="55" t="s">
        <v>316</v>
      </c>
      <c r="F1026" s="56">
        <v>80</v>
      </c>
      <c r="G1026" s="68">
        <v>80</v>
      </c>
      <c r="H1026" s="56" t="s">
        <v>92</v>
      </c>
      <c r="J1026" s="56">
        <v>20306</v>
      </c>
      <c r="L1026" s="56" t="s">
        <v>315</v>
      </c>
      <c r="M1026" s="4" t="s">
        <v>176</v>
      </c>
      <c r="N1026" s="4" t="s">
        <v>177</v>
      </c>
      <c r="O1026" s="4" t="s">
        <v>530</v>
      </c>
    </row>
    <row r="1027" spans="2:15">
      <c r="B1027" s="20">
        <v>45063</v>
      </c>
      <c r="C1027" s="20">
        <v>45063</v>
      </c>
      <c r="D1027" s="54">
        <v>50145028</v>
      </c>
      <c r="E1027" s="55" t="s">
        <v>23</v>
      </c>
      <c r="F1027" s="56">
        <v>4</v>
      </c>
      <c r="G1027" s="68">
        <v>768</v>
      </c>
      <c r="H1027" s="56" t="s">
        <v>92</v>
      </c>
      <c r="J1027" s="56">
        <v>20306</v>
      </c>
      <c r="L1027" s="56" t="s">
        <v>315</v>
      </c>
      <c r="M1027" s="4" t="s">
        <v>176</v>
      </c>
      <c r="N1027" s="4" t="s">
        <v>177</v>
      </c>
      <c r="O1027" s="4" t="s">
        <v>530</v>
      </c>
    </row>
    <row r="1028" spans="2:15">
      <c r="B1028" s="20">
        <v>45063</v>
      </c>
      <c r="C1028" s="20">
        <v>45063</v>
      </c>
      <c r="D1028" s="54">
        <v>50369034</v>
      </c>
      <c r="E1028" s="55" t="s">
        <v>322</v>
      </c>
      <c r="F1028" s="56">
        <v>9</v>
      </c>
      <c r="G1028" s="68">
        <v>4756.75</v>
      </c>
      <c r="H1028" s="56" t="s">
        <v>82</v>
      </c>
      <c r="J1028" s="56">
        <v>12105</v>
      </c>
      <c r="L1028" s="56" t="s">
        <v>243</v>
      </c>
      <c r="M1028" s="4" t="s">
        <v>660</v>
      </c>
      <c r="N1028" s="4" t="s">
        <v>867</v>
      </c>
      <c r="O1028" s="4" t="s">
        <v>530</v>
      </c>
    </row>
    <row r="1029" spans="2:15">
      <c r="B1029" s="20">
        <v>45063</v>
      </c>
      <c r="C1029" s="20">
        <v>45063</v>
      </c>
      <c r="D1029" s="54">
        <v>50144376</v>
      </c>
      <c r="E1029" s="55" t="s">
        <v>19</v>
      </c>
      <c r="F1029" s="56">
        <v>12</v>
      </c>
      <c r="G1029" s="68">
        <v>6000</v>
      </c>
      <c r="H1029" s="56" t="s">
        <v>92</v>
      </c>
      <c r="J1029" s="56">
        <v>178</v>
      </c>
      <c r="L1029" s="56" t="s">
        <v>262</v>
      </c>
      <c r="M1029" s="4" t="s">
        <v>262</v>
      </c>
      <c r="N1029" s="4" t="s">
        <v>364</v>
      </c>
      <c r="O1029" s="4" t="s">
        <v>530</v>
      </c>
    </row>
    <row r="1030" spans="2:15">
      <c r="B1030" s="20">
        <v>45064</v>
      </c>
      <c r="C1030" s="20">
        <v>45064</v>
      </c>
      <c r="D1030" s="54">
        <v>50142327</v>
      </c>
      <c r="E1030" s="55" t="s">
        <v>256</v>
      </c>
      <c r="F1030" s="56">
        <v>42</v>
      </c>
      <c r="G1030" s="68">
        <v>20021.4</v>
      </c>
      <c r="H1030" s="56" t="s">
        <v>82</v>
      </c>
      <c r="J1030" s="56">
        <v>8302178575</v>
      </c>
      <c r="K1030" s="4" t="s">
        <v>903</v>
      </c>
      <c r="L1030" s="56" t="s">
        <v>624</v>
      </c>
      <c r="M1030" s="4" t="s">
        <v>209</v>
      </c>
      <c r="N1030" s="4" t="s">
        <v>904</v>
      </c>
      <c r="O1030" s="4" t="s">
        <v>530</v>
      </c>
    </row>
    <row r="1031" spans="2:15">
      <c r="B1031" s="20">
        <v>45064</v>
      </c>
      <c r="C1031" s="20">
        <v>45064</v>
      </c>
      <c r="D1031" s="54">
        <v>50809353</v>
      </c>
      <c r="E1031" s="55" t="s">
        <v>905</v>
      </c>
      <c r="F1031" s="56">
        <v>3</v>
      </c>
      <c r="G1031" s="68">
        <v>500</v>
      </c>
      <c r="H1031" s="56" t="s">
        <v>82</v>
      </c>
      <c r="J1031" s="56">
        <v>117440</v>
      </c>
      <c r="L1031" s="56" t="s">
        <v>906</v>
      </c>
      <c r="N1031" s="4" t="s">
        <v>606</v>
      </c>
      <c r="O1031" s="4" t="s">
        <v>530</v>
      </c>
    </row>
    <row r="1032" spans="2:15">
      <c r="B1032" s="20">
        <v>45064</v>
      </c>
      <c r="C1032" s="20">
        <v>45064</v>
      </c>
      <c r="D1032" s="54">
        <v>50144376</v>
      </c>
      <c r="E1032" s="55" t="s">
        <v>19</v>
      </c>
      <c r="F1032" s="56">
        <v>12</v>
      </c>
      <c r="G1032" s="68">
        <v>6000</v>
      </c>
      <c r="H1032" s="56" t="s">
        <v>92</v>
      </c>
      <c r="J1032" s="56">
        <v>181</v>
      </c>
      <c r="L1032" s="56" t="s">
        <v>262</v>
      </c>
      <c r="M1032" s="4" t="s">
        <v>262</v>
      </c>
      <c r="N1032" s="4" t="s">
        <v>364</v>
      </c>
      <c r="O1032" s="4" t="s">
        <v>530</v>
      </c>
    </row>
    <row r="1033" spans="2:15">
      <c r="B1033" s="20">
        <v>45065</v>
      </c>
      <c r="C1033" s="20">
        <v>45065</v>
      </c>
      <c r="D1033" s="54">
        <v>50470190</v>
      </c>
      <c r="E1033" s="55" t="s">
        <v>12</v>
      </c>
      <c r="F1033" s="56">
        <v>32</v>
      </c>
      <c r="G1033" s="68">
        <v>9273600</v>
      </c>
      <c r="H1033" s="56" t="s">
        <v>92</v>
      </c>
      <c r="J1033" s="56">
        <v>1836</v>
      </c>
      <c r="L1033" s="56" t="s">
        <v>230</v>
      </c>
      <c r="M1033" s="4" t="s">
        <v>392</v>
      </c>
      <c r="N1033" s="4" t="s">
        <v>589</v>
      </c>
      <c r="O1033" s="4" t="s">
        <v>530</v>
      </c>
    </row>
    <row r="1034" spans="2:15">
      <c r="B1034" s="20">
        <v>45066</v>
      </c>
      <c r="C1034" s="20">
        <v>45066</v>
      </c>
      <c r="D1034" s="54">
        <v>40010084</v>
      </c>
      <c r="E1034" s="55" t="s">
        <v>81</v>
      </c>
      <c r="F1034" s="56">
        <v>3</v>
      </c>
      <c r="G1034" s="68">
        <v>3528</v>
      </c>
      <c r="H1034" s="56" t="s">
        <v>80</v>
      </c>
      <c r="J1034" s="56">
        <v>210186654</v>
      </c>
      <c r="K1034" s="4" t="s">
        <v>907</v>
      </c>
      <c r="L1034" s="56" t="s">
        <v>175</v>
      </c>
      <c r="M1034" s="4" t="s">
        <v>520</v>
      </c>
      <c r="N1034" s="4" t="s">
        <v>865</v>
      </c>
      <c r="O1034" s="4" t="s">
        <v>530</v>
      </c>
    </row>
    <row r="1035" spans="2:15">
      <c r="B1035" s="20">
        <v>45066</v>
      </c>
      <c r="C1035" s="20">
        <v>45066</v>
      </c>
      <c r="D1035" s="54">
        <v>40010083</v>
      </c>
      <c r="E1035" s="55" t="s">
        <v>85</v>
      </c>
      <c r="F1035" s="56">
        <v>1</v>
      </c>
      <c r="G1035" s="68">
        <v>3248</v>
      </c>
      <c r="H1035" s="56" t="s">
        <v>80</v>
      </c>
      <c r="J1035" s="56">
        <v>210186654</v>
      </c>
      <c r="K1035" s="4" t="s">
        <v>907</v>
      </c>
      <c r="L1035" s="56" t="s">
        <v>175</v>
      </c>
      <c r="M1035" s="4" t="s">
        <v>520</v>
      </c>
      <c r="N1035" s="4" t="s">
        <v>865</v>
      </c>
      <c r="O1035" s="4" t="s">
        <v>530</v>
      </c>
    </row>
    <row r="1036" spans="2:15">
      <c r="B1036" s="20">
        <v>45068</v>
      </c>
      <c r="C1036" s="20">
        <v>45068</v>
      </c>
      <c r="D1036" s="54">
        <v>50522169</v>
      </c>
      <c r="E1036" s="55" t="s">
        <v>250</v>
      </c>
      <c r="F1036" s="56">
        <v>1</v>
      </c>
      <c r="G1036" s="68">
        <v>197.45</v>
      </c>
      <c r="H1036" s="56" t="s">
        <v>82</v>
      </c>
      <c r="J1036" s="56">
        <v>12116</v>
      </c>
      <c r="L1036" s="56" t="s">
        <v>243</v>
      </c>
      <c r="M1036" s="4" t="s">
        <v>660</v>
      </c>
      <c r="N1036" s="4" t="s">
        <v>908</v>
      </c>
      <c r="O1036" s="4" t="s">
        <v>530</v>
      </c>
    </row>
    <row r="1037" spans="2:15">
      <c r="B1037" s="20">
        <v>45068</v>
      </c>
      <c r="C1037" s="20">
        <v>45068</v>
      </c>
      <c r="D1037" s="54">
        <v>50794589</v>
      </c>
      <c r="E1037" s="55" t="s">
        <v>594</v>
      </c>
      <c r="F1037" s="56">
        <v>3</v>
      </c>
      <c r="G1037" s="68">
        <v>1354.35</v>
      </c>
      <c r="H1037" s="56" t="s">
        <v>82</v>
      </c>
      <c r="J1037" s="56">
        <v>12115</v>
      </c>
      <c r="L1037" s="56" t="s">
        <v>243</v>
      </c>
      <c r="M1037" s="4" t="s">
        <v>660</v>
      </c>
      <c r="N1037" s="4" t="s">
        <v>908</v>
      </c>
      <c r="O1037" s="4" t="s">
        <v>530</v>
      </c>
    </row>
    <row r="1038" spans="2:15">
      <c r="B1038" s="20">
        <v>45068</v>
      </c>
      <c r="C1038" s="20">
        <v>45068</v>
      </c>
      <c r="D1038" s="54">
        <v>50510331</v>
      </c>
      <c r="E1038" s="55" t="s">
        <v>242</v>
      </c>
      <c r="F1038" s="56">
        <v>1</v>
      </c>
      <c r="G1038" s="68">
        <v>81.8</v>
      </c>
      <c r="H1038" s="56" t="s">
        <v>82</v>
      </c>
      <c r="J1038" s="56">
        <v>12116</v>
      </c>
      <c r="L1038" s="56" t="s">
        <v>243</v>
      </c>
      <c r="M1038" s="4" t="s">
        <v>660</v>
      </c>
      <c r="N1038" s="4" t="s">
        <v>908</v>
      </c>
      <c r="O1038" s="4" t="s">
        <v>530</v>
      </c>
    </row>
    <row r="1039" spans="2:15">
      <c r="B1039" s="20">
        <v>45070</v>
      </c>
      <c r="C1039" s="20">
        <v>45069</v>
      </c>
      <c r="D1039" s="54">
        <v>50142350</v>
      </c>
      <c r="E1039" s="55" t="s">
        <v>212</v>
      </c>
      <c r="F1039" s="56">
        <v>4</v>
      </c>
      <c r="G1039" s="68">
        <v>2486</v>
      </c>
      <c r="H1039" s="56" t="s">
        <v>82</v>
      </c>
      <c r="J1039" s="56" t="s">
        <v>909</v>
      </c>
      <c r="K1039" s="4" t="s">
        <v>910</v>
      </c>
      <c r="L1039" s="56" t="s">
        <v>213</v>
      </c>
      <c r="M1039" s="4" t="s">
        <v>878</v>
      </c>
      <c r="N1039" s="4" t="s">
        <v>911</v>
      </c>
      <c r="O1039" s="4" t="s">
        <v>530</v>
      </c>
    </row>
    <row r="1040" spans="2:15">
      <c r="B1040" s="20">
        <v>45070</v>
      </c>
      <c r="C1040" s="20">
        <v>45070</v>
      </c>
      <c r="D1040" s="54">
        <v>50515253</v>
      </c>
      <c r="E1040" s="55" t="s">
        <v>912</v>
      </c>
      <c r="G1040" s="68">
        <v>1</v>
      </c>
      <c r="H1040" s="56" t="s">
        <v>92</v>
      </c>
      <c r="J1040" s="56">
        <v>676</v>
      </c>
      <c r="L1040" s="56" t="s">
        <v>558</v>
      </c>
      <c r="M1040" s="4" t="s">
        <v>558</v>
      </c>
      <c r="N1040" s="4" t="s">
        <v>755</v>
      </c>
      <c r="O1040" s="4" t="s">
        <v>530</v>
      </c>
    </row>
    <row r="1041" spans="2:15">
      <c r="B1041" s="20">
        <v>45070</v>
      </c>
      <c r="C1041" s="20">
        <v>45070</v>
      </c>
      <c r="D1041" s="54">
        <v>50515254</v>
      </c>
      <c r="E1041" s="55" t="s">
        <v>913</v>
      </c>
      <c r="G1041" s="68">
        <v>6</v>
      </c>
      <c r="H1041" s="56" t="s">
        <v>92</v>
      </c>
      <c r="J1041" s="56">
        <v>670</v>
      </c>
      <c r="L1041" s="56" t="s">
        <v>558</v>
      </c>
      <c r="M1041" s="4" t="s">
        <v>558</v>
      </c>
      <c r="N1041" s="4" t="s">
        <v>755</v>
      </c>
      <c r="O1041" s="4" t="s">
        <v>530</v>
      </c>
    </row>
    <row r="1042" spans="2:15">
      <c r="B1042" s="20">
        <v>45071</v>
      </c>
      <c r="C1042" s="20">
        <v>45071</v>
      </c>
      <c r="D1042" s="54">
        <v>50144376</v>
      </c>
      <c r="E1042" s="55" t="s">
        <v>19</v>
      </c>
      <c r="F1042" s="56">
        <v>12</v>
      </c>
      <c r="G1042" s="68">
        <v>6000</v>
      </c>
      <c r="H1042" s="56" t="s">
        <v>92</v>
      </c>
      <c r="J1042" s="56">
        <v>215</v>
      </c>
      <c r="L1042" s="56" t="s">
        <v>262</v>
      </c>
      <c r="M1042" s="4" t="s">
        <v>262</v>
      </c>
      <c r="N1042" s="4" t="s">
        <v>364</v>
      </c>
      <c r="O1042" s="4" t="s">
        <v>530</v>
      </c>
    </row>
    <row r="1043" spans="2:15">
      <c r="B1043" s="20">
        <v>45072</v>
      </c>
      <c r="C1043" s="20">
        <v>45072</v>
      </c>
      <c r="D1043" s="54">
        <v>50144376</v>
      </c>
      <c r="E1043" s="55" t="s">
        <v>19</v>
      </c>
      <c r="F1043" s="56">
        <v>12</v>
      </c>
      <c r="G1043" s="68">
        <v>6000</v>
      </c>
      <c r="H1043" s="56" t="s">
        <v>92</v>
      </c>
      <c r="J1043" s="56">
        <v>218</v>
      </c>
      <c r="L1043" s="56" t="s">
        <v>262</v>
      </c>
      <c r="M1043" s="4" t="s">
        <v>262</v>
      </c>
      <c r="N1043" s="4" t="s">
        <v>364</v>
      </c>
      <c r="O1043" s="4" t="s">
        <v>530</v>
      </c>
    </row>
    <row r="1044" spans="2:15">
      <c r="B1044" s="20">
        <v>45072</v>
      </c>
      <c r="C1044" s="20">
        <v>45072</v>
      </c>
      <c r="D1044" s="54">
        <v>50470190</v>
      </c>
      <c r="E1044" s="55" t="s">
        <v>12</v>
      </c>
      <c r="F1044" s="56">
        <v>32</v>
      </c>
      <c r="G1044" s="68">
        <v>9273600</v>
      </c>
      <c r="H1044" s="56" t="s">
        <v>92</v>
      </c>
      <c r="J1044" s="56">
        <v>1909</v>
      </c>
      <c r="L1044" s="56" t="s">
        <v>230</v>
      </c>
      <c r="M1044" s="4" t="s">
        <v>392</v>
      </c>
      <c r="N1044" s="4" t="s">
        <v>800</v>
      </c>
      <c r="O1044" s="4" t="s">
        <v>178</v>
      </c>
    </row>
    <row r="1045" spans="2:15">
      <c r="B1045" s="20">
        <v>45075</v>
      </c>
      <c r="C1045" s="20">
        <v>45075</v>
      </c>
      <c r="D1045" s="54">
        <v>50805963</v>
      </c>
      <c r="E1045" s="55" t="s">
        <v>914</v>
      </c>
      <c r="F1045" s="56">
        <v>4</v>
      </c>
      <c r="G1045" s="68">
        <v>10046</v>
      </c>
      <c r="H1045" s="56" t="s">
        <v>80</v>
      </c>
      <c r="J1045" s="56">
        <v>210693765</v>
      </c>
      <c r="K1045" s="4" t="s">
        <v>915</v>
      </c>
      <c r="L1045" s="56" t="s">
        <v>175</v>
      </c>
      <c r="M1045" s="4" t="s">
        <v>564</v>
      </c>
      <c r="N1045" s="4" t="s">
        <v>916</v>
      </c>
      <c r="O1045" s="4" t="s">
        <v>178</v>
      </c>
    </row>
    <row r="1046" spans="2:15">
      <c r="B1046" s="20">
        <v>45076</v>
      </c>
      <c r="C1046" s="20">
        <v>45076</v>
      </c>
      <c r="D1046" s="54">
        <v>50144376</v>
      </c>
      <c r="E1046" s="55" t="s">
        <v>19</v>
      </c>
      <c r="F1046" s="56">
        <v>12</v>
      </c>
      <c r="G1046" s="68">
        <v>6000</v>
      </c>
      <c r="H1046" s="56" t="s">
        <v>92</v>
      </c>
      <c r="J1046" s="56">
        <v>230</v>
      </c>
      <c r="L1046" s="56" t="s">
        <v>262</v>
      </c>
      <c r="M1046" s="4" t="s">
        <v>262</v>
      </c>
      <c r="N1046" s="4" t="s">
        <v>364</v>
      </c>
      <c r="O1046" s="4" t="s">
        <v>530</v>
      </c>
    </row>
    <row r="1047" spans="2:15">
      <c r="B1047" s="20">
        <v>45076</v>
      </c>
      <c r="C1047" s="20">
        <v>45076</v>
      </c>
      <c r="D1047" s="54">
        <v>50272278</v>
      </c>
      <c r="E1047" s="55" t="s">
        <v>21</v>
      </c>
      <c r="F1047" s="56">
        <v>12</v>
      </c>
      <c r="G1047" s="68">
        <v>6000</v>
      </c>
      <c r="H1047" s="56" t="s">
        <v>92</v>
      </c>
      <c r="J1047" s="56">
        <v>233</v>
      </c>
      <c r="L1047" s="56" t="s">
        <v>262</v>
      </c>
      <c r="M1047" s="4" t="s">
        <v>262</v>
      </c>
      <c r="N1047" s="4" t="s">
        <v>364</v>
      </c>
      <c r="O1047" s="4" t="s">
        <v>530</v>
      </c>
    </row>
    <row r="1048" spans="2:15">
      <c r="B1048" s="20">
        <v>45076</v>
      </c>
      <c r="C1048" s="20">
        <v>45076</v>
      </c>
      <c r="D1048" s="54">
        <v>50144376</v>
      </c>
      <c r="E1048" s="55" t="s">
        <v>19</v>
      </c>
      <c r="F1048" s="56">
        <v>12</v>
      </c>
      <c r="G1048" s="68">
        <v>6000</v>
      </c>
      <c r="H1048" s="56" t="s">
        <v>92</v>
      </c>
      <c r="J1048" s="56">
        <v>235</v>
      </c>
      <c r="L1048" s="56" t="s">
        <v>262</v>
      </c>
      <c r="M1048" s="4" t="s">
        <v>262</v>
      </c>
      <c r="N1048" s="4" t="s">
        <v>364</v>
      </c>
      <c r="O1048" s="4" t="s">
        <v>530</v>
      </c>
    </row>
    <row r="1049" spans="2:15">
      <c r="B1049" s="20">
        <v>45077</v>
      </c>
      <c r="C1049" s="20">
        <v>45077</v>
      </c>
      <c r="D1049" s="54">
        <v>50272278</v>
      </c>
      <c r="E1049" s="55" t="s">
        <v>21</v>
      </c>
      <c r="F1049" s="56">
        <v>12</v>
      </c>
      <c r="G1049" s="68">
        <v>6000</v>
      </c>
      <c r="H1049" s="56" t="s">
        <v>92</v>
      </c>
      <c r="J1049" s="56">
        <v>239</v>
      </c>
      <c r="L1049" s="56" t="s">
        <v>262</v>
      </c>
      <c r="M1049" s="4" t="s">
        <v>262</v>
      </c>
      <c r="N1049" s="4" t="s">
        <v>364</v>
      </c>
      <c r="O1049" s="4" t="s">
        <v>530</v>
      </c>
    </row>
    <row r="1050" spans="2:15">
      <c r="B1050" s="20">
        <v>45078</v>
      </c>
      <c r="C1050" s="20">
        <v>45078</v>
      </c>
      <c r="D1050" s="54">
        <v>50144376</v>
      </c>
      <c r="E1050" s="55" t="s">
        <v>19</v>
      </c>
      <c r="F1050" s="56">
        <v>12</v>
      </c>
      <c r="G1050" s="68">
        <v>6000</v>
      </c>
      <c r="H1050" s="56" t="s">
        <v>92</v>
      </c>
      <c r="J1050" s="56">
        <v>246</v>
      </c>
      <c r="L1050" s="56" t="s">
        <v>262</v>
      </c>
      <c r="M1050" s="4" t="s">
        <v>262</v>
      </c>
      <c r="N1050" s="4" t="s">
        <v>364</v>
      </c>
      <c r="O1050" s="4" t="s">
        <v>530</v>
      </c>
    </row>
    <row r="1051" spans="2:15">
      <c r="B1051" s="20">
        <v>45078</v>
      </c>
      <c r="C1051" s="20">
        <v>45078</v>
      </c>
      <c r="D1051" s="54">
        <v>50144376</v>
      </c>
      <c r="E1051" s="55" t="s">
        <v>19</v>
      </c>
      <c r="F1051" s="56">
        <v>12</v>
      </c>
      <c r="G1051" s="68">
        <v>6000</v>
      </c>
      <c r="H1051" s="56" t="s">
        <v>92</v>
      </c>
      <c r="J1051" s="56">
        <v>247</v>
      </c>
      <c r="L1051" s="56" t="s">
        <v>262</v>
      </c>
      <c r="M1051" s="4" t="s">
        <v>262</v>
      </c>
      <c r="N1051" s="4" t="s">
        <v>364</v>
      </c>
      <c r="O1051" s="4" t="s">
        <v>530</v>
      </c>
    </row>
    <row r="1052" spans="2:15">
      <c r="B1052" s="20">
        <v>45078</v>
      </c>
      <c r="C1052" s="20">
        <v>45078</v>
      </c>
      <c r="D1052" s="54">
        <v>50142327</v>
      </c>
      <c r="E1052" s="55" t="s">
        <v>256</v>
      </c>
      <c r="F1052" s="56">
        <v>18</v>
      </c>
      <c r="G1052" s="68">
        <v>12258</v>
      </c>
      <c r="H1052" s="56" t="s">
        <v>82</v>
      </c>
      <c r="J1052" s="56" t="s">
        <v>917</v>
      </c>
      <c r="L1052" s="56" t="s">
        <v>918</v>
      </c>
      <c r="M1052" s="4" t="s">
        <v>176</v>
      </c>
      <c r="N1052" s="4" t="s">
        <v>193</v>
      </c>
      <c r="O1052" s="4" t="s">
        <v>530</v>
      </c>
    </row>
    <row r="1053" spans="2:15">
      <c r="B1053" s="20">
        <v>45078</v>
      </c>
      <c r="C1053" s="20">
        <v>45078</v>
      </c>
      <c r="D1053" s="54">
        <v>50010080</v>
      </c>
      <c r="E1053" s="55" t="s">
        <v>354</v>
      </c>
      <c r="F1053" s="56">
        <v>15</v>
      </c>
      <c r="G1053" s="68">
        <v>15000</v>
      </c>
      <c r="H1053" s="56" t="s">
        <v>82</v>
      </c>
      <c r="J1053" s="56">
        <v>43</v>
      </c>
      <c r="L1053" s="56" t="s">
        <v>355</v>
      </c>
      <c r="M1053" s="4" t="s">
        <v>650</v>
      </c>
      <c r="N1053" s="4" t="s">
        <v>513</v>
      </c>
      <c r="O1053" s="4" t="s">
        <v>530</v>
      </c>
    </row>
    <row r="1054" spans="2:15">
      <c r="B1054" s="20">
        <v>45078</v>
      </c>
      <c r="C1054" s="20">
        <v>45078</v>
      </c>
      <c r="D1054" s="54">
        <v>50144376</v>
      </c>
      <c r="E1054" s="55" t="s">
        <v>19</v>
      </c>
      <c r="F1054" s="56">
        <v>12</v>
      </c>
      <c r="G1054" s="68">
        <v>6000</v>
      </c>
      <c r="H1054" s="56" t="s">
        <v>92</v>
      </c>
      <c r="J1054" s="56">
        <v>254</v>
      </c>
      <c r="L1054" s="56" t="s">
        <v>262</v>
      </c>
      <c r="M1054" s="4" t="s">
        <v>262</v>
      </c>
      <c r="N1054" s="4" t="s">
        <v>364</v>
      </c>
      <c r="O1054" s="4" t="s">
        <v>530</v>
      </c>
    </row>
    <row r="1055" spans="2:15">
      <c r="B1055" s="20">
        <v>45078</v>
      </c>
      <c r="C1055" s="20">
        <v>45078</v>
      </c>
      <c r="D1055" s="54">
        <v>50272278</v>
      </c>
      <c r="E1055" s="55" t="s">
        <v>21</v>
      </c>
      <c r="F1055" s="56">
        <v>12</v>
      </c>
      <c r="G1055" s="68">
        <v>6000</v>
      </c>
      <c r="H1055" s="56" t="s">
        <v>92</v>
      </c>
      <c r="J1055" s="56">
        <v>258</v>
      </c>
      <c r="L1055" s="56" t="s">
        <v>262</v>
      </c>
      <c r="M1055" s="4" t="s">
        <v>262</v>
      </c>
      <c r="N1055" s="4" t="s">
        <v>364</v>
      </c>
      <c r="O1055" s="4" t="s">
        <v>530</v>
      </c>
    </row>
    <row r="1056" spans="2:15">
      <c r="B1056" s="20">
        <v>45082</v>
      </c>
      <c r="C1056" s="20">
        <v>45082</v>
      </c>
      <c r="D1056" s="54">
        <v>50272278</v>
      </c>
      <c r="E1056" s="55" t="s">
        <v>21</v>
      </c>
      <c r="F1056" s="56">
        <v>12</v>
      </c>
      <c r="G1056" s="68">
        <v>6000</v>
      </c>
      <c r="H1056" s="56" t="s">
        <v>92</v>
      </c>
      <c r="J1056" s="56">
        <v>264</v>
      </c>
      <c r="L1056" s="56" t="s">
        <v>262</v>
      </c>
      <c r="M1056" s="4" t="s">
        <v>262</v>
      </c>
      <c r="N1056" s="4" t="s">
        <v>364</v>
      </c>
      <c r="O1056" s="4" t="s">
        <v>530</v>
      </c>
    </row>
    <row r="1057" spans="2:15">
      <c r="B1057" s="20">
        <v>45083</v>
      </c>
      <c r="C1057" s="20">
        <v>45083</v>
      </c>
      <c r="D1057" s="54">
        <v>50143875</v>
      </c>
      <c r="E1057" s="55" t="s">
        <v>713</v>
      </c>
      <c r="F1057" s="56">
        <v>25</v>
      </c>
      <c r="G1057" s="68">
        <v>10000</v>
      </c>
      <c r="H1057" s="56" t="s">
        <v>92</v>
      </c>
      <c r="J1057" s="56">
        <v>2114</v>
      </c>
      <c r="L1057" s="56" t="s">
        <v>615</v>
      </c>
      <c r="M1057" s="4" t="s">
        <v>615</v>
      </c>
      <c r="N1057" s="4" t="s">
        <v>616</v>
      </c>
      <c r="O1057" s="4" t="s">
        <v>530</v>
      </c>
    </row>
    <row r="1058" spans="2:15">
      <c r="B1058" s="20">
        <v>45084</v>
      </c>
      <c r="C1058" s="20">
        <v>45084</v>
      </c>
      <c r="D1058" s="54">
        <v>50144200</v>
      </c>
      <c r="E1058" s="55" t="s">
        <v>184</v>
      </c>
      <c r="F1058" s="56">
        <v>42</v>
      </c>
      <c r="G1058" s="68">
        <v>11088000</v>
      </c>
      <c r="H1058" s="56" t="s">
        <v>92</v>
      </c>
      <c r="J1058" s="56" t="s">
        <v>919</v>
      </c>
      <c r="K1058" s="4" t="s">
        <v>920</v>
      </c>
      <c r="L1058" s="56" t="s">
        <v>877</v>
      </c>
      <c r="M1058" s="4" t="s">
        <v>750</v>
      </c>
      <c r="N1058" s="4" t="s">
        <v>921</v>
      </c>
      <c r="O1058" s="4" t="s">
        <v>530</v>
      </c>
    </row>
    <row r="1059" spans="2:15">
      <c r="B1059" s="20">
        <v>45084</v>
      </c>
      <c r="C1059" s="20">
        <v>45084</v>
      </c>
      <c r="D1059" s="54">
        <v>50144200</v>
      </c>
      <c r="E1059" s="55" t="s">
        <v>184</v>
      </c>
      <c r="F1059" s="56">
        <v>42</v>
      </c>
      <c r="G1059" s="68">
        <v>10901000</v>
      </c>
      <c r="H1059" s="56" t="s">
        <v>92</v>
      </c>
      <c r="J1059" s="56" t="s">
        <v>919</v>
      </c>
      <c r="K1059" s="4" t="s">
        <v>922</v>
      </c>
      <c r="L1059" s="56" t="s">
        <v>877</v>
      </c>
      <c r="M1059" s="4" t="s">
        <v>923</v>
      </c>
      <c r="N1059" s="4" t="s">
        <v>924</v>
      </c>
      <c r="O1059" s="4" t="s">
        <v>530</v>
      </c>
    </row>
    <row r="1060" spans="2:15">
      <c r="B1060" s="20">
        <v>45084</v>
      </c>
      <c r="C1060" s="20">
        <v>45084</v>
      </c>
      <c r="D1060" s="54">
        <v>50802526</v>
      </c>
      <c r="E1060" s="55" t="s">
        <v>804</v>
      </c>
      <c r="F1060" s="56">
        <v>1</v>
      </c>
      <c r="G1060" s="68">
        <v>1000</v>
      </c>
      <c r="H1060" s="56" t="s">
        <v>92</v>
      </c>
      <c r="J1060" s="56" t="s">
        <v>925</v>
      </c>
      <c r="K1060" s="4" t="s">
        <v>926</v>
      </c>
      <c r="L1060" s="56" t="s">
        <v>853</v>
      </c>
      <c r="M1060" s="4" t="s">
        <v>520</v>
      </c>
      <c r="N1060" s="4" t="s">
        <v>927</v>
      </c>
      <c r="O1060" s="4" t="s">
        <v>530</v>
      </c>
    </row>
    <row r="1061" spans="2:15">
      <c r="B1061" s="20">
        <v>45084</v>
      </c>
      <c r="C1061" s="20">
        <v>45084</v>
      </c>
      <c r="D1061" s="54">
        <v>50802527</v>
      </c>
      <c r="E1061" s="55" t="s">
        <v>805</v>
      </c>
      <c r="F1061" s="56">
        <v>1</v>
      </c>
      <c r="G1061" s="68">
        <v>980.4</v>
      </c>
      <c r="H1061" s="56" t="s">
        <v>92</v>
      </c>
      <c r="J1061" s="56" t="s">
        <v>925</v>
      </c>
      <c r="K1061" s="4" t="s">
        <v>926</v>
      </c>
      <c r="L1061" s="56" t="s">
        <v>853</v>
      </c>
      <c r="M1061" s="4" t="s">
        <v>520</v>
      </c>
      <c r="N1061" s="4" t="s">
        <v>927</v>
      </c>
      <c r="O1061" s="4" t="s">
        <v>530</v>
      </c>
    </row>
    <row r="1062" spans="2:15">
      <c r="B1062" s="20">
        <v>45084</v>
      </c>
      <c r="C1062" s="20">
        <v>45084</v>
      </c>
      <c r="D1062" s="54">
        <v>50802525</v>
      </c>
      <c r="E1062" s="55" t="s">
        <v>801</v>
      </c>
      <c r="F1062" s="56">
        <v>1</v>
      </c>
      <c r="G1062" s="68">
        <v>992.77</v>
      </c>
      <c r="H1062" s="56" t="s">
        <v>92</v>
      </c>
      <c r="J1062" s="56" t="s">
        <v>925</v>
      </c>
      <c r="K1062" s="4" t="s">
        <v>926</v>
      </c>
      <c r="L1062" s="56" t="s">
        <v>853</v>
      </c>
      <c r="M1062" s="4" t="s">
        <v>520</v>
      </c>
      <c r="N1062" s="4" t="s">
        <v>927</v>
      </c>
      <c r="O1062" s="4" t="s">
        <v>530</v>
      </c>
    </row>
    <row r="1063" spans="2:15">
      <c r="B1063" s="20">
        <v>45085</v>
      </c>
      <c r="C1063" s="20">
        <v>45085</v>
      </c>
      <c r="D1063" s="54">
        <v>50142327</v>
      </c>
      <c r="E1063" s="55" t="s">
        <v>256</v>
      </c>
      <c r="F1063" s="56">
        <v>18</v>
      </c>
      <c r="G1063" s="68">
        <v>12258</v>
      </c>
      <c r="H1063" s="56" t="s">
        <v>82</v>
      </c>
      <c r="J1063" s="56" t="s">
        <v>928</v>
      </c>
      <c r="L1063" s="56" t="s">
        <v>213</v>
      </c>
      <c r="M1063" s="4" t="s">
        <v>176</v>
      </c>
      <c r="N1063" s="4" t="s">
        <v>177</v>
      </c>
      <c r="O1063" s="4" t="s">
        <v>530</v>
      </c>
    </row>
    <row r="1064" spans="2:15">
      <c r="B1064" s="20">
        <v>45086</v>
      </c>
      <c r="C1064" s="20">
        <v>45086</v>
      </c>
      <c r="D1064" s="54">
        <v>50272278</v>
      </c>
      <c r="E1064" s="55" t="s">
        <v>21</v>
      </c>
      <c r="F1064" s="56">
        <v>12</v>
      </c>
      <c r="G1064" s="68">
        <v>6000</v>
      </c>
      <c r="H1064" s="56" t="s">
        <v>92</v>
      </c>
      <c r="J1064" s="56">
        <v>286</v>
      </c>
      <c r="L1064" s="56" t="s">
        <v>262</v>
      </c>
      <c r="M1064" s="4" t="s">
        <v>262</v>
      </c>
      <c r="N1064" s="4" t="s">
        <v>364</v>
      </c>
      <c r="O1064" s="4" t="s">
        <v>530</v>
      </c>
    </row>
    <row r="1065" spans="2:15">
      <c r="B1065" s="20">
        <v>45092</v>
      </c>
      <c r="C1065" s="20">
        <v>45092</v>
      </c>
      <c r="D1065" s="54">
        <v>50272278</v>
      </c>
      <c r="E1065" s="55" t="s">
        <v>21</v>
      </c>
      <c r="F1065" s="56">
        <v>12</v>
      </c>
      <c r="G1065" s="68">
        <v>6000</v>
      </c>
      <c r="H1065" s="56" t="s">
        <v>92</v>
      </c>
      <c r="J1065" s="56">
        <v>307</v>
      </c>
      <c r="L1065" s="56" t="s">
        <v>262</v>
      </c>
      <c r="M1065" s="4" t="s">
        <v>262</v>
      </c>
      <c r="N1065" s="4" t="s">
        <v>364</v>
      </c>
      <c r="O1065" s="4" t="s">
        <v>530</v>
      </c>
    </row>
    <row r="1066" spans="2:15">
      <c r="B1066" s="20">
        <v>45092</v>
      </c>
      <c r="C1066" s="20">
        <v>45092</v>
      </c>
      <c r="D1066" s="54">
        <v>50272278</v>
      </c>
      <c r="E1066" s="55" t="s">
        <v>21</v>
      </c>
      <c r="F1066" s="56">
        <v>12</v>
      </c>
      <c r="G1066" s="68">
        <v>6000</v>
      </c>
      <c r="H1066" s="56" t="s">
        <v>92</v>
      </c>
      <c r="J1066" s="56">
        <v>308</v>
      </c>
      <c r="L1066" s="56" t="s">
        <v>262</v>
      </c>
      <c r="M1066" s="4" t="s">
        <v>262</v>
      </c>
      <c r="N1066" s="4" t="s">
        <v>364</v>
      </c>
      <c r="O1066" s="4" t="s">
        <v>530</v>
      </c>
    </row>
    <row r="1067" spans="2:15">
      <c r="B1067" s="20">
        <v>45096</v>
      </c>
      <c r="C1067" s="20">
        <v>45096</v>
      </c>
      <c r="D1067" s="54">
        <v>50809148</v>
      </c>
      <c r="E1067" s="55" t="s">
        <v>929</v>
      </c>
      <c r="F1067" s="56">
        <v>9</v>
      </c>
      <c r="G1067" s="68">
        <v>5260.05</v>
      </c>
      <c r="H1067" s="56" t="s">
        <v>82</v>
      </c>
      <c r="J1067" s="56">
        <v>12172</v>
      </c>
      <c r="L1067" s="56" t="s">
        <v>243</v>
      </c>
      <c r="M1067" s="4" t="s">
        <v>660</v>
      </c>
      <c r="N1067" s="4" t="s">
        <v>574</v>
      </c>
      <c r="O1067" s="4" t="s">
        <v>530</v>
      </c>
    </row>
    <row r="1068" spans="2:15">
      <c r="B1068" s="20">
        <v>45096</v>
      </c>
      <c r="C1068" s="20">
        <v>45096</v>
      </c>
      <c r="D1068" s="54">
        <v>50809147</v>
      </c>
      <c r="E1068" s="55" t="s">
        <v>930</v>
      </c>
      <c r="F1068" s="56">
        <v>6</v>
      </c>
      <c r="G1068" s="68">
        <v>3013.35</v>
      </c>
      <c r="H1068" s="56" t="s">
        <v>82</v>
      </c>
      <c r="J1068" s="56">
        <v>12175</v>
      </c>
      <c r="L1068" s="56" t="s">
        <v>243</v>
      </c>
      <c r="M1068" s="4" t="s">
        <v>660</v>
      </c>
      <c r="N1068" s="4" t="s">
        <v>574</v>
      </c>
      <c r="O1068" s="4" t="s">
        <v>530</v>
      </c>
    </row>
    <row r="1069" spans="2:15">
      <c r="B1069" s="20">
        <v>45096</v>
      </c>
      <c r="C1069" s="20">
        <v>45096</v>
      </c>
      <c r="D1069" s="54">
        <v>50142237</v>
      </c>
      <c r="E1069" s="55" t="s">
        <v>617</v>
      </c>
      <c r="F1069" s="56">
        <v>47</v>
      </c>
      <c r="G1069" s="68">
        <v>47000</v>
      </c>
      <c r="H1069" s="56" t="s">
        <v>92</v>
      </c>
      <c r="J1069" s="56">
        <v>62588</v>
      </c>
      <c r="L1069" s="56" t="s">
        <v>618</v>
      </c>
      <c r="M1069" s="4" t="s">
        <v>619</v>
      </c>
      <c r="N1069" s="4" t="s">
        <v>785</v>
      </c>
      <c r="O1069" s="4" t="s">
        <v>530</v>
      </c>
    </row>
    <row r="1070" spans="2:15">
      <c r="B1070" s="20">
        <v>45097</v>
      </c>
      <c r="C1070" s="20">
        <v>45097</v>
      </c>
      <c r="D1070" s="54">
        <v>50272278</v>
      </c>
      <c r="E1070" s="55" t="s">
        <v>21</v>
      </c>
      <c r="F1070" s="56">
        <v>12</v>
      </c>
      <c r="G1070" s="68">
        <v>6000</v>
      </c>
      <c r="H1070" s="56" t="s">
        <v>92</v>
      </c>
      <c r="J1070" s="56">
        <v>326</v>
      </c>
      <c r="L1070" s="56" t="s">
        <v>262</v>
      </c>
      <c r="M1070" s="4" t="s">
        <v>262</v>
      </c>
      <c r="N1070" s="4" t="s">
        <v>364</v>
      </c>
      <c r="O1070" s="4" t="s">
        <v>530</v>
      </c>
    </row>
    <row r="1071" spans="2:15">
      <c r="B1071" s="20">
        <v>45097</v>
      </c>
      <c r="C1071" s="20">
        <v>45097</v>
      </c>
      <c r="D1071" s="54">
        <v>50145012</v>
      </c>
      <c r="E1071" s="55" t="s">
        <v>504</v>
      </c>
      <c r="G1071" s="68">
        <v>12</v>
      </c>
      <c r="H1071" s="56" t="s">
        <v>505</v>
      </c>
      <c r="J1071" s="56">
        <v>543</v>
      </c>
      <c r="L1071" s="56" t="s">
        <v>506</v>
      </c>
      <c r="M1071" s="4" t="s">
        <v>507</v>
      </c>
      <c r="N1071" s="4" t="s">
        <v>706</v>
      </c>
      <c r="O1071" s="4" t="s">
        <v>530</v>
      </c>
    </row>
    <row r="1072" spans="2:15">
      <c r="B1072" s="20">
        <v>45097</v>
      </c>
      <c r="C1072" s="20">
        <v>45097</v>
      </c>
      <c r="D1072" s="54">
        <v>50392046</v>
      </c>
      <c r="E1072" s="55" t="s">
        <v>509</v>
      </c>
      <c r="G1072" s="68">
        <v>24</v>
      </c>
      <c r="H1072" s="56" t="s">
        <v>505</v>
      </c>
      <c r="J1072" s="56">
        <v>543</v>
      </c>
      <c r="L1072" s="56" t="s">
        <v>506</v>
      </c>
      <c r="M1072" s="4" t="s">
        <v>507</v>
      </c>
      <c r="N1072" s="4" t="s">
        <v>706</v>
      </c>
      <c r="O1072" s="4" t="s">
        <v>530</v>
      </c>
    </row>
    <row r="1073" spans="2:15">
      <c r="B1073" s="20">
        <v>45097</v>
      </c>
      <c r="C1073" s="20">
        <v>45097</v>
      </c>
      <c r="D1073" s="54">
        <v>50145029</v>
      </c>
      <c r="E1073" s="55" t="s">
        <v>705</v>
      </c>
      <c r="G1073" s="68">
        <v>12</v>
      </c>
      <c r="H1073" s="56" t="s">
        <v>505</v>
      </c>
      <c r="J1073" s="56">
        <v>543</v>
      </c>
      <c r="L1073" s="56" t="s">
        <v>506</v>
      </c>
      <c r="M1073" s="4" t="s">
        <v>507</v>
      </c>
      <c r="N1073" s="4" t="s">
        <v>706</v>
      </c>
      <c r="O1073" s="4" t="s">
        <v>530</v>
      </c>
    </row>
    <row r="1074" spans="2:15">
      <c r="B1074" s="20">
        <v>45097</v>
      </c>
      <c r="C1074" s="20">
        <v>45097</v>
      </c>
      <c r="D1074" s="54">
        <v>50392045</v>
      </c>
      <c r="E1074" s="55" t="s">
        <v>707</v>
      </c>
      <c r="G1074" s="68">
        <v>24</v>
      </c>
      <c r="H1074" s="56" t="s">
        <v>505</v>
      </c>
      <c r="J1074" s="56">
        <v>543</v>
      </c>
      <c r="L1074" s="56" t="s">
        <v>506</v>
      </c>
      <c r="M1074" s="4" t="s">
        <v>507</v>
      </c>
      <c r="N1074" s="4" t="s">
        <v>706</v>
      </c>
      <c r="O1074" s="4" t="s">
        <v>530</v>
      </c>
    </row>
    <row r="1075" spans="2:15">
      <c r="B1075" s="20">
        <v>45097</v>
      </c>
      <c r="C1075" s="20">
        <v>45097</v>
      </c>
      <c r="D1075" s="54">
        <v>50272278</v>
      </c>
      <c r="E1075" s="55" t="s">
        <v>21</v>
      </c>
      <c r="F1075" s="56">
        <v>12</v>
      </c>
      <c r="G1075" s="68">
        <v>6000</v>
      </c>
      <c r="H1075" s="56" t="s">
        <v>92</v>
      </c>
      <c r="J1075" s="56">
        <v>329</v>
      </c>
      <c r="L1075" s="56" t="s">
        <v>262</v>
      </c>
      <c r="M1075" s="4" t="s">
        <v>262</v>
      </c>
      <c r="N1075" s="4" t="s">
        <v>364</v>
      </c>
      <c r="O1075" s="4" t="s">
        <v>530</v>
      </c>
    </row>
    <row r="1076" spans="2:15">
      <c r="B1076" s="20">
        <v>45098</v>
      </c>
      <c r="C1076" s="20">
        <v>45098</v>
      </c>
      <c r="D1076" s="54">
        <v>50010080</v>
      </c>
      <c r="E1076" s="55" t="s">
        <v>354</v>
      </c>
      <c r="F1076" s="56">
        <v>15</v>
      </c>
      <c r="G1076" s="68">
        <v>15000</v>
      </c>
      <c r="H1076" s="56" t="s">
        <v>82</v>
      </c>
      <c r="J1076" s="56">
        <v>729</v>
      </c>
      <c r="L1076" s="56" t="s">
        <v>355</v>
      </c>
      <c r="M1076" s="4" t="s">
        <v>650</v>
      </c>
      <c r="N1076" s="4" t="s">
        <v>931</v>
      </c>
      <c r="O1076" s="4" t="s">
        <v>530</v>
      </c>
    </row>
    <row r="1077" spans="2:15">
      <c r="B1077" s="20">
        <v>45099</v>
      </c>
      <c r="C1077" s="20">
        <v>45099</v>
      </c>
      <c r="D1077" s="54">
        <v>50272278</v>
      </c>
      <c r="E1077" s="55" t="s">
        <v>21</v>
      </c>
      <c r="F1077" s="56">
        <v>12</v>
      </c>
      <c r="G1077" s="68">
        <v>6000</v>
      </c>
      <c r="H1077" s="56" t="s">
        <v>92</v>
      </c>
      <c r="J1077" s="56">
        <v>343</v>
      </c>
      <c r="L1077" s="56" t="s">
        <v>262</v>
      </c>
      <c r="M1077" s="4" t="s">
        <v>262</v>
      </c>
      <c r="N1077" s="4" t="s">
        <v>364</v>
      </c>
      <c r="O1077" s="4" t="s">
        <v>530</v>
      </c>
    </row>
    <row r="1078" spans="2:15">
      <c r="B1078" s="20">
        <v>45100</v>
      </c>
      <c r="C1078" s="20">
        <v>45100</v>
      </c>
      <c r="D1078" s="54">
        <v>50272278</v>
      </c>
      <c r="E1078" s="55" t="s">
        <v>21</v>
      </c>
      <c r="F1078" s="56">
        <v>12</v>
      </c>
      <c r="G1078" s="68">
        <v>6000</v>
      </c>
      <c r="H1078" s="56" t="s">
        <v>92</v>
      </c>
      <c r="J1078" s="56">
        <v>347</v>
      </c>
      <c r="L1078" s="56" t="s">
        <v>262</v>
      </c>
      <c r="M1078" s="4" t="s">
        <v>262</v>
      </c>
      <c r="N1078" s="4" t="s">
        <v>364</v>
      </c>
      <c r="O1078" s="4" t="s">
        <v>530</v>
      </c>
    </row>
    <row r="1079" spans="2:15">
      <c r="B1079" s="20">
        <v>45103</v>
      </c>
      <c r="C1079" s="20">
        <v>45103</v>
      </c>
      <c r="D1079" s="54">
        <v>50272278</v>
      </c>
      <c r="E1079" s="55" t="s">
        <v>21</v>
      </c>
      <c r="F1079" s="56">
        <v>12</v>
      </c>
      <c r="G1079" s="68">
        <v>6000</v>
      </c>
      <c r="H1079" s="56" t="s">
        <v>92</v>
      </c>
      <c r="J1079" s="56">
        <v>357</v>
      </c>
      <c r="L1079" s="56" t="s">
        <v>262</v>
      </c>
      <c r="M1079" s="4" t="s">
        <v>262</v>
      </c>
      <c r="N1079" s="4" t="s">
        <v>364</v>
      </c>
      <c r="O1079" s="4" t="s">
        <v>530</v>
      </c>
    </row>
    <row r="1080" spans="2:15">
      <c r="B1080" s="20">
        <v>45104</v>
      </c>
      <c r="C1080" s="20">
        <v>45104</v>
      </c>
      <c r="D1080" s="54">
        <v>50272278</v>
      </c>
      <c r="E1080" s="55" t="s">
        <v>21</v>
      </c>
      <c r="F1080" s="56">
        <v>12</v>
      </c>
      <c r="G1080" s="68">
        <v>6000</v>
      </c>
      <c r="H1080" s="56" t="s">
        <v>92</v>
      </c>
      <c r="J1080" s="56">
        <v>362</v>
      </c>
      <c r="L1080" s="56" t="s">
        <v>262</v>
      </c>
      <c r="M1080" s="4" t="s">
        <v>262</v>
      </c>
      <c r="N1080" s="4" t="s">
        <v>364</v>
      </c>
      <c r="O1080" s="4" t="s">
        <v>530</v>
      </c>
    </row>
    <row r="1081" spans="2:15">
      <c r="B1081" s="20">
        <v>45105</v>
      </c>
      <c r="C1081" s="20">
        <v>45105</v>
      </c>
      <c r="D1081" s="54">
        <v>50272278</v>
      </c>
      <c r="E1081" s="55" t="s">
        <v>21</v>
      </c>
      <c r="F1081" s="56">
        <v>12</v>
      </c>
      <c r="G1081" s="68">
        <v>16800</v>
      </c>
      <c r="H1081" s="56" t="s">
        <v>92</v>
      </c>
      <c r="J1081" s="56" t="s">
        <v>932</v>
      </c>
      <c r="K1081" s="4" t="s">
        <v>933</v>
      </c>
      <c r="L1081" s="56" t="s">
        <v>934</v>
      </c>
      <c r="M1081" s="4" t="s">
        <v>935</v>
      </c>
      <c r="N1081" s="4" t="s">
        <v>936</v>
      </c>
      <c r="O1081" s="4" t="s">
        <v>530</v>
      </c>
    </row>
    <row r="1082" spans="2:15">
      <c r="B1082" s="20">
        <v>45106</v>
      </c>
      <c r="C1082" s="20">
        <v>45106</v>
      </c>
      <c r="D1082" s="54">
        <v>50272278</v>
      </c>
      <c r="E1082" s="55" t="s">
        <v>21</v>
      </c>
      <c r="F1082" s="56">
        <v>12</v>
      </c>
      <c r="G1082" s="68">
        <v>6000</v>
      </c>
      <c r="H1082" s="56" t="s">
        <v>92</v>
      </c>
      <c r="J1082" s="56">
        <v>374</v>
      </c>
      <c r="L1082" s="56" t="s">
        <v>262</v>
      </c>
      <c r="M1082" s="4" t="s">
        <v>262</v>
      </c>
      <c r="N1082" s="4" t="s">
        <v>364</v>
      </c>
      <c r="O1082" s="4" t="s">
        <v>530</v>
      </c>
    </row>
    <row r="1083" spans="2:15">
      <c r="B1083" s="20">
        <v>45107</v>
      </c>
      <c r="C1083" s="20">
        <v>45107</v>
      </c>
      <c r="D1083" s="54">
        <v>50145187</v>
      </c>
      <c r="E1083" s="55" t="s">
        <v>465</v>
      </c>
      <c r="F1083" s="56">
        <v>41</v>
      </c>
      <c r="G1083" s="68">
        <v>10714000</v>
      </c>
      <c r="H1083" s="56" t="s">
        <v>92</v>
      </c>
      <c r="J1083" s="56" t="s">
        <v>937</v>
      </c>
      <c r="K1083" s="4" t="s">
        <v>938</v>
      </c>
      <c r="L1083" s="56" t="s">
        <v>877</v>
      </c>
      <c r="M1083" s="4" t="s">
        <v>750</v>
      </c>
      <c r="N1083" s="4" t="s">
        <v>751</v>
      </c>
      <c r="O1083" s="4" t="s">
        <v>530</v>
      </c>
    </row>
    <row r="1084" spans="2:15">
      <c r="B1084" s="20">
        <v>45107</v>
      </c>
      <c r="C1084" s="20">
        <v>45107</v>
      </c>
      <c r="D1084" s="54">
        <v>50272278</v>
      </c>
      <c r="E1084" s="55" t="s">
        <v>21</v>
      </c>
      <c r="F1084" s="56">
        <v>12</v>
      </c>
      <c r="G1084" s="68">
        <v>6000</v>
      </c>
      <c r="H1084" s="56" t="s">
        <v>92</v>
      </c>
      <c r="J1084" s="56">
        <v>383</v>
      </c>
      <c r="L1084" s="56" t="s">
        <v>262</v>
      </c>
      <c r="M1084" s="4" t="s">
        <v>262</v>
      </c>
      <c r="N1084" s="4" t="s">
        <v>364</v>
      </c>
      <c r="O1084" s="4" t="s">
        <v>530</v>
      </c>
    </row>
    <row r="1085" spans="2:15">
      <c r="B1085" s="20">
        <v>45107</v>
      </c>
      <c r="C1085" s="20">
        <v>45107</v>
      </c>
      <c r="D1085" s="54">
        <v>50142334</v>
      </c>
      <c r="E1085" s="55" t="s">
        <v>257</v>
      </c>
      <c r="F1085" s="56">
        <v>18</v>
      </c>
      <c r="G1085" s="68">
        <v>12258</v>
      </c>
      <c r="H1085" s="56" t="s">
        <v>82</v>
      </c>
      <c r="J1085" s="56" t="s">
        <v>939</v>
      </c>
      <c r="L1085" s="56" t="s">
        <v>213</v>
      </c>
      <c r="M1085" s="4" t="s">
        <v>176</v>
      </c>
      <c r="N1085" s="4" t="s">
        <v>177</v>
      </c>
      <c r="O1085" s="4" t="s">
        <v>530</v>
      </c>
    </row>
    <row r="1086" spans="2:15">
      <c r="B1086" s="20">
        <v>45110</v>
      </c>
      <c r="C1086" s="20">
        <v>45110</v>
      </c>
      <c r="D1086" s="54">
        <v>40499</v>
      </c>
      <c r="E1086" s="55" t="s">
        <v>316</v>
      </c>
      <c r="G1086" s="68">
        <v>100</v>
      </c>
      <c r="H1086" s="56" t="s">
        <v>92</v>
      </c>
      <c r="J1086" s="56">
        <v>22565</v>
      </c>
      <c r="L1086" s="56" t="s">
        <v>838</v>
      </c>
      <c r="M1086" s="4" t="s">
        <v>176</v>
      </c>
      <c r="N1086" s="4" t="s">
        <v>177</v>
      </c>
      <c r="O1086" s="4" t="s">
        <v>530</v>
      </c>
    </row>
    <row r="1087" spans="2:15">
      <c r="B1087" s="20">
        <v>45111</v>
      </c>
      <c r="C1087" s="20">
        <v>45111</v>
      </c>
      <c r="D1087" s="54">
        <v>50272278</v>
      </c>
      <c r="E1087" s="55" t="s">
        <v>21</v>
      </c>
      <c r="F1087" s="56">
        <v>12</v>
      </c>
      <c r="G1087" s="68">
        <v>6000</v>
      </c>
      <c r="H1087" s="56" t="s">
        <v>92</v>
      </c>
      <c r="J1087" s="56">
        <v>383</v>
      </c>
      <c r="L1087" s="56" t="s">
        <v>262</v>
      </c>
      <c r="M1087" s="4" t="s">
        <v>262</v>
      </c>
      <c r="N1087" s="4" t="s">
        <v>364</v>
      </c>
      <c r="O1087" s="4" t="s">
        <v>530</v>
      </c>
    </row>
    <row r="1088" spans="2:15">
      <c r="B1088" s="20">
        <v>45111</v>
      </c>
      <c r="C1088" s="20">
        <v>45111</v>
      </c>
      <c r="D1088" s="54">
        <v>50142334</v>
      </c>
      <c r="E1088" s="55" t="s">
        <v>257</v>
      </c>
      <c r="F1088" s="56">
        <v>3</v>
      </c>
      <c r="G1088" s="68">
        <v>2043</v>
      </c>
      <c r="H1088" s="56" t="s">
        <v>82</v>
      </c>
      <c r="J1088" s="56" t="s">
        <v>940</v>
      </c>
      <c r="L1088" s="56" t="s">
        <v>213</v>
      </c>
      <c r="M1088" s="4" t="s">
        <v>176</v>
      </c>
      <c r="N1088" s="4" t="s">
        <v>177</v>
      </c>
      <c r="O1088" s="4" t="s">
        <v>530</v>
      </c>
    </row>
    <row r="1089" spans="2:15">
      <c r="B1089" s="20">
        <v>45113</v>
      </c>
      <c r="C1089" s="20">
        <v>45113</v>
      </c>
      <c r="D1089" s="54">
        <v>50272278</v>
      </c>
      <c r="E1089" s="55" t="s">
        <v>21</v>
      </c>
      <c r="F1089" s="56">
        <v>12</v>
      </c>
      <c r="G1089" s="68">
        <v>6000</v>
      </c>
      <c r="H1089" s="56" t="s">
        <v>92</v>
      </c>
      <c r="J1089" s="56">
        <v>414</v>
      </c>
      <c r="L1089" s="56" t="s">
        <v>262</v>
      </c>
      <c r="M1089" s="4" t="s">
        <v>262</v>
      </c>
      <c r="N1089" s="4" t="s">
        <v>364</v>
      </c>
      <c r="O1089" s="4" t="s">
        <v>530</v>
      </c>
    </row>
    <row r="1090" spans="2:15">
      <c r="B1090" s="20">
        <v>45114</v>
      </c>
      <c r="C1090" s="20">
        <v>45114</v>
      </c>
      <c r="D1090" s="54">
        <v>50142327</v>
      </c>
      <c r="E1090" s="55" t="s">
        <v>256</v>
      </c>
      <c r="F1090" s="56">
        <v>42</v>
      </c>
      <c r="G1090" s="68">
        <v>20021.4</v>
      </c>
      <c r="H1090" s="56" t="s">
        <v>82</v>
      </c>
      <c r="J1090" s="56">
        <v>8302179994</v>
      </c>
      <c r="K1090" s="4" t="s">
        <v>941</v>
      </c>
      <c r="L1090" s="56" t="s">
        <v>213</v>
      </c>
      <c r="M1090" s="4" t="s">
        <v>209</v>
      </c>
      <c r="N1090" s="4" t="s">
        <v>728</v>
      </c>
      <c r="O1090" s="4" t="s">
        <v>530</v>
      </c>
    </row>
    <row r="1091" spans="2:15">
      <c r="B1091" s="20">
        <v>45117</v>
      </c>
      <c r="C1091" s="20">
        <v>45117</v>
      </c>
      <c r="D1091" s="54">
        <v>50145028</v>
      </c>
      <c r="E1091" s="55" t="s">
        <v>23</v>
      </c>
      <c r="G1091" s="68">
        <v>768</v>
      </c>
      <c r="H1091" s="56" t="s">
        <v>92</v>
      </c>
      <c r="J1091" s="56">
        <v>22843</v>
      </c>
      <c r="L1091" s="56" t="s">
        <v>838</v>
      </c>
      <c r="M1091" s="4" t="s">
        <v>176</v>
      </c>
      <c r="N1091" s="4" t="s">
        <v>177</v>
      </c>
      <c r="O1091" s="4" t="s">
        <v>530</v>
      </c>
    </row>
    <row r="1092" spans="2:15">
      <c r="B1092" s="20">
        <v>45117</v>
      </c>
      <c r="C1092" s="20">
        <v>45117</v>
      </c>
      <c r="D1092" s="54">
        <v>50272278</v>
      </c>
      <c r="E1092" s="55" t="s">
        <v>21</v>
      </c>
      <c r="G1092" s="68">
        <v>1200</v>
      </c>
      <c r="H1092" s="56" t="s">
        <v>92</v>
      </c>
      <c r="J1092" s="56">
        <v>22843</v>
      </c>
      <c r="L1092" s="56" t="s">
        <v>838</v>
      </c>
      <c r="M1092" s="4" t="s">
        <v>176</v>
      </c>
      <c r="N1092" s="4" t="s">
        <v>177</v>
      </c>
      <c r="O1092" s="4" t="s">
        <v>530</v>
      </c>
    </row>
    <row r="1093" spans="2:15">
      <c r="B1093" s="20">
        <v>45117</v>
      </c>
      <c r="C1093" s="20">
        <v>45117</v>
      </c>
      <c r="D1093" s="54">
        <v>123457</v>
      </c>
      <c r="E1093" s="55" t="s">
        <v>942</v>
      </c>
      <c r="F1093" s="56">
        <v>4</v>
      </c>
      <c r="G1093" s="68">
        <v>128</v>
      </c>
      <c r="H1093" s="56" t="s">
        <v>82</v>
      </c>
      <c r="J1093" s="56">
        <v>22843</v>
      </c>
      <c r="L1093" s="56" t="s">
        <v>838</v>
      </c>
      <c r="M1093" s="4" t="s">
        <v>176</v>
      </c>
      <c r="N1093" s="4" t="s">
        <v>177</v>
      </c>
      <c r="O1093" s="4" t="s">
        <v>530</v>
      </c>
    </row>
    <row r="1094" spans="2:15">
      <c r="B1094" s="20">
        <v>45118</v>
      </c>
      <c r="C1094" s="20">
        <v>45118</v>
      </c>
      <c r="D1094" s="54">
        <v>50123456</v>
      </c>
      <c r="E1094" s="55" t="s">
        <v>943</v>
      </c>
      <c r="F1094" s="56">
        <v>1</v>
      </c>
      <c r="G1094" s="68">
        <v>1</v>
      </c>
      <c r="H1094" s="56" t="s">
        <v>92</v>
      </c>
      <c r="J1094" s="56">
        <v>1156</v>
      </c>
      <c r="L1094" s="56" t="s">
        <v>558</v>
      </c>
      <c r="M1094" s="4" t="s">
        <v>558</v>
      </c>
      <c r="N1094" s="4" t="s">
        <v>755</v>
      </c>
      <c r="O1094" s="4" t="s">
        <v>530</v>
      </c>
    </row>
    <row r="1095" spans="2:15">
      <c r="B1095" s="20">
        <v>45118</v>
      </c>
      <c r="C1095" s="20">
        <v>45118</v>
      </c>
      <c r="D1095" s="54">
        <v>50143894</v>
      </c>
      <c r="E1095" s="55" t="s">
        <v>944</v>
      </c>
      <c r="G1095" s="68">
        <v>5000</v>
      </c>
      <c r="H1095" s="56" t="s">
        <v>92</v>
      </c>
      <c r="J1095" s="56">
        <v>2691</v>
      </c>
      <c r="L1095" s="56" t="s">
        <v>615</v>
      </c>
      <c r="M1095" s="4" t="s">
        <v>615</v>
      </c>
      <c r="N1095" s="4" t="s">
        <v>616</v>
      </c>
      <c r="O1095" s="4" t="s">
        <v>530</v>
      </c>
    </row>
    <row r="1096" spans="2:15">
      <c r="B1096" s="20">
        <v>45118</v>
      </c>
      <c r="C1096" s="20">
        <v>45118</v>
      </c>
      <c r="D1096" s="54">
        <v>50756640</v>
      </c>
      <c r="E1096" s="55" t="s">
        <v>945</v>
      </c>
      <c r="F1096" s="56">
        <v>1</v>
      </c>
      <c r="G1096" s="68">
        <v>500</v>
      </c>
      <c r="H1096" s="56" t="s">
        <v>92</v>
      </c>
      <c r="J1096" s="56">
        <v>2691</v>
      </c>
      <c r="L1096" s="56" t="s">
        <v>615</v>
      </c>
      <c r="M1096" s="4" t="s">
        <v>615</v>
      </c>
      <c r="N1096" s="4" t="s">
        <v>616</v>
      </c>
      <c r="O1096" s="4" t="s">
        <v>530</v>
      </c>
    </row>
    <row r="1097" spans="2:15">
      <c r="B1097" s="20">
        <v>45118</v>
      </c>
      <c r="C1097" s="20">
        <v>45118</v>
      </c>
      <c r="D1097" s="54">
        <v>50809145</v>
      </c>
      <c r="E1097" s="55" t="s">
        <v>946</v>
      </c>
      <c r="F1097" s="56">
        <v>6</v>
      </c>
      <c r="G1097" s="68">
        <v>2949.75</v>
      </c>
      <c r="H1097" s="56" t="s">
        <v>82</v>
      </c>
      <c r="J1097" s="56">
        <v>12234</v>
      </c>
      <c r="L1097" s="56" t="s">
        <v>243</v>
      </c>
      <c r="M1097" s="4" t="s">
        <v>947</v>
      </c>
      <c r="N1097" s="4" t="s">
        <v>353</v>
      </c>
      <c r="O1097" s="4" t="s">
        <v>530</v>
      </c>
    </row>
    <row r="1098" spans="2:15">
      <c r="B1098" s="20">
        <v>45118</v>
      </c>
      <c r="C1098" s="20">
        <v>45118</v>
      </c>
      <c r="D1098" s="54">
        <v>50272278</v>
      </c>
      <c r="E1098" s="55" t="s">
        <v>21</v>
      </c>
      <c r="F1098" s="56">
        <v>12</v>
      </c>
      <c r="G1098" s="68">
        <v>5844</v>
      </c>
      <c r="H1098" s="56" t="s">
        <v>92</v>
      </c>
      <c r="J1098" s="56">
        <v>430</v>
      </c>
      <c r="L1098" s="56" t="s">
        <v>262</v>
      </c>
      <c r="M1098" s="4" t="s">
        <v>262</v>
      </c>
      <c r="N1098" s="4" t="s">
        <v>364</v>
      </c>
      <c r="O1098" s="4" t="s">
        <v>530</v>
      </c>
    </row>
    <row r="1099" spans="2:15">
      <c r="B1099" s="20">
        <v>45119</v>
      </c>
      <c r="C1099" s="20">
        <v>45119</v>
      </c>
      <c r="D1099" s="54">
        <v>50470190</v>
      </c>
      <c r="E1099" s="55" t="s">
        <v>12</v>
      </c>
      <c r="F1099" s="56">
        <v>12</v>
      </c>
      <c r="G1099" s="68">
        <v>3477600</v>
      </c>
      <c r="H1099" s="56" t="s">
        <v>92</v>
      </c>
      <c r="J1099" s="56" t="s">
        <v>948</v>
      </c>
      <c r="K1099" s="4" t="s">
        <v>949</v>
      </c>
      <c r="L1099" s="56" t="s">
        <v>789</v>
      </c>
      <c r="M1099" s="4" t="s">
        <v>825</v>
      </c>
      <c r="N1099" s="4" t="s">
        <v>826</v>
      </c>
      <c r="O1099" s="4" t="s">
        <v>530</v>
      </c>
    </row>
    <row r="1100" spans="2:15">
      <c r="B1100" s="20">
        <v>45119</v>
      </c>
      <c r="C1100" s="20">
        <v>45119</v>
      </c>
      <c r="D1100" s="54">
        <v>50812974</v>
      </c>
      <c r="E1100" s="55" t="s">
        <v>822</v>
      </c>
      <c r="F1100" s="56">
        <v>20</v>
      </c>
      <c r="G1100" s="68">
        <v>5796000</v>
      </c>
      <c r="H1100" s="56" t="s">
        <v>92</v>
      </c>
      <c r="J1100" s="56" t="s">
        <v>948</v>
      </c>
      <c r="K1100" s="4" t="s">
        <v>949</v>
      </c>
      <c r="L1100" s="56" t="s">
        <v>789</v>
      </c>
      <c r="M1100" s="4" t="s">
        <v>825</v>
      </c>
      <c r="N1100" s="4" t="s">
        <v>826</v>
      </c>
      <c r="O1100" s="4" t="s">
        <v>530</v>
      </c>
    </row>
    <row r="1101" spans="2:15">
      <c r="B1101" s="20">
        <v>45119</v>
      </c>
      <c r="C1101" s="20">
        <v>45119</v>
      </c>
      <c r="D1101" s="54">
        <v>50142631</v>
      </c>
      <c r="E1101" s="55" t="s">
        <v>566</v>
      </c>
      <c r="F1101" s="56">
        <v>2</v>
      </c>
      <c r="G1101" s="68">
        <v>1500</v>
      </c>
      <c r="H1101" s="56" t="s">
        <v>82</v>
      </c>
      <c r="J1101" s="56">
        <v>57797</v>
      </c>
      <c r="L1101" s="56" t="s">
        <v>567</v>
      </c>
      <c r="M1101" s="4" t="s">
        <v>568</v>
      </c>
      <c r="N1101" s="4" t="s">
        <v>569</v>
      </c>
      <c r="O1101" s="4" t="s">
        <v>530</v>
      </c>
    </row>
    <row r="1102" spans="2:15">
      <c r="B1102" s="20">
        <v>45120</v>
      </c>
      <c r="C1102" s="20">
        <v>45120</v>
      </c>
      <c r="D1102" s="54">
        <v>50812974</v>
      </c>
      <c r="E1102" s="55" t="s">
        <v>822</v>
      </c>
      <c r="F1102" s="56">
        <v>28</v>
      </c>
      <c r="G1102" s="68">
        <v>8114400</v>
      </c>
      <c r="H1102" s="56" t="s">
        <v>92</v>
      </c>
      <c r="J1102" s="56" t="s">
        <v>950</v>
      </c>
      <c r="K1102" s="4" t="s">
        <v>951</v>
      </c>
      <c r="L1102" s="56" t="s">
        <v>789</v>
      </c>
      <c r="M1102" s="4" t="s">
        <v>825</v>
      </c>
      <c r="N1102" s="4" t="s">
        <v>952</v>
      </c>
      <c r="O1102" s="4" t="s">
        <v>530</v>
      </c>
    </row>
    <row r="1103" spans="2:15">
      <c r="B1103" s="20">
        <v>45120</v>
      </c>
      <c r="C1103" s="20">
        <v>45120</v>
      </c>
      <c r="D1103" s="54">
        <v>50802401</v>
      </c>
      <c r="E1103" s="55" t="s">
        <v>13</v>
      </c>
      <c r="F1103" s="56">
        <v>4</v>
      </c>
      <c r="G1103" s="68">
        <v>1159200</v>
      </c>
      <c r="H1103" s="56" t="s">
        <v>92</v>
      </c>
      <c r="J1103" s="56" t="s">
        <v>950</v>
      </c>
      <c r="K1103" s="4" t="s">
        <v>951</v>
      </c>
      <c r="L1103" s="56" t="s">
        <v>789</v>
      </c>
      <c r="M1103" s="4" t="s">
        <v>825</v>
      </c>
      <c r="N1103" s="4" t="s">
        <v>952</v>
      </c>
      <c r="O1103" s="4" t="s">
        <v>530</v>
      </c>
    </row>
    <row r="1104" spans="2:15">
      <c r="B1104" s="20">
        <v>45120</v>
      </c>
      <c r="C1104" s="20">
        <v>45120</v>
      </c>
      <c r="D1104" s="54">
        <v>50142455</v>
      </c>
      <c r="E1104" s="55" t="s">
        <v>560</v>
      </c>
      <c r="F1104" s="56">
        <v>4</v>
      </c>
      <c r="G1104" s="68">
        <v>100</v>
      </c>
      <c r="H1104" s="56" t="s">
        <v>92</v>
      </c>
      <c r="J1104" s="56">
        <v>1198</v>
      </c>
      <c r="L1104" s="56" t="s">
        <v>558</v>
      </c>
      <c r="M1104" s="4" t="s">
        <v>558</v>
      </c>
      <c r="N1104" s="4" t="s">
        <v>755</v>
      </c>
      <c r="O1104" s="4" t="s">
        <v>530</v>
      </c>
    </row>
    <row r="1105" spans="2:15">
      <c r="B1105" s="20">
        <v>45120</v>
      </c>
      <c r="C1105" s="20">
        <v>45120</v>
      </c>
      <c r="D1105" s="54">
        <v>50809152</v>
      </c>
      <c r="E1105" s="55" t="s">
        <v>953</v>
      </c>
      <c r="F1105" s="56">
        <v>6</v>
      </c>
      <c r="G1105" s="68">
        <v>3391.65</v>
      </c>
      <c r="H1105" s="56" t="s">
        <v>82</v>
      </c>
      <c r="J1105" s="56">
        <v>12242</v>
      </c>
      <c r="L1105" s="56" t="s">
        <v>243</v>
      </c>
      <c r="M1105" s="4" t="s">
        <v>660</v>
      </c>
      <c r="N1105" s="4" t="s">
        <v>586</v>
      </c>
      <c r="O1105" s="4" t="s">
        <v>530</v>
      </c>
    </row>
    <row r="1106" spans="2:15">
      <c r="B1106" s="20">
        <v>45120</v>
      </c>
      <c r="C1106" s="20">
        <v>45120</v>
      </c>
      <c r="D1106" s="54">
        <v>50809148</v>
      </c>
      <c r="E1106" s="55" t="s">
        <v>929</v>
      </c>
      <c r="F1106" s="56">
        <v>9</v>
      </c>
      <c r="G1106" s="68">
        <v>5032.5</v>
      </c>
      <c r="H1106" s="56" t="s">
        <v>82</v>
      </c>
      <c r="J1106" s="56">
        <v>12242</v>
      </c>
      <c r="L1106" s="56" t="s">
        <v>243</v>
      </c>
      <c r="M1106" s="4" t="s">
        <v>660</v>
      </c>
      <c r="N1106" s="4" t="s">
        <v>586</v>
      </c>
      <c r="O1106" s="4" t="s">
        <v>530</v>
      </c>
    </row>
    <row r="1107" spans="2:15">
      <c r="B1107" s="20">
        <v>45121</v>
      </c>
      <c r="C1107" s="20">
        <v>45121</v>
      </c>
      <c r="D1107" s="54">
        <v>40011130</v>
      </c>
      <c r="E1107" s="55" t="s">
        <v>631</v>
      </c>
      <c r="F1107" s="56">
        <v>3</v>
      </c>
      <c r="G1107" s="68">
        <v>7974</v>
      </c>
      <c r="H1107" s="56" t="s">
        <v>80</v>
      </c>
      <c r="J1107" s="56">
        <v>216696313</v>
      </c>
      <c r="K1107" s="4" t="s">
        <v>954</v>
      </c>
      <c r="L1107" s="56" t="s">
        <v>175</v>
      </c>
      <c r="M1107" s="4" t="s">
        <v>520</v>
      </c>
      <c r="N1107" s="4" t="s">
        <v>955</v>
      </c>
      <c r="O1107" s="4" t="s">
        <v>530</v>
      </c>
    </row>
    <row r="1108" spans="2:15">
      <c r="B1108" s="20">
        <v>45121</v>
      </c>
      <c r="C1108" s="20">
        <v>45121</v>
      </c>
      <c r="D1108" s="54">
        <v>40011133</v>
      </c>
      <c r="E1108" s="55" t="s">
        <v>634</v>
      </c>
      <c r="F1108" s="56">
        <v>9</v>
      </c>
      <c r="G1108" s="68">
        <v>6222</v>
      </c>
      <c r="H1108" s="56" t="s">
        <v>80</v>
      </c>
      <c r="J1108" s="56">
        <v>216696313</v>
      </c>
      <c r="K1108" s="4" t="s">
        <v>954</v>
      </c>
      <c r="L1108" s="56" t="s">
        <v>175</v>
      </c>
      <c r="M1108" s="4" t="s">
        <v>520</v>
      </c>
      <c r="N1108" s="4" t="s">
        <v>955</v>
      </c>
      <c r="O1108" s="4" t="s">
        <v>530</v>
      </c>
    </row>
    <row r="1109" spans="2:15">
      <c r="B1109" s="20">
        <v>45121</v>
      </c>
      <c r="C1109" s="20">
        <v>45121</v>
      </c>
      <c r="D1109" s="54">
        <v>40009544</v>
      </c>
      <c r="E1109" s="55" t="s">
        <v>179</v>
      </c>
      <c r="F1109" s="56">
        <v>4</v>
      </c>
      <c r="G1109" s="68">
        <v>10243</v>
      </c>
      <c r="H1109" s="56" t="s">
        <v>80</v>
      </c>
      <c r="J1109" s="56">
        <v>216692864</v>
      </c>
      <c r="K1109" s="4" t="s">
        <v>956</v>
      </c>
      <c r="L1109" s="56" t="s">
        <v>175</v>
      </c>
      <c r="M1109" s="4" t="s">
        <v>520</v>
      </c>
      <c r="N1109" s="4" t="s">
        <v>957</v>
      </c>
      <c r="O1109" s="4" t="s">
        <v>530</v>
      </c>
    </row>
    <row r="1110" spans="2:15">
      <c r="B1110" s="20">
        <v>45121</v>
      </c>
      <c r="C1110" s="20">
        <v>45121</v>
      </c>
      <c r="D1110" s="54">
        <v>40009546</v>
      </c>
      <c r="E1110" s="55" t="s">
        <v>174</v>
      </c>
      <c r="F1110" s="56">
        <v>20</v>
      </c>
      <c r="G1110" s="68">
        <v>16074</v>
      </c>
      <c r="H1110" s="56" t="s">
        <v>80</v>
      </c>
      <c r="J1110" s="56">
        <v>216692864</v>
      </c>
      <c r="K1110" s="4" t="s">
        <v>956</v>
      </c>
      <c r="L1110" s="56" t="s">
        <v>175</v>
      </c>
      <c r="M1110" s="4" t="s">
        <v>520</v>
      </c>
      <c r="N1110" s="4" t="s">
        <v>957</v>
      </c>
      <c r="O1110" s="4" t="s">
        <v>530</v>
      </c>
    </row>
    <row r="1111" spans="2:15">
      <c r="B1111" s="20">
        <v>45121</v>
      </c>
      <c r="C1111" s="20">
        <v>45121</v>
      </c>
      <c r="D1111" s="54">
        <v>50272278</v>
      </c>
      <c r="E1111" s="55" t="s">
        <v>21</v>
      </c>
      <c r="F1111" s="56">
        <v>12</v>
      </c>
      <c r="G1111" s="68">
        <v>5904</v>
      </c>
      <c r="H1111" s="56" t="s">
        <v>92</v>
      </c>
      <c r="J1111" s="56">
        <v>451</v>
      </c>
      <c r="L1111" s="56" t="s">
        <v>262</v>
      </c>
      <c r="M1111" s="4" t="s">
        <v>262</v>
      </c>
      <c r="N1111" s="4" t="s">
        <v>364</v>
      </c>
      <c r="O1111" s="4" t="s">
        <v>530</v>
      </c>
    </row>
    <row r="1112" spans="2:15">
      <c r="B1112" s="20">
        <v>45124</v>
      </c>
      <c r="C1112" s="20">
        <v>45124</v>
      </c>
      <c r="D1112" s="54">
        <v>50369034</v>
      </c>
      <c r="E1112" s="55" t="s">
        <v>322</v>
      </c>
      <c r="F1112" s="56">
        <v>11</v>
      </c>
      <c r="G1112" s="68">
        <v>5505.95</v>
      </c>
      <c r="H1112" s="56" t="s">
        <v>82</v>
      </c>
      <c r="J1112" s="56">
        <v>12249</v>
      </c>
      <c r="L1112" s="56" t="s">
        <v>243</v>
      </c>
      <c r="M1112" s="4" t="s">
        <v>660</v>
      </c>
      <c r="N1112" s="4" t="s">
        <v>586</v>
      </c>
      <c r="O1112" s="4" t="s">
        <v>530</v>
      </c>
    </row>
    <row r="1113" spans="2:15">
      <c r="B1113" s="20">
        <v>45125</v>
      </c>
      <c r="C1113" s="20">
        <v>45125</v>
      </c>
      <c r="D1113" s="54">
        <v>50809145</v>
      </c>
      <c r="E1113" s="55" t="s">
        <v>946</v>
      </c>
      <c r="F1113" s="56">
        <v>10</v>
      </c>
      <c r="G1113" s="68">
        <v>4840.95</v>
      </c>
      <c r="H1113" s="56" t="s">
        <v>82</v>
      </c>
      <c r="J1113" s="56">
        <v>12250</v>
      </c>
      <c r="L1113" s="56" t="s">
        <v>243</v>
      </c>
      <c r="M1113" s="4" t="s">
        <v>660</v>
      </c>
      <c r="N1113" s="4" t="s">
        <v>447</v>
      </c>
      <c r="O1113" s="4" t="s">
        <v>530</v>
      </c>
    </row>
    <row r="1114" spans="2:15">
      <c r="B1114" s="20">
        <v>45125</v>
      </c>
      <c r="C1114" s="20">
        <v>45125</v>
      </c>
      <c r="D1114" s="54">
        <v>50144376</v>
      </c>
      <c r="E1114" s="55" t="s">
        <v>19</v>
      </c>
      <c r="F1114" s="56">
        <v>12</v>
      </c>
      <c r="G1114" s="68">
        <v>6000</v>
      </c>
      <c r="H1114" s="56" t="s">
        <v>92</v>
      </c>
      <c r="J1114" s="56">
        <v>463</v>
      </c>
      <c r="L1114" s="56" t="s">
        <v>262</v>
      </c>
      <c r="M1114" s="4" t="s">
        <v>262</v>
      </c>
      <c r="N1114" s="4" t="s">
        <v>364</v>
      </c>
      <c r="O1114" s="4" t="s">
        <v>530</v>
      </c>
    </row>
    <row r="1115" spans="2:15">
      <c r="B1115" s="20">
        <v>45125</v>
      </c>
      <c r="C1115" s="20">
        <v>45125</v>
      </c>
      <c r="D1115" s="54">
        <v>50470190</v>
      </c>
      <c r="E1115" s="55" t="s">
        <v>12</v>
      </c>
      <c r="F1115" s="56">
        <v>32</v>
      </c>
      <c r="G1115" s="68">
        <v>9273600</v>
      </c>
      <c r="H1115" s="56" t="s">
        <v>92</v>
      </c>
      <c r="J1115" s="56">
        <v>12836</v>
      </c>
      <c r="L1115" s="56" t="s">
        <v>958</v>
      </c>
      <c r="M1115" s="4" t="s">
        <v>392</v>
      </c>
      <c r="N1115" s="4" t="s">
        <v>777</v>
      </c>
      <c r="O1115" s="4" t="s">
        <v>530</v>
      </c>
    </row>
    <row r="1116" spans="2:15">
      <c r="B1116" s="20">
        <v>45125</v>
      </c>
      <c r="C1116" s="20">
        <v>45125</v>
      </c>
      <c r="D1116" s="54">
        <v>50809147</v>
      </c>
      <c r="E1116" s="55" t="s">
        <v>930</v>
      </c>
      <c r="F1116" s="56">
        <v>10</v>
      </c>
      <c r="G1116" s="68">
        <v>5107.85</v>
      </c>
      <c r="H1116" s="56" t="s">
        <v>82</v>
      </c>
      <c r="J1116" s="56">
        <v>12254</v>
      </c>
      <c r="L1116" s="56" t="s">
        <v>243</v>
      </c>
      <c r="M1116" s="4" t="s">
        <v>660</v>
      </c>
      <c r="N1116" s="4" t="s">
        <v>447</v>
      </c>
      <c r="O1116" s="4" t="s">
        <v>530</v>
      </c>
    </row>
    <row r="1117" spans="2:15">
      <c r="B1117" s="20">
        <v>45126</v>
      </c>
      <c r="C1117" s="20">
        <v>45126</v>
      </c>
      <c r="D1117" s="54">
        <v>50142262</v>
      </c>
      <c r="E1117" s="55" t="s">
        <v>779</v>
      </c>
      <c r="F1117" s="56">
        <v>42</v>
      </c>
      <c r="G1117" s="68">
        <v>252</v>
      </c>
      <c r="H1117" s="56" t="s">
        <v>82</v>
      </c>
      <c r="J1117" s="56">
        <v>7533</v>
      </c>
      <c r="L1117" s="56" t="s">
        <v>780</v>
      </c>
      <c r="M1117" s="4" t="s">
        <v>780</v>
      </c>
      <c r="N1117" s="4" t="s">
        <v>959</v>
      </c>
      <c r="O1117" s="4" t="s">
        <v>530</v>
      </c>
    </row>
    <row r="1118" spans="2:15">
      <c r="B1118" s="20">
        <v>45127</v>
      </c>
      <c r="C1118" s="20">
        <v>45127</v>
      </c>
      <c r="D1118" s="54">
        <v>50470190</v>
      </c>
      <c r="E1118" s="55" t="s">
        <v>12</v>
      </c>
      <c r="F1118" s="56">
        <v>32</v>
      </c>
      <c r="G1118" s="68">
        <v>9273600</v>
      </c>
      <c r="H1118" s="56" t="s">
        <v>92</v>
      </c>
      <c r="J1118" s="56">
        <v>2876</v>
      </c>
      <c r="L1118" s="56" t="s">
        <v>230</v>
      </c>
      <c r="M1118" s="4" t="s">
        <v>392</v>
      </c>
      <c r="N1118" s="4" t="s">
        <v>589</v>
      </c>
      <c r="O1118" s="4" t="s">
        <v>530</v>
      </c>
    </row>
    <row r="1119" spans="2:15">
      <c r="B1119" s="20">
        <v>45128</v>
      </c>
      <c r="C1119" s="20">
        <v>45128</v>
      </c>
      <c r="D1119" s="54">
        <v>50144376</v>
      </c>
      <c r="E1119" s="55" t="s">
        <v>19</v>
      </c>
      <c r="F1119" s="56">
        <v>12</v>
      </c>
      <c r="G1119" s="68">
        <v>6000</v>
      </c>
      <c r="H1119" s="56" t="s">
        <v>92</v>
      </c>
      <c r="J1119" s="56">
        <v>473</v>
      </c>
      <c r="L1119" s="56" t="s">
        <v>262</v>
      </c>
      <c r="M1119" s="4" t="s">
        <v>262</v>
      </c>
      <c r="N1119" s="4" t="s">
        <v>364</v>
      </c>
      <c r="O1119" s="4" t="s">
        <v>530</v>
      </c>
    </row>
    <row r="1120" spans="2:15">
      <c r="B1120" s="20">
        <v>45128</v>
      </c>
      <c r="C1120" s="20">
        <v>45128</v>
      </c>
      <c r="D1120" s="54">
        <v>50142237</v>
      </c>
      <c r="E1120" s="55" t="s">
        <v>617</v>
      </c>
      <c r="F1120" s="56">
        <v>1</v>
      </c>
      <c r="G1120" s="68">
        <v>29000</v>
      </c>
      <c r="H1120" s="56" t="s">
        <v>92</v>
      </c>
      <c r="J1120" s="56">
        <v>63706</v>
      </c>
      <c r="L1120" s="56" t="s">
        <v>618</v>
      </c>
      <c r="M1120" s="4" t="s">
        <v>619</v>
      </c>
      <c r="N1120" s="4" t="s">
        <v>683</v>
      </c>
      <c r="O1120" s="4" t="s">
        <v>530</v>
      </c>
    </row>
    <row r="1121" spans="2:15">
      <c r="B1121" s="20">
        <v>45128</v>
      </c>
      <c r="C1121" s="20">
        <v>45128</v>
      </c>
      <c r="D1121" s="54">
        <v>50813995</v>
      </c>
      <c r="E1121" s="55" t="s">
        <v>960</v>
      </c>
      <c r="F1121" s="56">
        <v>13</v>
      </c>
      <c r="G1121" s="68">
        <v>7267.8</v>
      </c>
      <c r="H1121" s="56" t="s">
        <v>82</v>
      </c>
      <c r="J1121" s="56">
        <v>12262</v>
      </c>
      <c r="L1121" s="56" t="s">
        <v>243</v>
      </c>
      <c r="M1121" s="4" t="s">
        <v>947</v>
      </c>
      <c r="N1121" s="4" t="s">
        <v>353</v>
      </c>
      <c r="O1121" s="4" t="s">
        <v>530</v>
      </c>
    </row>
    <row r="1122" spans="2:15">
      <c r="B1122" s="20">
        <v>45131</v>
      </c>
      <c r="C1122" s="20">
        <v>45131</v>
      </c>
      <c r="D1122" s="54">
        <v>50010080</v>
      </c>
      <c r="E1122" s="55" t="s">
        <v>354</v>
      </c>
      <c r="F1122" s="56">
        <v>20</v>
      </c>
      <c r="G1122" s="68">
        <v>20000</v>
      </c>
      <c r="H1122" s="56" t="s">
        <v>82</v>
      </c>
      <c r="J1122" s="56">
        <v>1906</v>
      </c>
      <c r="L1122" s="56" t="s">
        <v>355</v>
      </c>
      <c r="M1122" s="4" t="s">
        <v>355</v>
      </c>
      <c r="N1122" s="4" t="s">
        <v>961</v>
      </c>
      <c r="O1122" s="4" t="s">
        <v>530</v>
      </c>
    </row>
    <row r="1123" spans="2:15">
      <c r="B1123" s="20">
        <v>45131</v>
      </c>
      <c r="C1123" s="20">
        <v>45131</v>
      </c>
      <c r="D1123" s="54">
        <v>50171162</v>
      </c>
      <c r="E1123" s="55" t="s">
        <v>741</v>
      </c>
      <c r="F1123" s="56">
        <v>5</v>
      </c>
      <c r="G1123" s="68">
        <v>216</v>
      </c>
      <c r="H1123" s="56" t="s">
        <v>82</v>
      </c>
      <c r="J1123" s="56">
        <v>23412</v>
      </c>
      <c r="L1123" s="56" t="s">
        <v>838</v>
      </c>
      <c r="M1123" s="4" t="s">
        <v>176</v>
      </c>
      <c r="N1123" s="4" t="s">
        <v>177</v>
      </c>
      <c r="O1123" s="4" t="s">
        <v>530</v>
      </c>
    </row>
    <row r="1124" spans="2:15">
      <c r="B1124" s="20">
        <v>45131</v>
      </c>
      <c r="C1124" s="20">
        <v>45131</v>
      </c>
      <c r="D1124" s="54">
        <v>50486778</v>
      </c>
      <c r="E1124" s="55" t="s">
        <v>787</v>
      </c>
      <c r="F1124" s="56">
        <v>5</v>
      </c>
      <c r="G1124" s="68">
        <v>1449000</v>
      </c>
      <c r="H1124" s="56" t="s">
        <v>92</v>
      </c>
      <c r="J1124" s="56">
        <v>23412</v>
      </c>
      <c r="L1124" s="56" t="s">
        <v>838</v>
      </c>
      <c r="M1124" s="4" t="s">
        <v>176</v>
      </c>
      <c r="N1124" s="4" t="s">
        <v>177</v>
      </c>
      <c r="O1124" s="4" t="s">
        <v>530</v>
      </c>
    </row>
    <row r="1125" spans="2:15">
      <c r="B1125" s="20">
        <v>45131</v>
      </c>
      <c r="C1125" s="20">
        <v>45131</v>
      </c>
      <c r="D1125" s="54">
        <v>50272278</v>
      </c>
      <c r="E1125" s="55" t="s">
        <v>21</v>
      </c>
      <c r="F1125" s="56">
        <v>12</v>
      </c>
      <c r="G1125" s="68">
        <v>6000</v>
      </c>
      <c r="H1125" s="56" t="s">
        <v>962</v>
      </c>
      <c r="J1125" s="56">
        <v>480</v>
      </c>
      <c r="L1125" s="56" t="s">
        <v>262</v>
      </c>
      <c r="M1125" s="4" t="s">
        <v>262</v>
      </c>
      <c r="N1125" s="4" t="s">
        <v>364</v>
      </c>
      <c r="O1125" s="4" t="s">
        <v>530</v>
      </c>
    </row>
    <row r="1126" spans="2:15">
      <c r="B1126" s="20">
        <v>45132</v>
      </c>
      <c r="C1126" s="20">
        <v>45132</v>
      </c>
      <c r="D1126" s="54">
        <v>50272278</v>
      </c>
      <c r="E1126" s="55" t="s">
        <v>21</v>
      </c>
      <c r="F1126" s="56">
        <v>12</v>
      </c>
      <c r="G1126" s="68">
        <v>6000</v>
      </c>
      <c r="H1126" s="56" t="s">
        <v>92</v>
      </c>
      <c r="J1126" s="56">
        <v>484</v>
      </c>
      <c r="L1126" s="56" t="s">
        <v>262</v>
      </c>
      <c r="M1126" s="4" t="s">
        <v>262</v>
      </c>
      <c r="N1126" s="4" t="s">
        <v>364</v>
      </c>
      <c r="O1126" s="4" t="s">
        <v>530</v>
      </c>
    </row>
    <row r="1127" spans="2:15">
      <c r="B1127" s="20">
        <v>45132</v>
      </c>
      <c r="C1127" s="20">
        <v>45132</v>
      </c>
      <c r="D1127" s="54">
        <v>50522169</v>
      </c>
      <c r="E1127" s="55" t="s">
        <v>250</v>
      </c>
      <c r="F1127" s="56">
        <v>9</v>
      </c>
      <c r="G1127" s="68">
        <v>4799.9</v>
      </c>
      <c r="H1127" s="56" t="s">
        <v>82</v>
      </c>
      <c r="J1127" s="56">
        <v>12267</v>
      </c>
      <c r="L1127" s="56" t="s">
        <v>243</v>
      </c>
      <c r="M1127" s="4" t="s">
        <v>660</v>
      </c>
      <c r="N1127" s="4" t="s">
        <v>447</v>
      </c>
      <c r="O1127" s="4" t="s">
        <v>530</v>
      </c>
    </row>
    <row r="1128" spans="2:15">
      <c r="B1128" s="20">
        <v>45132</v>
      </c>
      <c r="C1128" s="20">
        <v>45132</v>
      </c>
      <c r="D1128" s="54">
        <v>50144376</v>
      </c>
      <c r="E1128" s="55" t="s">
        <v>19</v>
      </c>
      <c r="F1128" s="56">
        <v>12</v>
      </c>
      <c r="G1128" s="68">
        <v>6000</v>
      </c>
      <c r="H1128" s="56" t="s">
        <v>92</v>
      </c>
      <c r="J1128" s="56">
        <v>487</v>
      </c>
      <c r="L1128" s="56" t="s">
        <v>262</v>
      </c>
      <c r="M1128" s="4" t="s">
        <v>262</v>
      </c>
      <c r="N1128" s="4" t="s">
        <v>364</v>
      </c>
      <c r="O1128" s="4" t="s">
        <v>530</v>
      </c>
    </row>
    <row r="1129" spans="2:15">
      <c r="B1129" s="20">
        <v>45132</v>
      </c>
      <c r="C1129" s="20">
        <v>45132</v>
      </c>
      <c r="D1129" s="54">
        <v>50470190</v>
      </c>
      <c r="E1129" s="55" t="s">
        <v>12</v>
      </c>
      <c r="F1129" s="56">
        <v>32</v>
      </c>
      <c r="G1129" s="68">
        <v>9273600</v>
      </c>
      <c r="H1129" s="56" t="s">
        <v>92</v>
      </c>
      <c r="J1129" s="56">
        <v>2916</v>
      </c>
      <c r="L1129" s="56" t="s">
        <v>230</v>
      </c>
      <c r="M1129" s="4" t="s">
        <v>392</v>
      </c>
      <c r="N1129" s="4" t="s">
        <v>319</v>
      </c>
      <c r="O1129" s="4" t="s">
        <v>530</v>
      </c>
    </row>
    <row r="1130" spans="2:15">
      <c r="B1130" s="20">
        <v>45132</v>
      </c>
      <c r="C1130" s="20">
        <v>45132</v>
      </c>
      <c r="D1130" s="54">
        <v>50522169</v>
      </c>
      <c r="E1130" s="55" t="s">
        <v>250</v>
      </c>
      <c r="F1130" s="56">
        <v>3</v>
      </c>
      <c r="G1130" s="68">
        <v>1337.85</v>
      </c>
      <c r="H1130" s="56" t="s">
        <v>82</v>
      </c>
      <c r="J1130" s="56">
        <v>12269</v>
      </c>
      <c r="L1130" s="56" t="s">
        <v>243</v>
      </c>
      <c r="M1130" s="4" t="s">
        <v>660</v>
      </c>
      <c r="N1130" s="4" t="s">
        <v>963</v>
      </c>
      <c r="O1130" s="4" t="s">
        <v>530</v>
      </c>
    </row>
    <row r="1131" spans="2:15">
      <c r="B1131" s="20">
        <v>45132</v>
      </c>
      <c r="C1131" s="20">
        <v>45132</v>
      </c>
      <c r="D1131" s="54">
        <v>50501722</v>
      </c>
      <c r="E1131" s="55" t="s">
        <v>253</v>
      </c>
      <c r="F1131" s="56">
        <v>9</v>
      </c>
      <c r="G1131" s="68">
        <v>4833.15</v>
      </c>
      <c r="H1131" s="56" t="s">
        <v>82</v>
      </c>
      <c r="J1131" s="56">
        <v>12269</v>
      </c>
      <c r="L1131" s="56" t="s">
        <v>243</v>
      </c>
      <c r="M1131" s="4" t="s">
        <v>660</v>
      </c>
      <c r="N1131" s="4" t="s">
        <v>963</v>
      </c>
      <c r="O1131" s="4" t="s">
        <v>530</v>
      </c>
    </row>
    <row r="1132" spans="2:15">
      <c r="B1132" s="20">
        <v>45133</v>
      </c>
      <c r="C1132" s="20">
        <v>45133</v>
      </c>
      <c r="D1132" s="54">
        <v>40010084</v>
      </c>
      <c r="E1132" s="55" t="s">
        <v>81</v>
      </c>
      <c r="F1132" s="56">
        <v>4</v>
      </c>
      <c r="G1132" s="68">
        <v>6285</v>
      </c>
      <c r="H1132" s="56" t="s">
        <v>80</v>
      </c>
      <c r="J1132" s="56">
        <v>217810576</v>
      </c>
      <c r="K1132" s="4" t="s">
        <v>964</v>
      </c>
      <c r="L1132" s="56" t="s">
        <v>175</v>
      </c>
      <c r="M1132" s="4" t="s">
        <v>564</v>
      </c>
      <c r="N1132" s="4" t="s">
        <v>965</v>
      </c>
      <c r="O1132" s="4" t="s">
        <v>530</v>
      </c>
    </row>
    <row r="1133" spans="2:15">
      <c r="B1133" s="20">
        <v>45133</v>
      </c>
      <c r="C1133" s="20">
        <v>45133</v>
      </c>
      <c r="D1133" s="54">
        <v>40010083</v>
      </c>
      <c r="E1133" s="55" t="s">
        <v>85</v>
      </c>
      <c r="F1133" s="56">
        <v>2</v>
      </c>
      <c r="G1133" s="68">
        <v>5684</v>
      </c>
      <c r="H1133" s="56" t="s">
        <v>80</v>
      </c>
      <c r="J1133" s="56">
        <v>217810576</v>
      </c>
      <c r="K1133" s="4" t="s">
        <v>964</v>
      </c>
      <c r="L1133" s="56" t="s">
        <v>175</v>
      </c>
      <c r="M1133" s="4" t="s">
        <v>564</v>
      </c>
      <c r="N1133" s="4" t="s">
        <v>965</v>
      </c>
      <c r="O1133" s="4" t="s">
        <v>530</v>
      </c>
    </row>
    <row r="1134" spans="2:15">
      <c r="B1134" s="20">
        <v>45133</v>
      </c>
      <c r="C1134" s="20">
        <v>45133</v>
      </c>
      <c r="D1134" s="54">
        <v>50501722</v>
      </c>
      <c r="E1134" s="55" t="s">
        <v>253</v>
      </c>
      <c r="F1134" s="56">
        <v>4</v>
      </c>
      <c r="G1134" s="68">
        <v>2091.4</v>
      </c>
      <c r="H1134" s="56" t="s">
        <v>82</v>
      </c>
      <c r="J1134" s="56">
        <v>12270</v>
      </c>
      <c r="L1134" s="56" t="s">
        <v>243</v>
      </c>
      <c r="M1134" s="4" t="s">
        <v>660</v>
      </c>
      <c r="N1134" s="4" t="s">
        <v>908</v>
      </c>
      <c r="O1134" s="4" t="s">
        <v>530</v>
      </c>
    </row>
    <row r="1135" spans="2:15">
      <c r="B1135" s="20">
        <v>45135</v>
      </c>
      <c r="C1135" s="20">
        <v>45135</v>
      </c>
      <c r="D1135" s="54">
        <v>50470190</v>
      </c>
      <c r="E1135" s="55" t="s">
        <v>12</v>
      </c>
      <c r="F1135" s="56">
        <v>32</v>
      </c>
      <c r="G1135" s="68">
        <v>9273600</v>
      </c>
      <c r="H1135" s="56" t="s">
        <v>92</v>
      </c>
      <c r="J1135" s="56">
        <v>3001</v>
      </c>
      <c r="L1135" s="56" t="s">
        <v>230</v>
      </c>
      <c r="M1135" s="4" t="s">
        <v>392</v>
      </c>
      <c r="N1135" s="4" t="s">
        <v>777</v>
      </c>
      <c r="O1135" s="4" t="s">
        <v>530</v>
      </c>
    </row>
    <row r="1136" spans="2:15">
      <c r="B1136" s="20">
        <v>45135</v>
      </c>
      <c r="C1136" s="20">
        <v>45135</v>
      </c>
      <c r="D1136" s="54">
        <v>50272278</v>
      </c>
      <c r="E1136" s="55" t="s">
        <v>21</v>
      </c>
      <c r="F1136" s="56">
        <v>12</v>
      </c>
      <c r="G1136" s="68">
        <v>6000</v>
      </c>
      <c r="H1136" s="56" t="s">
        <v>92</v>
      </c>
      <c r="J1136" s="56">
        <v>510</v>
      </c>
      <c r="L1136" s="56" t="s">
        <v>262</v>
      </c>
      <c r="M1136" s="4" t="s">
        <v>262</v>
      </c>
      <c r="N1136" s="4" t="s">
        <v>364</v>
      </c>
      <c r="O1136" s="4" t="s">
        <v>530</v>
      </c>
    </row>
    <row r="1137" spans="2:15">
      <c r="B1137" s="20">
        <v>45138</v>
      </c>
      <c r="C1137" s="20">
        <v>45138</v>
      </c>
      <c r="D1137" s="54">
        <v>50272278</v>
      </c>
      <c r="E1137" s="55" t="s">
        <v>21</v>
      </c>
      <c r="F1137" s="56">
        <v>6</v>
      </c>
      <c r="G1137" s="68">
        <v>1500</v>
      </c>
      <c r="H1137" s="56" t="s">
        <v>92</v>
      </c>
      <c r="J1137" s="56">
        <v>23720</v>
      </c>
      <c r="L1137" s="56" t="s">
        <v>838</v>
      </c>
      <c r="M1137" s="4" t="s">
        <v>176</v>
      </c>
      <c r="N1137" s="4" t="s">
        <v>177</v>
      </c>
      <c r="O1137" s="4" t="s">
        <v>530</v>
      </c>
    </row>
    <row r="1138" spans="2:15">
      <c r="B1138" s="20">
        <v>45138</v>
      </c>
      <c r="C1138" s="20">
        <v>45138</v>
      </c>
      <c r="D1138" s="54">
        <v>50171162</v>
      </c>
      <c r="E1138" s="55" t="s">
        <v>741</v>
      </c>
      <c r="F1138" s="56">
        <v>2</v>
      </c>
      <c r="G1138" s="68">
        <v>66.6</v>
      </c>
      <c r="H1138" s="56" t="s">
        <v>898</v>
      </c>
      <c r="J1138" s="56">
        <v>23720</v>
      </c>
      <c r="L1138" s="56" t="s">
        <v>838</v>
      </c>
      <c r="M1138" s="4" t="s">
        <v>176</v>
      </c>
      <c r="N1138" s="4" t="s">
        <v>177</v>
      </c>
      <c r="O1138" s="4" t="s">
        <v>530</v>
      </c>
    </row>
    <row r="1139" spans="2:15">
      <c r="B1139" s="20">
        <v>45138</v>
      </c>
      <c r="C1139" s="20">
        <v>45138</v>
      </c>
      <c r="D1139" s="54">
        <v>50486778</v>
      </c>
      <c r="E1139" s="55" t="s">
        <v>787</v>
      </c>
      <c r="F1139" s="56">
        <v>1</v>
      </c>
      <c r="G1139" s="68">
        <v>279300</v>
      </c>
      <c r="H1139" s="56" t="s">
        <v>92</v>
      </c>
      <c r="J1139" s="56">
        <v>23720</v>
      </c>
      <c r="L1139" s="56" t="s">
        <v>838</v>
      </c>
      <c r="M1139" s="4" t="s">
        <v>176</v>
      </c>
      <c r="N1139" s="4" t="s">
        <v>177</v>
      </c>
      <c r="O1139" s="4" t="s">
        <v>530</v>
      </c>
    </row>
    <row r="1140" spans="2:15">
      <c r="B1140" s="20">
        <v>45138</v>
      </c>
      <c r="C1140" s="20">
        <v>45138</v>
      </c>
      <c r="D1140" s="54">
        <v>50470190</v>
      </c>
      <c r="E1140" s="55" t="s">
        <v>12</v>
      </c>
      <c r="F1140" s="56">
        <v>1</v>
      </c>
      <c r="G1140" s="68">
        <v>50248</v>
      </c>
      <c r="H1140" s="56" t="s">
        <v>92</v>
      </c>
      <c r="J1140" s="56">
        <v>23720</v>
      </c>
      <c r="L1140" s="56" t="s">
        <v>838</v>
      </c>
      <c r="M1140" s="4" t="s">
        <v>176</v>
      </c>
      <c r="N1140" s="4" t="s">
        <v>177</v>
      </c>
      <c r="O1140" s="4" t="s">
        <v>530</v>
      </c>
    </row>
    <row r="1141" spans="2:15">
      <c r="B1141" s="20">
        <v>45138</v>
      </c>
      <c r="C1141" s="20">
        <v>45138</v>
      </c>
      <c r="D1141" s="54">
        <v>50449101</v>
      </c>
      <c r="E1141" s="55" t="s">
        <v>237</v>
      </c>
      <c r="F1141" s="56">
        <v>2</v>
      </c>
      <c r="G1141" s="68">
        <v>454117</v>
      </c>
      <c r="H1141" s="56" t="s">
        <v>92</v>
      </c>
      <c r="J1141" s="56">
        <v>23720</v>
      </c>
      <c r="L1141" s="56" t="s">
        <v>838</v>
      </c>
      <c r="M1141" s="4" t="s">
        <v>176</v>
      </c>
      <c r="N1141" s="4" t="s">
        <v>177</v>
      </c>
      <c r="O1141" s="4" t="s">
        <v>530</v>
      </c>
    </row>
    <row r="1142" spans="2:15">
      <c r="B1142" s="20">
        <v>45139</v>
      </c>
      <c r="C1142" s="20">
        <v>45139</v>
      </c>
      <c r="D1142" s="54">
        <v>40011080</v>
      </c>
      <c r="E1142" s="55" t="s">
        <v>420</v>
      </c>
      <c r="F1142" s="56">
        <v>24</v>
      </c>
      <c r="G1142" s="68">
        <v>10470</v>
      </c>
      <c r="H1142" s="56" t="s">
        <v>80</v>
      </c>
      <c r="J1142" s="56" t="s">
        <v>966</v>
      </c>
      <c r="K1142" s="4" t="s">
        <v>967</v>
      </c>
      <c r="L1142" s="56" t="s">
        <v>423</v>
      </c>
      <c r="M1142" s="4" t="s">
        <v>750</v>
      </c>
      <c r="N1142" s="4" t="s">
        <v>679</v>
      </c>
      <c r="O1142" s="4" t="s">
        <v>530</v>
      </c>
    </row>
    <row r="1143" spans="2:15">
      <c r="B1143" s="20">
        <v>45139</v>
      </c>
      <c r="C1143" s="20">
        <v>45139</v>
      </c>
      <c r="D1143" s="54">
        <v>40011080</v>
      </c>
      <c r="E1143" s="55" t="s">
        <v>420</v>
      </c>
      <c r="F1143" s="56">
        <v>24</v>
      </c>
      <c r="G1143" s="68">
        <v>10800</v>
      </c>
      <c r="H1143" s="56" t="s">
        <v>80</v>
      </c>
      <c r="J1143" s="56" t="s">
        <v>966</v>
      </c>
      <c r="K1143" s="4" t="s">
        <v>968</v>
      </c>
      <c r="L1143" s="56" t="s">
        <v>423</v>
      </c>
      <c r="M1143" s="4" t="s">
        <v>750</v>
      </c>
      <c r="N1143" s="4" t="s">
        <v>969</v>
      </c>
      <c r="O1143" s="4" t="s">
        <v>530</v>
      </c>
    </row>
    <row r="1144" spans="2:15">
      <c r="B1144" s="20">
        <v>45139</v>
      </c>
      <c r="C1144" s="20">
        <v>45139</v>
      </c>
      <c r="D1144" s="54">
        <v>40011080</v>
      </c>
      <c r="E1144" s="55" t="s">
        <v>420</v>
      </c>
      <c r="F1144" s="56">
        <v>12</v>
      </c>
      <c r="G1144" s="68">
        <v>5217.8</v>
      </c>
      <c r="H1144" s="56" t="s">
        <v>80</v>
      </c>
      <c r="J1144" s="56" t="s">
        <v>966</v>
      </c>
      <c r="K1144" s="4" t="s">
        <v>970</v>
      </c>
      <c r="L1144" s="56" t="s">
        <v>423</v>
      </c>
      <c r="M1144" s="4" t="s">
        <v>750</v>
      </c>
      <c r="N1144" s="4" t="s">
        <v>971</v>
      </c>
      <c r="O1144" s="4" t="s">
        <v>530</v>
      </c>
    </row>
    <row r="1145" spans="2:15">
      <c r="B1145" s="20">
        <v>45139</v>
      </c>
      <c r="C1145" s="20">
        <v>45139</v>
      </c>
      <c r="D1145" s="54">
        <v>40011148</v>
      </c>
      <c r="E1145" s="55" t="s">
        <v>86</v>
      </c>
      <c r="F1145" s="56">
        <v>13</v>
      </c>
      <c r="G1145" s="68">
        <v>5470</v>
      </c>
      <c r="H1145" s="56" t="s">
        <v>80</v>
      </c>
      <c r="J1145" s="56" t="s">
        <v>966</v>
      </c>
      <c r="K1145" s="4" t="s">
        <v>970</v>
      </c>
      <c r="L1145" s="56" t="s">
        <v>423</v>
      </c>
      <c r="M1145" s="4" t="s">
        <v>750</v>
      </c>
      <c r="N1145" s="4" t="s">
        <v>971</v>
      </c>
      <c r="O1145" s="4" t="s">
        <v>530</v>
      </c>
    </row>
    <row r="1146" spans="2:15">
      <c r="B1146" s="20">
        <v>45139</v>
      </c>
      <c r="C1146" s="20">
        <v>45139</v>
      </c>
      <c r="D1146" s="54">
        <v>50144376</v>
      </c>
      <c r="E1146" s="55" t="s">
        <v>19</v>
      </c>
      <c r="F1146" s="56">
        <v>1</v>
      </c>
      <c r="G1146" s="68">
        <v>500</v>
      </c>
      <c r="H1146" s="56" t="s">
        <v>92</v>
      </c>
      <c r="J1146" s="56">
        <v>523</v>
      </c>
      <c r="L1146" s="56" t="s">
        <v>262</v>
      </c>
      <c r="M1146" s="4" t="s">
        <v>262</v>
      </c>
      <c r="N1146" s="4" t="s">
        <v>364</v>
      </c>
      <c r="O1146" s="4" t="s">
        <v>530</v>
      </c>
    </row>
    <row r="1147" spans="2:15">
      <c r="B1147" s="20">
        <v>45139</v>
      </c>
      <c r="C1147" s="20">
        <v>45139</v>
      </c>
      <c r="D1147" s="54">
        <v>50272278</v>
      </c>
      <c r="E1147" s="55" t="s">
        <v>21</v>
      </c>
      <c r="F1147" s="56">
        <v>11</v>
      </c>
      <c r="G1147" s="68">
        <v>5500</v>
      </c>
      <c r="H1147" s="56" t="s">
        <v>92</v>
      </c>
      <c r="J1147" s="56">
        <v>523</v>
      </c>
      <c r="L1147" s="56" t="s">
        <v>262</v>
      </c>
      <c r="M1147" s="4" t="s">
        <v>262</v>
      </c>
      <c r="N1147" s="4" t="s">
        <v>364</v>
      </c>
      <c r="O1147" s="4" t="s">
        <v>530</v>
      </c>
    </row>
    <row r="1148" spans="2:15">
      <c r="B1148" s="20">
        <v>45141</v>
      </c>
      <c r="C1148" s="20">
        <v>45141</v>
      </c>
      <c r="D1148" s="54">
        <v>50802526</v>
      </c>
      <c r="E1148" s="55" t="s">
        <v>804</v>
      </c>
      <c r="F1148" s="56">
        <v>1</v>
      </c>
      <c r="G1148" s="68">
        <v>2499690</v>
      </c>
      <c r="H1148" s="56" t="s">
        <v>92</v>
      </c>
      <c r="J1148" s="56" t="s">
        <v>972</v>
      </c>
      <c r="K1148" s="4" t="s">
        <v>973</v>
      </c>
      <c r="L1148" s="56" t="s">
        <v>853</v>
      </c>
      <c r="M1148" s="4" t="s">
        <v>564</v>
      </c>
      <c r="N1148" s="4" t="s">
        <v>974</v>
      </c>
      <c r="O1148" s="4" t="s">
        <v>530</v>
      </c>
    </row>
    <row r="1149" spans="2:15">
      <c r="B1149" s="20">
        <v>45141</v>
      </c>
      <c r="C1149" s="20">
        <v>45141</v>
      </c>
      <c r="D1149" s="54">
        <v>50802527</v>
      </c>
      <c r="E1149" s="55" t="s">
        <v>805</v>
      </c>
      <c r="F1149" s="56">
        <v>3</v>
      </c>
      <c r="G1149" s="68">
        <v>2475000</v>
      </c>
      <c r="H1149" s="56" t="s">
        <v>92</v>
      </c>
      <c r="J1149" s="56" t="s">
        <v>972</v>
      </c>
      <c r="K1149" s="4" t="s">
        <v>973</v>
      </c>
      <c r="L1149" s="56" t="s">
        <v>853</v>
      </c>
      <c r="M1149" s="4" t="s">
        <v>564</v>
      </c>
      <c r="N1149" s="4" t="s">
        <v>974</v>
      </c>
      <c r="O1149" s="4" t="s">
        <v>530</v>
      </c>
    </row>
    <row r="1150" spans="2:15">
      <c r="B1150" s="20">
        <v>45141</v>
      </c>
      <c r="C1150" s="20">
        <v>45141</v>
      </c>
      <c r="D1150" s="54">
        <v>50802525</v>
      </c>
      <c r="E1150" s="55" t="s">
        <v>801</v>
      </c>
      <c r="F1150" s="56">
        <v>6</v>
      </c>
      <c r="G1150" s="68">
        <v>2482050</v>
      </c>
      <c r="H1150" s="56" t="s">
        <v>92</v>
      </c>
      <c r="J1150" s="56" t="s">
        <v>972</v>
      </c>
      <c r="K1150" s="4" t="s">
        <v>973</v>
      </c>
      <c r="L1150" s="56" t="s">
        <v>853</v>
      </c>
      <c r="M1150" s="4" t="s">
        <v>564</v>
      </c>
      <c r="N1150" s="4" t="s">
        <v>974</v>
      </c>
      <c r="O1150" s="4" t="s">
        <v>530</v>
      </c>
    </row>
    <row r="1151" spans="2:15">
      <c r="B1151" s="20">
        <v>45141</v>
      </c>
      <c r="C1151" s="20">
        <v>45141</v>
      </c>
      <c r="D1151" s="54">
        <v>50144376</v>
      </c>
      <c r="E1151" s="55" t="s">
        <v>19</v>
      </c>
      <c r="F1151" s="56">
        <v>11</v>
      </c>
      <c r="G1151" s="68">
        <v>5500</v>
      </c>
      <c r="H1151" s="56" t="s">
        <v>92</v>
      </c>
      <c r="J1151" s="56">
        <v>535</v>
      </c>
      <c r="L1151" s="56" t="s">
        <v>262</v>
      </c>
      <c r="M1151" s="4" t="s">
        <v>262</v>
      </c>
      <c r="N1151" s="4" t="s">
        <v>364</v>
      </c>
      <c r="O1151" s="4" t="s">
        <v>530</v>
      </c>
    </row>
    <row r="1152" spans="2:15">
      <c r="B1152" s="20">
        <v>45141</v>
      </c>
      <c r="C1152" s="20">
        <v>45141</v>
      </c>
      <c r="D1152" s="54">
        <v>50272278</v>
      </c>
      <c r="E1152" s="55" t="s">
        <v>21</v>
      </c>
      <c r="F1152" s="56">
        <v>1</v>
      </c>
      <c r="G1152" s="68">
        <v>500</v>
      </c>
      <c r="H1152" s="56" t="s">
        <v>92</v>
      </c>
      <c r="J1152" s="56">
        <v>535</v>
      </c>
      <c r="L1152" s="56" t="s">
        <v>262</v>
      </c>
      <c r="M1152" s="4" t="s">
        <v>262</v>
      </c>
      <c r="N1152" s="4" t="s">
        <v>364</v>
      </c>
      <c r="O1152" s="4" t="s">
        <v>530</v>
      </c>
    </row>
    <row r="1153" spans="2:15">
      <c r="B1153" s="20">
        <v>45141</v>
      </c>
      <c r="C1153" s="20">
        <v>45141</v>
      </c>
      <c r="D1153" s="54">
        <v>50144376</v>
      </c>
      <c r="E1153" s="55" t="s">
        <v>19</v>
      </c>
      <c r="F1153" s="56">
        <v>12</v>
      </c>
      <c r="G1153" s="68">
        <v>6000</v>
      </c>
      <c r="H1153" s="56" t="s">
        <v>92</v>
      </c>
      <c r="J1153" s="56">
        <v>537</v>
      </c>
      <c r="L1153" s="56" t="s">
        <v>262</v>
      </c>
      <c r="M1153" s="4" t="s">
        <v>262</v>
      </c>
      <c r="N1153" s="4" t="s">
        <v>364</v>
      </c>
      <c r="O1153" s="4" t="s">
        <v>530</v>
      </c>
    </row>
    <row r="1154" spans="2:15">
      <c r="B1154" s="20">
        <v>45146</v>
      </c>
      <c r="C1154" s="20">
        <v>45146</v>
      </c>
      <c r="D1154" s="54">
        <v>50507916</v>
      </c>
      <c r="E1154" s="55" t="s">
        <v>406</v>
      </c>
      <c r="F1154" s="56">
        <v>33</v>
      </c>
      <c r="G1154" s="68">
        <v>8921000</v>
      </c>
      <c r="H1154" s="56" t="s">
        <v>92</v>
      </c>
      <c r="J1154" s="56" t="s">
        <v>975</v>
      </c>
      <c r="L1154" s="56" t="s">
        <v>877</v>
      </c>
      <c r="M1154" s="4" t="s">
        <v>976</v>
      </c>
      <c r="N1154" s="4" t="s">
        <v>720</v>
      </c>
      <c r="O1154" s="4" t="s">
        <v>530</v>
      </c>
    </row>
    <row r="1155" spans="2:15">
      <c r="B1155" s="20">
        <v>45146</v>
      </c>
      <c r="C1155" s="20">
        <v>45146</v>
      </c>
      <c r="D1155" s="54">
        <v>50315365</v>
      </c>
      <c r="E1155" s="55" t="s">
        <v>584</v>
      </c>
      <c r="F1155" s="56">
        <v>7</v>
      </c>
      <c r="G1155" s="68">
        <v>1837</v>
      </c>
      <c r="H1155" s="56" t="s">
        <v>80</v>
      </c>
      <c r="J1155" s="56" t="s">
        <v>975</v>
      </c>
      <c r="L1155" s="56" t="s">
        <v>877</v>
      </c>
      <c r="M1155" s="4" t="s">
        <v>976</v>
      </c>
      <c r="N1155" s="4" t="s">
        <v>720</v>
      </c>
      <c r="O1155" s="4" t="s">
        <v>530</v>
      </c>
    </row>
    <row r="1156" spans="2:15">
      <c r="B1156" s="20">
        <v>45148</v>
      </c>
      <c r="C1156" s="20">
        <v>45148</v>
      </c>
      <c r="D1156" s="54">
        <v>123458</v>
      </c>
      <c r="E1156" s="55" t="s">
        <v>977</v>
      </c>
      <c r="F1156" s="56">
        <v>2</v>
      </c>
      <c r="G1156" s="68">
        <v>40</v>
      </c>
      <c r="H1156" s="56" t="s">
        <v>82</v>
      </c>
      <c r="J1156" s="56" t="s">
        <v>978</v>
      </c>
      <c r="L1156" s="56" t="s">
        <v>979</v>
      </c>
      <c r="M1156" s="4" t="s">
        <v>980</v>
      </c>
      <c r="N1156" s="4" t="s">
        <v>803</v>
      </c>
      <c r="O1156" s="4" t="s">
        <v>530</v>
      </c>
    </row>
    <row r="1157" spans="2:15">
      <c r="B1157" s="20">
        <v>45148</v>
      </c>
      <c r="C1157" s="20">
        <v>45148</v>
      </c>
      <c r="D1157" s="54">
        <v>50144376</v>
      </c>
      <c r="E1157" s="55" t="s">
        <v>19</v>
      </c>
      <c r="F1157" s="56">
        <v>12</v>
      </c>
      <c r="G1157" s="68">
        <v>6000</v>
      </c>
      <c r="H1157" s="56" t="s">
        <v>92</v>
      </c>
      <c r="J1157" s="56">
        <v>558</v>
      </c>
      <c r="L1157" s="56" t="s">
        <v>262</v>
      </c>
      <c r="M1157" s="4" t="s">
        <v>262</v>
      </c>
      <c r="N1157" s="4" t="s">
        <v>364</v>
      </c>
      <c r="O1157" s="4" t="s">
        <v>530</v>
      </c>
    </row>
    <row r="1158" spans="2:15">
      <c r="B1158" s="20">
        <v>45148</v>
      </c>
      <c r="C1158" s="20">
        <v>45148</v>
      </c>
      <c r="D1158" s="54">
        <v>50272278</v>
      </c>
      <c r="E1158" s="55" t="s">
        <v>21</v>
      </c>
      <c r="F1158" s="56">
        <v>2</v>
      </c>
      <c r="G1158" s="68">
        <v>5000</v>
      </c>
      <c r="H1158" s="56" t="s">
        <v>92</v>
      </c>
      <c r="J1158" s="56">
        <v>563</v>
      </c>
      <c r="L1158" s="56" t="s">
        <v>262</v>
      </c>
      <c r="M1158" s="4" t="s">
        <v>262</v>
      </c>
      <c r="N1158" s="4" t="s">
        <v>364</v>
      </c>
      <c r="O1158" s="4" t="s">
        <v>530</v>
      </c>
    </row>
    <row r="1159" spans="2:15">
      <c r="B1159" s="20">
        <v>45148</v>
      </c>
      <c r="C1159" s="20">
        <v>45148</v>
      </c>
      <c r="D1159" s="54">
        <v>50144376</v>
      </c>
      <c r="E1159" s="55" t="s">
        <v>19</v>
      </c>
      <c r="F1159" s="56">
        <v>10</v>
      </c>
      <c r="G1159" s="68">
        <v>872</v>
      </c>
      <c r="H1159" s="56" t="s">
        <v>92</v>
      </c>
      <c r="J1159" s="56">
        <v>563</v>
      </c>
      <c r="L1159" s="56" t="s">
        <v>262</v>
      </c>
      <c r="M1159" s="4" t="s">
        <v>262</v>
      </c>
      <c r="N1159" s="4" t="s">
        <v>364</v>
      </c>
      <c r="O1159" s="4" t="s">
        <v>530</v>
      </c>
    </row>
    <row r="1160" spans="2:15">
      <c r="B1160" s="20">
        <v>45148</v>
      </c>
      <c r="C1160" s="20">
        <v>45148</v>
      </c>
      <c r="D1160" s="54">
        <v>50470190</v>
      </c>
      <c r="E1160" s="55" t="s">
        <v>12</v>
      </c>
      <c r="F1160" s="56">
        <v>32</v>
      </c>
      <c r="G1160" s="68">
        <v>9273600</v>
      </c>
      <c r="H1160" s="56" t="s">
        <v>92</v>
      </c>
      <c r="J1160" s="56">
        <v>3305</v>
      </c>
      <c r="L1160" s="56" t="s">
        <v>958</v>
      </c>
      <c r="M1160" s="4" t="s">
        <v>392</v>
      </c>
      <c r="N1160" s="4" t="s">
        <v>589</v>
      </c>
      <c r="O1160" s="4" t="s">
        <v>530</v>
      </c>
    </row>
    <row r="1161" spans="2:15">
      <c r="B1161" s="20">
        <v>45149</v>
      </c>
      <c r="C1161" s="20">
        <v>45149</v>
      </c>
      <c r="D1161" s="54">
        <v>50144376</v>
      </c>
      <c r="E1161" s="55" t="s">
        <v>19</v>
      </c>
      <c r="F1161" s="56">
        <v>12</v>
      </c>
      <c r="G1161" s="68">
        <v>6000</v>
      </c>
      <c r="H1161" s="56" t="s">
        <v>92</v>
      </c>
      <c r="J1161" s="56">
        <v>564</v>
      </c>
      <c r="L1161" s="56" t="s">
        <v>262</v>
      </c>
      <c r="M1161" s="4" t="s">
        <v>262</v>
      </c>
      <c r="N1161" s="4" t="s">
        <v>364</v>
      </c>
      <c r="O1161" s="4" t="s">
        <v>530</v>
      </c>
    </row>
    <row r="1162" spans="2:15">
      <c r="B1162" s="20">
        <v>45154</v>
      </c>
      <c r="C1162" s="20">
        <v>45154</v>
      </c>
      <c r="D1162" s="54">
        <v>50272278</v>
      </c>
      <c r="E1162" s="55" t="s">
        <v>21</v>
      </c>
      <c r="F1162" s="56">
        <v>12</v>
      </c>
      <c r="G1162" s="68">
        <v>6000</v>
      </c>
      <c r="H1162" s="56" t="s">
        <v>92</v>
      </c>
      <c r="J1162" s="56">
        <v>575</v>
      </c>
      <c r="L1162" s="56" t="s">
        <v>262</v>
      </c>
      <c r="M1162" s="4" t="s">
        <v>262</v>
      </c>
      <c r="N1162" s="4" t="s">
        <v>364</v>
      </c>
      <c r="O1162" s="4" t="s">
        <v>530</v>
      </c>
    </row>
    <row r="1163" spans="2:15">
      <c r="B1163" s="20">
        <v>45155</v>
      </c>
      <c r="C1163" s="20">
        <v>45155</v>
      </c>
      <c r="D1163" s="54">
        <v>50272278</v>
      </c>
      <c r="E1163" s="55" t="s">
        <v>21</v>
      </c>
      <c r="F1163" s="56">
        <v>12</v>
      </c>
      <c r="G1163" s="68">
        <v>6000</v>
      </c>
      <c r="H1163" s="56" t="s">
        <v>92</v>
      </c>
      <c r="J1163" s="56">
        <v>579</v>
      </c>
      <c r="L1163" s="56" t="s">
        <v>262</v>
      </c>
      <c r="M1163" s="4" t="s">
        <v>262</v>
      </c>
      <c r="N1163" s="4" t="s">
        <v>364</v>
      </c>
      <c r="O1163" s="4" t="s">
        <v>530</v>
      </c>
    </row>
    <row r="1164" spans="2:15">
      <c r="B1164" s="20">
        <v>45155</v>
      </c>
      <c r="C1164" s="20">
        <v>45155</v>
      </c>
      <c r="D1164" s="54">
        <v>50272278</v>
      </c>
      <c r="E1164" s="55" t="s">
        <v>21</v>
      </c>
      <c r="F1164" s="56">
        <v>12</v>
      </c>
      <c r="G1164" s="68">
        <v>6000</v>
      </c>
      <c r="H1164" s="56" t="s">
        <v>92</v>
      </c>
      <c r="J1164" s="56">
        <v>582</v>
      </c>
      <c r="L1164" s="56" t="s">
        <v>262</v>
      </c>
      <c r="M1164" s="4" t="s">
        <v>262</v>
      </c>
      <c r="N1164" s="4" t="s">
        <v>364</v>
      </c>
      <c r="O1164" s="4" t="s">
        <v>530</v>
      </c>
    </row>
    <row r="1165" spans="2:15">
      <c r="B1165" s="20">
        <v>45159</v>
      </c>
      <c r="C1165" s="20">
        <v>45159</v>
      </c>
      <c r="D1165" s="54">
        <v>50145029</v>
      </c>
      <c r="E1165" s="55" t="s">
        <v>705</v>
      </c>
      <c r="F1165" s="56">
        <v>1</v>
      </c>
      <c r="G1165" s="68">
        <v>24</v>
      </c>
      <c r="H1165" s="56" t="s">
        <v>505</v>
      </c>
      <c r="J1165" s="56">
        <v>546</v>
      </c>
      <c r="L1165" s="56" t="s">
        <v>506</v>
      </c>
      <c r="M1165" s="4" t="s">
        <v>507</v>
      </c>
      <c r="N1165" s="4" t="s">
        <v>706</v>
      </c>
      <c r="O1165" s="4" t="s">
        <v>530</v>
      </c>
    </row>
    <row r="1166" spans="2:15">
      <c r="B1166" s="20">
        <v>45159</v>
      </c>
      <c r="C1166" s="20">
        <v>45159</v>
      </c>
      <c r="D1166" s="54">
        <v>50392046</v>
      </c>
      <c r="E1166" s="55" t="s">
        <v>509</v>
      </c>
      <c r="F1166" s="56">
        <v>1</v>
      </c>
      <c r="G1166" s="68">
        <v>24</v>
      </c>
      <c r="H1166" s="56" t="s">
        <v>505</v>
      </c>
      <c r="J1166" s="56">
        <v>546</v>
      </c>
      <c r="L1166" s="56" t="s">
        <v>506</v>
      </c>
      <c r="M1166" s="4" t="s">
        <v>507</v>
      </c>
      <c r="N1166" s="4" t="s">
        <v>364</v>
      </c>
      <c r="O1166" s="4" t="s">
        <v>530</v>
      </c>
    </row>
    <row r="1167" spans="2:15">
      <c r="B1167" s="20">
        <v>45159</v>
      </c>
      <c r="C1167" s="20">
        <v>45159</v>
      </c>
      <c r="D1167" s="54">
        <v>50144376</v>
      </c>
      <c r="E1167" s="55" t="s">
        <v>19</v>
      </c>
      <c r="F1167" s="56">
        <v>12</v>
      </c>
      <c r="G1167" s="68">
        <v>6000</v>
      </c>
      <c r="H1167" s="56" t="s">
        <v>92</v>
      </c>
      <c r="J1167" s="56">
        <v>593</v>
      </c>
      <c r="L1167" s="56" t="s">
        <v>262</v>
      </c>
      <c r="M1167" s="4" t="s">
        <v>262</v>
      </c>
      <c r="N1167" s="4" t="s">
        <v>364</v>
      </c>
      <c r="O1167" s="4" t="s">
        <v>530</v>
      </c>
    </row>
    <row r="1168" spans="2:15">
      <c r="B1168" s="20">
        <v>45160</v>
      </c>
      <c r="C1168" s="20">
        <v>45160</v>
      </c>
      <c r="D1168" s="54">
        <v>50144376</v>
      </c>
      <c r="E1168" s="55" t="s">
        <v>19</v>
      </c>
      <c r="F1168" s="56">
        <v>12</v>
      </c>
      <c r="G1168" s="68">
        <v>6000</v>
      </c>
      <c r="H1168" s="56" t="s">
        <v>92</v>
      </c>
      <c r="J1168" s="56">
        <v>599</v>
      </c>
      <c r="L1168" s="56" t="s">
        <v>262</v>
      </c>
      <c r="M1168" s="4" t="s">
        <v>262</v>
      </c>
      <c r="N1168" s="4" t="s">
        <v>364</v>
      </c>
      <c r="O1168" s="4" t="s">
        <v>530</v>
      </c>
    </row>
    <row r="1169" spans="2:15">
      <c r="B1169" s="20">
        <v>45160</v>
      </c>
      <c r="C1169" s="20">
        <v>45160</v>
      </c>
      <c r="D1169" s="54">
        <v>50470190</v>
      </c>
      <c r="E1169" s="55" t="s">
        <v>12</v>
      </c>
      <c r="F1169" s="56">
        <v>32</v>
      </c>
      <c r="G1169" s="68">
        <v>9273600</v>
      </c>
      <c r="H1169" s="56" t="s">
        <v>92</v>
      </c>
      <c r="J1169" s="56">
        <v>3642</v>
      </c>
      <c r="L1169" s="56" t="s">
        <v>958</v>
      </c>
      <c r="M1169" s="4" t="s">
        <v>392</v>
      </c>
      <c r="N1169" s="4" t="s">
        <v>589</v>
      </c>
      <c r="O1169" s="4" t="s">
        <v>530</v>
      </c>
    </row>
    <row r="1170" spans="2:15">
      <c r="B1170" s="20">
        <v>45160</v>
      </c>
      <c r="C1170" s="20">
        <v>45160</v>
      </c>
      <c r="D1170" s="54">
        <v>50272278</v>
      </c>
      <c r="E1170" s="55" t="s">
        <v>21</v>
      </c>
      <c r="F1170" s="56">
        <v>12</v>
      </c>
      <c r="G1170" s="68">
        <v>6000</v>
      </c>
      <c r="H1170" s="56" t="s">
        <v>92</v>
      </c>
      <c r="J1170" s="56">
        <v>602</v>
      </c>
      <c r="L1170" s="56" t="s">
        <v>262</v>
      </c>
      <c r="M1170" s="4" t="s">
        <v>262</v>
      </c>
      <c r="N1170" s="4" t="s">
        <v>364</v>
      </c>
      <c r="O1170" s="4" t="s">
        <v>530</v>
      </c>
    </row>
    <row r="1171" spans="2:15">
      <c r="B1171" s="20">
        <v>45161</v>
      </c>
      <c r="C1171" s="20">
        <v>45161</v>
      </c>
      <c r="D1171" s="54">
        <v>40010086</v>
      </c>
      <c r="E1171" s="55" t="s">
        <v>79</v>
      </c>
      <c r="F1171" s="56">
        <v>4</v>
      </c>
      <c r="G1171" s="68">
        <v>11903</v>
      </c>
      <c r="H1171" s="56" t="s">
        <v>80</v>
      </c>
      <c r="J1171" s="56">
        <v>221967070</v>
      </c>
      <c r="K1171" s="4" t="s">
        <v>981</v>
      </c>
      <c r="L1171" s="56" t="s">
        <v>175</v>
      </c>
      <c r="M1171" s="4" t="s">
        <v>564</v>
      </c>
      <c r="N1171" s="4" t="s">
        <v>965</v>
      </c>
      <c r="O1171" s="4" t="s">
        <v>530</v>
      </c>
    </row>
    <row r="1172" spans="2:15">
      <c r="B1172" s="20">
        <v>45161</v>
      </c>
      <c r="C1172" s="20">
        <v>45161</v>
      </c>
      <c r="D1172" s="54">
        <v>40011130</v>
      </c>
      <c r="E1172" s="55" t="s">
        <v>631</v>
      </c>
      <c r="F1172" s="56">
        <v>3</v>
      </c>
      <c r="G1172" s="68">
        <v>6699</v>
      </c>
      <c r="H1172" s="56" t="s">
        <v>80</v>
      </c>
      <c r="J1172" s="56">
        <v>221967071</v>
      </c>
      <c r="K1172" s="4" t="s">
        <v>982</v>
      </c>
      <c r="L1172" s="56" t="s">
        <v>175</v>
      </c>
      <c r="M1172" s="4" t="s">
        <v>564</v>
      </c>
      <c r="N1172" s="4" t="s">
        <v>965</v>
      </c>
      <c r="O1172" s="4" t="s">
        <v>530</v>
      </c>
    </row>
    <row r="1173" spans="2:15">
      <c r="B1173" s="20">
        <v>45161</v>
      </c>
      <c r="C1173" s="20">
        <v>45161</v>
      </c>
      <c r="D1173" s="54">
        <v>40009544</v>
      </c>
      <c r="E1173" s="55" t="s">
        <v>179</v>
      </c>
      <c r="F1173" s="56">
        <v>9</v>
      </c>
      <c r="G1173" s="68">
        <v>24773</v>
      </c>
      <c r="H1173" s="56" t="s">
        <v>80</v>
      </c>
      <c r="J1173" s="56">
        <v>221967072</v>
      </c>
      <c r="K1173" s="4" t="s">
        <v>983</v>
      </c>
      <c r="L1173" s="56" t="s">
        <v>175</v>
      </c>
      <c r="M1173" s="4" t="s">
        <v>564</v>
      </c>
      <c r="N1173" s="4" t="s">
        <v>965</v>
      </c>
      <c r="O1173" s="4" t="s">
        <v>530</v>
      </c>
    </row>
    <row r="1174" spans="2:15">
      <c r="B1174" s="20">
        <v>45161</v>
      </c>
      <c r="C1174" s="20">
        <v>45161</v>
      </c>
      <c r="D1174" s="54">
        <v>40011133</v>
      </c>
      <c r="E1174" s="55" t="s">
        <v>634</v>
      </c>
      <c r="F1174" s="56">
        <v>7</v>
      </c>
      <c r="G1174" s="68">
        <v>4968</v>
      </c>
      <c r="H1174" s="56" t="s">
        <v>80</v>
      </c>
      <c r="J1174" s="56">
        <v>221967073</v>
      </c>
      <c r="K1174" s="4" t="s">
        <v>984</v>
      </c>
      <c r="L1174" s="56" t="s">
        <v>175</v>
      </c>
      <c r="M1174" s="4" t="s">
        <v>564</v>
      </c>
      <c r="N1174" s="4" t="s">
        <v>965</v>
      </c>
      <c r="O1174" s="4" t="s">
        <v>530</v>
      </c>
    </row>
    <row r="1175" spans="2:15">
      <c r="B1175" s="20">
        <v>45161</v>
      </c>
      <c r="C1175" s="20">
        <v>45161</v>
      </c>
      <c r="D1175" s="54">
        <v>50805963</v>
      </c>
      <c r="E1175" s="55" t="s">
        <v>914</v>
      </c>
      <c r="F1175" s="56">
        <v>1</v>
      </c>
      <c r="G1175" s="68">
        <v>2544</v>
      </c>
      <c r="H1175" s="56" t="s">
        <v>80</v>
      </c>
      <c r="J1175" s="56">
        <v>221967074</v>
      </c>
      <c r="K1175" s="4" t="s">
        <v>985</v>
      </c>
      <c r="L1175" s="56" t="s">
        <v>175</v>
      </c>
      <c r="M1175" s="4" t="s">
        <v>564</v>
      </c>
      <c r="N1175" s="4" t="s">
        <v>965</v>
      </c>
      <c r="O1175" s="4" t="s">
        <v>530</v>
      </c>
    </row>
    <row r="1176" spans="2:15">
      <c r="B1176" s="20">
        <v>45162</v>
      </c>
      <c r="C1176" s="20">
        <v>45162</v>
      </c>
      <c r="D1176" s="54">
        <v>50272278</v>
      </c>
      <c r="E1176" s="55" t="s">
        <v>21</v>
      </c>
      <c r="F1176" s="56">
        <v>12</v>
      </c>
      <c r="G1176" s="68">
        <v>6000</v>
      </c>
      <c r="H1176" s="56" t="s">
        <v>92</v>
      </c>
      <c r="J1176" s="56">
        <v>607</v>
      </c>
      <c r="L1176" s="56" t="s">
        <v>262</v>
      </c>
      <c r="M1176" s="4" t="s">
        <v>262</v>
      </c>
      <c r="N1176" s="4" t="s">
        <v>364</v>
      </c>
      <c r="O1176" s="4" t="s">
        <v>530</v>
      </c>
    </row>
    <row r="1177" spans="2:15">
      <c r="B1177" s="20">
        <v>45163</v>
      </c>
      <c r="C1177" s="20">
        <v>45163</v>
      </c>
      <c r="D1177" s="54">
        <v>50272278</v>
      </c>
      <c r="E1177" s="55" t="s">
        <v>21</v>
      </c>
      <c r="F1177" s="56">
        <v>12</v>
      </c>
      <c r="G1177" s="68">
        <v>6000</v>
      </c>
      <c r="H1177" s="56" t="s">
        <v>92</v>
      </c>
      <c r="J1177" s="56">
        <v>615</v>
      </c>
      <c r="L1177" s="56" t="s">
        <v>262</v>
      </c>
      <c r="M1177" s="4" t="s">
        <v>262</v>
      </c>
      <c r="N1177" s="4" t="s">
        <v>364</v>
      </c>
      <c r="O1177" s="4" t="s">
        <v>530</v>
      </c>
    </row>
    <row r="1178" spans="2:15">
      <c r="B1178" s="20">
        <v>45163</v>
      </c>
      <c r="C1178" s="20">
        <v>45163</v>
      </c>
      <c r="D1178" s="54">
        <v>50142631</v>
      </c>
      <c r="E1178" s="55" t="s">
        <v>566</v>
      </c>
      <c r="F1178" s="56">
        <v>2</v>
      </c>
      <c r="G1178" s="68">
        <v>1500</v>
      </c>
      <c r="H1178" s="56" t="s">
        <v>82</v>
      </c>
      <c r="J1178" s="56">
        <v>58508</v>
      </c>
      <c r="L1178" s="56" t="s">
        <v>567</v>
      </c>
      <c r="M1178" s="4" t="s">
        <v>568</v>
      </c>
      <c r="N1178" s="4" t="s">
        <v>569</v>
      </c>
      <c r="O1178" s="4" t="s">
        <v>530</v>
      </c>
    </row>
    <row r="1179" spans="2:15">
      <c r="B1179" s="20">
        <v>45163</v>
      </c>
      <c r="C1179" s="20">
        <v>45163</v>
      </c>
      <c r="D1179" s="54">
        <v>50272278</v>
      </c>
      <c r="E1179" s="55" t="s">
        <v>21</v>
      </c>
      <c r="F1179" s="56">
        <v>12</v>
      </c>
      <c r="G1179" s="68">
        <v>6000</v>
      </c>
      <c r="H1179" s="56" t="s">
        <v>92</v>
      </c>
      <c r="J1179" s="56">
        <v>617</v>
      </c>
      <c r="L1179" s="56" t="s">
        <v>262</v>
      </c>
      <c r="M1179" s="4" t="s">
        <v>262</v>
      </c>
      <c r="N1179" s="4" t="s">
        <v>364</v>
      </c>
      <c r="O1179" s="4" t="s">
        <v>530</v>
      </c>
    </row>
    <row r="1180" spans="2:15">
      <c r="B1180" s="20">
        <v>45167</v>
      </c>
      <c r="C1180" s="20">
        <v>45167</v>
      </c>
      <c r="D1180" s="54">
        <v>50814036</v>
      </c>
      <c r="E1180" s="55" t="s">
        <v>986</v>
      </c>
      <c r="F1180" s="56">
        <v>10</v>
      </c>
      <c r="G1180" s="68">
        <v>5045.95</v>
      </c>
      <c r="H1180" s="56" t="s">
        <v>82</v>
      </c>
      <c r="J1180" s="56">
        <v>12343</v>
      </c>
      <c r="L1180" s="56" t="s">
        <v>243</v>
      </c>
      <c r="M1180" s="4" t="s">
        <v>660</v>
      </c>
      <c r="N1180" s="4" t="s">
        <v>574</v>
      </c>
      <c r="O1180" s="4" t="s">
        <v>530</v>
      </c>
    </row>
    <row r="1181" spans="2:15">
      <c r="B1181" s="20">
        <v>45167</v>
      </c>
      <c r="C1181" s="20">
        <v>45167</v>
      </c>
      <c r="D1181" s="54">
        <v>50144376</v>
      </c>
      <c r="E1181" s="55" t="s">
        <v>19</v>
      </c>
      <c r="F1181" s="56">
        <v>12</v>
      </c>
      <c r="G1181" s="68">
        <v>6000</v>
      </c>
      <c r="H1181" s="56" t="s">
        <v>92</v>
      </c>
      <c r="J1181" s="56">
        <v>631</v>
      </c>
      <c r="L1181" s="56" t="s">
        <v>262</v>
      </c>
      <c r="M1181" s="4" t="s">
        <v>262</v>
      </c>
      <c r="N1181" s="4" t="s">
        <v>364</v>
      </c>
      <c r="O1181" s="4" t="s">
        <v>530</v>
      </c>
    </row>
    <row r="1182" spans="2:15">
      <c r="B1182" s="20">
        <v>45168</v>
      </c>
      <c r="C1182" s="20">
        <v>45168</v>
      </c>
      <c r="D1182" s="54">
        <v>50141533</v>
      </c>
      <c r="E1182" s="55" t="s">
        <v>494</v>
      </c>
      <c r="F1182" s="56">
        <v>4</v>
      </c>
      <c r="G1182" s="68">
        <v>5000</v>
      </c>
      <c r="H1182" s="56" t="s">
        <v>987</v>
      </c>
      <c r="J1182" s="56">
        <v>10952</v>
      </c>
      <c r="L1182" s="56" t="s">
        <v>495</v>
      </c>
      <c r="M1182" s="4" t="s">
        <v>495</v>
      </c>
      <c r="N1182" s="4" t="s">
        <v>988</v>
      </c>
      <c r="O1182" s="4" t="s">
        <v>530</v>
      </c>
    </row>
    <row r="1183" spans="2:15">
      <c r="B1183" s="20">
        <v>45168</v>
      </c>
      <c r="C1183" s="20">
        <v>45168</v>
      </c>
      <c r="D1183" s="54">
        <v>50470190</v>
      </c>
      <c r="E1183" s="55" t="s">
        <v>12</v>
      </c>
      <c r="F1183" s="56">
        <v>32</v>
      </c>
      <c r="G1183" s="68">
        <v>9273600</v>
      </c>
      <c r="H1183" s="56" t="s">
        <v>92</v>
      </c>
      <c r="J1183" s="56">
        <v>3813</v>
      </c>
      <c r="L1183" s="56" t="s">
        <v>230</v>
      </c>
      <c r="M1183" s="4" t="s">
        <v>392</v>
      </c>
      <c r="N1183" s="4" t="s">
        <v>589</v>
      </c>
      <c r="O1183" s="4" t="s">
        <v>530</v>
      </c>
    </row>
    <row r="1184" spans="2:15">
      <c r="B1184" s="20">
        <v>45168</v>
      </c>
      <c r="C1184" s="20">
        <v>45168</v>
      </c>
      <c r="D1184" s="54">
        <v>50272278</v>
      </c>
      <c r="E1184" s="55" t="s">
        <v>21</v>
      </c>
      <c r="F1184" s="56">
        <v>12</v>
      </c>
      <c r="G1184" s="68">
        <v>6000</v>
      </c>
      <c r="H1184" s="56" t="s">
        <v>92</v>
      </c>
      <c r="J1184" s="56">
        <v>639</v>
      </c>
      <c r="L1184" s="56" t="s">
        <v>262</v>
      </c>
      <c r="M1184" s="4" t="s">
        <v>262</v>
      </c>
      <c r="N1184" s="4" t="s">
        <v>364</v>
      </c>
      <c r="O1184" s="4" t="s">
        <v>530</v>
      </c>
    </row>
    <row r="1185" spans="2:15">
      <c r="B1185" s="20">
        <v>45169</v>
      </c>
      <c r="C1185" s="20">
        <v>45169</v>
      </c>
      <c r="D1185" s="54">
        <v>50813995</v>
      </c>
      <c r="E1185" s="55" t="s">
        <v>960</v>
      </c>
      <c r="F1185" s="56">
        <v>15</v>
      </c>
      <c r="G1185" s="68">
        <v>8001.6</v>
      </c>
      <c r="H1185" s="56" t="s">
        <v>82</v>
      </c>
      <c r="J1185" s="56">
        <v>12345</v>
      </c>
      <c r="L1185" s="56" t="s">
        <v>243</v>
      </c>
      <c r="M1185" s="4" t="s">
        <v>660</v>
      </c>
      <c r="N1185" s="4" t="s">
        <v>574</v>
      </c>
      <c r="O1185" s="4" t="s">
        <v>530</v>
      </c>
    </row>
    <row r="1186" spans="2:15">
      <c r="B1186" s="20">
        <v>45169</v>
      </c>
      <c r="C1186" s="20">
        <v>45169</v>
      </c>
      <c r="D1186" s="54">
        <v>50809144</v>
      </c>
      <c r="E1186" s="55" t="s">
        <v>989</v>
      </c>
      <c r="F1186" s="56">
        <v>8</v>
      </c>
      <c r="G1186" s="68">
        <v>4790.4</v>
      </c>
      <c r="H1186" s="56" t="s">
        <v>82</v>
      </c>
      <c r="J1186" s="56">
        <v>25003</v>
      </c>
      <c r="L1186" s="56" t="s">
        <v>838</v>
      </c>
      <c r="M1186" s="4" t="s">
        <v>176</v>
      </c>
      <c r="N1186" s="4" t="s">
        <v>177</v>
      </c>
      <c r="O1186" s="4" t="s">
        <v>530</v>
      </c>
    </row>
    <row r="1187" spans="2:15">
      <c r="B1187" s="20">
        <v>45169</v>
      </c>
      <c r="C1187" s="20">
        <v>45169</v>
      </c>
      <c r="D1187" s="54">
        <v>50272278</v>
      </c>
      <c r="E1187" s="55" t="s">
        <v>21</v>
      </c>
      <c r="F1187" s="56">
        <v>8</v>
      </c>
      <c r="G1187" s="68">
        <v>2350</v>
      </c>
      <c r="H1187" s="56" t="s">
        <v>92</v>
      </c>
      <c r="J1187" s="56">
        <v>25003</v>
      </c>
      <c r="L1187" s="56" t="s">
        <v>838</v>
      </c>
      <c r="M1187" s="4" t="s">
        <v>176</v>
      </c>
      <c r="N1187" s="4" t="s">
        <v>177</v>
      </c>
      <c r="O1187" s="4" t="s">
        <v>530</v>
      </c>
    </row>
    <row r="1188" spans="2:15">
      <c r="B1188" s="20">
        <v>45169</v>
      </c>
      <c r="C1188" s="20">
        <v>45169</v>
      </c>
      <c r="D1188" s="54">
        <v>50272278</v>
      </c>
      <c r="E1188" s="55" t="s">
        <v>21</v>
      </c>
      <c r="F1188" s="56">
        <v>12</v>
      </c>
      <c r="G1188" s="68">
        <v>6000</v>
      </c>
      <c r="H1188" s="56" t="s">
        <v>92</v>
      </c>
      <c r="J1188" s="56">
        <v>645</v>
      </c>
      <c r="L1188" s="56" t="s">
        <v>262</v>
      </c>
      <c r="M1188" s="4" t="s">
        <v>262</v>
      </c>
      <c r="N1188" s="4" t="s">
        <v>364</v>
      </c>
      <c r="O1188" s="4" t="s">
        <v>530</v>
      </c>
    </row>
    <row r="1189" spans="2:15">
      <c r="B1189" s="20">
        <v>45170</v>
      </c>
      <c r="C1189" s="20">
        <v>45170</v>
      </c>
      <c r="D1189" s="54">
        <v>50505001</v>
      </c>
      <c r="E1189" s="55" t="s">
        <v>990</v>
      </c>
      <c r="F1189" s="56">
        <v>24</v>
      </c>
      <c r="G1189" s="68">
        <v>240000</v>
      </c>
      <c r="H1189" s="56" t="s">
        <v>92</v>
      </c>
      <c r="J1189" s="56">
        <v>10073</v>
      </c>
      <c r="K1189" s="4" t="s">
        <v>991</v>
      </c>
      <c r="L1189" s="56" t="s">
        <v>175</v>
      </c>
      <c r="M1189" s="4" t="s">
        <v>392</v>
      </c>
      <c r="N1189" s="4" t="s">
        <v>992</v>
      </c>
      <c r="O1189" s="4" t="s">
        <v>530</v>
      </c>
    </row>
    <row r="1190" spans="2:15">
      <c r="B1190" s="20">
        <v>45170</v>
      </c>
      <c r="C1190" s="20">
        <v>45170</v>
      </c>
      <c r="D1190" s="54">
        <v>50505002</v>
      </c>
      <c r="E1190" s="55" t="s">
        <v>993</v>
      </c>
      <c r="F1190" s="56">
        <v>23</v>
      </c>
      <c r="G1190" s="68">
        <v>213000</v>
      </c>
      <c r="H1190" s="56" t="s">
        <v>92</v>
      </c>
      <c r="J1190" s="56">
        <v>10073</v>
      </c>
      <c r="K1190" s="4" t="s">
        <v>991</v>
      </c>
      <c r="L1190" s="56" t="s">
        <v>175</v>
      </c>
      <c r="M1190" s="4" t="s">
        <v>392</v>
      </c>
      <c r="N1190" s="4" t="s">
        <v>992</v>
      </c>
      <c r="O1190" s="4" t="s">
        <v>530</v>
      </c>
    </row>
    <row r="1191" spans="2:15">
      <c r="B1191" s="20">
        <v>45173</v>
      </c>
      <c r="C1191" s="20">
        <v>45173</v>
      </c>
      <c r="D1191" s="54">
        <v>50272278</v>
      </c>
      <c r="E1191" s="55" t="s">
        <v>21</v>
      </c>
      <c r="F1191" s="56">
        <v>12</v>
      </c>
      <c r="G1191" s="68">
        <v>6000</v>
      </c>
      <c r="H1191" s="56" t="s">
        <v>92</v>
      </c>
      <c r="J1191" s="56">
        <v>658</v>
      </c>
      <c r="L1191" s="56" t="s">
        <v>262</v>
      </c>
      <c r="M1191" s="4" t="s">
        <v>262</v>
      </c>
      <c r="N1191" s="4" t="s">
        <v>364</v>
      </c>
      <c r="O1191" s="4" t="s">
        <v>530</v>
      </c>
    </row>
    <row r="1192" spans="2:15">
      <c r="B1192" s="20">
        <v>45174</v>
      </c>
      <c r="C1192" s="20">
        <v>45174</v>
      </c>
      <c r="D1192" s="54">
        <v>50144376</v>
      </c>
      <c r="E1192" s="55" t="s">
        <v>19</v>
      </c>
      <c r="F1192" s="56">
        <v>12</v>
      </c>
      <c r="G1192" s="68">
        <v>6000</v>
      </c>
      <c r="H1192" s="56" t="s">
        <v>92</v>
      </c>
      <c r="J1192" s="56">
        <v>665</v>
      </c>
      <c r="L1192" s="56" t="s">
        <v>262</v>
      </c>
      <c r="M1192" s="4" t="s">
        <v>262</v>
      </c>
      <c r="N1192" s="4" t="s">
        <v>364</v>
      </c>
      <c r="O1192" s="4" t="s">
        <v>530</v>
      </c>
    </row>
    <row r="1193" spans="2:15">
      <c r="B1193" s="20">
        <v>45177</v>
      </c>
      <c r="C1193" s="20">
        <v>45177</v>
      </c>
      <c r="D1193" s="54">
        <v>50813995</v>
      </c>
      <c r="E1193" s="55" t="s">
        <v>960</v>
      </c>
      <c r="F1193" s="56">
        <v>14</v>
      </c>
      <c r="G1193" s="68">
        <v>6934.6</v>
      </c>
      <c r="H1193" s="56" t="s">
        <v>82</v>
      </c>
      <c r="J1193" s="56">
        <v>12366</v>
      </c>
      <c r="L1193" s="56" t="s">
        <v>243</v>
      </c>
      <c r="M1193" s="4" t="s">
        <v>660</v>
      </c>
      <c r="N1193" s="4" t="s">
        <v>574</v>
      </c>
      <c r="O1193" s="4" t="s">
        <v>530</v>
      </c>
    </row>
    <row r="1194" spans="2:15">
      <c r="B1194" s="20">
        <v>45177</v>
      </c>
      <c r="C1194" s="20">
        <v>45177</v>
      </c>
      <c r="D1194" s="54">
        <v>50505025</v>
      </c>
      <c r="E1194" s="55" t="s">
        <v>994</v>
      </c>
      <c r="F1194" s="56">
        <v>7</v>
      </c>
      <c r="G1194" s="68">
        <v>7</v>
      </c>
      <c r="H1194" s="56" t="s">
        <v>92</v>
      </c>
      <c r="J1194" s="56">
        <v>1782</v>
      </c>
      <c r="L1194" s="56" t="s">
        <v>558</v>
      </c>
      <c r="M1194" s="4" t="s">
        <v>558</v>
      </c>
      <c r="N1194" s="4" t="s">
        <v>755</v>
      </c>
      <c r="O1194" s="4" t="s">
        <v>530</v>
      </c>
    </row>
    <row r="1195" spans="2:15">
      <c r="B1195" s="20">
        <v>45177</v>
      </c>
      <c r="C1195" s="20">
        <v>45177</v>
      </c>
      <c r="D1195" s="54">
        <v>50272278</v>
      </c>
      <c r="E1195" s="55" t="s">
        <v>21</v>
      </c>
      <c r="F1195" s="56">
        <v>12</v>
      </c>
      <c r="G1195" s="68">
        <v>6000</v>
      </c>
      <c r="H1195" s="56" t="s">
        <v>92</v>
      </c>
      <c r="J1195" s="56">
        <v>684</v>
      </c>
      <c r="L1195" s="56" t="s">
        <v>262</v>
      </c>
      <c r="M1195" s="4" t="s">
        <v>262</v>
      </c>
      <c r="N1195" s="4" t="s">
        <v>364</v>
      </c>
      <c r="O1195" s="4" t="s">
        <v>530</v>
      </c>
    </row>
    <row r="1196" spans="2:15">
      <c r="B1196" s="20">
        <v>45178</v>
      </c>
      <c r="C1196" s="20">
        <v>45178</v>
      </c>
      <c r="D1196" s="54">
        <v>50272278</v>
      </c>
      <c r="E1196" s="55" t="s">
        <v>21</v>
      </c>
      <c r="F1196" s="56">
        <v>12</v>
      </c>
      <c r="G1196" s="68">
        <v>6000</v>
      </c>
      <c r="H1196" s="56" t="s">
        <v>92</v>
      </c>
      <c r="J1196" s="56">
        <v>554</v>
      </c>
      <c r="L1196" s="56" t="s">
        <v>262</v>
      </c>
      <c r="M1196" s="4" t="s">
        <v>262</v>
      </c>
      <c r="N1196" s="4" t="s">
        <v>364</v>
      </c>
      <c r="O1196" s="4" t="s">
        <v>530</v>
      </c>
    </row>
    <row r="1197" spans="2:15">
      <c r="B1197" s="20">
        <v>45178</v>
      </c>
      <c r="C1197" s="20">
        <v>45178</v>
      </c>
      <c r="D1197" s="54">
        <v>50809152</v>
      </c>
      <c r="E1197" s="55" t="s">
        <v>953</v>
      </c>
      <c r="F1197" s="56">
        <v>11</v>
      </c>
      <c r="G1197" s="68">
        <v>5284.55</v>
      </c>
      <c r="H1197" s="56" t="s">
        <v>82</v>
      </c>
      <c r="J1197" s="56">
        <v>12297</v>
      </c>
      <c r="L1197" s="56" t="s">
        <v>243</v>
      </c>
      <c r="M1197" s="4" t="s">
        <v>660</v>
      </c>
      <c r="N1197" s="4" t="s">
        <v>574</v>
      </c>
      <c r="O1197" s="4" t="s">
        <v>530</v>
      </c>
    </row>
    <row r="1198" spans="2:15">
      <c r="B1198" s="20">
        <v>45178</v>
      </c>
      <c r="C1198" s="20">
        <v>45178</v>
      </c>
      <c r="D1198" s="54">
        <v>40009546</v>
      </c>
      <c r="E1198" s="55" t="s">
        <v>174</v>
      </c>
      <c r="F1198" s="56">
        <v>5</v>
      </c>
      <c r="G1198" s="68">
        <v>3780</v>
      </c>
      <c r="H1198" s="56" t="s">
        <v>80</v>
      </c>
      <c r="J1198" s="56">
        <v>223969983</v>
      </c>
      <c r="K1198" s="4" t="s">
        <v>982</v>
      </c>
      <c r="L1198" s="56" t="s">
        <v>175</v>
      </c>
      <c r="M1198" s="4" t="s">
        <v>520</v>
      </c>
      <c r="N1198" s="4" t="s">
        <v>995</v>
      </c>
      <c r="O1198" s="4" t="s">
        <v>530</v>
      </c>
    </row>
    <row r="1199" spans="2:15">
      <c r="B1199" s="20">
        <v>45178</v>
      </c>
      <c r="C1199" s="20">
        <v>45178</v>
      </c>
      <c r="D1199" s="54">
        <v>40010087</v>
      </c>
      <c r="E1199" s="55" t="s">
        <v>387</v>
      </c>
      <c r="F1199" s="56">
        <v>3</v>
      </c>
      <c r="G1199" s="68">
        <v>11994</v>
      </c>
      <c r="H1199" s="56" t="s">
        <v>80</v>
      </c>
      <c r="J1199" s="56">
        <v>223969983</v>
      </c>
      <c r="K1199" s="4" t="s">
        <v>982</v>
      </c>
      <c r="L1199" s="56" t="s">
        <v>175</v>
      </c>
      <c r="M1199" s="4" t="s">
        <v>520</v>
      </c>
      <c r="N1199" s="4" t="s">
        <v>995</v>
      </c>
      <c r="O1199" s="4" t="s">
        <v>530</v>
      </c>
    </row>
    <row r="1200" spans="2:15">
      <c r="B1200" s="20">
        <v>45178</v>
      </c>
      <c r="C1200" s="20">
        <v>45178</v>
      </c>
      <c r="D1200" s="54">
        <v>40009543</v>
      </c>
      <c r="E1200" s="55" t="s">
        <v>473</v>
      </c>
      <c r="F1200" s="56">
        <v>16</v>
      </c>
      <c r="G1200" s="68">
        <v>3950</v>
      </c>
      <c r="H1200" s="56" t="s">
        <v>80</v>
      </c>
      <c r="J1200" s="56">
        <v>223969983</v>
      </c>
      <c r="K1200" s="4" t="s">
        <v>982</v>
      </c>
      <c r="L1200" s="56" t="s">
        <v>175</v>
      </c>
      <c r="M1200" s="4" t="s">
        <v>520</v>
      </c>
      <c r="N1200" s="4" t="s">
        <v>995</v>
      </c>
      <c r="O1200" s="4" t="s">
        <v>530</v>
      </c>
    </row>
    <row r="1201" spans="2:15">
      <c r="B1201" s="20">
        <v>45178</v>
      </c>
      <c r="C1201" s="20">
        <v>45178</v>
      </c>
      <c r="D1201" s="54">
        <v>40009541</v>
      </c>
      <c r="E1201" s="55" t="s">
        <v>685</v>
      </c>
      <c r="F1201" s="56">
        <v>2</v>
      </c>
      <c r="G1201" s="68">
        <v>7392</v>
      </c>
      <c r="H1201" s="56" t="s">
        <v>80</v>
      </c>
      <c r="J1201" s="56">
        <v>223969983</v>
      </c>
      <c r="K1201" s="4" t="s">
        <v>982</v>
      </c>
      <c r="L1201" s="56" t="s">
        <v>175</v>
      </c>
      <c r="M1201" s="4" t="s">
        <v>520</v>
      </c>
      <c r="N1201" s="4" t="s">
        <v>995</v>
      </c>
      <c r="O1201" s="4" t="s">
        <v>530</v>
      </c>
    </row>
    <row r="1202" spans="2:15">
      <c r="B1202" s="20">
        <v>45178</v>
      </c>
      <c r="C1202" s="20">
        <v>45178</v>
      </c>
      <c r="D1202" s="54">
        <v>40013313</v>
      </c>
      <c r="E1202" s="55" t="s">
        <v>996</v>
      </c>
      <c r="F1202" s="56">
        <v>1</v>
      </c>
      <c r="G1202" s="68">
        <v>3282</v>
      </c>
      <c r="H1202" s="56" t="s">
        <v>80</v>
      </c>
      <c r="J1202" s="56">
        <v>223969983</v>
      </c>
      <c r="K1202" s="4" t="s">
        <v>982</v>
      </c>
      <c r="L1202" s="56" t="s">
        <v>175</v>
      </c>
      <c r="M1202" s="4" t="s">
        <v>520</v>
      </c>
      <c r="N1202" s="4" t="s">
        <v>995</v>
      </c>
      <c r="O1202" s="4" t="s">
        <v>530</v>
      </c>
    </row>
    <row r="1203" spans="2:15">
      <c r="B1203" s="20">
        <v>45178</v>
      </c>
      <c r="C1203" s="20">
        <v>45178</v>
      </c>
      <c r="D1203" s="54">
        <v>40009546</v>
      </c>
      <c r="E1203" s="55" t="s">
        <v>174</v>
      </c>
      <c r="G1203" s="68">
        <v>20430</v>
      </c>
      <c r="H1203" s="56" t="s">
        <v>80</v>
      </c>
      <c r="J1203" s="56">
        <v>223969976</v>
      </c>
      <c r="K1203" s="4" t="s">
        <v>983</v>
      </c>
      <c r="L1203" s="56" t="s">
        <v>175</v>
      </c>
      <c r="M1203" s="4" t="s">
        <v>520</v>
      </c>
      <c r="N1203" s="4" t="s">
        <v>916</v>
      </c>
      <c r="O1203" s="4" t="s">
        <v>530</v>
      </c>
    </row>
    <row r="1204" spans="2:15">
      <c r="B1204" s="20">
        <v>45180</v>
      </c>
      <c r="C1204" s="20">
        <v>45180</v>
      </c>
      <c r="D1204" s="54">
        <v>50144376</v>
      </c>
      <c r="E1204" s="55" t="s">
        <v>19</v>
      </c>
      <c r="F1204" s="56">
        <v>12</v>
      </c>
      <c r="G1204" s="68">
        <v>6000</v>
      </c>
      <c r="H1204" s="56" t="s">
        <v>92</v>
      </c>
      <c r="J1204" s="56">
        <v>688</v>
      </c>
      <c r="L1204" s="56" t="s">
        <v>262</v>
      </c>
      <c r="M1204" s="4" t="s">
        <v>262</v>
      </c>
      <c r="N1204" s="4" t="s">
        <v>364</v>
      </c>
      <c r="O1204" s="4" t="s">
        <v>530</v>
      </c>
    </row>
    <row r="1205" spans="2:15">
      <c r="B1205" s="20">
        <v>45180</v>
      </c>
      <c r="C1205" s="20">
        <v>45180</v>
      </c>
      <c r="D1205" s="54">
        <v>50813995</v>
      </c>
      <c r="E1205" s="55" t="s">
        <v>960</v>
      </c>
      <c r="F1205" s="56">
        <v>8</v>
      </c>
      <c r="G1205" s="68">
        <v>4900.3</v>
      </c>
      <c r="H1205" s="56" t="s">
        <v>82</v>
      </c>
      <c r="J1205" s="56">
        <v>12374</v>
      </c>
      <c r="L1205" s="56" t="s">
        <v>243</v>
      </c>
      <c r="M1205" s="4" t="s">
        <v>660</v>
      </c>
      <c r="N1205" s="4" t="s">
        <v>586</v>
      </c>
      <c r="O1205" s="4" t="s">
        <v>530</v>
      </c>
    </row>
    <row r="1206" spans="2:15">
      <c r="B1206" s="20">
        <v>45180</v>
      </c>
      <c r="C1206" s="20">
        <v>45180</v>
      </c>
      <c r="D1206" s="54">
        <v>50809143</v>
      </c>
      <c r="E1206" s="55" t="s">
        <v>997</v>
      </c>
      <c r="F1206" s="56">
        <v>6</v>
      </c>
      <c r="G1206" s="68">
        <v>3012.7</v>
      </c>
      <c r="H1206" s="56" t="s">
        <v>82</v>
      </c>
      <c r="J1206" s="56">
        <v>12374</v>
      </c>
      <c r="L1206" s="56" t="s">
        <v>243</v>
      </c>
      <c r="M1206" s="4" t="s">
        <v>660</v>
      </c>
      <c r="N1206" s="4" t="s">
        <v>586</v>
      </c>
      <c r="O1206" s="4" t="s">
        <v>530</v>
      </c>
    </row>
    <row r="1207" spans="2:15">
      <c r="B1207" s="20">
        <v>45181</v>
      </c>
      <c r="C1207" s="20">
        <v>45181</v>
      </c>
      <c r="D1207" s="54">
        <v>50145028</v>
      </c>
      <c r="E1207" s="55" t="s">
        <v>23</v>
      </c>
      <c r="F1207" s="56">
        <v>6</v>
      </c>
      <c r="G1207" s="68">
        <v>1000</v>
      </c>
      <c r="H1207" s="56" t="s">
        <v>92</v>
      </c>
      <c r="J1207" s="56">
        <v>2226</v>
      </c>
      <c r="L1207" s="56" t="s">
        <v>388</v>
      </c>
      <c r="M1207" s="4" t="s">
        <v>388</v>
      </c>
      <c r="N1207" s="4" t="s">
        <v>682</v>
      </c>
      <c r="O1207" s="4" t="s">
        <v>530</v>
      </c>
    </row>
    <row r="1208" spans="2:15">
      <c r="B1208" s="20">
        <v>45181</v>
      </c>
      <c r="C1208" s="20">
        <v>45181</v>
      </c>
      <c r="D1208" s="54">
        <v>50144376</v>
      </c>
      <c r="E1208" s="55" t="s">
        <v>19</v>
      </c>
      <c r="F1208" s="56">
        <v>12</v>
      </c>
      <c r="G1208" s="68">
        <v>6000</v>
      </c>
      <c r="H1208" s="56" t="s">
        <v>92</v>
      </c>
      <c r="J1208" s="56">
        <v>696</v>
      </c>
      <c r="L1208" s="56" t="s">
        <v>262</v>
      </c>
      <c r="M1208" s="4" t="s">
        <v>262</v>
      </c>
      <c r="N1208" s="4" t="s">
        <v>364</v>
      </c>
      <c r="O1208" s="4" t="s">
        <v>530</v>
      </c>
    </row>
    <row r="1209" spans="2:15">
      <c r="B1209" s="20">
        <v>45183</v>
      </c>
      <c r="C1209" s="20">
        <v>45183</v>
      </c>
      <c r="D1209" s="54">
        <v>50143875</v>
      </c>
      <c r="E1209" s="55" t="s">
        <v>713</v>
      </c>
      <c r="F1209" s="56">
        <v>49</v>
      </c>
      <c r="G1209" s="68">
        <v>19850</v>
      </c>
      <c r="H1209" s="56" t="s">
        <v>92</v>
      </c>
      <c r="J1209" s="56">
        <v>3648</v>
      </c>
      <c r="L1209" s="56" t="s">
        <v>615</v>
      </c>
      <c r="M1209" s="4" t="s">
        <v>615</v>
      </c>
      <c r="N1209" s="4" t="s">
        <v>998</v>
      </c>
      <c r="O1209" s="4" t="s">
        <v>530</v>
      </c>
    </row>
    <row r="1210" spans="2:15">
      <c r="B1210" s="20">
        <v>45184</v>
      </c>
      <c r="C1210" s="20">
        <v>45184</v>
      </c>
      <c r="D1210" s="54">
        <v>50272278</v>
      </c>
      <c r="E1210" s="55" t="s">
        <v>21</v>
      </c>
      <c r="F1210" s="56">
        <v>12</v>
      </c>
      <c r="G1210" s="68">
        <v>6000</v>
      </c>
      <c r="H1210" s="56" t="s">
        <v>92</v>
      </c>
      <c r="J1210" s="56">
        <v>716</v>
      </c>
      <c r="L1210" s="56" t="s">
        <v>262</v>
      </c>
      <c r="M1210" s="4" t="s">
        <v>262</v>
      </c>
      <c r="N1210" s="4" t="s">
        <v>364</v>
      </c>
      <c r="O1210" s="4" t="s">
        <v>530</v>
      </c>
    </row>
    <row r="1211" spans="2:15">
      <c r="B1211" s="20">
        <v>45184</v>
      </c>
      <c r="C1211" s="20">
        <v>45184</v>
      </c>
      <c r="D1211" s="54">
        <v>50470190</v>
      </c>
      <c r="E1211" s="55" t="s">
        <v>12</v>
      </c>
      <c r="F1211" s="56">
        <v>32</v>
      </c>
      <c r="G1211" s="68">
        <v>9273600</v>
      </c>
      <c r="H1211" s="56" t="s">
        <v>92</v>
      </c>
      <c r="J1211" s="56">
        <v>4217</v>
      </c>
      <c r="L1211" s="56" t="s">
        <v>958</v>
      </c>
      <c r="M1211" s="4" t="s">
        <v>392</v>
      </c>
      <c r="N1211" s="4" t="s">
        <v>777</v>
      </c>
      <c r="O1211" s="4" t="s">
        <v>530</v>
      </c>
    </row>
    <row r="1212" spans="2:15">
      <c r="B1212" s="20">
        <v>45185</v>
      </c>
      <c r="C1212" s="20">
        <v>45185</v>
      </c>
      <c r="D1212" s="54">
        <v>50271800</v>
      </c>
      <c r="E1212" s="55" t="s">
        <v>313</v>
      </c>
      <c r="F1212" s="56">
        <v>3</v>
      </c>
      <c r="G1212" s="68">
        <v>6636000</v>
      </c>
      <c r="H1212" s="56" t="s">
        <v>92</v>
      </c>
      <c r="J1212" s="56" t="s">
        <v>999</v>
      </c>
      <c r="K1212" s="4" t="s">
        <v>1000</v>
      </c>
      <c r="L1212" s="56" t="s">
        <v>358</v>
      </c>
      <c r="M1212" s="4" t="s">
        <v>1001</v>
      </c>
      <c r="N1212" s="4" t="s">
        <v>1002</v>
      </c>
      <c r="O1212" s="4" t="s">
        <v>530</v>
      </c>
    </row>
    <row r="1213" spans="2:15">
      <c r="B1213" s="20">
        <v>45185</v>
      </c>
      <c r="C1213" s="20">
        <v>45185</v>
      </c>
      <c r="D1213" s="54">
        <v>50271801</v>
      </c>
      <c r="E1213" s="55" t="s">
        <v>222</v>
      </c>
      <c r="F1213" s="56">
        <v>7</v>
      </c>
      <c r="G1213" s="68">
        <v>6654000</v>
      </c>
      <c r="H1213" s="56" t="s">
        <v>92</v>
      </c>
      <c r="J1213" s="56" t="s">
        <v>999</v>
      </c>
      <c r="K1213" s="4" t="s">
        <v>1000</v>
      </c>
      <c r="L1213" s="56" t="s">
        <v>358</v>
      </c>
      <c r="M1213" s="4" t="s">
        <v>1001</v>
      </c>
      <c r="N1213" s="4" t="s">
        <v>1002</v>
      </c>
      <c r="O1213" s="4" t="s">
        <v>530</v>
      </c>
    </row>
    <row r="1214" spans="2:15">
      <c r="B1214" s="20">
        <v>45185</v>
      </c>
      <c r="C1214" s="20">
        <v>45185</v>
      </c>
      <c r="D1214" s="54">
        <v>50271740</v>
      </c>
      <c r="E1214" s="55" t="s">
        <v>314</v>
      </c>
      <c r="F1214" s="56">
        <v>3</v>
      </c>
      <c r="G1214" s="68">
        <v>1512000</v>
      </c>
      <c r="H1214" s="56" t="s">
        <v>92</v>
      </c>
      <c r="J1214" s="56" t="s">
        <v>999</v>
      </c>
      <c r="K1214" s="4" t="s">
        <v>1000</v>
      </c>
      <c r="L1214" s="56" t="s">
        <v>358</v>
      </c>
      <c r="M1214" s="4" t="s">
        <v>1001</v>
      </c>
      <c r="N1214" s="4" t="s">
        <v>1002</v>
      </c>
      <c r="O1214" s="4" t="s">
        <v>530</v>
      </c>
    </row>
    <row r="1215" spans="2:15">
      <c r="B1215" s="20">
        <v>45185</v>
      </c>
      <c r="C1215" s="20">
        <v>45185</v>
      </c>
      <c r="D1215" s="54">
        <v>50804929</v>
      </c>
      <c r="E1215" s="55" t="s">
        <v>856</v>
      </c>
      <c r="F1215" s="56">
        <v>1</v>
      </c>
      <c r="G1215" s="68">
        <v>48000</v>
      </c>
      <c r="H1215" s="56" t="s">
        <v>92</v>
      </c>
      <c r="J1215" s="56" t="s">
        <v>999</v>
      </c>
      <c r="K1215" s="4" t="s">
        <v>1000</v>
      </c>
      <c r="L1215" s="56" t="s">
        <v>358</v>
      </c>
      <c r="M1215" s="4" t="s">
        <v>1001</v>
      </c>
      <c r="N1215" s="4" t="s">
        <v>1002</v>
      </c>
      <c r="O1215" s="4" t="s">
        <v>530</v>
      </c>
    </row>
    <row r="1216" spans="2:15">
      <c r="B1216" s="20">
        <v>45185</v>
      </c>
      <c r="C1216" s="20">
        <v>45185</v>
      </c>
      <c r="D1216" s="54">
        <v>50502627</v>
      </c>
      <c r="E1216" s="55" t="s">
        <v>1003</v>
      </c>
      <c r="F1216" s="56">
        <v>1</v>
      </c>
      <c r="G1216" s="68">
        <v>36000</v>
      </c>
      <c r="H1216" s="56" t="s">
        <v>92</v>
      </c>
      <c r="J1216" s="56" t="s">
        <v>999</v>
      </c>
      <c r="K1216" s="4" t="s">
        <v>1000</v>
      </c>
      <c r="L1216" s="56" t="s">
        <v>358</v>
      </c>
      <c r="M1216" s="4" t="s">
        <v>1001</v>
      </c>
      <c r="N1216" s="4" t="s">
        <v>1002</v>
      </c>
      <c r="O1216" s="4" t="s">
        <v>530</v>
      </c>
    </row>
    <row r="1217" spans="2:15">
      <c r="B1217" s="20">
        <v>45187</v>
      </c>
      <c r="C1217" s="20">
        <v>45187</v>
      </c>
      <c r="D1217" s="54">
        <v>50809145</v>
      </c>
      <c r="E1217" s="55" t="s">
        <v>946</v>
      </c>
      <c r="F1217" s="56">
        <v>5</v>
      </c>
      <c r="G1217" s="68">
        <v>2176.85</v>
      </c>
      <c r="H1217" s="56" t="s">
        <v>82</v>
      </c>
      <c r="J1217" s="56">
        <v>12393</v>
      </c>
      <c r="L1217" s="56" t="s">
        <v>243</v>
      </c>
      <c r="M1217" s="4" t="s">
        <v>660</v>
      </c>
      <c r="N1217" s="4" t="s">
        <v>428</v>
      </c>
      <c r="O1217" s="4" t="s">
        <v>530</v>
      </c>
    </row>
    <row r="1218" spans="2:15">
      <c r="B1218" s="20">
        <v>45188</v>
      </c>
      <c r="C1218" s="20">
        <v>45188</v>
      </c>
      <c r="D1218" s="54">
        <v>50143646</v>
      </c>
      <c r="E1218" s="55" t="s">
        <v>191</v>
      </c>
      <c r="F1218" s="56">
        <v>21</v>
      </c>
      <c r="G1218" s="68">
        <v>10080</v>
      </c>
      <c r="H1218" s="56" t="s">
        <v>82</v>
      </c>
      <c r="J1218" s="56" t="s">
        <v>1004</v>
      </c>
      <c r="K1218" s="4" t="s">
        <v>1005</v>
      </c>
      <c r="L1218" s="56" t="s">
        <v>194</v>
      </c>
      <c r="M1218" s="4" t="s">
        <v>750</v>
      </c>
      <c r="N1218" s="4" t="s">
        <v>1006</v>
      </c>
      <c r="O1218" s="4" t="s">
        <v>530</v>
      </c>
    </row>
    <row r="1219" spans="2:15">
      <c r="B1219" s="20">
        <v>45188</v>
      </c>
      <c r="C1219" s="20">
        <v>45188</v>
      </c>
      <c r="D1219" s="54">
        <v>50503030</v>
      </c>
      <c r="E1219" s="55" t="s">
        <v>1007</v>
      </c>
      <c r="F1219" s="56">
        <v>1</v>
      </c>
      <c r="G1219" s="68">
        <v>2000000</v>
      </c>
      <c r="H1219" s="56" t="s">
        <v>92</v>
      </c>
      <c r="J1219" s="56" t="s">
        <v>1008</v>
      </c>
      <c r="K1219" s="4" t="s">
        <v>1005</v>
      </c>
      <c r="L1219" s="56" t="s">
        <v>259</v>
      </c>
      <c r="M1219" s="4" t="s">
        <v>750</v>
      </c>
      <c r="N1219" s="4" t="s">
        <v>1006</v>
      </c>
      <c r="O1219" s="4" t="s">
        <v>530</v>
      </c>
    </row>
    <row r="1220" spans="2:15">
      <c r="B1220" s="20">
        <v>45188</v>
      </c>
      <c r="C1220" s="20">
        <v>45188</v>
      </c>
      <c r="D1220" s="54">
        <v>50503031</v>
      </c>
      <c r="E1220" s="55" t="s">
        <v>1009</v>
      </c>
      <c r="F1220" s="56">
        <v>1</v>
      </c>
      <c r="G1220" s="68">
        <v>1000000</v>
      </c>
      <c r="H1220" s="56" t="s">
        <v>92</v>
      </c>
      <c r="J1220" s="56" t="s">
        <v>1008</v>
      </c>
      <c r="K1220" s="4" t="s">
        <v>1005</v>
      </c>
      <c r="L1220" s="56" t="s">
        <v>259</v>
      </c>
      <c r="M1220" s="4" t="s">
        <v>750</v>
      </c>
      <c r="N1220" s="4" t="s">
        <v>1006</v>
      </c>
      <c r="O1220" s="4" t="s">
        <v>530</v>
      </c>
    </row>
    <row r="1221" spans="2:15">
      <c r="B1221" s="20">
        <v>45189</v>
      </c>
      <c r="C1221" s="20">
        <v>45189</v>
      </c>
      <c r="D1221" s="54">
        <v>50272278</v>
      </c>
      <c r="E1221" s="55" t="s">
        <v>21</v>
      </c>
      <c r="F1221" s="56">
        <v>12</v>
      </c>
      <c r="G1221" s="68">
        <v>6000</v>
      </c>
      <c r="H1221" s="56" t="s">
        <v>92</v>
      </c>
      <c r="J1221" s="56">
        <v>736</v>
      </c>
      <c r="L1221" s="56" t="s">
        <v>262</v>
      </c>
      <c r="M1221" s="4" t="s">
        <v>262</v>
      </c>
      <c r="N1221" s="4" t="s">
        <v>364</v>
      </c>
      <c r="O1221" s="4" t="s">
        <v>530</v>
      </c>
    </row>
    <row r="1222" spans="2:15">
      <c r="B1222" s="20">
        <v>45189</v>
      </c>
      <c r="C1222" s="20">
        <v>45189</v>
      </c>
      <c r="D1222" s="54">
        <v>50144376</v>
      </c>
      <c r="E1222" s="55" t="s">
        <v>19</v>
      </c>
      <c r="F1222" s="56">
        <v>12</v>
      </c>
      <c r="G1222" s="68">
        <v>6000</v>
      </c>
      <c r="H1222" s="56" t="s">
        <v>92</v>
      </c>
      <c r="J1222" s="56">
        <v>738</v>
      </c>
      <c r="L1222" s="56" t="s">
        <v>262</v>
      </c>
      <c r="M1222" s="4" t="s">
        <v>262</v>
      </c>
      <c r="N1222" s="4" t="s">
        <v>806</v>
      </c>
      <c r="O1222" s="4" t="s">
        <v>530</v>
      </c>
    </row>
    <row r="1223" spans="2:15">
      <c r="B1223" s="20">
        <v>45191</v>
      </c>
      <c r="C1223" s="20">
        <v>45191</v>
      </c>
      <c r="D1223" s="54">
        <v>50272278</v>
      </c>
      <c r="E1223" s="55" t="s">
        <v>21</v>
      </c>
      <c r="F1223" s="56">
        <v>12</v>
      </c>
      <c r="G1223" s="68">
        <v>6000</v>
      </c>
      <c r="H1223" s="56" t="s">
        <v>962</v>
      </c>
      <c r="J1223" s="56">
        <v>751</v>
      </c>
      <c r="L1223" s="56" t="s">
        <v>262</v>
      </c>
      <c r="M1223" s="4" t="s">
        <v>262</v>
      </c>
      <c r="N1223" s="4" t="s">
        <v>364</v>
      </c>
      <c r="O1223" s="4" t="s">
        <v>530</v>
      </c>
    </row>
    <row r="1224" spans="2:15">
      <c r="B1224" s="20">
        <v>45191</v>
      </c>
      <c r="C1224" s="20">
        <v>45191</v>
      </c>
      <c r="D1224" s="54">
        <v>50417408</v>
      </c>
      <c r="E1224" s="55" t="s">
        <v>1010</v>
      </c>
      <c r="F1224" s="56">
        <v>6</v>
      </c>
      <c r="G1224" s="68">
        <v>3200</v>
      </c>
      <c r="H1224" s="56" t="s">
        <v>82</v>
      </c>
      <c r="J1224" s="56">
        <v>1002328</v>
      </c>
      <c r="K1224" s="4" t="s">
        <v>1011</v>
      </c>
      <c r="L1224" s="56" t="s">
        <v>1012</v>
      </c>
      <c r="M1224" s="4" t="s">
        <v>750</v>
      </c>
      <c r="N1224" s="4" t="s">
        <v>1013</v>
      </c>
      <c r="O1224" s="4" t="s">
        <v>530</v>
      </c>
    </row>
    <row r="1225" spans="2:15">
      <c r="B1225" s="20">
        <v>45191</v>
      </c>
      <c r="C1225" s="20">
        <v>45191</v>
      </c>
      <c r="D1225" s="54">
        <v>50144376</v>
      </c>
      <c r="E1225" s="55" t="s">
        <v>19</v>
      </c>
      <c r="F1225" s="56">
        <v>12</v>
      </c>
      <c r="G1225" s="68">
        <v>6000</v>
      </c>
      <c r="H1225" s="56" t="s">
        <v>92</v>
      </c>
      <c r="J1225" s="56">
        <v>754</v>
      </c>
      <c r="L1225" s="56" t="s">
        <v>262</v>
      </c>
      <c r="M1225" s="4" t="s">
        <v>262</v>
      </c>
      <c r="N1225" s="4" t="s">
        <v>364</v>
      </c>
      <c r="O1225" s="4" t="s">
        <v>530</v>
      </c>
    </row>
    <row r="1226" spans="2:15">
      <c r="B1226" s="20">
        <v>45194</v>
      </c>
      <c r="C1226" s="20">
        <v>45194</v>
      </c>
      <c r="D1226" s="54">
        <v>50470190</v>
      </c>
      <c r="E1226" s="55" t="s">
        <v>12</v>
      </c>
      <c r="F1226" s="56">
        <v>32</v>
      </c>
      <c r="G1226" s="68">
        <v>9273600</v>
      </c>
      <c r="H1226" s="56" t="s">
        <v>92</v>
      </c>
      <c r="J1226" s="56">
        <v>4392</v>
      </c>
      <c r="L1226" s="56" t="s">
        <v>230</v>
      </c>
      <c r="M1226" s="4" t="s">
        <v>392</v>
      </c>
      <c r="N1226" s="4" t="s">
        <v>777</v>
      </c>
      <c r="O1226" s="4" t="s">
        <v>530</v>
      </c>
    </row>
    <row r="1227" spans="2:15">
      <c r="B1227" s="20">
        <v>45195</v>
      </c>
      <c r="C1227" s="20">
        <v>45195</v>
      </c>
      <c r="D1227" s="54">
        <v>50272278</v>
      </c>
      <c r="E1227" s="55" t="s">
        <v>21</v>
      </c>
      <c r="F1227" s="56">
        <v>12</v>
      </c>
      <c r="G1227" s="68">
        <v>6000</v>
      </c>
      <c r="H1227" s="56" t="s">
        <v>92</v>
      </c>
      <c r="J1227" s="56">
        <v>765</v>
      </c>
      <c r="L1227" s="56" t="s">
        <v>262</v>
      </c>
      <c r="M1227" s="4" t="s">
        <v>262</v>
      </c>
      <c r="N1227" s="4" t="s">
        <v>364</v>
      </c>
      <c r="O1227" s="4" t="s">
        <v>530</v>
      </c>
    </row>
    <row r="1228" spans="2:15">
      <c r="B1228" s="20">
        <v>45195</v>
      </c>
      <c r="C1228" s="20">
        <v>45195</v>
      </c>
      <c r="D1228" s="54">
        <v>50145028</v>
      </c>
      <c r="E1228" s="55" t="s">
        <v>23</v>
      </c>
      <c r="F1228" s="56">
        <v>3</v>
      </c>
      <c r="G1228" s="68">
        <v>512</v>
      </c>
      <c r="H1228" s="56" t="s">
        <v>92</v>
      </c>
      <c r="J1228" s="56">
        <v>178</v>
      </c>
      <c r="L1228" s="56" t="s">
        <v>673</v>
      </c>
      <c r="M1228" s="4" t="s">
        <v>673</v>
      </c>
      <c r="N1228" s="4" t="s">
        <v>1014</v>
      </c>
      <c r="O1228" s="4" t="s">
        <v>530</v>
      </c>
    </row>
    <row r="1229" spans="2:15">
      <c r="B1229" s="20">
        <v>45195</v>
      </c>
      <c r="C1229" s="20">
        <v>45195</v>
      </c>
      <c r="D1229" s="54">
        <v>50142237</v>
      </c>
      <c r="E1229" s="55" t="s">
        <v>617</v>
      </c>
      <c r="F1229" s="56">
        <v>18</v>
      </c>
      <c r="G1229" s="68">
        <v>18000</v>
      </c>
      <c r="H1229" s="56" t="s">
        <v>92</v>
      </c>
      <c r="J1229" s="56">
        <v>65884</v>
      </c>
      <c r="L1229" s="56" t="s">
        <v>1015</v>
      </c>
      <c r="M1229" s="4" t="s">
        <v>1015</v>
      </c>
      <c r="N1229" s="4" t="s">
        <v>1016</v>
      </c>
      <c r="O1229" s="4" t="s">
        <v>530</v>
      </c>
    </row>
    <row r="1230" spans="2:15">
      <c r="B1230" s="20">
        <v>45195</v>
      </c>
      <c r="C1230" s="20">
        <v>45195</v>
      </c>
      <c r="D1230" s="54">
        <v>50470190</v>
      </c>
      <c r="E1230" s="55" t="s">
        <v>12</v>
      </c>
      <c r="F1230" s="56">
        <v>32</v>
      </c>
      <c r="G1230" s="68">
        <v>9273600</v>
      </c>
      <c r="H1230" s="56" t="s">
        <v>92</v>
      </c>
      <c r="J1230" s="56">
        <v>4421</v>
      </c>
      <c r="L1230" s="56" t="s">
        <v>958</v>
      </c>
      <c r="M1230" s="4" t="s">
        <v>392</v>
      </c>
      <c r="N1230" s="4" t="s">
        <v>777</v>
      </c>
      <c r="O1230" s="4" t="s">
        <v>530</v>
      </c>
    </row>
    <row r="1231" spans="2:15">
      <c r="B1231" s="20">
        <v>45195</v>
      </c>
      <c r="C1231" s="20">
        <v>45195</v>
      </c>
      <c r="D1231" s="54">
        <v>50010080</v>
      </c>
      <c r="E1231" s="55" t="s">
        <v>354</v>
      </c>
      <c r="F1231" s="56">
        <v>20</v>
      </c>
      <c r="G1231" s="68">
        <v>20000</v>
      </c>
      <c r="H1231" s="56" t="s">
        <v>82</v>
      </c>
      <c r="J1231" s="56">
        <v>4603</v>
      </c>
      <c r="L1231" s="56" t="s">
        <v>355</v>
      </c>
      <c r="M1231" s="4" t="s">
        <v>650</v>
      </c>
      <c r="N1231" s="4" t="s">
        <v>1017</v>
      </c>
      <c r="O1231" s="4" t="s">
        <v>530</v>
      </c>
    </row>
    <row r="1232" spans="2:15">
      <c r="B1232" s="20">
        <v>45195</v>
      </c>
      <c r="C1232" s="20">
        <v>45195</v>
      </c>
      <c r="D1232" s="54">
        <v>50144376</v>
      </c>
      <c r="E1232" s="55" t="s">
        <v>19</v>
      </c>
      <c r="F1232" s="56">
        <v>12</v>
      </c>
      <c r="G1232" s="68">
        <v>6000</v>
      </c>
      <c r="H1232" s="56" t="s">
        <v>92</v>
      </c>
      <c r="J1232" s="56">
        <v>768</v>
      </c>
      <c r="L1232" s="56" t="s">
        <v>262</v>
      </c>
      <c r="M1232" s="4" t="s">
        <v>262</v>
      </c>
      <c r="N1232" s="4" t="s">
        <v>364</v>
      </c>
      <c r="O1232" s="4" t="s">
        <v>530</v>
      </c>
    </row>
    <row r="1233" spans="2:15">
      <c r="B1233" s="20">
        <v>45195</v>
      </c>
      <c r="C1233" s="20">
        <v>45195</v>
      </c>
      <c r="D1233" s="54">
        <v>40011130</v>
      </c>
      <c r="E1233" s="55" t="s">
        <v>631</v>
      </c>
      <c r="F1233" s="56">
        <v>3</v>
      </c>
      <c r="G1233" s="68">
        <v>7087</v>
      </c>
      <c r="H1233" s="56" t="s">
        <v>80</v>
      </c>
      <c r="J1233" s="56">
        <v>227036885</v>
      </c>
      <c r="K1233" s="4" t="s">
        <v>1018</v>
      </c>
      <c r="L1233" s="56" t="s">
        <v>175</v>
      </c>
      <c r="M1233" s="4" t="s">
        <v>520</v>
      </c>
      <c r="N1233" s="4" t="s">
        <v>1019</v>
      </c>
      <c r="O1233" s="4" t="s">
        <v>530</v>
      </c>
    </row>
    <row r="1234" spans="2:15">
      <c r="B1234" s="20">
        <v>45195</v>
      </c>
      <c r="C1234" s="20">
        <v>45195</v>
      </c>
      <c r="D1234" s="54">
        <v>40010087</v>
      </c>
      <c r="E1234" s="55" t="s">
        <v>387</v>
      </c>
      <c r="F1234" s="56">
        <v>10</v>
      </c>
      <c r="G1234" s="68">
        <v>9965</v>
      </c>
      <c r="H1234" s="56" t="s">
        <v>80</v>
      </c>
      <c r="J1234" s="56">
        <v>227036885</v>
      </c>
      <c r="K1234" s="4" t="s">
        <v>1018</v>
      </c>
      <c r="L1234" s="56" t="s">
        <v>175</v>
      </c>
      <c r="M1234" s="4" t="s">
        <v>520</v>
      </c>
      <c r="N1234" s="4" t="s">
        <v>1019</v>
      </c>
      <c r="O1234" s="4" t="s">
        <v>530</v>
      </c>
    </row>
    <row r="1235" spans="2:15">
      <c r="B1235" s="20">
        <v>45195</v>
      </c>
      <c r="C1235" s="20">
        <v>45195</v>
      </c>
      <c r="D1235" s="54">
        <v>40011133</v>
      </c>
      <c r="E1235" s="55" t="s">
        <v>634</v>
      </c>
      <c r="F1235" s="56">
        <v>5</v>
      </c>
      <c r="G1235" s="68">
        <v>6930</v>
      </c>
      <c r="H1235" s="56" t="s">
        <v>80</v>
      </c>
      <c r="J1235" s="56">
        <v>227036885</v>
      </c>
      <c r="K1235" s="4" t="s">
        <v>1018</v>
      </c>
      <c r="L1235" s="56" t="s">
        <v>175</v>
      </c>
      <c r="M1235" s="4" t="s">
        <v>520</v>
      </c>
      <c r="N1235" s="4" t="s">
        <v>1019</v>
      </c>
      <c r="O1235" s="4" t="s">
        <v>530</v>
      </c>
    </row>
    <row r="1236" spans="2:15">
      <c r="B1236" s="20">
        <v>45195</v>
      </c>
      <c r="C1236" s="20">
        <v>45195</v>
      </c>
      <c r="D1236" s="54">
        <v>40007942</v>
      </c>
      <c r="E1236" s="55" t="s">
        <v>219</v>
      </c>
      <c r="F1236" s="56">
        <v>2</v>
      </c>
      <c r="G1236" s="68">
        <v>4173</v>
      </c>
      <c r="H1236" s="56" t="s">
        <v>80</v>
      </c>
      <c r="J1236" s="56">
        <v>227036885</v>
      </c>
      <c r="K1236" s="4" t="s">
        <v>1018</v>
      </c>
      <c r="L1236" s="56" t="s">
        <v>175</v>
      </c>
      <c r="M1236" s="4" t="s">
        <v>520</v>
      </c>
      <c r="N1236" s="4" t="s">
        <v>1019</v>
      </c>
      <c r="O1236" s="4" t="s">
        <v>530</v>
      </c>
    </row>
    <row r="1237" spans="2:15">
      <c r="B1237" s="20">
        <v>45196</v>
      </c>
      <c r="C1237" s="20">
        <v>45196</v>
      </c>
      <c r="D1237" s="54">
        <v>50272278</v>
      </c>
      <c r="E1237" s="55" t="s">
        <v>21</v>
      </c>
      <c r="F1237" s="56">
        <v>48</v>
      </c>
      <c r="G1237" s="68">
        <v>15840</v>
      </c>
      <c r="H1237" s="56" t="s">
        <v>92</v>
      </c>
      <c r="J1237" s="56" t="s">
        <v>1020</v>
      </c>
      <c r="K1237" s="4" t="s">
        <v>1021</v>
      </c>
      <c r="L1237" s="56" t="s">
        <v>934</v>
      </c>
      <c r="M1237" s="4" t="s">
        <v>825</v>
      </c>
      <c r="N1237" s="4" t="s">
        <v>1022</v>
      </c>
      <c r="O1237" s="4" t="s">
        <v>530</v>
      </c>
    </row>
    <row r="1238" spans="2:15">
      <c r="B1238" s="20">
        <v>45196</v>
      </c>
      <c r="C1238" s="20">
        <v>45196</v>
      </c>
      <c r="D1238" s="54">
        <v>50804929</v>
      </c>
      <c r="E1238" s="55" t="s">
        <v>856</v>
      </c>
      <c r="F1238" s="56">
        <v>11</v>
      </c>
      <c r="G1238" s="68">
        <v>5124000</v>
      </c>
      <c r="H1238" s="56" t="s">
        <v>92</v>
      </c>
      <c r="J1238" s="56" t="s">
        <v>1023</v>
      </c>
      <c r="K1238" s="4" t="s">
        <v>985</v>
      </c>
      <c r="L1238" s="56" t="s">
        <v>358</v>
      </c>
      <c r="M1238" s="4" t="s">
        <v>564</v>
      </c>
      <c r="N1238" s="4" t="s">
        <v>1024</v>
      </c>
      <c r="O1238" s="4" t="s">
        <v>530</v>
      </c>
    </row>
    <row r="1239" spans="2:15">
      <c r="B1239" s="20">
        <v>45196</v>
      </c>
      <c r="C1239" s="20">
        <v>45196</v>
      </c>
      <c r="D1239" s="54">
        <v>50142551</v>
      </c>
      <c r="E1239" s="55" t="s">
        <v>215</v>
      </c>
      <c r="F1239" s="56">
        <v>1</v>
      </c>
      <c r="G1239" s="68">
        <v>200</v>
      </c>
      <c r="H1239" s="56" t="s">
        <v>92</v>
      </c>
      <c r="J1239" s="56">
        <v>1982</v>
      </c>
      <c r="L1239" s="56" t="s">
        <v>558</v>
      </c>
      <c r="M1239" s="4" t="s">
        <v>558</v>
      </c>
      <c r="N1239" s="4" t="s">
        <v>755</v>
      </c>
      <c r="O1239" s="4" t="s">
        <v>530</v>
      </c>
    </row>
    <row r="1240" spans="2:15">
      <c r="B1240" s="20">
        <v>45196</v>
      </c>
      <c r="C1240" s="20">
        <v>45196</v>
      </c>
      <c r="D1240" s="54">
        <v>50142397</v>
      </c>
      <c r="E1240" s="55" t="s">
        <v>557</v>
      </c>
      <c r="F1240" s="56">
        <v>1</v>
      </c>
      <c r="G1240" s="68">
        <v>100</v>
      </c>
      <c r="H1240" s="56" t="s">
        <v>92</v>
      </c>
      <c r="J1240" s="56">
        <v>1982</v>
      </c>
      <c r="L1240" s="56" t="s">
        <v>558</v>
      </c>
      <c r="M1240" s="4" t="s">
        <v>558</v>
      </c>
      <c r="N1240" s="4" t="s">
        <v>755</v>
      </c>
      <c r="O1240" s="4" t="s">
        <v>530</v>
      </c>
    </row>
    <row r="1241" spans="2:15">
      <c r="B1241" s="20">
        <v>45196</v>
      </c>
      <c r="C1241" s="20">
        <v>45196</v>
      </c>
      <c r="D1241" s="54">
        <v>50272278</v>
      </c>
      <c r="E1241" s="55" t="s">
        <v>21</v>
      </c>
      <c r="F1241" s="56">
        <v>12</v>
      </c>
      <c r="G1241" s="68">
        <v>6000</v>
      </c>
      <c r="H1241" s="56" t="s">
        <v>92</v>
      </c>
      <c r="J1241" s="56">
        <v>773</v>
      </c>
      <c r="L1241" s="56" t="s">
        <v>262</v>
      </c>
      <c r="M1241" s="4" t="s">
        <v>262</v>
      </c>
      <c r="N1241" s="4" t="s">
        <v>364</v>
      </c>
      <c r="O1241" s="4" t="s">
        <v>530</v>
      </c>
    </row>
    <row r="1242" spans="2:15">
      <c r="B1242" s="20">
        <v>45196</v>
      </c>
      <c r="C1242" s="20">
        <v>45196</v>
      </c>
      <c r="D1242" s="54">
        <v>50809147</v>
      </c>
      <c r="E1242" s="55" t="s">
        <v>930</v>
      </c>
      <c r="F1242" s="56">
        <v>14</v>
      </c>
      <c r="G1242" s="68">
        <v>6736.8</v>
      </c>
      <c r="H1242" s="56" t="s">
        <v>82</v>
      </c>
      <c r="J1242" s="56">
        <v>12826</v>
      </c>
      <c r="L1242" s="56" t="s">
        <v>243</v>
      </c>
      <c r="M1242" s="4" t="s">
        <v>660</v>
      </c>
      <c r="N1242" s="4" t="s">
        <v>353</v>
      </c>
      <c r="O1242" s="4" t="s">
        <v>530</v>
      </c>
    </row>
    <row r="1243" spans="2:15">
      <c r="B1243" s="20">
        <v>45196</v>
      </c>
      <c r="C1243" s="20">
        <v>45196</v>
      </c>
      <c r="D1243" s="54">
        <v>50272278</v>
      </c>
      <c r="E1243" s="55" t="s">
        <v>21</v>
      </c>
      <c r="F1243" s="56">
        <v>12</v>
      </c>
      <c r="G1243" s="68">
        <v>6000</v>
      </c>
      <c r="H1243" s="56" t="s">
        <v>92</v>
      </c>
      <c r="J1243" s="56">
        <v>777</v>
      </c>
      <c r="L1243" s="56" t="s">
        <v>262</v>
      </c>
      <c r="M1243" s="4" t="s">
        <v>262</v>
      </c>
      <c r="N1243" s="4" t="s">
        <v>364</v>
      </c>
      <c r="O1243" s="4" t="s">
        <v>530</v>
      </c>
    </row>
    <row r="1244" spans="2:15">
      <c r="B1244" s="20">
        <v>45197</v>
      </c>
      <c r="C1244" s="20">
        <v>45197</v>
      </c>
      <c r="D1244" s="54">
        <v>50498271</v>
      </c>
      <c r="E1244" s="55" t="s">
        <v>1025</v>
      </c>
      <c r="F1244" s="56">
        <v>9</v>
      </c>
      <c r="G1244" s="68">
        <v>4372.4</v>
      </c>
      <c r="H1244" s="56" t="s">
        <v>82</v>
      </c>
      <c r="J1244" s="56">
        <v>12835</v>
      </c>
      <c r="L1244" s="56" t="s">
        <v>243</v>
      </c>
      <c r="M1244" s="4" t="s">
        <v>660</v>
      </c>
      <c r="N1244" s="4" t="s">
        <v>586</v>
      </c>
      <c r="O1244" s="4" t="s">
        <v>530</v>
      </c>
    </row>
    <row r="1245" spans="2:15">
      <c r="B1245" s="20">
        <v>45201</v>
      </c>
      <c r="C1245" s="20">
        <v>45201</v>
      </c>
      <c r="D1245" s="54">
        <v>50392045</v>
      </c>
      <c r="E1245" s="55" t="s">
        <v>707</v>
      </c>
      <c r="G1245" s="68">
        <v>24</v>
      </c>
      <c r="H1245" s="56" t="s">
        <v>505</v>
      </c>
      <c r="J1245" s="56">
        <v>551</v>
      </c>
      <c r="L1245" s="56" t="s">
        <v>506</v>
      </c>
      <c r="M1245" s="4" t="s">
        <v>507</v>
      </c>
      <c r="N1245" s="4" t="s">
        <v>706</v>
      </c>
      <c r="O1245" s="4" t="s">
        <v>530</v>
      </c>
    </row>
    <row r="1246" spans="2:15">
      <c r="B1246" s="20">
        <v>45201</v>
      </c>
      <c r="C1246" s="20">
        <v>45201</v>
      </c>
      <c r="D1246" s="54">
        <v>50392046</v>
      </c>
      <c r="E1246" s="55" t="s">
        <v>509</v>
      </c>
      <c r="G1246" s="68">
        <v>12</v>
      </c>
      <c r="H1246" s="56" t="s">
        <v>505</v>
      </c>
      <c r="J1246" s="56">
        <v>551</v>
      </c>
      <c r="L1246" s="56" t="s">
        <v>506</v>
      </c>
      <c r="M1246" s="4" t="s">
        <v>507</v>
      </c>
      <c r="N1246" s="4" t="s">
        <v>706</v>
      </c>
      <c r="O1246" s="4" t="s">
        <v>530</v>
      </c>
    </row>
    <row r="1247" spans="2:15">
      <c r="B1247" s="20">
        <v>45202</v>
      </c>
      <c r="C1247" s="20">
        <v>45202</v>
      </c>
      <c r="D1247" s="54">
        <v>40010086</v>
      </c>
      <c r="E1247" s="55" t="s">
        <v>79</v>
      </c>
      <c r="F1247" s="56">
        <v>3</v>
      </c>
      <c r="G1247" s="68">
        <v>10552</v>
      </c>
      <c r="H1247" s="56" t="s">
        <v>80</v>
      </c>
      <c r="J1247" s="56">
        <v>228188991</v>
      </c>
      <c r="K1247" s="4" t="s">
        <v>1026</v>
      </c>
      <c r="L1247" s="56" t="s">
        <v>175</v>
      </c>
      <c r="M1247" s="4" t="s">
        <v>520</v>
      </c>
      <c r="N1247" s="4" t="s">
        <v>1027</v>
      </c>
      <c r="O1247" s="4" t="s">
        <v>530</v>
      </c>
    </row>
    <row r="1248" spans="2:15">
      <c r="B1248" s="20">
        <v>45202</v>
      </c>
      <c r="C1248" s="20">
        <v>45202</v>
      </c>
      <c r="D1248" s="54">
        <v>40007941</v>
      </c>
      <c r="E1248" s="55" t="s">
        <v>211</v>
      </c>
      <c r="F1248" s="56">
        <v>10</v>
      </c>
      <c r="G1248" s="68">
        <v>7999</v>
      </c>
      <c r="H1248" s="56" t="s">
        <v>80</v>
      </c>
      <c r="J1248" s="56">
        <v>228188991</v>
      </c>
      <c r="K1248" s="4" t="s">
        <v>1026</v>
      </c>
      <c r="L1248" s="56" t="s">
        <v>175</v>
      </c>
      <c r="M1248" s="4" t="s">
        <v>520</v>
      </c>
      <c r="N1248" s="4" t="s">
        <v>1027</v>
      </c>
      <c r="O1248" s="4" t="s">
        <v>530</v>
      </c>
    </row>
    <row r="1249" spans="2:15">
      <c r="B1249" s="20">
        <v>45202</v>
      </c>
      <c r="C1249" s="20">
        <v>45202</v>
      </c>
      <c r="D1249" s="54">
        <v>40013720</v>
      </c>
      <c r="E1249" s="55" t="s">
        <v>1028</v>
      </c>
      <c r="F1249" s="56">
        <v>1</v>
      </c>
      <c r="G1249" s="68">
        <v>1827</v>
      </c>
      <c r="H1249" s="56" t="s">
        <v>80</v>
      </c>
      <c r="J1249" s="56">
        <v>228188991</v>
      </c>
      <c r="K1249" s="4" t="s">
        <v>1026</v>
      </c>
      <c r="L1249" s="56" t="s">
        <v>175</v>
      </c>
      <c r="M1249" s="4" t="s">
        <v>520</v>
      </c>
      <c r="N1249" s="4" t="s">
        <v>1027</v>
      </c>
      <c r="O1249" s="4" t="s">
        <v>530</v>
      </c>
    </row>
    <row r="1250" spans="2:15">
      <c r="B1250" s="20">
        <v>45202</v>
      </c>
      <c r="C1250" s="20">
        <v>45202</v>
      </c>
      <c r="D1250" s="54">
        <v>40013719</v>
      </c>
      <c r="E1250" s="55" t="s">
        <v>1029</v>
      </c>
      <c r="F1250" s="56">
        <v>1</v>
      </c>
      <c r="G1250" s="68">
        <v>2197</v>
      </c>
      <c r="H1250" s="56" t="s">
        <v>80</v>
      </c>
      <c r="J1250" s="56">
        <v>228188991</v>
      </c>
      <c r="K1250" s="4" t="s">
        <v>1026</v>
      </c>
      <c r="L1250" s="56" t="s">
        <v>175</v>
      </c>
      <c r="M1250" s="4" t="s">
        <v>520</v>
      </c>
      <c r="N1250" s="4" t="s">
        <v>1027</v>
      </c>
      <c r="O1250" s="4" t="s">
        <v>530</v>
      </c>
    </row>
    <row r="1251" spans="2:15">
      <c r="B1251" s="20">
        <v>45203</v>
      </c>
      <c r="C1251" s="20">
        <v>45203</v>
      </c>
      <c r="D1251" s="54">
        <v>50272278</v>
      </c>
      <c r="E1251" s="55" t="s">
        <v>21</v>
      </c>
      <c r="F1251" s="56">
        <v>5</v>
      </c>
      <c r="G1251" s="68">
        <v>4200</v>
      </c>
      <c r="H1251" s="56" t="s">
        <v>92</v>
      </c>
      <c r="J1251" s="56">
        <v>26403</v>
      </c>
      <c r="L1251" s="56" t="s">
        <v>838</v>
      </c>
      <c r="M1251" s="4" t="s">
        <v>176</v>
      </c>
      <c r="N1251" s="4" t="s">
        <v>177</v>
      </c>
      <c r="O1251" s="4" t="s">
        <v>530</v>
      </c>
    </row>
    <row r="1252" spans="2:15">
      <c r="B1252" s="20">
        <v>45203</v>
      </c>
      <c r="C1252" s="20">
        <v>45203</v>
      </c>
      <c r="D1252" s="54">
        <v>50144376</v>
      </c>
      <c r="E1252" s="55" t="s">
        <v>19</v>
      </c>
      <c r="F1252" s="56">
        <v>2</v>
      </c>
      <c r="G1252" s="68">
        <v>500</v>
      </c>
      <c r="H1252" s="56" t="s">
        <v>92</v>
      </c>
      <c r="J1252" s="56">
        <v>26403</v>
      </c>
      <c r="L1252" s="56" t="s">
        <v>838</v>
      </c>
      <c r="M1252" s="4" t="s">
        <v>176</v>
      </c>
      <c r="N1252" s="4" t="s">
        <v>177</v>
      </c>
      <c r="O1252" s="4" t="s">
        <v>530</v>
      </c>
    </row>
    <row r="1253" spans="2:15">
      <c r="B1253" s="20">
        <v>45204</v>
      </c>
      <c r="C1253" s="20">
        <v>45204</v>
      </c>
      <c r="D1253" s="54">
        <v>50144376</v>
      </c>
      <c r="E1253" s="55" t="s">
        <v>19</v>
      </c>
      <c r="F1253" s="56">
        <v>22</v>
      </c>
      <c r="G1253" s="68">
        <v>11000</v>
      </c>
      <c r="H1253" s="56" t="s">
        <v>92</v>
      </c>
      <c r="J1253" s="56">
        <v>803</v>
      </c>
      <c r="L1253" s="56" t="s">
        <v>262</v>
      </c>
      <c r="M1253" s="4" t="s">
        <v>176</v>
      </c>
      <c r="N1253" s="4" t="s">
        <v>193</v>
      </c>
      <c r="O1253" s="4" t="s">
        <v>530</v>
      </c>
    </row>
    <row r="1254" spans="2:15">
      <c r="B1254" s="20">
        <v>45204</v>
      </c>
      <c r="C1254" s="20">
        <v>45204</v>
      </c>
      <c r="D1254" s="54">
        <v>50272278</v>
      </c>
      <c r="E1254" s="55" t="s">
        <v>21</v>
      </c>
      <c r="F1254" s="56">
        <v>12</v>
      </c>
      <c r="G1254" s="68">
        <v>6000</v>
      </c>
      <c r="H1254" s="56" t="s">
        <v>92</v>
      </c>
      <c r="J1254" s="56">
        <v>804</v>
      </c>
      <c r="L1254" s="56" t="s">
        <v>262</v>
      </c>
      <c r="M1254" s="4" t="s">
        <v>262</v>
      </c>
      <c r="N1254" s="4" t="s">
        <v>364</v>
      </c>
      <c r="O1254" s="4" t="s">
        <v>530</v>
      </c>
    </row>
    <row r="1255" spans="2:15">
      <c r="B1255" s="20">
        <v>45204</v>
      </c>
      <c r="C1255" s="20">
        <v>45204</v>
      </c>
      <c r="D1255" s="54">
        <v>50010080</v>
      </c>
      <c r="E1255" s="55" t="s">
        <v>354</v>
      </c>
      <c r="F1255" s="56">
        <v>20</v>
      </c>
      <c r="G1255" s="68">
        <v>20000</v>
      </c>
      <c r="H1255" s="56" t="s">
        <v>82</v>
      </c>
      <c r="J1255" s="56">
        <v>4939</v>
      </c>
      <c r="L1255" s="56" t="s">
        <v>355</v>
      </c>
      <c r="M1255" s="4" t="s">
        <v>650</v>
      </c>
      <c r="N1255" s="4" t="s">
        <v>961</v>
      </c>
      <c r="O1255" s="4" t="s">
        <v>530</v>
      </c>
    </row>
    <row r="1256" spans="2:15">
      <c r="B1256" s="20">
        <v>45205</v>
      </c>
      <c r="C1256" s="20">
        <v>45205</v>
      </c>
      <c r="D1256" s="54">
        <v>50144376</v>
      </c>
      <c r="E1256" s="55" t="s">
        <v>19</v>
      </c>
      <c r="F1256" s="56">
        <v>28</v>
      </c>
      <c r="G1256" s="68">
        <v>14000</v>
      </c>
      <c r="H1256" s="56" t="s">
        <v>92</v>
      </c>
      <c r="J1256" s="56">
        <v>807</v>
      </c>
      <c r="L1256" s="56" t="s">
        <v>262</v>
      </c>
      <c r="M1256" s="4" t="s">
        <v>176</v>
      </c>
      <c r="N1256" s="4" t="s">
        <v>193</v>
      </c>
      <c r="O1256" s="4" t="s">
        <v>530</v>
      </c>
    </row>
    <row r="1257" spans="2:15">
      <c r="B1257" s="20">
        <v>45205</v>
      </c>
      <c r="C1257" s="20">
        <v>45205</v>
      </c>
      <c r="D1257" s="54">
        <v>50470190</v>
      </c>
      <c r="E1257" s="55" t="s">
        <v>12</v>
      </c>
      <c r="F1257" s="56">
        <v>32</v>
      </c>
      <c r="G1257" s="68">
        <v>9273600</v>
      </c>
      <c r="H1257" s="56" t="s">
        <v>92</v>
      </c>
      <c r="J1257" s="56">
        <v>4710</v>
      </c>
      <c r="L1257" s="56" t="s">
        <v>230</v>
      </c>
      <c r="M1257" s="4" t="s">
        <v>392</v>
      </c>
      <c r="N1257" s="4" t="s">
        <v>800</v>
      </c>
      <c r="O1257" s="4" t="s">
        <v>530</v>
      </c>
    </row>
    <row r="1258" spans="2:15">
      <c r="B1258" s="20">
        <v>45205</v>
      </c>
      <c r="C1258" s="20">
        <v>45205</v>
      </c>
      <c r="D1258" s="54">
        <v>50142631</v>
      </c>
      <c r="E1258" s="55" t="s">
        <v>566</v>
      </c>
      <c r="F1258" s="56">
        <v>2</v>
      </c>
      <c r="G1258" s="68">
        <v>1500</v>
      </c>
      <c r="H1258" s="56" t="s">
        <v>82</v>
      </c>
      <c r="J1258" s="56">
        <v>294</v>
      </c>
      <c r="L1258" s="56" t="s">
        <v>567</v>
      </c>
      <c r="M1258" s="4" t="s">
        <v>568</v>
      </c>
      <c r="N1258" s="4" t="s">
        <v>569</v>
      </c>
      <c r="O1258" s="4" t="s">
        <v>530</v>
      </c>
    </row>
    <row r="1259" spans="2:15">
      <c r="B1259" s="20">
        <v>45205</v>
      </c>
      <c r="C1259" s="20">
        <v>45205</v>
      </c>
      <c r="D1259" s="54">
        <v>50272278</v>
      </c>
      <c r="E1259" s="55" t="s">
        <v>21</v>
      </c>
      <c r="F1259" s="56">
        <v>28</v>
      </c>
      <c r="G1259" s="68">
        <v>14000</v>
      </c>
      <c r="H1259" s="56" t="s">
        <v>92</v>
      </c>
      <c r="J1259" s="56">
        <v>811</v>
      </c>
      <c r="L1259" s="56" t="s">
        <v>262</v>
      </c>
      <c r="M1259" s="4" t="s">
        <v>176</v>
      </c>
      <c r="N1259" s="4" t="s">
        <v>193</v>
      </c>
      <c r="O1259" s="4" t="s">
        <v>530</v>
      </c>
    </row>
    <row r="1260" spans="2:15">
      <c r="B1260" s="20">
        <v>45208</v>
      </c>
      <c r="C1260" s="20">
        <v>45208</v>
      </c>
      <c r="D1260" s="54">
        <v>50813995</v>
      </c>
      <c r="E1260" s="55" t="s">
        <v>960</v>
      </c>
      <c r="F1260" s="56">
        <v>10</v>
      </c>
      <c r="G1260" s="68">
        <v>5028.1</v>
      </c>
      <c r="H1260" s="56" t="s">
        <v>82</v>
      </c>
      <c r="J1260" s="56">
        <v>22</v>
      </c>
      <c r="L1260" s="56" t="s">
        <v>243</v>
      </c>
      <c r="M1260" s="4" t="s">
        <v>660</v>
      </c>
      <c r="N1260" s="4" t="s">
        <v>586</v>
      </c>
      <c r="O1260" s="4" t="s">
        <v>530</v>
      </c>
    </row>
    <row r="1261" spans="2:15">
      <c r="B1261" s="20">
        <v>45208</v>
      </c>
      <c r="C1261" s="20">
        <v>45208</v>
      </c>
      <c r="D1261" s="54">
        <v>50272278</v>
      </c>
      <c r="E1261" s="55" t="s">
        <v>21</v>
      </c>
      <c r="F1261" s="56">
        <v>28</v>
      </c>
      <c r="G1261" s="68">
        <v>14000</v>
      </c>
      <c r="H1261" s="56" t="s">
        <v>92</v>
      </c>
      <c r="J1261" s="56">
        <v>815</v>
      </c>
      <c r="L1261" s="56" t="s">
        <v>262</v>
      </c>
      <c r="M1261" s="4" t="s">
        <v>176</v>
      </c>
      <c r="N1261" s="4" t="s">
        <v>193</v>
      </c>
      <c r="O1261" s="4" t="s">
        <v>530</v>
      </c>
    </row>
    <row r="1262" spans="2:15">
      <c r="B1262" s="20">
        <v>45208</v>
      </c>
      <c r="C1262" s="20">
        <v>45208</v>
      </c>
      <c r="D1262" s="54">
        <v>50809152</v>
      </c>
      <c r="E1262" s="55" t="s">
        <v>953</v>
      </c>
      <c r="F1262" s="56">
        <v>10</v>
      </c>
      <c r="G1262" s="68">
        <v>4858.15</v>
      </c>
      <c r="H1262" s="56" t="s">
        <v>82</v>
      </c>
      <c r="J1262" s="56">
        <v>24</v>
      </c>
      <c r="L1262" s="56" t="s">
        <v>243</v>
      </c>
      <c r="M1262" s="4" t="s">
        <v>660</v>
      </c>
      <c r="N1262" s="4" t="s">
        <v>586</v>
      </c>
      <c r="O1262" s="4" t="s">
        <v>530</v>
      </c>
    </row>
    <row r="1263" spans="2:15">
      <c r="B1263" s="20">
        <v>45208</v>
      </c>
      <c r="C1263" s="20">
        <v>45208</v>
      </c>
      <c r="D1263" s="54">
        <v>50813995</v>
      </c>
      <c r="E1263" s="55" t="s">
        <v>960</v>
      </c>
      <c r="F1263" s="56">
        <v>15</v>
      </c>
      <c r="G1263" s="68">
        <v>7266.05</v>
      </c>
      <c r="H1263" s="56" t="s">
        <v>82</v>
      </c>
      <c r="J1263" s="56">
        <v>26</v>
      </c>
      <c r="L1263" s="56" t="s">
        <v>243</v>
      </c>
      <c r="M1263" s="4" t="s">
        <v>660</v>
      </c>
      <c r="N1263" s="4" t="s">
        <v>353</v>
      </c>
      <c r="O1263" s="4" t="s">
        <v>530</v>
      </c>
    </row>
    <row r="1264" spans="2:15">
      <c r="B1264" s="20">
        <v>45209</v>
      </c>
      <c r="C1264" s="20">
        <v>45209</v>
      </c>
      <c r="D1264" s="54">
        <v>50809147</v>
      </c>
      <c r="E1264" s="55" t="s">
        <v>930</v>
      </c>
      <c r="F1264" s="56">
        <v>15</v>
      </c>
      <c r="G1264" s="68">
        <v>7527.35</v>
      </c>
      <c r="H1264" s="56" t="s">
        <v>82</v>
      </c>
      <c r="J1264" s="56">
        <v>28</v>
      </c>
      <c r="L1264" s="56" t="s">
        <v>243</v>
      </c>
      <c r="M1264" s="4" t="s">
        <v>660</v>
      </c>
      <c r="N1264" s="4" t="s">
        <v>353</v>
      </c>
      <c r="O1264" s="4" t="s">
        <v>530</v>
      </c>
    </row>
    <row r="1265" spans="2:15">
      <c r="B1265" s="20">
        <v>45209</v>
      </c>
      <c r="C1265" s="20">
        <v>45209</v>
      </c>
      <c r="D1265" s="54">
        <v>50144376</v>
      </c>
      <c r="E1265" s="55" t="s">
        <v>19</v>
      </c>
      <c r="F1265" s="56">
        <v>28</v>
      </c>
      <c r="G1265" s="68">
        <v>14000</v>
      </c>
      <c r="H1265" s="56" t="s">
        <v>92</v>
      </c>
      <c r="J1265" s="56">
        <v>814</v>
      </c>
      <c r="L1265" s="56" t="s">
        <v>262</v>
      </c>
      <c r="M1265" s="4" t="s">
        <v>176</v>
      </c>
      <c r="N1265" s="4" t="s">
        <v>193</v>
      </c>
      <c r="O1265" s="4" t="s">
        <v>530</v>
      </c>
    </row>
    <row r="1266" spans="2:15">
      <c r="B1266" s="20">
        <v>45209</v>
      </c>
      <c r="C1266" s="20">
        <v>45209</v>
      </c>
      <c r="D1266" s="54">
        <v>50144376</v>
      </c>
      <c r="E1266" s="55" t="s">
        <v>19</v>
      </c>
      <c r="F1266" s="56">
        <v>12</v>
      </c>
      <c r="G1266" s="68">
        <v>600</v>
      </c>
      <c r="H1266" s="56" t="s">
        <v>92</v>
      </c>
      <c r="J1266" s="56">
        <v>823</v>
      </c>
      <c r="L1266" s="56" t="s">
        <v>262</v>
      </c>
      <c r="M1266" s="4" t="s">
        <v>262</v>
      </c>
      <c r="N1266" s="4" t="s">
        <v>364</v>
      </c>
      <c r="O1266" s="4" t="s">
        <v>530</v>
      </c>
    </row>
    <row r="1267" spans="2:15">
      <c r="B1267" s="20">
        <v>45210</v>
      </c>
      <c r="C1267" s="20">
        <v>45210</v>
      </c>
      <c r="D1267" s="54">
        <v>50272278</v>
      </c>
      <c r="E1267" s="55" t="s">
        <v>21</v>
      </c>
      <c r="F1267" s="56">
        <v>28</v>
      </c>
      <c r="G1267" s="68">
        <v>14000</v>
      </c>
      <c r="H1267" s="56" t="s">
        <v>92</v>
      </c>
      <c r="J1267" s="56">
        <v>827</v>
      </c>
      <c r="L1267" s="56" t="s">
        <v>262</v>
      </c>
      <c r="M1267" s="4" t="s">
        <v>176</v>
      </c>
      <c r="N1267" s="4" t="s">
        <v>193</v>
      </c>
      <c r="O1267" s="4" t="s">
        <v>530</v>
      </c>
    </row>
    <row r="1268" spans="2:15">
      <c r="B1268" s="20">
        <v>45210</v>
      </c>
      <c r="C1268" s="20">
        <v>45210</v>
      </c>
      <c r="D1268" s="54">
        <v>50809146</v>
      </c>
      <c r="E1268" s="55" t="s">
        <v>1030</v>
      </c>
      <c r="F1268" s="56">
        <v>11</v>
      </c>
      <c r="G1268" s="68">
        <v>5227.7</v>
      </c>
      <c r="H1268" s="56" t="s">
        <v>82</v>
      </c>
      <c r="J1268" s="56">
        <v>31</v>
      </c>
      <c r="L1268" s="56" t="s">
        <v>243</v>
      </c>
      <c r="M1268" s="4" t="s">
        <v>660</v>
      </c>
      <c r="N1268" s="4" t="s">
        <v>353</v>
      </c>
      <c r="O1268" s="4" t="s">
        <v>530</v>
      </c>
    </row>
    <row r="1269" spans="2:15">
      <c r="B1269" s="20">
        <v>45211</v>
      </c>
      <c r="C1269" s="20">
        <v>45211</v>
      </c>
      <c r="D1269" s="54">
        <v>50272278</v>
      </c>
      <c r="E1269" s="55" t="s">
        <v>21</v>
      </c>
      <c r="F1269" s="56">
        <v>28</v>
      </c>
      <c r="G1269" s="68">
        <v>14000</v>
      </c>
      <c r="H1269" s="56" t="s">
        <v>92</v>
      </c>
      <c r="J1269" s="56">
        <v>835</v>
      </c>
      <c r="L1269" s="56" t="s">
        <v>262</v>
      </c>
      <c r="M1269" s="4" t="s">
        <v>176</v>
      </c>
      <c r="N1269" s="4" t="s">
        <v>193</v>
      </c>
      <c r="O1269" s="4" t="s">
        <v>530</v>
      </c>
    </row>
    <row r="1270" spans="2:15">
      <c r="B1270" s="20">
        <v>45211</v>
      </c>
      <c r="C1270" s="20">
        <v>45211</v>
      </c>
      <c r="D1270" s="54">
        <v>50144376</v>
      </c>
      <c r="E1270" s="55" t="s">
        <v>19</v>
      </c>
      <c r="F1270" s="56">
        <v>12</v>
      </c>
      <c r="G1270" s="68">
        <v>6000</v>
      </c>
      <c r="H1270" s="56" t="s">
        <v>92</v>
      </c>
      <c r="J1270" s="56">
        <v>842</v>
      </c>
      <c r="L1270" s="56" t="s">
        <v>262</v>
      </c>
      <c r="M1270" s="4" t="s">
        <v>262</v>
      </c>
      <c r="N1270" s="4" t="s">
        <v>364</v>
      </c>
      <c r="O1270" s="4" t="s">
        <v>530</v>
      </c>
    </row>
    <row r="1271" spans="2:15">
      <c r="B1271" s="20">
        <v>45212</v>
      </c>
      <c r="C1271" s="20">
        <v>45212</v>
      </c>
      <c r="D1271" s="54">
        <v>50272278</v>
      </c>
      <c r="E1271" s="55" t="s">
        <v>21</v>
      </c>
      <c r="F1271" s="56">
        <v>28</v>
      </c>
      <c r="G1271" s="68">
        <v>14000</v>
      </c>
      <c r="H1271" s="56" t="s">
        <v>92</v>
      </c>
      <c r="J1271" s="56">
        <v>847</v>
      </c>
      <c r="L1271" s="56" t="s">
        <v>262</v>
      </c>
      <c r="M1271" s="4" t="s">
        <v>176</v>
      </c>
      <c r="N1271" s="4" t="s">
        <v>193</v>
      </c>
      <c r="O1271" s="4" t="s">
        <v>530</v>
      </c>
    </row>
    <row r="1272" spans="2:15">
      <c r="B1272" s="20">
        <v>45212</v>
      </c>
      <c r="C1272" s="20">
        <v>45212</v>
      </c>
      <c r="D1272" s="54">
        <v>50144376</v>
      </c>
      <c r="E1272" s="55" t="s">
        <v>19</v>
      </c>
      <c r="F1272" s="56">
        <v>12</v>
      </c>
      <c r="G1272" s="68">
        <v>6000</v>
      </c>
      <c r="H1272" s="56" t="s">
        <v>92</v>
      </c>
      <c r="J1272" s="56">
        <v>852</v>
      </c>
      <c r="L1272" s="56" t="s">
        <v>262</v>
      </c>
      <c r="M1272" s="4" t="s">
        <v>262</v>
      </c>
      <c r="N1272" s="4" t="s">
        <v>364</v>
      </c>
      <c r="O1272" s="4" t="s">
        <v>530</v>
      </c>
    </row>
    <row r="1273" spans="2:15">
      <c r="B1273" s="20">
        <v>45212</v>
      </c>
      <c r="C1273" s="20">
        <v>45212</v>
      </c>
      <c r="D1273" s="54">
        <v>50144376</v>
      </c>
      <c r="E1273" s="55" t="s">
        <v>19</v>
      </c>
      <c r="F1273" s="56">
        <v>28</v>
      </c>
      <c r="G1273" s="68">
        <v>14000</v>
      </c>
      <c r="H1273" s="56" t="s">
        <v>92</v>
      </c>
      <c r="J1273" s="56">
        <v>851</v>
      </c>
      <c r="L1273" s="56" t="s">
        <v>262</v>
      </c>
      <c r="M1273" s="4" t="s">
        <v>176</v>
      </c>
      <c r="N1273" s="4" t="s">
        <v>193</v>
      </c>
      <c r="O1273" s="4" t="s">
        <v>530</v>
      </c>
    </row>
    <row r="1274" spans="2:15">
      <c r="B1274" s="20">
        <v>45215</v>
      </c>
      <c r="C1274" s="20">
        <v>45215</v>
      </c>
      <c r="D1274" s="54">
        <v>50145028</v>
      </c>
      <c r="E1274" s="55" t="s">
        <v>23</v>
      </c>
      <c r="F1274" s="56">
        <v>6</v>
      </c>
      <c r="G1274" s="68">
        <v>1000</v>
      </c>
      <c r="H1274" s="56" t="s">
        <v>92</v>
      </c>
      <c r="I1274" s="4">
        <v>0</v>
      </c>
      <c r="J1274" s="56">
        <v>2242</v>
      </c>
      <c r="L1274" s="56" t="s">
        <v>388</v>
      </c>
      <c r="M1274" s="4" t="s">
        <v>388</v>
      </c>
      <c r="N1274" s="4" t="s">
        <v>699</v>
      </c>
      <c r="O1274" s="4" t="s">
        <v>530</v>
      </c>
    </row>
    <row r="1275" spans="2:15">
      <c r="B1275" s="20">
        <v>45215</v>
      </c>
      <c r="C1275" s="20">
        <v>45215</v>
      </c>
      <c r="D1275" s="54">
        <v>40011588</v>
      </c>
      <c r="E1275" s="55" t="s">
        <v>585</v>
      </c>
      <c r="F1275" s="56">
        <v>14</v>
      </c>
      <c r="G1275" s="68">
        <v>6000</v>
      </c>
      <c r="H1275" s="56" t="s">
        <v>80</v>
      </c>
      <c r="L1275" s="56" t="s">
        <v>1031</v>
      </c>
      <c r="M1275" s="4" t="s">
        <v>750</v>
      </c>
      <c r="N1275" s="4" t="s">
        <v>1032</v>
      </c>
      <c r="O1275" s="4" t="s">
        <v>530</v>
      </c>
    </row>
    <row r="1276" spans="2:15">
      <c r="B1276" s="20">
        <v>45215</v>
      </c>
      <c r="C1276" s="20">
        <v>45215</v>
      </c>
      <c r="D1276" s="54">
        <v>40011661</v>
      </c>
      <c r="E1276" s="55" t="s">
        <v>608</v>
      </c>
      <c r="F1276" s="56">
        <v>14</v>
      </c>
      <c r="G1276" s="68">
        <v>5710</v>
      </c>
      <c r="H1276" s="56" t="s">
        <v>80</v>
      </c>
      <c r="J1276" s="56" t="s">
        <v>1033</v>
      </c>
      <c r="K1276" s="4" t="s">
        <v>1034</v>
      </c>
      <c r="L1276" s="56" t="s">
        <v>1031</v>
      </c>
      <c r="M1276" s="4" t="s">
        <v>750</v>
      </c>
      <c r="N1276" s="4" t="s">
        <v>1032</v>
      </c>
      <c r="O1276" s="4" t="s">
        <v>530</v>
      </c>
    </row>
    <row r="1277" spans="2:15">
      <c r="B1277" s="20">
        <v>45216</v>
      </c>
      <c r="C1277" s="20">
        <v>45216</v>
      </c>
      <c r="D1277" s="54">
        <v>50470190</v>
      </c>
      <c r="E1277" s="55" t="s">
        <v>12</v>
      </c>
      <c r="F1277" s="56">
        <v>32</v>
      </c>
      <c r="G1277" s="68">
        <v>9273600</v>
      </c>
      <c r="H1277" s="56" t="s">
        <v>92</v>
      </c>
      <c r="J1277" s="56">
        <v>5060</v>
      </c>
      <c r="L1277" s="56" t="s">
        <v>230</v>
      </c>
      <c r="M1277" s="4" t="s">
        <v>392</v>
      </c>
      <c r="N1277" s="4" t="s">
        <v>777</v>
      </c>
      <c r="O1277" s="4" t="s">
        <v>530</v>
      </c>
    </row>
    <row r="1278" spans="2:15">
      <c r="B1278" s="20">
        <v>45217</v>
      </c>
      <c r="C1278" s="20">
        <v>45217</v>
      </c>
      <c r="D1278" s="54">
        <v>50144376</v>
      </c>
      <c r="E1278" s="55" t="s">
        <v>19</v>
      </c>
      <c r="F1278" s="56">
        <v>4</v>
      </c>
      <c r="G1278" s="68">
        <v>2000</v>
      </c>
      <c r="H1278" s="56" t="s">
        <v>92</v>
      </c>
      <c r="J1278" s="56">
        <v>867</v>
      </c>
      <c r="L1278" s="56" t="s">
        <v>262</v>
      </c>
      <c r="M1278" s="4" t="s">
        <v>176</v>
      </c>
      <c r="N1278" s="4" t="s">
        <v>193</v>
      </c>
      <c r="O1278" s="4" t="s">
        <v>530</v>
      </c>
    </row>
    <row r="1279" spans="2:15">
      <c r="B1279" s="20">
        <v>45217</v>
      </c>
      <c r="C1279" s="20">
        <v>45217</v>
      </c>
      <c r="D1279" s="54">
        <v>50272278</v>
      </c>
      <c r="E1279" s="55" t="s">
        <v>21</v>
      </c>
      <c r="F1279" s="56">
        <v>24</v>
      </c>
      <c r="G1279" s="68">
        <v>12000</v>
      </c>
      <c r="H1279" s="56" t="s">
        <v>92</v>
      </c>
      <c r="J1279" s="56">
        <v>867</v>
      </c>
      <c r="L1279" s="56" t="s">
        <v>262</v>
      </c>
      <c r="M1279" s="4" t="s">
        <v>176</v>
      </c>
      <c r="N1279" s="4" t="s">
        <v>193</v>
      </c>
      <c r="O1279" s="4" t="s">
        <v>530</v>
      </c>
    </row>
    <row r="1280" spans="2:15">
      <c r="B1280" s="20">
        <v>45218</v>
      </c>
      <c r="C1280" s="20">
        <v>45218</v>
      </c>
      <c r="D1280" s="54">
        <v>50144376</v>
      </c>
      <c r="E1280" s="55" t="s">
        <v>19</v>
      </c>
      <c r="F1280" s="56">
        <v>28</v>
      </c>
      <c r="G1280" s="68">
        <v>14000</v>
      </c>
      <c r="H1280" s="56" t="s">
        <v>92</v>
      </c>
      <c r="J1280" s="56">
        <v>872</v>
      </c>
      <c r="L1280" s="56" t="s">
        <v>262</v>
      </c>
      <c r="M1280" s="4" t="s">
        <v>176</v>
      </c>
      <c r="N1280" s="4" t="s">
        <v>193</v>
      </c>
      <c r="O1280" s="4" t="s">
        <v>530</v>
      </c>
    </row>
    <row r="1281" spans="2:15">
      <c r="B1281" s="20">
        <v>45219</v>
      </c>
      <c r="C1281" s="20">
        <v>45219</v>
      </c>
      <c r="D1281" s="54">
        <v>50272278</v>
      </c>
      <c r="E1281" s="55" t="s">
        <v>21</v>
      </c>
      <c r="F1281" s="56">
        <v>4</v>
      </c>
      <c r="G1281" s="68">
        <v>2000</v>
      </c>
      <c r="H1281" s="56" t="s">
        <v>92</v>
      </c>
      <c r="J1281" s="56">
        <v>882</v>
      </c>
      <c r="L1281" s="56" t="s">
        <v>262</v>
      </c>
      <c r="M1281" s="4" t="s">
        <v>176</v>
      </c>
      <c r="N1281" s="4" t="s">
        <v>193</v>
      </c>
      <c r="O1281" s="4" t="s">
        <v>530</v>
      </c>
    </row>
    <row r="1282" spans="2:15">
      <c r="B1282" s="20">
        <v>45219</v>
      </c>
      <c r="C1282" s="20">
        <v>45219</v>
      </c>
      <c r="D1282" s="54">
        <v>50144376</v>
      </c>
      <c r="E1282" s="55" t="s">
        <v>19</v>
      </c>
      <c r="F1282" s="56">
        <v>24</v>
      </c>
      <c r="G1282" s="68">
        <v>12000</v>
      </c>
      <c r="H1282" s="56" t="s">
        <v>92</v>
      </c>
      <c r="J1282" s="56">
        <v>882</v>
      </c>
      <c r="L1282" s="56" t="s">
        <v>262</v>
      </c>
      <c r="M1282" s="4" t="s">
        <v>176</v>
      </c>
      <c r="N1282" s="4" t="s">
        <v>193</v>
      </c>
      <c r="O1282" s="4" t="s">
        <v>530</v>
      </c>
    </row>
    <row r="1283" spans="2:15">
      <c r="B1283" s="20">
        <v>45219</v>
      </c>
      <c r="C1283" s="20">
        <v>45219</v>
      </c>
      <c r="D1283" s="54">
        <v>50802401</v>
      </c>
      <c r="E1283" s="55" t="s">
        <v>13</v>
      </c>
      <c r="F1283" s="56">
        <v>4</v>
      </c>
      <c r="G1283" s="68">
        <v>1159200</v>
      </c>
      <c r="H1283" s="56" t="s">
        <v>92</v>
      </c>
      <c r="J1283" s="56" t="s">
        <v>1035</v>
      </c>
      <c r="L1283" s="56" t="s">
        <v>789</v>
      </c>
      <c r="M1283" s="4" t="s">
        <v>392</v>
      </c>
      <c r="N1283" s="4" t="s">
        <v>1036</v>
      </c>
      <c r="O1283" s="4" t="s">
        <v>530</v>
      </c>
    </row>
    <row r="1284" spans="2:15">
      <c r="B1284" s="20">
        <v>45219</v>
      </c>
      <c r="C1284" s="20">
        <v>45219</v>
      </c>
      <c r="D1284" s="54">
        <v>50470190</v>
      </c>
      <c r="E1284" s="55" t="s">
        <v>12</v>
      </c>
      <c r="F1284" s="56">
        <v>28</v>
      </c>
      <c r="G1284" s="68">
        <v>8114400</v>
      </c>
      <c r="H1284" s="56" t="s">
        <v>92</v>
      </c>
      <c r="J1284" s="56" t="s">
        <v>1035</v>
      </c>
      <c r="L1284" s="56" t="s">
        <v>789</v>
      </c>
      <c r="M1284" s="4" t="s">
        <v>392</v>
      </c>
      <c r="N1284" s="4" t="s">
        <v>1036</v>
      </c>
      <c r="O1284" s="4" t="s">
        <v>530</v>
      </c>
    </row>
    <row r="1285" spans="2:15">
      <c r="B1285" s="20">
        <v>45222</v>
      </c>
      <c r="C1285" s="20">
        <v>45222</v>
      </c>
      <c r="D1285" s="54">
        <v>20060993</v>
      </c>
      <c r="E1285" s="55" t="s">
        <v>1037</v>
      </c>
      <c r="F1285" s="56">
        <v>1</v>
      </c>
      <c r="G1285" s="68">
        <v>480</v>
      </c>
      <c r="H1285" s="56" t="s">
        <v>82</v>
      </c>
      <c r="J1285" s="56" t="s">
        <v>1038</v>
      </c>
      <c r="K1285" s="4" t="s">
        <v>1039</v>
      </c>
      <c r="L1285" s="56" t="s">
        <v>572</v>
      </c>
      <c r="M1285" s="4" t="s">
        <v>1040</v>
      </c>
      <c r="N1285" s="4" t="s">
        <v>1041</v>
      </c>
      <c r="O1285" s="4" t="s">
        <v>530</v>
      </c>
    </row>
    <row r="1286" spans="2:15">
      <c r="B1286" s="20">
        <v>45223</v>
      </c>
      <c r="C1286" s="20">
        <v>45223</v>
      </c>
      <c r="D1286" s="54">
        <v>50171162</v>
      </c>
      <c r="E1286" s="55" t="s">
        <v>741</v>
      </c>
      <c r="F1286" s="56">
        <v>13</v>
      </c>
      <c r="G1286" s="68">
        <v>8200</v>
      </c>
      <c r="H1286" s="56" t="s">
        <v>898</v>
      </c>
      <c r="J1286" s="56" t="s">
        <v>1042</v>
      </c>
      <c r="K1286" s="4" t="s">
        <v>1043</v>
      </c>
      <c r="L1286" s="56" t="s">
        <v>1044</v>
      </c>
      <c r="M1286" s="4" t="s">
        <v>1045</v>
      </c>
      <c r="N1286" s="4" t="s">
        <v>1046</v>
      </c>
      <c r="O1286" s="4" t="s">
        <v>530</v>
      </c>
    </row>
    <row r="1287" spans="2:15">
      <c r="B1287" s="20">
        <v>45223</v>
      </c>
      <c r="C1287" s="20">
        <v>45223</v>
      </c>
      <c r="D1287" s="54">
        <v>50351518</v>
      </c>
      <c r="E1287" s="55" t="s">
        <v>1047</v>
      </c>
      <c r="F1287" s="56">
        <v>4</v>
      </c>
      <c r="G1287" s="68">
        <v>2600</v>
      </c>
      <c r="H1287" s="56" t="s">
        <v>82</v>
      </c>
      <c r="J1287" s="56" t="s">
        <v>1042</v>
      </c>
      <c r="K1287" s="4" t="s">
        <v>1043</v>
      </c>
      <c r="L1287" s="56" t="s">
        <v>1044</v>
      </c>
      <c r="M1287" s="4" t="s">
        <v>1045</v>
      </c>
      <c r="N1287" s="4" t="s">
        <v>1046</v>
      </c>
      <c r="O1287" s="4" t="s">
        <v>530</v>
      </c>
    </row>
    <row r="1288" spans="2:15">
      <c r="B1288" s="20">
        <v>45224</v>
      </c>
      <c r="C1288" s="20">
        <v>45224</v>
      </c>
      <c r="D1288" s="54">
        <v>50144376</v>
      </c>
      <c r="E1288" s="55" t="s">
        <v>19</v>
      </c>
      <c r="F1288" s="56">
        <v>28</v>
      </c>
      <c r="G1288" s="68">
        <v>14000</v>
      </c>
      <c r="H1288" s="56" t="s">
        <v>92</v>
      </c>
      <c r="J1288" s="56">
        <v>893</v>
      </c>
      <c r="L1288" s="56" t="s">
        <v>262</v>
      </c>
      <c r="M1288" s="4" t="s">
        <v>176</v>
      </c>
      <c r="N1288" s="4" t="s">
        <v>193</v>
      </c>
      <c r="O1288" s="4" t="s">
        <v>530</v>
      </c>
    </row>
    <row r="1289" spans="2:15">
      <c r="B1289" s="20">
        <v>45224</v>
      </c>
      <c r="C1289" s="20">
        <v>45224</v>
      </c>
      <c r="D1289" s="54">
        <v>50142137</v>
      </c>
      <c r="E1289" s="55" t="s">
        <v>840</v>
      </c>
      <c r="F1289" s="56">
        <v>3</v>
      </c>
      <c r="G1289" s="68">
        <v>3600</v>
      </c>
      <c r="H1289" s="56" t="s">
        <v>82</v>
      </c>
      <c r="J1289" s="56">
        <v>27383</v>
      </c>
      <c r="L1289" s="56" t="s">
        <v>838</v>
      </c>
      <c r="M1289" s="4" t="s">
        <v>176</v>
      </c>
      <c r="N1289" s="4" t="s">
        <v>177</v>
      </c>
      <c r="O1289" s="4" t="s">
        <v>530</v>
      </c>
    </row>
    <row r="1290" spans="2:15">
      <c r="B1290" s="20">
        <v>45224</v>
      </c>
      <c r="C1290" s="20">
        <v>45224</v>
      </c>
      <c r="D1290" s="54">
        <v>50799770</v>
      </c>
      <c r="E1290" s="55" t="s">
        <v>17</v>
      </c>
      <c r="F1290" s="56">
        <v>16</v>
      </c>
      <c r="G1290" s="68">
        <v>8000</v>
      </c>
      <c r="H1290" s="56" t="s">
        <v>92</v>
      </c>
      <c r="J1290" s="56">
        <v>27383</v>
      </c>
      <c r="L1290" s="56" t="s">
        <v>838</v>
      </c>
      <c r="M1290" s="4" t="s">
        <v>176</v>
      </c>
      <c r="N1290" s="4" t="s">
        <v>177</v>
      </c>
      <c r="O1290" s="4" t="s">
        <v>530</v>
      </c>
    </row>
    <row r="1291" spans="2:15">
      <c r="B1291" s="20">
        <v>45224</v>
      </c>
      <c r="C1291" s="20">
        <v>45224</v>
      </c>
      <c r="D1291" s="54">
        <v>50144376</v>
      </c>
      <c r="E1291" s="55" t="s">
        <v>19</v>
      </c>
      <c r="F1291" s="56">
        <v>1</v>
      </c>
      <c r="G1291" s="68">
        <v>1000</v>
      </c>
      <c r="H1291" s="56" t="s">
        <v>92</v>
      </c>
      <c r="J1291" s="56">
        <v>27383</v>
      </c>
      <c r="L1291" s="56" t="s">
        <v>838</v>
      </c>
      <c r="M1291" s="4" t="s">
        <v>176</v>
      </c>
      <c r="N1291" s="4" t="s">
        <v>177</v>
      </c>
      <c r="O1291" s="4" t="s">
        <v>530</v>
      </c>
    </row>
    <row r="1292" spans="2:15">
      <c r="B1292" s="20">
        <v>45224</v>
      </c>
      <c r="C1292" s="20">
        <v>45224</v>
      </c>
      <c r="D1292" s="54">
        <v>50272278</v>
      </c>
      <c r="E1292" s="55" t="s">
        <v>21</v>
      </c>
      <c r="F1292" s="56">
        <v>1</v>
      </c>
      <c r="G1292" s="68">
        <v>250</v>
      </c>
      <c r="H1292" s="56" t="s">
        <v>92</v>
      </c>
      <c r="J1292" s="56">
        <v>27383</v>
      </c>
      <c r="L1292" s="56" t="s">
        <v>838</v>
      </c>
      <c r="M1292" s="4" t="s">
        <v>176</v>
      </c>
      <c r="N1292" s="4" t="s">
        <v>177</v>
      </c>
      <c r="O1292" s="4" t="s">
        <v>530</v>
      </c>
    </row>
    <row r="1293" spans="2:15">
      <c r="B1293" s="20">
        <v>45224</v>
      </c>
      <c r="C1293" s="20">
        <v>45224</v>
      </c>
      <c r="D1293" s="54">
        <v>50144376</v>
      </c>
      <c r="E1293" s="55" t="s">
        <v>19</v>
      </c>
      <c r="F1293" s="56">
        <v>28</v>
      </c>
      <c r="G1293" s="68">
        <v>14000</v>
      </c>
      <c r="H1293" s="56" t="s">
        <v>92</v>
      </c>
      <c r="J1293" s="56">
        <v>898</v>
      </c>
      <c r="L1293" s="56" t="s">
        <v>262</v>
      </c>
      <c r="M1293" s="4" t="s">
        <v>176</v>
      </c>
      <c r="N1293" s="4" t="s">
        <v>193</v>
      </c>
      <c r="O1293" s="4" t="s">
        <v>530</v>
      </c>
    </row>
    <row r="1294" spans="2:15">
      <c r="B1294" s="20">
        <v>45225</v>
      </c>
      <c r="C1294" s="20">
        <v>45225</v>
      </c>
      <c r="D1294" s="54">
        <v>50272278</v>
      </c>
      <c r="E1294" s="55" t="s">
        <v>21</v>
      </c>
      <c r="F1294" s="56">
        <v>28</v>
      </c>
      <c r="G1294" s="68">
        <v>14000</v>
      </c>
      <c r="H1294" s="56" t="s">
        <v>92</v>
      </c>
      <c r="J1294" s="56">
        <v>900</v>
      </c>
      <c r="L1294" s="56" t="s">
        <v>262</v>
      </c>
      <c r="M1294" s="4" t="s">
        <v>176</v>
      </c>
      <c r="N1294" s="4" t="s">
        <v>193</v>
      </c>
      <c r="O1294" s="4" t="s">
        <v>530</v>
      </c>
    </row>
    <row r="1295" spans="2:15">
      <c r="B1295" s="20">
        <v>45225</v>
      </c>
      <c r="C1295" s="20">
        <v>45225</v>
      </c>
      <c r="D1295" s="54">
        <v>50272278</v>
      </c>
      <c r="E1295" s="55" t="s">
        <v>21</v>
      </c>
      <c r="F1295" s="56">
        <v>28</v>
      </c>
      <c r="G1295" s="68">
        <v>14000</v>
      </c>
      <c r="H1295" s="56" t="s">
        <v>92</v>
      </c>
      <c r="J1295" s="56">
        <v>903</v>
      </c>
      <c r="L1295" s="56" t="s">
        <v>262</v>
      </c>
      <c r="M1295" s="4" t="s">
        <v>176</v>
      </c>
      <c r="N1295" s="4" t="s">
        <v>193</v>
      </c>
      <c r="O1295" s="4" t="s">
        <v>530</v>
      </c>
    </row>
    <row r="1296" spans="2:15">
      <c r="B1296" s="20">
        <v>45226</v>
      </c>
      <c r="C1296" s="20">
        <v>45226</v>
      </c>
      <c r="D1296" s="54">
        <v>50812974</v>
      </c>
      <c r="E1296" s="55" t="s">
        <v>822</v>
      </c>
      <c r="F1296" s="56">
        <v>32</v>
      </c>
      <c r="G1296" s="68">
        <v>9273600</v>
      </c>
      <c r="H1296" s="56" t="s">
        <v>92</v>
      </c>
      <c r="J1296" s="56" t="s">
        <v>1048</v>
      </c>
      <c r="L1296" s="56" t="s">
        <v>789</v>
      </c>
      <c r="M1296" s="4" t="s">
        <v>825</v>
      </c>
      <c r="N1296" s="4" t="s">
        <v>1049</v>
      </c>
      <c r="O1296" s="4" t="s">
        <v>530</v>
      </c>
    </row>
    <row r="1297" spans="2:15">
      <c r="B1297" s="20">
        <v>45226</v>
      </c>
      <c r="C1297" s="20">
        <v>45226</v>
      </c>
      <c r="D1297" s="54">
        <v>50144376</v>
      </c>
      <c r="E1297" s="55" t="s">
        <v>19</v>
      </c>
      <c r="F1297" s="56">
        <v>16</v>
      </c>
      <c r="G1297" s="68">
        <v>8000</v>
      </c>
      <c r="H1297" s="56" t="s">
        <v>92</v>
      </c>
      <c r="J1297" s="56" t="s">
        <v>1050</v>
      </c>
      <c r="L1297" s="56" t="s">
        <v>262</v>
      </c>
      <c r="M1297" s="4" t="s">
        <v>176</v>
      </c>
      <c r="N1297" s="4" t="s">
        <v>193</v>
      </c>
      <c r="O1297" s="4" t="s">
        <v>530</v>
      </c>
    </row>
    <row r="1298" spans="2:15">
      <c r="B1298" s="20">
        <v>45226</v>
      </c>
      <c r="C1298" s="20">
        <v>45226</v>
      </c>
      <c r="D1298" s="54">
        <v>50272278</v>
      </c>
      <c r="E1298" s="55" t="s">
        <v>21</v>
      </c>
      <c r="F1298" s="56">
        <v>12</v>
      </c>
      <c r="G1298" s="68">
        <v>6000</v>
      </c>
      <c r="H1298" s="56" t="s">
        <v>92</v>
      </c>
      <c r="J1298" s="56" t="s">
        <v>1050</v>
      </c>
      <c r="L1298" s="56" t="s">
        <v>262</v>
      </c>
      <c r="M1298" s="4" t="s">
        <v>176</v>
      </c>
      <c r="N1298" s="4" t="s">
        <v>193</v>
      </c>
      <c r="O1298" s="4" t="s">
        <v>530</v>
      </c>
    </row>
    <row r="1299" spans="2:15">
      <c r="B1299" s="20">
        <v>45226</v>
      </c>
      <c r="C1299" s="20">
        <v>45226</v>
      </c>
      <c r="D1299" s="54">
        <v>50470190</v>
      </c>
      <c r="E1299" s="55" t="s">
        <v>12</v>
      </c>
      <c r="F1299" s="56">
        <v>32</v>
      </c>
      <c r="G1299" s="68">
        <v>9273600</v>
      </c>
      <c r="H1299" s="56" t="s">
        <v>92</v>
      </c>
      <c r="J1299" s="56">
        <v>5355</v>
      </c>
      <c r="L1299" s="56" t="s">
        <v>230</v>
      </c>
      <c r="M1299" s="4" t="s">
        <v>392</v>
      </c>
      <c r="N1299" s="4" t="s">
        <v>777</v>
      </c>
      <c r="O1299" s="4" t="s">
        <v>530</v>
      </c>
    </row>
    <row r="1300" spans="2:15">
      <c r="B1300" s="20">
        <v>45229</v>
      </c>
      <c r="C1300" s="20">
        <v>45229</v>
      </c>
      <c r="D1300" s="54">
        <v>50470190</v>
      </c>
      <c r="E1300" s="55" t="s">
        <v>12</v>
      </c>
      <c r="F1300" s="56">
        <v>32</v>
      </c>
      <c r="G1300" s="68">
        <v>9273600</v>
      </c>
      <c r="H1300" s="56" t="s">
        <v>92</v>
      </c>
      <c r="J1300" s="56">
        <v>5368</v>
      </c>
      <c r="L1300" s="56" t="s">
        <v>958</v>
      </c>
      <c r="M1300" s="4" t="s">
        <v>392</v>
      </c>
      <c r="N1300" s="4" t="s">
        <v>529</v>
      </c>
      <c r="O1300" s="4" t="s">
        <v>530</v>
      </c>
    </row>
    <row r="1301" spans="2:15">
      <c r="B1301" s="20">
        <v>45230</v>
      </c>
      <c r="C1301" s="20">
        <v>45230</v>
      </c>
      <c r="D1301" s="54">
        <v>50272278</v>
      </c>
      <c r="E1301" s="55" t="s">
        <v>21</v>
      </c>
      <c r="F1301" s="56">
        <v>28</v>
      </c>
      <c r="G1301" s="68">
        <v>14000</v>
      </c>
      <c r="H1301" s="56" t="s">
        <v>92</v>
      </c>
      <c r="J1301" s="56">
        <v>919</v>
      </c>
      <c r="L1301" s="56" t="s">
        <v>262</v>
      </c>
      <c r="M1301" s="4" t="s">
        <v>176</v>
      </c>
      <c r="N1301" s="4" t="s">
        <v>193</v>
      </c>
      <c r="O1301" s="4" t="s">
        <v>530</v>
      </c>
    </row>
    <row r="1302" spans="2:15">
      <c r="B1302" s="20">
        <v>45231</v>
      </c>
      <c r="C1302" s="20">
        <v>45231</v>
      </c>
      <c r="D1302" s="54">
        <v>50804929</v>
      </c>
      <c r="E1302" s="55" t="s">
        <v>856</v>
      </c>
      <c r="F1302" s="56">
        <v>13</v>
      </c>
      <c r="G1302" s="68">
        <v>6591300</v>
      </c>
      <c r="H1302" s="56" t="s">
        <v>92</v>
      </c>
      <c r="J1302" s="56" t="s">
        <v>1051</v>
      </c>
      <c r="K1302" s="4" t="s">
        <v>1052</v>
      </c>
      <c r="L1302" s="56" t="s">
        <v>358</v>
      </c>
      <c r="M1302" s="4" t="s">
        <v>564</v>
      </c>
      <c r="N1302" s="4" t="s">
        <v>974</v>
      </c>
      <c r="O1302" s="4" t="s">
        <v>530</v>
      </c>
    </row>
    <row r="1303" spans="2:15">
      <c r="B1303" s="20">
        <v>45231</v>
      </c>
      <c r="C1303" s="20">
        <v>45231</v>
      </c>
      <c r="D1303" s="54">
        <v>50804970</v>
      </c>
      <c r="E1303" s="55" t="s">
        <v>857</v>
      </c>
      <c r="F1303" s="56">
        <v>6</v>
      </c>
      <c r="G1303" s="68">
        <v>6490000</v>
      </c>
      <c r="H1303" s="56" t="s">
        <v>92</v>
      </c>
      <c r="J1303" s="56" t="s">
        <v>1051</v>
      </c>
      <c r="K1303" s="4" t="s">
        <v>1052</v>
      </c>
      <c r="L1303" s="56" t="s">
        <v>358</v>
      </c>
      <c r="M1303" s="4" t="s">
        <v>564</v>
      </c>
      <c r="N1303" s="4" t="s">
        <v>974</v>
      </c>
      <c r="O1303" s="4" t="s">
        <v>530</v>
      </c>
    </row>
    <row r="1304" spans="2:15">
      <c r="B1304" s="20">
        <v>45231</v>
      </c>
      <c r="C1304" s="20">
        <v>45231</v>
      </c>
      <c r="D1304" s="54">
        <v>50804971</v>
      </c>
      <c r="E1304" s="55" t="s">
        <v>855</v>
      </c>
      <c r="F1304" s="56">
        <v>2</v>
      </c>
      <c r="G1304" s="68">
        <v>6566700</v>
      </c>
      <c r="H1304" s="56" t="s">
        <v>92</v>
      </c>
      <c r="J1304" s="56" t="s">
        <v>1051</v>
      </c>
      <c r="K1304" s="4" t="s">
        <v>1052</v>
      </c>
      <c r="L1304" s="56" t="s">
        <v>358</v>
      </c>
      <c r="M1304" s="4" t="s">
        <v>564</v>
      </c>
      <c r="N1304" s="4" t="s">
        <v>974</v>
      </c>
      <c r="O1304" s="4" t="s">
        <v>530</v>
      </c>
    </row>
    <row r="1305" spans="2:15">
      <c r="B1305" s="20">
        <v>45231</v>
      </c>
      <c r="C1305" s="20">
        <v>45231</v>
      </c>
      <c r="D1305" s="54">
        <v>50144376</v>
      </c>
      <c r="E1305" s="55" t="s">
        <v>19</v>
      </c>
      <c r="F1305" s="56">
        <v>28</v>
      </c>
      <c r="G1305" s="68">
        <v>14000</v>
      </c>
      <c r="H1305" s="56" t="s">
        <v>92</v>
      </c>
      <c r="L1305" s="56" t="s">
        <v>262</v>
      </c>
      <c r="M1305" s="4" t="s">
        <v>176</v>
      </c>
      <c r="N1305" s="4" t="s">
        <v>193</v>
      </c>
      <c r="O1305" s="4" t="s">
        <v>530</v>
      </c>
    </row>
    <row r="1306" spans="2:15">
      <c r="B1306" s="20">
        <v>45231</v>
      </c>
      <c r="C1306" s="20">
        <v>45231</v>
      </c>
      <c r="D1306" s="54">
        <v>50145029</v>
      </c>
      <c r="E1306" s="55" t="s">
        <v>705</v>
      </c>
      <c r="G1306" s="68">
        <v>36</v>
      </c>
      <c r="H1306" s="56" t="s">
        <v>505</v>
      </c>
      <c r="J1306" s="56">
        <v>558</v>
      </c>
      <c r="L1306" s="56" t="s">
        <v>1053</v>
      </c>
      <c r="M1306" s="4" t="s">
        <v>1053</v>
      </c>
      <c r="N1306" s="4" t="s">
        <v>706</v>
      </c>
      <c r="O1306" s="4" t="s">
        <v>530</v>
      </c>
    </row>
    <row r="1307" spans="2:15">
      <c r="B1307" s="20">
        <v>45231</v>
      </c>
      <c r="C1307" s="20">
        <v>45231</v>
      </c>
      <c r="D1307" s="54">
        <v>50392045</v>
      </c>
      <c r="E1307" s="55" t="s">
        <v>707</v>
      </c>
      <c r="G1307" s="68">
        <v>18</v>
      </c>
      <c r="H1307" s="56" t="s">
        <v>505</v>
      </c>
      <c r="J1307" s="56">
        <v>558</v>
      </c>
      <c r="L1307" s="56" t="s">
        <v>1053</v>
      </c>
      <c r="M1307" s="4" t="s">
        <v>1053</v>
      </c>
      <c r="N1307" s="4" t="s">
        <v>706</v>
      </c>
      <c r="O1307" s="4" t="s">
        <v>530</v>
      </c>
    </row>
    <row r="1308" spans="2:15">
      <c r="B1308" s="20">
        <v>45231</v>
      </c>
      <c r="C1308" s="20">
        <v>45231</v>
      </c>
      <c r="D1308" s="54">
        <v>50145012</v>
      </c>
      <c r="E1308" s="55" t="s">
        <v>504</v>
      </c>
      <c r="G1308" s="68">
        <v>18</v>
      </c>
      <c r="H1308" s="56" t="s">
        <v>505</v>
      </c>
      <c r="J1308" s="56">
        <v>558</v>
      </c>
      <c r="L1308" s="56" t="s">
        <v>1053</v>
      </c>
      <c r="M1308" s="4" t="s">
        <v>1053</v>
      </c>
      <c r="N1308" s="4" t="s">
        <v>706</v>
      </c>
      <c r="O1308" s="4" t="s">
        <v>530</v>
      </c>
    </row>
    <row r="1309" spans="2:15">
      <c r="B1309" s="20">
        <v>45231</v>
      </c>
      <c r="C1309" s="20">
        <v>45231</v>
      </c>
      <c r="D1309" s="54">
        <v>50392046</v>
      </c>
      <c r="E1309" s="55" t="s">
        <v>509</v>
      </c>
      <c r="G1309" s="68">
        <v>12</v>
      </c>
      <c r="H1309" s="56" t="s">
        <v>505</v>
      </c>
      <c r="J1309" s="56">
        <v>558</v>
      </c>
      <c r="L1309" s="56" t="s">
        <v>1053</v>
      </c>
      <c r="M1309" s="4" t="s">
        <v>1053</v>
      </c>
      <c r="N1309" s="4" t="s">
        <v>706</v>
      </c>
      <c r="O1309" s="4" t="s">
        <v>530</v>
      </c>
    </row>
    <row r="1310" spans="2:15">
      <c r="B1310" s="20">
        <v>45231</v>
      </c>
      <c r="C1310" s="20">
        <v>45231</v>
      </c>
      <c r="D1310" s="54">
        <v>50142237</v>
      </c>
      <c r="E1310" s="55" t="s">
        <v>617</v>
      </c>
      <c r="F1310" s="56">
        <v>1</v>
      </c>
      <c r="G1310" s="68">
        <v>50000</v>
      </c>
      <c r="H1310" s="56" t="s">
        <v>92</v>
      </c>
      <c r="J1310" s="56">
        <v>67060</v>
      </c>
      <c r="L1310" s="56" t="s">
        <v>1015</v>
      </c>
      <c r="M1310" s="4" t="s">
        <v>1015</v>
      </c>
      <c r="N1310" s="4" t="s">
        <v>1054</v>
      </c>
      <c r="O1310" s="4" t="s">
        <v>530</v>
      </c>
    </row>
    <row r="1311" spans="2:15">
      <c r="B1311" s="20">
        <v>45231</v>
      </c>
      <c r="C1311" s="20">
        <v>45231</v>
      </c>
      <c r="D1311" s="54">
        <v>50145028</v>
      </c>
      <c r="E1311" s="55" t="s">
        <v>23</v>
      </c>
      <c r="G1311" s="68">
        <v>1488</v>
      </c>
      <c r="H1311" s="56" t="s">
        <v>92</v>
      </c>
      <c r="J1311" s="56">
        <v>206</v>
      </c>
      <c r="L1311" s="56" t="s">
        <v>673</v>
      </c>
      <c r="M1311" s="4" t="s">
        <v>673</v>
      </c>
      <c r="N1311" s="4" t="s">
        <v>1055</v>
      </c>
      <c r="O1311" s="4" t="s">
        <v>530</v>
      </c>
    </row>
    <row r="1312" spans="2:15">
      <c r="B1312" s="20">
        <v>45232</v>
      </c>
      <c r="C1312" s="20">
        <v>45232</v>
      </c>
      <c r="D1312" s="54">
        <v>50144376</v>
      </c>
      <c r="E1312" s="55" t="s">
        <v>19</v>
      </c>
      <c r="F1312" s="56">
        <v>8</v>
      </c>
      <c r="G1312" s="68">
        <v>4000</v>
      </c>
      <c r="H1312" s="56" t="s">
        <v>92</v>
      </c>
      <c r="J1312" s="56">
        <v>930</v>
      </c>
      <c r="L1312" s="56" t="s">
        <v>262</v>
      </c>
      <c r="M1312" s="4" t="s">
        <v>176</v>
      </c>
      <c r="N1312" s="4" t="s">
        <v>193</v>
      </c>
      <c r="O1312" s="4" t="s">
        <v>530</v>
      </c>
    </row>
    <row r="1313" spans="2:15">
      <c r="B1313" s="20">
        <v>45232</v>
      </c>
      <c r="C1313" s="20">
        <v>45232</v>
      </c>
      <c r="D1313" s="54">
        <v>50272278</v>
      </c>
      <c r="E1313" s="55" t="s">
        <v>21</v>
      </c>
      <c r="F1313" s="56">
        <v>20</v>
      </c>
      <c r="G1313" s="68">
        <v>10000</v>
      </c>
      <c r="H1313" s="56" t="s">
        <v>92</v>
      </c>
      <c r="J1313" s="56">
        <v>931</v>
      </c>
      <c r="L1313" s="56" t="s">
        <v>262</v>
      </c>
      <c r="M1313" s="4" t="s">
        <v>176</v>
      </c>
      <c r="N1313" s="4" t="s">
        <v>193</v>
      </c>
      <c r="O1313" s="4" t="s">
        <v>530</v>
      </c>
    </row>
    <row r="1314" spans="2:15">
      <c r="B1314" s="20">
        <v>45233</v>
      </c>
      <c r="C1314" s="20">
        <v>45233</v>
      </c>
      <c r="D1314" s="54">
        <v>50010080</v>
      </c>
      <c r="E1314" s="55" t="s">
        <v>354</v>
      </c>
      <c r="F1314" s="56">
        <v>20</v>
      </c>
      <c r="G1314" s="68">
        <v>20000</v>
      </c>
      <c r="H1314" s="56" t="s">
        <v>82</v>
      </c>
      <c r="J1314" s="56">
        <v>593</v>
      </c>
      <c r="L1314" s="56" t="s">
        <v>355</v>
      </c>
      <c r="M1314" s="4" t="s">
        <v>650</v>
      </c>
      <c r="N1314" s="4" t="s">
        <v>772</v>
      </c>
      <c r="O1314" s="4" t="s">
        <v>530</v>
      </c>
    </row>
    <row r="1315" spans="2:15">
      <c r="B1315" s="20">
        <v>45233</v>
      </c>
      <c r="C1315" s="20">
        <v>45233</v>
      </c>
      <c r="D1315" s="54">
        <v>50812974</v>
      </c>
      <c r="E1315" s="55" t="s">
        <v>822</v>
      </c>
      <c r="F1315" s="56">
        <v>32</v>
      </c>
      <c r="G1315" s="68">
        <v>9273600</v>
      </c>
      <c r="H1315" s="56" t="s">
        <v>92</v>
      </c>
      <c r="J1315" s="56" t="s">
        <v>1056</v>
      </c>
      <c r="K1315" s="4" t="s">
        <v>1057</v>
      </c>
      <c r="L1315" s="56" t="s">
        <v>789</v>
      </c>
      <c r="M1315" s="4" t="s">
        <v>1058</v>
      </c>
      <c r="N1315" s="4" t="s">
        <v>1059</v>
      </c>
      <c r="O1315" s="4" t="s">
        <v>530</v>
      </c>
    </row>
    <row r="1316" spans="2:15">
      <c r="B1316" s="20">
        <v>45236</v>
      </c>
      <c r="C1316" s="20">
        <v>45236</v>
      </c>
      <c r="D1316" s="54">
        <v>50272278</v>
      </c>
      <c r="E1316" s="55" t="s">
        <v>21</v>
      </c>
      <c r="F1316" s="56">
        <v>28</v>
      </c>
      <c r="G1316" s="68">
        <v>14000</v>
      </c>
      <c r="H1316" s="56" t="s">
        <v>92</v>
      </c>
      <c r="J1316" s="56">
        <v>938</v>
      </c>
      <c r="L1316" s="56" t="s">
        <v>262</v>
      </c>
      <c r="M1316" s="4" t="s">
        <v>176</v>
      </c>
      <c r="N1316" s="4" t="s">
        <v>193</v>
      </c>
      <c r="O1316" s="4" t="s">
        <v>530</v>
      </c>
    </row>
    <row r="1317" spans="2:15">
      <c r="B1317" s="20">
        <v>45236</v>
      </c>
      <c r="C1317" s="20">
        <v>45236</v>
      </c>
      <c r="D1317" s="54">
        <v>50141786</v>
      </c>
      <c r="E1317" s="55" t="s">
        <v>188</v>
      </c>
      <c r="F1317" s="56">
        <v>7</v>
      </c>
      <c r="G1317" s="68">
        <v>3920</v>
      </c>
      <c r="H1317" s="56" t="s">
        <v>82</v>
      </c>
      <c r="J1317" s="56">
        <v>112393</v>
      </c>
      <c r="L1317" s="56" t="s">
        <v>1060</v>
      </c>
      <c r="M1317" s="4" t="s">
        <v>1061</v>
      </c>
      <c r="N1317" s="4" t="s">
        <v>1062</v>
      </c>
      <c r="O1317" s="4" t="s">
        <v>530</v>
      </c>
    </row>
    <row r="1318" spans="2:15">
      <c r="B1318" s="20">
        <v>45239</v>
      </c>
      <c r="C1318" s="20">
        <v>45239</v>
      </c>
      <c r="D1318" s="54">
        <v>50272278</v>
      </c>
      <c r="E1318" s="55" t="s">
        <v>21</v>
      </c>
      <c r="F1318" s="56">
        <v>28</v>
      </c>
      <c r="G1318" s="68">
        <v>14000</v>
      </c>
      <c r="H1318" s="56" t="s">
        <v>92</v>
      </c>
      <c r="J1318" s="56">
        <v>960</v>
      </c>
      <c r="L1318" s="56" t="s">
        <v>262</v>
      </c>
      <c r="M1318" s="4" t="s">
        <v>176</v>
      </c>
      <c r="N1318" s="4" t="s">
        <v>193</v>
      </c>
      <c r="O1318" s="4" t="s">
        <v>530</v>
      </c>
    </row>
    <row r="1319" spans="2:15">
      <c r="B1319" s="20">
        <v>45240</v>
      </c>
      <c r="C1319" s="20">
        <v>45240</v>
      </c>
      <c r="D1319" s="54">
        <v>50812974</v>
      </c>
      <c r="E1319" s="55" t="s">
        <v>822</v>
      </c>
      <c r="F1319" s="56">
        <v>32</v>
      </c>
      <c r="G1319" s="68">
        <v>9273600</v>
      </c>
      <c r="H1319" s="56" t="s">
        <v>92</v>
      </c>
      <c r="J1319" s="56" t="s">
        <v>1063</v>
      </c>
      <c r="K1319" s="4" t="s">
        <v>1064</v>
      </c>
      <c r="L1319" s="56" t="s">
        <v>789</v>
      </c>
      <c r="M1319" s="4" t="s">
        <v>1065</v>
      </c>
      <c r="N1319" s="4" t="s">
        <v>1066</v>
      </c>
      <c r="O1319" s="4" t="s">
        <v>530</v>
      </c>
    </row>
    <row r="1320" spans="2:15">
      <c r="B1320" s="20">
        <v>45240</v>
      </c>
      <c r="C1320" s="20">
        <v>45240</v>
      </c>
      <c r="D1320" s="54">
        <v>50272278</v>
      </c>
      <c r="E1320" s="55" t="s">
        <v>21</v>
      </c>
      <c r="F1320" s="56">
        <v>28</v>
      </c>
      <c r="G1320" s="68">
        <v>14000</v>
      </c>
      <c r="H1320" s="56" t="s">
        <v>92</v>
      </c>
      <c r="J1320" s="56">
        <v>967</v>
      </c>
      <c r="L1320" s="56" t="s">
        <v>262</v>
      </c>
      <c r="M1320" s="4" t="s">
        <v>176</v>
      </c>
      <c r="N1320" s="4" t="s">
        <v>193</v>
      </c>
      <c r="O1320" s="4" t="s">
        <v>530</v>
      </c>
    </row>
    <row r="1321" spans="2:15">
      <c r="B1321" s="20">
        <v>45240</v>
      </c>
      <c r="C1321" s="20">
        <v>45240</v>
      </c>
      <c r="D1321" s="54">
        <v>50470190</v>
      </c>
      <c r="E1321" s="55" t="s">
        <v>12</v>
      </c>
      <c r="F1321" s="56">
        <v>32</v>
      </c>
      <c r="G1321" s="68">
        <v>9273600</v>
      </c>
      <c r="H1321" s="56" t="s">
        <v>92</v>
      </c>
      <c r="J1321" s="56">
        <v>5670</v>
      </c>
      <c r="L1321" s="56" t="s">
        <v>958</v>
      </c>
      <c r="M1321" s="4" t="s">
        <v>392</v>
      </c>
      <c r="N1321" s="4" t="s">
        <v>529</v>
      </c>
      <c r="O1321" s="4" t="s">
        <v>530</v>
      </c>
    </row>
    <row r="1322" spans="2:15">
      <c r="B1322" s="20">
        <v>45243</v>
      </c>
      <c r="C1322" s="20">
        <v>45243</v>
      </c>
      <c r="D1322" s="54">
        <v>50809146</v>
      </c>
      <c r="E1322" s="55" t="s">
        <v>1030</v>
      </c>
      <c r="F1322" s="56">
        <v>10</v>
      </c>
      <c r="G1322" s="68">
        <v>5105.2</v>
      </c>
      <c r="H1322" s="56" t="s">
        <v>82</v>
      </c>
      <c r="J1322" s="56">
        <v>123</v>
      </c>
      <c r="L1322" s="56" t="s">
        <v>243</v>
      </c>
      <c r="M1322" s="4" t="s">
        <v>947</v>
      </c>
      <c r="N1322" s="4" t="s">
        <v>353</v>
      </c>
      <c r="O1322" s="4" t="s">
        <v>530</v>
      </c>
    </row>
    <row r="1323" spans="2:15">
      <c r="B1323" s="20">
        <v>45243</v>
      </c>
      <c r="C1323" s="20">
        <v>45243</v>
      </c>
      <c r="D1323" s="54">
        <v>50142631</v>
      </c>
      <c r="E1323" s="55" t="s">
        <v>566</v>
      </c>
      <c r="F1323" s="56">
        <v>2</v>
      </c>
      <c r="G1323" s="68">
        <v>1500</v>
      </c>
      <c r="H1323" s="56" t="s">
        <v>82</v>
      </c>
      <c r="J1323" s="56">
        <v>219</v>
      </c>
      <c r="L1323" s="56" t="s">
        <v>567</v>
      </c>
      <c r="M1323" s="4" t="s">
        <v>568</v>
      </c>
      <c r="N1323" s="4" t="s">
        <v>569</v>
      </c>
      <c r="O1323" s="4" t="s">
        <v>530</v>
      </c>
    </row>
    <row r="1324" spans="2:15">
      <c r="B1324" s="20">
        <v>45244</v>
      </c>
      <c r="C1324" s="20">
        <v>45244</v>
      </c>
      <c r="D1324" s="54">
        <v>50142237</v>
      </c>
      <c r="E1324" s="55" t="s">
        <v>617</v>
      </c>
      <c r="F1324" s="56">
        <v>3</v>
      </c>
      <c r="G1324" s="68">
        <v>3000</v>
      </c>
      <c r="H1324" s="56" t="s">
        <v>962</v>
      </c>
      <c r="J1324" s="56">
        <v>67566</v>
      </c>
      <c r="L1324" s="56" t="s">
        <v>1015</v>
      </c>
      <c r="M1324" s="4" t="s">
        <v>1015</v>
      </c>
      <c r="N1324" s="4" t="s">
        <v>785</v>
      </c>
      <c r="O1324" s="4" t="s">
        <v>530</v>
      </c>
    </row>
    <row r="1325" spans="2:15">
      <c r="B1325" s="20">
        <v>45246</v>
      </c>
      <c r="C1325" s="20">
        <v>45246</v>
      </c>
      <c r="D1325" s="54">
        <v>50272278</v>
      </c>
      <c r="E1325" s="55" t="s">
        <v>21</v>
      </c>
      <c r="F1325" s="56">
        <v>28</v>
      </c>
      <c r="G1325" s="68">
        <v>14000</v>
      </c>
      <c r="H1325" s="56" t="s">
        <v>92</v>
      </c>
      <c r="J1325" s="56">
        <v>993</v>
      </c>
      <c r="L1325" s="56" t="s">
        <v>262</v>
      </c>
      <c r="M1325" s="4" t="s">
        <v>176</v>
      </c>
      <c r="N1325" s="4" t="s">
        <v>193</v>
      </c>
      <c r="O1325" s="4" t="s">
        <v>530</v>
      </c>
    </row>
    <row r="1326" spans="2:15">
      <c r="B1326" s="20">
        <v>45247</v>
      </c>
      <c r="C1326" s="20">
        <v>45247</v>
      </c>
      <c r="D1326" s="54">
        <v>50272278</v>
      </c>
      <c r="E1326" s="55" t="s">
        <v>21</v>
      </c>
      <c r="F1326" s="56">
        <v>28</v>
      </c>
      <c r="G1326" s="68">
        <v>14000</v>
      </c>
      <c r="H1326" s="56" t="s">
        <v>92</v>
      </c>
      <c r="J1326" s="56">
        <v>996</v>
      </c>
      <c r="L1326" s="56" t="s">
        <v>262</v>
      </c>
      <c r="M1326" s="4" t="s">
        <v>176</v>
      </c>
      <c r="N1326" s="4" t="s">
        <v>193</v>
      </c>
      <c r="O1326" s="4" t="s">
        <v>530</v>
      </c>
    </row>
    <row r="1327" spans="2:15">
      <c r="B1327" s="20">
        <v>45247</v>
      </c>
      <c r="C1327" s="20">
        <v>45247</v>
      </c>
      <c r="D1327" s="54">
        <v>40010086</v>
      </c>
      <c r="E1327" s="55" t="s">
        <v>79</v>
      </c>
      <c r="F1327" s="56">
        <v>7</v>
      </c>
      <c r="G1327" s="68">
        <v>24044</v>
      </c>
      <c r="H1327" s="56" t="s">
        <v>80</v>
      </c>
      <c r="J1327" s="56">
        <v>740066</v>
      </c>
      <c r="K1327" s="4" t="s">
        <v>1067</v>
      </c>
      <c r="L1327" s="56" t="s">
        <v>175</v>
      </c>
      <c r="M1327" s="4" t="s">
        <v>564</v>
      </c>
      <c r="N1327" s="4" t="s">
        <v>965</v>
      </c>
      <c r="O1327" s="4" t="s">
        <v>530</v>
      </c>
    </row>
    <row r="1328" spans="2:15">
      <c r="B1328" s="20">
        <v>45247</v>
      </c>
      <c r="C1328" s="20">
        <v>45247</v>
      </c>
      <c r="D1328" s="54">
        <v>40010080</v>
      </c>
      <c r="E1328" s="55" t="s">
        <v>784</v>
      </c>
      <c r="F1328" s="56">
        <v>2</v>
      </c>
      <c r="G1328" s="68">
        <v>1349</v>
      </c>
      <c r="H1328" s="56" t="s">
        <v>80</v>
      </c>
      <c r="J1328" s="56">
        <v>740066</v>
      </c>
      <c r="K1328" s="4" t="s">
        <v>1067</v>
      </c>
      <c r="L1328" s="56" t="s">
        <v>175</v>
      </c>
      <c r="M1328" s="4" t="s">
        <v>564</v>
      </c>
      <c r="N1328" s="4" t="s">
        <v>965</v>
      </c>
      <c r="O1328" s="4" t="s">
        <v>530</v>
      </c>
    </row>
    <row r="1329" spans="2:15">
      <c r="B1329" s="20">
        <v>45247</v>
      </c>
      <c r="C1329" s="20">
        <v>45247</v>
      </c>
      <c r="D1329" s="54">
        <v>40009543</v>
      </c>
      <c r="E1329" s="55" t="s">
        <v>473</v>
      </c>
      <c r="F1329" s="56">
        <v>5</v>
      </c>
      <c r="G1329" s="68">
        <v>9669</v>
      </c>
      <c r="H1329" s="56" t="s">
        <v>80</v>
      </c>
      <c r="J1329" s="56">
        <v>740066</v>
      </c>
      <c r="K1329" s="4" t="s">
        <v>1067</v>
      </c>
      <c r="L1329" s="56" t="s">
        <v>175</v>
      </c>
      <c r="M1329" s="4" t="s">
        <v>564</v>
      </c>
      <c r="N1329" s="4" t="s">
        <v>965</v>
      </c>
      <c r="O1329" s="4" t="s">
        <v>530</v>
      </c>
    </row>
    <row r="1330" spans="2:15">
      <c r="B1330" s="20">
        <v>45251</v>
      </c>
      <c r="C1330" s="20">
        <v>45251</v>
      </c>
      <c r="D1330" s="54">
        <v>50144376</v>
      </c>
      <c r="E1330" s="55" t="s">
        <v>19</v>
      </c>
      <c r="F1330" s="56">
        <v>28</v>
      </c>
      <c r="G1330" s="68">
        <v>14000</v>
      </c>
      <c r="H1330" s="56" t="s">
        <v>92</v>
      </c>
      <c r="J1330" s="56">
        <v>1007</v>
      </c>
      <c r="L1330" s="56" t="s">
        <v>262</v>
      </c>
      <c r="M1330" s="4" t="s">
        <v>176</v>
      </c>
      <c r="N1330" s="4" t="s">
        <v>193</v>
      </c>
      <c r="O1330" s="4" t="s">
        <v>530</v>
      </c>
    </row>
    <row r="1331" spans="2:15">
      <c r="B1331" s="20">
        <v>45251</v>
      </c>
      <c r="C1331" s="20">
        <v>45251</v>
      </c>
      <c r="D1331" s="54">
        <v>50142262</v>
      </c>
      <c r="E1331" s="55" t="s">
        <v>779</v>
      </c>
      <c r="F1331" s="56">
        <v>1</v>
      </c>
      <c r="G1331" s="68">
        <v>506</v>
      </c>
      <c r="H1331" s="56" t="s">
        <v>82</v>
      </c>
      <c r="J1331" s="56">
        <v>1460</v>
      </c>
      <c r="L1331" s="56" t="s">
        <v>780</v>
      </c>
      <c r="M1331" s="4" t="s">
        <v>780</v>
      </c>
      <c r="N1331" s="4" t="s">
        <v>1068</v>
      </c>
      <c r="O1331" s="4" t="s">
        <v>530</v>
      </c>
    </row>
    <row r="1332" spans="2:15">
      <c r="B1332" s="20">
        <v>45252</v>
      </c>
      <c r="C1332" s="20">
        <v>45252</v>
      </c>
      <c r="D1332" s="54">
        <v>40010087</v>
      </c>
      <c r="E1332" s="55" t="s">
        <v>387</v>
      </c>
      <c r="F1332" s="56">
        <v>18</v>
      </c>
      <c r="G1332" s="68">
        <v>15038</v>
      </c>
      <c r="H1332" s="56" t="s">
        <v>80</v>
      </c>
      <c r="J1332" s="56">
        <v>740590</v>
      </c>
      <c r="K1332" s="4" t="s">
        <v>1069</v>
      </c>
      <c r="L1332" s="56" t="s">
        <v>175</v>
      </c>
      <c r="M1332" s="4" t="s">
        <v>564</v>
      </c>
      <c r="N1332" s="4" t="s">
        <v>974</v>
      </c>
      <c r="O1332" s="4" t="s">
        <v>530</v>
      </c>
    </row>
    <row r="1333" spans="2:15">
      <c r="B1333" s="20">
        <v>45252</v>
      </c>
      <c r="C1333" s="20">
        <v>45252</v>
      </c>
      <c r="D1333" s="54">
        <v>40009541</v>
      </c>
      <c r="E1333" s="55" t="s">
        <v>685</v>
      </c>
      <c r="F1333" s="56">
        <v>2</v>
      </c>
      <c r="G1333" s="68">
        <v>5771</v>
      </c>
      <c r="H1333" s="56" t="s">
        <v>80</v>
      </c>
      <c r="J1333" s="56">
        <v>740590</v>
      </c>
      <c r="K1333" s="4" t="s">
        <v>1069</v>
      </c>
      <c r="L1333" s="56" t="s">
        <v>175</v>
      </c>
      <c r="M1333" s="4" t="s">
        <v>564</v>
      </c>
      <c r="N1333" s="4" t="s">
        <v>974</v>
      </c>
      <c r="O1333" s="4" t="s">
        <v>530</v>
      </c>
    </row>
    <row r="1334" spans="2:15">
      <c r="B1334" s="20">
        <v>45252</v>
      </c>
      <c r="C1334" s="20">
        <v>45252</v>
      </c>
      <c r="D1334" s="54">
        <v>50142055</v>
      </c>
      <c r="E1334" s="55" t="s">
        <v>206</v>
      </c>
      <c r="F1334" s="56">
        <v>21</v>
      </c>
      <c r="G1334" s="68">
        <v>12000</v>
      </c>
      <c r="H1334" s="56" t="s">
        <v>82</v>
      </c>
      <c r="J1334" s="56">
        <v>909986786</v>
      </c>
      <c r="L1334" s="56" t="s">
        <v>1070</v>
      </c>
      <c r="M1334" s="4" t="s">
        <v>1071</v>
      </c>
      <c r="N1334" s="4" t="s">
        <v>1072</v>
      </c>
      <c r="O1334" s="4" t="s">
        <v>530</v>
      </c>
    </row>
    <row r="1335" spans="2:15">
      <c r="B1335" s="20">
        <v>45253</v>
      </c>
      <c r="C1335" s="20">
        <v>45253</v>
      </c>
      <c r="D1335" s="54">
        <v>50142631</v>
      </c>
      <c r="E1335" s="55" t="s">
        <v>566</v>
      </c>
      <c r="F1335" s="56">
        <v>2</v>
      </c>
      <c r="G1335" s="68">
        <v>1500</v>
      </c>
      <c r="H1335" s="56" t="s">
        <v>82</v>
      </c>
      <c r="J1335" s="56">
        <v>346</v>
      </c>
      <c r="L1335" s="56" t="s">
        <v>567</v>
      </c>
      <c r="M1335" s="4" t="s">
        <v>568</v>
      </c>
      <c r="N1335" s="4" t="s">
        <v>569</v>
      </c>
      <c r="O1335" s="4" t="s">
        <v>530</v>
      </c>
    </row>
    <row r="1336" spans="2:15">
      <c r="B1336" s="20">
        <v>45253</v>
      </c>
      <c r="C1336" s="20">
        <v>45253</v>
      </c>
      <c r="D1336" s="54">
        <v>50272278</v>
      </c>
      <c r="E1336" s="55" t="s">
        <v>21</v>
      </c>
      <c r="F1336" s="56">
        <v>28</v>
      </c>
      <c r="G1336" s="68">
        <v>14000</v>
      </c>
      <c r="H1336" s="56" t="s">
        <v>92</v>
      </c>
      <c r="J1336" s="56">
        <v>1029</v>
      </c>
      <c r="L1336" s="56" t="s">
        <v>262</v>
      </c>
      <c r="M1336" s="4" t="s">
        <v>176</v>
      </c>
      <c r="N1336" s="4" t="s">
        <v>193</v>
      </c>
      <c r="O1336" s="4" t="s">
        <v>530</v>
      </c>
    </row>
    <row r="1337" spans="2:15">
      <c r="B1337" s="20">
        <v>45253</v>
      </c>
      <c r="C1337" s="20">
        <v>45253</v>
      </c>
      <c r="D1337" s="54">
        <v>50142329</v>
      </c>
      <c r="E1337" s="55" t="s">
        <v>1073</v>
      </c>
      <c r="F1337" s="56">
        <v>10</v>
      </c>
      <c r="G1337" s="68">
        <v>200</v>
      </c>
      <c r="H1337" s="56" t="s">
        <v>198</v>
      </c>
      <c r="J1337" s="56">
        <v>127</v>
      </c>
      <c r="L1337" s="56" t="s">
        <v>769</v>
      </c>
      <c r="M1337" s="4" t="s">
        <v>769</v>
      </c>
      <c r="N1337" s="4" t="s">
        <v>1074</v>
      </c>
      <c r="O1337" s="4" t="s">
        <v>530</v>
      </c>
    </row>
    <row r="1338" spans="2:15">
      <c r="B1338" s="20">
        <v>45254</v>
      </c>
      <c r="C1338" s="20">
        <v>45254</v>
      </c>
      <c r="D1338" s="54">
        <v>50272278</v>
      </c>
      <c r="E1338" s="55" t="s">
        <v>21</v>
      </c>
      <c r="F1338" s="56">
        <v>28</v>
      </c>
      <c r="G1338" s="68">
        <v>14000</v>
      </c>
      <c r="H1338" s="56" t="s">
        <v>92</v>
      </c>
      <c r="J1338" s="56">
        <v>1032</v>
      </c>
      <c r="L1338" s="56" t="s">
        <v>262</v>
      </c>
      <c r="M1338" s="4" t="s">
        <v>176</v>
      </c>
      <c r="N1338" s="4" t="s">
        <v>193</v>
      </c>
      <c r="O1338" s="4" t="s">
        <v>530</v>
      </c>
    </row>
    <row r="1339" spans="2:15">
      <c r="B1339" s="20">
        <v>45254</v>
      </c>
      <c r="C1339" s="20">
        <v>45254</v>
      </c>
      <c r="D1339" s="54">
        <v>50802401</v>
      </c>
      <c r="E1339" s="55" t="s">
        <v>13</v>
      </c>
      <c r="F1339" s="56">
        <v>32</v>
      </c>
      <c r="G1339" s="68">
        <v>9273600</v>
      </c>
      <c r="H1339" s="56" t="s">
        <v>92</v>
      </c>
      <c r="J1339" s="56">
        <v>1551</v>
      </c>
      <c r="L1339" s="56" t="s">
        <v>789</v>
      </c>
      <c r="M1339" s="4" t="s">
        <v>1075</v>
      </c>
      <c r="N1339" s="4" t="s">
        <v>1076</v>
      </c>
      <c r="O1339" s="4" t="s">
        <v>530</v>
      </c>
    </row>
    <row r="1340" spans="2:15">
      <c r="B1340" s="20">
        <v>45254</v>
      </c>
      <c r="C1340" s="20">
        <v>45254</v>
      </c>
      <c r="D1340" s="54">
        <v>50812974</v>
      </c>
      <c r="E1340" s="55" t="s">
        <v>822</v>
      </c>
      <c r="F1340" s="56">
        <v>8</v>
      </c>
      <c r="G1340" s="68">
        <v>2318400</v>
      </c>
      <c r="H1340" s="56" t="s">
        <v>92</v>
      </c>
      <c r="J1340" s="56">
        <v>1552</v>
      </c>
      <c r="L1340" s="56" t="s">
        <v>789</v>
      </c>
      <c r="M1340" s="4" t="s">
        <v>1075</v>
      </c>
      <c r="N1340" s="4" t="s">
        <v>1077</v>
      </c>
      <c r="O1340" s="4" t="s">
        <v>530</v>
      </c>
    </row>
    <row r="1341" spans="2:15">
      <c r="B1341" s="20">
        <v>45254</v>
      </c>
      <c r="C1341" s="20">
        <v>45254</v>
      </c>
      <c r="D1341" s="54">
        <v>50802401</v>
      </c>
      <c r="E1341" s="55" t="s">
        <v>13</v>
      </c>
      <c r="F1341" s="56">
        <v>24</v>
      </c>
      <c r="G1341" s="68">
        <v>6955200</v>
      </c>
      <c r="H1341" s="56" t="s">
        <v>92</v>
      </c>
      <c r="J1341" s="56">
        <v>1552</v>
      </c>
      <c r="L1341" s="56" t="s">
        <v>789</v>
      </c>
      <c r="M1341" s="4" t="s">
        <v>1075</v>
      </c>
      <c r="N1341" s="4" t="s">
        <v>1077</v>
      </c>
      <c r="O1341" s="4" t="s">
        <v>530</v>
      </c>
    </row>
    <row r="1342" spans="2:15">
      <c r="B1342" s="20">
        <v>45257</v>
      </c>
      <c r="C1342" s="20">
        <v>45257</v>
      </c>
      <c r="D1342" s="54">
        <v>50507916</v>
      </c>
      <c r="E1342" s="55" t="s">
        <v>406</v>
      </c>
      <c r="F1342" s="56">
        <v>42</v>
      </c>
      <c r="G1342" s="68">
        <v>11088000</v>
      </c>
      <c r="H1342" s="56" t="s">
        <v>92</v>
      </c>
      <c r="J1342" s="56" t="s">
        <v>1078</v>
      </c>
      <c r="K1342" s="4" t="s">
        <v>1079</v>
      </c>
      <c r="L1342" s="56" t="s">
        <v>877</v>
      </c>
      <c r="M1342" s="4" t="s">
        <v>209</v>
      </c>
      <c r="N1342" s="4" t="s">
        <v>493</v>
      </c>
      <c r="O1342" s="4" t="s">
        <v>530</v>
      </c>
    </row>
    <row r="1343" spans="2:15">
      <c r="B1343" s="20">
        <v>45257</v>
      </c>
      <c r="C1343" s="20">
        <v>45257</v>
      </c>
      <c r="D1343" s="54">
        <v>50507916</v>
      </c>
      <c r="E1343" s="55" t="s">
        <v>406</v>
      </c>
      <c r="F1343" s="56">
        <v>41</v>
      </c>
      <c r="G1343" s="68">
        <v>10813000</v>
      </c>
      <c r="H1343" s="56" t="s">
        <v>92</v>
      </c>
      <c r="J1343" s="56" t="s">
        <v>1078</v>
      </c>
      <c r="K1343" s="4" t="s">
        <v>1080</v>
      </c>
      <c r="L1343" s="56" t="s">
        <v>877</v>
      </c>
      <c r="M1343" s="4" t="s">
        <v>209</v>
      </c>
      <c r="N1343" s="4" t="s">
        <v>1081</v>
      </c>
      <c r="O1343" s="4" t="s">
        <v>530</v>
      </c>
    </row>
    <row r="1344" spans="2:15">
      <c r="B1344" s="20">
        <v>45257</v>
      </c>
      <c r="C1344" s="20">
        <v>45257</v>
      </c>
      <c r="D1344" s="54">
        <v>50143875</v>
      </c>
      <c r="E1344" s="55" t="s">
        <v>713</v>
      </c>
      <c r="F1344" s="56">
        <v>2</v>
      </c>
      <c r="G1344" s="68">
        <v>10400</v>
      </c>
      <c r="H1344" s="56" t="s">
        <v>92</v>
      </c>
      <c r="J1344" s="56">
        <v>5024</v>
      </c>
      <c r="L1344" s="56" t="s">
        <v>615</v>
      </c>
      <c r="M1344" s="4" t="s">
        <v>615</v>
      </c>
      <c r="N1344" s="4" t="s">
        <v>1082</v>
      </c>
      <c r="O1344" s="4" t="s">
        <v>530</v>
      </c>
    </row>
    <row r="1345" spans="2:15">
      <c r="B1345" s="20">
        <v>45259</v>
      </c>
      <c r="C1345" s="20">
        <v>45259</v>
      </c>
      <c r="D1345" s="54">
        <v>50272278</v>
      </c>
      <c r="E1345" s="55" t="s">
        <v>21</v>
      </c>
      <c r="F1345" s="56">
        <v>28</v>
      </c>
      <c r="G1345" s="68">
        <v>14000</v>
      </c>
      <c r="H1345" s="56" t="s">
        <v>92</v>
      </c>
      <c r="J1345" s="56">
        <v>1029</v>
      </c>
      <c r="L1345" s="56" t="s">
        <v>262</v>
      </c>
      <c r="M1345" s="4" t="s">
        <v>176</v>
      </c>
      <c r="N1345" s="4" t="s">
        <v>193</v>
      </c>
      <c r="O1345" s="4" t="s">
        <v>530</v>
      </c>
    </row>
    <row r="1346" spans="2:15">
      <c r="B1346" s="20">
        <v>45260</v>
      </c>
      <c r="C1346" s="20">
        <v>45260</v>
      </c>
      <c r="D1346" s="54">
        <v>50272278</v>
      </c>
      <c r="E1346" s="55" t="s">
        <v>21</v>
      </c>
      <c r="F1346" s="56">
        <v>28</v>
      </c>
      <c r="G1346" s="68">
        <v>14000</v>
      </c>
      <c r="H1346" s="56" t="s">
        <v>92</v>
      </c>
      <c r="J1346" s="56">
        <v>1057</v>
      </c>
      <c r="L1346" s="56" t="s">
        <v>262</v>
      </c>
      <c r="M1346" s="4" t="s">
        <v>176</v>
      </c>
      <c r="N1346" s="4" t="s">
        <v>193</v>
      </c>
      <c r="O1346" s="4" t="s">
        <v>533</v>
      </c>
    </row>
    <row r="1347" spans="2:15">
      <c r="B1347" s="20">
        <v>45260</v>
      </c>
      <c r="C1347" s="20">
        <v>45260</v>
      </c>
      <c r="D1347" s="54">
        <v>50804970</v>
      </c>
      <c r="E1347" s="55" t="s">
        <v>857</v>
      </c>
      <c r="F1347" s="56">
        <v>2</v>
      </c>
      <c r="G1347" s="68">
        <v>3700000</v>
      </c>
      <c r="H1347" s="56" t="s">
        <v>92</v>
      </c>
      <c r="J1347" s="56" t="s">
        <v>1083</v>
      </c>
      <c r="K1347" s="4" t="s">
        <v>1084</v>
      </c>
      <c r="L1347" s="56" t="s">
        <v>853</v>
      </c>
      <c r="M1347" s="4" t="s">
        <v>564</v>
      </c>
      <c r="N1347" s="4" t="s">
        <v>1085</v>
      </c>
      <c r="O1347" s="4" t="s">
        <v>533</v>
      </c>
    </row>
    <row r="1348" spans="2:15">
      <c r="B1348" s="20">
        <v>45260</v>
      </c>
      <c r="C1348" s="20">
        <v>45260</v>
      </c>
      <c r="D1348" s="54">
        <v>50804971</v>
      </c>
      <c r="E1348" s="55" t="s">
        <v>855</v>
      </c>
      <c r="F1348" s="56">
        <v>4</v>
      </c>
      <c r="G1348" s="68">
        <v>3700000</v>
      </c>
      <c r="H1348" s="56" t="s">
        <v>92</v>
      </c>
      <c r="J1348" s="56" t="s">
        <v>1083</v>
      </c>
      <c r="K1348" s="4" t="s">
        <v>1084</v>
      </c>
      <c r="L1348" s="56" t="s">
        <v>853</v>
      </c>
      <c r="M1348" s="4" t="s">
        <v>564</v>
      </c>
      <c r="N1348" s="4" t="s">
        <v>1085</v>
      </c>
      <c r="O1348" s="4" t="s">
        <v>533</v>
      </c>
    </row>
    <row r="1349" spans="2:15">
      <c r="B1349" s="20">
        <v>45260</v>
      </c>
      <c r="C1349" s="20">
        <v>45260</v>
      </c>
      <c r="D1349" s="54">
        <v>50804929</v>
      </c>
      <c r="E1349" s="55" t="s">
        <v>856</v>
      </c>
      <c r="F1349" s="56">
        <v>8</v>
      </c>
      <c r="G1349" s="68">
        <v>3699990</v>
      </c>
      <c r="H1349" s="56" t="s">
        <v>92</v>
      </c>
      <c r="J1349" s="56" t="s">
        <v>1083</v>
      </c>
      <c r="K1349" s="4" t="s">
        <v>1084</v>
      </c>
      <c r="L1349" s="56" t="s">
        <v>853</v>
      </c>
      <c r="M1349" s="4" t="s">
        <v>564</v>
      </c>
      <c r="N1349" s="4" t="s">
        <v>1085</v>
      </c>
      <c r="O1349" s="4" t="s">
        <v>533</v>
      </c>
    </row>
    <row r="1350" spans="2:15">
      <c r="B1350" s="20">
        <v>45260</v>
      </c>
      <c r="C1350" s="20">
        <v>45260</v>
      </c>
      <c r="D1350" s="54">
        <v>50793278</v>
      </c>
      <c r="E1350" s="55" t="s">
        <v>1086</v>
      </c>
      <c r="F1350" s="56">
        <v>4</v>
      </c>
      <c r="G1350" s="68">
        <v>40</v>
      </c>
      <c r="H1350" s="56" t="s">
        <v>1087</v>
      </c>
      <c r="J1350" s="56">
        <v>237430369</v>
      </c>
      <c r="K1350" s="4" t="s">
        <v>1088</v>
      </c>
      <c r="L1350" s="56" t="s">
        <v>1089</v>
      </c>
      <c r="M1350" s="4" t="s">
        <v>564</v>
      </c>
      <c r="N1350" s="4" t="s">
        <v>1090</v>
      </c>
      <c r="O1350" s="4" t="s">
        <v>533</v>
      </c>
    </row>
    <row r="1351" spans="2:15">
      <c r="B1351" s="20">
        <v>45261</v>
      </c>
      <c r="C1351" s="20">
        <v>45261</v>
      </c>
      <c r="D1351" s="54">
        <v>50272278</v>
      </c>
      <c r="E1351" s="55" t="s">
        <v>21</v>
      </c>
      <c r="F1351" s="56">
        <v>6</v>
      </c>
      <c r="G1351" s="68">
        <v>3000</v>
      </c>
      <c r="H1351" s="56" t="s">
        <v>92</v>
      </c>
      <c r="J1351" s="56">
        <v>1062</v>
      </c>
      <c r="L1351" s="56" t="s">
        <v>262</v>
      </c>
      <c r="M1351" s="4" t="s">
        <v>176</v>
      </c>
      <c r="N1351" s="4" t="s">
        <v>193</v>
      </c>
      <c r="O1351" s="4" t="s">
        <v>533</v>
      </c>
    </row>
    <row r="1352" spans="2:15">
      <c r="B1352" s="20">
        <v>45261</v>
      </c>
      <c r="C1352" s="20">
        <v>45261</v>
      </c>
      <c r="D1352" s="54">
        <v>50272278</v>
      </c>
      <c r="E1352" s="55" t="s">
        <v>21</v>
      </c>
      <c r="F1352" s="56">
        <v>4</v>
      </c>
      <c r="G1352" s="68">
        <v>2000</v>
      </c>
      <c r="H1352" s="56" t="s">
        <v>92</v>
      </c>
      <c r="J1352" s="56">
        <v>1063</v>
      </c>
      <c r="L1352" s="56" t="s">
        <v>262</v>
      </c>
      <c r="M1352" s="4" t="s">
        <v>176</v>
      </c>
      <c r="N1352" s="4" t="s">
        <v>193</v>
      </c>
      <c r="O1352" s="4" t="s">
        <v>533</v>
      </c>
    </row>
    <row r="1353" spans="2:15">
      <c r="B1353" s="20">
        <v>45261</v>
      </c>
      <c r="C1353" s="20">
        <v>45261</v>
      </c>
      <c r="D1353" s="54">
        <v>50144376</v>
      </c>
      <c r="E1353" s="55" t="s">
        <v>19</v>
      </c>
      <c r="F1353" s="56">
        <v>12</v>
      </c>
      <c r="G1353" s="68">
        <v>6000</v>
      </c>
      <c r="H1353" s="56" t="s">
        <v>92</v>
      </c>
      <c r="J1353" s="56">
        <v>1064</v>
      </c>
      <c r="L1353" s="56" t="s">
        <v>262</v>
      </c>
      <c r="M1353" s="4" t="s">
        <v>176</v>
      </c>
      <c r="N1353" s="4" t="s">
        <v>193</v>
      </c>
      <c r="O1353" s="4" t="s">
        <v>533</v>
      </c>
    </row>
    <row r="1354" spans="2:15">
      <c r="B1354" s="20">
        <v>45261</v>
      </c>
      <c r="C1354" s="20">
        <v>45261</v>
      </c>
      <c r="D1354" s="54">
        <v>50144376</v>
      </c>
      <c r="E1354" s="55" t="s">
        <v>19</v>
      </c>
      <c r="F1354" s="56">
        <v>6</v>
      </c>
      <c r="G1354" s="68">
        <v>3000</v>
      </c>
      <c r="H1354" s="56" t="s">
        <v>92</v>
      </c>
      <c r="J1354" s="56">
        <v>1065</v>
      </c>
      <c r="L1354" s="56" t="s">
        <v>262</v>
      </c>
      <c r="M1354" s="4" t="s">
        <v>176</v>
      </c>
      <c r="N1354" s="4" t="s">
        <v>193</v>
      </c>
      <c r="O1354" s="4" t="s">
        <v>533</v>
      </c>
    </row>
    <row r="1355" spans="2:15">
      <c r="B1355" s="20">
        <v>45261</v>
      </c>
      <c r="C1355" s="20">
        <v>45261</v>
      </c>
      <c r="D1355" s="54">
        <v>50141786</v>
      </c>
      <c r="E1355" s="55" t="s">
        <v>188</v>
      </c>
      <c r="F1355" s="56">
        <v>20</v>
      </c>
      <c r="G1355" s="68">
        <f>20*560</f>
        <v>11200</v>
      </c>
      <c r="H1355" s="56" t="s">
        <v>82</v>
      </c>
      <c r="J1355" s="56">
        <v>112304</v>
      </c>
      <c r="K1355" s="4" t="s">
        <v>1091</v>
      </c>
      <c r="L1355" s="56" t="s">
        <v>1060</v>
      </c>
      <c r="M1355" s="4" t="s">
        <v>209</v>
      </c>
      <c r="N1355" s="4" t="s">
        <v>1092</v>
      </c>
      <c r="O1355" s="4" t="s">
        <v>533</v>
      </c>
    </row>
    <row r="1356" spans="2:15">
      <c r="B1356" s="20">
        <v>45261</v>
      </c>
      <c r="C1356" s="20">
        <v>45261</v>
      </c>
      <c r="D1356" s="54">
        <v>50141786</v>
      </c>
      <c r="E1356" s="55" t="s">
        <v>188</v>
      </c>
      <c r="F1356" s="56">
        <v>20</v>
      </c>
      <c r="G1356" s="68">
        <f>20*560</f>
        <v>11200</v>
      </c>
      <c r="H1356" s="56" t="s">
        <v>82</v>
      </c>
      <c r="J1356" s="56">
        <v>112339</v>
      </c>
      <c r="K1356" s="4" t="s">
        <v>1093</v>
      </c>
      <c r="L1356" s="56" t="s">
        <v>1060</v>
      </c>
      <c r="M1356" s="4" t="s">
        <v>209</v>
      </c>
      <c r="N1356" s="4" t="s">
        <v>483</v>
      </c>
      <c r="O1356" s="4" t="s">
        <v>533</v>
      </c>
    </row>
    <row r="1357" spans="2:15">
      <c r="B1357" s="20">
        <v>45261</v>
      </c>
      <c r="C1357" s="20">
        <v>45261</v>
      </c>
      <c r="D1357" s="54">
        <v>50272278</v>
      </c>
      <c r="E1357" s="55" t="s">
        <v>21</v>
      </c>
      <c r="F1357" s="56">
        <v>5</v>
      </c>
      <c r="G1357" s="68">
        <f>5*330</f>
        <v>1650</v>
      </c>
      <c r="H1357" s="56" t="s">
        <v>92</v>
      </c>
      <c r="J1357" s="56">
        <v>28939</v>
      </c>
      <c r="L1357" s="56" t="s">
        <v>838</v>
      </c>
      <c r="M1357" s="4" t="s">
        <v>176</v>
      </c>
      <c r="N1357" s="4" t="s">
        <v>177</v>
      </c>
      <c r="O1357" s="4" t="s">
        <v>533</v>
      </c>
    </row>
    <row r="1358" spans="2:15">
      <c r="B1358" s="20">
        <v>45261</v>
      </c>
      <c r="C1358" s="20">
        <v>45261</v>
      </c>
      <c r="D1358" s="54">
        <v>50799770</v>
      </c>
      <c r="E1358" s="55" t="s">
        <v>17</v>
      </c>
      <c r="F1358" s="56">
        <v>33</v>
      </c>
      <c r="G1358" s="68">
        <f>33*250</f>
        <v>8250</v>
      </c>
      <c r="H1358" s="56" t="s">
        <v>92</v>
      </c>
      <c r="J1358" s="56">
        <v>28939</v>
      </c>
      <c r="L1358" s="56" t="s">
        <v>838</v>
      </c>
      <c r="M1358" s="4" t="s">
        <v>176</v>
      </c>
      <c r="N1358" s="4" t="s">
        <v>177</v>
      </c>
      <c r="O1358" s="4" t="s">
        <v>533</v>
      </c>
    </row>
    <row r="1359" spans="2:15">
      <c r="B1359" s="20">
        <v>45261</v>
      </c>
      <c r="C1359" s="20">
        <v>45261</v>
      </c>
      <c r="D1359" s="54">
        <v>40499</v>
      </c>
      <c r="E1359" s="55" t="s">
        <v>1094</v>
      </c>
      <c r="F1359" s="56">
        <v>33</v>
      </c>
      <c r="G1359" s="68">
        <v>33</v>
      </c>
      <c r="H1359" s="56" t="s">
        <v>92</v>
      </c>
      <c r="J1359" s="56">
        <v>28939</v>
      </c>
      <c r="L1359" s="56" t="s">
        <v>838</v>
      </c>
      <c r="M1359" s="4" t="s">
        <v>176</v>
      </c>
      <c r="N1359" s="4" t="s">
        <v>177</v>
      </c>
      <c r="O1359" s="4" t="s">
        <v>533</v>
      </c>
    </row>
    <row r="1360" spans="2:15">
      <c r="B1360" s="20">
        <v>45264</v>
      </c>
      <c r="C1360" s="20">
        <v>45264</v>
      </c>
      <c r="D1360" s="54">
        <v>50435419</v>
      </c>
      <c r="E1360" s="55" t="s">
        <v>656</v>
      </c>
      <c r="F1360" s="56">
        <v>7</v>
      </c>
      <c r="G1360" s="68">
        <v>5992</v>
      </c>
      <c r="H1360" s="56" t="s">
        <v>82</v>
      </c>
      <c r="J1360" s="56">
        <v>1158067451</v>
      </c>
      <c r="K1360" s="4" t="s">
        <v>1095</v>
      </c>
      <c r="L1360" s="56" t="s">
        <v>722</v>
      </c>
      <c r="M1360" s="4" t="s">
        <v>209</v>
      </c>
      <c r="N1360" s="4" t="s">
        <v>1096</v>
      </c>
      <c r="O1360" s="4" t="s">
        <v>533</v>
      </c>
    </row>
    <row r="1361" spans="2:15">
      <c r="B1361" s="20">
        <v>45264</v>
      </c>
      <c r="C1361" s="20">
        <v>45264</v>
      </c>
      <c r="D1361" s="54">
        <v>50751654</v>
      </c>
      <c r="E1361" s="55" t="s">
        <v>874</v>
      </c>
      <c r="F1361" s="56">
        <v>4</v>
      </c>
      <c r="G1361" s="68">
        <v>3584</v>
      </c>
      <c r="H1361" s="56" t="s">
        <v>82</v>
      </c>
      <c r="J1361" s="56">
        <v>1158067451</v>
      </c>
      <c r="K1361" s="4" t="s">
        <v>1095</v>
      </c>
      <c r="L1361" s="56" t="s">
        <v>722</v>
      </c>
      <c r="M1361" s="4" t="s">
        <v>209</v>
      </c>
      <c r="N1361" s="4" t="s">
        <v>1096</v>
      </c>
      <c r="O1361" s="4" t="s">
        <v>533</v>
      </c>
    </row>
    <row r="1362" spans="2:15">
      <c r="B1362" s="20">
        <v>45264</v>
      </c>
      <c r="C1362" s="20">
        <v>45264</v>
      </c>
      <c r="D1362" s="54">
        <v>50338577</v>
      </c>
      <c r="E1362" s="55" t="s">
        <v>1097</v>
      </c>
      <c r="F1362" s="56">
        <v>3</v>
      </c>
      <c r="G1362" s="68">
        <v>1450</v>
      </c>
      <c r="H1362" s="56" t="s">
        <v>82</v>
      </c>
      <c r="J1362" s="56">
        <v>60284028</v>
      </c>
      <c r="K1362" s="4" t="s">
        <v>1098</v>
      </c>
      <c r="L1362" s="56" t="s">
        <v>1099</v>
      </c>
      <c r="M1362" s="4" t="s">
        <v>209</v>
      </c>
      <c r="N1362" s="4" t="s">
        <v>1100</v>
      </c>
      <c r="O1362" s="4" t="s">
        <v>533</v>
      </c>
    </row>
    <row r="1363" spans="2:15">
      <c r="B1363" s="20">
        <v>45264</v>
      </c>
      <c r="C1363" s="20">
        <v>45264</v>
      </c>
      <c r="D1363" s="54">
        <v>50272278</v>
      </c>
      <c r="E1363" s="55" t="s">
        <v>21</v>
      </c>
      <c r="F1363" s="56">
        <v>3</v>
      </c>
      <c r="G1363" s="68">
        <v>1500</v>
      </c>
      <c r="H1363" s="56" t="s">
        <v>92</v>
      </c>
      <c r="J1363" s="56">
        <v>1075</v>
      </c>
      <c r="L1363" s="56" t="s">
        <v>262</v>
      </c>
      <c r="M1363" s="4" t="s">
        <v>176</v>
      </c>
      <c r="N1363" s="4" t="s">
        <v>193</v>
      </c>
      <c r="O1363" s="4" t="s">
        <v>533</v>
      </c>
    </row>
    <row r="1364" spans="2:15">
      <c r="B1364" s="20">
        <v>45264</v>
      </c>
      <c r="C1364" s="20">
        <v>45264</v>
      </c>
      <c r="D1364" s="54">
        <v>50799770</v>
      </c>
      <c r="E1364" s="55" t="s">
        <v>17</v>
      </c>
      <c r="F1364" s="56">
        <v>25</v>
      </c>
      <c r="G1364" s="68">
        <v>12500</v>
      </c>
      <c r="H1364" s="56" t="s">
        <v>92</v>
      </c>
      <c r="J1364" s="56">
        <v>1074</v>
      </c>
      <c r="L1364" s="56" t="s">
        <v>262</v>
      </c>
      <c r="M1364" s="4" t="s">
        <v>176</v>
      </c>
      <c r="N1364" s="4" t="s">
        <v>193</v>
      </c>
      <c r="O1364" s="4" t="s">
        <v>533</v>
      </c>
    </row>
    <row r="1365" spans="2:15">
      <c r="B1365" s="20">
        <v>45264</v>
      </c>
      <c r="C1365" s="20">
        <v>45264</v>
      </c>
      <c r="D1365" s="54">
        <v>50142330</v>
      </c>
      <c r="E1365" s="55" t="s">
        <v>195</v>
      </c>
      <c r="F1365" s="56">
        <v>40</v>
      </c>
      <c r="G1365" s="68">
        <v>7185.6</v>
      </c>
      <c r="H1365" s="56" t="s">
        <v>82</v>
      </c>
      <c r="J1365" s="56">
        <v>92387533</v>
      </c>
      <c r="K1365" s="4" t="s">
        <v>1101</v>
      </c>
      <c r="L1365" s="56" t="s">
        <v>196</v>
      </c>
      <c r="M1365" s="4" t="s">
        <v>209</v>
      </c>
      <c r="N1365" s="4" t="s">
        <v>845</v>
      </c>
      <c r="O1365" s="4" t="s">
        <v>533</v>
      </c>
    </row>
    <row r="1366" spans="2:15">
      <c r="B1366" s="20">
        <v>45265</v>
      </c>
      <c r="C1366" s="20">
        <v>45265</v>
      </c>
      <c r="D1366" s="54">
        <v>50010080</v>
      </c>
      <c r="E1366" s="55" t="s">
        <v>354</v>
      </c>
      <c r="F1366" s="56">
        <v>20</v>
      </c>
      <c r="G1366" s="68">
        <v>20000</v>
      </c>
      <c r="H1366" s="56" t="s">
        <v>82</v>
      </c>
      <c r="J1366" s="56">
        <v>1506</v>
      </c>
      <c r="L1366" s="56" t="s">
        <v>355</v>
      </c>
      <c r="M1366" s="4" t="s">
        <v>650</v>
      </c>
      <c r="N1366" s="4" t="s">
        <v>772</v>
      </c>
      <c r="O1366" s="4" t="s">
        <v>533</v>
      </c>
    </row>
    <row r="1367" spans="2:15">
      <c r="B1367" s="20">
        <v>45265</v>
      </c>
      <c r="C1367" s="20">
        <v>45265</v>
      </c>
      <c r="D1367" s="54">
        <v>50315365</v>
      </c>
      <c r="E1367" s="55" t="s">
        <v>584</v>
      </c>
      <c r="F1367" s="56">
        <v>15</v>
      </c>
      <c r="G1367" s="68">
        <v>3960</v>
      </c>
      <c r="H1367" s="56" t="s">
        <v>80</v>
      </c>
      <c r="J1367" s="56" t="s">
        <v>1102</v>
      </c>
      <c r="K1367" s="4" t="s">
        <v>1103</v>
      </c>
      <c r="L1367" s="56" t="s">
        <v>185</v>
      </c>
      <c r="M1367" s="4" t="s">
        <v>209</v>
      </c>
      <c r="N1367" s="4" t="s">
        <v>1104</v>
      </c>
      <c r="O1367" s="4" t="s">
        <v>533</v>
      </c>
    </row>
    <row r="1368" spans="2:15">
      <c r="B1368" s="20">
        <v>45265</v>
      </c>
      <c r="C1368" s="20">
        <v>45265</v>
      </c>
      <c r="D1368" s="54">
        <v>50507916</v>
      </c>
      <c r="E1368" s="55" t="s">
        <v>406</v>
      </c>
      <c r="F1368" s="56">
        <v>26</v>
      </c>
      <c r="G1368" s="68">
        <v>6798000</v>
      </c>
      <c r="H1368" s="56" t="s">
        <v>92</v>
      </c>
      <c r="J1368" s="56" t="s">
        <v>1102</v>
      </c>
      <c r="K1368" s="4" t="s">
        <v>1103</v>
      </c>
      <c r="L1368" s="56" t="s">
        <v>185</v>
      </c>
      <c r="M1368" s="4" t="s">
        <v>209</v>
      </c>
      <c r="N1368" s="4" t="s">
        <v>1104</v>
      </c>
      <c r="O1368" s="4" t="s">
        <v>533</v>
      </c>
    </row>
    <row r="1369" spans="2:15">
      <c r="B1369" s="20">
        <v>45265</v>
      </c>
      <c r="C1369" s="20">
        <v>45265</v>
      </c>
      <c r="D1369" s="54">
        <v>50144200</v>
      </c>
      <c r="E1369" s="55" t="s">
        <v>184</v>
      </c>
      <c r="F1369" s="56">
        <v>42</v>
      </c>
      <c r="G1369" s="68">
        <v>11000000</v>
      </c>
      <c r="H1369" s="56" t="s">
        <v>92</v>
      </c>
      <c r="J1369" s="56" t="s">
        <v>1102</v>
      </c>
      <c r="K1369" s="4" t="s">
        <v>1105</v>
      </c>
      <c r="L1369" s="56" t="s">
        <v>185</v>
      </c>
      <c r="M1369" s="4" t="s">
        <v>209</v>
      </c>
      <c r="N1369" s="4" t="s">
        <v>1106</v>
      </c>
      <c r="O1369" s="4" t="s">
        <v>533</v>
      </c>
    </row>
    <row r="1370" spans="2:15">
      <c r="B1370" s="20">
        <v>45265</v>
      </c>
      <c r="C1370" s="20">
        <v>45265</v>
      </c>
      <c r="D1370" s="54">
        <v>50272278</v>
      </c>
      <c r="E1370" s="55" t="s">
        <v>21</v>
      </c>
      <c r="F1370" s="56">
        <v>28</v>
      </c>
      <c r="G1370" s="68">
        <v>14000</v>
      </c>
      <c r="H1370" s="56" t="s">
        <v>92</v>
      </c>
      <c r="J1370" s="56">
        <v>1081</v>
      </c>
      <c r="L1370" s="56" t="s">
        <v>262</v>
      </c>
      <c r="M1370" s="4" t="s">
        <v>176</v>
      </c>
      <c r="N1370" s="4" t="s">
        <v>193</v>
      </c>
      <c r="O1370" s="4" t="s">
        <v>533</v>
      </c>
    </row>
    <row r="1371" spans="2:15">
      <c r="B1371" s="20">
        <v>45266</v>
      </c>
      <c r="C1371" s="20">
        <v>45266</v>
      </c>
      <c r="D1371" s="54">
        <v>50815261</v>
      </c>
      <c r="E1371" s="55" t="s">
        <v>1107</v>
      </c>
      <c r="F1371" s="56">
        <v>8</v>
      </c>
      <c r="G1371" s="68">
        <v>2438050</v>
      </c>
      <c r="H1371" s="56" t="s">
        <v>92</v>
      </c>
      <c r="J1371" s="56">
        <v>10209</v>
      </c>
      <c r="K1371" s="4" t="s">
        <v>1108</v>
      </c>
      <c r="L1371" s="56" t="s">
        <v>1109</v>
      </c>
      <c r="M1371" s="4" t="s">
        <v>392</v>
      </c>
      <c r="N1371" s="4" t="s">
        <v>1110</v>
      </c>
      <c r="O1371" s="4" t="s">
        <v>533</v>
      </c>
    </row>
    <row r="1372" spans="2:15">
      <c r="B1372" s="20">
        <v>45266</v>
      </c>
      <c r="C1372" s="20">
        <v>45266</v>
      </c>
      <c r="D1372" s="54">
        <v>50815214</v>
      </c>
      <c r="E1372" s="55" t="s">
        <v>1111</v>
      </c>
      <c r="F1372" s="56">
        <v>12</v>
      </c>
      <c r="G1372" s="68">
        <v>3846320</v>
      </c>
      <c r="H1372" s="56" t="s">
        <v>92</v>
      </c>
      <c r="J1372" s="56">
        <v>10209</v>
      </c>
      <c r="K1372" s="4" t="s">
        <v>1108</v>
      </c>
      <c r="L1372" s="56" t="s">
        <v>1109</v>
      </c>
      <c r="M1372" s="4" t="s">
        <v>392</v>
      </c>
      <c r="N1372" s="4" t="s">
        <v>1110</v>
      </c>
      <c r="O1372" s="4" t="s">
        <v>533</v>
      </c>
    </row>
    <row r="1373" spans="2:15">
      <c r="B1373" s="20">
        <v>45266</v>
      </c>
      <c r="C1373" s="20">
        <v>45266</v>
      </c>
      <c r="D1373" s="54">
        <v>50272278</v>
      </c>
      <c r="E1373" s="55" t="s">
        <v>21</v>
      </c>
      <c r="F1373" s="56">
        <v>28</v>
      </c>
      <c r="G1373" s="68">
        <v>14000</v>
      </c>
      <c r="H1373" s="56" t="s">
        <v>92</v>
      </c>
      <c r="J1373" s="56">
        <v>1089</v>
      </c>
      <c r="L1373" s="56" t="s">
        <v>262</v>
      </c>
      <c r="M1373" s="4" t="s">
        <v>176</v>
      </c>
      <c r="N1373" s="4" t="s">
        <v>193</v>
      </c>
      <c r="O1373" s="4" t="s">
        <v>533</v>
      </c>
    </row>
    <row r="1374" spans="2:15">
      <c r="B1374" s="20">
        <v>45266</v>
      </c>
      <c r="C1374" s="20">
        <v>45266</v>
      </c>
      <c r="D1374" s="54">
        <v>50813995</v>
      </c>
      <c r="E1374" s="55" t="s">
        <v>960</v>
      </c>
      <c r="F1374" s="56">
        <v>11</v>
      </c>
      <c r="G1374" s="68">
        <v>5187.5</v>
      </c>
      <c r="H1374" s="56" t="s">
        <v>82</v>
      </c>
      <c r="J1374" s="56">
        <v>189</v>
      </c>
      <c r="L1374" s="56" t="s">
        <v>243</v>
      </c>
      <c r="M1374" s="4" t="s">
        <v>243</v>
      </c>
      <c r="N1374" s="4" t="s">
        <v>353</v>
      </c>
      <c r="O1374" s="4" t="s">
        <v>533</v>
      </c>
    </row>
    <row r="1375" spans="2:15">
      <c r="B1375" s="20">
        <v>45267</v>
      </c>
      <c r="C1375" s="20">
        <v>45267</v>
      </c>
      <c r="D1375" s="54">
        <v>40009544</v>
      </c>
      <c r="E1375" s="55" t="s">
        <v>179</v>
      </c>
      <c r="F1375" s="56">
        <v>3</v>
      </c>
      <c r="G1375" s="68">
        <v>15120</v>
      </c>
      <c r="H1375" s="56" t="s">
        <v>80</v>
      </c>
      <c r="J1375" s="56">
        <v>807762</v>
      </c>
      <c r="K1375" s="4" t="s">
        <v>1112</v>
      </c>
      <c r="L1375" s="56" t="s">
        <v>175</v>
      </c>
      <c r="M1375" s="4" t="s">
        <v>520</v>
      </c>
      <c r="N1375" s="4" t="s">
        <v>1113</v>
      </c>
      <c r="O1375" s="4" t="s">
        <v>530</v>
      </c>
    </row>
    <row r="1376" spans="2:15">
      <c r="B1376" s="20">
        <v>45267</v>
      </c>
      <c r="C1376" s="20">
        <v>45267</v>
      </c>
      <c r="D1376" s="54">
        <v>40009546</v>
      </c>
      <c r="E1376" s="55" t="s">
        <v>174</v>
      </c>
      <c r="F1376" s="56">
        <v>14</v>
      </c>
      <c r="G1376" s="68">
        <v>12960</v>
      </c>
      <c r="H1376" s="56" t="s">
        <v>80</v>
      </c>
      <c r="J1376" s="56">
        <v>807762</v>
      </c>
      <c r="K1376" s="4" t="s">
        <v>1112</v>
      </c>
      <c r="L1376" s="56" t="s">
        <v>175</v>
      </c>
      <c r="M1376" s="4" t="s">
        <v>520</v>
      </c>
      <c r="N1376" s="4" t="s">
        <v>1113</v>
      </c>
      <c r="O1376" s="4" t="s">
        <v>530</v>
      </c>
    </row>
    <row r="1377" spans="2:15">
      <c r="B1377" s="20">
        <v>45267</v>
      </c>
      <c r="C1377" s="20">
        <v>45267</v>
      </c>
      <c r="D1377" s="54">
        <v>40010084</v>
      </c>
      <c r="E1377" s="55" t="s">
        <v>81</v>
      </c>
      <c r="F1377" s="56">
        <v>5</v>
      </c>
      <c r="G1377" s="68">
        <v>6400</v>
      </c>
      <c r="H1377" s="56" t="s">
        <v>80</v>
      </c>
      <c r="J1377" s="56">
        <v>807762</v>
      </c>
      <c r="K1377" s="4" t="s">
        <v>1112</v>
      </c>
      <c r="L1377" s="56" t="s">
        <v>175</v>
      </c>
      <c r="M1377" s="4" t="s">
        <v>520</v>
      </c>
      <c r="N1377" s="4" t="s">
        <v>1113</v>
      </c>
      <c r="O1377" s="4" t="s">
        <v>530</v>
      </c>
    </row>
    <row r="1378" spans="2:15">
      <c r="B1378" s="20">
        <v>45267</v>
      </c>
      <c r="C1378" s="20">
        <v>45267</v>
      </c>
      <c r="D1378" s="54">
        <v>40010083</v>
      </c>
      <c r="E1378" s="55" t="s">
        <v>85</v>
      </c>
      <c r="F1378" s="56">
        <v>2</v>
      </c>
      <c r="G1378" s="68">
        <v>5980</v>
      </c>
      <c r="H1378" s="56" t="s">
        <v>80</v>
      </c>
      <c r="J1378" s="56">
        <v>807762</v>
      </c>
      <c r="K1378" s="4" t="s">
        <v>1112</v>
      </c>
      <c r="L1378" s="56" t="s">
        <v>175</v>
      </c>
      <c r="M1378" s="4" t="s">
        <v>520</v>
      </c>
      <c r="N1378" s="4" t="s">
        <v>1113</v>
      </c>
      <c r="O1378" s="4" t="s">
        <v>530</v>
      </c>
    </row>
    <row r="1379" spans="2:15">
      <c r="B1379" s="20">
        <v>45267</v>
      </c>
      <c r="C1379" s="20">
        <v>45267</v>
      </c>
      <c r="D1379" s="54">
        <v>50272278</v>
      </c>
      <c r="E1379" s="55" t="s">
        <v>21</v>
      </c>
      <c r="F1379" s="56">
        <v>25</v>
      </c>
      <c r="G1379" s="68">
        <v>12500</v>
      </c>
      <c r="H1379" s="56" t="s">
        <v>92</v>
      </c>
      <c r="J1379" s="56">
        <v>142</v>
      </c>
      <c r="L1379" s="56" t="s">
        <v>201</v>
      </c>
      <c r="M1379" s="4" t="s">
        <v>201</v>
      </c>
      <c r="N1379" s="4" t="s">
        <v>697</v>
      </c>
      <c r="O1379" s="4" t="s">
        <v>530</v>
      </c>
    </row>
    <row r="1380" spans="2:15">
      <c r="B1380" s="20">
        <v>45267</v>
      </c>
      <c r="C1380" s="20">
        <v>45267</v>
      </c>
      <c r="D1380" s="54">
        <v>50272278</v>
      </c>
      <c r="E1380" s="55" t="s">
        <v>21</v>
      </c>
      <c r="F1380" s="56">
        <v>28</v>
      </c>
      <c r="G1380" s="68">
        <v>14000</v>
      </c>
      <c r="H1380" s="56" t="s">
        <v>92</v>
      </c>
      <c r="J1380" s="56">
        <v>1097</v>
      </c>
      <c r="L1380" s="56" t="s">
        <v>262</v>
      </c>
      <c r="M1380" s="4" t="s">
        <v>176</v>
      </c>
      <c r="N1380" s="4" t="s">
        <v>193</v>
      </c>
      <c r="O1380" s="4" t="s">
        <v>530</v>
      </c>
    </row>
    <row r="1381" spans="2:15">
      <c r="B1381" s="20">
        <v>45271</v>
      </c>
      <c r="C1381" s="20">
        <v>45271</v>
      </c>
      <c r="D1381" s="54">
        <v>50820741</v>
      </c>
      <c r="E1381" s="55" t="s">
        <v>1114</v>
      </c>
      <c r="F1381" s="56">
        <v>27</v>
      </c>
      <c r="G1381" s="68">
        <v>7824600</v>
      </c>
      <c r="H1381" s="56" t="s">
        <v>92</v>
      </c>
      <c r="J1381" s="56" t="s">
        <v>1115</v>
      </c>
      <c r="K1381" s="4" t="s">
        <v>1116</v>
      </c>
      <c r="L1381" s="56" t="s">
        <v>1117</v>
      </c>
      <c r="M1381" s="4" t="s">
        <v>1118</v>
      </c>
      <c r="N1381" s="4" t="s">
        <v>1119</v>
      </c>
      <c r="O1381" s="4" t="s">
        <v>530</v>
      </c>
    </row>
    <row r="1382" spans="2:15">
      <c r="B1382" s="20">
        <v>45271</v>
      </c>
      <c r="C1382" s="20">
        <v>45271</v>
      </c>
      <c r="D1382" s="54">
        <v>50812974</v>
      </c>
      <c r="E1382" s="55" t="s">
        <v>822</v>
      </c>
      <c r="F1382" s="56">
        <v>5</v>
      </c>
      <c r="G1382" s="68">
        <v>1449000</v>
      </c>
      <c r="H1382" s="56" t="s">
        <v>92</v>
      </c>
      <c r="J1382" s="56" t="s">
        <v>1115</v>
      </c>
      <c r="K1382" s="4" t="s">
        <v>1116</v>
      </c>
      <c r="L1382" s="56" t="s">
        <v>1117</v>
      </c>
      <c r="M1382" s="4" t="s">
        <v>1118</v>
      </c>
      <c r="N1382" s="4" t="s">
        <v>1119</v>
      </c>
      <c r="O1382" s="4" t="s">
        <v>530</v>
      </c>
    </row>
    <row r="1383" spans="2:15">
      <c r="B1383" s="20">
        <v>45271</v>
      </c>
      <c r="C1383" s="20">
        <v>45271</v>
      </c>
      <c r="D1383" s="54">
        <v>50272278</v>
      </c>
      <c r="E1383" s="55" t="s">
        <v>21</v>
      </c>
      <c r="F1383" s="56">
        <v>1</v>
      </c>
      <c r="G1383" s="68">
        <v>500</v>
      </c>
      <c r="H1383" s="56" t="s">
        <v>92</v>
      </c>
      <c r="J1383" s="56">
        <v>186</v>
      </c>
      <c r="L1383" s="56" t="s">
        <v>201</v>
      </c>
      <c r="M1383" s="4" t="s">
        <v>201</v>
      </c>
      <c r="N1383" s="4" t="s">
        <v>1120</v>
      </c>
      <c r="O1383" s="4" t="s">
        <v>530</v>
      </c>
    </row>
    <row r="1384" spans="2:15">
      <c r="B1384" s="20">
        <v>45271</v>
      </c>
      <c r="C1384" s="20">
        <v>45271</v>
      </c>
      <c r="D1384" s="54">
        <v>50145029</v>
      </c>
      <c r="E1384" s="55" t="s">
        <v>705</v>
      </c>
      <c r="F1384" s="56">
        <v>4</v>
      </c>
      <c r="G1384" s="68">
        <v>24</v>
      </c>
      <c r="H1384" s="56" t="s">
        <v>505</v>
      </c>
      <c r="J1384" s="56">
        <v>756</v>
      </c>
      <c r="L1384" s="56" t="s">
        <v>1053</v>
      </c>
      <c r="M1384" s="4" t="s">
        <v>1053</v>
      </c>
      <c r="N1384" s="4" t="s">
        <v>706</v>
      </c>
      <c r="O1384" s="4" t="s">
        <v>530</v>
      </c>
    </row>
    <row r="1385" spans="2:15">
      <c r="B1385" s="20">
        <v>45271</v>
      </c>
      <c r="C1385" s="20">
        <v>45271</v>
      </c>
      <c r="D1385" s="54">
        <v>50392045</v>
      </c>
      <c r="E1385" s="55" t="s">
        <v>707</v>
      </c>
      <c r="F1385" s="56">
        <v>3</v>
      </c>
      <c r="G1385" s="68">
        <v>18</v>
      </c>
      <c r="H1385" s="56" t="s">
        <v>505</v>
      </c>
      <c r="J1385" s="56">
        <v>756</v>
      </c>
      <c r="L1385" s="56" t="s">
        <v>1053</v>
      </c>
      <c r="M1385" s="4" t="s">
        <v>1053</v>
      </c>
      <c r="N1385" s="4" t="s">
        <v>706</v>
      </c>
      <c r="O1385" s="4" t="s">
        <v>530</v>
      </c>
    </row>
    <row r="1386" spans="2:15">
      <c r="B1386" s="20">
        <v>45271</v>
      </c>
      <c r="C1386" s="20">
        <v>45271</v>
      </c>
      <c r="D1386" s="54">
        <v>50145012</v>
      </c>
      <c r="E1386" s="55" t="s">
        <v>504</v>
      </c>
      <c r="F1386" s="56">
        <v>3</v>
      </c>
      <c r="G1386" s="68">
        <v>18</v>
      </c>
      <c r="H1386" s="56" t="s">
        <v>505</v>
      </c>
      <c r="J1386" s="56">
        <v>756</v>
      </c>
      <c r="L1386" s="56" t="s">
        <v>1053</v>
      </c>
      <c r="M1386" s="4" t="s">
        <v>1053</v>
      </c>
      <c r="N1386" s="4" t="s">
        <v>706</v>
      </c>
      <c r="O1386" s="4" t="s">
        <v>530</v>
      </c>
    </row>
    <row r="1387" spans="2:15">
      <c r="B1387" s="20">
        <v>45271</v>
      </c>
      <c r="C1387" s="20">
        <v>45271</v>
      </c>
      <c r="D1387" s="54">
        <v>50392046</v>
      </c>
      <c r="E1387" s="55" t="s">
        <v>509</v>
      </c>
      <c r="F1387" s="56">
        <v>1</v>
      </c>
      <c r="G1387" s="68">
        <v>6</v>
      </c>
      <c r="H1387" s="56" t="s">
        <v>505</v>
      </c>
      <c r="J1387" s="56">
        <v>756</v>
      </c>
      <c r="L1387" s="56" t="s">
        <v>1053</v>
      </c>
      <c r="M1387" s="4" t="s">
        <v>1053</v>
      </c>
      <c r="N1387" s="4" t="s">
        <v>706</v>
      </c>
      <c r="O1387" s="4" t="s">
        <v>530</v>
      </c>
    </row>
    <row r="1388" spans="2:15">
      <c r="B1388" s="20">
        <v>45271</v>
      </c>
      <c r="C1388" s="20">
        <v>45271</v>
      </c>
      <c r="D1388" s="54">
        <v>50143894</v>
      </c>
      <c r="E1388" s="55" t="s">
        <v>944</v>
      </c>
      <c r="F1388" s="56">
        <v>9</v>
      </c>
      <c r="G1388" s="68">
        <v>3800</v>
      </c>
      <c r="H1388" s="56" t="s">
        <v>92</v>
      </c>
      <c r="J1388" s="56">
        <v>5258</v>
      </c>
      <c r="L1388" s="56" t="s">
        <v>615</v>
      </c>
      <c r="M1388" s="4" t="s">
        <v>615</v>
      </c>
      <c r="N1388" s="4" t="s">
        <v>1121</v>
      </c>
      <c r="O1388" s="4" t="s">
        <v>530</v>
      </c>
    </row>
    <row r="1389" spans="2:15">
      <c r="B1389" s="20">
        <v>45271</v>
      </c>
      <c r="C1389" s="20">
        <v>45271</v>
      </c>
      <c r="D1389" s="54">
        <v>502360907</v>
      </c>
      <c r="E1389" s="55" t="s">
        <v>897</v>
      </c>
      <c r="F1389" s="56">
        <v>20</v>
      </c>
      <c r="G1389" s="68">
        <v>16200</v>
      </c>
      <c r="H1389" s="56" t="s">
        <v>898</v>
      </c>
      <c r="J1389" s="56">
        <v>241863</v>
      </c>
      <c r="L1389" s="56" t="s">
        <v>1122</v>
      </c>
      <c r="M1389" s="4" t="s">
        <v>1071</v>
      </c>
      <c r="N1389" s="4" t="s">
        <v>1123</v>
      </c>
      <c r="O1389" s="4" t="s">
        <v>530</v>
      </c>
    </row>
    <row r="1390" spans="2:15">
      <c r="B1390" s="20">
        <v>45272</v>
      </c>
      <c r="C1390" s="20">
        <v>45272</v>
      </c>
      <c r="D1390" s="54">
        <v>50272278</v>
      </c>
      <c r="E1390" s="55" t="s">
        <v>21</v>
      </c>
      <c r="G1390" s="68">
        <v>14000</v>
      </c>
      <c r="H1390" s="56" t="s">
        <v>92</v>
      </c>
      <c r="J1390" s="56">
        <v>1106</v>
      </c>
      <c r="L1390" s="56" t="s">
        <v>262</v>
      </c>
      <c r="M1390" s="4" t="s">
        <v>176</v>
      </c>
      <c r="N1390" s="4" t="s">
        <v>193</v>
      </c>
      <c r="O1390" s="4" t="s">
        <v>530</v>
      </c>
    </row>
    <row r="1391" spans="2:15">
      <c r="B1391" s="20">
        <v>45272</v>
      </c>
      <c r="C1391" s="20">
        <v>45272</v>
      </c>
      <c r="D1391" s="54">
        <v>502360907</v>
      </c>
      <c r="E1391" s="55" t="s">
        <v>897</v>
      </c>
      <c r="F1391" s="56">
        <v>20</v>
      </c>
      <c r="G1391" s="68">
        <v>16200</v>
      </c>
      <c r="H1391" s="56" t="s">
        <v>898</v>
      </c>
      <c r="J1391" s="56">
        <v>241864</v>
      </c>
      <c r="L1391" s="56" t="s">
        <v>1122</v>
      </c>
      <c r="M1391" s="4" t="s">
        <v>1071</v>
      </c>
      <c r="N1391" s="4" t="s">
        <v>1123</v>
      </c>
      <c r="O1391" s="4" t="s">
        <v>530</v>
      </c>
    </row>
    <row r="1392" spans="2:15">
      <c r="B1392" s="20">
        <v>45273</v>
      </c>
      <c r="C1392" s="20">
        <v>45273</v>
      </c>
      <c r="D1392" s="54">
        <v>50272278</v>
      </c>
      <c r="E1392" s="55" t="s">
        <v>21</v>
      </c>
      <c r="F1392" s="56">
        <v>22</v>
      </c>
      <c r="G1392" s="68">
        <v>11000</v>
      </c>
      <c r="H1392" s="56" t="s">
        <v>92</v>
      </c>
      <c r="J1392" s="56">
        <v>1113</v>
      </c>
      <c r="L1392" s="56" t="s">
        <v>262</v>
      </c>
      <c r="M1392" s="4" t="s">
        <v>176</v>
      </c>
      <c r="N1392" s="4" t="s">
        <v>193</v>
      </c>
      <c r="O1392" s="4" t="s">
        <v>530</v>
      </c>
    </row>
    <row r="1393" spans="2:15">
      <c r="B1393" s="20">
        <v>45273</v>
      </c>
      <c r="C1393" s="20">
        <v>45273</v>
      </c>
      <c r="D1393" s="54">
        <v>50144376</v>
      </c>
      <c r="E1393" s="55" t="s">
        <v>19</v>
      </c>
      <c r="F1393" s="56">
        <v>6</v>
      </c>
      <c r="G1393" s="68">
        <v>3000</v>
      </c>
      <c r="H1393" s="56" t="s">
        <v>92</v>
      </c>
      <c r="J1393" s="56">
        <v>1113</v>
      </c>
      <c r="L1393" s="56" t="s">
        <v>262</v>
      </c>
      <c r="M1393" s="4" t="s">
        <v>176</v>
      </c>
      <c r="N1393" s="4" t="s">
        <v>193</v>
      </c>
      <c r="O1393" s="4" t="s">
        <v>530</v>
      </c>
    </row>
    <row r="1394" spans="2:15">
      <c r="B1394" s="20">
        <v>45273</v>
      </c>
      <c r="C1394" s="20">
        <v>45273</v>
      </c>
      <c r="D1394" s="54">
        <v>50142327</v>
      </c>
      <c r="E1394" s="55" t="s">
        <v>256</v>
      </c>
      <c r="F1394" s="56">
        <v>42</v>
      </c>
      <c r="G1394" s="68">
        <v>20021.4</v>
      </c>
      <c r="H1394" s="56" t="s">
        <v>82</v>
      </c>
      <c r="J1394" s="56">
        <v>8302183036</v>
      </c>
      <c r="K1394" s="4" t="s">
        <v>1124</v>
      </c>
      <c r="L1394" s="56" t="s">
        <v>624</v>
      </c>
      <c r="M1394" s="4" t="s">
        <v>209</v>
      </c>
      <c r="N1394" s="4" t="s">
        <v>1125</v>
      </c>
      <c r="O1394" s="4" t="s">
        <v>530</v>
      </c>
    </row>
    <row r="1395" spans="2:15">
      <c r="B1395" s="20">
        <v>45273</v>
      </c>
      <c r="C1395" s="20">
        <v>45273</v>
      </c>
      <c r="D1395" s="54">
        <v>50144376</v>
      </c>
      <c r="E1395" s="55" t="s">
        <v>19</v>
      </c>
      <c r="G1395" s="68">
        <v>300</v>
      </c>
      <c r="H1395" s="56" t="s">
        <v>92</v>
      </c>
      <c r="J1395" s="56">
        <v>29364</v>
      </c>
      <c r="L1395" s="56" t="s">
        <v>838</v>
      </c>
      <c r="M1395" s="4" t="s">
        <v>176</v>
      </c>
      <c r="N1395" s="4" t="s">
        <v>177</v>
      </c>
      <c r="O1395" s="4" t="s">
        <v>530</v>
      </c>
    </row>
    <row r="1396" spans="2:15">
      <c r="B1396" s="20">
        <v>45273</v>
      </c>
      <c r="C1396" s="20">
        <v>45273</v>
      </c>
      <c r="D1396" s="54">
        <v>50272278</v>
      </c>
      <c r="E1396" s="55" t="s">
        <v>21</v>
      </c>
      <c r="G1396" s="68">
        <v>1480</v>
      </c>
      <c r="H1396" s="56" t="s">
        <v>92</v>
      </c>
      <c r="J1396" s="56">
        <v>29364</v>
      </c>
      <c r="L1396" s="56" t="s">
        <v>838</v>
      </c>
      <c r="M1396" s="4" t="s">
        <v>176</v>
      </c>
      <c r="N1396" s="4" t="s">
        <v>177</v>
      </c>
      <c r="O1396" s="4" t="s">
        <v>530</v>
      </c>
    </row>
    <row r="1397" spans="2:15">
      <c r="B1397" s="20">
        <v>45273</v>
      </c>
      <c r="C1397" s="20">
        <v>45273</v>
      </c>
      <c r="D1397" s="54">
        <v>40499</v>
      </c>
      <c r="E1397" s="55" t="s">
        <v>1094</v>
      </c>
      <c r="G1397" s="68">
        <v>66</v>
      </c>
      <c r="H1397" s="56" t="s">
        <v>92</v>
      </c>
      <c r="J1397" s="56">
        <v>29364</v>
      </c>
      <c r="L1397" s="56" t="s">
        <v>838</v>
      </c>
      <c r="M1397" s="4" t="s">
        <v>176</v>
      </c>
      <c r="N1397" s="4" t="s">
        <v>177</v>
      </c>
      <c r="O1397" s="4" t="s">
        <v>530</v>
      </c>
    </row>
    <row r="1398" spans="2:15">
      <c r="B1398" s="20">
        <v>45273</v>
      </c>
      <c r="C1398" s="20">
        <v>45273</v>
      </c>
      <c r="D1398" s="54">
        <v>40011588</v>
      </c>
      <c r="E1398" s="55" t="s">
        <v>585</v>
      </c>
      <c r="F1398" s="56">
        <v>2</v>
      </c>
      <c r="G1398" s="68">
        <v>900</v>
      </c>
      <c r="H1398" s="56" t="s">
        <v>80</v>
      </c>
      <c r="J1398" s="56">
        <v>29364</v>
      </c>
      <c r="L1398" s="56" t="s">
        <v>838</v>
      </c>
      <c r="M1398" s="4" t="s">
        <v>176</v>
      </c>
      <c r="N1398" s="4" t="s">
        <v>177</v>
      </c>
      <c r="O1398" s="4" t="s">
        <v>530</v>
      </c>
    </row>
    <row r="1399" spans="2:15">
      <c r="B1399" s="20">
        <v>45274</v>
      </c>
      <c r="C1399" s="20">
        <v>45274</v>
      </c>
      <c r="D1399" s="54">
        <v>50144376</v>
      </c>
      <c r="E1399" s="55" t="s">
        <v>19</v>
      </c>
      <c r="F1399" s="56">
        <v>28</v>
      </c>
      <c r="G1399" s="68">
        <v>14000</v>
      </c>
      <c r="H1399" s="56" t="s">
        <v>92</v>
      </c>
      <c r="J1399" s="56">
        <v>1122</v>
      </c>
      <c r="L1399" s="56" t="s">
        <v>262</v>
      </c>
      <c r="M1399" s="4" t="s">
        <v>176</v>
      </c>
      <c r="N1399" s="4" t="s">
        <v>193</v>
      </c>
      <c r="O1399" s="4" t="s">
        <v>530</v>
      </c>
    </row>
    <row r="1400" spans="2:15">
      <c r="B1400" s="20">
        <v>45275</v>
      </c>
      <c r="C1400" s="20">
        <v>45275</v>
      </c>
      <c r="D1400" s="54">
        <v>50272278</v>
      </c>
      <c r="E1400" s="55" t="s">
        <v>21</v>
      </c>
      <c r="G1400" s="68">
        <v>14000</v>
      </c>
      <c r="H1400" s="56" t="s">
        <v>92</v>
      </c>
      <c r="J1400" s="56">
        <v>1134</v>
      </c>
      <c r="L1400" s="56" t="s">
        <v>262</v>
      </c>
      <c r="M1400" s="4" t="s">
        <v>176</v>
      </c>
      <c r="N1400" s="4" t="s">
        <v>193</v>
      </c>
      <c r="O1400" s="4" t="s">
        <v>530</v>
      </c>
    </row>
    <row r="1401" spans="2:15">
      <c r="B1401" s="20">
        <v>45276</v>
      </c>
      <c r="C1401" s="20">
        <v>45276</v>
      </c>
      <c r="D1401" s="54">
        <v>50143646</v>
      </c>
      <c r="E1401" s="55" t="s">
        <v>191</v>
      </c>
      <c r="F1401" s="56">
        <v>21</v>
      </c>
      <c r="G1401" s="68">
        <v>10080</v>
      </c>
      <c r="H1401" s="56" t="s">
        <v>987</v>
      </c>
      <c r="J1401" s="56">
        <v>20000786</v>
      </c>
      <c r="K1401" s="4" t="s">
        <v>1126</v>
      </c>
      <c r="L1401" s="56" t="s">
        <v>194</v>
      </c>
      <c r="M1401" s="4" t="s">
        <v>750</v>
      </c>
      <c r="N1401" s="4" t="s">
        <v>1006</v>
      </c>
      <c r="O1401" s="4" t="s">
        <v>530</v>
      </c>
    </row>
    <row r="1402" spans="2:15">
      <c r="B1402" s="20">
        <v>45278</v>
      </c>
      <c r="C1402" s="20">
        <v>45278</v>
      </c>
      <c r="D1402" s="54">
        <v>50272278</v>
      </c>
      <c r="E1402" s="55" t="s">
        <v>21</v>
      </c>
      <c r="F1402" s="56">
        <v>12</v>
      </c>
      <c r="G1402" s="68">
        <v>6000</v>
      </c>
      <c r="H1402" s="56" t="s">
        <v>92</v>
      </c>
      <c r="J1402" s="56" t="s">
        <v>1127</v>
      </c>
      <c r="L1402" s="56" t="s">
        <v>262</v>
      </c>
      <c r="M1402" s="4" t="s">
        <v>262</v>
      </c>
      <c r="N1402" s="4" t="s">
        <v>364</v>
      </c>
      <c r="O1402" s="4" t="s">
        <v>530</v>
      </c>
    </row>
    <row r="1403" spans="2:15">
      <c r="B1403" s="20">
        <v>45279</v>
      </c>
      <c r="C1403" s="20">
        <v>45279</v>
      </c>
      <c r="D1403" s="54">
        <v>50272278</v>
      </c>
      <c r="E1403" s="55" t="s">
        <v>21</v>
      </c>
      <c r="F1403" s="56">
        <v>28</v>
      </c>
      <c r="G1403" s="68">
        <v>14000</v>
      </c>
      <c r="H1403" s="56" t="s">
        <v>92</v>
      </c>
      <c r="J1403" s="56">
        <v>1144</v>
      </c>
      <c r="L1403" s="56" t="s">
        <v>262</v>
      </c>
      <c r="M1403" s="4" t="s">
        <v>176</v>
      </c>
      <c r="N1403" s="4" t="s">
        <v>193</v>
      </c>
      <c r="O1403" s="4" t="s">
        <v>530</v>
      </c>
    </row>
    <row r="1404" spans="2:15">
      <c r="B1404" s="20">
        <v>45279</v>
      </c>
      <c r="C1404" s="20">
        <v>45279</v>
      </c>
      <c r="D1404" s="54">
        <v>50793278</v>
      </c>
      <c r="E1404" s="55" t="s">
        <v>1086</v>
      </c>
      <c r="F1404" s="56">
        <v>16</v>
      </c>
      <c r="G1404" s="68">
        <v>160</v>
      </c>
      <c r="H1404" s="56" t="s">
        <v>1087</v>
      </c>
      <c r="J1404" s="56">
        <v>241108229</v>
      </c>
      <c r="L1404" s="56" t="s">
        <v>175</v>
      </c>
      <c r="M1404" s="4" t="s">
        <v>520</v>
      </c>
      <c r="N1404" s="4" t="s">
        <v>573</v>
      </c>
      <c r="O1404" s="4" t="s">
        <v>530</v>
      </c>
    </row>
    <row r="1405" spans="2:15">
      <c r="B1405" s="20">
        <v>45280</v>
      </c>
      <c r="C1405" s="20">
        <v>45280</v>
      </c>
      <c r="D1405" s="54">
        <v>50820741</v>
      </c>
      <c r="E1405" s="55" t="s">
        <v>1114</v>
      </c>
      <c r="G1405" s="68">
        <v>9273600</v>
      </c>
      <c r="H1405" s="56" t="s">
        <v>92</v>
      </c>
      <c r="J1405" s="56" t="s">
        <v>1128</v>
      </c>
      <c r="L1405" s="56" t="s">
        <v>1117</v>
      </c>
      <c r="M1405" s="4" t="s">
        <v>1058</v>
      </c>
      <c r="N1405" s="4" t="s">
        <v>1129</v>
      </c>
      <c r="O1405" s="4" t="s">
        <v>530</v>
      </c>
    </row>
    <row r="1406" spans="2:15">
      <c r="B1406" s="20">
        <v>45280</v>
      </c>
      <c r="C1406" s="20">
        <v>45280</v>
      </c>
      <c r="D1406" s="54">
        <v>50142373</v>
      </c>
      <c r="E1406" s="55" t="s">
        <v>1130</v>
      </c>
      <c r="G1406" s="68">
        <v>300</v>
      </c>
      <c r="H1406" s="56" t="s">
        <v>82</v>
      </c>
      <c r="J1406" s="56">
        <v>871</v>
      </c>
      <c r="L1406" s="56" t="s">
        <v>567</v>
      </c>
      <c r="M1406" s="4" t="s">
        <v>568</v>
      </c>
      <c r="N1406" s="4" t="s">
        <v>1131</v>
      </c>
      <c r="O1406" s="4" t="s">
        <v>530</v>
      </c>
    </row>
    <row r="1407" spans="2:15">
      <c r="B1407" s="20">
        <v>45280</v>
      </c>
      <c r="C1407" s="20">
        <v>45280</v>
      </c>
      <c r="D1407" s="54">
        <v>50392046</v>
      </c>
      <c r="E1407" s="55" t="s">
        <v>509</v>
      </c>
      <c r="G1407" s="68">
        <v>6</v>
      </c>
      <c r="H1407" s="56" t="s">
        <v>505</v>
      </c>
      <c r="J1407" s="56">
        <v>762</v>
      </c>
      <c r="L1407" s="56" t="s">
        <v>1053</v>
      </c>
      <c r="M1407" s="4" t="s">
        <v>1053</v>
      </c>
      <c r="N1407" s="4" t="s">
        <v>836</v>
      </c>
      <c r="O1407" s="4" t="s">
        <v>530</v>
      </c>
    </row>
    <row r="1408" spans="2:15">
      <c r="B1408" s="20">
        <v>45281</v>
      </c>
      <c r="C1408" s="20">
        <v>45281</v>
      </c>
      <c r="D1408" s="54">
        <v>50272278</v>
      </c>
      <c r="E1408" s="55" t="s">
        <v>21</v>
      </c>
      <c r="G1408" s="68">
        <v>14000</v>
      </c>
      <c r="H1408" s="56" t="s">
        <v>92</v>
      </c>
      <c r="J1408" s="56">
        <v>1152</v>
      </c>
      <c r="L1408" s="56" t="s">
        <v>262</v>
      </c>
      <c r="M1408" s="4" t="s">
        <v>176</v>
      </c>
      <c r="N1408" s="4" t="s">
        <v>193</v>
      </c>
      <c r="O1408" s="4" t="s">
        <v>530</v>
      </c>
    </row>
    <row r="1409" spans="2:15">
      <c r="B1409" s="20">
        <v>45281</v>
      </c>
      <c r="C1409" s="20">
        <v>45281</v>
      </c>
      <c r="D1409" s="54">
        <v>50142551</v>
      </c>
      <c r="E1409" s="55" t="s">
        <v>215</v>
      </c>
      <c r="G1409" s="68">
        <v>305</v>
      </c>
      <c r="H1409" s="56" t="s">
        <v>92</v>
      </c>
      <c r="J1409" s="56">
        <v>821</v>
      </c>
      <c r="L1409" s="56" t="s">
        <v>558</v>
      </c>
      <c r="M1409" s="4" t="s">
        <v>558</v>
      </c>
      <c r="N1409" s="4" t="s">
        <v>755</v>
      </c>
      <c r="O1409" s="4" t="s">
        <v>530</v>
      </c>
    </row>
    <row r="1410" spans="2:15">
      <c r="B1410" s="20">
        <v>45281</v>
      </c>
      <c r="C1410" s="20">
        <v>45281</v>
      </c>
      <c r="D1410" s="54">
        <v>50142455</v>
      </c>
      <c r="E1410" s="55" t="s">
        <v>560</v>
      </c>
      <c r="G1410" s="68">
        <v>50</v>
      </c>
      <c r="H1410" s="56" t="s">
        <v>92</v>
      </c>
      <c r="J1410" s="56">
        <v>821</v>
      </c>
      <c r="L1410" s="56" t="s">
        <v>558</v>
      </c>
      <c r="M1410" s="4" t="s">
        <v>558</v>
      </c>
      <c r="N1410" s="4" t="s">
        <v>755</v>
      </c>
      <c r="O1410" s="4" t="s">
        <v>530</v>
      </c>
    </row>
    <row r="1411" spans="2:15">
      <c r="B1411" s="20">
        <v>45281</v>
      </c>
      <c r="C1411" s="20">
        <v>45281</v>
      </c>
      <c r="D1411" s="54">
        <v>50802401</v>
      </c>
      <c r="E1411" s="55" t="s">
        <v>13</v>
      </c>
      <c r="G1411" s="68">
        <v>9273600</v>
      </c>
      <c r="H1411" s="56" t="s">
        <v>92</v>
      </c>
      <c r="J1411" s="56" t="s">
        <v>1132</v>
      </c>
      <c r="L1411" s="56" t="s">
        <v>230</v>
      </c>
      <c r="N1411" s="4" t="s">
        <v>774</v>
      </c>
      <c r="O1411" s="4" t="s">
        <v>530</v>
      </c>
    </row>
    <row r="1412" spans="2:15">
      <c r="B1412" s="20">
        <v>45281</v>
      </c>
      <c r="C1412" s="20">
        <v>45281</v>
      </c>
      <c r="D1412" s="54">
        <v>50802401</v>
      </c>
      <c r="E1412" s="55" t="s">
        <v>13</v>
      </c>
      <c r="G1412" s="68">
        <v>9273600</v>
      </c>
      <c r="H1412" s="56" t="s">
        <v>92</v>
      </c>
      <c r="J1412" s="56" t="s">
        <v>1132</v>
      </c>
      <c r="L1412" s="56" t="s">
        <v>230</v>
      </c>
      <c r="N1412" s="4" t="s">
        <v>1133</v>
      </c>
      <c r="O1412" s="4" t="s">
        <v>530</v>
      </c>
    </row>
    <row r="1413" spans="2:15">
      <c r="B1413" s="20">
        <v>45282</v>
      </c>
      <c r="C1413" s="20">
        <v>45282</v>
      </c>
      <c r="D1413" s="54">
        <v>50144376</v>
      </c>
      <c r="E1413" s="55" t="s">
        <v>19</v>
      </c>
      <c r="G1413" s="68">
        <v>14000</v>
      </c>
      <c r="H1413" s="56" t="s">
        <v>92</v>
      </c>
      <c r="J1413" s="56">
        <v>1155</v>
      </c>
      <c r="L1413" s="56" t="s">
        <v>262</v>
      </c>
      <c r="M1413" s="4" t="s">
        <v>176</v>
      </c>
      <c r="N1413" s="4" t="s">
        <v>193</v>
      </c>
      <c r="O1413" s="4" t="s">
        <v>530</v>
      </c>
    </row>
    <row r="1414" spans="2:15">
      <c r="B1414" s="20">
        <v>45282</v>
      </c>
      <c r="C1414" s="20">
        <v>45282</v>
      </c>
      <c r="D1414" s="54">
        <v>502360907</v>
      </c>
      <c r="E1414" s="55" t="s">
        <v>897</v>
      </c>
      <c r="G1414" s="68">
        <v>5670</v>
      </c>
      <c r="H1414" s="56" t="s">
        <v>898</v>
      </c>
      <c r="J1414" s="56">
        <v>2419000</v>
      </c>
      <c r="L1414" s="56" t="s">
        <v>1122</v>
      </c>
      <c r="M1414" s="4" t="s">
        <v>1134</v>
      </c>
      <c r="N1414" s="4" t="s">
        <v>1123</v>
      </c>
      <c r="O1414" s="4" t="s">
        <v>530</v>
      </c>
    </row>
    <row r="1415" spans="2:15">
      <c r="B1415" s="20">
        <v>45283</v>
      </c>
      <c r="C1415" s="20">
        <v>45283</v>
      </c>
      <c r="D1415" s="54">
        <v>50142334</v>
      </c>
      <c r="E1415" s="55" t="s">
        <v>257</v>
      </c>
      <c r="F1415" s="56">
        <v>42</v>
      </c>
      <c r="G1415" s="68">
        <v>20021.4</v>
      </c>
      <c r="H1415" s="56" t="s">
        <v>82</v>
      </c>
      <c r="J1415" s="56">
        <v>8302183073</v>
      </c>
      <c r="K1415" s="4" t="s">
        <v>1135</v>
      </c>
      <c r="L1415" s="56" t="s">
        <v>624</v>
      </c>
      <c r="M1415" s="4" t="s">
        <v>209</v>
      </c>
      <c r="N1415" s="4" t="s">
        <v>488</v>
      </c>
      <c r="O1415" s="4" t="s">
        <v>530</v>
      </c>
    </row>
    <row r="1416" spans="2:15">
      <c r="B1416" s="20">
        <v>45287</v>
      </c>
      <c r="C1416" s="20">
        <v>45287</v>
      </c>
      <c r="D1416" s="54">
        <v>50142455</v>
      </c>
      <c r="E1416" s="55" t="s">
        <v>560</v>
      </c>
      <c r="F1416" s="56">
        <v>1</v>
      </c>
      <c r="G1416" s="68">
        <v>50</v>
      </c>
      <c r="H1416" s="56" t="s">
        <v>92</v>
      </c>
      <c r="J1416" s="56">
        <v>846</v>
      </c>
      <c r="L1416" s="56" t="s">
        <v>558</v>
      </c>
      <c r="M1416" s="4" t="s">
        <v>558</v>
      </c>
      <c r="N1416" s="4" t="s">
        <v>755</v>
      </c>
      <c r="O1416" s="4" t="s">
        <v>530</v>
      </c>
    </row>
    <row r="1417" spans="2:15">
      <c r="B1417" s="20">
        <v>45288</v>
      </c>
      <c r="C1417" s="20">
        <v>45288</v>
      </c>
      <c r="D1417" s="54">
        <v>40011130</v>
      </c>
      <c r="E1417" s="55" t="s">
        <v>631</v>
      </c>
      <c r="F1417" s="56">
        <v>3</v>
      </c>
      <c r="G1417" s="68">
        <v>4724</v>
      </c>
      <c r="H1417" s="56" t="s">
        <v>80</v>
      </c>
      <c r="J1417" s="56">
        <v>850611</v>
      </c>
      <c r="K1417" s="4" t="s">
        <v>1136</v>
      </c>
      <c r="L1417" s="56" t="s">
        <v>175</v>
      </c>
      <c r="M1417" s="4" t="s">
        <v>520</v>
      </c>
      <c r="N1417" s="4" t="s">
        <v>1137</v>
      </c>
      <c r="O1417" s="4" t="s">
        <v>530</v>
      </c>
    </row>
    <row r="1418" spans="2:15">
      <c r="B1418" s="20">
        <v>45288</v>
      </c>
      <c r="C1418" s="20">
        <v>45288</v>
      </c>
      <c r="D1418" s="54">
        <v>40009544</v>
      </c>
      <c r="E1418" s="55" t="s">
        <v>179</v>
      </c>
      <c r="F1418" s="56">
        <v>4</v>
      </c>
      <c r="G1418" s="68">
        <v>10150</v>
      </c>
      <c r="H1418" s="56" t="s">
        <v>80</v>
      </c>
      <c r="J1418" s="56">
        <v>850611</v>
      </c>
      <c r="K1418" s="4" t="s">
        <v>1136</v>
      </c>
      <c r="L1418" s="56" t="s">
        <v>175</v>
      </c>
      <c r="M1418" s="4" t="s">
        <v>520</v>
      </c>
      <c r="N1418" s="4" t="s">
        <v>1137</v>
      </c>
      <c r="O1418" s="4" t="s">
        <v>530</v>
      </c>
    </row>
    <row r="1419" spans="2:15">
      <c r="B1419" s="20">
        <v>45288</v>
      </c>
      <c r="C1419" s="20">
        <v>45288</v>
      </c>
      <c r="D1419" s="54">
        <v>40011133</v>
      </c>
      <c r="E1419" s="55" t="s">
        <v>634</v>
      </c>
      <c r="F1419" s="56">
        <v>5</v>
      </c>
      <c r="G1419" s="68">
        <v>3942</v>
      </c>
      <c r="H1419" s="56" t="s">
        <v>80</v>
      </c>
      <c r="J1419" s="56">
        <v>850611</v>
      </c>
      <c r="K1419" s="4" t="s">
        <v>1136</v>
      </c>
      <c r="L1419" s="56" t="s">
        <v>175</v>
      </c>
      <c r="M1419" s="4" t="s">
        <v>520</v>
      </c>
      <c r="N1419" s="4" t="s">
        <v>1137</v>
      </c>
      <c r="O1419" s="4" t="s">
        <v>530</v>
      </c>
    </row>
    <row r="1420" spans="2:15">
      <c r="B1420" s="20">
        <v>45288</v>
      </c>
      <c r="C1420" s="20">
        <v>45288</v>
      </c>
      <c r="D1420" s="54">
        <v>50142281</v>
      </c>
      <c r="E1420" s="55" t="s">
        <v>204</v>
      </c>
      <c r="F1420" s="56">
        <v>38</v>
      </c>
      <c r="G1420" s="68">
        <v>17100</v>
      </c>
      <c r="H1420" s="56" t="s">
        <v>82</v>
      </c>
      <c r="J1420" s="56">
        <v>97756453</v>
      </c>
      <c r="K1420" s="4" t="s">
        <v>1138</v>
      </c>
      <c r="L1420" s="56" t="s">
        <v>572</v>
      </c>
      <c r="M1420" s="4" t="s">
        <v>564</v>
      </c>
      <c r="N1420" s="4" t="s">
        <v>1139</v>
      </c>
      <c r="O1420" s="4" t="s">
        <v>530</v>
      </c>
    </row>
    <row r="1421" spans="2:15">
      <c r="B1421" s="20">
        <v>45288</v>
      </c>
      <c r="C1421" s="20">
        <v>45288</v>
      </c>
      <c r="D1421" s="54">
        <v>50144376</v>
      </c>
      <c r="E1421" s="55" t="s">
        <v>19</v>
      </c>
      <c r="F1421" s="56">
        <v>26</v>
      </c>
      <c r="G1421" s="68">
        <v>13000</v>
      </c>
      <c r="H1421" s="56" t="s">
        <v>92</v>
      </c>
      <c r="J1421" s="56">
        <v>1162</v>
      </c>
      <c r="L1421" s="56" t="s">
        <v>262</v>
      </c>
      <c r="M1421" s="4" t="s">
        <v>262</v>
      </c>
      <c r="N1421" s="4" t="s">
        <v>1140</v>
      </c>
      <c r="O1421" s="4" t="s">
        <v>530</v>
      </c>
    </row>
    <row r="1422" spans="2:15">
      <c r="B1422" s="20">
        <v>45289</v>
      </c>
      <c r="C1422" s="20">
        <v>45289</v>
      </c>
      <c r="D1422" s="54">
        <v>50820741</v>
      </c>
      <c r="E1422" s="55" t="s">
        <v>1114</v>
      </c>
      <c r="F1422" s="56">
        <v>24</v>
      </c>
      <c r="G1422" s="68">
        <v>6955200</v>
      </c>
      <c r="H1422" s="56" t="s">
        <v>92</v>
      </c>
      <c r="J1422" s="56" t="s">
        <v>1141</v>
      </c>
      <c r="L1422" s="56" t="s">
        <v>789</v>
      </c>
      <c r="M1422" s="4" t="s">
        <v>1142</v>
      </c>
      <c r="N1422" s="4" t="s">
        <v>1143</v>
      </c>
      <c r="O1422" s="4" t="s">
        <v>530</v>
      </c>
    </row>
    <row r="1423" spans="2:15">
      <c r="B1423" s="20">
        <v>45289</v>
      </c>
      <c r="C1423" s="20">
        <v>45289</v>
      </c>
      <c r="D1423" s="54">
        <v>50142551</v>
      </c>
      <c r="E1423" s="55" t="s">
        <v>215</v>
      </c>
      <c r="F1423" s="56">
        <v>1</v>
      </c>
      <c r="G1423" s="68">
        <v>175</v>
      </c>
      <c r="H1423" s="56" t="s">
        <v>92</v>
      </c>
      <c r="J1423" s="56">
        <v>855</v>
      </c>
      <c r="L1423" s="56" t="s">
        <v>558</v>
      </c>
      <c r="M1423" s="4" t="s">
        <v>558</v>
      </c>
      <c r="N1423" s="4" t="s">
        <v>755</v>
      </c>
      <c r="O1423" s="4" t="s">
        <v>530</v>
      </c>
    </row>
    <row r="1424" spans="2:15">
      <c r="B1424" s="20">
        <v>45289</v>
      </c>
      <c r="C1424" s="20">
        <v>45289</v>
      </c>
      <c r="D1424" s="54">
        <v>50142397</v>
      </c>
      <c r="E1424" s="55" t="s">
        <v>557</v>
      </c>
      <c r="F1424" s="56">
        <v>1</v>
      </c>
      <c r="G1424" s="68">
        <v>250</v>
      </c>
      <c r="H1424" s="56" t="s">
        <v>92</v>
      </c>
      <c r="J1424" s="56">
        <v>855</v>
      </c>
      <c r="L1424" s="56" t="s">
        <v>558</v>
      </c>
      <c r="M1424" s="4" t="s">
        <v>558</v>
      </c>
      <c r="N1424" s="4" t="s">
        <v>755</v>
      </c>
      <c r="O1424" s="4" t="s">
        <v>530</v>
      </c>
    </row>
    <row r="1425" spans="2:15">
      <c r="B1425" s="20">
        <v>45289</v>
      </c>
      <c r="C1425" s="20">
        <v>45289</v>
      </c>
      <c r="D1425" s="54">
        <v>50142455</v>
      </c>
      <c r="E1425" s="55" t="s">
        <v>560</v>
      </c>
      <c r="F1425" s="56">
        <v>1</v>
      </c>
      <c r="G1425" s="68">
        <v>150</v>
      </c>
      <c r="H1425" s="56" t="s">
        <v>92</v>
      </c>
      <c r="J1425" s="56">
        <v>855</v>
      </c>
      <c r="L1425" s="56" t="s">
        <v>558</v>
      </c>
      <c r="M1425" s="4" t="s">
        <v>558</v>
      </c>
      <c r="N1425" s="4" t="s">
        <v>755</v>
      </c>
      <c r="O1425" s="4" t="s">
        <v>530</v>
      </c>
    </row>
    <row r="1426" spans="2:15">
      <c r="B1426" s="20">
        <v>45289</v>
      </c>
      <c r="C1426" s="20">
        <v>45289</v>
      </c>
      <c r="D1426" s="54">
        <v>50142631</v>
      </c>
      <c r="E1426" s="55" t="s">
        <v>566</v>
      </c>
      <c r="F1426" s="56">
        <v>2</v>
      </c>
      <c r="G1426" s="68">
        <v>1500</v>
      </c>
      <c r="H1426" s="56" t="s">
        <v>82</v>
      </c>
      <c r="J1426" s="56">
        <v>684</v>
      </c>
      <c r="L1426" s="56" t="s">
        <v>558</v>
      </c>
      <c r="M1426" s="4" t="s">
        <v>558</v>
      </c>
      <c r="N1426" s="4" t="s">
        <v>755</v>
      </c>
      <c r="O1426" s="4" t="s">
        <v>530</v>
      </c>
    </row>
    <row r="1427" spans="2:15">
      <c r="B1427" s="20">
        <v>45289</v>
      </c>
      <c r="C1427" s="20">
        <v>45289</v>
      </c>
      <c r="D1427" s="54">
        <v>50144376</v>
      </c>
      <c r="E1427" s="55" t="s">
        <v>19</v>
      </c>
      <c r="F1427" s="56">
        <v>25</v>
      </c>
      <c r="G1427" s="68">
        <v>12500</v>
      </c>
      <c r="H1427" s="56" t="s">
        <v>92</v>
      </c>
      <c r="J1427" s="56">
        <v>1166</v>
      </c>
      <c r="L1427" s="56" t="s">
        <v>262</v>
      </c>
      <c r="M1427" s="4" t="s">
        <v>262</v>
      </c>
      <c r="N1427" s="4" t="s">
        <v>1140</v>
      </c>
      <c r="O1427" s="4" t="s">
        <v>530</v>
      </c>
    </row>
    <row r="1428" spans="2:15">
      <c r="B1428" s="20">
        <v>45289</v>
      </c>
      <c r="C1428" s="20">
        <v>45289</v>
      </c>
      <c r="D1428" s="54">
        <v>50145028</v>
      </c>
      <c r="E1428" s="55" t="s">
        <v>23</v>
      </c>
      <c r="G1428" s="68">
        <v>2112</v>
      </c>
      <c r="H1428" s="56" t="s">
        <v>92</v>
      </c>
      <c r="J1428" s="56">
        <v>30047</v>
      </c>
      <c r="L1428" s="56" t="s">
        <v>838</v>
      </c>
      <c r="M1428" s="4" t="s">
        <v>176</v>
      </c>
      <c r="N1428" s="4" t="s">
        <v>177</v>
      </c>
      <c r="O1428" s="4" t="s">
        <v>530</v>
      </c>
    </row>
    <row r="1429" spans="2:15">
      <c r="B1429" s="20">
        <v>45289</v>
      </c>
      <c r="C1429" s="20">
        <v>45289</v>
      </c>
      <c r="D1429" s="54">
        <v>50143893</v>
      </c>
      <c r="E1429" s="55" t="s">
        <v>24</v>
      </c>
      <c r="G1429" s="68">
        <v>4950</v>
      </c>
      <c r="H1429" s="56" t="s">
        <v>82</v>
      </c>
      <c r="J1429" s="56">
        <v>30047</v>
      </c>
      <c r="L1429" s="56" t="s">
        <v>838</v>
      </c>
      <c r="M1429" s="4" t="s">
        <v>176</v>
      </c>
      <c r="N1429" s="4" t="s">
        <v>177</v>
      </c>
      <c r="O1429" s="4" t="s">
        <v>530</v>
      </c>
    </row>
    <row r="1430" spans="2:15">
      <c r="B1430" s="20">
        <v>45289</v>
      </c>
      <c r="C1430" s="20">
        <v>45289</v>
      </c>
      <c r="D1430" s="54">
        <v>50272278</v>
      </c>
      <c r="E1430" s="55" t="s">
        <v>21</v>
      </c>
      <c r="G1430" s="68">
        <v>1750</v>
      </c>
      <c r="H1430" s="56" t="s">
        <v>92</v>
      </c>
      <c r="J1430" s="56">
        <v>30047</v>
      </c>
      <c r="L1430" s="56" t="s">
        <v>838</v>
      </c>
      <c r="M1430" s="4" t="s">
        <v>176</v>
      </c>
      <c r="N1430" s="4" t="s">
        <v>177</v>
      </c>
      <c r="O1430" s="4" t="s">
        <v>530</v>
      </c>
    </row>
    <row r="1431" spans="2:15">
      <c r="B1431" s="20">
        <v>45290</v>
      </c>
      <c r="C1431" s="20">
        <v>45290</v>
      </c>
      <c r="D1431" s="54">
        <v>40011130</v>
      </c>
      <c r="E1431" s="55" t="s">
        <v>631</v>
      </c>
      <c r="G1431" s="68">
        <v>4886</v>
      </c>
      <c r="H1431" s="56" t="s">
        <v>80</v>
      </c>
      <c r="J1431" s="56">
        <v>852601</v>
      </c>
      <c r="K1431" s="4" t="s">
        <v>1144</v>
      </c>
      <c r="L1431" s="56" t="s">
        <v>175</v>
      </c>
      <c r="M1431" s="4" t="s">
        <v>564</v>
      </c>
      <c r="N1431" s="4" t="s">
        <v>1145</v>
      </c>
      <c r="O1431" s="4" t="s">
        <v>530</v>
      </c>
    </row>
    <row r="1432" spans="2:15">
      <c r="B1432" s="20">
        <v>45290</v>
      </c>
      <c r="C1432" s="20">
        <v>45290</v>
      </c>
      <c r="D1432" s="54">
        <v>40009546</v>
      </c>
      <c r="E1432" s="55" t="s">
        <v>174</v>
      </c>
      <c r="G1432" s="68">
        <v>2826</v>
      </c>
      <c r="H1432" s="56" t="s">
        <v>80</v>
      </c>
      <c r="J1432" s="56">
        <v>852601</v>
      </c>
      <c r="K1432" s="4" t="s">
        <v>1144</v>
      </c>
      <c r="L1432" s="56" t="s">
        <v>175</v>
      </c>
      <c r="M1432" s="4" t="s">
        <v>564</v>
      </c>
      <c r="N1432" s="4" t="s">
        <v>1145</v>
      </c>
      <c r="O1432" s="4" t="s">
        <v>530</v>
      </c>
    </row>
    <row r="1433" spans="2:15">
      <c r="B1433" s="20">
        <v>45290</v>
      </c>
      <c r="C1433" s="20">
        <v>45290</v>
      </c>
      <c r="D1433" s="54">
        <v>40011133</v>
      </c>
      <c r="E1433" s="55" t="s">
        <v>634</v>
      </c>
      <c r="G1433" s="68">
        <v>4608</v>
      </c>
      <c r="H1433" s="56" t="s">
        <v>80</v>
      </c>
      <c r="J1433" s="56">
        <v>852601</v>
      </c>
      <c r="K1433" s="4" t="s">
        <v>1144</v>
      </c>
      <c r="L1433" s="56" t="s">
        <v>175</v>
      </c>
      <c r="M1433" s="4" t="s">
        <v>564</v>
      </c>
      <c r="N1433" s="4" t="s">
        <v>1145</v>
      </c>
      <c r="O1433" s="4" t="s">
        <v>530</v>
      </c>
    </row>
    <row r="1434" spans="2:15">
      <c r="B1434" s="20">
        <v>45290</v>
      </c>
      <c r="C1434" s="20">
        <v>45290</v>
      </c>
      <c r="D1434" s="54">
        <v>40007939</v>
      </c>
      <c r="E1434" s="55" t="s">
        <v>476</v>
      </c>
      <c r="G1434" s="68">
        <v>1455</v>
      </c>
      <c r="H1434" s="56" t="s">
        <v>80</v>
      </c>
      <c r="J1434" s="56">
        <v>852601</v>
      </c>
      <c r="K1434" s="4" t="s">
        <v>1144</v>
      </c>
      <c r="L1434" s="56" t="s">
        <v>175</v>
      </c>
      <c r="M1434" s="4" t="s">
        <v>564</v>
      </c>
      <c r="N1434" s="4" t="s">
        <v>1145</v>
      </c>
      <c r="O1434" s="4" t="s">
        <v>530</v>
      </c>
    </row>
    <row r="1435" spans="2:15">
      <c r="B1435" s="20">
        <v>45290</v>
      </c>
      <c r="C1435" s="20">
        <v>45290</v>
      </c>
      <c r="D1435" s="54">
        <v>40007941</v>
      </c>
      <c r="E1435" s="55" t="s">
        <v>211</v>
      </c>
      <c r="G1435" s="68">
        <v>7794</v>
      </c>
      <c r="H1435" s="56" t="s">
        <v>80</v>
      </c>
      <c r="J1435" s="56">
        <v>852601</v>
      </c>
      <c r="K1435" s="4" t="s">
        <v>1144</v>
      </c>
      <c r="L1435" s="56" t="s">
        <v>175</v>
      </c>
      <c r="M1435" s="4" t="s">
        <v>564</v>
      </c>
      <c r="N1435" s="4" t="s">
        <v>1145</v>
      </c>
      <c r="O1435" s="4" t="s">
        <v>530</v>
      </c>
    </row>
    <row r="1436" spans="2:15">
      <c r="B1436" s="20">
        <v>45290</v>
      </c>
      <c r="C1436" s="20">
        <v>45290</v>
      </c>
      <c r="D1436" s="54">
        <v>40007940</v>
      </c>
      <c r="E1436" s="55" t="s">
        <v>477</v>
      </c>
      <c r="G1436" s="68">
        <v>1417</v>
      </c>
      <c r="H1436" s="56" t="s">
        <v>80</v>
      </c>
      <c r="J1436" s="56">
        <v>852601</v>
      </c>
      <c r="K1436" s="4" t="s">
        <v>1144</v>
      </c>
      <c r="L1436" s="56" t="s">
        <v>175</v>
      </c>
      <c r="M1436" s="4" t="s">
        <v>564</v>
      </c>
      <c r="N1436" s="4" t="s">
        <v>1145</v>
      </c>
      <c r="O1436" s="4" t="s">
        <v>530</v>
      </c>
    </row>
    <row r="1437" spans="2:15">
      <c r="B1437" s="20">
        <v>45290</v>
      </c>
      <c r="C1437" s="20">
        <v>45290</v>
      </c>
      <c r="D1437" s="54">
        <v>40007942</v>
      </c>
      <c r="E1437" s="55" t="s">
        <v>219</v>
      </c>
      <c r="G1437" s="68">
        <v>4506</v>
      </c>
      <c r="H1437" s="56" t="s">
        <v>80</v>
      </c>
      <c r="J1437" s="56">
        <v>852601</v>
      </c>
      <c r="K1437" s="4" t="s">
        <v>1144</v>
      </c>
      <c r="L1437" s="56" t="s">
        <v>175</v>
      </c>
      <c r="M1437" s="4" t="s">
        <v>564</v>
      </c>
      <c r="N1437" s="4" t="s">
        <v>1145</v>
      </c>
      <c r="O1437" s="4" t="s">
        <v>530</v>
      </c>
    </row>
    <row r="1438" spans="2:15">
      <c r="B1438" s="20">
        <v>45293</v>
      </c>
      <c r="C1438" s="20">
        <v>45293</v>
      </c>
      <c r="D1438" s="54">
        <v>50142424</v>
      </c>
      <c r="E1438" s="55" t="s">
        <v>33</v>
      </c>
      <c r="F1438" s="56">
        <v>3</v>
      </c>
      <c r="G1438" s="68">
        <v>3000</v>
      </c>
      <c r="H1438" s="56" t="s">
        <v>82</v>
      </c>
      <c r="J1438" s="56">
        <v>900998538</v>
      </c>
      <c r="K1438" s="4" t="s">
        <v>1146</v>
      </c>
      <c r="L1438" s="56" t="s">
        <v>1070</v>
      </c>
      <c r="M1438" s="4" t="s">
        <v>1147</v>
      </c>
      <c r="N1438" s="4" t="s">
        <v>1148</v>
      </c>
      <c r="O1438" s="4" t="s">
        <v>530</v>
      </c>
    </row>
    <row r="1439" spans="2:15">
      <c r="B1439" s="20">
        <v>45293</v>
      </c>
      <c r="C1439" s="20">
        <v>45293</v>
      </c>
      <c r="D1439" s="54">
        <v>50144376</v>
      </c>
      <c r="E1439" s="55" t="s">
        <v>19</v>
      </c>
      <c r="F1439" s="56">
        <v>26</v>
      </c>
      <c r="G1439" s="68">
        <v>13000</v>
      </c>
      <c r="H1439" s="56" t="s">
        <v>92</v>
      </c>
      <c r="J1439" s="56">
        <v>1168</v>
      </c>
      <c r="L1439" s="56" t="s">
        <v>262</v>
      </c>
      <c r="M1439" s="4" t="s">
        <v>262</v>
      </c>
      <c r="N1439" s="4" t="s">
        <v>1140</v>
      </c>
      <c r="O1439" s="4" t="s">
        <v>530</v>
      </c>
    </row>
    <row r="1440" spans="2:15">
      <c r="B1440" s="20">
        <v>45294</v>
      </c>
      <c r="C1440" s="20">
        <v>45294</v>
      </c>
      <c r="D1440" s="54">
        <v>50534881</v>
      </c>
      <c r="E1440" s="55" t="s">
        <v>227</v>
      </c>
      <c r="F1440" s="56">
        <v>2</v>
      </c>
      <c r="G1440" s="68">
        <v>14100</v>
      </c>
      <c r="H1440" s="56" t="s">
        <v>92</v>
      </c>
      <c r="J1440" s="56">
        <v>30162</v>
      </c>
      <c r="L1440" s="56" t="s">
        <v>838</v>
      </c>
      <c r="M1440" s="4" t="s">
        <v>176</v>
      </c>
      <c r="N1440" s="4" t="s">
        <v>177</v>
      </c>
      <c r="O1440" s="4" t="s">
        <v>530</v>
      </c>
    </row>
    <row r="1441" spans="2:15">
      <c r="B1441" s="20">
        <v>45294</v>
      </c>
      <c r="C1441" s="20">
        <v>45294</v>
      </c>
      <c r="D1441" s="54">
        <v>50540573</v>
      </c>
      <c r="E1441" s="55" t="s">
        <v>197</v>
      </c>
      <c r="F1441" s="56">
        <v>1</v>
      </c>
      <c r="G1441" s="68">
        <v>475</v>
      </c>
      <c r="H1441" s="56" t="s">
        <v>198</v>
      </c>
      <c r="J1441" s="56">
        <v>30162</v>
      </c>
      <c r="L1441" s="56" t="s">
        <v>838</v>
      </c>
      <c r="M1441" s="4" t="s">
        <v>176</v>
      </c>
      <c r="N1441" s="4" t="s">
        <v>177</v>
      </c>
      <c r="O1441" s="4" t="s">
        <v>530</v>
      </c>
    </row>
    <row r="1442" spans="2:15">
      <c r="B1442" s="20">
        <v>45294</v>
      </c>
      <c r="C1442" s="20">
        <v>45294</v>
      </c>
      <c r="D1442" s="54">
        <v>50144376</v>
      </c>
      <c r="E1442" s="55" t="s">
        <v>19</v>
      </c>
      <c r="F1442" s="56">
        <v>2</v>
      </c>
      <c r="G1442" s="68">
        <v>500</v>
      </c>
      <c r="H1442" s="56" t="s">
        <v>92</v>
      </c>
      <c r="J1442" s="56">
        <v>30162</v>
      </c>
      <c r="L1442" s="56" t="s">
        <v>838</v>
      </c>
      <c r="M1442" s="4" t="s">
        <v>176</v>
      </c>
      <c r="N1442" s="4" t="s">
        <v>177</v>
      </c>
      <c r="O1442" s="4" t="s">
        <v>530</v>
      </c>
    </row>
    <row r="1443" spans="2:15">
      <c r="B1443" s="20">
        <v>45294</v>
      </c>
      <c r="C1443" s="20">
        <v>45294</v>
      </c>
      <c r="D1443" s="54">
        <v>50272278</v>
      </c>
      <c r="E1443" s="55" t="s">
        <v>21</v>
      </c>
      <c r="F1443" s="56">
        <v>3</v>
      </c>
      <c r="G1443" s="68">
        <v>990</v>
      </c>
      <c r="H1443" s="56" t="s">
        <v>92</v>
      </c>
      <c r="J1443" s="56">
        <v>30162</v>
      </c>
      <c r="L1443" s="56" t="s">
        <v>838</v>
      </c>
      <c r="M1443" s="4" t="s">
        <v>176</v>
      </c>
      <c r="N1443" s="4" t="s">
        <v>177</v>
      </c>
      <c r="O1443" s="4" t="s">
        <v>530</v>
      </c>
    </row>
    <row r="1444" spans="2:15">
      <c r="B1444" s="20">
        <v>45295</v>
      </c>
      <c r="C1444" s="20">
        <v>45295</v>
      </c>
      <c r="D1444" s="54">
        <v>50142330</v>
      </c>
      <c r="E1444" s="55" t="s">
        <v>195</v>
      </c>
      <c r="G1444" s="68">
        <v>2195.6</v>
      </c>
      <c r="H1444" s="56" t="s">
        <v>82</v>
      </c>
      <c r="J1444" s="56" t="s">
        <v>1149</v>
      </c>
      <c r="L1444" s="56" t="s">
        <v>1150</v>
      </c>
      <c r="M1444" s="4" t="s">
        <v>1151</v>
      </c>
      <c r="N1444" s="4" t="s">
        <v>1152</v>
      </c>
      <c r="O1444" s="4" t="s">
        <v>530</v>
      </c>
    </row>
    <row r="1445" spans="2:15">
      <c r="B1445" s="20">
        <v>45295</v>
      </c>
      <c r="C1445" s="20">
        <v>45295</v>
      </c>
      <c r="D1445" s="54">
        <v>50804929</v>
      </c>
      <c r="E1445" s="55" t="s">
        <v>856</v>
      </c>
      <c r="G1445" s="68">
        <v>2064000</v>
      </c>
      <c r="H1445" s="56" t="s">
        <v>92</v>
      </c>
      <c r="J1445" s="56" t="s">
        <v>1153</v>
      </c>
      <c r="L1445" s="56" t="s">
        <v>358</v>
      </c>
      <c r="M1445" s="4" t="s">
        <v>520</v>
      </c>
      <c r="N1445" s="4" t="s">
        <v>1090</v>
      </c>
      <c r="O1445" s="4" t="s">
        <v>530</v>
      </c>
    </row>
    <row r="1446" spans="2:15">
      <c r="B1446" s="20">
        <v>45295</v>
      </c>
      <c r="C1446" s="20">
        <v>45295</v>
      </c>
      <c r="D1446" s="54">
        <v>50804970</v>
      </c>
      <c r="E1446" s="55" t="s">
        <v>857</v>
      </c>
      <c r="G1446" s="68">
        <v>2090000</v>
      </c>
      <c r="H1446" s="56" t="s">
        <v>92</v>
      </c>
      <c r="J1446" s="56" t="s">
        <v>1153</v>
      </c>
      <c r="L1446" s="56" t="s">
        <v>358</v>
      </c>
      <c r="M1446" s="4" t="s">
        <v>520</v>
      </c>
      <c r="N1446" s="4" t="s">
        <v>1090</v>
      </c>
      <c r="O1446" s="4" t="s">
        <v>530</v>
      </c>
    </row>
    <row r="1447" spans="2:15">
      <c r="B1447" s="20">
        <v>45295</v>
      </c>
      <c r="C1447" s="20">
        <v>45295</v>
      </c>
      <c r="D1447" s="54">
        <v>50804971</v>
      </c>
      <c r="E1447" s="55" t="s">
        <v>855</v>
      </c>
      <c r="G1447" s="68">
        <v>2100000</v>
      </c>
      <c r="H1447" s="56" t="s">
        <v>92</v>
      </c>
      <c r="J1447" s="56" t="s">
        <v>1153</v>
      </c>
      <c r="L1447" s="56" t="s">
        <v>358</v>
      </c>
      <c r="M1447" s="4" t="s">
        <v>520</v>
      </c>
      <c r="N1447" s="4" t="s">
        <v>1090</v>
      </c>
      <c r="O1447" s="4" t="s">
        <v>530</v>
      </c>
    </row>
    <row r="1448" spans="2:15">
      <c r="B1448" s="20">
        <v>45295</v>
      </c>
      <c r="C1448" s="20">
        <v>45295</v>
      </c>
      <c r="D1448" s="54">
        <v>50272278</v>
      </c>
      <c r="E1448" s="55" t="s">
        <v>21</v>
      </c>
      <c r="G1448" s="68">
        <v>14000</v>
      </c>
      <c r="H1448" s="56" t="s">
        <v>92</v>
      </c>
      <c r="J1448" s="56">
        <v>1175</v>
      </c>
      <c r="L1448" s="56" t="s">
        <v>262</v>
      </c>
      <c r="M1448" s="4" t="s">
        <v>176</v>
      </c>
      <c r="N1448" s="4" t="s">
        <v>193</v>
      </c>
      <c r="O1448" s="4" t="s">
        <v>530</v>
      </c>
    </row>
    <row r="1449" spans="2:15">
      <c r="B1449" s="20">
        <v>45296</v>
      </c>
      <c r="C1449" s="20">
        <v>45296</v>
      </c>
      <c r="D1449" s="54">
        <v>50272278</v>
      </c>
      <c r="E1449" s="55" t="s">
        <v>21</v>
      </c>
      <c r="G1449" s="68">
        <v>14000</v>
      </c>
      <c r="H1449" s="56" t="s">
        <v>92</v>
      </c>
      <c r="J1449" s="56">
        <v>1177</v>
      </c>
      <c r="L1449" s="56" t="s">
        <v>262</v>
      </c>
      <c r="M1449" s="4" t="s">
        <v>176</v>
      </c>
      <c r="N1449" s="4" t="s">
        <v>193</v>
      </c>
      <c r="O1449" s="4" t="s">
        <v>530</v>
      </c>
    </row>
    <row r="1450" spans="2:15">
      <c r="B1450" s="20">
        <v>45296</v>
      </c>
      <c r="C1450" s="20">
        <v>45296</v>
      </c>
      <c r="D1450" s="54">
        <v>50145029</v>
      </c>
      <c r="E1450" s="55" t="s">
        <v>705</v>
      </c>
      <c r="G1450" s="68">
        <v>48</v>
      </c>
      <c r="H1450" s="56" t="s">
        <v>505</v>
      </c>
      <c r="J1450" s="56">
        <v>765</v>
      </c>
      <c r="L1450" s="56" t="s">
        <v>1053</v>
      </c>
      <c r="M1450" s="4" t="s">
        <v>1053</v>
      </c>
      <c r="N1450" s="4" t="s">
        <v>836</v>
      </c>
      <c r="O1450" s="4" t="s">
        <v>530</v>
      </c>
    </row>
    <row r="1451" spans="2:15">
      <c r="B1451" s="20">
        <v>45296</v>
      </c>
      <c r="C1451" s="20">
        <v>45296</v>
      </c>
      <c r="D1451" s="54">
        <v>50392045</v>
      </c>
      <c r="E1451" s="55" t="s">
        <v>707</v>
      </c>
      <c r="G1451" s="68">
        <v>60</v>
      </c>
      <c r="H1451" s="56" t="s">
        <v>505</v>
      </c>
      <c r="J1451" s="56">
        <v>765</v>
      </c>
      <c r="L1451" s="56" t="s">
        <v>1053</v>
      </c>
      <c r="M1451" s="4" t="s">
        <v>1053</v>
      </c>
      <c r="N1451" s="4" t="s">
        <v>836</v>
      </c>
      <c r="O1451" s="4" t="s">
        <v>530</v>
      </c>
    </row>
    <row r="1452" spans="2:15">
      <c r="B1452" s="20">
        <v>45296</v>
      </c>
      <c r="C1452" s="20">
        <v>45296</v>
      </c>
      <c r="D1452" s="54">
        <v>50145012</v>
      </c>
      <c r="E1452" s="55" t="s">
        <v>504</v>
      </c>
      <c r="G1452" s="68">
        <v>12</v>
      </c>
      <c r="H1452" s="56" t="s">
        <v>505</v>
      </c>
      <c r="J1452" s="56">
        <v>765</v>
      </c>
      <c r="L1452" s="56" t="s">
        <v>1053</v>
      </c>
      <c r="M1452" s="4" t="s">
        <v>1053</v>
      </c>
      <c r="N1452" s="4" t="s">
        <v>836</v>
      </c>
      <c r="O1452" s="4" t="s">
        <v>530</v>
      </c>
    </row>
    <row r="1453" spans="2:15">
      <c r="B1453" s="20">
        <v>45296</v>
      </c>
      <c r="C1453" s="20">
        <v>45296</v>
      </c>
      <c r="D1453" s="54">
        <v>50392046</v>
      </c>
      <c r="E1453" s="55" t="s">
        <v>509</v>
      </c>
      <c r="G1453" s="68">
        <v>12</v>
      </c>
      <c r="H1453" s="56" t="s">
        <v>505</v>
      </c>
      <c r="J1453" s="56">
        <v>765</v>
      </c>
      <c r="L1453" s="56" t="s">
        <v>1053</v>
      </c>
      <c r="M1453" s="4" t="s">
        <v>1053</v>
      </c>
      <c r="N1453" s="4" t="s">
        <v>836</v>
      </c>
      <c r="O1453" s="4" t="s">
        <v>530</v>
      </c>
    </row>
    <row r="1454" spans="2:15">
      <c r="B1454" s="20">
        <v>45299</v>
      </c>
      <c r="C1454" s="20">
        <v>45299</v>
      </c>
      <c r="D1454" s="54">
        <v>50498271</v>
      </c>
      <c r="E1454" s="55" t="s">
        <v>1025</v>
      </c>
      <c r="G1454" s="68">
        <v>2362.85</v>
      </c>
      <c r="H1454" s="56" t="s">
        <v>82</v>
      </c>
      <c r="J1454" s="56">
        <v>262</v>
      </c>
      <c r="L1454" s="56" t="s">
        <v>243</v>
      </c>
      <c r="M1454" s="4" t="s">
        <v>660</v>
      </c>
      <c r="N1454" s="4" t="s">
        <v>353</v>
      </c>
      <c r="O1454" s="4" t="s">
        <v>530</v>
      </c>
    </row>
    <row r="1455" spans="2:15">
      <c r="B1455" s="20">
        <v>45300</v>
      </c>
      <c r="C1455" s="20">
        <v>45300</v>
      </c>
      <c r="D1455" s="54">
        <v>50144376</v>
      </c>
      <c r="E1455" s="55" t="s">
        <v>19</v>
      </c>
      <c r="F1455" s="56">
        <v>26</v>
      </c>
      <c r="G1455" s="68">
        <v>13000</v>
      </c>
      <c r="H1455" s="56" t="s">
        <v>92</v>
      </c>
      <c r="J1455" s="56">
        <v>1189</v>
      </c>
      <c r="L1455" s="56" t="s">
        <v>262</v>
      </c>
      <c r="M1455" s="4" t="s">
        <v>262</v>
      </c>
      <c r="N1455" s="4" t="s">
        <v>1140</v>
      </c>
      <c r="O1455" s="4" t="s">
        <v>530</v>
      </c>
    </row>
    <row r="1456" spans="2:15">
      <c r="B1456" s="20">
        <v>45300</v>
      </c>
      <c r="C1456" s="20">
        <v>45300</v>
      </c>
      <c r="D1456" s="54">
        <v>50272278</v>
      </c>
      <c r="E1456" s="55" t="s">
        <v>21</v>
      </c>
      <c r="F1456" s="56">
        <v>26</v>
      </c>
      <c r="G1456" s="68">
        <v>13000</v>
      </c>
      <c r="H1456" s="56" t="s">
        <v>92</v>
      </c>
      <c r="J1456" s="56">
        <v>1195</v>
      </c>
      <c r="L1456" s="56" t="s">
        <v>262</v>
      </c>
      <c r="M1456" s="4" t="s">
        <v>262</v>
      </c>
      <c r="N1456" s="4" t="s">
        <v>1140</v>
      </c>
      <c r="O1456" s="4" t="s">
        <v>530</v>
      </c>
    </row>
    <row r="1457" spans="2:15">
      <c r="B1457" s="20">
        <v>45302</v>
      </c>
      <c r="C1457" s="20">
        <v>45302</v>
      </c>
      <c r="D1457" s="54">
        <v>50144376</v>
      </c>
      <c r="E1457" s="55" t="s">
        <v>19</v>
      </c>
      <c r="F1457" s="56">
        <v>6</v>
      </c>
      <c r="G1457" s="68">
        <v>3000</v>
      </c>
      <c r="H1457" s="56" t="s">
        <v>92</v>
      </c>
      <c r="J1457" s="56" t="s">
        <v>1154</v>
      </c>
      <c r="L1457" s="56" t="s">
        <v>262</v>
      </c>
      <c r="M1457" s="4" t="s">
        <v>262</v>
      </c>
      <c r="N1457" s="4" t="s">
        <v>1140</v>
      </c>
      <c r="O1457" s="4" t="s">
        <v>530</v>
      </c>
    </row>
    <row r="1458" spans="2:15">
      <c r="B1458" s="20">
        <v>45302</v>
      </c>
      <c r="C1458" s="20">
        <v>45302</v>
      </c>
      <c r="D1458" s="54">
        <v>50272278</v>
      </c>
      <c r="E1458" s="55" t="s">
        <v>21</v>
      </c>
      <c r="F1458" s="56">
        <v>17</v>
      </c>
      <c r="G1458" s="68">
        <v>8500</v>
      </c>
      <c r="H1458" s="56" t="s">
        <v>92</v>
      </c>
      <c r="J1458" s="56" t="s">
        <v>1154</v>
      </c>
      <c r="L1458" s="56" t="s">
        <v>262</v>
      </c>
      <c r="M1458" s="4" t="s">
        <v>262</v>
      </c>
      <c r="N1458" s="4" t="s">
        <v>1140</v>
      </c>
      <c r="O1458" s="4" t="s">
        <v>530</v>
      </c>
    </row>
    <row r="1459" spans="2:15">
      <c r="B1459" s="20">
        <v>45302</v>
      </c>
      <c r="C1459" s="20">
        <v>45302</v>
      </c>
      <c r="D1459" s="54">
        <v>50142524</v>
      </c>
      <c r="E1459" s="55" t="s">
        <v>1155</v>
      </c>
      <c r="F1459" s="56">
        <v>1</v>
      </c>
      <c r="G1459" s="68">
        <v>1000</v>
      </c>
      <c r="H1459" s="56" t="s">
        <v>92</v>
      </c>
      <c r="J1459" s="56">
        <v>24</v>
      </c>
      <c r="L1459" s="56" t="s">
        <v>286</v>
      </c>
      <c r="M1459" s="4" t="s">
        <v>286</v>
      </c>
      <c r="N1459" s="4" t="s">
        <v>773</v>
      </c>
      <c r="O1459" s="4" t="s">
        <v>178</v>
      </c>
    </row>
    <row r="1460" spans="2:15">
      <c r="B1460" s="20">
        <v>45302</v>
      </c>
      <c r="C1460" s="20">
        <v>45302</v>
      </c>
      <c r="D1460" s="54">
        <v>50142520</v>
      </c>
      <c r="E1460" s="55" t="s">
        <v>1156</v>
      </c>
      <c r="F1460" s="56">
        <v>1</v>
      </c>
      <c r="G1460" s="68">
        <v>1000</v>
      </c>
      <c r="H1460" s="56" t="s">
        <v>92</v>
      </c>
      <c r="J1460" s="56">
        <v>24</v>
      </c>
      <c r="L1460" s="56" t="s">
        <v>286</v>
      </c>
      <c r="M1460" s="4" t="s">
        <v>286</v>
      </c>
      <c r="N1460" s="4" t="s">
        <v>773</v>
      </c>
      <c r="O1460" s="4" t="s">
        <v>178</v>
      </c>
    </row>
    <row r="1461" spans="2:15">
      <c r="B1461" s="20">
        <v>45302</v>
      </c>
      <c r="C1461" s="20">
        <v>45302</v>
      </c>
      <c r="D1461" s="54">
        <v>50142523</v>
      </c>
      <c r="E1461" s="55" t="s">
        <v>1157</v>
      </c>
      <c r="F1461" s="56">
        <v>1</v>
      </c>
      <c r="G1461" s="68">
        <v>1000</v>
      </c>
      <c r="H1461" s="56" t="s">
        <v>92</v>
      </c>
      <c r="J1461" s="56">
        <v>24</v>
      </c>
      <c r="L1461" s="56" t="s">
        <v>286</v>
      </c>
      <c r="M1461" s="4" t="s">
        <v>286</v>
      </c>
      <c r="N1461" s="4" t="s">
        <v>773</v>
      </c>
      <c r="O1461" s="4" t="s">
        <v>178</v>
      </c>
    </row>
    <row r="1462" spans="2:15">
      <c r="B1462" s="20">
        <v>45303</v>
      </c>
      <c r="C1462" s="20">
        <v>45303</v>
      </c>
      <c r="D1462" s="54">
        <v>50272278</v>
      </c>
      <c r="E1462" s="55" t="s">
        <v>21</v>
      </c>
      <c r="F1462" s="56">
        <v>24</v>
      </c>
      <c r="G1462" s="68">
        <v>12000</v>
      </c>
      <c r="H1462" s="56" t="s">
        <v>92</v>
      </c>
      <c r="J1462" s="56">
        <v>1208</v>
      </c>
      <c r="L1462" s="56" t="s">
        <v>262</v>
      </c>
      <c r="M1462" s="4" t="s">
        <v>262</v>
      </c>
      <c r="N1462" s="4" t="s">
        <v>1140</v>
      </c>
      <c r="O1462" s="4" t="s">
        <v>530</v>
      </c>
    </row>
    <row r="1463" spans="2:15">
      <c r="B1463" s="20">
        <v>45303</v>
      </c>
      <c r="C1463" s="20">
        <v>45303</v>
      </c>
      <c r="D1463" s="54">
        <v>50470190</v>
      </c>
      <c r="E1463" s="55" t="s">
        <v>12</v>
      </c>
      <c r="F1463" s="56">
        <v>32</v>
      </c>
      <c r="G1463" s="68">
        <v>9273600</v>
      </c>
      <c r="H1463" s="56" t="s">
        <v>92</v>
      </c>
      <c r="J1463" s="56">
        <v>7301</v>
      </c>
      <c r="L1463" s="56" t="s">
        <v>1158</v>
      </c>
      <c r="M1463" s="4" t="s">
        <v>392</v>
      </c>
      <c r="N1463" s="4" t="s">
        <v>529</v>
      </c>
      <c r="O1463" s="4" t="s">
        <v>530</v>
      </c>
    </row>
    <row r="1464" spans="2:15">
      <c r="B1464" s="20">
        <v>45303</v>
      </c>
      <c r="C1464" s="20">
        <v>45303</v>
      </c>
      <c r="D1464" s="54">
        <v>50470190</v>
      </c>
      <c r="E1464" s="55" t="s">
        <v>12</v>
      </c>
      <c r="F1464" s="56">
        <v>32</v>
      </c>
      <c r="G1464" s="68">
        <v>9273600</v>
      </c>
      <c r="H1464" s="56" t="s">
        <v>92</v>
      </c>
      <c r="J1464" s="56">
        <v>7308</v>
      </c>
      <c r="L1464" s="56" t="s">
        <v>1158</v>
      </c>
      <c r="M1464" s="4" t="s">
        <v>392</v>
      </c>
      <c r="N1464" s="4" t="s">
        <v>529</v>
      </c>
      <c r="O1464" s="4" t="s">
        <v>530</v>
      </c>
    </row>
    <row r="1465" spans="2:15">
      <c r="B1465" s="20">
        <v>45303</v>
      </c>
      <c r="C1465" s="20">
        <v>45303</v>
      </c>
      <c r="D1465" s="54">
        <v>50142330</v>
      </c>
      <c r="E1465" s="55" t="s">
        <v>195</v>
      </c>
      <c r="F1465" s="56">
        <v>5</v>
      </c>
      <c r="G1465" s="68">
        <v>1796.4</v>
      </c>
      <c r="H1465" s="56" t="s">
        <v>82</v>
      </c>
      <c r="J1465" s="56">
        <v>30674</v>
      </c>
      <c r="L1465" s="56" t="s">
        <v>838</v>
      </c>
      <c r="M1465" s="4" t="s">
        <v>176</v>
      </c>
      <c r="N1465" s="4" t="s">
        <v>177</v>
      </c>
      <c r="O1465" s="4" t="s">
        <v>530</v>
      </c>
    </row>
    <row r="1466" spans="2:15">
      <c r="B1466" s="20">
        <v>45303</v>
      </c>
      <c r="C1466" s="20">
        <v>45303</v>
      </c>
      <c r="D1466" s="54">
        <v>50145028</v>
      </c>
      <c r="E1466" s="55" t="s">
        <v>23</v>
      </c>
      <c r="G1466" s="68">
        <v>960</v>
      </c>
      <c r="H1466" s="56" t="s">
        <v>92</v>
      </c>
      <c r="J1466" s="56">
        <v>30674</v>
      </c>
      <c r="L1466" s="56" t="s">
        <v>838</v>
      </c>
      <c r="M1466" s="4" t="s">
        <v>176</v>
      </c>
      <c r="N1466" s="4" t="s">
        <v>177</v>
      </c>
      <c r="O1466" s="4" t="s">
        <v>530</v>
      </c>
    </row>
    <row r="1467" spans="2:15">
      <c r="B1467" s="20">
        <v>45303</v>
      </c>
      <c r="C1467" s="20">
        <v>45303</v>
      </c>
      <c r="D1467" s="54">
        <v>50143893</v>
      </c>
      <c r="E1467" s="55" t="s">
        <v>24</v>
      </c>
      <c r="G1467" s="68">
        <v>3960</v>
      </c>
      <c r="H1467" s="56" t="s">
        <v>82</v>
      </c>
      <c r="J1467" s="56">
        <v>30674</v>
      </c>
      <c r="L1467" s="56" t="s">
        <v>838</v>
      </c>
      <c r="M1467" s="4" t="s">
        <v>176</v>
      </c>
      <c r="N1467" s="4" t="s">
        <v>177</v>
      </c>
      <c r="O1467" s="4" t="s">
        <v>530</v>
      </c>
    </row>
    <row r="1468" spans="2:15">
      <c r="B1468" s="20">
        <v>45303</v>
      </c>
      <c r="C1468" s="20">
        <v>45303</v>
      </c>
      <c r="D1468" s="54">
        <v>50144376</v>
      </c>
      <c r="E1468" s="55" t="s">
        <v>19</v>
      </c>
      <c r="G1468" s="68">
        <v>450</v>
      </c>
      <c r="H1468" s="56" t="s">
        <v>92</v>
      </c>
      <c r="J1468" s="56">
        <v>30674</v>
      </c>
      <c r="L1468" s="56" t="s">
        <v>838</v>
      </c>
      <c r="M1468" s="4" t="s">
        <v>176</v>
      </c>
      <c r="N1468" s="4" t="s">
        <v>177</v>
      </c>
      <c r="O1468" s="4" t="s">
        <v>530</v>
      </c>
    </row>
    <row r="1469" spans="2:15">
      <c r="B1469" s="20">
        <v>45303</v>
      </c>
      <c r="C1469" s="20">
        <v>45303</v>
      </c>
      <c r="D1469" s="54">
        <v>50272278</v>
      </c>
      <c r="E1469" s="55" t="s">
        <v>21</v>
      </c>
      <c r="F1469" s="56">
        <v>550</v>
      </c>
      <c r="G1469" s="68">
        <v>550</v>
      </c>
      <c r="H1469" s="56" t="s">
        <v>92</v>
      </c>
      <c r="J1469" s="56">
        <v>30674</v>
      </c>
      <c r="L1469" s="56" t="s">
        <v>838</v>
      </c>
      <c r="M1469" s="4" t="s">
        <v>176</v>
      </c>
      <c r="N1469" s="4" t="s">
        <v>177</v>
      </c>
      <c r="O1469" s="4" t="s">
        <v>530</v>
      </c>
    </row>
    <row r="1470" spans="2:15">
      <c r="B1470" s="20">
        <v>45306</v>
      </c>
      <c r="C1470" s="20">
        <v>45306</v>
      </c>
      <c r="D1470" s="54">
        <v>50144376</v>
      </c>
      <c r="E1470" s="55" t="s">
        <v>19</v>
      </c>
      <c r="G1470" s="68">
        <v>14000</v>
      </c>
      <c r="H1470" s="56" t="s">
        <v>962</v>
      </c>
      <c r="J1470" s="56">
        <v>1212</v>
      </c>
      <c r="L1470" s="56" t="s">
        <v>262</v>
      </c>
      <c r="M1470" s="4" t="s">
        <v>262</v>
      </c>
      <c r="N1470" s="4" t="s">
        <v>193</v>
      </c>
      <c r="O1470" s="4" t="s">
        <v>530</v>
      </c>
    </row>
    <row r="1471" spans="2:15">
      <c r="B1471" s="20">
        <v>45307</v>
      </c>
      <c r="C1471" s="20">
        <v>45307</v>
      </c>
      <c r="D1471" s="54">
        <v>50142350</v>
      </c>
      <c r="E1471" s="55" t="s">
        <v>212</v>
      </c>
      <c r="F1471" s="56">
        <v>4</v>
      </c>
      <c r="G1471" s="68">
        <v>2486</v>
      </c>
      <c r="H1471" s="56" t="s">
        <v>82</v>
      </c>
      <c r="J1471" s="56" t="s">
        <v>1159</v>
      </c>
      <c r="L1471" s="56" t="s">
        <v>1160</v>
      </c>
      <c r="M1471" s="4" t="s">
        <v>1161</v>
      </c>
      <c r="N1471" s="4" t="s">
        <v>1162</v>
      </c>
      <c r="O1471" s="4" t="s">
        <v>530</v>
      </c>
    </row>
    <row r="1472" spans="2:15">
      <c r="B1472" s="20">
        <v>45307</v>
      </c>
      <c r="C1472" s="20">
        <v>45307</v>
      </c>
      <c r="D1472" s="54">
        <v>50142237</v>
      </c>
      <c r="E1472" s="55" t="s">
        <v>617</v>
      </c>
      <c r="F1472" s="56">
        <v>50</v>
      </c>
      <c r="G1472" s="68">
        <v>50000</v>
      </c>
      <c r="H1472" s="56" t="s">
        <v>92</v>
      </c>
      <c r="J1472" s="56">
        <v>1473</v>
      </c>
      <c r="L1472" s="56" t="s">
        <v>1015</v>
      </c>
      <c r="M1472" s="4" t="s">
        <v>1015</v>
      </c>
      <c r="N1472" s="4" t="s">
        <v>683</v>
      </c>
      <c r="O1472" s="4" t="s">
        <v>530</v>
      </c>
    </row>
    <row r="1473" spans="2:15">
      <c r="B1473" s="20">
        <v>45307</v>
      </c>
      <c r="C1473" s="20">
        <v>45307</v>
      </c>
      <c r="D1473" s="54">
        <v>50272278</v>
      </c>
      <c r="E1473" s="55" t="s">
        <v>21</v>
      </c>
      <c r="F1473" s="56">
        <v>26</v>
      </c>
      <c r="G1473" s="68">
        <v>13000</v>
      </c>
      <c r="H1473" s="56" t="s">
        <v>92</v>
      </c>
      <c r="J1473" s="56">
        <v>1220</v>
      </c>
      <c r="L1473" s="56" t="s">
        <v>262</v>
      </c>
      <c r="M1473" s="4" t="s">
        <v>262</v>
      </c>
      <c r="N1473" s="4" t="s">
        <v>1140</v>
      </c>
      <c r="O1473" s="4" t="s">
        <v>530</v>
      </c>
    </row>
    <row r="1474" spans="2:15">
      <c r="B1474" s="20">
        <v>45308</v>
      </c>
      <c r="C1474" s="20">
        <v>45308</v>
      </c>
      <c r="D1474" s="54">
        <v>50272278</v>
      </c>
      <c r="E1474" s="55" t="s">
        <v>21</v>
      </c>
      <c r="G1474" s="68">
        <v>14000</v>
      </c>
      <c r="H1474" s="56" t="s">
        <v>92</v>
      </c>
      <c r="J1474" s="56">
        <v>1227</v>
      </c>
      <c r="L1474" s="56" t="s">
        <v>262</v>
      </c>
      <c r="M1474" s="4" t="s">
        <v>262</v>
      </c>
      <c r="N1474" s="4" t="s">
        <v>193</v>
      </c>
      <c r="O1474" s="4" t="s">
        <v>530</v>
      </c>
    </row>
    <row r="1475" spans="2:15">
      <c r="B1475" s="20">
        <v>45309</v>
      </c>
      <c r="C1475" s="20">
        <v>45309</v>
      </c>
      <c r="D1475" s="54">
        <v>50809146</v>
      </c>
      <c r="E1475" s="55" t="s">
        <v>1030</v>
      </c>
      <c r="G1475" s="68">
        <v>5197.45</v>
      </c>
      <c r="H1475" s="56" t="s">
        <v>82</v>
      </c>
      <c r="J1475" s="56">
        <v>292</v>
      </c>
      <c r="L1475" s="56" t="s">
        <v>243</v>
      </c>
      <c r="M1475" s="4" t="s">
        <v>660</v>
      </c>
      <c r="N1475" s="4" t="s">
        <v>586</v>
      </c>
      <c r="O1475" s="4" t="s">
        <v>530</v>
      </c>
    </row>
    <row r="1476" spans="2:15">
      <c r="B1476" s="20">
        <v>45309</v>
      </c>
      <c r="C1476" s="20">
        <v>45309</v>
      </c>
      <c r="D1476" s="54">
        <v>50272278</v>
      </c>
      <c r="E1476" s="55" t="s">
        <v>21</v>
      </c>
      <c r="G1476" s="68">
        <v>14000</v>
      </c>
      <c r="H1476" s="56" t="s">
        <v>92</v>
      </c>
      <c r="J1476" s="56">
        <v>1232</v>
      </c>
      <c r="L1476" s="56" t="s">
        <v>262</v>
      </c>
      <c r="M1476" s="4" t="s">
        <v>262</v>
      </c>
      <c r="N1476" s="4" t="s">
        <v>193</v>
      </c>
      <c r="O1476" s="4" t="s">
        <v>530</v>
      </c>
    </row>
    <row r="1477" spans="2:15">
      <c r="B1477" s="20">
        <v>45309</v>
      </c>
      <c r="C1477" s="20">
        <v>45309</v>
      </c>
      <c r="D1477" s="54">
        <v>50010080</v>
      </c>
      <c r="E1477" s="55" t="s">
        <v>354</v>
      </c>
      <c r="G1477" s="68">
        <v>20000</v>
      </c>
      <c r="H1477" s="56" t="s">
        <v>82</v>
      </c>
      <c r="J1477" s="56">
        <v>2828</v>
      </c>
      <c r="L1477" s="56" t="s">
        <v>355</v>
      </c>
      <c r="M1477" s="4" t="s">
        <v>650</v>
      </c>
      <c r="N1477" s="4" t="s">
        <v>1017</v>
      </c>
      <c r="O1477" s="4" t="s">
        <v>530</v>
      </c>
    </row>
    <row r="1478" spans="2:15">
      <c r="B1478" s="20">
        <v>45309</v>
      </c>
      <c r="C1478" s="20">
        <v>45309</v>
      </c>
      <c r="D1478" s="54">
        <v>50144376</v>
      </c>
      <c r="E1478" s="55" t="s">
        <v>19</v>
      </c>
      <c r="G1478" s="68">
        <v>12500</v>
      </c>
      <c r="H1478" s="56" t="s">
        <v>92</v>
      </c>
      <c r="J1478" s="56">
        <v>1142</v>
      </c>
      <c r="L1478" s="56" t="s">
        <v>262</v>
      </c>
      <c r="M1478" s="4" t="s">
        <v>262</v>
      </c>
      <c r="N1478" s="4" t="s">
        <v>1140</v>
      </c>
      <c r="O1478" s="4" t="s">
        <v>530</v>
      </c>
    </row>
    <row r="1479" spans="2:15">
      <c r="B1479" s="20">
        <v>45313</v>
      </c>
      <c r="C1479" s="20">
        <v>45313</v>
      </c>
      <c r="D1479" s="54">
        <v>50272278</v>
      </c>
      <c r="E1479" s="55" t="s">
        <v>21</v>
      </c>
      <c r="G1479" s="68">
        <v>12500</v>
      </c>
      <c r="H1479" s="56" t="s">
        <v>92</v>
      </c>
      <c r="J1479" s="56">
        <v>1252</v>
      </c>
      <c r="L1479" s="56" t="s">
        <v>262</v>
      </c>
      <c r="M1479" s="4" t="s">
        <v>262</v>
      </c>
      <c r="N1479" s="4" t="s">
        <v>1140</v>
      </c>
      <c r="O1479" s="4" t="s">
        <v>530</v>
      </c>
    </row>
    <row r="1480" spans="2:15">
      <c r="B1480" s="20">
        <v>45313</v>
      </c>
      <c r="C1480" s="20">
        <v>45313</v>
      </c>
      <c r="D1480" s="54">
        <v>50144376</v>
      </c>
      <c r="E1480" s="55" t="s">
        <v>19</v>
      </c>
      <c r="G1480" s="68">
        <v>500</v>
      </c>
      <c r="H1480" s="56" t="s">
        <v>92</v>
      </c>
      <c r="J1480" s="56">
        <v>1252</v>
      </c>
      <c r="L1480" s="56" t="s">
        <v>262</v>
      </c>
      <c r="M1480" s="4" t="s">
        <v>262</v>
      </c>
      <c r="N1480" s="4" t="s">
        <v>1140</v>
      </c>
      <c r="O1480" s="4" t="s">
        <v>530</v>
      </c>
    </row>
    <row r="1481" spans="2:15">
      <c r="B1481" s="20">
        <v>45314</v>
      </c>
      <c r="C1481" s="20">
        <v>45314</v>
      </c>
      <c r="D1481" s="54">
        <v>50144376</v>
      </c>
      <c r="E1481" s="55" t="s">
        <v>19</v>
      </c>
      <c r="G1481" s="68">
        <v>14000</v>
      </c>
      <c r="H1481" s="56" t="s">
        <v>92</v>
      </c>
      <c r="J1481" s="56">
        <v>1250</v>
      </c>
      <c r="L1481" s="56" t="s">
        <v>262</v>
      </c>
      <c r="M1481" s="4" t="s">
        <v>262</v>
      </c>
      <c r="N1481" s="4" t="s">
        <v>193</v>
      </c>
      <c r="O1481" s="4" t="s">
        <v>530</v>
      </c>
    </row>
    <row r="1482" spans="2:15">
      <c r="B1482" s="20">
        <v>45314</v>
      </c>
      <c r="C1482" s="20">
        <v>45314</v>
      </c>
      <c r="D1482" s="54">
        <v>50143875</v>
      </c>
      <c r="E1482" s="55" t="s">
        <v>713</v>
      </c>
      <c r="G1482" s="68">
        <v>5600</v>
      </c>
      <c r="H1482" s="56" t="s">
        <v>92</v>
      </c>
      <c r="J1482" s="56">
        <v>6072</v>
      </c>
      <c r="L1482" s="56" t="s">
        <v>615</v>
      </c>
      <c r="M1482" s="4" t="s">
        <v>615</v>
      </c>
      <c r="N1482" s="4" t="s">
        <v>1163</v>
      </c>
      <c r="O1482" s="4" t="s">
        <v>530</v>
      </c>
    </row>
    <row r="1483" spans="2:15">
      <c r="B1483" s="20">
        <v>45315</v>
      </c>
      <c r="C1483" s="20">
        <v>45315</v>
      </c>
      <c r="D1483" s="54">
        <v>50470190</v>
      </c>
      <c r="E1483" s="55" t="s">
        <v>12</v>
      </c>
      <c r="G1483" s="68">
        <v>9273600</v>
      </c>
      <c r="H1483" s="56" t="s">
        <v>92</v>
      </c>
      <c r="J1483" s="56">
        <v>7606</v>
      </c>
      <c r="L1483" s="56" t="s">
        <v>958</v>
      </c>
      <c r="M1483" s="4" t="s">
        <v>392</v>
      </c>
      <c r="N1483" s="4" t="s">
        <v>1164</v>
      </c>
      <c r="O1483" s="4" t="s">
        <v>530</v>
      </c>
    </row>
    <row r="1484" spans="2:15">
      <c r="B1484" s="20">
        <v>45315</v>
      </c>
      <c r="C1484" s="20">
        <v>45315</v>
      </c>
      <c r="D1484" s="54">
        <v>50498271</v>
      </c>
      <c r="E1484" s="55" t="s">
        <v>1025</v>
      </c>
      <c r="G1484" s="68">
        <v>3303.15</v>
      </c>
      <c r="H1484" s="56" t="s">
        <v>82</v>
      </c>
      <c r="J1484" s="56">
        <v>313</v>
      </c>
      <c r="L1484" s="56" t="s">
        <v>243</v>
      </c>
      <c r="M1484" s="4" t="s">
        <v>660</v>
      </c>
      <c r="N1484" s="4" t="s">
        <v>428</v>
      </c>
      <c r="O1484" s="4" t="s">
        <v>530</v>
      </c>
    </row>
    <row r="1485" spans="2:15">
      <c r="B1485" s="20">
        <v>45315</v>
      </c>
      <c r="C1485" s="20">
        <v>45315</v>
      </c>
      <c r="D1485" s="54">
        <v>50144376</v>
      </c>
      <c r="E1485" s="55" t="s">
        <v>19</v>
      </c>
      <c r="G1485" s="68">
        <v>13000</v>
      </c>
      <c r="H1485" s="56" t="s">
        <v>92</v>
      </c>
      <c r="J1485" s="56">
        <v>1266</v>
      </c>
      <c r="L1485" s="56" t="s">
        <v>262</v>
      </c>
      <c r="M1485" s="4" t="s">
        <v>262</v>
      </c>
      <c r="N1485" s="4" t="s">
        <v>1140</v>
      </c>
      <c r="O1485" s="4" t="s">
        <v>530</v>
      </c>
    </row>
    <row r="1486" spans="2:15">
      <c r="B1486" s="20">
        <v>45315</v>
      </c>
      <c r="C1486" s="20">
        <v>45315</v>
      </c>
      <c r="D1486" s="54">
        <v>50142524</v>
      </c>
      <c r="E1486" s="55" t="s">
        <v>1155</v>
      </c>
      <c r="G1486" s="68">
        <v>2500</v>
      </c>
      <c r="H1486" s="56" t="s">
        <v>92</v>
      </c>
      <c r="J1486" s="56">
        <v>32</v>
      </c>
      <c r="L1486" s="56" t="s">
        <v>286</v>
      </c>
      <c r="M1486" s="4" t="s">
        <v>286</v>
      </c>
      <c r="N1486" s="4" t="s">
        <v>773</v>
      </c>
      <c r="O1486" s="4" t="s">
        <v>178</v>
      </c>
    </row>
    <row r="1487" spans="2:15">
      <c r="B1487" s="20">
        <v>45315</v>
      </c>
      <c r="C1487" s="20">
        <v>45315</v>
      </c>
      <c r="D1487" s="54">
        <v>50142520</v>
      </c>
      <c r="E1487" s="55" t="s">
        <v>1156</v>
      </c>
      <c r="G1487" s="68">
        <v>1000</v>
      </c>
      <c r="H1487" s="56" t="s">
        <v>92</v>
      </c>
      <c r="J1487" s="56">
        <v>32</v>
      </c>
      <c r="L1487" s="56" t="s">
        <v>286</v>
      </c>
      <c r="M1487" s="4" t="s">
        <v>286</v>
      </c>
      <c r="N1487" s="4" t="s">
        <v>773</v>
      </c>
      <c r="O1487" s="4" t="s">
        <v>178</v>
      </c>
    </row>
    <row r="1488" spans="2:15">
      <c r="B1488" s="20">
        <v>45315</v>
      </c>
      <c r="C1488" s="20">
        <v>45315</v>
      </c>
      <c r="D1488" s="54">
        <v>50142523</v>
      </c>
      <c r="E1488" s="55" t="s">
        <v>1157</v>
      </c>
      <c r="G1488" s="68">
        <v>2000</v>
      </c>
      <c r="H1488" s="56" t="s">
        <v>92</v>
      </c>
      <c r="J1488" s="56">
        <v>32</v>
      </c>
      <c r="L1488" s="56" t="s">
        <v>286</v>
      </c>
      <c r="M1488" s="4" t="s">
        <v>286</v>
      </c>
      <c r="N1488" s="4" t="s">
        <v>773</v>
      </c>
      <c r="O1488" s="4" t="s">
        <v>178</v>
      </c>
    </row>
    <row r="1489" spans="2:15">
      <c r="B1489" s="20">
        <v>45316</v>
      </c>
      <c r="C1489" s="20">
        <v>45316</v>
      </c>
      <c r="D1489" s="54">
        <v>20016185</v>
      </c>
      <c r="E1489" s="55" t="s">
        <v>285</v>
      </c>
      <c r="G1489" s="68">
        <v>100000</v>
      </c>
      <c r="H1489" s="56" t="s">
        <v>92</v>
      </c>
      <c r="J1489" s="56">
        <v>34</v>
      </c>
      <c r="L1489" s="56" t="s">
        <v>286</v>
      </c>
      <c r="M1489" s="4" t="s">
        <v>286</v>
      </c>
      <c r="N1489" s="4" t="s">
        <v>773</v>
      </c>
      <c r="O1489" s="4" t="s">
        <v>178</v>
      </c>
    </row>
    <row r="1490" spans="2:15">
      <c r="B1490" s="20">
        <v>45316</v>
      </c>
      <c r="C1490" s="20">
        <v>45316</v>
      </c>
      <c r="D1490" s="54">
        <v>50145028</v>
      </c>
      <c r="E1490" s="55" t="s">
        <v>23</v>
      </c>
      <c r="G1490" s="68">
        <v>1585</v>
      </c>
      <c r="H1490" s="56" t="s">
        <v>92</v>
      </c>
      <c r="J1490" s="56">
        <v>234</v>
      </c>
      <c r="L1490" s="56" t="s">
        <v>673</v>
      </c>
      <c r="M1490" s="4" t="s">
        <v>673</v>
      </c>
      <c r="N1490" s="4" t="s">
        <v>1014</v>
      </c>
      <c r="O1490" s="4" t="s">
        <v>178</v>
      </c>
    </row>
    <row r="1491" spans="2:15">
      <c r="B1491" s="20">
        <v>45316</v>
      </c>
      <c r="C1491" s="20">
        <v>45316</v>
      </c>
      <c r="D1491" s="54">
        <v>50144376</v>
      </c>
      <c r="E1491" s="55" t="s">
        <v>19</v>
      </c>
      <c r="G1491" s="68">
        <v>13000</v>
      </c>
      <c r="H1491" s="56" t="s">
        <v>92</v>
      </c>
      <c r="J1491" s="56">
        <v>1274</v>
      </c>
      <c r="L1491" s="56" t="s">
        <v>262</v>
      </c>
      <c r="M1491" s="4" t="s">
        <v>262</v>
      </c>
      <c r="N1491" s="4" t="s">
        <v>1140</v>
      </c>
      <c r="O1491" s="4" t="s">
        <v>530</v>
      </c>
    </row>
    <row r="1492" spans="2:15">
      <c r="B1492" s="20">
        <v>45316</v>
      </c>
      <c r="C1492" s="20">
        <v>45316</v>
      </c>
      <c r="D1492" s="54">
        <v>50272278</v>
      </c>
      <c r="E1492" s="55" t="s">
        <v>21</v>
      </c>
      <c r="G1492" s="68">
        <v>6000</v>
      </c>
      <c r="H1492" s="56" t="s">
        <v>92</v>
      </c>
      <c r="J1492" s="56">
        <v>1275</v>
      </c>
      <c r="L1492" s="56" t="s">
        <v>262</v>
      </c>
      <c r="M1492" s="4" t="s">
        <v>262</v>
      </c>
      <c r="N1492" s="4" t="s">
        <v>1165</v>
      </c>
      <c r="O1492" s="4" t="s">
        <v>530</v>
      </c>
    </row>
    <row r="1493" spans="2:15">
      <c r="B1493" s="20">
        <v>45316</v>
      </c>
      <c r="C1493" s="20">
        <v>45316</v>
      </c>
      <c r="D1493" s="54">
        <v>50272278</v>
      </c>
      <c r="E1493" s="55" t="s">
        <v>21</v>
      </c>
      <c r="G1493" s="68">
        <v>13000</v>
      </c>
      <c r="H1493" s="56" t="s">
        <v>92</v>
      </c>
      <c r="J1493" s="56">
        <v>1286</v>
      </c>
      <c r="L1493" s="56" t="s">
        <v>262</v>
      </c>
      <c r="M1493" s="4" t="s">
        <v>262</v>
      </c>
      <c r="N1493" s="4" t="s">
        <v>1140</v>
      </c>
      <c r="O1493" s="4" t="s">
        <v>530</v>
      </c>
    </row>
    <row r="1494" spans="2:15">
      <c r="B1494" s="20">
        <v>45316</v>
      </c>
      <c r="C1494" s="20">
        <v>45316</v>
      </c>
      <c r="D1494" s="54">
        <v>50470190</v>
      </c>
      <c r="E1494" s="55" t="s">
        <v>12</v>
      </c>
      <c r="G1494" s="68">
        <v>5216400</v>
      </c>
      <c r="H1494" s="56" t="s">
        <v>92</v>
      </c>
      <c r="J1494" s="56">
        <v>31507</v>
      </c>
      <c r="L1494" s="56" t="s">
        <v>230</v>
      </c>
      <c r="M1494" s="4" t="s">
        <v>176</v>
      </c>
      <c r="N1494" s="4" t="s">
        <v>177</v>
      </c>
      <c r="O1494" s="4" t="s">
        <v>530</v>
      </c>
    </row>
    <row r="1495" spans="2:15">
      <c r="B1495" s="20">
        <v>45316</v>
      </c>
      <c r="C1495" s="20">
        <v>45316</v>
      </c>
      <c r="D1495" s="54">
        <v>50813995</v>
      </c>
      <c r="E1495" s="55" t="s">
        <v>960</v>
      </c>
      <c r="G1495" s="68">
        <v>5291.35</v>
      </c>
      <c r="H1495" s="56" t="s">
        <v>82</v>
      </c>
      <c r="J1495" s="56">
        <v>31525</v>
      </c>
      <c r="L1495" s="56" t="s">
        <v>243</v>
      </c>
      <c r="M1495" s="4" t="s">
        <v>176</v>
      </c>
      <c r="N1495" s="4" t="s">
        <v>177</v>
      </c>
      <c r="O1495" s="4" t="s">
        <v>530</v>
      </c>
    </row>
    <row r="1496" spans="2:15">
      <c r="B1496" s="20">
        <v>45316</v>
      </c>
      <c r="C1496" s="20">
        <v>45316</v>
      </c>
      <c r="D1496" s="54">
        <v>50470190</v>
      </c>
      <c r="E1496" s="55" t="s">
        <v>12</v>
      </c>
      <c r="G1496" s="68">
        <v>579600</v>
      </c>
      <c r="H1496" s="56" t="s">
        <v>92</v>
      </c>
      <c r="J1496" s="56">
        <v>31525</v>
      </c>
      <c r="L1496" s="56" t="s">
        <v>1166</v>
      </c>
      <c r="M1496" s="4" t="s">
        <v>176</v>
      </c>
      <c r="N1496" s="4" t="s">
        <v>177</v>
      </c>
      <c r="O1496" s="4" t="s">
        <v>530</v>
      </c>
    </row>
    <row r="1497" spans="2:15">
      <c r="B1497" s="20">
        <v>45320</v>
      </c>
      <c r="C1497" s="20">
        <v>45320</v>
      </c>
      <c r="D1497" s="54">
        <v>50272278</v>
      </c>
      <c r="E1497" s="55" t="s">
        <v>21</v>
      </c>
      <c r="G1497" s="68">
        <v>13000</v>
      </c>
      <c r="H1497" s="56" t="s">
        <v>92</v>
      </c>
      <c r="J1497" s="56">
        <v>1286</v>
      </c>
      <c r="L1497" s="56" t="s">
        <v>262</v>
      </c>
      <c r="M1497" s="4" t="s">
        <v>262</v>
      </c>
      <c r="N1497" s="4" t="s">
        <v>1140</v>
      </c>
      <c r="O1497" s="4" t="s">
        <v>530</v>
      </c>
    </row>
    <row r="1498" spans="2:15">
      <c r="B1498" s="20">
        <v>45321</v>
      </c>
      <c r="C1498" s="20">
        <v>45321</v>
      </c>
      <c r="D1498" s="54">
        <v>50818960</v>
      </c>
      <c r="E1498" s="55" t="s">
        <v>1167</v>
      </c>
      <c r="G1498" s="68">
        <v>1970000</v>
      </c>
      <c r="H1498" s="56" t="s">
        <v>92</v>
      </c>
      <c r="J1498" s="56" t="s">
        <v>1168</v>
      </c>
      <c r="K1498" s="4" t="s">
        <v>1169</v>
      </c>
      <c r="L1498" s="56" t="s">
        <v>1170</v>
      </c>
      <c r="M1498" s="4" t="s">
        <v>1171</v>
      </c>
      <c r="N1498" s="4" t="s">
        <v>1172</v>
      </c>
      <c r="O1498" s="4" t="s">
        <v>530</v>
      </c>
    </row>
    <row r="1499" spans="2:15">
      <c r="B1499" s="20">
        <v>45321</v>
      </c>
      <c r="C1499" s="20">
        <v>45321</v>
      </c>
      <c r="D1499" s="54">
        <v>50818948</v>
      </c>
      <c r="E1499" s="55" t="s">
        <v>1173</v>
      </c>
      <c r="G1499" s="68">
        <v>2998700</v>
      </c>
      <c r="H1499" s="56" t="s">
        <v>92</v>
      </c>
      <c r="J1499" s="56" t="s">
        <v>1168</v>
      </c>
      <c r="K1499" s="4" t="s">
        <v>1169</v>
      </c>
      <c r="L1499" s="56" t="s">
        <v>1170</v>
      </c>
      <c r="M1499" s="4" t="s">
        <v>1171</v>
      </c>
      <c r="N1499" s="4" t="s">
        <v>1172</v>
      </c>
      <c r="O1499" s="4" t="s">
        <v>530</v>
      </c>
    </row>
    <row r="1500" spans="2:15">
      <c r="B1500" s="20">
        <v>45321</v>
      </c>
      <c r="C1500" s="20">
        <v>45321</v>
      </c>
      <c r="D1500" s="54">
        <v>50818947</v>
      </c>
      <c r="E1500" s="55" t="s">
        <v>1174</v>
      </c>
      <c r="G1500" s="68">
        <v>6020000</v>
      </c>
      <c r="H1500" s="56" t="s">
        <v>92</v>
      </c>
      <c r="J1500" s="56" t="s">
        <v>1168</v>
      </c>
      <c r="K1500" s="4" t="s">
        <v>1169</v>
      </c>
      <c r="L1500" s="56" t="s">
        <v>1170</v>
      </c>
      <c r="M1500" s="4" t="s">
        <v>1171</v>
      </c>
      <c r="N1500" s="4" t="s">
        <v>1172</v>
      </c>
      <c r="O1500" s="4" t="s">
        <v>530</v>
      </c>
    </row>
    <row r="1501" spans="2:15">
      <c r="B1501" s="20">
        <v>45321</v>
      </c>
      <c r="C1501" s="20">
        <v>45321</v>
      </c>
      <c r="D1501" s="54">
        <v>50809147</v>
      </c>
      <c r="E1501" s="55" t="s">
        <v>930</v>
      </c>
      <c r="F1501" s="56">
        <v>11</v>
      </c>
      <c r="G1501" s="68">
        <v>4986.8</v>
      </c>
      <c r="H1501" s="56" t="s">
        <v>82</v>
      </c>
      <c r="J1501" s="56">
        <v>325</v>
      </c>
      <c r="L1501" s="56" t="s">
        <v>243</v>
      </c>
      <c r="M1501" s="4" t="s">
        <v>660</v>
      </c>
      <c r="N1501" s="4" t="s">
        <v>428</v>
      </c>
      <c r="O1501" s="4" t="s">
        <v>530</v>
      </c>
    </row>
    <row r="1502" spans="2:15">
      <c r="B1502" s="20">
        <v>45321</v>
      </c>
      <c r="C1502" s="20">
        <v>45321</v>
      </c>
      <c r="D1502" s="54">
        <v>50802401</v>
      </c>
      <c r="E1502" s="55" t="s">
        <v>13</v>
      </c>
      <c r="G1502" s="68">
        <v>9273600</v>
      </c>
      <c r="H1502" s="56" t="s">
        <v>92</v>
      </c>
      <c r="J1502" s="56" t="s">
        <v>1175</v>
      </c>
      <c r="L1502" s="56" t="s">
        <v>789</v>
      </c>
      <c r="M1502" s="4" t="s">
        <v>1176</v>
      </c>
      <c r="N1502" s="4" t="s">
        <v>1177</v>
      </c>
      <c r="O1502" s="4" t="s">
        <v>530</v>
      </c>
    </row>
    <row r="1503" spans="2:15">
      <c r="B1503" s="20">
        <v>45322</v>
      </c>
      <c r="C1503" s="20">
        <v>45322</v>
      </c>
      <c r="D1503" s="54">
        <v>50142330</v>
      </c>
      <c r="E1503" s="55" t="s">
        <v>195</v>
      </c>
      <c r="F1503" s="56">
        <v>10</v>
      </c>
      <c r="G1503" s="68">
        <v>3592.8</v>
      </c>
      <c r="H1503" s="56" t="s">
        <v>82</v>
      </c>
      <c r="J1503" s="56">
        <v>943586161</v>
      </c>
      <c r="K1503" s="4" t="s">
        <v>1178</v>
      </c>
      <c r="L1503" s="56" t="s">
        <v>196</v>
      </c>
      <c r="M1503" s="4" t="s">
        <v>1179</v>
      </c>
      <c r="N1503" s="4" t="s">
        <v>1180</v>
      </c>
      <c r="O1503" s="4" t="s">
        <v>530</v>
      </c>
    </row>
    <row r="1504" spans="2:15">
      <c r="B1504" s="20">
        <v>45322</v>
      </c>
      <c r="C1504" s="20">
        <v>45322</v>
      </c>
      <c r="D1504" s="54">
        <v>50793278</v>
      </c>
      <c r="E1504" s="55" t="s">
        <v>1086</v>
      </c>
      <c r="F1504" s="56">
        <v>5</v>
      </c>
      <c r="G1504" s="68">
        <v>50</v>
      </c>
      <c r="H1504" s="56" t="s">
        <v>1087</v>
      </c>
      <c r="J1504" s="56">
        <v>249643310</v>
      </c>
      <c r="K1504" s="4" t="s">
        <v>1181</v>
      </c>
      <c r="L1504" s="56" t="s">
        <v>175</v>
      </c>
      <c r="M1504" s="4" t="s">
        <v>392</v>
      </c>
      <c r="N1504" s="4" t="s">
        <v>1182</v>
      </c>
      <c r="O1504" s="4" t="s">
        <v>530</v>
      </c>
    </row>
    <row r="1505" spans="2:15">
      <c r="B1505" s="20">
        <v>45322</v>
      </c>
      <c r="C1505" s="20">
        <v>45322</v>
      </c>
      <c r="D1505" s="54">
        <v>50804929</v>
      </c>
      <c r="E1505" s="55" t="s">
        <v>856</v>
      </c>
      <c r="G1505" s="68">
        <v>3000000</v>
      </c>
      <c r="H1505" s="56" t="s">
        <v>92</v>
      </c>
      <c r="N1505" s="4"/>
      <c r="O1505" s="4" t="s">
        <v>530</v>
      </c>
    </row>
    <row r="1506" spans="2:15">
      <c r="B1506" s="20">
        <v>45322</v>
      </c>
      <c r="C1506" s="20">
        <v>45322</v>
      </c>
      <c r="D1506" s="54">
        <v>50804970</v>
      </c>
      <c r="E1506" s="55" t="s">
        <v>857</v>
      </c>
      <c r="G1506" s="68">
        <v>2970000</v>
      </c>
      <c r="H1506" s="56" t="s">
        <v>92</v>
      </c>
      <c r="N1506" s="4"/>
      <c r="O1506" s="4" t="s">
        <v>530</v>
      </c>
    </row>
    <row r="1507" spans="2:15">
      <c r="B1507" s="20">
        <v>45322</v>
      </c>
      <c r="C1507" s="20">
        <v>45322</v>
      </c>
      <c r="D1507" s="54">
        <v>50804971</v>
      </c>
      <c r="E1507" s="55" t="s">
        <v>855</v>
      </c>
      <c r="G1507" s="68">
        <v>2998800</v>
      </c>
      <c r="H1507" s="56" t="s">
        <v>92</v>
      </c>
      <c r="N1507" s="4"/>
      <c r="O1507" s="4" t="s">
        <v>530</v>
      </c>
    </row>
    <row r="1508" spans="2:15">
      <c r="B1508" s="20">
        <v>45322</v>
      </c>
      <c r="C1508" s="20">
        <v>45322</v>
      </c>
      <c r="D1508" s="54">
        <v>50495561</v>
      </c>
      <c r="E1508" s="55" t="s">
        <v>1183</v>
      </c>
      <c r="G1508" s="68">
        <v>990000</v>
      </c>
      <c r="H1508" s="56" t="s">
        <v>92</v>
      </c>
      <c r="N1508" s="4"/>
      <c r="O1508" s="4" t="s">
        <v>530</v>
      </c>
    </row>
    <row r="1509" spans="2:15">
      <c r="B1509" s="20">
        <v>45322</v>
      </c>
      <c r="C1509" s="20">
        <v>45322</v>
      </c>
      <c r="D1509" s="54">
        <v>50272278</v>
      </c>
      <c r="E1509" s="55" t="s">
        <v>21</v>
      </c>
      <c r="G1509" s="68">
        <v>13000</v>
      </c>
      <c r="H1509" s="56" t="s">
        <v>92</v>
      </c>
      <c r="J1509" s="56">
        <v>1298</v>
      </c>
      <c r="L1509" s="56" t="s">
        <v>262</v>
      </c>
      <c r="M1509" s="4" t="s">
        <v>262</v>
      </c>
      <c r="N1509" s="4" t="s">
        <v>1140</v>
      </c>
      <c r="O1509" s="4" t="s">
        <v>530</v>
      </c>
    </row>
    <row r="1510" spans="2:15">
      <c r="B1510" s="20">
        <v>45323</v>
      </c>
      <c r="C1510" s="20">
        <v>45323</v>
      </c>
      <c r="D1510" s="54">
        <v>50809145</v>
      </c>
      <c r="E1510" s="55" t="s">
        <v>946</v>
      </c>
      <c r="F1510" s="56">
        <v>9</v>
      </c>
      <c r="G1510" s="68">
        <v>4091.85</v>
      </c>
      <c r="H1510" s="56" t="s">
        <v>82</v>
      </c>
      <c r="J1510" s="56">
        <v>331</v>
      </c>
      <c r="L1510" s="56" t="s">
        <v>243</v>
      </c>
      <c r="M1510" s="4" t="s">
        <v>660</v>
      </c>
      <c r="N1510" s="4" t="s">
        <v>428</v>
      </c>
      <c r="O1510" s="4" t="s">
        <v>530</v>
      </c>
    </row>
    <row r="1511" spans="2:15">
      <c r="B1511" s="20">
        <v>45323</v>
      </c>
      <c r="C1511" s="20">
        <v>45323</v>
      </c>
      <c r="D1511" s="54">
        <v>50470190</v>
      </c>
      <c r="E1511" s="55" t="s">
        <v>12</v>
      </c>
      <c r="F1511" s="56">
        <v>32</v>
      </c>
      <c r="G1511" s="68">
        <v>9273600</v>
      </c>
      <c r="H1511" s="56" t="s">
        <v>92</v>
      </c>
      <c r="J1511" s="56">
        <v>7</v>
      </c>
      <c r="L1511" s="56" t="s">
        <v>958</v>
      </c>
      <c r="M1511" s="4" t="s">
        <v>392</v>
      </c>
      <c r="N1511" s="4" t="s">
        <v>319</v>
      </c>
      <c r="O1511" s="4" t="s">
        <v>530</v>
      </c>
    </row>
    <row r="1512" spans="2:15">
      <c r="B1512" s="20">
        <v>45324</v>
      </c>
      <c r="C1512" s="20">
        <v>45324</v>
      </c>
      <c r="D1512" s="54">
        <v>50141786</v>
      </c>
      <c r="E1512" s="55" t="s">
        <v>188</v>
      </c>
      <c r="G1512" s="68">
        <v>11200</v>
      </c>
      <c r="H1512" s="56" t="s">
        <v>82</v>
      </c>
      <c r="J1512" s="56">
        <v>112802</v>
      </c>
      <c r="L1512" s="56" t="s">
        <v>1060</v>
      </c>
      <c r="M1512" s="4" t="s">
        <v>209</v>
      </c>
      <c r="N1512" s="4" t="s">
        <v>1184</v>
      </c>
      <c r="O1512" s="4" t="s">
        <v>530</v>
      </c>
    </row>
    <row r="1513" spans="2:15">
      <c r="B1513" s="20">
        <v>45324</v>
      </c>
      <c r="C1513" s="20">
        <v>45324</v>
      </c>
      <c r="D1513" s="54">
        <v>50141786</v>
      </c>
      <c r="E1513" s="55" t="s">
        <v>188</v>
      </c>
      <c r="G1513" s="68">
        <v>11200</v>
      </c>
      <c r="H1513" s="56" t="s">
        <v>82</v>
      </c>
      <c r="J1513" s="56">
        <v>112788</v>
      </c>
      <c r="L1513" s="56" t="s">
        <v>1060</v>
      </c>
      <c r="M1513" s="4" t="s">
        <v>209</v>
      </c>
      <c r="N1513" s="4" t="s">
        <v>1100</v>
      </c>
      <c r="O1513" s="4" t="s">
        <v>530</v>
      </c>
    </row>
    <row r="1514" spans="2:15">
      <c r="B1514" s="20">
        <v>45324</v>
      </c>
      <c r="C1514" s="20">
        <v>45324</v>
      </c>
      <c r="D1514" s="54">
        <v>50272278</v>
      </c>
      <c r="E1514" s="55" t="s">
        <v>21</v>
      </c>
      <c r="G1514" s="68">
        <v>13000</v>
      </c>
      <c r="H1514" s="56" t="s">
        <v>92</v>
      </c>
      <c r="J1514" s="56">
        <v>1311</v>
      </c>
      <c r="L1514" s="56" t="s">
        <v>262</v>
      </c>
      <c r="M1514" s="4" t="s">
        <v>262</v>
      </c>
      <c r="N1514" s="4" t="s">
        <v>1140</v>
      </c>
      <c r="O1514" s="4" t="s">
        <v>530</v>
      </c>
    </row>
    <row r="1515" spans="2:15">
      <c r="B1515" s="20">
        <v>45324</v>
      </c>
      <c r="C1515" s="20">
        <v>45324</v>
      </c>
      <c r="D1515" s="54">
        <v>50813995</v>
      </c>
      <c r="E1515" s="55" t="s">
        <v>960</v>
      </c>
      <c r="G1515" s="68">
        <v>5443.3</v>
      </c>
      <c r="H1515" s="56" t="s">
        <v>82</v>
      </c>
      <c r="J1515" s="56">
        <v>334</v>
      </c>
      <c r="L1515" s="56" t="s">
        <v>243</v>
      </c>
      <c r="M1515" s="4" t="s">
        <v>660</v>
      </c>
      <c r="N1515" s="4" t="s">
        <v>1185</v>
      </c>
      <c r="O1515" s="4" t="s">
        <v>530</v>
      </c>
    </row>
    <row r="1516" spans="2:15">
      <c r="B1516" s="20">
        <v>45324</v>
      </c>
      <c r="C1516" s="20">
        <v>45324</v>
      </c>
      <c r="D1516" s="54">
        <v>50142524</v>
      </c>
      <c r="E1516" s="55" t="s">
        <v>1155</v>
      </c>
      <c r="G1516" s="68">
        <v>1500</v>
      </c>
      <c r="H1516" s="56" t="s">
        <v>92</v>
      </c>
      <c r="J1516" s="56">
        <v>334</v>
      </c>
      <c r="L1516" s="56" t="s">
        <v>286</v>
      </c>
      <c r="M1516" s="4" t="s">
        <v>1186</v>
      </c>
      <c r="N1516" s="4" t="s">
        <v>773</v>
      </c>
      <c r="O1516" s="4" t="s">
        <v>530</v>
      </c>
    </row>
    <row r="1517" spans="2:15">
      <c r="B1517" s="20">
        <v>45324</v>
      </c>
      <c r="C1517" s="20">
        <v>45324</v>
      </c>
      <c r="D1517" s="54">
        <v>50142520</v>
      </c>
      <c r="E1517" s="55" t="s">
        <v>1156</v>
      </c>
      <c r="G1517" s="68">
        <v>3000</v>
      </c>
      <c r="H1517" s="56" t="s">
        <v>92</v>
      </c>
      <c r="J1517" s="56">
        <v>334</v>
      </c>
      <c r="L1517" s="56" t="s">
        <v>286</v>
      </c>
      <c r="M1517" s="4" t="s">
        <v>1186</v>
      </c>
      <c r="N1517" s="4" t="s">
        <v>773</v>
      </c>
      <c r="O1517" s="4" t="s">
        <v>530</v>
      </c>
    </row>
    <row r="1518" spans="2:15">
      <c r="B1518" s="20">
        <v>45324</v>
      </c>
      <c r="C1518" s="20">
        <v>45324</v>
      </c>
      <c r="D1518" s="54">
        <v>50142523</v>
      </c>
      <c r="E1518" s="55" t="s">
        <v>1157</v>
      </c>
      <c r="G1518" s="68">
        <v>2000</v>
      </c>
      <c r="H1518" s="56" t="s">
        <v>92</v>
      </c>
      <c r="J1518" s="56">
        <v>334</v>
      </c>
      <c r="L1518" s="56" t="s">
        <v>286</v>
      </c>
      <c r="M1518" s="4" t="s">
        <v>1186</v>
      </c>
      <c r="N1518" s="4" t="s">
        <v>773</v>
      </c>
      <c r="O1518" s="4" t="s">
        <v>530</v>
      </c>
    </row>
    <row r="1519" spans="2:15">
      <c r="B1519" s="20">
        <v>45328</v>
      </c>
      <c r="C1519" s="20">
        <v>45328</v>
      </c>
      <c r="D1519" s="54">
        <v>50470190</v>
      </c>
      <c r="E1519" s="55" t="s">
        <v>12</v>
      </c>
      <c r="G1519" s="68">
        <v>9273600</v>
      </c>
      <c r="H1519" s="56" t="s">
        <v>92</v>
      </c>
      <c r="J1519" s="56">
        <v>91</v>
      </c>
      <c r="L1519" s="56" t="s">
        <v>958</v>
      </c>
      <c r="M1519" s="4" t="s">
        <v>392</v>
      </c>
      <c r="N1519" s="4" t="s">
        <v>319</v>
      </c>
      <c r="O1519" s="4" t="s">
        <v>530</v>
      </c>
    </row>
    <row r="1520" spans="2:15">
      <c r="B1520" s="20">
        <v>45329</v>
      </c>
      <c r="C1520" s="20">
        <v>45329</v>
      </c>
      <c r="D1520" s="54">
        <v>50142055</v>
      </c>
      <c r="E1520" s="55" t="s">
        <v>206</v>
      </c>
      <c r="G1520" s="68">
        <v>6000</v>
      </c>
      <c r="H1520" s="56" t="s">
        <v>82</v>
      </c>
      <c r="J1520" s="56">
        <v>901005178</v>
      </c>
      <c r="L1520" s="56" t="s">
        <v>1070</v>
      </c>
      <c r="N1520" s="4" t="s">
        <v>1123</v>
      </c>
      <c r="O1520" s="4" t="s">
        <v>530</v>
      </c>
    </row>
    <row r="1521" spans="2:15">
      <c r="B1521" s="20">
        <v>45329</v>
      </c>
      <c r="C1521" s="20">
        <v>45329</v>
      </c>
      <c r="D1521" s="54">
        <v>50144376</v>
      </c>
      <c r="E1521" s="55" t="s">
        <v>19</v>
      </c>
      <c r="G1521" s="68">
        <v>13000</v>
      </c>
      <c r="H1521" s="56" t="s">
        <v>92</v>
      </c>
      <c r="J1521" s="56">
        <v>1340</v>
      </c>
      <c r="L1521" s="56" t="s">
        <v>262</v>
      </c>
      <c r="M1521" s="4" t="s">
        <v>262</v>
      </c>
      <c r="N1521" s="4" t="s">
        <v>1140</v>
      </c>
      <c r="O1521" s="4" t="s">
        <v>530</v>
      </c>
    </row>
    <row r="1522" spans="2:15">
      <c r="B1522" s="20">
        <v>45330</v>
      </c>
      <c r="C1522" s="20">
        <v>45330</v>
      </c>
      <c r="D1522" s="54">
        <v>50552275</v>
      </c>
      <c r="E1522" s="55" t="s">
        <v>1187</v>
      </c>
      <c r="G1522" s="68">
        <v>512000</v>
      </c>
      <c r="H1522" s="56" t="s">
        <v>92</v>
      </c>
      <c r="J1522" s="56" t="s">
        <v>1188</v>
      </c>
      <c r="K1522" s="4" t="s">
        <v>1189</v>
      </c>
      <c r="L1522" s="56" t="s">
        <v>1190</v>
      </c>
      <c r="M1522" s="4" t="s">
        <v>750</v>
      </c>
      <c r="N1522" s="4" t="s">
        <v>1191</v>
      </c>
      <c r="O1522" s="4" t="s">
        <v>530</v>
      </c>
    </row>
    <row r="1523" spans="2:15">
      <c r="B1523" s="20">
        <v>45330</v>
      </c>
      <c r="C1523" s="20">
        <v>45330</v>
      </c>
      <c r="D1523" s="54">
        <v>50552276</v>
      </c>
      <c r="E1523" s="55" t="s">
        <v>1192</v>
      </c>
      <c r="G1523" s="68">
        <v>512000</v>
      </c>
      <c r="H1523" s="56" t="s">
        <v>92</v>
      </c>
      <c r="J1523" s="56" t="s">
        <v>1188</v>
      </c>
      <c r="K1523" s="4" t="s">
        <v>1189</v>
      </c>
      <c r="L1523" s="56" t="s">
        <v>1190</v>
      </c>
      <c r="M1523" s="4" t="s">
        <v>750</v>
      </c>
      <c r="N1523" s="4" t="s">
        <v>1191</v>
      </c>
      <c r="O1523" s="4" t="s">
        <v>530</v>
      </c>
    </row>
    <row r="1524" spans="2:15">
      <c r="B1524" s="20">
        <v>45330</v>
      </c>
      <c r="C1524" s="20">
        <v>45330</v>
      </c>
      <c r="D1524" s="54">
        <v>50531473</v>
      </c>
      <c r="E1524" s="55" t="s">
        <v>1193</v>
      </c>
      <c r="G1524" s="68">
        <v>10000000</v>
      </c>
      <c r="H1524" s="56" t="s">
        <v>92</v>
      </c>
      <c r="J1524" s="56" t="s">
        <v>1188</v>
      </c>
      <c r="K1524" s="4" t="s">
        <v>1189</v>
      </c>
      <c r="L1524" s="56" t="s">
        <v>1190</v>
      </c>
      <c r="M1524" s="4" t="s">
        <v>750</v>
      </c>
      <c r="N1524" s="4" t="s">
        <v>1191</v>
      </c>
      <c r="O1524" s="4" t="s">
        <v>530</v>
      </c>
    </row>
    <row r="1525" spans="2:15">
      <c r="B1525" s="20">
        <v>45331</v>
      </c>
      <c r="C1525" s="20">
        <v>45331</v>
      </c>
      <c r="D1525" s="54">
        <v>50144376</v>
      </c>
      <c r="E1525" s="55" t="s">
        <v>19</v>
      </c>
      <c r="G1525" s="68">
        <v>13000</v>
      </c>
      <c r="H1525" s="56" t="s">
        <v>92</v>
      </c>
      <c r="J1525" s="56">
        <v>1352</v>
      </c>
      <c r="L1525" s="56" t="s">
        <v>262</v>
      </c>
      <c r="M1525" s="4" t="s">
        <v>262</v>
      </c>
      <c r="N1525" s="4" t="s">
        <v>1140</v>
      </c>
      <c r="O1525" s="4" t="s">
        <v>530</v>
      </c>
    </row>
    <row r="1526" spans="2:15">
      <c r="B1526" s="20">
        <v>45331</v>
      </c>
      <c r="C1526" s="20">
        <v>45331</v>
      </c>
      <c r="D1526" s="54">
        <v>50498271</v>
      </c>
      <c r="E1526" s="55" t="s">
        <v>1025</v>
      </c>
      <c r="G1526" s="68">
        <v>5156.85</v>
      </c>
      <c r="H1526" s="56" t="s">
        <v>82</v>
      </c>
      <c r="J1526" s="56">
        <v>353</v>
      </c>
      <c r="L1526" s="56" t="s">
        <v>243</v>
      </c>
      <c r="M1526" s="4" t="s">
        <v>660</v>
      </c>
      <c r="N1526" s="4" t="s">
        <v>353</v>
      </c>
      <c r="O1526" s="4" t="s">
        <v>530</v>
      </c>
    </row>
    <row r="1527" spans="2:15">
      <c r="B1527" s="20">
        <v>45331</v>
      </c>
      <c r="C1527" s="20">
        <v>45331</v>
      </c>
      <c r="D1527" s="54">
        <v>50145028</v>
      </c>
      <c r="E1527" s="55" t="s">
        <v>23</v>
      </c>
      <c r="G1527" s="68">
        <v>960</v>
      </c>
      <c r="H1527" s="56" t="s">
        <v>92</v>
      </c>
      <c r="J1527" s="56">
        <v>31948</v>
      </c>
      <c r="L1527" s="56" t="s">
        <v>838</v>
      </c>
      <c r="M1527" s="4" t="s">
        <v>176</v>
      </c>
      <c r="N1527" s="4" t="s">
        <v>177</v>
      </c>
      <c r="O1527" s="4" t="s">
        <v>530</v>
      </c>
    </row>
    <row r="1528" spans="2:15">
      <c r="B1528" s="20">
        <v>45331</v>
      </c>
      <c r="C1528" s="20">
        <v>45331</v>
      </c>
      <c r="D1528" s="54">
        <v>50143893</v>
      </c>
      <c r="E1528" s="55" t="s">
        <v>24</v>
      </c>
      <c r="G1528" s="68">
        <v>3960</v>
      </c>
      <c r="H1528" s="56" t="s">
        <v>82</v>
      </c>
      <c r="J1528" s="56">
        <v>31948</v>
      </c>
      <c r="L1528" s="56" t="s">
        <v>838</v>
      </c>
      <c r="M1528" s="4" t="s">
        <v>176</v>
      </c>
      <c r="N1528" s="4" t="s">
        <v>177</v>
      </c>
      <c r="O1528" s="4" t="s">
        <v>530</v>
      </c>
    </row>
    <row r="1529" spans="2:15">
      <c r="B1529" s="20">
        <v>45331</v>
      </c>
      <c r="C1529" s="20">
        <v>45331</v>
      </c>
      <c r="D1529" s="54">
        <v>50272278</v>
      </c>
      <c r="E1529" s="55" t="s">
        <v>21</v>
      </c>
      <c r="G1529" s="68">
        <v>1100</v>
      </c>
      <c r="H1529" s="56" t="s">
        <v>92</v>
      </c>
      <c r="J1529" s="56">
        <v>31948</v>
      </c>
      <c r="L1529" s="56" t="s">
        <v>838</v>
      </c>
      <c r="M1529" s="4" t="s">
        <v>176</v>
      </c>
      <c r="N1529" s="4" t="s">
        <v>177</v>
      </c>
      <c r="O1529" s="4" t="s">
        <v>530</v>
      </c>
    </row>
    <row r="1530" spans="2:15">
      <c r="B1530" s="20">
        <v>45331</v>
      </c>
      <c r="C1530" s="20">
        <v>45331</v>
      </c>
      <c r="D1530" s="54">
        <v>40499</v>
      </c>
      <c r="E1530" s="55" t="s">
        <v>1094</v>
      </c>
      <c r="G1530" s="68">
        <v>57</v>
      </c>
      <c r="H1530" s="56" t="s">
        <v>92</v>
      </c>
      <c r="J1530" s="56">
        <v>31948</v>
      </c>
      <c r="L1530" s="56" t="s">
        <v>838</v>
      </c>
      <c r="M1530" s="4" t="s">
        <v>176</v>
      </c>
      <c r="N1530" s="4" t="s">
        <v>177</v>
      </c>
      <c r="O1530" s="4" t="s">
        <v>530</v>
      </c>
    </row>
    <row r="1531" spans="2:15">
      <c r="B1531" s="20">
        <v>45332</v>
      </c>
      <c r="C1531" s="20">
        <v>45332</v>
      </c>
      <c r="D1531" s="54">
        <v>50142334</v>
      </c>
      <c r="E1531" s="55" t="s">
        <v>257</v>
      </c>
      <c r="G1531" s="68">
        <v>20021.4</v>
      </c>
      <c r="H1531" s="56" t="s">
        <v>82</v>
      </c>
      <c r="J1531" s="56">
        <v>8302184044</v>
      </c>
      <c r="L1531" s="56" t="s">
        <v>624</v>
      </c>
      <c r="M1531" s="4" t="s">
        <v>1194</v>
      </c>
      <c r="N1531" s="4" t="s">
        <v>1195</v>
      </c>
      <c r="O1531" s="4" t="s">
        <v>530</v>
      </c>
    </row>
    <row r="1532" spans="2:15">
      <c r="B1532" s="20">
        <v>45334</v>
      </c>
      <c r="C1532" s="20">
        <v>45334</v>
      </c>
      <c r="D1532" s="54">
        <v>50010080</v>
      </c>
      <c r="E1532" s="55" t="s">
        <v>354</v>
      </c>
      <c r="G1532" s="68">
        <v>20000</v>
      </c>
      <c r="H1532" s="56" t="s">
        <v>82</v>
      </c>
      <c r="J1532" s="56">
        <v>3562</v>
      </c>
      <c r="L1532" s="56" t="s">
        <v>355</v>
      </c>
      <c r="M1532" s="4" t="s">
        <v>650</v>
      </c>
      <c r="N1532" s="4" t="s">
        <v>961</v>
      </c>
      <c r="O1532" s="4" t="s">
        <v>530</v>
      </c>
    </row>
    <row r="1533" spans="2:15">
      <c r="B1533" s="20">
        <v>45334</v>
      </c>
      <c r="C1533" s="20">
        <v>45334</v>
      </c>
      <c r="D1533" s="54">
        <v>50272278</v>
      </c>
      <c r="E1533" s="55" t="s">
        <v>21</v>
      </c>
      <c r="G1533" s="68">
        <v>13000</v>
      </c>
      <c r="H1533" s="56" t="s">
        <v>92</v>
      </c>
      <c r="J1533" s="56">
        <v>1357</v>
      </c>
      <c r="L1533" s="56" t="s">
        <v>262</v>
      </c>
      <c r="M1533" s="4" t="s">
        <v>262</v>
      </c>
      <c r="N1533" s="4" t="s">
        <v>1140</v>
      </c>
      <c r="O1533" s="4" t="s">
        <v>530</v>
      </c>
    </row>
    <row r="1534" spans="2:15">
      <c r="B1534" s="20">
        <v>45335</v>
      </c>
      <c r="C1534" s="20">
        <v>45335</v>
      </c>
      <c r="D1534" s="54">
        <v>50821478</v>
      </c>
      <c r="E1534" s="55" t="s">
        <v>1196</v>
      </c>
      <c r="G1534" s="68">
        <v>2350000</v>
      </c>
      <c r="H1534" s="56" t="s">
        <v>92</v>
      </c>
      <c r="J1534" s="56">
        <v>10378</v>
      </c>
      <c r="K1534" s="4" t="s">
        <v>1197</v>
      </c>
      <c r="L1534" s="56" t="s">
        <v>1109</v>
      </c>
      <c r="M1534" s="4" t="s">
        <v>392</v>
      </c>
      <c r="N1534" s="4" t="s">
        <v>1198</v>
      </c>
      <c r="O1534" s="4" t="s">
        <v>530</v>
      </c>
    </row>
    <row r="1535" spans="2:15">
      <c r="B1535" s="20">
        <v>45335</v>
      </c>
      <c r="C1535" s="20">
        <v>45335</v>
      </c>
      <c r="D1535" s="54">
        <v>50821479</v>
      </c>
      <c r="E1535" s="55" t="s">
        <v>1199</v>
      </c>
      <c r="G1535" s="68">
        <v>1243000</v>
      </c>
      <c r="H1535" s="56" t="s">
        <v>92</v>
      </c>
      <c r="J1535" s="56">
        <v>10378</v>
      </c>
      <c r="K1535" s="4" t="s">
        <v>1197</v>
      </c>
      <c r="L1535" s="56" t="s">
        <v>1109</v>
      </c>
      <c r="M1535" s="4" t="s">
        <v>392</v>
      </c>
      <c r="N1535" s="4" t="s">
        <v>1198</v>
      </c>
      <c r="O1535" s="4" t="s">
        <v>530</v>
      </c>
    </row>
    <row r="1536" spans="2:15">
      <c r="B1536" s="20">
        <v>45335</v>
      </c>
      <c r="C1536" s="20">
        <v>45335</v>
      </c>
      <c r="D1536" s="54">
        <v>40011130</v>
      </c>
      <c r="E1536" s="55" t="s">
        <v>631</v>
      </c>
      <c r="G1536" s="68">
        <v>9161</v>
      </c>
      <c r="H1536" s="56" t="s">
        <v>80</v>
      </c>
      <c r="J1536" s="56">
        <v>935456</v>
      </c>
      <c r="K1536" s="4" t="s">
        <v>1200</v>
      </c>
      <c r="L1536" s="56" t="s">
        <v>175</v>
      </c>
      <c r="M1536" s="4" t="s">
        <v>520</v>
      </c>
      <c r="N1536" s="4" t="s">
        <v>1201</v>
      </c>
      <c r="O1536" s="4" t="s">
        <v>530</v>
      </c>
    </row>
    <row r="1537" spans="2:15">
      <c r="B1537" s="20">
        <v>45335</v>
      </c>
      <c r="C1537" s="20">
        <v>45335</v>
      </c>
      <c r="D1537" s="54">
        <v>40009544</v>
      </c>
      <c r="E1537" s="55" t="s">
        <v>179</v>
      </c>
      <c r="G1537" s="68">
        <v>14560</v>
      </c>
      <c r="H1537" s="56" t="s">
        <v>80</v>
      </c>
      <c r="J1537" s="56">
        <v>935456</v>
      </c>
      <c r="K1537" s="4" t="s">
        <v>1200</v>
      </c>
      <c r="L1537" s="56" t="s">
        <v>175</v>
      </c>
      <c r="M1537" s="4" t="s">
        <v>520</v>
      </c>
      <c r="N1537" s="4" t="s">
        <v>1201</v>
      </c>
      <c r="O1537" s="4" t="s">
        <v>530</v>
      </c>
    </row>
    <row r="1538" spans="2:15">
      <c r="B1538" s="20">
        <v>45335</v>
      </c>
      <c r="C1538" s="20">
        <v>45335</v>
      </c>
      <c r="D1538" s="54">
        <v>40009546</v>
      </c>
      <c r="E1538" s="55" t="s">
        <v>174</v>
      </c>
      <c r="G1538" s="68">
        <v>6930</v>
      </c>
      <c r="H1538" s="56" t="s">
        <v>80</v>
      </c>
      <c r="J1538" s="56">
        <v>935456</v>
      </c>
      <c r="K1538" s="4" t="s">
        <v>1200</v>
      </c>
      <c r="L1538" s="56" t="s">
        <v>175</v>
      </c>
      <c r="M1538" s="4" t="s">
        <v>520</v>
      </c>
      <c r="N1538" s="4" t="s">
        <v>1201</v>
      </c>
      <c r="O1538" s="4" t="s">
        <v>530</v>
      </c>
    </row>
    <row r="1539" spans="2:15">
      <c r="B1539" s="20">
        <v>45335</v>
      </c>
      <c r="C1539" s="20">
        <v>45335</v>
      </c>
      <c r="D1539" s="54">
        <v>40011133</v>
      </c>
      <c r="E1539" s="55" t="s">
        <v>634</v>
      </c>
      <c r="G1539" s="68">
        <v>7920</v>
      </c>
      <c r="H1539" s="56" t="s">
        <v>80</v>
      </c>
      <c r="J1539" s="56">
        <v>935456</v>
      </c>
      <c r="K1539" s="4" t="s">
        <v>1200</v>
      </c>
      <c r="L1539" s="56" t="s">
        <v>175</v>
      </c>
      <c r="M1539" s="4" t="s">
        <v>520</v>
      </c>
      <c r="N1539" s="4" t="s">
        <v>1201</v>
      </c>
      <c r="O1539" s="4" t="s">
        <v>530</v>
      </c>
    </row>
    <row r="1540" spans="2:15">
      <c r="B1540" s="20">
        <v>45335</v>
      </c>
      <c r="C1540" s="20">
        <v>45335</v>
      </c>
      <c r="D1540" s="54">
        <v>40010080</v>
      </c>
      <c r="E1540" s="55" t="s">
        <v>784</v>
      </c>
      <c r="G1540" s="68">
        <v>1408</v>
      </c>
      <c r="H1540" s="56" t="s">
        <v>80</v>
      </c>
      <c r="J1540" s="56">
        <v>935456</v>
      </c>
      <c r="K1540" s="4" t="s">
        <v>1200</v>
      </c>
      <c r="L1540" s="56" t="s">
        <v>175</v>
      </c>
      <c r="M1540" s="4" t="s">
        <v>520</v>
      </c>
      <c r="N1540" s="4" t="s">
        <v>1201</v>
      </c>
      <c r="O1540" s="4" t="s">
        <v>530</v>
      </c>
    </row>
    <row r="1541" spans="2:15">
      <c r="B1541" s="20">
        <v>45335</v>
      </c>
      <c r="C1541" s="20">
        <v>45335</v>
      </c>
      <c r="D1541" s="54">
        <v>50522176</v>
      </c>
      <c r="E1541" s="55" t="s">
        <v>455</v>
      </c>
      <c r="G1541" s="68">
        <v>720.75</v>
      </c>
      <c r="H1541" s="56" t="s">
        <v>82</v>
      </c>
      <c r="J1541" s="56" t="s">
        <v>1202</v>
      </c>
      <c r="L1541" s="56" t="s">
        <v>243</v>
      </c>
      <c r="M1541" s="4" t="s">
        <v>660</v>
      </c>
      <c r="N1541" s="4" t="s">
        <v>1203</v>
      </c>
      <c r="O1541" s="4" t="s">
        <v>530</v>
      </c>
    </row>
    <row r="1542" spans="2:15">
      <c r="B1542" s="20">
        <v>45335</v>
      </c>
      <c r="C1542" s="20">
        <v>45335</v>
      </c>
      <c r="D1542" s="54">
        <v>50821968</v>
      </c>
      <c r="E1542" s="55" t="s">
        <v>1204</v>
      </c>
      <c r="G1542" s="68">
        <v>3762.35</v>
      </c>
      <c r="H1542" s="56" t="s">
        <v>82</v>
      </c>
      <c r="J1542" s="56" t="s">
        <v>1202</v>
      </c>
      <c r="L1542" s="56" t="s">
        <v>243</v>
      </c>
      <c r="M1542" s="4" t="s">
        <v>660</v>
      </c>
      <c r="N1542" s="4" t="s">
        <v>1203</v>
      </c>
      <c r="O1542" s="4" t="s">
        <v>530</v>
      </c>
    </row>
    <row r="1543" spans="2:15">
      <c r="B1543" s="20">
        <v>45335</v>
      </c>
      <c r="C1543" s="20">
        <v>45335</v>
      </c>
      <c r="D1543" s="54">
        <v>50470190</v>
      </c>
      <c r="E1543" s="55" t="s">
        <v>12</v>
      </c>
      <c r="G1543" s="68">
        <v>9273600</v>
      </c>
      <c r="H1543" s="56" t="s">
        <v>92</v>
      </c>
      <c r="J1543" s="56">
        <v>233</v>
      </c>
      <c r="L1543" s="56" t="s">
        <v>958</v>
      </c>
      <c r="M1543" s="4" t="s">
        <v>392</v>
      </c>
      <c r="N1543" s="4" t="s">
        <v>1205</v>
      </c>
      <c r="O1543" s="4" t="s">
        <v>530</v>
      </c>
    </row>
    <row r="1544" spans="2:15">
      <c r="B1544" s="20">
        <v>45335</v>
      </c>
      <c r="C1544" s="20">
        <v>45335</v>
      </c>
      <c r="D1544" s="54">
        <v>40010086</v>
      </c>
      <c r="E1544" s="55" t="s">
        <v>79</v>
      </c>
      <c r="G1544" s="68">
        <v>12752</v>
      </c>
      <c r="H1544" s="56" t="s">
        <v>80</v>
      </c>
      <c r="J1544" s="56">
        <v>931686</v>
      </c>
      <c r="K1544" s="4" t="s">
        <v>1206</v>
      </c>
      <c r="L1544" s="56" t="s">
        <v>175</v>
      </c>
      <c r="M1544" s="4" t="s">
        <v>520</v>
      </c>
      <c r="N1544" s="4" t="s">
        <v>1207</v>
      </c>
      <c r="O1544" s="4" t="s">
        <v>530</v>
      </c>
    </row>
    <row r="1545" spans="2:15">
      <c r="B1545" s="20">
        <v>45335</v>
      </c>
      <c r="C1545" s="20">
        <v>45335</v>
      </c>
      <c r="D1545" s="54">
        <v>40010087</v>
      </c>
      <c r="E1545" s="55" t="s">
        <v>387</v>
      </c>
      <c r="G1545" s="68">
        <v>10204</v>
      </c>
      <c r="H1545" s="56" t="s">
        <v>80</v>
      </c>
      <c r="J1545" s="56">
        <v>931686</v>
      </c>
      <c r="K1545" s="4" t="s">
        <v>1206</v>
      </c>
      <c r="L1545" s="56" t="s">
        <v>175</v>
      </c>
      <c r="M1545" s="4" t="s">
        <v>520</v>
      </c>
      <c r="N1545" s="4" t="s">
        <v>1207</v>
      </c>
      <c r="O1545" s="4" t="s">
        <v>530</v>
      </c>
    </row>
    <row r="1546" spans="2:15">
      <c r="B1546" s="20">
        <v>45335</v>
      </c>
      <c r="C1546" s="20">
        <v>45335</v>
      </c>
      <c r="D1546" s="54">
        <v>40009543</v>
      </c>
      <c r="E1546" s="55" t="s">
        <v>473</v>
      </c>
      <c r="G1546" s="68">
        <v>5572</v>
      </c>
      <c r="H1546" s="56" t="s">
        <v>80</v>
      </c>
      <c r="J1546" s="56">
        <v>931686</v>
      </c>
      <c r="K1546" s="4" t="s">
        <v>1206</v>
      </c>
      <c r="L1546" s="56" t="s">
        <v>175</v>
      </c>
      <c r="M1546" s="4" t="s">
        <v>520</v>
      </c>
      <c r="N1546" s="4" t="s">
        <v>1207</v>
      </c>
      <c r="O1546" s="4" t="s">
        <v>530</v>
      </c>
    </row>
    <row r="1547" spans="2:15">
      <c r="B1547" s="20">
        <v>45335</v>
      </c>
      <c r="C1547" s="20">
        <v>45335</v>
      </c>
      <c r="D1547" s="54">
        <v>40009541</v>
      </c>
      <c r="E1547" s="55" t="s">
        <v>685</v>
      </c>
      <c r="G1547" s="68">
        <v>4801</v>
      </c>
      <c r="H1547" s="56" t="s">
        <v>80</v>
      </c>
      <c r="J1547" s="56">
        <v>931686</v>
      </c>
      <c r="K1547" s="4" t="s">
        <v>1206</v>
      </c>
      <c r="L1547" s="56" t="s">
        <v>175</v>
      </c>
      <c r="M1547" s="4" t="s">
        <v>520</v>
      </c>
      <c r="N1547" s="4" t="s">
        <v>1207</v>
      </c>
      <c r="O1547" s="4" t="s">
        <v>530</v>
      </c>
    </row>
    <row r="1548" spans="2:15">
      <c r="B1548" s="20">
        <v>45335</v>
      </c>
      <c r="C1548" s="20">
        <v>45335</v>
      </c>
      <c r="D1548" s="54">
        <v>40010083</v>
      </c>
      <c r="E1548" s="55" t="s">
        <v>85</v>
      </c>
      <c r="G1548" s="68">
        <v>3391</v>
      </c>
      <c r="H1548" s="56" t="s">
        <v>80</v>
      </c>
      <c r="J1548" s="56">
        <v>931686</v>
      </c>
      <c r="K1548" s="4" t="s">
        <v>1206</v>
      </c>
      <c r="L1548" s="56" t="s">
        <v>175</v>
      </c>
      <c r="M1548" s="4" t="s">
        <v>520</v>
      </c>
      <c r="N1548" s="4" t="s">
        <v>1207</v>
      </c>
      <c r="O1548" s="4" t="s">
        <v>530</v>
      </c>
    </row>
    <row r="1549" spans="2:15">
      <c r="B1549" s="20">
        <v>45335</v>
      </c>
      <c r="C1549" s="20">
        <v>45335</v>
      </c>
      <c r="D1549" s="54">
        <v>40007942</v>
      </c>
      <c r="E1549" s="55" t="s">
        <v>219</v>
      </c>
      <c r="G1549" s="68">
        <v>6132</v>
      </c>
      <c r="H1549" s="56" t="s">
        <v>80</v>
      </c>
      <c r="J1549" s="56">
        <v>931686</v>
      </c>
      <c r="K1549" s="4" t="s">
        <v>1206</v>
      </c>
      <c r="L1549" s="56" t="s">
        <v>175</v>
      </c>
      <c r="M1549" s="4" t="s">
        <v>520</v>
      </c>
      <c r="N1549" s="4" t="s">
        <v>1207</v>
      </c>
      <c r="O1549" s="4" t="s">
        <v>530</v>
      </c>
    </row>
    <row r="1550" spans="2:15">
      <c r="B1550" s="20">
        <v>45335</v>
      </c>
      <c r="C1550" s="20">
        <v>45335</v>
      </c>
      <c r="D1550" s="54">
        <v>40010084</v>
      </c>
      <c r="E1550" s="55" t="s">
        <v>81</v>
      </c>
      <c r="G1550" s="68">
        <v>3679</v>
      </c>
      <c r="H1550" s="56" t="s">
        <v>80</v>
      </c>
      <c r="J1550" s="56">
        <v>931686</v>
      </c>
      <c r="K1550" s="4" t="s">
        <v>1206</v>
      </c>
      <c r="L1550" s="56" t="s">
        <v>175</v>
      </c>
      <c r="M1550" s="4" t="s">
        <v>520</v>
      </c>
      <c r="N1550" s="4" t="s">
        <v>1207</v>
      </c>
      <c r="O1550" s="4" t="s">
        <v>530</v>
      </c>
    </row>
    <row r="1551" spans="2:15">
      <c r="B1551" s="20">
        <v>45336</v>
      </c>
      <c r="C1551" s="20">
        <v>45336</v>
      </c>
      <c r="D1551" s="54">
        <v>50142055</v>
      </c>
      <c r="E1551" s="55" t="s">
        <v>206</v>
      </c>
      <c r="G1551" s="68">
        <v>12000</v>
      </c>
      <c r="H1551" s="56" t="s">
        <v>82</v>
      </c>
      <c r="J1551" s="56">
        <v>901014191</v>
      </c>
      <c r="L1551" s="56" t="s">
        <v>1070</v>
      </c>
      <c r="M1551" s="4" t="s">
        <v>1071</v>
      </c>
      <c r="N1551" s="4" t="s">
        <v>1123</v>
      </c>
      <c r="O1551" s="4" t="s">
        <v>530</v>
      </c>
    </row>
    <row r="1552" spans="2:15">
      <c r="B1552" s="20">
        <v>45336</v>
      </c>
      <c r="C1552" s="20">
        <v>45336</v>
      </c>
      <c r="D1552" s="54">
        <v>50272278</v>
      </c>
      <c r="E1552" s="55" t="s">
        <v>21</v>
      </c>
      <c r="G1552" s="68">
        <v>13000</v>
      </c>
      <c r="H1552" s="56" t="s">
        <v>92</v>
      </c>
      <c r="J1552" s="56" t="s">
        <v>1208</v>
      </c>
      <c r="L1552" s="56" t="s">
        <v>262</v>
      </c>
      <c r="M1552" s="4" t="s">
        <v>262</v>
      </c>
      <c r="N1552" s="4" t="s">
        <v>1140</v>
      </c>
      <c r="O1552" s="4" t="s">
        <v>530</v>
      </c>
    </row>
    <row r="1553" spans="2:15">
      <c r="B1553" s="20">
        <v>45336</v>
      </c>
      <c r="C1553" s="20">
        <v>45336</v>
      </c>
      <c r="D1553" s="54">
        <v>50145028</v>
      </c>
      <c r="E1553" s="55" t="s">
        <v>23</v>
      </c>
      <c r="G1553" s="68">
        <v>1152</v>
      </c>
      <c r="H1553" s="56" t="s">
        <v>92</v>
      </c>
      <c r="J1553" s="56">
        <v>33265</v>
      </c>
      <c r="L1553" s="56" t="s">
        <v>838</v>
      </c>
      <c r="M1553" s="4" t="s">
        <v>176</v>
      </c>
      <c r="N1553" s="4" t="s">
        <v>177</v>
      </c>
      <c r="O1553" s="4" t="s">
        <v>530</v>
      </c>
    </row>
    <row r="1554" spans="2:15">
      <c r="B1554" s="20">
        <v>45336</v>
      </c>
      <c r="C1554" s="20">
        <v>45336</v>
      </c>
      <c r="D1554" s="54">
        <v>50143893</v>
      </c>
      <c r="E1554" s="55" t="s">
        <v>24</v>
      </c>
      <c r="G1554" s="68">
        <v>6930</v>
      </c>
      <c r="H1554" s="56" t="s">
        <v>82</v>
      </c>
      <c r="J1554" s="56">
        <v>33265</v>
      </c>
      <c r="L1554" s="56" t="s">
        <v>838</v>
      </c>
      <c r="M1554" s="4" t="s">
        <v>176</v>
      </c>
      <c r="N1554" s="4" t="s">
        <v>177</v>
      </c>
      <c r="O1554" s="4" t="s">
        <v>530</v>
      </c>
    </row>
    <row r="1555" spans="2:15">
      <c r="B1555" s="20">
        <v>45336</v>
      </c>
      <c r="C1555" s="20">
        <v>45336</v>
      </c>
      <c r="D1555" s="54">
        <v>50144376</v>
      </c>
      <c r="E1555" s="55" t="s">
        <v>19</v>
      </c>
      <c r="G1555" s="68">
        <v>500</v>
      </c>
      <c r="H1555" s="56" t="s">
        <v>92</v>
      </c>
      <c r="J1555" s="56">
        <v>33265</v>
      </c>
      <c r="L1555" s="56" t="s">
        <v>838</v>
      </c>
      <c r="M1555" s="4" t="s">
        <v>176</v>
      </c>
      <c r="N1555" s="4" t="s">
        <v>177</v>
      </c>
      <c r="O1555" s="4" t="s">
        <v>530</v>
      </c>
    </row>
    <row r="1556" spans="2:15">
      <c r="B1556" s="20">
        <v>45336</v>
      </c>
      <c r="C1556" s="20">
        <v>45336</v>
      </c>
      <c r="D1556" s="54">
        <v>50272278</v>
      </c>
      <c r="E1556" s="55" t="s">
        <v>21</v>
      </c>
      <c r="G1556" s="68">
        <v>600</v>
      </c>
      <c r="H1556" s="56" t="s">
        <v>92</v>
      </c>
      <c r="J1556" s="56">
        <v>33265</v>
      </c>
      <c r="L1556" s="56" t="s">
        <v>838</v>
      </c>
      <c r="M1556" s="4" t="s">
        <v>176</v>
      </c>
      <c r="N1556" s="4" t="s">
        <v>177</v>
      </c>
      <c r="O1556" s="4" t="s">
        <v>530</v>
      </c>
    </row>
    <row r="1557" spans="2:15">
      <c r="B1557" s="20">
        <v>45337</v>
      </c>
      <c r="C1557" s="20">
        <v>45337</v>
      </c>
      <c r="D1557" s="54">
        <v>50272278</v>
      </c>
      <c r="E1557" s="55" t="s">
        <v>21</v>
      </c>
      <c r="G1557" s="68">
        <v>13000</v>
      </c>
      <c r="H1557" s="56" t="s">
        <v>92</v>
      </c>
      <c r="J1557" s="56">
        <v>1371</v>
      </c>
      <c r="L1557" s="56" t="s">
        <v>262</v>
      </c>
      <c r="M1557" s="4" t="s">
        <v>262</v>
      </c>
      <c r="N1557" s="4" t="s">
        <v>1140</v>
      </c>
      <c r="O1557" s="4" t="s">
        <v>530</v>
      </c>
    </row>
    <row r="1558" spans="2:15">
      <c r="B1558" s="20">
        <v>45338</v>
      </c>
      <c r="C1558" s="20">
        <v>45338</v>
      </c>
      <c r="D1558" s="54">
        <v>50272278</v>
      </c>
      <c r="E1558" s="55" t="s">
        <v>21</v>
      </c>
      <c r="G1558" s="68">
        <v>13000</v>
      </c>
      <c r="H1558" s="56" t="s">
        <v>92</v>
      </c>
      <c r="J1558" s="56">
        <v>1373</v>
      </c>
      <c r="L1558" s="56" t="s">
        <v>262</v>
      </c>
      <c r="M1558" s="4" t="s">
        <v>262</v>
      </c>
      <c r="N1558" s="4" t="s">
        <v>1140</v>
      </c>
      <c r="O1558" s="4" t="s">
        <v>530</v>
      </c>
    </row>
    <row r="1559" spans="2:15">
      <c r="B1559" s="20">
        <v>45341</v>
      </c>
      <c r="C1559" s="20">
        <v>45341</v>
      </c>
      <c r="D1559" s="54">
        <v>50522176</v>
      </c>
      <c r="E1559" s="55" t="s">
        <v>455</v>
      </c>
      <c r="G1559" s="68">
        <v>2747.35</v>
      </c>
      <c r="H1559" s="56" t="s">
        <v>82</v>
      </c>
      <c r="J1559" s="56">
        <v>373</v>
      </c>
      <c r="L1559" s="56" t="s">
        <v>243</v>
      </c>
      <c r="M1559" s="4" t="s">
        <v>660</v>
      </c>
      <c r="N1559" s="4" t="s">
        <v>1203</v>
      </c>
      <c r="O1559" s="4" t="s">
        <v>530</v>
      </c>
    </row>
    <row r="1560" spans="2:15">
      <c r="B1560" s="20">
        <v>45341</v>
      </c>
      <c r="C1560" s="20">
        <v>45341</v>
      </c>
      <c r="D1560" s="54">
        <v>50470190</v>
      </c>
      <c r="E1560" s="55" t="s">
        <v>12</v>
      </c>
      <c r="G1560" s="68">
        <v>9273600</v>
      </c>
      <c r="H1560" s="56" t="s">
        <v>92</v>
      </c>
      <c r="J1560" s="56">
        <v>353</v>
      </c>
      <c r="L1560" s="56" t="s">
        <v>1209</v>
      </c>
      <c r="M1560" s="4" t="s">
        <v>392</v>
      </c>
      <c r="N1560" s="4" t="s">
        <v>1210</v>
      </c>
      <c r="O1560" s="4" t="s">
        <v>530</v>
      </c>
    </row>
    <row r="1561" spans="2:15">
      <c r="B1561" s="20">
        <v>45342</v>
      </c>
      <c r="C1561" s="20">
        <v>45342</v>
      </c>
      <c r="D1561" s="54">
        <v>40014087</v>
      </c>
      <c r="E1561" s="55" t="s">
        <v>1211</v>
      </c>
      <c r="G1561" s="68">
        <v>8680</v>
      </c>
      <c r="H1561" s="56" t="s">
        <v>80</v>
      </c>
      <c r="J1561" s="56">
        <v>948238</v>
      </c>
      <c r="K1561" s="4" t="s">
        <v>1212</v>
      </c>
      <c r="L1561" s="56" t="s">
        <v>175</v>
      </c>
      <c r="M1561" s="4" t="s">
        <v>520</v>
      </c>
      <c r="N1561" s="4" t="s">
        <v>1074</v>
      </c>
      <c r="O1561" s="4" t="s">
        <v>530</v>
      </c>
    </row>
    <row r="1562" spans="2:15">
      <c r="B1562" s="20">
        <v>45342</v>
      </c>
      <c r="C1562" s="20">
        <v>45342</v>
      </c>
      <c r="D1562" s="54">
        <v>40014089</v>
      </c>
      <c r="E1562" s="55" t="s">
        <v>1213</v>
      </c>
      <c r="G1562" s="68">
        <v>9306</v>
      </c>
      <c r="H1562" s="56" t="s">
        <v>80</v>
      </c>
      <c r="J1562" s="56">
        <v>948238</v>
      </c>
      <c r="K1562" s="4" t="s">
        <v>1212</v>
      </c>
      <c r="L1562" s="56" t="s">
        <v>175</v>
      </c>
      <c r="M1562" s="4" t="s">
        <v>520</v>
      </c>
      <c r="N1562" s="4" t="s">
        <v>1074</v>
      </c>
      <c r="O1562" s="4" t="s">
        <v>530</v>
      </c>
    </row>
    <row r="1563" spans="2:15">
      <c r="B1563" s="20">
        <v>45342</v>
      </c>
      <c r="C1563" s="20">
        <v>45342</v>
      </c>
      <c r="D1563" s="54">
        <v>40013999</v>
      </c>
      <c r="E1563" s="55" t="s">
        <v>1214</v>
      </c>
      <c r="G1563" s="68">
        <v>9215</v>
      </c>
      <c r="H1563" s="56" t="s">
        <v>80</v>
      </c>
      <c r="J1563" s="56">
        <v>948238</v>
      </c>
      <c r="K1563" s="4" t="s">
        <v>1212</v>
      </c>
      <c r="L1563" s="56" t="s">
        <v>175</v>
      </c>
      <c r="M1563" s="4" t="s">
        <v>520</v>
      </c>
      <c r="N1563" s="4" t="s">
        <v>1074</v>
      </c>
      <c r="O1563" s="4" t="s">
        <v>530</v>
      </c>
    </row>
    <row r="1564" spans="2:15">
      <c r="B1564" s="20">
        <v>45342</v>
      </c>
      <c r="C1564" s="20">
        <v>45342</v>
      </c>
      <c r="D1564" s="54">
        <v>40014002</v>
      </c>
      <c r="E1564" s="55" t="s">
        <v>1215</v>
      </c>
      <c r="G1564" s="68">
        <v>8631</v>
      </c>
      <c r="H1564" s="56" t="s">
        <v>80</v>
      </c>
      <c r="J1564" s="56">
        <v>948238</v>
      </c>
      <c r="K1564" s="4" t="s">
        <v>1212</v>
      </c>
      <c r="L1564" s="56" t="s">
        <v>175</v>
      </c>
      <c r="M1564" s="4" t="s">
        <v>520</v>
      </c>
      <c r="N1564" s="4" t="s">
        <v>1074</v>
      </c>
      <c r="O1564" s="4" t="s">
        <v>530</v>
      </c>
    </row>
    <row r="1565" spans="2:15">
      <c r="B1565" s="20">
        <v>45342</v>
      </c>
      <c r="C1565" s="20">
        <v>45342</v>
      </c>
      <c r="D1565" s="54">
        <v>50272278</v>
      </c>
      <c r="E1565" s="55" t="s">
        <v>21</v>
      </c>
      <c r="G1565" s="68">
        <v>13000</v>
      </c>
      <c r="H1565" s="56" t="s">
        <v>92</v>
      </c>
      <c r="J1565" s="56">
        <v>1387</v>
      </c>
      <c r="L1565" s="56" t="s">
        <v>262</v>
      </c>
      <c r="M1565" s="4" t="s">
        <v>262</v>
      </c>
      <c r="N1565" s="4" t="s">
        <v>1140</v>
      </c>
      <c r="O1565" s="4" t="s">
        <v>530</v>
      </c>
    </row>
    <row r="1566" spans="2:15">
      <c r="B1566" s="20">
        <v>45343</v>
      </c>
      <c r="C1566" s="20">
        <v>45343</v>
      </c>
      <c r="D1566" s="54">
        <v>50809353</v>
      </c>
      <c r="E1566" s="55" t="s">
        <v>905</v>
      </c>
      <c r="G1566" s="68">
        <v>1000</v>
      </c>
      <c r="H1566" s="56" t="s">
        <v>82</v>
      </c>
      <c r="J1566" s="56">
        <v>153419</v>
      </c>
      <c r="K1566" s="4" t="s">
        <v>1216</v>
      </c>
      <c r="L1566" s="56" t="s">
        <v>906</v>
      </c>
      <c r="M1566" s="4" t="s">
        <v>1217</v>
      </c>
      <c r="N1566" s="4" t="s">
        <v>1218</v>
      </c>
      <c r="O1566" s="4" t="s">
        <v>530</v>
      </c>
    </row>
    <row r="1567" spans="2:15">
      <c r="B1567" s="20">
        <v>45343</v>
      </c>
      <c r="C1567" s="20">
        <v>45343</v>
      </c>
      <c r="D1567" s="54">
        <v>50142137</v>
      </c>
      <c r="E1567" s="55" t="s">
        <v>840</v>
      </c>
      <c r="G1567" s="68">
        <v>6000</v>
      </c>
      <c r="H1567" s="56" t="s">
        <v>82</v>
      </c>
      <c r="J1567" s="56">
        <v>32439</v>
      </c>
      <c r="L1567" s="56" t="s">
        <v>838</v>
      </c>
      <c r="M1567" s="4" t="s">
        <v>176</v>
      </c>
      <c r="N1567" s="4" t="s">
        <v>177</v>
      </c>
      <c r="O1567" s="4" t="s">
        <v>530</v>
      </c>
    </row>
    <row r="1568" spans="2:15">
      <c r="B1568" s="20">
        <v>45343</v>
      </c>
      <c r="C1568" s="20">
        <v>45343</v>
      </c>
      <c r="D1568" s="54">
        <v>50272278</v>
      </c>
      <c r="E1568" s="55" t="s">
        <v>21</v>
      </c>
      <c r="G1568" s="68">
        <v>2940</v>
      </c>
      <c r="H1568" s="56" t="s">
        <v>92</v>
      </c>
      <c r="J1568" s="56">
        <v>32439</v>
      </c>
      <c r="L1568" s="56" t="s">
        <v>838</v>
      </c>
      <c r="M1568" s="4" t="s">
        <v>176</v>
      </c>
      <c r="N1568" s="4" t="s">
        <v>177</v>
      </c>
      <c r="O1568" s="4" t="s">
        <v>530</v>
      </c>
    </row>
    <row r="1569" spans="2:15">
      <c r="B1569" s="20">
        <v>45344</v>
      </c>
      <c r="C1569" s="20">
        <v>45344</v>
      </c>
      <c r="D1569" s="54">
        <v>50272278</v>
      </c>
      <c r="E1569" s="55" t="s">
        <v>21</v>
      </c>
      <c r="G1569" s="68">
        <v>13000</v>
      </c>
      <c r="H1569" s="56" t="s">
        <v>92</v>
      </c>
      <c r="J1569" s="56">
        <v>1400</v>
      </c>
      <c r="L1569" s="56" t="s">
        <v>262</v>
      </c>
      <c r="M1569" s="4" t="s">
        <v>262</v>
      </c>
      <c r="N1569" s="4" t="s">
        <v>1140</v>
      </c>
      <c r="O1569" s="4" t="s">
        <v>530</v>
      </c>
    </row>
    <row r="1570" spans="2:15">
      <c r="B1570" s="20">
        <v>45344</v>
      </c>
      <c r="C1570" s="20">
        <v>45344</v>
      </c>
      <c r="D1570" s="54">
        <v>50142373</v>
      </c>
      <c r="E1570" s="55" t="s">
        <v>1130</v>
      </c>
      <c r="G1570" s="68">
        <v>300</v>
      </c>
      <c r="H1570" s="56" t="s">
        <v>82</v>
      </c>
      <c r="J1570" s="56">
        <v>1206</v>
      </c>
      <c r="L1570" s="56" t="s">
        <v>567</v>
      </c>
      <c r="M1570" s="4" t="s">
        <v>568</v>
      </c>
      <c r="N1570" s="4" t="s">
        <v>569</v>
      </c>
      <c r="O1570" s="4" t="s">
        <v>530</v>
      </c>
    </row>
    <row r="1571" spans="2:15">
      <c r="B1571" s="20">
        <v>45345</v>
      </c>
      <c r="C1571" s="20">
        <v>45345</v>
      </c>
      <c r="D1571" s="54">
        <v>50272278</v>
      </c>
      <c r="E1571" s="55" t="s">
        <v>21</v>
      </c>
      <c r="G1571" s="68">
        <v>13000</v>
      </c>
      <c r="H1571" s="56" t="s">
        <v>92</v>
      </c>
      <c r="J1571" s="56">
        <v>1404</v>
      </c>
      <c r="L1571" s="56" t="s">
        <v>262</v>
      </c>
      <c r="M1571" s="4" t="s">
        <v>262</v>
      </c>
      <c r="N1571" s="4" t="s">
        <v>1140</v>
      </c>
      <c r="O1571" s="4" t="s">
        <v>530</v>
      </c>
    </row>
    <row r="1572" spans="2:15">
      <c r="B1572" s="20">
        <v>45345</v>
      </c>
      <c r="C1572" s="20">
        <v>45345</v>
      </c>
      <c r="D1572" s="54">
        <v>40014086</v>
      </c>
      <c r="E1572" s="55" t="s">
        <v>1219</v>
      </c>
      <c r="G1572" s="68">
        <v>2100</v>
      </c>
      <c r="H1572" s="56" t="s">
        <v>80</v>
      </c>
      <c r="J1572" s="56" t="s">
        <v>1220</v>
      </c>
      <c r="L1572" s="56" t="s">
        <v>175</v>
      </c>
      <c r="M1572" s="4" t="s">
        <v>176</v>
      </c>
      <c r="N1572" s="4" t="s">
        <v>177</v>
      </c>
      <c r="O1572" s="4" t="s">
        <v>530</v>
      </c>
    </row>
    <row r="1573" spans="2:15">
      <c r="B1573" s="20">
        <v>45345</v>
      </c>
      <c r="C1573" s="20">
        <v>45345</v>
      </c>
      <c r="D1573" s="54">
        <v>40014088</v>
      </c>
      <c r="E1573" s="55" t="s">
        <v>1221</v>
      </c>
      <c r="G1573" s="68">
        <v>2040</v>
      </c>
      <c r="H1573" s="56" t="s">
        <v>80</v>
      </c>
      <c r="J1573" s="56" t="s">
        <v>1220</v>
      </c>
      <c r="L1573" s="56" t="s">
        <v>175</v>
      </c>
      <c r="M1573" s="4" t="s">
        <v>176</v>
      </c>
      <c r="N1573" s="4" t="s">
        <v>177</v>
      </c>
      <c r="O1573" s="4" t="s">
        <v>530</v>
      </c>
    </row>
    <row r="1574" spans="2:15">
      <c r="B1574" s="20">
        <v>45345</v>
      </c>
      <c r="C1574" s="20">
        <v>45345</v>
      </c>
      <c r="D1574" s="54">
        <v>40014000</v>
      </c>
      <c r="E1574" s="55" t="s">
        <v>1222</v>
      </c>
      <c r="G1574" s="68">
        <v>2109</v>
      </c>
      <c r="H1574" s="56" t="s">
        <v>80</v>
      </c>
      <c r="J1574" s="56" t="s">
        <v>1220</v>
      </c>
      <c r="L1574" s="56" t="s">
        <v>175</v>
      </c>
      <c r="M1574" s="4" t="s">
        <v>176</v>
      </c>
      <c r="N1574" s="4" t="s">
        <v>177</v>
      </c>
      <c r="O1574" s="4" t="s">
        <v>530</v>
      </c>
    </row>
    <row r="1575" spans="2:15">
      <c r="B1575" s="20">
        <v>45345</v>
      </c>
      <c r="C1575" s="20">
        <v>45345</v>
      </c>
      <c r="D1575" s="54">
        <v>40014003</v>
      </c>
      <c r="E1575" s="55" t="s">
        <v>1223</v>
      </c>
      <c r="G1575" s="68">
        <v>2022</v>
      </c>
      <c r="H1575" s="56" t="s">
        <v>80</v>
      </c>
      <c r="J1575" s="56" t="s">
        <v>1220</v>
      </c>
      <c r="L1575" s="56" t="s">
        <v>175</v>
      </c>
      <c r="M1575" s="4" t="s">
        <v>176</v>
      </c>
      <c r="N1575" s="4" t="s">
        <v>177</v>
      </c>
      <c r="O1575" s="4" t="s">
        <v>530</v>
      </c>
    </row>
    <row r="1576" spans="2:15">
      <c r="B1576" s="20">
        <v>45345</v>
      </c>
      <c r="C1576" s="20">
        <v>45345</v>
      </c>
      <c r="D1576" s="54">
        <v>50551883</v>
      </c>
      <c r="E1576" s="55" t="s">
        <v>223</v>
      </c>
      <c r="G1576" s="68">
        <v>1500000</v>
      </c>
      <c r="H1576" s="56" t="s">
        <v>962</v>
      </c>
      <c r="J1576" s="56" t="s">
        <v>1220</v>
      </c>
      <c r="L1576" s="56" t="s">
        <v>175</v>
      </c>
      <c r="M1576" s="4" t="s">
        <v>176</v>
      </c>
      <c r="N1576" s="4" t="s">
        <v>177</v>
      </c>
      <c r="O1576" s="4" t="s">
        <v>530</v>
      </c>
    </row>
    <row r="1577" spans="2:15">
      <c r="B1577" s="20">
        <v>45348</v>
      </c>
      <c r="C1577" s="20">
        <v>45348</v>
      </c>
      <c r="D1577" s="54">
        <v>50802401</v>
      </c>
      <c r="E1577" s="55" t="s">
        <v>13</v>
      </c>
      <c r="G1577" s="68">
        <v>9273600</v>
      </c>
      <c r="H1577" s="56" t="s">
        <v>92</v>
      </c>
      <c r="J1577" s="56" t="s">
        <v>1224</v>
      </c>
      <c r="L1577" s="56" t="s">
        <v>1117</v>
      </c>
      <c r="M1577" s="4" t="s">
        <v>176</v>
      </c>
      <c r="N1577" s="4" t="s">
        <v>1225</v>
      </c>
      <c r="O1577" s="4" t="s">
        <v>530</v>
      </c>
    </row>
    <row r="1578" spans="2:15">
      <c r="B1578" s="20">
        <v>45348</v>
      </c>
      <c r="C1578" s="20">
        <v>45348</v>
      </c>
      <c r="D1578" s="54">
        <v>50799770</v>
      </c>
      <c r="E1578" s="55" t="s">
        <v>17</v>
      </c>
      <c r="G1578" s="68">
        <v>6250</v>
      </c>
      <c r="H1578" s="56" t="s">
        <v>92</v>
      </c>
      <c r="J1578" s="56">
        <v>32644</v>
      </c>
      <c r="L1578" s="56" t="s">
        <v>838</v>
      </c>
      <c r="M1578" s="4" t="s">
        <v>176</v>
      </c>
      <c r="N1578" s="4" t="s">
        <v>177</v>
      </c>
      <c r="O1578" s="4" t="s">
        <v>530</v>
      </c>
    </row>
    <row r="1579" spans="2:15">
      <c r="B1579" s="20">
        <v>45348</v>
      </c>
      <c r="C1579" s="20">
        <v>45348</v>
      </c>
      <c r="D1579" s="54">
        <v>50272278</v>
      </c>
      <c r="E1579" s="55" t="s">
        <v>21</v>
      </c>
      <c r="G1579" s="68">
        <v>2640</v>
      </c>
      <c r="H1579" s="56" t="s">
        <v>92</v>
      </c>
      <c r="J1579" s="56">
        <v>32644</v>
      </c>
      <c r="L1579" s="56" t="s">
        <v>838</v>
      </c>
      <c r="M1579" s="4" t="s">
        <v>176</v>
      </c>
      <c r="N1579" s="4" t="s">
        <v>177</v>
      </c>
      <c r="O1579" s="4" t="s">
        <v>530</v>
      </c>
    </row>
    <row r="1580" spans="2:15">
      <c r="B1580" s="20">
        <v>45349</v>
      </c>
      <c r="C1580" s="20">
        <v>45349</v>
      </c>
      <c r="D1580" s="54">
        <v>50799770</v>
      </c>
      <c r="E1580" s="55" t="s">
        <v>17</v>
      </c>
      <c r="G1580" s="68">
        <v>6000</v>
      </c>
      <c r="H1580" s="56" t="s">
        <v>92</v>
      </c>
      <c r="J1580" s="56">
        <v>1414</v>
      </c>
      <c r="L1580" s="56" t="s">
        <v>262</v>
      </c>
      <c r="M1580" s="4" t="s">
        <v>262</v>
      </c>
      <c r="N1580" s="4" t="s">
        <v>364</v>
      </c>
      <c r="O1580" s="4" t="s">
        <v>530</v>
      </c>
    </row>
    <row r="1581" spans="2:15">
      <c r="B1581" s="20">
        <v>45349</v>
      </c>
      <c r="C1581" s="20">
        <v>45349</v>
      </c>
      <c r="D1581" s="54">
        <v>50799770</v>
      </c>
      <c r="E1581" s="55" t="s">
        <v>17</v>
      </c>
      <c r="G1581" s="68">
        <v>11000</v>
      </c>
      <c r="H1581" s="56" t="s">
        <v>92</v>
      </c>
      <c r="J1581" s="56">
        <v>1415</v>
      </c>
      <c r="L1581" s="56" t="s">
        <v>262</v>
      </c>
      <c r="M1581" s="4" t="s">
        <v>262</v>
      </c>
      <c r="N1581" s="4" t="s">
        <v>1140</v>
      </c>
      <c r="O1581" s="4" t="s">
        <v>530</v>
      </c>
    </row>
    <row r="1582" spans="2:15">
      <c r="B1582" s="20">
        <v>45349</v>
      </c>
      <c r="C1582" s="20">
        <v>45349</v>
      </c>
      <c r="D1582" s="54">
        <v>50143875</v>
      </c>
      <c r="E1582" s="55" t="s">
        <v>713</v>
      </c>
      <c r="G1582" s="68">
        <v>9400</v>
      </c>
      <c r="H1582" s="56" t="s">
        <v>92</v>
      </c>
      <c r="J1582" s="56">
        <v>6827</v>
      </c>
      <c r="L1582" s="56" t="s">
        <v>615</v>
      </c>
      <c r="M1582" s="4" t="s">
        <v>615</v>
      </c>
      <c r="N1582" s="4" t="s">
        <v>1121</v>
      </c>
      <c r="O1582" s="4" t="s">
        <v>530</v>
      </c>
    </row>
    <row r="1583" spans="2:15">
      <c r="B1583" s="20">
        <v>45349</v>
      </c>
      <c r="C1583" s="20">
        <v>45349</v>
      </c>
      <c r="D1583" s="54">
        <v>50814629</v>
      </c>
      <c r="E1583" s="55" t="s">
        <v>1226</v>
      </c>
      <c r="G1583" s="68">
        <v>525.05</v>
      </c>
      <c r="H1583" s="56" t="s">
        <v>82</v>
      </c>
      <c r="J1583" s="56">
        <v>388</v>
      </c>
      <c r="L1583" s="56" t="s">
        <v>243</v>
      </c>
      <c r="M1583" s="4" t="s">
        <v>1227</v>
      </c>
      <c r="N1583" s="4" t="s">
        <v>1228</v>
      </c>
      <c r="O1583" s="4" t="s">
        <v>530</v>
      </c>
    </row>
    <row r="1584" spans="2:15">
      <c r="B1584" s="20">
        <v>45349</v>
      </c>
      <c r="C1584" s="20">
        <v>45349</v>
      </c>
      <c r="D1584" s="54">
        <v>50809145</v>
      </c>
      <c r="E1584" s="55" t="s">
        <v>946</v>
      </c>
      <c r="G1584" s="68">
        <v>3046.95</v>
      </c>
      <c r="H1584" s="56" t="s">
        <v>82</v>
      </c>
      <c r="J1584" s="56">
        <v>387</v>
      </c>
      <c r="L1584" s="56" t="s">
        <v>1227</v>
      </c>
      <c r="M1584" s="4" t="s">
        <v>1227</v>
      </c>
      <c r="N1584" s="4" t="s">
        <v>428</v>
      </c>
      <c r="O1584" s="4" t="s">
        <v>530</v>
      </c>
    </row>
    <row r="1585" spans="2:15">
      <c r="B1585" s="20">
        <v>45350</v>
      </c>
      <c r="C1585" s="20">
        <v>45350</v>
      </c>
      <c r="D1585" s="54">
        <v>50272278</v>
      </c>
      <c r="E1585" s="55" t="s">
        <v>21</v>
      </c>
      <c r="G1585" s="68">
        <v>9500</v>
      </c>
      <c r="H1585" s="56" t="s">
        <v>92</v>
      </c>
      <c r="J1585" s="56">
        <v>1418</v>
      </c>
      <c r="L1585" s="56" t="s">
        <v>262</v>
      </c>
      <c r="M1585" s="4" t="s">
        <v>176</v>
      </c>
      <c r="N1585" s="4" t="s">
        <v>177</v>
      </c>
      <c r="O1585" s="4" t="s">
        <v>530</v>
      </c>
    </row>
    <row r="1586" spans="2:15">
      <c r="B1586" s="20">
        <v>45351</v>
      </c>
      <c r="C1586" s="20">
        <v>45351</v>
      </c>
      <c r="D1586" s="54">
        <v>50141786</v>
      </c>
      <c r="E1586" s="55" t="s">
        <v>188</v>
      </c>
      <c r="G1586" s="68">
        <v>11200</v>
      </c>
      <c r="H1586" s="56" t="s">
        <v>82</v>
      </c>
      <c r="J1586" s="56">
        <v>112959</v>
      </c>
      <c r="K1586" s="4" t="s">
        <v>1229</v>
      </c>
      <c r="L1586" s="56" t="s">
        <v>1060</v>
      </c>
      <c r="M1586" s="4" t="s">
        <v>209</v>
      </c>
      <c r="N1586" s="4" t="s">
        <v>1230</v>
      </c>
      <c r="O1586" s="4" t="s">
        <v>530</v>
      </c>
    </row>
    <row r="1587" spans="2:15">
      <c r="B1587" s="20">
        <v>45351</v>
      </c>
      <c r="C1587" s="20">
        <v>45351</v>
      </c>
      <c r="D1587" s="54">
        <v>50141786</v>
      </c>
      <c r="E1587" s="55" t="s">
        <v>188</v>
      </c>
      <c r="G1587" s="68">
        <v>11200</v>
      </c>
      <c r="H1587" s="56" t="s">
        <v>82</v>
      </c>
      <c r="J1587" s="56">
        <v>112960</v>
      </c>
      <c r="K1587" s="4" t="s">
        <v>1231</v>
      </c>
      <c r="L1587" s="56" t="s">
        <v>189</v>
      </c>
      <c r="M1587" s="4" t="s">
        <v>209</v>
      </c>
      <c r="N1587" s="4" t="s">
        <v>1232</v>
      </c>
      <c r="O1587" s="4" t="s">
        <v>530</v>
      </c>
    </row>
    <row r="1588" spans="2:15">
      <c r="B1588" s="20">
        <v>45351</v>
      </c>
      <c r="C1588" s="20">
        <v>45351</v>
      </c>
      <c r="D1588" s="54">
        <v>50809145</v>
      </c>
      <c r="E1588" s="55" t="s">
        <v>946</v>
      </c>
      <c r="G1588" s="68">
        <v>1667.55</v>
      </c>
      <c r="H1588" s="56" t="s">
        <v>82</v>
      </c>
      <c r="J1588" s="56">
        <v>397</v>
      </c>
      <c r="L1588" s="56" t="s">
        <v>1227</v>
      </c>
      <c r="M1588" s="4" t="s">
        <v>660</v>
      </c>
      <c r="N1588" s="4" t="s">
        <v>1203</v>
      </c>
      <c r="O1588" s="4" t="s">
        <v>530</v>
      </c>
    </row>
    <row r="1589" spans="2:15">
      <c r="B1589" s="20">
        <v>45351</v>
      </c>
      <c r="C1589" s="20">
        <v>45351</v>
      </c>
      <c r="D1589" s="54">
        <v>50144376</v>
      </c>
      <c r="E1589" s="55" t="s">
        <v>19</v>
      </c>
      <c r="G1589" s="68">
        <v>6000</v>
      </c>
      <c r="H1589" s="56" t="s">
        <v>92</v>
      </c>
      <c r="L1589" s="56" t="s">
        <v>262</v>
      </c>
      <c r="M1589" s="4" t="s">
        <v>262</v>
      </c>
      <c r="N1589" s="4" t="s">
        <v>364</v>
      </c>
      <c r="O1589" s="4" t="s">
        <v>530</v>
      </c>
    </row>
    <row r="1590" spans="2:15">
      <c r="B1590" s="20">
        <v>45351</v>
      </c>
      <c r="C1590" s="20">
        <v>45351</v>
      </c>
      <c r="D1590" s="54">
        <v>50522176</v>
      </c>
      <c r="E1590" s="55" t="s">
        <v>455</v>
      </c>
      <c r="G1590" s="68">
        <v>3005.23</v>
      </c>
      <c r="H1590" s="56" t="s">
        <v>82</v>
      </c>
      <c r="J1590" s="56">
        <v>32788</v>
      </c>
      <c r="L1590" s="56" t="s">
        <v>838</v>
      </c>
      <c r="M1590" s="4" t="s">
        <v>176</v>
      </c>
      <c r="N1590" s="4" t="s">
        <v>177</v>
      </c>
      <c r="O1590" s="4" t="s">
        <v>530</v>
      </c>
    </row>
    <row r="1591" spans="2:15">
      <c r="B1591" s="20">
        <v>45351</v>
      </c>
      <c r="C1591" s="20">
        <v>45351</v>
      </c>
      <c r="D1591" s="54">
        <v>50551883</v>
      </c>
      <c r="E1591" s="55" t="s">
        <v>223</v>
      </c>
      <c r="G1591" s="68">
        <v>156000</v>
      </c>
      <c r="H1591" s="56" t="s">
        <v>92</v>
      </c>
      <c r="J1591" s="56">
        <v>32788</v>
      </c>
      <c r="L1591" s="56" t="s">
        <v>838</v>
      </c>
      <c r="M1591" s="4" t="s">
        <v>176</v>
      </c>
      <c r="N1591" s="4" t="s">
        <v>177</v>
      </c>
      <c r="O1591" s="4" t="s">
        <v>530</v>
      </c>
    </row>
    <row r="1592" spans="2:15">
      <c r="B1592" s="20">
        <v>45351</v>
      </c>
      <c r="C1592" s="20">
        <v>45351</v>
      </c>
      <c r="D1592" s="54">
        <v>40011588</v>
      </c>
      <c r="E1592" s="55" t="s">
        <v>585</v>
      </c>
      <c r="G1592" s="68">
        <v>900</v>
      </c>
      <c r="H1592" s="56" t="s">
        <v>80</v>
      </c>
      <c r="J1592" s="56">
        <v>32788</v>
      </c>
      <c r="L1592" s="56" t="s">
        <v>838</v>
      </c>
      <c r="M1592" s="4" t="s">
        <v>176</v>
      </c>
      <c r="N1592" s="4" t="s">
        <v>177</v>
      </c>
      <c r="O1592" s="4" t="s">
        <v>530</v>
      </c>
    </row>
    <row r="1593" spans="2:15">
      <c r="B1593" s="20">
        <v>45355</v>
      </c>
      <c r="C1593" s="20">
        <v>45355</v>
      </c>
      <c r="D1593" s="54">
        <v>50272278</v>
      </c>
      <c r="E1593" s="55" t="s">
        <v>21</v>
      </c>
      <c r="G1593" s="68">
        <v>13000</v>
      </c>
      <c r="H1593" s="56" t="s">
        <v>92</v>
      </c>
      <c r="J1593" s="56">
        <v>1428</v>
      </c>
      <c r="L1593" s="56" t="s">
        <v>262</v>
      </c>
      <c r="M1593" s="4" t="s">
        <v>262</v>
      </c>
      <c r="N1593" s="4" t="s">
        <v>1140</v>
      </c>
      <c r="O1593" s="4" t="s">
        <v>530</v>
      </c>
    </row>
    <row r="1594" spans="2:15">
      <c r="B1594" s="20">
        <v>45357</v>
      </c>
      <c r="C1594" s="20">
        <v>45357</v>
      </c>
      <c r="D1594" s="54">
        <v>50272278</v>
      </c>
      <c r="E1594" s="55" t="s">
        <v>21</v>
      </c>
      <c r="G1594" s="68">
        <v>10000</v>
      </c>
      <c r="H1594" s="56" t="s">
        <v>92</v>
      </c>
      <c r="J1594" s="56">
        <v>1430</v>
      </c>
      <c r="L1594" s="56" t="s">
        <v>262</v>
      </c>
      <c r="M1594" s="4" t="s">
        <v>262</v>
      </c>
      <c r="N1594" s="4" t="s">
        <v>1140</v>
      </c>
      <c r="O1594" s="4" t="s">
        <v>530</v>
      </c>
    </row>
    <row r="1595" spans="2:15">
      <c r="B1595" s="20">
        <v>45357</v>
      </c>
      <c r="C1595" s="20">
        <v>45357</v>
      </c>
      <c r="D1595" s="54">
        <v>50809147</v>
      </c>
      <c r="E1595" s="55" t="s">
        <v>930</v>
      </c>
      <c r="G1595" s="68">
        <v>2473.1</v>
      </c>
      <c r="H1595" s="56" t="s">
        <v>82</v>
      </c>
      <c r="J1595" s="56">
        <v>409</v>
      </c>
      <c r="L1595" s="56" t="s">
        <v>1227</v>
      </c>
      <c r="M1595" s="4" t="s">
        <v>660</v>
      </c>
      <c r="N1595" s="4" t="s">
        <v>1203</v>
      </c>
      <c r="O1595" s="4" t="s">
        <v>530</v>
      </c>
    </row>
    <row r="1596" spans="2:15">
      <c r="B1596" s="20">
        <v>45358</v>
      </c>
      <c r="C1596" s="20">
        <v>45358</v>
      </c>
      <c r="D1596" s="54">
        <v>50144376</v>
      </c>
      <c r="E1596" s="55" t="s">
        <v>19</v>
      </c>
      <c r="G1596" s="68">
        <v>10000</v>
      </c>
      <c r="H1596" s="56" t="s">
        <v>92</v>
      </c>
      <c r="J1596" s="56">
        <v>1440</v>
      </c>
      <c r="L1596" s="56" t="s">
        <v>262</v>
      </c>
      <c r="M1596" s="4" t="s">
        <v>262</v>
      </c>
      <c r="N1596" s="4" t="s">
        <v>1140</v>
      </c>
      <c r="O1596" s="4" t="s">
        <v>530</v>
      </c>
    </row>
    <row r="1597" spans="2:15">
      <c r="B1597" s="20">
        <v>45358</v>
      </c>
      <c r="C1597" s="20">
        <v>45358</v>
      </c>
      <c r="D1597" s="54">
        <v>50272278</v>
      </c>
      <c r="E1597" s="55" t="s">
        <v>21</v>
      </c>
      <c r="G1597" s="68">
        <v>3000</v>
      </c>
      <c r="H1597" s="56" t="s">
        <v>92</v>
      </c>
      <c r="J1597" s="56">
        <v>1440</v>
      </c>
      <c r="L1597" s="56" t="s">
        <v>262</v>
      </c>
      <c r="M1597" s="4" t="s">
        <v>262</v>
      </c>
      <c r="N1597" s="4" t="s">
        <v>1140</v>
      </c>
      <c r="O1597" s="4" t="s">
        <v>530</v>
      </c>
    </row>
    <row r="1598" spans="2:15">
      <c r="B1598" s="20">
        <v>45359</v>
      </c>
      <c r="C1598" s="20">
        <v>45359</v>
      </c>
      <c r="D1598" s="54">
        <v>50272278</v>
      </c>
      <c r="E1598" s="55" t="s">
        <v>21</v>
      </c>
      <c r="G1598" s="68">
        <v>12000</v>
      </c>
      <c r="H1598" s="56" t="s">
        <v>92</v>
      </c>
      <c r="J1598" s="56" t="s">
        <v>1233</v>
      </c>
      <c r="L1598" s="56" t="s">
        <v>262</v>
      </c>
      <c r="M1598" s="4" t="s">
        <v>262</v>
      </c>
      <c r="N1598" s="4" t="s">
        <v>1140</v>
      </c>
      <c r="O1598" s="4" t="s">
        <v>530</v>
      </c>
    </row>
    <row r="1599" spans="2:15">
      <c r="B1599" s="20">
        <v>45359</v>
      </c>
      <c r="C1599" s="20">
        <v>45359</v>
      </c>
      <c r="D1599" s="54">
        <v>50145028</v>
      </c>
      <c r="E1599" s="55" t="s">
        <v>23</v>
      </c>
      <c r="G1599" s="68">
        <v>1152</v>
      </c>
      <c r="H1599" s="56" t="s">
        <v>92</v>
      </c>
      <c r="J1599" s="56">
        <v>249</v>
      </c>
      <c r="L1599" s="56" t="s">
        <v>673</v>
      </c>
      <c r="M1599" s="4" t="s">
        <v>673</v>
      </c>
      <c r="N1599" s="4"/>
      <c r="O1599" s="4" t="s">
        <v>530</v>
      </c>
    </row>
    <row r="1600" spans="2:15">
      <c r="B1600" s="20">
        <v>45362</v>
      </c>
      <c r="C1600" s="20">
        <v>45362</v>
      </c>
      <c r="D1600" s="54">
        <v>50144376</v>
      </c>
      <c r="E1600" s="55" t="s">
        <v>19</v>
      </c>
      <c r="G1600" s="68">
        <v>12500</v>
      </c>
      <c r="H1600" s="56" t="s">
        <v>92</v>
      </c>
      <c r="J1600" s="56">
        <v>1458</v>
      </c>
      <c r="L1600" s="56" t="s">
        <v>262</v>
      </c>
      <c r="M1600" s="4" t="s">
        <v>262</v>
      </c>
      <c r="N1600" s="4" t="s">
        <v>1140</v>
      </c>
      <c r="O1600" s="4" t="s">
        <v>530</v>
      </c>
    </row>
    <row r="1601" spans="2:15">
      <c r="B1601" s="20">
        <v>45362</v>
      </c>
      <c r="C1601" s="20">
        <v>45362</v>
      </c>
      <c r="D1601" s="54">
        <v>50809147</v>
      </c>
      <c r="E1601" s="55" t="s">
        <v>930</v>
      </c>
      <c r="G1601" s="68">
        <v>2494.5</v>
      </c>
      <c r="H1601" s="56" t="s">
        <v>82</v>
      </c>
      <c r="J1601" s="56">
        <v>415</v>
      </c>
      <c r="L1601" s="56" t="s">
        <v>1227</v>
      </c>
      <c r="M1601" s="4" t="s">
        <v>660</v>
      </c>
      <c r="N1601" s="4" t="s">
        <v>1203</v>
      </c>
      <c r="O1601" s="4" t="s">
        <v>530</v>
      </c>
    </row>
    <row r="1602" spans="2:15">
      <c r="B1602" s="20">
        <v>45363</v>
      </c>
      <c r="C1602" s="20">
        <v>45363</v>
      </c>
      <c r="D1602" s="54">
        <v>50824145</v>
      </c>
      <c r="E1602" s="55" t="s">
        <v>1234</v>
      </c>
      <c r="G1602" s="68">
        <v>1056000</v>
      </c>
      <c r="H1602" s="56" t="s">
        <v>92</v>
      </c>
      <c r="J1602" s="56" t="s">
        <v>1235</v>
      </c>
      <c r="K1602" s="4" t="s">
        <v>1236</v>
      </c>
      <c r="L1602" s="56" t="s">
        <v>1190</v>
      </c>
      <c r="M1602" s="4" t="s">
        <v>1237</v>
      </c>
      <c r="N1602" s="4" t="s">
        <v>803</v>
      </c>
      <c r="O1602" s="4" t="s">
        <v>530</v>
      </c>
    </row>
    <row r="1603" spans="2:15">
      <c r="B1603" s="20">
        <v>45363</v>
      </c>
      <c r="C1603" s="20">
        <v>45363</v>
      </c>
      <c r="D1603" s="54">
        <v>50760002</v>
      </c>
      <c r="E1603" s="55" t="s">
        <v>1238</v>
      </c>
      <c r="G1603" s="68">
        <v>1056000</v>
      </c>
      <c r="H1603" s="56" t="s">
        <v>92</v>
      </c>
      <c r="J1603" s="56" t="s">
        <v>1235</v>
      </c>
      <c r="K1603" s="4" t="s">
        <v>1236</v>
      </c>
      <c r="L1603" s="56" t="s">
        <v>1190</v>
      </c>
      <c r="M1603" s="4" t="s">
        <v>1237</v>
      </c>
      <c r="N1603" s="4"/>
      <c r="O1603" s="4" t="s">
        <v>530</v>
      </c>
    </row>
    <row r="1604" spans="2:15">
      <c r="B1604" s="20">
        <v>45363</v>
      </c>
      <c r="C1604" s="20">
        <v>45363</v>
      </c>
      <c r="D1604" s="54">
        <v>50272278</v>
      </c>
      <c r="E1604" s="55" t="s">
        <v>21</v>
      </c>
      <c r="G1604" s="68">
        <v>11000</v>
      </c>
      <c r="H1604" s="56" t="s">
        <v>92</v>
      </c>
      <c r="J1604" s="56">
        <v>1463</v>
      </c>
      <c r="L1604" s="56" t="s">
        <v>262</v>
      </c>
      <c r="M1604" s="4" t="s">
        <v>262</v>
      </c>
      <c r="N1604" s="4" t="s">
        <v>1140</v>
      </c>
      <c r="O1604" s="4" t="s">
        <v>530</v>
      </c>
    </row>
    <row r="1605" spans="2:15">
      <c r="B1605" s="20">
        <v>45364</v>
      </c>
      <c r="C1605" s="20">
        <v>45364</v>
      </c>
      <c r="D1605" s="54">
        <v>50470190</v>
      </c>
      <c r="E1605" s="55" t="s">
        <v>12</v>
      </c>
      <c r="G1605" s="68">
        <v>9273600</v>
      </c>
      <c r="H1605" s="56" t="s">
        <v>92</v>
      </c>
      <c r="J1605" s="56">
        <v>909</v>
      </c>
      <c r="L1605" s="56" t="s">
        <v>958</v>
      </c>
      <c r="M1605" s="4" t="s">
        <v>392</v>
      </c>
      <c r="N1605" s="4" t="s">
        <v>1239</v>
      </c>
      <c r="O1605" s="4" t="s">
        <v>530</v>
      </c>
    </row>
    <row r="1606" spans="2:15">
      <c r="B1606" s="20">
        <v>45364</v>
      </c>
      <c r="C1606" s="20">
        <v>45364</v>
      </c>
      <c r="D1606" s="54">
        <v>50142237</v>
      </c>
      <c r="E1606" s="55" t="s">
        <v>617</v>
      </c>
      <c r="G1606" s="68">
        <v>38000</v>
      </c>
      <c r="H1606" s="56" t="s">
        <v>92</v>
      </c>
      <c r="J1606" s="56">
        <v>3591</v>
      </c>
      <c r="L1606" s="56" t="s">
        <v>1015</v>
      </c>
      <c r="M1606" s="4" t="s">
        <v>1015</v>
      </c>
      <c r="N1606" s="4" t="s">
        <v>683</v>
      </c>
      <c r="O1606" s="4" t="s">
        <v>530</v>
      </c>
    </row>
    <row r="1607" spans="2:15">
      <c r="B1607" s="20">
        <v>45364</v>
      </c>
      <c r="C1607" s="20">
        <v>45364</v>
      </c>
      <c r="D1607" s="54">
        <v>50143894</v>
      </c>
      <c r="E1607" s="55" t="s">
        <v>944</v>
      </c>
      <c r="G1607" s="68">
        <v>5200</v>
      </c>
      <c r="H1607" s="56" t="s">
        <v>92</v>
      </c>
      <c r="J1607" s="56">
        <v>7093</v>
      </c>
      <c r="L1607" s="56" t="s">
        <v>615</v>
      </c>
      <c r="M1607" s="4" t="s">
        <v>1240</v>
      </c>
      <c r="N1607" s="4" t="s">
        <v>1241</v>
      </c>
      <c r="O1607" s="4" t="s">
        <v>530</v>
      </c>
    </row>
    <row r="1608" spans="2:15">
      <c r="B1608" s="20">
        <v>45364</v>
      </c>
      <c r="C1608" s="20">
        <v>45364</v>
      </c>
      <c r="D1608" s="54">
        <v>50141533</v>
      </c>
      <c r="E1608" s="55" t="s">
        <v>494</v>
      </c>
      <c r="G1608" s="68">
        <v>5000</v>
      </c>
      <c r="H1608" s="56" t="s">
        <v>82</v>
      </c>
      <c r="J1608" s="56">
        <v>20440</v>
      </c>
      <c r="L1608" s="56" t="s">
        <v>495</v>
      </c>
      <c r="M1608" s="4" t="s">
        <v>495</v>
      </c>
      <c r="N1608" s="4" t="s">
        <v>1242</v>
      </c>
      <c r="O1608" s="4" t="s">
        <v>530</v>
      </c>
    </row>
    <row r="1609" spans="2:15">
      <c r="B1609" s="20">
        <v>45369</v>
      </c>
      <c r="C1609" s="20">
        <v>45369</v>
      </c>
      <c r="D1609" s="54">
        <v>50142551</v>
      </c>
      <c r="E1609" s="55" t="s">
        <v>215</v>
      </c>
      <c r="G1609" s="68">
        <v>225</v>
      </c>
      <c r="H1609" s="56" t="s">
        <v>92</v>
      </c>
      <c r="J1609" s="56">
        <v>1550</v>
      </c>
      <c r="L1609" s="56" t="s">
        <v>558</v>
      </c>
      <c r="M1609" s="4" t="s">
        <v>558</v>
      </c>
      <c r="N1609" s="4" t="s">
        <v>559</v>
      </c>
      <c r="O1609" s="4" t="s">
        <v>530</v>
      </c>
    </row>
    <row r="1610" spans="2:15">
      <c r="B1610" s="20">
        <v>45369</v>
      </c>
      <c r="C1610" s="20">
        <v>45369</v>
      </c>
      <c r="D1610" s="54">
        <v>50142397</v>
      </c>
      <c r="E1610" s="55" t="s">
        <v>557</v>
      </c>
      <c r="G1610" s="68">
        <v>100</v>
      </c>
      <c r="H1610" s="56" t="s">
        <v>92</v>
      </c>
      <c r="J1610" s="56">
        <v>1550</v>
      </c>
      <c r="L1610" s="56" t="s">
        <v>558</v>
      </c>
      <c r="M1610" s="4" t="s">
        <v>558</v>
      </c>
      <c r="N1610" s="4" t="s">
        <v>559</v>
      </c>
      <c r="O1610" s="4" t="s">
        <v>530</v>
      </c>
    </row>
    <row r="1611" spans="2:15">
      <c r="B1611" s="20">
        <v>45369</v>
      </c>
      <c r="C1611" s="20">
        <v>45369</v>
      </c>
      <c r="D1611" s="54">
        <v>50142455</v>
      </c>
      <c r="E1611" s="55" t="s">
        <v>560</v>
      </c>
      <c r="G1611" s="68">
        <v>200</v>
      </c>
      <c r="H1611" s="56" t="s">
        <v>92</v>
      </c>
      <c r="J1611" s="56">
        <v>1550</v>
      </c>
      <c r="L1611" s="56" t="s">
        <v>558</v>
      </c>
      <c r="M1611" s="4" t="s">
        <v>558</v>
      </c>
      <c r="N1611" s="4" t="s">
        <v>559</v>
      </c>
      <c r="O1611" s="4" t="s">
        <v>530</v>
      </c>
    </row>
    <row r="1612" spans="2:15">
      <c r="B1612" s="20">
        <v>45369</v>
      </c>
      <c r="C1612" s="20">
        <v>45369</v>
      </c>
      <c r="D1612" s="54">
        <v>50142551</v>
      </c>
      <c r="E1612" s="55" t="s">
        <v>215</v>
      </c>
      <c r="G1612" s="68">
        <v>225</v>
      </c>
      <c r="H1612" s="56" t="s">
        <v>92</v>
      </c>
      <c r="J1612" s="56">
        <v>1556</v>
      </c>
      <c r="L1612" s="56" t="s">
        <v>558</v>
      </c>
      <c r="M1612" s="4" t="s">
        <v>558</v>
      </c>
      <c r="N1612" s="4" t="s">
        <v>559</v>
      </c>
      <c r="O1612" s="4" t="s">
        <v>530</v>
      </c>
    </row>
    <row r="1613" spans="2:15">
      <c r="B1613" s="20">
        <v>45370</v>
      </c>
      <c r="C1613" s="20">
        <v>45370</v>
      </c>
      <c r="D1613" s="54">
        <v>50272278</v>
      </c>
      <c r="E1613" s="55" t="s">
        <v>21</v>
      </c>
      <c r="G1613" s="68">
        <v>13000</v>
      </c>
      <c r="H1613" s="56" t="s">
        <v>92</v>
      </c>
      <c r="J1613" s="56">
        <v>1491</v>
      </c>
      <c r="L1613" s="56" t="s">
        <v>262</v>
      </c>
      <c r="M1613" s="4" t="s">
        <v>262</v>
      </c>
      <c r="N1613" s="4" t="s">
        <v>1140</v>
      </c>
      <c r="O1613" s="4" t="s">
        <v>530</v>
      </c>
    </row>
    <row r="1614" spans="2:15">
      <c r="B1614" s="20">
        <v>45370</v>
      </c>
      <c r="C1614" s="20">
        <v>45370</v>
      </c>
      <c r="D1614" s="54">
        <v>50470190</v>
      </c>
      <c r="E1614" s="55" t="s">
        <v>12</v>
      </c>
      <c r="G1614" s="68">
        <v>9273600</v>
      </c>
      <c r="H1614" s="56" t="s">
        <v>92</v>
      </c>
      <c r="J1614" s="56">
        <v>1062</v>
      </c>
      <c r="L1614" s="56" t="s">
        <v>958</v>
      </c>
      <c r="M1614" s="4" t="s">
        <v>392</v>
      </c>
      <c r="N1614" s="4" t="s">
        <v>1205</v>
      </c>
      <c r="O1614" s="4" t="s">
        <v>530</v>
      </c>
    </row>
    <row r="1615" spans="2:15">
      <c r="B1615" s="20">
        <v>45371</v>
      </c>
      <c r="C1615" s="20">
        <v>45371</v>
      </c>
      <c r="D1615" s="54">
        <v>50142631</v>
      </c>
      <c r="E1615" s="55" t="s">
        <v>566</v>
      </c>
      <c r="G1615" s="68">
        <v>1500</v>
      </c>
      <c r="H1615" s="56" t="s">
        <v>82</v>
      </c>
      <c r="J1615" s="56">
        <v>1554</v>
      </c>
      <c r="L1615" s="56" t="s">
        <v>567</v>
      </c>
      <c r="M1615" s="4" t="s">
        <v>568</v>
      </c>
      <c r="N1615" s="4" t="s">
        <v>569</v>
      </c>
      <c r="O1615" s="4" t="s">
        <v>530</v>
      </c>
    </row>
    <row r="1616" spans="2:15">
      <c r="B1616" s="20">
        <v>45371</v>
      </c>
      <c r="C1616" s="20">
        <v>45371</v>
      </c>
      <c r="D1616" s="54">
        <v>50142121</v>
      </c>
      <c r="E1616" s="55" t="s">
        <v>1243</v>
      </c>
      <c r="G1616" s="68">
        <v>25</v>
      </c>
      <c r="H1616" s="56" t="s">
        <v>987</v>
      </c>
      <c r="J1616" s="56">
        <v>1554</v>
      </c>
      <c r="L1616" s="56" t="s">
        <v>567</v>
      </c>
      <c r="M1616" s="4" t="s">
        <v>568</v>
      </c>
      <c r="N1616" s="4" t="s">
        <v>569</v>
      </c>
      <c r="O1616" s="4" t="s">
        <v>530</v>
      </c>
    </row>
    <row r="1617" spans="2:15">
      <c r="B1617" s="20">
        <v>45372</v>
      </c>
      <c r="C1617" s="20">
        <v>45372</v>
      </c>
      <c r="D1617" s="54">
        <v>50144376</v>
      </c>
      <c r="E1617" s="55" t="s">
        <v>19</v>
      </c>
      <c r="G1617" s="68">
        <v>13000</v>
      </c>
      <c r="H1617" s="56" t="s">
        <v>92</v>
      </c>
      <c r="J1617" s="56">
        <v>1498</v>
      </c>
      <c r="L1617" s="56" t="s">
        <v>262</v>
      </c>
      <c r="M1617" s="4" t="s">
        <v>262</v>
      </c>
      <c r="N1617" s="4" t="s">
        <v>1140</v>
      </c>
      <c r="O1617" s="4" t="s">
        <v>530</v>
      </c>
    </row>
    <row r="1618" spans="2:15">
      <c r="B1618" s="20">
        <v>45372</v>
      </c>
      <c r="C1618" s="20">
        <v>45372</v>
      </c>
      <c r="D1618" s="54">
        <v>50809146</v>
      </c>
      <c r="E1618" s="55" t="s">
        <v>1030</v>
      </c>
      <c r="G1618" s="68">
        <v>3081.1</v>
      </c>
      <c r="H1618" s="56" t="s">
        <v>82</v>
      </c>
      <c r="J1618" s="56">
        <v>437</v>
      </c>
      <c r="L1618" s="56" t="s">
        <v>1227</v>
      </c>
      <c r="M1618" s="4" t="s">
        <v>660</v>
      </c>
      <c r="N1618" s="4" t="s">
        <v>1203</v>
      </c>
      <c r="O1618" s="4" t="s">
        <v>530</v>
      </c>
    </row>
    <row r="1619" spans="2:15">
      <c r="B1619" s="20">
        <v>45372</v>
      </c>
      <c r="C1619" s="20">
        <v>45372</v>
      </c>
      <c r="D1619" s="54">
        <v>50809147</v>
      </c>
      <c r="E1619" s="55" t="s">
        <v>930</v>
      </c>
      <c r="G1619" s="68">
        <v>4766.05</v>
      </c>
      <c r="H1619" s="56" t="s">
        <v>82</v>
      </c>
      <c r="J1619" s="56">
        <v>436</v>
      </c>
      <c r="L1619" s="56" t="s">
        <v>1227</v>
      </c>
      <c r="M1619" s="4" t="s">
        <v>660</v>
      </c>
      <c r="N1619" s="4" t="s">
        <v>1244</v>
      </c>
      <c r="O1619" s="4" t="s">
        <v>530</v>
      </c>
    </row>
    <row r="1620" spans="2:15">
      <c r="B1620" s="20">
        <v>45373</v>
      </c>
      <c r="C1620" s="20">
        <v>45373</v>
      </c>
      <c r="D1620" s="54">
        <v>50010080</v>
      </c>
      <c r="E1620" s="55" t="s">
        <v>354</v>
      </c>
      <c r="G1620" s="68">
        <v>20000</v>
      </c>
      <c r="H1620" s="56" t="s">
        <v>82</v>
      </c>
      <c r="J1620" s="56">
        <v>4814</v>
      </c>
      <c r="L1620" s="56" t="s">
        <v>355</v>
      </c>
      <c r="M1620" s="4" t="s">
        <v>650</v>
      </c>
      <c r="N1620" s="4" t="s">
        <v>1245</v>
      </c>
      <c r="O1620" s="4" t="s">
        <v>530</v>
      </c>
    </row>
    <row r="1621" spans="2:15">
      <c r="B1621" s="20">
        <v>45373</v>
      </c>
      <c r="C1621" s="20">
        <v>45373</v>
      </c>
      <c r="D1621" s="54">
        <v>50144376</v>
      </c>
      <c r="E1621" s="55" t="s">
        <v>19</v>
      </c>
      <c r="G1621" s="68">
        <v>13000</v>
      </c>
      <c r="H1621" s="56" t="s">
        <v>92</v>
      </c>
      <c r="J1621" s="56">
        <v>1510</v>
      </c>
      <c r="L1621" s="56" t="s">
        <v>262</v>
      </c>
      <c r="M1621" s="4" t="s">
        <v>262</v>
      </c>
      <c r="N1621" s="4" t="s">
        <v>1140</v>
      </c>
      <c r="O1621" s="4" t="s">
        <v>530</v>
      </c>
    </row>
    <row r="1622" spans="2:15">
      <c r="B1622" s="20">
        <v>45374</v>
      </c>
      <c r="C1622" s="20">
        <v>45374</v>
      </c>
      <c r="D1622" s="54">
        <v>50793278</v>
      </c>
      <c r="E1622" s="55" t="s">
        <v>1086</v>
      </c>
      <c r="G1622" s="68">
        <v>140</v>
      </c>
      <c r="H1622" s="56" t="s">
        <v>1087</v>
      </c>
      <c r="J1622" s="56">
        <v>27069354</v>
      </c>
      <c r="K1622" s="4" t="s">
        <v>1246</v>
      </c>
      <c r="L1622" s="56" t="s">
        <v>175</v>
      </c>
      <c r="M1622" s="4" t="s">
        <v>392</v>
      </c>
      <c r="N1622" s="4"/>
      <c r="O1622" s="4" t="s">
        <v>530</v>
      </c>
    </row>
    <row r="1623" spans="2:15">
      <c r="B1623" s="20">
        <v>45376</v>
      </c>
      <c r="C1623" s="20">
        <v>45376</v>
      </c>
      <c r="D1623" s="54">
        <v>50498271</v>
      </c>
      <c r="E1623" s="55" t="s">
        <v>1025</v>
      </c>
      <c r="G1623" s="68">
        <v>3945.85</v>
      </c>
      <c r="H1623" s="56" t="s">
        <v>82</v>
      </c>
      <c r="J1623" s="56">
        <v>446</v>
      </c>
      <c r="L1623" s="56" t="s">
        <v>1227</v>
      </c>
      <c r="M1623" s="4" t="s">
        <v>660</v>
      </c>
      <c r="N1623" s="4" t="s">
        <v>1203</v>
      </c>
      <c r="O1623" s="4" t="s">
        <v>530</v>
      </c>
    </row>
    <row r="1624" spans="2:15">
      <c r="B1624" s="20">
        <v>45376</v>
      </c>
      <c r="C1624" s="20">
        <v>45376</v>
      </c>
      <c r="D1624" s="54">
        <v>50145028</v>
      </c>
      <c r="E1624" s="55" t="s">
        <v>23</v>
      </c>
      <c r="G1624" s="68">
        <v>768</v>
      </c>
      <c r="H1624" s="56" t="s">
        <v>92</v>
      </c>
      <c r="J1624" s="56">
        <v>33707</v>
      </c>
      <c r="L1624" s="56" t="s">
        <v>838</v>
      </c>
      <c r="M1624" s="4" t="s">
        <v>176</v>
      </c>
      <c r="N1624" s="4" t="s">
        <v>177</v>
      </c>
      <c r="O1624" s="4" t="s">
        <v>530</v>
      </c>
    </row>
    <row r="1625" spans="2:15">
      <c r="B1625" s="20">
        <v>45376</v>
      </c>
      <c r="C1625" s="20">
        <v>45376</v>
      </c>
      <c r="D1625" s="54">
        <v>50143893</v>
      </c>
      <c r="E1625" s="55" t="s">
        <v>24</v>
      </c>
      <c r="G1625" s="68">
        <v>2970</v>
      </c>
      <c r="H1625" s="56" t="s">
        <v>82</v>
      </c>
      <c r="J1625" s="56">
        <v>33707</v>
      </c>
      <c r="L1625" s="56" t="s">
        <v>838</v>
      </c>
      <c r="M1625" s="4" t="s">
        <v>176</v>
      </c>
      <c r="N1625" s="4" t="s">
        <v>177</v>
      </c>
      <c r="O1625" s="4" t="s">
        <v>530</v>
      </c>
    </row>
    <row r="1626" spans="2:15">
      <c r="B1626" s="20">
        <v>45376</v>
      </c>
      <c r="C1626" s="20">
        <v>45376</v>
      </c>
      <c r="D1626" s="54">
        <v>50144376</v>
      </c>
      <c r="E1626" s="55" t="s">
        <v>19</v>
      </c>
      <c r="G1626" s="68">
        <v>5000</v>
      </c>
      <c r="H1626" s="56" t="s">
        <v>92</v>
      </c>
      <c r="J1626" s="56">
        <v>33707</v>
      </c>
      <c r="L1626" s="56" t="s">
        <v>838</v>
      </c>
      <c r="M1626" s="4" t="s">
        <v>176</v>
      </c>
      <c r="N1626" s="4" t="s">
        <v>177</v>
      </c>
      <c r="O1626" s="4" t="s">
        <v>530</v>
      </c>
    </row>
    <row r="1627" spans="2:15">
      <c r="B1627" s="20">
        <v>45377</v>
      </c>
      <c r="C1627" s="20">
        <v>45377</v>
      </c>
      <c r="D1627" s="54">
        <v>50272278</v>
      </c>
      <c r="E1627" s="55" t="s">
        <v>21</v>
      </c>
      <c r="G1627" s="68">
        <v>6000</v>
      </c>
      <c r="H1627" s="56" t="s">
        <v>92</v>
      </c>
      <c r="J1627" s="56">
        <v>1518</v>
      </c>
      <c r="L1627" s="56" t="s">
        <v>262</v>
      </c>
      <c r="M1627" s="4" t="s">
        <v>262</v>
      </c>
      <c r="N1627" s="4" t="s">
        <v>364</v>
      </c>
      <c r="O1627" s="4" t="s">
        <v>530</v>
      </c>
    </row>
    <row r="1628" spans="2:15">
      <c r="B1628" s="20">
        <v>45377</v>
      </c>
      <c r="C1628" s="20">
        <v>45377</v>
      </c>
      <c r="D1628" s="54">
        <v>50144376</v>
      </c>
      <c r="E1628" s="55" t="s">
        <v>19</v>
      </c>
      <c r="G1628" s="68">
        <v>9500</v>
      </c>
      <c r="H1628" s="56" t="s">
        <v>92</v>
      </c>
      <c r="J1628" s="56" t="s">
        <v>1247</v>
      </c>
      <c r="L1628" s="56" t="s">
        <v>262</v>
      </c>
      <c r="M1628" s="4" t="s">
        <v>262</v>
      </c>
      <c r="N1628" s="4" t="s">
        <v>1140</v>
      </c>
      <c r="O1628" s="4" t="s">
        <v>530</v>
      </c>
    </row>
    <row r="1629" spans="2:15">
      <c r="B1629" s="20">
        <v>45377</v>
      </c>
      <c r="C1629" s="20">
        <v>45377</v>
      </c>
      <c r="D1629" s="54">
        <v>50272278</v>
      </c>
      <c r="E1629" s="55" t="s">
        <v>21</v>
      </c>
      <c r="G1629" s="68">
        <v>3500</v>
      </c>
      <c r="H1629" s="56" t="s">
        <v>92</v>
      </c>
      <c r="J1629" s="56" t="s">
        <v>1247</v>
      </c>
      <c r="L1629" s="56" t="s">
        <v>262</v>
      </c>
      <c r="M1629" s="4" t="s">
        <v>262</v>
      </c>
      <c r="N1629" s="4" t="s">
        <v>1140</v>
      </c>
      <c r="O1629" s="4" t="s">
        <v>530</v>
      </c>
    </row>
    <row r="1630" spans="2:15">
      <c r="B1630" s="20">
        <v>45378</v>
      </c>
      <c r="C1630" s="20">
        <v>45378</v>
      </c>
      <c r="D1630" s="54">
        <v>50470190</v>
      </c>
      <c r="E1630" s="55" t="s">
        <v>12</v>
      </c>
      <c r="G1630" s="68">
        <v>9273600</v>
      </c>
      <c r="H1630" s="56" t="s">
        <v>92</v>
      </c>
      <c r="J1630" s="56">
        <v>1206</v>
      </c>
      <c r="L1630" s="56" t="s">
        <v>958</v>
      </c>
      <c r="M1630" s="4" t="s">
        <v>392</v>
      </c>
      <c r="N1630" s="4" t="s">
        <v>1239</v>
      </c>
      <c r="O1630" s="4" t="s">
        <v>530</v>
      </c>
    </row>
    <row r="1631" spans="2:15">
      <c r="B1631" s="20">
        <v>45385</v>
      </c>
      <c r="C1631" s="20">
        <v>45385</v>
      </c>
      <c r="D1631" s="54">
        <v>50337814</v>
      </c>
      <c r="E1631" s="55" t="s">
        <v>669</v>
      </c>
      <c r="G1631" s="68">
        <v>2370</v>
      </c>
      <c r="H1631" s="56" t="s">
        <v>1248</v>
      </c>
      <c r="J1631" s="56">
        <v>10379</v>
      </c>
      <c r="L1631" s="56" t="s">
        <v>1109</v>
      </c>
      <c r="M1631" s="4" t="s">
        <v>1249</v>
      </c>
      <c r="N1631" s="4" t="s">
        <v>1250</v>
      </c>
      <c r="O1631" s="4" t="s">
        <v>530</v>
      </c>
    </row>
    <row r="1632" spans="2:15">
      <c r="B1632" s="20">
        <v>45385</v>
      </c>
      <c r="C1632" s="20">
        <v>45385</v>
      </c>
      <c r="D1632" s="54">
        <v>50337816</v>
      </c>
      <c r="E1632" s="55" t="s">
        <v>245</v>
      </c>
      <c r="G1632" s="68">
        <v>390</v>
      </c>
      <c r="H1632" s="56" t="s">
        <v>1248</v>
      </c>
      <c r="J1632" s="56">
        <v>10379</v>
      </c>
      <c r="L1632" s="56" t="s">
        <v>1109</v>
      </c>
      <c r="M1632" s="4" t="s">
        <v>1249</v>
      </c>
      <c r="N1632" s="4" t="s">
        <v>1250</v>
      </c>
      <c r="O1632" s="4" t="s">
        <v>530</v>
      </c>
    </row>
    <row r="1633" spans="2:15">
      <c r="B1633" s="20">
        <v>45385</v>
      </c>
      <c r="C1633" s="20">
        <v>45385</v>
      </c>
      <c r="D1633" s="54">
        <v>50809353</v>
      </c>
      <c r="E1633" s="55" t="s">
        <v>905</v>
      </c>
      <c r="G1633" s="68">
        <v>750</v>
      </c>
      <c r="H1633" s="56" t="s">
        <v>82</v>
      </c>
      <c r="J1633" s="56">
        <v>34003</v>
      </c>
      <c r="L1633" s="56" t="s">
        <v>838</v>
      </c>
      <c r="M1633" s="4" t="s">
        <v>176</v>
      </c>
      <c r="N1633" s="4" t="s">
        <v>177</v>
      </c>
      <c r="O1633" s="4" t="s">
        <v>530</v>
      </c>
    </row>
    <row r="1634" spans="2:15">
      <c r="B1634" s="20">
        <v>45385</v>
      </c>
      <c r="C1634" s="20">
        <v>45385</v>
      </c>
      <c r="D1634" s="54">
        <v>50551885</v>
      </c>
      <c r="E1634" s="55" t="s">
        <v>1251</v>
      </c>
      <c r="G1634" s="68">
        <v>2570000</v>
      </c>
      <c r="H1634" s="56" t="s">
        <v>92</v>
      </c>
      <c r="J1634" s="56">
        <v>34003</v>
      </c>
      <c r="L1634" s="56" t="s">
        <v>838</v>
      </c>
      <c r="M1634" s="4" t="s">
        <v>176</v>
      </c>
      <c r="N1634" s="4" t="s">
        <v>177</v>
      </c>
      <c r="O1634" s="4" t="s">
        <v>530</v>
      </c>
    </row>
    <row r="1635" spans="2:15">
      <c r="B1635" s="20">
        <v>45385</v>
      </c>
      <c r="C1635" s="20">
        <v>45385</v>
      </c>
      <c r="D1635" s="54">
        <v>50337816</v>
      </c>
      <c r="E1635" s="55" t="s">
        <v>245</v>
      </c>
      <c r="G1635" s="68">
        <v>1320</v>
      </c>
      <c r="H1635" s="56" t="s">
        <v>80</v>
      </c>
      <c r="J1635" s="56">
        <v>34003</v>
      </c>
      <c r="L1635" s="56" t="s">
        <v>838</v>
      </c>
      <c r="M1635" s="4" t="s">
        <v>176</v>
      </c>
      <c r="N1635" s="4" t="s">
        <v>177</v>
      </c>
      <c r="O1635" s="4" t="s">
        <v>530</v>
      </c>
    </row>
    <row r="1636" spans="2:15">
      <c r="B1636" s="20">
        <v>45385</v>
      </c>
      <c r="C1636" s="20">
        <v>45385</v>
      </c>
      <c r="D1636" s="54">
        <v>40011588</v>
      </c>
      <c r="E1636" s="55" t="s">
        <v>585</v>
      </c>
      <c r="G1636" s="68">
        <v>1350</v>
      </c>
      <c r="H1636" s="56" t="s">
        <v>80</v>
      </c>
      <c r="J1636" s="56">
        <v>34003</v>
      </c>
      <c r="L1636" s="56" t="s">
        <v>838</v>
      </c>
      <c r="M1636" s="4" t="s">
        <v>176</v>
      </c>
      <c r="N1636" s="4" t="s">
        <v>177</v>
      </c>
      <c r="O1636" s="4" t="s">
        <v>530</v>
      </c>
    </row>
    <row r="1637" spans="2:15">
      <c r="B1637" s="20">
        <v>45385</v>
      </c>
      <c r="C1637" s="20">
        <v>45385</v>
      </c>
      <c r="D1637" s="54">
        <v>50802401</v>
      </c>
      <c r="E1637" s="55" t="s">
        <v>13</v>
      </c>
      <c r="G1637" s="68">
        <v>9273600</v>
      </c>
      <c r="H1637" s="56" t="s">
        <v>92</v>
      </c>
      <c r="J1637" s="56" t="s">
        <v>1252</v>
      </c>
      <c r="L1637" s="56" t="s">
        <v>789</v>
      </c>
      <c r="M1637" s="4" t="s">
        <v>1253</v>
      </c>
      <c r="N1637" s="4" t="s">
        <v>1254</v>
      </c>
      <c r="O1637" s="4" t="s">
        <v>530</v>
      </c>
    </row>
    <row r="1638" spans="2:15">
      <c r="B1638" s="20">
        <v>45386</v>
      </c>
      <c r="C1638" s="20">
        <v>45386</v>
      </c>
      <c r="D1638" s="54">
        <v>20003859</v>
      </c>
      <c r="E1638" s="55" t="s">
        <v>214</v>
      </c>
      <c r="G1638" s="68">
        <v>110</v>
      </c>
      <c r="H1638" s="56" t="s">
        <v>92</v>
      </c>
      <c r="J1638" s="56">
        <v>1703</v>
      </c>
      <c r="L1638" s="56" t="s">
        <v>558</v>
      </c>
      <c r="M1638" s="4" t="s">
        <v>558</v>
      </c>
      <c r="N1638" s="4" t="s">
        <v>755</v>
      </c>
      <c r="O1638" s="4" t="s">
        <v>530</v>
      </c>
    </row>
    <row r="1639" spans="2:15">
      <c r="B1639" s="20">
        <v>45386</v>
      </c>
      <c r="C1639" s="20">
        <v>45386</v>
      </c>
      <c r="D1639" s="54">
        <v>20015620</v>
      </c>
      <c r="E1639" s="55" t="s">
        <v>1255</v>
      </c>
      <c r="G1639" s="68">
        <v>110</v>
      </c>
      <c r="H1639" s="56" t="s">
        <v>92</v>
      </c>
      <c r="J1639" s="56">
        <v>1705</v>
      </c>
      <c r="L1639" s="56" t="s">
        <v>558</v>
      </c>
      <c r="M1639" s="4" t="s">
        <v>558</v>
      </c>
      <c r="N1639" s="4" t="s">
        <v>755</v>
      </c>
      <c r="O1639" s="4" t="s">
        <v>530</v>
      </c>
    </row>
    <row r="1640" spans="2:15">
      <c r="B1640" s="20">
        <v>45386</v>
      </c>
      <c r="C1640" s="20">
        <v>45386</v>
      </c>
      <c r="D1640" s="54">
        <v>50824293</v>
      </c>
      <c r="E1640" s="55" t="s">
        <v>861</v>
      </c>
      <c r="G1640" s="68">
        <v>3312000</v>
      </c>
      <c r="H1640" s="56" t="s">
        <v>962</v>
      </c>
      <c r="J1640" s="56" t="s">
        <v>1256</v>
      </c>
      <c r="L1640" s="56" t="s">
        <v>1257</v>
      </c>
      <c r="M1640" s="4" t="s">
        <v>1253</v>
      </c>
      <c r="N1640" s="4" t="s">
        <v>1258</v>
      </c>
      <c r="O1640" s="4" t="s">
        <v>530</v>
      </c>
    </row>
    <row r="1641" spans="2:15">
      <c r="B1641" s="20">
        <v>45388</v>
      </c>
      <c r="C1641" s="20">
        <v>45388</v>
      </c>
      <c r="D1641" s="54">
        <v>50142327</v>
      </c>
      <c r="E1641" s="55" t="s">
        <v>256</v>
      </c>
      <c r="G1641" s="68">
        <v>20021.4</v>
      </c>
      <c r="H1641" s="56" t="s">
        <v>82</v>
      </c>
      <c r="J1641" s="56">
        <v>8302185176</v>
      </c>
      <c r="K1641" s="4" t="s">
        <v>1259</v>
      </c>
      <c r="L1641" s="56" t="s">
        <v>624</v>
      </c>
      <c r="M1641" s="4" t="s">
        <v>1260</v>
      </c>
      <c r="N1641" s="4" t="s">
        <v>1261</v>
      </c>
      <c r="O1641" s="4" t="s">
        <v>530</v>
      </c>
    </row>
    <row r="1642" spans="2:15">
      <c r="B1642" s="20">
        <v>45388</v>
      </c>
      <c r="C1642" s="20">
        <v>45388</v>
      </c>
      <c r="D1642" s="54">
        <v>50142334</v>
      </c>
      <c r="E1642" s="55" t="s">
        <v>257</v>
      </c>
      <c r="G1642" s="68">
        <v>20021.4</v>
      </c>
      <c r="H1642" s="56" t="s">
        <v>82</v>
      </c>
      <c r="J1642" s="56">
        <v>8302185176</v>
      </c>
      <c r="K1642" s="4" t="s">
        <v>1262</v>
      </c>
      <c r="L1642" s="56" t="s">
        <v>624</v>
      </c>
      <c r="M1642" s="4" t="s">
        <v>1260</v>
      </c>
      <c r="N1642" s="4" t="s">
        <v>1263</v>
      </c>
      <c r="O1642" s="4" t="s">
        <v>530</v>
      </c>
    </row>
    <row r="1643" spans="2:15">
      <c r="B1643" s="20">
        <v>45390</v>
      </c>
      <c r="C1643" s="20">
        <v>45390</v>
      </c>
      <c r="D1643" s="54">
        <v>50813995</v>
      </c>
      <c r="E1643" s="55" t="s">
        <v>960</v>
      </c>
      <c r="G1643" s="68">
        <v>4870.7</v>
      </c>
      <c r="H1643" s="56" t="s">
        <v>82</v>
      </c>
      <c r="J1643" s="56">
        <v>470</v>
      </c>
      <c r="L1643" s="56" t="s">
        <v>947</v>
      </c>
      <c r="M1643" s="4" t="s">
        <v>660</v>
      </c>
      <c r="N1643" s="4" t="s">
        <v>1203</v>
      </c>
      <c r="O1643" s="4" t="s">
        <v>530</v>
      </c>
    </row>
    <row r="1644" spans="2:15">
      <c r="B1644" s="20">
        <v>45390</v>
      </c>
      <c r="C1644" s="20">
        <v>45390</v>
      </c>
      <c r="D1644" s="54">
        <v>50507916</v>
      </c>
      <c r="E1644" s="55" t="s">
        <v>406</v>
      </c>
      <c r="G1644" s="68">
        <v>10890000</v>
      </c>
      <c r="H1644" s="56" t="s">
        <v>92</v>
      </c>
      <c r="J1644" s="56" t="s">
        <v>1264</v>
      </c>
      <c r="L1644" s="56" t="s">
        <v>877</v>
      </c>
      <c r="M1644" s="4" t="s">
        <v>1265</v>
      </c>
      <c r="N1644" s="4" t="s">
        <v>1266</v>
      </c>
      <c r="O1644" s="4" t="s">
        <v>530</v>
      </c>
    </row>
    <row r="1645" spans="2:15">
      <c r="B1645" s="20">
        <v>45391</v>
      </c>
      <c r="C1645" s="20">
        <v>45391</v>
      </c>
      <c r="D1645" s="54">
        <v>50809152</v>
      </c>
      <c r="E1645" s="55" t="s">
        <v>953</v>
      </c>
      <c r="G1645" s="68">
        <v>3076</v>
      </c>
      <c r="H1645" s="56" t="s">
        <v>82</v>
      </c>
      <c r="J1645" s="56">
        <v>472</v>
      </c>
      <c r="L1645" s="56" t="s">
        <v>1227</v>
      </c>
      <c r="M1645" s="4" t="s">
        <v>660</v>
      </c>
      <c r="N1645" s="4" t="s">
        <v>1203</v>
      </c>
      <c r="O1645" s="4" t="s">
        <v>530</v>
      </c>
    </row>
    <row r="1646" spans="2:15">
      <c r="B1646" s="20">
        <v>45391</v>
      </c>
      <c r="C1646" s="20">
        <v>45391</v>
      </c>
      <c r="D1646" s="54">
        <v>50809147</v>
      </c>
      <c r="E1646" s="55" t="s">
        <v>930</v>
      </c>
      <c r="G1646" s="68">
        <v>2045.75</v>
      </c>
      <c r="H1646" s="56" t="s">
        <v>82</v>
      </c>
      <c r="J1646" s="56">
        <v>472</v>
      </c>
      <c r="L1646" s="56" t="s">
        <v>1227</v>
      </c>
      <c r="M1646" s="4" t="s">
        <v>660</v>
      </c>
      <c r="N1646" s="4" t="s">
        <v>1203</v>
      </c>
      <c r="O1646" s="4" t="s">
        <v>530</v>
      </c>
    </row>
    <row r="1647" spans="2:15">
      <c r="B1647" s="20">
        <v>45392</v>
      </c>
      <c r="C1647" s="20">
        <v>45392</v>
      </c>
      <c r="D1647" s="54">
        <v>50272278</v>
      </c>
      <c r="E1647" s="55" t="s">
        <v>21</v>
      </c>
      <c r="G1647" s="68">
        <v>13000</v>
      </c>
      <c r="H1647" s="56" t="s">
        <v>92</v>
      </c>
      <c r="J1647" s="56">
        <v>1565</v>
      </c>
      <c r="L1647" s="56" t="s">
        <v>262</v>
      </c>
      <c r="M1647" s="4" t="s">
        <v>262</v>
      </c>
      <c r="N1647" s="4" t="s">
        <v>1267</v>
      </c>
      <c r="O1647" s="4" t="s">
        <v>530</v>
      </c>
    </row>
    <row r="1648" spans="2:15">
      <c r="B1648" s="20">
        <v>45398</v>
      </c>
      <c r="C1648" s="20">
        <v>45398</v>
      </c>
      <c r="D1648" s="54">
        <v>50144376</v>
      </c>
      <c r="E1648" s="55" t="s">
        <v>19</v>
      </c>
      <c r="G1648" s="68">
        <v>13000</v>
      </c>
      <c r="H1648" s="56" t="s">
        <v>92</v>
      </c>
      <c r="J1648" s="56">
        <v>1587</v>
      </c>
      <c r="L1648" s="56" t="s">
        <v>262</v>
      </c>
      <c r="M1648" s="4" t="s">
        <v>262</v>
      </c>
      <c r="N1648" s="4" t="s">
        <v>1268</v>
      </c>
      <c r="O1648" s="4" t="s">
        <v>530</v>
      </c>
    </row>
    <row r="1649" spans="2:15">
      <c r="B1649" s="20">
        <v>45398</v>
      </c>
      <c r="C1649" s="20">
        <v>45398</v>
      </c>
      <c r="D1649" s="54">
        <v>50811693</v>
      </c>
      <c r="E1649" s="55" t="s">
        <v>1269</v>
      </c>
      <c r="G1649" s="68">
        <v>6130000</v>
      </c>
      <c r="H1649" s="56" t="s">
        <v>92</v>
      </c>
      <c r="J1649" s="56" t="s">
        <v>1270</v>
      </c>
      <c r="L1649" s="56" t="s">
        <v>1271</v>
      </c>
      <c r="M1649" s="4" t="s">
        <v>176</v>
      </c>
      <c r="N1649" s="4" t="s">
        <v>177</v>
      </c>
      <c r="O1649" s="4" t="s">
        <v>530</v>
      </c>
    </row>
    <row r="1650" spans="2:15">
      <c r="B1650" s="20">
        <v>45399</v>
      </c>
      <c r="C1650" s="20">
        <v>45399</v>
      </c>
      <c r="D1650" s="54">
        <v>50811693</v>
      </c>
      <c r="E1650" s="55" t="s">
        <v>1269</v>
      </c>
      <c r="G1650" s="68">
        <v>4870000</v>
      </c>
      <c r="H1650" s="56" t="s">
        <v>92</v>
      </c>
      <c r="J1650" s="56" t="s">
        <v>1272</v>
      </c>
      <c r="L1650" s="56" t="s">
        <v>1271</v>
      </c>
      <c r="M1650" s="4" t="s">
        <v>392</v>
      </c>
      <c r="N1650" s="4" t="s">
        <v>1273</v>
      </c>
      <c r="O1650" s="4" t="s">
        <v>530</v>
      </c>
    </row>
    <row r="1651" spans="2:15">
      <c r="B1651" s="20">
        <v>45399</v>
      </c>
      <c r="C1651" s="20">
        <v>45399</v>
      </c>
      <c r="D1651" s="54">
        <v>50145029</v>
      </c>
      <c r="E1651" s="55" t="s">
        <v>705</v>
      </c>
      <c r="F1651" s="56">
        <v>0</v>
      </c>
      <c r="G1651" s="68">
        <v>48</v>
      </c>
      <c r="H1651" s="56" t="s">
        <v>505</v>
      </c>
      <c r="J1651" s="56">
        <v>777</v>
      </c>
      <c r="L1651" s="56" t="s">
        <v>1053</v>
      </c>
      <c r="M1651" s="4" t="s">
        <v>1053</v>
      </c>
      <c r="N1651" s="4"/>
      <c r="O1651" s="4" t="s">
        <v>533</v>
      </c>
    </row>
    <row r="1652" spans="2:15">
      <c r="B1652" s="20">
        <v>45399</v>
      </c>
      <c r="C1652" s="20">
        <v>45399</v>
      </c>
      <c r="D1652" s="54">
        <v>50392045</v>
      </c>
      <c r="E1652" s="55" t="s">
        <v>707</v>
      </c>
      <c r="F1652" s="56">
        <v>0</v>
      </c>
      <c r="G1652" s="68">
        <v>60</v>
      </c>
      <c r="H1652" s="56" t="s">
        <v>505</v>
      </c>
      <c r="J1652" s="56">
        <v>777</v>
      </c>
      <c r="L1652" s="56" t="s">
        <v>1053</v>
      </c>
      <c r="M1652" s="4" t="s">
        <v>1053</v>
      </c>
      <c r="N1652" s="4"/>
      <c r="O1652" s="4" t="s">
        <v>533</v>
      </c>
    </row>
    <row r="1653" spans="2:15">
      <c r="B1653" s="20">
        <v>45399</v>
      </c>
      <c r="C1653" s="20">
        <v>45399</v>
      </c>
      <c r="D1653" s="54">
        <v>50145012</v>
      </c>
      <c r="E1653" s="55" t="s">
        <v>504</v>
      </c>
      <c r="F1653" s="56">
        <v>0</v>
      </c>
      <c r="G1653" s="68">
        <v>12</v>
      </c>
      <c r="H1653" s="56" t="s">
        <v>505</v>
      </c>
      <c r="J1653" s="56">
        <v>777</v>
      </c>
      <c r="L1653" s="56" t="s">
        <v>1053</v>
      </c>
      <c r="M1653" s="4" t="s">
        <v>1053</v>
      </c>
      <c r="N1653" s="4"/>
      <c r="O1653" s="4" t="s">
        <v>533</v>
      </c>
    </row>
    <row r="1654" spans="2:15">
      <c r="B1654" s="20">
        <v>45399</v>
      </c>
      <c r="C1654" s="20">
        <v>45399</v>
      </c>
      <c r="D1654" s="54">
        <v>50392046</v>
      </c>
      <c r="E1654" s="55" t="s">
        <v>509</v>
      </c>
      <c r="F1654" s="56">
        <v>0</v>
      </c>
      <c r="G1654" s="68">
        <v>12</v>
      </c>
      <c r="H1654" s="56" t="s">
        <v>505</v>
      </c>
      <c r="J1654" s="56">
        <v>777</v>
      </c>
      <c r="L1654" s="56" t="s">
        <v>1053</v>
      </c>
      <c r="M1654" s="4" t="s">
        <v>1053</v>
      </c>
      <c r="N1654" s="4"/>
      <c r="O1654" s="4" t="s">
        <v>533</v>
      </c>
    </row>
    <row r="1655" spans="2:15">
      <c r="B1655" s="20">
        <v>45399</v>
      </c>
      <c r="C1655" s="20">
        <v>45399</v>
      </c>
      <c r="D1655" s="54">
        <v>50272278</v>
      </c>
      <c r="E1655" s="55" t="s">
        <v>21</v>
      </c>
      <c r="G1655" s="68">
        <v>1190</v>
      </c>
      <c r="H1655" s="56" t="s">
        <v>92</v>
      </c>
      <c r="J1655" s="56">
        <v>1686</v>
      </c>
      <c r="L1655" s="56" t="s">
        <v>262</v>
      </c>
      <c r="M1655" s="4" t="s">
        <v>262</v>
      </c>
      <c r="N1655" s="4" t="s">
        <v>1274</v>
      </c>
      <c r="O1655" s="4" t="s">
        <v>530</v>
      </c>
    </row>
    <row r="1656" spans="2:15">
      <c r="B1656" s="20">
        <v>45399</v>
      </c>
      <c r="C1656" s="20">
        <v>45399</v>
      </c>
      <c r="D1656" s="54">
        <v>50272278</v>
      </c>
      <c r="E1656" s="55" t="s">
        <v>21</v>
      </c>
      <c r="G1656" s="68">
        <v>11810</v>
      </c>
      <c r="H1656" s="56" t="s">
        <v>92</v>
      </c>
      <c r="J1656" s="56">
        <v>1687</v>
      </c>
      <c r="L1656" s="56" t="s">
        <v>262</v>
      </c>
      <c r="M1656" s="4" t="s">
        <v>262</v>
      </c>
      <c r="N1656" s="4" t="s">
        <v>1274</v>
      </c>
      <c r="O1656" s="4" t="s">
        <v>530</v>
      </c>
    </row>
    <row r="1657" spans="2:15">
      <c r="B1657" s="20">
        <v>45400</v>
      </c>
      <c r="C1657" s="20">
        <v>45400</v>
      </c>
      <c r="D1657" s="54">
        <v>50272278</v>
      </c>
      <c r="E1657" s="55" t="s">
        <v>21</v>
      </c>
      <c r="F1657" s="56">
        <v>12</v>
      </c>
      <c r="G1657" s="68">
        <v>5190</v>
      </c>
      <c r="H1657" s="56" t="s">
        <v>92</v>
      </c>
      <c r="J1657" s="56">
        <v>1600</v>
      </c>
      <c r="L1657" s="56" t="s">
        <v>262</v>
      </c>
      <c r="M1657" s="4" t="s">
        <v>262</v>
      </c>
      <c r="N1657" s="4" t="s">
        <v>1268</v>
      </c>
      <c r="O1657" s="4" t="s">
        <v>530</v>
      </c>
    </row>
    <row r="1658" spans="2:15">
      <c r="B1658" s="20">
        <v>45400</v>
      </c>
      <c r="C1658" s="20">
        <v>45400</v>
      </c>
      <c r="D1658" s="54">
        <v>50272278</v>
      </c>
      <c r="E1658" s="55" t="s">
        <v>21</v>
      </c>
      <c r="F1658" s="56">
        <v>14</v>
      </c>
      <c r="G1658" s="68">
        <v>7810</v>
      </c>
      <c r="H1658" s="56" t="s">
        <v>92</v>
      </c>
      <c r="J1658" s="56">
        <v>1601</v>
      </c>
      <c r="L1658" s="56" t="s">
        <v>262</v>
      </c>
      <c r="M1658" s="4" t="s">
        <v>262</v>
      </c>
      <c r="N1658" s="4" t="s">
        <v>1268</v>
      </c>
      <c r="O1658" s="4" t="s">
        <v>530</v>
      </c>
    </row>
    <row r="1659" spans="2:15">
      <c r="B1659" s="20">
        <v>45401</v>
      </c>
      <c r="C1659" s="20">
        <v>45401</v>
      </c>
      <c r="D1659" s="54">
        <v>50470190</v>
      </c>
      <c r="E1659" s="55" t="s">
        <v>12</v>
      </c>
      <c r="G1659" s="68">
        <v>9273600</v>
      </c>
      <c r="H1659" s="56" t="s">
        <v>92</v>
      </c>
      <c r="J1659" s="56">
        <v>1751</v>
      </c>
      <c r="L1659" s="56" t="s">
        <v>958</v>
      </c>
      <c r="M1659" s="4" t="s">
        <v>392</v>
      </c>
      <c r="N1659" s="4" t="s">
        <v>1275</v>
      </c>
      <c r="O1659" s="4" t="s">
        <v>530</v>
      </c>
    </row>
    <row r="1660" spans="2:15">
      <c r="B1660" s="20">
        <v>45401</v>
      </c>
      <c r="C1660" s="20">
        <v>45401</v>
      </c>
      <c r="D1660" s="54">
        <v>50814629</v>
      </c>
      <c r="E1660" s="55" t="s">
        <v>1226</v>
      </c>
      <c r="G1660" s="68">
        <v>564.35</v>
      </c>
      <c r="H1660" s="56" t="s">
        <v>82</v>
      </c>
      <c r="J1660" s="56">
        <v>494</v>
      </c>
      <c r="L1660" s="56" t="s">
        <v>1227</v>
      </c>
      <c r="M1660" s="4" t="s">
        <v>660</v>
      </c>
      <c r="N1660" s="4" t="s">
        <v>1203</v>
      </c>
      <c r="O1660" s="4" t="s">
        <v>530</v>
      </c>
    </row>
    <row r="1661" spans="2:15">
      <c r="B1661" s="20">
        <v>45404</v>
      </c>
      <c r="C1661" s="20">
        <v>45404</v>
      </c>
      <c r="D1661" s="54">
        <v>50142631</v>
      </c>
      <c r="E1661" s="55" t="s">
        <v>566</v>
      </c>
      <c r="G1661" s="68">
        <v>1500</v>
      </c>
      <c r="H1661" s="56" t="s">
        <v>82</v>
      </c>
      <c r="J1661" s="56">
        <v>1963</v>
      </c>
      <c r="L1661" s="56" t="s">
        <v>567</v>
      </c>
      <c r="M1661" s="4" t="s">
        <v>568</v>
      </c>
      <c r="N1661" s="4" t="s">
        <v>569</v>
      </c>
      <c r="O1661" s="4" t="s">
        <v>530</v>
      </c>
    </row>
    <row r="1662" spans="2:15">
      <c r="B1662" s="20">
        <v>45404</v>
      </c>
      <c r="C1662" s="20">
        <v>45404</v>
      </c>
      <c r="D1662" s="54">
        <v>50272278</v>
      </c>
      <c r="E1662" s="55" t="s">
        <v>21</v>
      </c>
      <c r="G1662" s="68">
        <v>800</v>
      </c>
      <c r="H1662" s="56" t="s">
        <v>92</v>
      </c>
      <c r="J1662" s="56">
        <v>34657</v>
      </c>
      <c r="L1662" s="56" t="s">
        <v>838</v>
      </c>
      <c r="M1662" s="4" t="s">
        <v>838</v>
      </c>
      <c r="N1662" s="4" t="s">
        <v>177</v>
      </c>
      <c r="O1662" s="4" t="s">
        <v>530</v>
      </c>
    </row>
    <row r="1663" spans="2:15">
      <c r="B1663" s="20">
        <v>45404</v>
      </c>
      <c r="C1663" s="20">
        <v>45404</v>
      </c>
      <c r="D1663" s="54">
        <v>50144376</v>
      </c>
      <c r="E1663" s="55" t="s">
        <v>19</v>
      </c>
      <c r="G1663" s="68">
        <v>850</v>
      </c>
      <c r="H1663" s="56" t="s">
        <v>92</v>
      </c>
      <c r="J1663" s="56">
        <v>34657</v>
      </c>
      <c r="L1663" s="56" t="s">
        <v>262</v>
      </c>
      <c r="M1663" s="4" t="s">
        <v>262</v>
      </c>
      <c r="N1663" s="4" t="s">
        <v>1268</v>
      </c>
      <c r="O1663" s="4" t="s">
        <v>530</v>
      </c>
    </row>
    <row r="1664" spans="2:15">
      <c r="B1664" s="20">
        <v>45404</v>
      </c>
      <c r="C1664" s="20">
        <v>45404</v>
      </c>
      <c r="D1664" s="54">
        <v>50799770</v>
      </c>
      <c r="E1664" s="55" t="s">
        <v>17</v>
      </c>
      <c r="G1664" s="68">
        <v>6500</v>
      </c>
      <c r="H1664" s="56" t="s">
        <v>92</v>
      </c>
      <c r="J1664" s="56">
        <v>34657</v>
      </c>
      <c r="L1664" s="56" t="s">
        <v>262</v>
      </c>
      <c r="M1664" s="4" t="s">
        <v>262</v>
      </c>
      <c r="N1664" s="4" t="s">
        <v>1268</v>
      </c>
      <c r="O1664" s="4" t="s">
        <v>530</v>
      </c>
    </row>
    <row r="1665" spans="2:15">
      <c r="B1665" s="20">
        <v>45405</v>
      </c>
      <c r="C1665" s="20">
        <v>45405</v>
      </c>
      <c r="D1665" s="54">
        <v>50809144</v>
      </c>
      <c r="E1665" s="55" t="s">
        <v>989</v>
      </c>
      <c r="G1665" s="68">
        <v>2058.9</v>
      </c>
      <c r="H1665" s="56" t="s">
        <v>82</v>
      </c>
      <c r="J1665" s="56">
        <v>505</v>
      </c>
      <c r="L1665" s="56" t="s">
        <v>947</v>
      </c>
      <c r="M1665" s="4" t="s">
        <v>660</v>
      </c>
      <c r="N1665" s="4" t="s">
        <v>353</v>
      </c>
      <c r="O1665" s="4" t="s">
        <v>530</v>
      </c>
    </row>
    <row r="1666" spans="2:15">
      <c r="B1666" s="20">
        <v>45405</v>
      </c>
      <c r="C1666" s="20">
        <v>45405</v>
      </c>
      <c r="D1666" s="54">
        <v>50144376</v>
      </c>
      <c r="E1666" s="55" t="s">
        <v>19</v>
      </c>
      <c r="G1666" s="68">
        <v>13000</v>
      </c>
      <c r="H1666" s="56" t="s">
        <v>92</v>
      </c>
      <c r="J1666" s="56">
        <v>1616</v>
      </c>
      <c r="L1666" s="56" t="s">
        <v>262</v>
      </c>
      <c r="M1666" s="4" t="s">
        <v>262</v>
      </c>
      <c r="N1666" s="4" t="s">
        <v>1268</v>
      </c>
      <c r="O1666" s="4" t="s">
        <v>530</v>
      </c>
    </row>
    <row r="1667" spans="2:15">
      <c r="B1667" s="20">
        <v>45406</v>
      </c>
      <c r="C1667" s="20">
        <v>45406</v>
      </c>
      <c r="D1667" s="54">
        <v>50272278</v>
      </c>
      <c r="E1667" s="55" t="s">
        <v>21</v>
      </c>
      <c r="G1667" s="68">
        <v>13000</v>
      </c>
      <c r="H1667" s="56" t="s">
        <v>92</v>
      </c>
      <c r="J1667" s="56">
        <v>1619</v>
      </c>
      <c r="L1667" s="56" t="s">
        <v>262</v>
      </c>
      <c r="M1667" s="4" t="s">
        <v>262</v>
      </c>
      <c r="N1667" s="4" t="s">
        <v>1268</v>
      </c>
      <c r="O1667" s="4" t="s">
        <v>530</v>
      </c>
    </row>
    <row r="1668" spans="2:15">
      <c r="B1668" s="20">
        <v>45407</v>
      </c>
      <c r="C1668" s="20">
        <v>45407</v>
      </c>
      <c r="D1668" s="54">
        <v>50818948</v>
      </c>
      <c r="E1668" s="55" t="s">
        <v>1173</v>
      </c>
      <c r="G1668" s="68">
        <v>4580680</v>
      </c>
      <c r="H1668" s="56" t="s">
        <v>92</v>
      </c>
      <c r="J1668" s="56" t="s">
        <v>1276</v>
      </c>
      <c r="L1668" s="56" t="s">
        <v>1271</v>
      </c>
      <c r="M1668" s="4" t="s">
        <v>1277</v>
      </c>
      <c r="N1668" s="4" t="s">
        <v>1278</v>
      </c>
      <c r="O1668" s="4" t="s">
        <v>530</v>
      </c>
    </row>
    <row r="1669" spans="2:15">
      <c r="B1669" s="20">
        <v>45407</v>
      </c>
      <c r="C1669" s="20">
        <v>45407</v>
      </c>
      <c r="D1669" s="54">
        <v>50818947</v>
      </c>
      <c r="E1669" s="55" t="s">
        <v>1174</v>
      </c>
      <c r="G1669" s="68">
        <v>6193760</v>
      </c>
      <c r="H1669" s="56" t="s">
        <v>92</v>
      </c>
      <c r="J1669" s="56" t="s">
        <v>1276</v>
      </c>
      <c r="L1669" s="56" t="s">
        <v>1271</v>
      </c>
      <c r="M1669" s="4" t="s">
        <v>1277</v>
      </c>
      <c r="N1669" s="4" t="s">
        <v>1278</v>
      </c>
      <c r="O1669" s="4" t="s">
        <v>530</v>
      </c>
    </row>
    <row r="1670" spans="2:15">
      <c r="B1670" s="20">
        <v>45407</v>
      </c>
      <c r="C1670" s="20">
        <v>45407</v>
      </c>
      <c r="D1670" s="54">
        <v>50818964</v>
      </c>
      <c r="E1670" s="55" t="s">
        <v>1279</v>
      </c>
      <c r="G1670" s="68">
        <v>38713</v>
      </c>
      <c r="H1670" s="56" t="s">
        <v>92</v>
      </c>
      <c r="J1670" s="56" t="s">
        <v>1276</v>
      </c>
      <c r="L1670" s="56" t="s">
        <v>1271</v>
      </c>
      <c r="M1670" s="4" t="s">
        <v>1277</v>
      </c>
      <c r="N1670" s="4" t="s">
        <v>1278</v>
      </c>
      <c r="O1670" s="4" t="s">
        <v>530</v>
      </c>
    </row>
    <row r="1671" spans="2:15">
      <c r="B1671" s="20">
        <v>45407</v>
      </c>
      <c r="C1671" s="20">
        <v>45407</v>
      </c>
      <c r="D1671" s="54">
        <v>50809144</v>
      </c>
      <c r="E1671" s="55" t="s">
        <v>989</v>
      </c>
      <c r="G1671" s="68">
        <v>2668.75</v>
      </c>
      <c r="H1671" s="56" t="s">
        <v>82</v>
      </c>
      <c r="J1671" s="56">
        <v>513</v>
      </c>
      <c r="L1671" s="56" t="s">
        <v>1227</v>
      </c>
      <c r="M1671" s="4" t="s">
        <v>660</v>
      </c>
      <c r="N1671" s="4" t="s">
        <v>353</v>
      </c>
      <c r="O1671" s="4" t="s">
        <v>530</v>
      </c>
    </row>
    <row r="1672" spans="2:15">
      <c r="B1672" s="20">
        <v>45407</v>
      </c>
      <c r="C1672" s="20">
        <v>45407</v>
      </c>
      <c r="D1672" s="54">
        <v>50814629</v>
      </c>
      <c r="E1672" s="55" t="s">
        <v>1226</v>
      </c>
      <c r="G1672" s="68">
        <v>2030.25</v>
      </c>
      <c r="H1672" s="56" t="s">
        <v>82</v>
      </c>
      <c r="J1672" s="56">
        <v>509</v>
      </c>
      <c r="L1672" s="56" t="s">
        <v>1227</v>
      </c>
      <c r="M1672" s="4" t="s">
        <v>660</v>
      </c>
      <c r="N1672" s="4" t="s">
        <v>1203</v>
      </c>
      <c r="O1672" s="4" t="s">
        <v>530</v>
      </c>
    </row>
    <row r="1673" spans="2:15">
      <c r="B1673" s="20">
        <v>45437</v>
      </c>
      <c r="C1673" s="20">
        <v>45407</v>
      </c>
      <c r="D1673" s="54">
        <v>50272278</v>
      </c>
      <c r="E1673" s="55" t="s">
        <v>21</v>
      </c>
      <c r="G1673" s="68">
        <v>16800</v>
      </c>
      <c r="H1673" s="56" t="s">
        <v>92</v>
      </c>
      <c r="J1673" s="56" t="s">
        <v>1280</v>
      </c>
      <c r="L1673" s="56" t="s">
        <v>934</v>
      </c>
      <c r="M1673" s="4" t="s">
        <v>1281</v>
      </c>
      <c r="N1673" s="4" t="s">
        <v>1282</v>
      </c>
      <c r="O1673" s="4" t="s">
        <v>530</v>
      </c>
    </row>
    <row r="1674" spans="2:15">
      <c r="B1674" s="20">
        <v>45408</v>
      </c>
      <c r="C1674" s="20">
        <v>45408</v>
      </c>
      <c r="D1674" s="54">
        <v>50470190</v>
      </c>
      <c r="E1674" s="55" t="s">
        <v>12</v>
      </c>
      <c r="G1674" s="68">
        <v>9273600</v>
      </c>
      <c r="H1674" s="56" t="s">
        <v>962</v>
      </c>
      <c r="J1674" s="56">
        <v>1900</v>
      </c>
      <c r="L1674" s="56" t="s">
        <v>958</v>
      </c>
      <c r="M1674" s="4" t="s">
        <v>392</v>
      </c>
      <c r="N1674" s="4" t="s">
        <v>1275</v>
      </c>
      <c r="O1674" s="4" t="s">
        <v>530</v>
      </c>
    </row>
    <row r="1675" spans="2:15">
      <c r="B1675" s="20">
        <v>45408</v>
      </c>
      <c r="C1675" s="20">
        <v>45408</v>
      </c>
      <c r="D1675" s="54">
        <v>50802401</v>
      </c>
      <c r="E1675" s="55" t="s">
        <v>13</v>
      </c>
      <c r="G1675" s="68">
        <v>9273600</v>
      </c>
      <c r="H1675" s="56" t="s">
        <v>962</v>
      </c>
      <c r="J1675" s="56" t="s">
        <v>1283</v>
      </c>
      <c r="L1675" s="56" t="s">
        <v>1117</v>
      </c>
      <c r="M1675" s="4" t="s">
        <v>1253</v>
      </c>
      <c r="N1675" s="4" t="s">
        <v>1284</v>
      </c>
      <c r="O1675" s="4" t="s">
        <v>530</v>
      </c>
    </row>
    <row r="1676" spans="2:15">
      <c r="B1676" s="20">
        <v>45411</v>
      </c>
      <c r="C1676" s="20">
        <v>45411</v>
      </c>
      <c r="D1676" s="54">
        <v>50809147</v>
      </c>
      <c r="E1676" s="55" t="s">
        <v>930</v>
      </c>
      <c r="G1676" s="68">
        <v>5022.1</v>
      </c>
      <c r="H1676" s="56" t="s">
        <v>82</v>
      </c>
      <c r="J1676" s="56">
        <v>521</v>
      </c>
      <c r="L1676" s="56" t="s">
        <v>1227</v>
      </c>
      <c r="M1676" s="4" t="s">
        <v>660</v>
      </c>
      <c r="N1676" s="4" t="s">
        <v>1203</v>
      </c>
      <c r="O1676" s="4" t="s">
        <v>530</v>
      </c>
    </row>
    <row r="1677" spans="2:15">
      <c r="B1677" s="20">
        <v>45414</v>
      </c>
      <c r="C1677" s="20">
        <v>45414</v>
      </c>
      <c r="D1677" s="54">
        <v>50272278</v>
      </c>
      <c r="E1677" s="55" t="s">
        <v>21</v>
      </c>
      <c r="G1677" s="68">
        <v>13000</v>
      </c>
      <c r="H1677" s="56" t="s">
        <v>92</v>
      </c>
      <c r="J1677" s="56">
        <v>1637</v>
      </c>
      <c r="L1677" s="56" t="s">
        <v>262</v>
      </c>
      <c r="M1677" s="4" t="s">
        <v>262</v>
      </c>
      <c r="N1677" s="4" t="s">
        <v>1274</v>
      </c>
      <c r="O1677" s="4" t="s">
        <v>530</v>
      </c>
    </row>
    <row r="1678" spans="2:15">
      <c r="B1678" s="20">
        <v>45414</v>
      </c>
      <c r="C1678" s="20">
        <v>45414</v>
      </c>
      <c r="D1678" s="54">
        <v>50534881</v>
      </c>
      <c r="E1678" s="55" t="s">
        <v>227</v>
      </c>
      <c r="G1678" s="68">
        <v>72000</v>
      </c>
      <c r="H1678" s="56" t="s">
        <v>92</v>
      </c>
      <c r="J1678" s="56">
        <v>34986</v>
      </c>
      <c r="L1678" s="56" t="s">
        <v>838</v>
      </c>
      <c r="M1678" s="4" t="s">
        <v>176</v>
      </c>
      <c r="N1678" s="4" t="s">
        <v>177</v>
      </c>
      <c r="O1678" s="4" t="s">
        <v>530</v>
      </c>
    </row>
    <row r="1679" spans="2:15">
      <c r="B1679" s="20">
        <v>45414</v>
      </c>
      <c r="C1679" s="20">
        <v>45414</v>
      </c>
      <c r="D1679" s="54">
        <v>50799770</v>
      </c>
      <c r="E1679" s="55" t="s">
        <v>17</v>
      </c>
      <c r="G1679" s="68">
        <v>6500</v>
      </c>
      <c r="H1679" s="56" t="s">
        <v>92</v>
      </c>
      <c r="J1679" s="56">
        <v>34986</v>
      </c>
      <c r="L1679" s="56" t="s">
        <v>838</v>
      </c>
      <c r="M1679" s="4" t="s">
        <v>176</v>
      </c>
      <c r="N1679" s="4" t="s">
        <v>177</v>
      </c>
      <c r="O1679" s="4" t="s">
        <v>530</v>
      </c>
    </row>
    <row r="1680" spans="2:15">
      <c r="B1680" s="20">
        <v>45414</v>
      </c>
      <c r="C1680" s="20">
        <v>45414</v>
      </c>
      <c r="D1680" s="54">
        <v>50142373</v>
      </c>
      <c r="E1680" s="55" t="s">
        <v>1130</v>
      </c>
      <c r="G1680" s="68">
        <v>150</v>
      </c>
      <c r="H1680" s="56" t="s">
        <v>82</v>
      </c>
      <c r="J1680" s="56">
        <v>34986</v>
      </c>
      <c r="L1680" s="56" t="s">
        <v>838</v>
      </c>
      <c r="M1680" s="4" t="s">
        <v>176</v>
      </c>
      <c r="N1680" s="4" t="s">
        <v>177</v>
      </c>
      <c r="O1680" s="4" t="s">
        <v>530</v>
      </c>
    </row>
    <row r="1681" spans="2:15">
      <c r="B1681" s="20">
        <v>45415</v>
      </c>
      <c r="C1681" s="20">
        <v>45415</v>
      </c>
      <c r="D1681" s="54">
        <v>50272278</v>
      </c>
      <c r="E1681" s="55" t="s">
        <v>21</v>
      </c>
      <c r="G1681" s="68">
        <v>2000</v>
      </c>
      <c r="H1681" s="56" t="s">
        <v>92</v>
      </c>
      <c r="J1681" s="56">
        <v>1941</v>
      </c>
      <c r="L1681" s="56" t="s">
        <v>262</v>
      </c>
      <c r="M1681" s="4" t="s">
        <v>262</v>
      </c>
      <c r="N1681" s="4" t="s">
        <v>364</v>
      </c>
      <c r="O1681" s="4" t="s">
        <v>530</v>
      </c>
    </row>
    <row r="1682" spans="2:15">
      <c r="B1682" s="20">
        <v>45415</v>
      </c>
      <c r="C1682" s="20">
        <v>45415</v>
      </c>
      <c r="D1682" s="54">
        <v>50799770</v>
      </c>
      <c r="E1682" s="55" t="s">
        <v>17</v>
      </c>
      <c r="G1682" s="68">
        <v>4000</v>
      </c>
      <c r="H1682" s="56" t="s">
        <v>92</v>
      </c>
      <c r="J1682" s="56">
        <v>1942</v>
      </c>
      <c r="L1682" s="56" t="s">
        <v>262</v>
      </c>
      <c r="M1682" s="4" t="s">
        <v>262</v>
      </c>
      <c r="N1682" s="4" t="s">
        <v>364</v>
      </c>
      <c r="O1682" s="4" t="s">
        <v>530</v>
      </c>
    </row>
    <row r="1683" spans="2:15">
      <c r="B1683" s="20">
        <v>45418</v>
      </c>
      <c r="C1683" s="20">
        <v>45418</v>
      </c>
      <c r="D1683" s="54">
        <v>50809353</v>
      </c>
      <c r="E1683" s="55" t="s">
        <v>905</v>
      </c>
      <c r="G1683" s="68">
        <v>375</v>
      </c>
      <c r="H1683" s="56" t="s">
        <v>82</v>
      </c>
      <c r="J1683" s="56">
        <v>35064</v>
      </c>
      <c r="L1683" s="56" t="s">
        <v>838</v>
      </c>
      <c r="M1683" s="4" t="s">
        <v>176</v>
      </c>
      <c r="N1683" s="4" t="s">
        <v>177</v>
      </c>
      <c r="O1683" s="4" t="s">
        <v>530</v>
      </c>
    </row>
    <row r="1684" spans="2:15">
      <c r="B1684" s="20">
        <v>45418</v>
      </c>
      <c r="C1684" s="20">
        <v>45418</v>
      </c>
      <c r="D1684" s="54">
        <v>50143893</v>
      </c>
      <c r="E1684" s="55" t="s">
        <v>24</v>
      </c>
      <c r="G1684" s="68">
        <v>2970</v>
      </c>
      <c r="H1684" s="56" t="s">
        <v>92</v>
      </c>
      <c r="J1684" s="56">
        <v>35064</v>
      </c>
      <c r="L1684" s="56" t="s">
        <v>838</v>
      </c>
      <c r="M1684" s="4" t="s">
        <v>176</v>
      </c>
      <c r="N1684" s="4" t="s">
        <v>177</v>
      </c>
      <c r="O1684" s="4" t="s">
        <v>530</v>
      </c>
    </row>
    <row r="1685" spans="2:15">
      <c r="B1685" s="20">
        <v>45419</v>
      </c>
      <c r="C1685" s="20">
        <v>45419</v>
      </c>
      <c r="D1685" s="54">
        <v>50142237</v>
      </c>
      <c r="E1685" s="55" t="s">
        <v>617</v>
      </c>
      <c r="G1685" s="68">
        <v>50000</v>
      </c>
      <c r="H1685" s="56" t="s">
        <v>92</v>
      </c>
      <c r="J1685" s="56">
        <v>5640</v>
      </c>
      <c r="L1685" s="56" t="s">
        <v>1015</v>
      </c>
      <c r="M1685" s="4" t="s">
        <v>1015</v>
      </c>
      <c r="N1685" s="4" t="s">
        <v>765</v>
      </c>
      <c r="O1685" s="4" t="s">
        <v>530</v>
      </c>
    </row>
    <row r="1686" spans="2:15">
      <c r="B1686" s="20">
        <v>45419</v>
      </c>
      <c r="C1686" s="20">
        <v>45419</v>
      </c>
      <c r="D1686" s="54">
        <v>50470190</v>
      </c>
      <c r="E1686" s="55" t="s">
        <v>12</v>
      </c>
      <c r="G1686" s="68">
        <v>9273600</v>
      </c>
      <c r="H1686" s="56" t="s">
        <v>92</v>
      </c>
      <c r="J1686" s="56">
        <v>1193</v>
      </c>
      <c r="L1686" s="56" t="s">
        <v>958</v>
      </c>
      <c r="M1686" s="4" t="s">
        <v>392</v>
      </c>
      <c r="N1686" s="4" t="s">
        <v>1285</v>
      </c>
      <c r="O1686" s="4" t="s">
        <v>530</v>
      </c>
    </row>
    <row r="1687" spans="2:15">
      <c r="B1687" s="20">
        <v>45420</v>
      </c>
      <c r="C1687" s="20">
        <v>45420</v>
      </c>
      <c r="D1687" s="54">
        <v>50272278</v>
      </c>
      <c r="E1687" s="55" t="s">
        <v>21</v>
      </c>
      <c r="G1687" s="68">
        <v>13000</v>
      </c>
      <c r="H1687" s="56" t="s">
        <v>92</v>
      </c>
      <c r="J1687" s="56">
        <v>1660</v>
      </c>
      <c r="L1687" s="56" t="s">
        <v>262</v>
      </c>
      <c r="M1687" s="4" t="s">
        <v>262</v>
      </c>
      <c r="N1687" s="4" t="s">
        <v>1274</v>
      </c>
      <c r="O1687" s="4" t="s">
        <v>530</v>
      </c>
    </row>
    <row r="1688" spans="2:15">
      <c r="B1688" s="20">
        <v>45421</v>
      </c>
      <c r="C1688" s="20">
        <v>45421</v>
      </c>
      <c r="D1688" s="54">
        <v>50144376</v>
      </c>
      <c r="E1688" s="55" t="s">
        <v>19</v>
      </c>
      <c r="G1688" s="68">
        <v>13000</v>
      </c>
      <c r="H1688" s="56" t="s">
        <v>92</v>
      </c>
      <c r="J1688" s="56">
        <v>1667</v>
      </c>
      <c r="L1688" s="56" t="s">
        <v>262</v>
      </c>
      <c r="M1688" s="4" t="s">
        <v>262</v>
      </c>
      <c r="N1688" s="4" t="s">
        <v>1274</v>
      </c>
      <c r="O1688" s="4" t="s">
        <v>530</v>
      </c>
    </row>
    <row r="1689" spans="2:15">
      <c r="B1689" s="20">
        <v>45425</v>
      </c>
      <c r="C1689" s="20">
        <v>45425</v>
      </c>
      <c r="D1689" s="54">
        <v>50470190</v>
      </c>
      <c r="E1689" s="55" t="s">
        <v>12</v>
      </c>
      <c r="G1689" s="68">
        <v>9273600</v>
      </c>
      <c r="H1689" s="56" t="s">
        <v>92</v>
      </c>
      <c r="J1689" s="56">
        <v>2109</v>
      </c>
      <c r="L1689" s="56" t="s">
        <v>958</v>
      </c>
      <c r="M1689" s="4" t="s">
        <v>392</v>
      </c>
      <c r="N1689" s="4" t="s">
        <v>1275</v>
      </c>
      <c r="O1689" s="4" t="s">
        <v>530</v>
      </c>
    </row>
    <row r="1690" spans="2:15">
      <c r="B1690" s="20">
        <v>45425</v>
      </c>
      <c r="C1690" s="20">
        <v>45425</v>
      </c>
      <c r="D1690" s="54">
        <v>50144376</v>
      </c>
      <c r="E1690" s="55" t="s">
        <v>19</v>
      </c>
      <c r="G1690" s="68">
        <v>13000</v>
      </c>
      <c r="H1690" s="56" t="s">
        <v>92</v>
      </c>
      <c r="J1690" s="56">
        <v>1676</v>
      </c>
      <c r="L1690" s="56" t="s">
        <v>262</v>
      </c>
      <c r="M1690" s="4" t="s">
        <v>262</v>
      </c>
      <c r="N1690" s="4" t="s">
        <v>1274</v>
      </c>
      <c r="O1690" s="4" t="s">
        <v>530</v>
      </c>
    </row>
    <row r="1691" spans="2:15">
      <c r="B1691" s="20">
        <v>45425</v>
      </c>
      <c r="C1691" s="20">
        <v>45425</v>
      </c>
      <c r="D1691" s="54">
        <v>50145187</v>
      </c>
      <c r="E1691" s="55" t="s">
        <v>465</v>
      </c>
      <c r="G1691" s="68">
        <v>7106000</v>
      </c>
      <c r="H1691" s="56" t="s">
        <v>92</v>
      </c>
      <c r="J1691" s="56" t="s">
        <v>1286</v>
      </c>
      <c r="L1691" s="56" t="s">
        <v>877</v>
      </c>
      <c r="M1691" s="4" t="s">
        <v>1265</v>
      </c>
      <c r="N1691" s="4" t="s">
        <v>1287</v>
      </c>
      <c r="O1691" s="4" t="s">
        <v>530</v>
      </c>
    </row>
    <row r="1692" spans="2:15">
      <c r="B1692" s="20">
        <v>45425</v>
      </c>
      <c r="C1692" s="20">
        <v>45425</v>
      </c>
      <c r="D1692" s="54">
        <v>50392470</v>
      </c>
      <c r="E1692" s="55" t="s">
        <v>841</v>
      </c>
      <c r="G1692" s="68">
        <v>1045000</v>
      </c>
      <c r="H1692" s="56" t="s">
        <v>92</v>
      </c>
      <c r="J1692" s="56" t="s">
        <v>1286</v>
      </c>
      <c r="L1692" s="56" t="s">
        <v>877</v>
      </c>
      <c r="M1692" s="4" t="s">
        <v>1265</v>
      </c>
      <c r="N1692" s="4" t="s">
        <v>1287</v>
      </c>
      <c r="O1692" s="4" t="s">
        <v>530</v>
      </c>
    </row>
    <row r="1693" spans="2:15">
      <c r="B1693" s="20">
        <v>45425</v>
      </c>
      <c r="C1693" s="20">
        <v>45425</v>
      </c>
      <c r="D1693" s="54">
        <v>50232060</v>
      </c>
      <c r="E1693" s="55" t="s">
        <v>361</v>
      </c>
      <c r="G1693" s="68">
        <v>2695000</v>
      </c>
      <c r="H1693" s="56" t="s">
        <v>92</v>
      </c>
      <c r="J1693" s="56" t="s">
        <v>1286</v>
      </c>
      <c r="L1693" s="56" t="s">
        <v>877</v>
      </c>
      <c r="M1693" s="4" t="s">
        <v>1265</v>
      </c>
      <c r="N1693" s="4" t="s">
        <v>1287</v>
      </c>
      <c r="O1693" s="4" t="s">
        <v>530</v>
      </c>
    </row>
    <row r="1694" spans="2:15">
      <c r="B1694" s="20">
        <v>45426</v>
      </c>
      <c r="C1694" s="20">
        <v>45426</v>
      </c>
      <c r="D1694" s="54">
        <v>50799770</v>
      </c>
      <c r="E1694" s="55" t="s">
        <v>17</v>
      </c>
      <c r="G1694" s="68">
        <v>2500</v>
      </c>
      <c r="H1694" s="56" t="s">
        <v>92</v>
      </c>
      <c r="J1694" s="56" t="s">
        <v>1288</v>
      </c>
      <c r="L1694" s="56" t="s">
        <v>262</v>
      </c>
      <c r="M1694" s="4" t="s">
        <v>262</v>
      </c>
      <c r="N1694" s="4" t="s">
        <v>1274</v>
      </c>
      <c r="O1694" s="4" t="s">
        <v>530</v>
      </c>
    </row>
    <row r="1695" spans="2:15">
      <c r="B1695" s="20">
        <v>45426</v>
      </c>
      <c r="C1695" s="20">
        <v>45426</v>
      </c>
      <c r="D1695" s="54">
        <v>50272278</v>
      </c>
      <c r="E1695" s="55" t="s">
        <v>21</v>
      </c>
      <c r="G1695" s="68">
        <v>7000</v>
      </c>
      <c r="H1695" s="56" t="s">
        <v>92</v>
      </c>
      <c r="J1695" s="56" t="s">
        <v>1289</v>
      </c>
      <c r="L1695" s="56" t="s">
        <v>262</v>
      </c>
      <c r="M1695" s="4" t="s">
        <v>262</v>
      </c>
      <c r="N1695" s="4" t="s">
        <v>1274</v>
      </c>
      <c r="O1695" s="4" t="s">
        <v>530</v>
      </c>
    </row>
    <row r="1696" spans="2:15">
      <c r="B1696" s="20">
        <v>45426</v>
      </c>
      <c r="C1696" s="20">
        <v>45426</v>
      </c>
      <c r="D1696" s="54">
        <v>50799770</v>
      </c>
      <c r="E1696" s="55" t="s">
        <v>17</v>
      </c>
      <c r="G1696" s="68">
        <v>3500</v>
      </c>
      <c r="H1696" s="56" t="s">
        <v>92</v>
      </c>
      <c r="J1696" s="56" t="s">
        <v>1290</v>
      </c>
      <c r="L1696" s="56" t="s">
        <v>262</v>
      </c>
      <c r="M1696" s="4" t="s">
        <v>262</v>
      </c>
      <c r="N1696" s="4" t="s">
        <v>1274</v>
      </c>
      <c r="O1696" s="4" t="s">
        <v>530</v>
      </c>
    </row>
    <row r="1697" spans="2:15">
      <c r="B1697" s="20">
        <v>45426</v>
      </c>
      <c r="C1697" s="20">
        <v>45426</v>
      </c>
      <c r="D1697" s="54">
        <v>50142551</v>
      </c>
      <c r="E1697" s="55" t="s">
        <v>215</v>
      </c>
      <c r="G1697" s="68">
        <v>355</v>
      </c>
      <c r="H1697" s="56" t="s">
        <v>92</v>
      </c>
      <c r="J1697" s="56" t="s">
        <v>1291</v>
      </c>
      <c r="L1697" s="56" t="s">
        <v>558</v>
      </c>
      <c r="M1697" s="4" t="s">
        <v>558</v>
      </c>
      <c r="N1697" s="4" t="s">
        <v>1292</v>
      </c>
      <c r="O1697" s="4" t="s">
        <v>530</v>
      </c>
    </row>
    <row r="1698" spans="2:15">
      <c r="B1698" s="20">
        <v>45426</v>
      </c>
      <c r="C1698" s="20">
        <v>45426</v>
      </c>
      <c r="D1698" s="54">
        <v>50142397</v>
      </c>
      <c r="E1698" s="55" t="s">
        <v>557</v>
      </c>
      <c r="G1698" s="68">
        <v>140</v>
      </c>
      <c r="H1698" s="56" t="s">
        <v>92</v>
      </c>
      <c r="J1698" s="56" t="s">
        <v>1291</v>
      </c>
      <c r="L1698" s="56" t="s">
        <v>558</v>
      </c>
      <c r="M1698" s="4" t="s">
        <v>558</v>
      </c>
      <c r="N1698" s="4" t="s">
        <v>1292</v>
      </c>
      <c r="O1698" s="4" t="s">
        <v>530</v>
      </c>
    </row>
    <row r="1699" spans="2:15">
      <c r="B1699" s="20">
        <v>45426</v>
      </c>
      <c r="C1699" s="20">
        <v>45426</v>
      </c>
      <c r="D1699" s="54">
        <v>50142455</v>
      </c>
      <c r="E1699" s="55" t="s">
        <v>560</v>
      </c>
      <c r="G1699" s="68">
        <v>650</v>
      </c>
      <c r="H1699" s="56" t="s">
        <v>92</v>
      </c>
      <c r="J1699" s="56" t="s">
        <v>1291</v>
      </c>
      <c r="L1699" s="56" t="s">
        <v>558</v>
      </c>
      <c r="M1699" s="4" t="s">
        <v>558</v>
      </c>
      <c r="N1699" s="4" t="s">
        <v>1292</v>
      </c>
      <c r="O1699" s="4" t="s">
        <v>530</v>
      </c>
    </row>
    <row r="1700" spans="2:15">
      <c r="B1700" s="20">
        <v>45428</v>
      </c>
      <c r="C1700" s="20">
        <v>45428</v>
      </c>
      <c r="D1700" s="54">
        <v>50813995</v>
      </c>
      <c r="E1700" s="55" t="s">
        <v>960</v>
      </c>
      <c r="G1700" s="68">
        <v>3376.45</v>
      </c>
      <c r="H1700" s="56" t="s">
        <v>82</v>
      </c>
      <c r="J1700" s="56">
        <v>557</v>
      </c>
      <c r="L1700" s="56" t="s">
        <v>1227</v>
      </c>
      <c r="M1700" s="4" t="s">
        <v>660</v>
      </c>
      <c r="N1700" s="4" t="s">
        <v>1203</v>
      </c>
      <c r="O1700" s="4" t="s">
        <v>530</v>
      </c>
    </row>
    <row r="1701" spans="2:15">
      <c r="B1701" s="20">
        <v>45432</v>
      </c>
      <c r="C1701" s="20">
        <v>45432</v>
      </c>
      <c r="D1701" s="54">
        <v>50144376</v>
      </c>
      <c r="E1701" s="55" t="s">
        <v>19</v>
      </c>
      <c r="G1701" s="68">
        <v>13000</v>
      </c>
      <c r="H1701" s="56" t="s">
        <v>92</v>
      </c>
      <c r="J1701" s="56">
        <v>1689</v>
      </c>
      <c r="L1701" s="56" t="s">
        <v>262</v>
      </c>
      <c r="M1701" s="4" t="s">
        <v>262</v>
      </c>
      <c r="N1701" s="4" t="s">
        <v>1274</v>
      </c>
      <c r="O1701" s="4" t="s">
        <v>530</v>
      </c>
    </row>
    <row r="1702" spans="2:15">
      <c r="B1702" s="20">
        <v>45433</v>
      </c>
      <c r="C1702" s="20">
        <v>45433</v>
      </c>
      <c r="D1702" s="54">
        <v>50824293</v>
      </c>
      <c r="E1702" s="55" t="s">
        <v>861</v>
      </c>
      <c r="G1702" s="68">
        <v>3440000</v>
      </c>
      <c r="H1702" s="56" t="s">
        <v>92</v>
      </c>
      <c r="J1702" s="56" t="s">
        <v>1293</v>
      </c>
      <c r="L1702" s="56" t="s">
        <v>1257</v>
      </c>
      <c r="M1702" s="4" t="s">
        <v>392</v>
      </c>
      <c r="N1702" s="4" t="s">
        <v>1294</v>
      </c>
      <c r="O1702" s="4" t="s">
        <v>530</v>
      </c>
    </row>
    <row r="1703" spans="2:15">
      <c r="B1703" s="20">
        <v>45433</v>
      </c>
      <c r="C1703" s="20">
        <v>45433</v>
      </c>
      <c r="D1703" s="54">
        <v>50470190</v>
      </c>
      <c r="E1703" s="55" t="s">
        <v>12</v>
      </c>
      <c r="G1703" s="68">
        <v>9273600</v>
      </c>
      <c r="H1703" s="56" t="s">
        <v>92</v>
      </c>
      <c r="J1703" s="56">
        <v>35545</v>
      </c>
      <c r="L1703" s="56" t="s">
        <v>838</v>
      </c>
      <c r="M1703" s="4" t="s">
        <v>176</v>
      </c>
      <c r="N1703" s="4" t="s">
        <v>177</v>
      </c>
      <c r="O1703" s="4" t="s">
        <v>530</v>
      </c>
    </row>
    <row r="1704" spans="2:15">
      <c r="B1704" s="20">
        <v>45433</v>
      </c>
      <c r="C1704" s="20">
        <v>45433</v>
      </c>
      <c r="D1704" s="54">
        <v>50534881</v>
      </c>
      <c r="E1704" s="55" t="s">
        <v>227</v>
      </c>
      <c r="G1704" s="68">
        <v>27000</v>
      </c>
      <c r="H1704" s="56" t="s">
        <v>92</v>
      </c>
      <c r="J1704" s="56">
        <v>35545</v>
      </c>
      <c r="L1704" s="56" t="s">
        <v>838</v>
      </c>
      <c r="M1704" s="4" t="s">
        <v>176</v>
      </c>
      <c r="N1704" s="4" t="s">
        <v>177</v>
      </c>
      <c r="O1704" s="4" t="s">
        <v>530</v>
      </c>
    </row>
    <row r="1705" spans="2:15">
      <c r="B1705" s="20">
        <v>45433</v>
      </c>
      <c r="C1705" s="20">
        <v>45433</v>
      </c>
      <c r="D1705" s="54">
        <v>50799770</v>
      </c>
      <c r="E1705" s="55" t="s">
        <v>17</v>
      </c>
      <c r="G1705" s="68">
        <v>5500</v>
      </c>
      <c r="H1705" s="56" t="s">
        <v>92</v>
      </c>
      <c r="J1705" s="56">
        <v>35545</v>
      </c>
      <c r="L1705" s="56" t="s">
        <v>838</v>
      </c>
      <c r="M1705" s="4" t="s">
        <v>176</v>
      </c>
      <c r="N1705" s="4" t="s">
        <v>177</v>
      </c>
      <c r="O1705" s="4" t="s">
        <v>530</v>
      </c>
    </row>
    <row r="1706" spans="2:15">
      <c r="B1706" s="20">
        <v>45433</v>
      </c>
      <c r="C1706" s="20">
        <v>45433</v>
      </c>
      <c r="D1706" s="54">
        <v>50144376</v>
      </c>
      <c r="E1706" s="55" t="s">
        <v>19</v>
      </c>
      <c r="G1706" s="68">
        <v>500</v>
      </c>
      <c r="H1706" s="56" t="s">
        <v>92</v>
      </c>
      <c r="J1706" s="56">
        <v>35545</v>
      </c>
      <c r="L1706" s="56" t="s">
        <v>838</v>
      </c>
      <c r="M1706" s="4" t="s">
        <v>176</v>
      </c>
      <c r="N1706" s="4" t="s">
        <v>177</v>
      </c>
      <c r="O1706" s="4" t="s">
        <v>530</v>
      </c>
    </row>
    <row r="1707" spans="2:15">
      <c r="B1707" s="20">
        <v>45434</v>
      </c>
      <c r="C1707" s="20">
        <v>45434</v>
      </c>
      <c r="D1707" s="54">
        <v>50809147</v>
      </c>
      <c r="E1707" s="55" t="s">
        <v>930</v>
      </c>
      <c r="G1707" s="68">
        <v>4419.45</v>
      </c>
      <c r="H1707" s="56" t="s">
        <v>82</v>
      </c>
      <c r="J1707" s="56">
        <v>570</v>
      </c>
      <c r="L1707" s="56" t="s">
        <v>1227</v>
      </c>
      <c r="M1707" s="4" t="s">
        <v>660</v>
      </c>
      <c r="N1707" s="4" t="s">
        <v>1203</v>
      </c>
      <c r="O1707" s="4" t="s">
        <v>530</v>
      </c>
    </row>
    <row r="1708" spans="2:15">
      <c r="B1708" s="20">
        <v>45434</v>
      </c>
      <c r="C1708" s="20">
        <v>45434</v>
      </c>
      <c r="D1708" s="54">
        <v>50272278</v>
      </c>
      <c r="E1708" s="55" t="s">
        <v>21</v>
      </c>
      <c r="G1708" s="68">
        <v>6000</v>
      </c>
      <c r="H1708" s="56" t="s">
        <v>92</v>
      </c>
      <c r="J1708" s="56">
        <v>1704</v>
      </c>
      <c r="L1708" s="56" t="s">
        <v>262</v>
      </c>
      <c r="M1708" s="4" t="s">
        <v>262</v>
      </c>
      <c r="N1708" s="4" t="s">
        <v>364</v>
      </c>
      <c r="O1708" s="4" t="s">
        <v>530</v>
      </c>
    </row>
    <row r="1709" spans="2:15">
      <c r="B1709" s="20">
        <v>45434</v>
      </c>
      <c r="C1709" s="20">
        <v>45434</v>
      </c>
      <c r="D1709" s="54">
        <v>50809146</v>
      </c>
      <c r="E1709" s="55" t="s">
        <v>1030</v>
      </c>
      <c r="G1709" s="68">
        <v>2980</v>
      </c>
      <c r="H1709" s="56" t="s">
        <v>82</v>
      </c>
      <c r="J1709" s="56">
        <v>573</v>
      </c>
      <c r="L1709" s="56" t="s">
        <v>1227</v>
      </c>
      <c r="M1709" s="4" t="s">
        <v>660</v>
      </c>
      <c r="N1709" s="4" t="s">
        <v>1203</v>
      </c>
      <c r="O1709" s="4" t="s">
        <v>530</v>
      </c>
    </row>
    <row r="1710" spans="2:15">
      <c r="B1710" s="20">
        <v>45434</v>
      </c>
      <c r="C1710" s="20">
        <v>45434</v>
      </c>
      <c r="D1710" s="54">
        <v>50829090</v>
      </c>
      <c r="E1710" s="55" t="s">
        <v>1295</v>
      </c>
      <c r="G1710" s="68">
        <v>2919.35</v>
      </c>
      <c r="H1710" s="56" t="s">
        <v>82</v>
      </c>
      <c r="J1710" s="56">
        <v>571</v>
      </c>
      <c r="L1710" s="56" t="s">
        <v>1227</v>
      </c>
      <c r="M1710" s="4" t="s">
        <v>660</v>
      </c>
      <c r="N1710" s="4" t="s">
        <v>1203</v>
      </c>
      <c r="O1710" s="4" t="s">
        <v>530</v>
      </c>
    </row>
    <row r="1711" spans="2:15">
      <c r="B1711" s="20">
        <v>45434</v>
      </c>
      <c r="C1711" s="20">
        <v>45434</v>
      </c>
      <c r="D1711" s="54">
        <v>50144376</v>
      </c>
      <c r="E1711" s="55" t="s">
        <v>19</v>
      </c>
      <c r="G1711" s="68">
        <v>13000</v>
      </c>
      <c r="H1711" s="56" t="s">
        <v>92</v>
      </c>
      <c r="J1711" s="56">
        <v>1706</v>
      </c>
      <c r="L1711" s="56" t="s">
        <v>262</v>
      </c>
      <c r="M1711" s="4" t="s">
        <v>262</v>
      </c>
      <c r="N1711" s="4" t="s">
        <v>1274</v>
      </c>
      <c r="O1711" s="4" t="s">
        <v>530</v>
      </c>
    </row>
    <row r="1712" spans="2:15">
      <c r="B1712" s="20">
        <v>45435</v>
      </c>
      <c r="C1712" s="20">
        <v>45435</v>
      </c>
      <c r="D1712" s="54">
        <v>50397884</v>
      </c>
      <c r="E1712" s="55" t="s">
        <v>1296</v>
      </c>
      <c r="G1712" s="68">
        <v>5130</v>
      </c>
      <c r="H1712" s="56" t="s">
        <v>80</v>
      </c>
      <c r="J1712" s="56">
        <v>10002494015</v>
      </c>
      <c r="K1712" s="4" t="s">
        <v>1297</v>
      </c>
      <c r="L1712" s="56" t="s">
        <v>175</v>
      </c>
      <c r="M1712" s="4" t="s">
        <v>1298</v>
      </c>
      <c r="N1712" s="4" t="s">
        <v>1299</v>
      </c>
      <c r="O1712" s="4" t="s">
        <v>530</v>
      </c>
    </row>
    <row r="1713" spans="2:15">
      <c r="B1713" s="20">
        <v>45436</v>
      </c>
      <c r="C1713" s="20">
        <v>45436</v>
      </c>
      <c r="D1713" s="54">
        <v>50145028</v>
      </c>
      <c r="E1713" s="55" t="s">
        <v>23</v>
      </c>
      <c r="G1713" s="68">
        <v>1920</v>
      </c>
      <c r="H1713" s="56" t="s">
        <v>92</v>
      </c>
      <c r="J1713" s="56">
        <v>270</v>
      </c>
      <c r="L1713" s="56" t="s">
        <v>673</v>
      </c>
      <c r="M1713" s="4" t="s">
        <v>673</v>
      </c>
      <c r="N1713" s="4" t="s">
        <v>1014</v>
      </c>
      <c r="O1713" s="4" t="s">
        <v>530</v>
      </c>
    </row>
    <row r="1714" spans="2:15">
      <c r="B1714" s="20">
        <v>45439</v>
      </c>
      <c r="C1714" s="20">
        <v>45439</v>
      </c>
      <c r="D1714" s="54">
        <v>50802401</v>
      </c>
      <c r="E1714" s="55" t="s">
        <v>13</v>
      </c>
      <c r="G1714" s="68">
        <v>9273600</v>
      </c>
      <c r="H1714" s="56" t="s">
        <v>92</v>
      </c>
      <c r="J1714" s="56" t="s">
        <v>1300</v>
      </c>
      <c r="L1714" s="56" t="s">
        <v>1117</v>
      </c>
      <c r="M1714" s="4" t="s">
        <v>1253</v>
      </c>
      <c r="N1714" s="4" t="s">
        <v>1301</v>
      </c>
      <c r="O1714" s="4" t="s">
        <v>530</v>
      </c>
    </row>
    <row r="1715" spans="2:15">
      <c r="B1715" s="20">
        <v>45439</v>
      </c>
      <c r="C1715" s="20">
        <v>45439</v>
      </c>
      <c r="D1715" s="54">
        <v>50010080</v>
      </c>
      <c r="E1715" s="55" t="s">
        <v>354</v>
      </c>
      <c r="G1715" s="68">
        <v>20000</v>
      </c>
      <c r="H1715" s="56" t="s">
        <v>82</v>
      </c>
      <c r="J1715" s="56">
        <v>6465</v>
      </c>
      <c r="L1715" s="56" t="s">
        <v>355</v>
      </c>
      <c r="M1715" s="4" t="s">
        <v>650</v>
      </c>
      <c r="N1715" s="4" t="s">
        <v>772</v>
      </c>
      <c r="O1715" s="4" t="s">
        <v>530</v>
      </c>
    </row>
    <row r="1716" spans="2:15">
      <c r="B1716" s="20">
        <v>45439</v>
      </c>
      <c r="C1716" s="20">
        <v>45439</v>
      </c>
      <c r="D1716" s="54">
        <v>50272278</v>
      </c>
      <c r="E1716" s="55" t="s">
        <v>21</v>
      </c>
      <c r="G1716" s="68">
        <v>13000</v>
      </c>
      <c r="H1716" s="56" t="s">
        <v>92</v>
      </c>
      <c r="J1716" s="56">
        <v>1726</v>
      </c>
      <c r="L1716" s="56" t="s">
        <v>262</v>
      </c>
      <c r="M1716" s="4" t="s">
        <v>262</v>
      </c>
      <c r="N1716" s="4" t="s">
        <v>1274</v>
      </c>
      <c r="O1716" s="4" t="s">
        <v>530</v>
      </c>
    </row>
    <row r="1717" spans="2:15">
      <c r="B1717" s="20">
        <v>45441</v>
      </c>
      <c r="C1717" s="20">
        <v>45441</v>
      </c>
      <c r="D1717" s="54">
        <v>50144376</v>
      </c>
      <c r="E1717" s="55" t="s">
        <v>19</v>
      </c>
      <c r="G1717" s="68">
        <v>16800</v>
      </c>
      <c r="H1717" s="56" t="s">
        <v>92</v>
      </c>
      <c r="J1717" s="56" t="s">
        <v>1302</v>
      </c>
      <c r="L1717" s="56" t="s">
        <v>934</v>
      </c>
      <c r="M1717" s="4" t="s">
        <v>1281</v>
      </c>
      <c r="N1717" s="4" t="s">
        <v>1303</v>
      </c>
      <c r="O1717" s="4" t="s">
        <v>530</v>
      </c>
    </row>
    <row r="1718" spans="2:15">
      <c r="B1718" s="20">
        <v>45441</v>
      </c>
      <c r="C1718" s="20">
        <v>45441</v>
      </c>
      <c r="D1718" s="54">
        <v>50472692</v>
      </c>
      <c r="E1718" s="55" t="s">
        <v>1304</v>
      </c>
      <c r="G1718" s="68">
        <v>5187</v>
      </c>
      <c r="H1718" s="56" t="s">
        <v>80</v>
      </c>
      <c r="J1718" s="56" t="s">
        <v>1305</v>
      </c>
      <c r="L1718" s="56" t="s">
        <v>1306</v>
      </c>
      <c r="M1718" s="4" t="s">
        <v>1249</v>
      </c>
      <c r="N1718" s="4" t="s">
        <v>1307</v>
      </c>
      <c r="O1718" s="4" t="s">
        <v>530</v>
      </c>
    </row>
    <row r="1719" spans="2:15">
      <c r="B1719" s="20">
        <v>45441</v>
      </c>
      <c r="C1719" s="20">
        <v>45441</v>
      </c>
      <c r="D1719" s="54">
        <v>50472696</v>
      </c>
      <c r="E1719" s="55" t="s">
        <v>1308</v>
      </c>
      <c r="G1719" s="68">
        <v>5040</v>
      </c>
      <c r="H1719" s="56" t="s">
        <v>80</v>
      </c>
      <c r="J1719" s="56" t="s">
        <v>1305</v>
      </c>
      <c r="L1719" s="56" t="s">
        <v>1306</v>
      </c>
      <c r="M1719" s="4" t="s">
        <v>1249</v>
      </c>
      <c r="N1719" s="4" t="s">
        <v>1307</v>
      </c>
      <c r="O1719" s="4" t="s">
        <v>530</v>
      </c>
    </row>
    <row r="1720" spans="2:15">
      <c r="B1720" s="20">
        <v>45441</v>
      </c>
      <c r="C1720" s="20">
        <v>45441</v>
      </c>
      <c r="D1720" s="54">
        <v>50824145</v>
      </c>
      <c r="E1720" s="55" t="s">
        <v>1234</v>
      </c>
      <c r="G1720" s="68">
        <v>2000000</v>
      </c>
      <c r="H1720" s="56" t="s">
        <v>92</v>
      </c>
      <c r="J1720" s="56" t="s">
        <v>1309</v>
      </c>
      <c r="L1720" s="56" t="s">
        <v>1190</v>
      </c>
      <c r="M1720" s="4" t="s">
        <v>392</v>
      </c>
      <c r="N1720" s="4" t="s">
        <v>1310</v>
      </c>
      <c r="O1720" s="4" t="s">
        <v>530</v>
      </c>
    </row>
    <row r="1721" spans="2:15">
      <c r="B1721" s="20">
        <v>45441</v>
      </c>
      <c r="C1721" s="20">
        <v>45441</v>
      </c>
      <c r="D1721" s="54">
        <v>50760002</v>
      </c>
      <c r="E1721" s="55" t="s">
        <v>1238</v>
      </c>
      <c r="G1721" s="68">
        <v>2000000</v>
      </c>
      <c r="H1721" s="56" t="s">
        <v>92</v>
      </c>
      <c r="J1721" s="56" t="s">
        <v>1309</v>
      </c>
      <c r="L1721" s="56" t="s">
        <v>1190</v>
      </c>
      <c r="M1721" s="4" t="s">
        <v>392</v>
      </c>
      <c r="N1721" s="4" t="s">
        <v>1310</v>
      </c>
      <c r="O1721" s="4" t="s">
        <v>530</v>
      </c>
    </row>
    <row r="1722" spans="2:15">
      <c r="B1722" s="20">
        <v>45441</v>
      </c>
      <c r="C1722" s="20">
        <v>45441</v>
      </c>
      <c r="D1722" s="54">
        <v>40499</v>
      </c>
      <c r="E1722" s="55" t="s">
        <v>1094</v>
      </c>
      <c r="G1722" s="68">
        <v>100</v>
      </c>
      <c r="H1722" s="56" t="s">
        <v>92</v>
      </c>
      <c r="J1722" s="56">
        <v>35793</v>
      </c>
      <c r="L1722" s="56" t="s">
        <v>838</v>
      </c>
      <c r="M1722" s="4" t="s">
        <v>176</v>
      </c>
      <c r="N1722" s="4" t="s">
        <v>177</v>
      </c>
      <c r="O1722" s="4" t="s">
        <v>530</v>
      </c>
    </row>
    <row r="1723" spans="2:15">
      <c r="B1723" s="20">
        <v>45443</v>
      </c>
      <c r="C1723" s="20">
        <v>45443</v>
      </c>
      <c r="D1723" s="54">
        <v>50144376</v>
      </c>
      <c r="E1723" s="55" t="s">
        <v>19</v>
      </c>
      <c r="G1723" s="68">
        <v>4500</v>
      </c>
      <c r="H1723" s="56" t="s">
        <v>92</v>
      </c>
      <c r="J1723" s="56">
        <v>1752</v>
      </c>
      <c r="L1723" s="56" t="s">
        <v>262</v>
      </c>
      <c r="M1723" s="4" t="s">
        <v>262</v>
      </c>
      <c r="N1723" s="4" t="s">
        <v>1274</v>
      </c>
      <c r="O1723" s="4" t="s">
        <v>530</v>
      </c>
    </row>
    <row r="1724" spans="2:15">
      <c r="B1724" s="20">
        <v>45443</v>
      </c>
      <c r="C1724" s="20">
        <v>45443</v>
      </c>
      <c r="D1724" s="54">
        <v>50272278</v>
      </c>
      <c r="E1724" s="55" t="s">
        <v>21</v>
      </c>
      <c r="G1724" s="68">
        <v>7500</v>
      </c>
      <c r="H1724" s="56" t="s">
        <v>92</v>
      </c>
      <c r="J1724" s="56">
        <v>1751</v>
      </c>
      <c r="L1724" s="56" t="s">
        <v>262</v>
      </c>
      <c r="M1724" s="4" t="s">
        <v>262</v>
      </c>
      <c r="N1724" s="4" t="s">
        <v>1274</v>
      </c>
      <c r="O1724" s="4" t="s">
        <v>530</v>
      </c>
    </row>
    <row r="1725" spans="2:15">
      <c r="B1725" s="20">
        <v>45443</v>
      </c>
      <c r="C1725" s="20">
        <v>45443</v>
      </c>
      <c r="D1725" s="54">
        <v>50400554</v>
      </c>
      <c r="E1725" s="55" t="s">
        <v>1311</v>
      </c>
      <c r="F1725" s="56">
        <v>28</v>
      </c>
      <c r="G1725" s="68">
        <v>107.52</v>
      </c>
      <c r="H1725" s="56" t="s">
        <v>1248</v>
      </c>
      <c r="J1725" s="56">
        <v>709522</v>
      </c>
      <c r="K1725" s="4" t="s">
        <v>1312</v>
      </c>
      <c r="L1725" s="56" t="s">
        <v>1313</v>
      </c>
      <c r="M1725" s="4" t="s">
        <v>1314</v>
      </c>
      <c r="N1725" s="4" t="s">
        <v>1315</v>
      </c>
      <c r="O1725" s="4" t="s">
        <v>530</v>
      </c>
    </row>
    <row r="1726" spans="2:15">
      <c r="B1726" s="20">
        <v>45443</v>
      </c>
      <c r="C1726" s="20">
        <v>45443</v>
      </c>
      <c r="D1726" s="54">
        <v>50400554</v>
      </c>
      <c r="E1726" s="55" t="s">
        <v>1311</v>
      </c>
      <c r="F1726" s="56">
        <v>28</v>
      </c>
      <c r="G1726" s="68">
        <v>107.52</v>
      </c>
      <c r="H1726" s="56" t="s">
        <v>1248</v>
      </c>
      <c r="J1726" s="56">
        <v>709522</v>
      </c>
      <c r="K1726" s="4" t="s">
        <v>1316</v>
      </c>
      <c r="L1726" s="56" t="s">
        <v>1313</v>
      </c>
      <c r="M1726" s="4" t="s">
        <v>1314</v>
      </c>
      <c r="N1726" s="4" t="s">
        <v>1317</v>
      </c>
      <c r="O1726" s="4" t="s">
        <v>530</v>
      </c>
    </row>
    <row r="1727" spans="2:15">
      <c r="B1727" s="20">
        <v>45443</v>
      </c>
      <c r="C1727" s="20">
        <v>45443</v>
      </c>
      <c r="D1727" s="54">
        <v>50400554</v>
      </c>
      <c r="E1727" s="55" t="s">
        <v>1311</v>
      </c>
      <c r="F1727" s="56">
        <v>28</v>
      </c>
      <c r="G1727" s="68">
        <v>107.52</v>
      </c>
      <c r="H1727" s="56" t="s">
        <v>1248</v>
      </c>
      <c r="J1727" s="56">
        <v>709522</v>
      </c>
      <c r="K1727" s="4" t="s">
        <v>1318</v>
      </c>
      <c r="L1727" s="56" t="s">
        <v>1313</v>
      </c>
      <c r="M1727" s="4" t="s">
        <v>1314</v>
      </c>
      <c r="N1727" s="4" t="s">
        <v>1319</v>
      </c>
      <c r="O1727" s="4" t="s">
        <v>530</v>
      </c>
    </row>
    <row r="1728" spans="2:15">
      <c r="B1728" s="20">
        <v>45443</v>
      </c>
      <c r="C1728" s="20">
        <v>45443</v>
      </c>
      <c r="D1728" s="54">
        <v>50400554</v>
      </c>
      <c r="E1728" s="55" t="s">
        <v>1311</v>
      </c>
      <c r="F1728" s="56">
        <v>28</v>
      </c>
      <c r="G1728" s="68">
        <v>107.52</v>
      </c>
      <c r="H1728" s="56" t="s">
        <v>1248</v>
      </c>
      <c r="J1728" s="56">
        <v>709522</v>
      </c>
      <c r="K1728" s="4" t="s">
        <v>1320</v>
      </c>
      <c r="L1728" s="56" t="s">
        <v>1313</v>
      </c>
      <c r="M1728" s="4" t="s">
        <v>1314</v>
      </c>
      <c r="N1728" s="4" t="s">
        <v>1321</v>
      </c>
      <c r="O1728" s="4" t="s">
        <v>530</v>
      </c>
    </row>
    <row r="1729" spans="2:15">
      <c r="B1729" s="20">
        <v>45443</v>
      </c>
      <c r="C1729" s="20">
        <v>45443</v>
      </c>
      <c r="D1729" s="54">
        <v>50400554</v>
      </c>
      <c r="E1729" s="55" t="s">
        <v>1311</v>
      </c>
      <c r="F1729" s="56">
        <v>28</v>
      </c>
      <c r="G1729" s="68">
        <v>107.52</v>
      </c>
      <c r="H1729" s="56" t="s">
        <v>80</v>
      </c>
      <c r="J1729" s="56">
        <v>709522</v>
      </c>
      <c r="L1729" s="56" t="s">
        <v>1313</v>
      </c>
      <c r="M1729" s="4" t="s">
        <v>1314</v>
      </c>
      <c r="N1729" s="4" t="s">
        <v>1322</v>
      </c>
      <c r="O1729" s="4" t="s">
        <v>530</v>
      </c>
    </row>
    <row r="1730" spans="2:15">
      <c r="B1730" s="20">
        <v>45443</v>
      </c>
      <c r="C1730" s="20">
        <v>45443</v>
      </c>
      <c r="D1730" s="54">
        <v>40009544</v>
      </c>
      <c r="E1730" s="55" t="s">
        <v>179</v>
      </c>
      <c r="G1730" s="68">
        <v>15736</v>
      </c>
      <c r="H1730" s="56" t="s">
        <v>80</v>
      </c>
      <c r="J1730" s="56">
        <v>1000267124</v>
      </c>
      <c r="L1730" s="56" t="s">
        <v>175</v>
      </c>
      <c r="M1730" s="4" t="s">
        <v>520</v>
      </c>
      <c r="N1730" s="4" t="s">
        <v>1323</v>
      </c>
      <c r="O1730" s="4" t="s">
        <v>530</v>
      </c>
    </row>
    <row r="1731" spans="2:15">
      <c r="B1731" s="20">
        <v>45443</v>
      </c>
      <c r="C1731" s="20">
        <v>45443</v>
      </c>
      <c r="D1731" s="54">
        <v>40009546</v>
      </c>
      <c r="E1731" s="55" t="s">
        <v>174</v>
      </c>
      <c r="G1731" s="68">
        <v>15120</v>
      </c>
      <c r="H1731" s="56" t="s">
        <v>80</v>
      </c>
      <c r="J1731" s="56">
        <v>1000267124</v>
      </c>
      <c r="L1731" s="56" t="s">
        <v>175</v>
      </c>
      <c r="M1731" s="4" t="s">
        <v>520</v>
      </c>
      <c r="N1731" s="4" t="s">
        <v>1323</v>
      </c>
      <c r="O1731" s="4" t="s">
        <v>530</v>
      </c>
    </row>
    <row r="1732" spans="2:15">
      <c r="B1732" s="20">
        <v>45443</v>
      </c>
      <c r="C1732" s="20">
        <v>45443</v>
      </c>
      <c r="D1732" s="54">
        <v>40011133</v>
      </c>
      <c r="E1732" s="55" t="s">
        <v>634</v>
      </c>
      <c r="G1732" s="68">
        <v>4517</v>
      </c>
      <c r="H1732" s="56" t="s">
        <v>80</v>
      </c>
      <c r="J1732" s="56">
        <v>1000313705</v>
      </c>
      <c r="L1732" s="56" t="s">
        <v>175</v>
      </c>
      <c r="M1732" s="4" t="s">
        <v>520</v>
      </c>
      <c r="N1732" s="4" t="s">
        <v>1323</v>
      </c>
      <c r="O1732" s="4" t="s">
        <v>530</v>
      </c>
    </row>
    <row r="1733" spans="2:15">
      <c r="B1733" s="20">
        <v>45444</v>
      </c>
      <c r="C1733" s="20">
        <v>45444</v>
      </c>
      <c r="D1733" s="54">
        <v>50400554</v>
      </c>
      <c r="E1733" s="55" t="s">
        <v>1311</v>
      </c>
      <c r="F1733" s="56">
        <v>28</v>
      </c>
      <c r="G1733" s="68">
        <v>107.52</v>
      </c>
      <c r="H1733" s="56" t="s">
        <v>80</v>
      </c>
      <c r="J1733" s="56">
        <v>709746</v>
      </c>
      <c r="K1733" s="4" t="s">
        <v>1324</v>
      </c>
      <c r="L1733" s="56" t="s">
        <v>1313</v>
      </c>
      <c r="M1733" s="4" t="s">
        <v>1058</v>
      </c>
      <c r="N1733" s="4" t="s">
        <v>1325</v>
      </c>
      <c r="O1733" s="4" t="s">
        <v>530</v>
      </c>
    </row>
    <row r="1734" spans="2:15">
      <c r="B1734" s="20">
        <v>45444</v>
      </c>
      <c r="C1734" s="20">
        <v>45444</v>
      </c>
      <c r="D1734" s="54">
        <v>50400554</v>
      </c>
      <c r="E1734" s="55" t="s">
        <v>1311</v>
      </c>
      <c r="F1734" s="56">
        <v>28</v>
      </c>
      <c r="G1734" s="68">
        <v>107.52</v>
      </c>
      <c r="H1734" s="56" t="s">
        <v>80</v>
      </c>
      <c r="J1734" s="56">
        <v>709746</v>
      </c>
      <c r="K1734" s="4" t="s">
        <v>1326</v>
      </c>
      <c r="L1734" s="56" t="s">
        <v>1313</v>
      </c>
      <c r="M1734" s="4" t="s">
        <v>1327</v>
      </c>
      <c r="N1734" s="4" t="s">
        <v>1328</v>
      </c>
      <c r="O1734" s="4" t="s">
        <v>530</v>
      </c>
    </row>
    <row r="1735" spans="2:15">
      <c r="B1735" s="20">
        <v>45444</v>
      </c>
      <c r="C1735" s="20">
        <v>45444</v>
      </c>
      <c r="D1735" s="54">
        <v>50400554</v>
      </c>
      <c r="E1735" s="55" t="s">
        <v>1311</v>
      </c>
      <c r="F1735" s="56">
        <v>28</v>
      </c>
      <c r="G1735" s="68">
        <v>107.52</v>
      </c>
      <c r="H1735" s="56" t="s">
        <v>80</v>
      </c>
      <c r="J1735" s="56">
        <v>709746</v>
      </c>
      <c r="K1735" s="4" t="s">
        <v>1329</v>
      </c>
      <c r="L1735" s="56" t="s">
        <v>1313</v>
      </c>
      <c r="M1735" s="4" t="s">
        <v>1330</v>
      </c>
      <c r="N1735" s="4" t="s">
        <v>1331</v>
      </c>
      <c r="O1735" s="4" t="s">
        <v>530</v>
      </c>
    </row>
    <row r="1736" spans="2:15">
      <c r="B1736" s="20">
        <v>45444</v>
      </c>
      <c r="C1736" s="20">
        <v>45444</v>
      </c>
      <c r="D1736" s="54">
        <v>50400554</v>
      </c>
      <c r="E1736" s="55" t="s">
        <v>1311</v>
      </c>
      <c r="F1736" s="56">
        <v>28</v>
      </c>
      <c r="G1736" s="68">
        <v>107.52</v>
      </c>
      <c r="H1736" s="56" t="s">
        <v>80</v>
      </c>
      <c r="J1736" s="56">
        <v>709746</v>
      </c>
      <c r="K1736" s="4" t="s">
        <v>1332</v>
      </c>
      <c r="L1736" s="56" t="s">
        <v>1313</v>
      </c>
      <c r="M1736" s="4" t="s">
        <v>1249</v>
      </c>
      <c r="N1736" s="4" t="s">
        <v>1333</v>
      </c>
      <c r="O1736" s="4" t="s">
        <v>530</v>
      </c>
    </row>
    <row r="1737" spans="2:15">
      <c r="B1737" s="20">
        <v>45446</v>
      </c>
      <c r="C1737" s="20">
        <v>45446</v>
      </c>
      <c r="D1737" s="54">
        <v>50400554</v>
      </c>
      <c r="E1737" s="55" t="s">
        <v>1311</v>
      </c>
      <c r="F1737" s="56">
        <v>28</v>
      </c>
      <c r="G1737" s="68">
        <v>107.52</v>
      </c>
      <c r="H1737" s="56" t="s">
        <v>80</v>
      </c>
      <c r="J1737" s="56">
        <v>709746</v>
      </c>
      <c r="K1737" s="4" t="s">
        <v>1334</v>
      </c>
      <c r="L1737" s="56" t="s">
        <v>1313</v>
      </c>
      <c r="M1737" s="4" t="s">
        <v>1335</v>
      </c>
      <c r="N1737" s="4" t="s">
        <v>1336</v>
      </c>
      <c r="O1737" s="4" t="s">
        <v>530</v>
      </c>
    </row>
    <row r="1738" spans="2:15">
      <c r="B1738" s="20">
        <v>45446</v>
      </c>
      <c r="C1738" s="20">
        <v>45446</v>
      </c>
      <c r="D1738" s="54">
        <v>50498271</v>
      </c>
      <c r="E1738" s="55" t="s">
        <v>1025</v>
      </c>
      <c r="G1738" s="68">
        <v>4171.05</v>
      </c>
      <c r="H1738" s="56" t="s">
        <v>82</v>
      </c>
      <c r="J1738" s="56" t="s">
        <v>1337</v>
      </c>
      <c r="L1738" s="56" t="s">
        <v>1227</v>
      </c>
      <c r="M1738" s="4" t="s">
        <v>660</v>
      </c>
      <c r="N1738" s="4" t="s">
        <v>1203</v>
      </c>
      <c r="O1738" s="4" t="s">
        <v>530</v>
      </c>
    </row>
    <row r="1739" spans="2:15">
      <c r="B1739" s="20">
        <v>45448</v>
      </c>
      <c r="C1739" s="20">
        <v>45448</v>
      </c>
      <c r="D1739" s="54">
        <v>50809353</v>
      </c>
      <c r="E1739" s="55" t="s">
        <v>905</v>
      </c>
      <c r="G1739" s="68">
        <v>375</v>
      </c>
      <c r="H1739" s="56" t="s">
        <v>82</v>
      </c>
      <c r="J1739" s="56">
        <v>161118</v>
      </c>
      <c r="K1739" s="4" t="s">
        <v>1338</v>
      </c>
      <c r="L1739" s="56" t="s">
        <v>1339</v>
      </c>
      <c r="M1739" s="4" t="s">
        <v>1340</v>
      </c>
      <c r="N1739" s="4" t="s">
        <v>1218</v>
      </c>
      <c r="O1739" s="4" t="s">
        <v>530</v>
      </c>
    </row>
    <row r="1740" spans="2:15">
      <c r="B1740" s="20">
        <v>45448</v>
      </c>
      <c r="C1740" s="20">
        <v>45448</v>
      </c>
      <c r="D1740" s="54">
        <v>50515034</v>
      </c>
      <c r="E1740" s="55" t="s">
        <v>41</v>
      </c>
      <c r="G1740" s="68">
        <v>453.6</v>
      </c>
      <c r="H1740" s="56" t="s">
        <v>80</v>
      </c>
      <c r="J1740" s="56" t="s">
        <v>1341</v>
      </c>
      <c r="K1740" s="4" t="s">
        <v>1342</v>
      </c>
      <c r="L1740" s="56" t="s">
        <v>1343</v>
      </c>
      <c r="M1740" s="4" t="s">
        <v>1344</v>
      </c>
      <c r="N1740" s="4" t="s">
        <v>224</v>
      </c>
      <c r="O1740" s="4" t="s">
        <v>530</v>
      </c>
    </row>
    <row r="1741" spans="2:15">
      <c r="B1741" s="20">
        <v>45448</v>
      </c>
      <c r="C1741" s="20">
        <v>45448</v>
      </c>
      <c r="D1741" s="54">
        <v>50169446</v>
      </c>
      <c r="E1741" s="55" t="s">
        <v>1345</v>
      </c>
      <c r="G1741" s="68">
        <v>130.6</v>
      </c>
      <c r="H1741" s="56" t="s">
        <v>898</v>
      </c>
      <c r="J1741" s="56">
        <v>182279</v>
      </c>
      <c r="L1741" s="56" t="s">
        <v>1346</v>
      </c>
      <c r="M1741" s="4" t="s">
        <v>392</v>
      </c>
      <c r="N1741" s="4" t="s">
        <v>1347</v>
      </c>
      <c r="O1741" s="4" t="s">
        <v>530</v>
      </c>
    </row>
    <row r="1742" spans="2:15">
      <c r="B1742" s="20">
        <v>45449</v>
      </c>
      <c r="C1742" s="20">
        <v>45449</v>
      </c>
      <c r="D1742" s="54">
        <v>50515034</v>
      </c>
      <c r="E1742" s="55" t="s">
        <v>41</v>
      </c>
      <c r="G1742" s="68">
        <v>428.4</v>
      </c>
      <c r="H1742" s="56" t="s">
        <v>80</v>
      </c>
      <c r="J1742" s="56" t="s">
        <v>1341</v>
      </c>
      <c r="K1742" s="4" t="s">
        <v>1348</v>
      </c>
      <c r="L1742" s="56" t="s">
        <v>1343</v>
      </c>
      <c r="M1742" s="4" t="s">
        <v>1344</v>
      </c>
      <c r="N1742" s="4" t="s">
        <v>1349</v>
      </c>
      <c r="O1742" s="4" t="s">
        <v>530</v>
      </c>
    </row>
    <row r="1743" spans="2:15">
      <c r="B1743" s="20">
        <v>45449</v>
      </c>
      <c r="C1743" s="20">
        <v>45449</v>
      </c>
      <c r="D1743" s="54">
        <v>50272278</v>
      </c>
      <c r="E1743" s="55" t="s">
        <v>21</v>
      </c>
      <c r="G1743" s="68">
        <v>16800</v>
      </c>
      <c r="H1743" s="56" t="s">
        <v>92</v>
      </c>
      <c r="J1743" s="56" t="s">
        <v>1350</v>
      </c>
      <c r="K1743" s="4" t="s">
        <v>1351</v>
      </c>
      <c r="L1743" s="56" t="s">
        <v>934</v>
      </c>
      <c r="M1743" s="4" t="s">
        <v>1281</v>
      </c>
      <c r="N1743" s="4" t="s">
        <v>1352</v>
      </c>
      <c r="O1743" s="4" t="s">
        <v>530</v>
      </c>
    </row>
    <row r="1744" spans="2:15">
      <c r="B1744" s="20">
        <v>45449</v>
      </c>
      <c r="C1744" s="20">
        <v>45449</v>
      </c>
      <c r="D1744" s="54">
        <v>50400554</v>
      </c>
      <c r="E1744" s="55" t="s">
        <v>1311</v>
      </c>
      <c r="F1744" s="56">
        <v>28</v>
      </c>
      <c r="G1744" s="68">
        <v>107.52</v>
      </c>
      <c r="H1744" s="56" t="s">
        <v>80</v>
      </c>
      <c r="J1744" s="56">
        <v>710227</v>
      </c>
      <c r="K1744" s="4" t="s">
        <v>1353</v>
      </c>
      <c r="L1744" s="56" t="s">
        <v>1313</v>
      </c>
      <c r="M1744" s="4" t="s">
        <v>1335</v>
      </c>
      <c r="N1744" s="4" t="s">
        <v>1354</v>
      </c>
      <c r="O1744" s="4" t="s">
        <v>530</v>
      </c>
    </row>
    <row r="1745" spans="2:15">
      <c r="B1745" s="20">
        <v>45449</v>
      </c>
      <c r="C1745" s="20">
        <v>45449</v>
      </c>
      <c r="D1745" s="54">
        <v>50400554</v>
      </c>
      <c r="E1745" s="55" t="s">
        <v>1311</v>
      </c>
      <c r="F1745" s="56">
        <v>28</v>
      </c>
      <c r="G1745" s="68">
        <v>107.52</v>
      </c>
      <c r="H1745" s="56" t="s">
        <v>80</v>
      </c>
      <c r="J1745" s="56">
        <v>710227</v>
      </c>
      <c r="K1745" s="4" t="s">
        <v>1355</v>
      </c>
      <c r="L1745" s="56" t="s">
        <v>1313</v>
      </c>
      <c r="M1745" s="4" t="s">
        <v>1118</v>
      </c>
      <c r="N1745" s="4" t="s">
        <v>1356</v>
      </c>
      <c r="O1745" s="4" t="s">
        <v>530</v>
      </c>
    </row>
    <row r="1746" spans="2:15">
      <c r="B1746" s="20">
        <v>45449</v>
      </c>
      <c r="C1746" s="20">
        <v>45449</v>
      </c>
      <c r="D1746" s="54">
        <v>50400554</v>
      </c>
      <c r="E1746" s="55" t="s">
        <v>1311</v>
      </c>
      <c r="F1746" s="56">
        <v>28</v>
      </c>
      <c r="G1746" s="68">
        <v>107.52</v>
      </c>
      <c r="H1746" s="56" t="s">
        <v>80</v>
      </c>
      <c r="J1746" s="56">
        <v>710022</v>
      </c>
      <c r="K1746" s="4" t="s">
        <v>1357</v>
      </c>
      <c r="L1746" s="56" t="s">
        <v>1313</v>
      </c>
      <c r="M1746" s="4" t="s">
        <v>1358</v>
      </c>
      <c r="N1746" s="4" t="s">
        <v>1359</v>
      </c>
      <c r="O1746" s="4" t="s">
        <v>530</v>
      </c>
    </row>
    <row r="1747" spans="2:15">
      <c r="B1747" s="20">
        <v>45449</v>
      </c>
      <c r="C1747" s="20">
        <v>45449</v>
      </c>
      <c r="D1747" s="54">
        <v>50400554</v>
      </c>
      <c r="E1747" s="55" t="s">
        <v>1311</v>
      </c>
      <c r="F1747" s="56">
        <v>28</v>
      </c>
      <c r="G1747" s="68">
        <v>107.52</v>
      </c>
      <c r="H1747" s="56" t="s">
        <v>80</v>
      </c>
      <c r="J1747" s="56">
        <v>710022</v>
      </c>
      <c r="K1747" s="4" t="s">
        <v>1360</v>
      </c>
      <c r="L1747" s="56" t="s">
        <v>1313</v>
      </c>
      <c r="M1747" s="4" t="s">
        <v>1358</v>
      </c>
      <c r="N1747" s="4" t="s">
        <v>1361</v>
      </c>
      <c r="O1747" s="4" t="s">
        <v>530</v>
      </c>
    </row>
    <row r="1748" spans="2:15">
      <c r="B1748" s="20">
        <v>45449</v>
      </c>
      <c r="C1748" s="20">
        <v>45449</v>
      </c>
      <c r="D1748" s="54">
        <v>50400554</v>
      </c>
      <c r="E1748" s="55" t="s">
        <v>1311</v>
      </c>
      <c r="F1748" s="56">
        <v>28</v>
      </c>
      <c r="G1748" s="68">
        <v>107.52</v>
      </c>
      <c r="H1748" s="56" t="s">
        <v>80</v>
      </c>
      <c r="J1748" s="56">
        <v>710022</v>
      </c>
      <c r="K1748" s="4" t="s">
        <v>1362</v>
      </c>
      <c r="L1748" s="56" t="s">
        <v>1313</v>
      </c>
      <c r="M1748" s="4" t="s">
        <v>392</v>
      </c>
      <c r="N1748" s="4" t="s">
        <v>1363</v>
      </c>
      <c r="O1748" s="4" t="s">
        <v>530</v>
      </c>
    </row>
    <row r="1749" spans="2:15">
      <c r="B1749" s="20">
        <v>45450</v>
      </c>
      <c r="C1749" s="20">
        <v>45450</v>
      </c>
      <c r="D1749" s="54">
        <v>50400554</v>
      </c>
      <c r="E1749" s="55" t="s">
        <v>1311</v>
      </c>
      <c r="F1749" s="56">
        <v>28</v>
      </c>
      <c r="G1749" s="68">
        <v>107.52</v>
      </c>
      <c r="H1749" s="56" t="s">
        <v>80</v>
      </c>
      <c r="J1749" s="56">
        <v>710022</v>
      </c>
      <c r="K1749" s="4" t="s">
        <v>1364</v>
      </c>
      <c r="L1749" s="56" t="s">
        <v>1313</v>
      </c>
      <c r="M1749" s="4" t="s">
        <v>392</v>
      </c>
      <c r="N1749" s="4" t="s">
        <v>1365</v>
      </c>
      <c r="O1749" s="4" t="s">
        <v>530</v>
      </c>
    </row>
    <row r="1750" spans="2:15">
      <c r="B1750" s="20">
        <v>45450</v>
      </c>
      <c r="C1750" s="20">
        <v>45450</v>
      </c>
      <c r="D1750" s="54">
        <v>50400554</v>
      </c>
      <c r="E1750" s="55" t="s">
        <v>1311</v>
      </c>
      <c r="F1750" s="56">
        <v>28</v>
      </c>
      <c r="G1750" s="68">
        <v>107.52</v>
      </c>
      <c r="H1750" s="56" t="s">
        <v>80</v>
      </c>
      <c r="J1750" s="56">
        <v>710022</v>
      </c>
      <c r="K1750" s="4" t="s">
        <v>1366</v>
      </c>
      <c r="L1750" s="56" t="s">
        <v>1313</v>
      </c>
      <c r="M1750" s="4" t="s">
        <v>1367</v>
      </c>
      <c r="N1750" s="4" t="s">
        <v>1368</v>
      </c>
      <c r="O1750" s="4" t="s">
        <v>530</v>
      </c>
    </row>
    <row r="1751" spans="2:15">
      <c r="B1751" s="20">
        <v>45450</v>
      </c>
      <c r="C1751" s="20">
        <v>45450</v>
      </c>
      <c r="D1751" s="54">
        <v>50400554</v>
      </c>
      <c r="E1751" s="55" t="s">
        <v>1311</v>
      </c>
      <c r="F1751" s="56">
        <v>28</v>
      </c>
      <c r="G1751" s="68">
        <v>107.52</v>
      </c>
      <c r="H1751" s="56" t="s">
        <v>80</v>
      </c>
      <c r="J1751" s="56">
        <v>710227</v>
      </c>
      <c r="K1751" s="4" t="s">
        <v>1353</v>
      </c>
      <c r="L1751" s="56" t="s">
        <v>1313</v>
      </c>
      <c r="M1751" s="4" t="s">
        <v>1369</v>
      </c>
      <c r="N1751" s="4" t="s">
        <v>1370</v>
      </c>
      <c r="O1751" s="4" t="s">
        <v>530</v>
      </c>
    </row>
    <row r="1752" spans="2:15">
      <c r="B1752" s="20">
        <v>45450</v>
      </c>
      <c r="C1752" s="20">
        <v>45450</v>
      </c>
      <c r="D1752" s="54">
        <v>50400554</v>
      </c>
      <c r="E1752" s="55" t="s">
        <v>1311</v>
      </c>
      <c r="F1752" s="56">
        <v>28</v>
      </c>
      <c r="G1752" s="68">
        <v>107.52</v>
      </c>
      <c r="H1752" s="56" t="s">
        <v>80</v>
      </c>
      <c r="J1752" s="56">
        <v>710227</v>
      </c>
      <c r="K1752" s="4" t="s">
        <v>1371</v>
      </c>
      <c r="L1752" s="56" t="s">
        <v>1313</v>
      </c>
      <c r="M1752" s="4" t="s">
        <v>1058</v>
      </c>
      <c r="N1752" s="4" t="s">
        <v>1372</v>
      </c>
      <c r="O1752" s="4" t="s">
        <v>530</v>
      </c>
    </row>
    <row r="1753" spans="2:15">
      <c r="B1753" s="20">
        <v>45450</v>
      </c>
      <c r="C1753" s="20">
        <v>45450</v>
      </c>
      <c r="D1753" s="54">
        <v>50793278</v>
      </c>
      <c r="E1753" s="55" t="s">
        <v>1086</v>
      </c>
      <c r="G1753" s="68">
        <v>100</v>
      </c>
      <c r="H1753" s="56" t="s">
        <v>1087</v>
      </c>
      <c r="J1753" s="56">
        <v>1000390455</v>
      </c>
      <c r="K1753" s="4" t="s">
        <v>1373</v>
      </c>
      <c r="L1753" s="56" t="s">
        <v>175</v>
      </c>
      <c r="M1753" s="4" t="s">
        <v>1374</v>
      </c>
      <c r="N1753" s="4" t="s">
        <v>1375</v>
      </c>
      <c r="O1753" s="4" t="s">
        <v>530</v>
      </c>
    </row>
    <row r="1754" spans="2:15">
      <c r="B1754" s="20">
        <v>45450</v>
      </c>
      <c r="C1754" s="20">
        <v>45450</v>
      </c>
      <c r="D1754" s="54">
        <v>50818948</v>
      </c>
      <c r="E1754" s="55" t="s">
        <v>1173</v>
      </c>
      <c r="G1754" s="68">
        <v>366020</v>
      </c>
      <c r="H1754" s="56" t="s">
        <v>92</v>
      </c>
      <c r="J1754" s="56" t="s">
        <v>1376</v>
      </c>
      <c r="K1754" s="4" t="s">
        <v>1377</v>
      </c>
      <c r="L1754" s="56" t="s">
        <v>1271</v>
      </c>
      <c r="M1754" s="4" t="s">
        <v>1378</v>
      </c>
      <c r="N1754" s="4" t="s">
        <v>1379</v>
      </c>
      <c r="O1754" s="4" t="s">
        <v>530</v>
      </c>
    </row>
    <row r="1755" spans="2:15">
      <c r="B1755" s="20">
        <v>45450</v>
      </c>
      <c r="C1755" s="20">
        <v>45450</v>
      </c>
      <c r="D1755" s="54">
        <v>50829091</v>
      </c>
      <c r="E1755" s="55" t="s">
        <v>1380</v>
      </c>
      <c r="G1755" s="68">
        <v>2934650</v>
      </c>
      <c r="H1755" s="56" t="s">
        <v>92</v>
      </c>
      <c r="J1755" s="56" t="s">
        <v>1376</v>
      </c>
      <c r="K1755" s="4" t="s">
        <v>1377</v>
      </c>
      <c r="L1755" s="56" t="s">
        <v>1271</v>
      </c>
      <c r="M1755" s="4" t="s">
        <v>1378</v>
      </c>
      <c r="N1755" s="4" t="s">
        <v>1379</v>
      </c>
      <c r="O1755" s="4" t="s">
        <v>530</v>
      </c>
    </row>
    <row r="1756" spans="2:15">
      <c r="B1756" s="20">
        <v>45450</v>
      </c>
      <c r="C1756" s="20">
        <v>45450</v>
      </c>
      <c r="D1756" s="54">
        <v>50818949</v>
      </c>
      <c r="E1756" s="55" t="s">
        <v>1381</v>
      </c>
      <c r="G1756" s="68">
        <v>7965400</v>
      </c>
      <c r="H1756" s="56" t="s">
        <v>92</v>
      </c>
      <c r="J1756" s="56" t="s">
        <v>1376</v>
      </c>
      <c r="K1756" s="4" t="s">
        <v>1377</v>
      </c>
      <c r="L1756" s="56" t="s">
        <v>1271</v>
      </c>
      <c r="M1756" s="4" t="s">
        <v>1378</v>
      </c>
      <c r="N1756" s="4" t="s">
        <v>1379</v>
      </c>
      <c r="O1756" s="4" t="s">
        <v>530</v>
      </c>
    </row>
    <row r="1757" spans="2:15">
      <c r="B1757" s="20">
        <v>45454</v>
      </c>
      <c r="C1757" s="20">
        <v>45454</v>
      </c>
      <c r="D1757" s="54">
        <v>50809147</v>
      </c>
      <c r="E1757" s="55" t="s">
        <v>930</v>
      </c>
      <c r="G1757" s="68">
        <v>4612.6</v>
      </c>
      <c r="H1757" s="56" t="s">
        <v>82</v>
      </c>
      <c r="J1757" s="56">
        <v>10010000601</v>
      </c>
      <c r="L1757" s="56" t="s">
        <v>947</v>
      </c>
      <c r="M1757" s="4" t="s">
        <v>660</v>
      </c>
      <c r="N1757" s="4" t="s">
        <v>1203</v>
      </c>
      <c r="O1757" s="4" t="s">
        <v>530</v>
      </c>
    </row>
    <row r="1758" spans="2:15">
      <c r="B1758" s="20">
        <v>45454</v>
      </c>
      <c r="C1758" s="20">
        <v>45454</v>
      </c>
      <c r="D1758" s="54">
        <v>50470190</v>
      </c>
      <c r="E1758" s="55" t="s">
        <v>12</v>
      </c>
      <c r="G1758" s="68">
        <v>9273600</v>
      </c>
      <c r="H1758" s="56" t="s">
        <v>92</v>
      </c>
      <c r="J1758" s="56" t="s">
        <v>1382</v>
      </c>
      <c r="L1758" s="56" t="s">
        <v>958</v>
      </c>
      <c r="M1758" s="4" t="s">
        <v>392</v>
      </c>
      <c r="N1758" s="4" t="s">
        <v>1275</v>
      </c>
      <c r="O1758" s="4" t="s">
        <v>530</v>
      </c>
    </row>
    <row r="1759" spans="2:15">
      <c r="B1759" s="20">
        <v>45454</v>
      </c>
      <c r="C1759" s="20">
        <v>45454</v>
      </c>
      <c r="D1759" s="54">
        <v>50143875</v>
      </c>
      <c r="E1759" s="55" t="s">
        <v>713</v>
      </c>
      <c r="G1759" s="68">
        <v>9500</v>
      </c>
      <c r="H1759" s="56" t="s">
        <v>92</v>
      </c>
      <c r="J1759" s="56" t="s">
        <v>1383</v>
      </c>
      <c r="L1759" s="56" t="s">
        <v>615</v>
      </c>
      <c r="M1759" s="4" t="s">
        <v>1240</v>
      </c>
      <c r="N1759" s="4" t="s">
        <v>1384</v>
      </c>
      <c r="O1759" s="4" t="s">
        <v>530</v>
      </c>
    </row>
    <row r="1760" spans="2:15">
      <c r="B1760" s="20">
        <v>45454</v>
      </c>
      <c r="C1760" s="20">
        <v>45454</v>
      </c>
      <c r="D1760" s="54">
        <v>50143894</v>
      </c>
      <c r="E1760" s="55" t="s">
        <v>944</v>
      </c>
      <c r="G1760" s="68">
        <v>5000</v>
      </c>
      <c r="H1760" s="56" t="s">
        <v>92</v>
      </c>
      <c r="J1760" s="56" t="s">
        <v>1383</v>
      </c>
      <c r="L1760" s="56" t="s">
        <v>615</v>
      </c>
      <c r="M1760" s="4" t="s">
        <v>1240</v>
      </c>
      <c r="N1760" s="4" t="s">
        <v>1384</v>
      </c>
      <c r="O1760" s="4" t="s">
        <v>530</v>
      </c>
    </row>
    <row r="1761" spans="2:15">
      <c r="B1761" s="20">
        <v>45454</v>
      </c>
      <c r="C1761" s="20">
        <v>45454</v>
      </c>
      <c r="D1761" s="54">
        <v>50813995</v>
      </c>
      <c r="E1761" s="55" t="s">
        <v>960</v>
      </c>
      <c r="G1761" s="68">
        <v>4463.4</v>
      </c>
      <c r="H1761" s="56" t="s">
        <v>82</v>
      </c>
      <c r="J1761" s="56" t="s">
        <v>1385</v>
      </c>
      <c r="L1761" s="56" t="s">
        <v>947</v>
      </c>
      <c r="M1761" s="4" t="s">
        <v>660</v>
      </c>
      <c r="N1761" s="4" t="s">
        <v>353</v>
      </c>
      <c r="O1761" s="4" t="s">
        <v>530</v>
      </c>
    </row>
    <row r="1762" spans="2:15">
      <c r="B1762" s="20">
        <v>45456</v>
      </c>
      <c r="C1762" s="20">
        <v>45456</v>
      </c>
      <c r="D1762" s="54">
        <v>50141951</v>
      </c>
      <c r="E1762" s="55" t="s">
        <v>1386</v>
      </c>
      <c r="G1762" s="68">
        <v>720</v>
      </c>
      <c r="H1762" s="56" t="s">
        <v>82</v>
      </c>
      <c r="J1762" s="56" t="s">
        <v>1387</v>
      </c>
      <c r="K1762" s="4" t="s">
        <v>1388</v>
      </c>
      <c r="L1762" s="56" t="s">
        <v>1389</v>
      </c>
      <c r="M1762" s="4" t="s">
        <v>392</v>
      </c>
      <c r="N1762" s="4" t="s">
        <v>1390</v>
      </c>
      <c r="O1762" s="4" t="s">
        <v>530</v>
      </c>
    </row>
    <row r="1763" spans="2:15">
      <c r="B1763" s="20">
        <v>45456</v>
      </c>
      <c r="C1763" s="20">
        <v>45456</v>
      </c>
      <c r="D1763" s="54">
        <v>50498271</v>
      </c>
      <c r="E1763" s="55" t="s">
        <v>1025</v>
      </c>
      <c r="G1763" s="68">
        <v>2434.95</v>
      </c>
      <c r="H1763" s="56" t="s">
        <v>82</v>
      </c>
      <c r="J1763" s="56" t="s">
        <v>1391</v>
      </c>
      <c r="L1763" s="56" t="s">
        <v>947</v>
      </c>
      <c r="M1763" s="4" t="s">
        <v>660</v>
      </c>
      <c r="N1763" s="4" t="s">
        <v>1203</v>
      </c>
      <c r="O1763" s="4" t="s">
        <v>530</v>
      </c>
    </row>
    <row r="1764" spans="2:15">
      <c r="B1764" s="20">
        <v>45456</v>
      </c>
      <c r="C1764" s="20">
        <v>45456</v>
      </c>
      <c r="D1764" s="54">
        <v>50272278</v>
      </c>
      <c r="E1764" s="55" t="s">
        <v>21</v>
      </c>
      <c r="G1764" s="68">
        <v>16800</v>
      </c>
      <c r="H1764" s="56" t="s">
        <v>92</v>
      </c>
      <c r="J1764" s="56" t="s">
        <v>1392</v>
      </c>
      <c r="K1764" s="4" t="s">
        <v>1393</v>
      </c>
      <c r="L1764" s="56" t="s">
        <v>934</v>
      </c>
      <c r="M1764" s="4" t="s">
        <v>1394</v>
      </c>
      <c r="N1764" s="4" t="s">
        <v>1395</v>
      </c>
      <c r="O1764" s="4" t="s">
        <v>530</v>
      </c>
    </row>
    <row r="1765" spans="2:15">
      <c r="B1765" s="20">
        <v>45460</v>
      </c>
      <c r="C1765" s="20">
        <v>45460</v>
      </c>
      <c r="D1765" s="54">
        <v>50010080</v>
      </c>
      <c r="E1765" s="55" t="s">
        <v>354</v>
      </c>
      <c r="G1765" s="68">
        <v>20000</v>
      </c>
      <c r="H1765" s="56" t="s">
        <v>82</v>
      </c>
      <c r="J1765" s="56" t="s">
        <v>1396</v>
      </c>
      <c r="L1765" s="56" t="s">
        <v>355</v>
      </c>
      <c r="M1765" s="4" t="s">
        <v>650</v>
      </c>
      <c r="N1765" s="4" t="s">
        <v>889</v>
      </c>
      <c r="O1765" s="4" t="s">
        <v>530</v>
      </c>
    </row>
    <row r="1766" spans="2:15">
      <c r="B1766" s="20">
        <v>45461</v>
      </c>
      <c r="C1766" s="20">
        <v>45461</v>
      </c>
      <c r="D1766" s="54">
        <v>50470190</v>
      </c>
      <c r="E1766" s="55" t="s">
        <v>12</v>
      </c>
      <c r="G1766" s="68">
        <v>9273600</v>
      </c>
      <c r="H1766" s="56" t="s">
        <v>92</v>
      </c>
      <c r="J1766" s="56" t="s">
        <v>1397</v>
      </c>
      <c r="L1766" s="56" t="s">
        <v>958</v>
      </c>
      <c r="M1766" s="4" t="s">
        <v>392</v>
      </c>
      <c r="N1766" s="4" t="s">
        <v>1398</v>
      </c>
      <c r="O1766" s="4" t="s">
        <v>178</v>
      </c>
    </row>
    <row r="1767" spans="2:15">
      <c r="B1767" s="20">
        <v>45463</v>
      </c>
      <c r="C1767" s="20">
        <v>45463</v>
      </c>
      <c r="D1767" s="54">
        <v>50142520</v>
      </c>
      <c r="E1767" s="55" t="s">
        <v>1156</v>
      </c>
      <c r="G1767" s="68">
        <v>2000</v>
      </c>
      <c r="H1767" s="56" t="s">
        <v>92</v>
      </c>
      <c r="J1767" s="56" t="s">
        <v>1399</v>
      </c>
      <c r="L1767" s="56" t="s">
        <v>286</v>
      </c>
      <c r="M1767" s="4" t="s">
        <v>286</v>
      </c>
      <c r="N1767" s="4" t="s">
        <v>773</v>
      </c>
      <c r="O1767" s="4" t="s">
        <v>178</v>
      </c>
    </row>
    <row r="1768" spans="2:15">
      <c r="B1768" s="20">
        <v>45463</v>
      </c>
      <c r="C1768" s="20">
        <v>45463</v>
      </c>
      <c r="D1768" s="54">
        <v>50799770</v>
      </c>
      <c r="E1768" s="55" t="s">
        <v>17</v>
      </c>
      <c r="G1768" s="68">
        <v>4000</v>
      </c>
      <c r="H1768" s="56" t="s">
        <v>92</v>
      </c>
      <c r="J1768" s="56" t="s">
        <v>1400</v>
      </c>
      <c r="L1768" s="56" t="s">
        <v>262</v>
      </c>
      <c r="M1768" s="4" t="s">
        <v>262</v>
      </c>
      <c r="N1768" s="4" t="s">
        <v>1274</v>
      </c>
      <c r="O1768" s="4" t="s">
        <v>530</v>
      </c>
    </row>
    <row r="1769" spans="2:15">
      <c r="B1769" s="20">
        <v>45463</v>
      </c>
      <c r="C1769" s="20">
        <v>45463</v>
      </c>
      <c r="D1769" s="54">
        <v>50272278</v>
      </c>
      <c r="E1769" s="55" t="s">
        <v>21</v>
      </c>
      <c r="G1769" s="68">
        <v>4500</v>
      </c>
      <c r="H1769" s="56" t="s">
        <v>92</v>
      </c>
      <c r="J1769" s="56" t="s">
        <v>1401</v>
      </c>
      <c r="L1769" s="56" t="s">
        <v>262</v>
      </c>
      <c r="M1769" s="4" t="s">
        <v>262</v>
      </c>
      <c r="N1769" s="4" t="s">
        <v>1274</v>
      </c>
      <c r="O1769" s="4" t="s">
        <v>530</v>
      </c>
    </row>
    <row r="1770" spans="2:15">
      <c r="B1770" s="20">
        <v>45463</v>
      </c>
      <c r="C1770" s="20">
        <v>45463</v>
      </c>
      <c r="D1770" s="54">
        <v>50145029</v>
      </c>
      <c r="E1770" s="55" t="s">
        <v>705</v>
      </c>
      <c r="G1770" s="68">
        <v>12</v>
      </c>
      <c r="H1770" s="56" t="s">
        <v>505</v>
      </c>
      <c r="J1770" s="56" t="s">
        <v>1402</v>
      </c>
      <c r="L1770" s="56" t="s">
        <v>1053</v>
      </c>
      <c r="M1770" s="4" t="s">
        <v>1053</v>
      </c>
      <c r="N1770" s="4" t="s">
        <v>836</v>
      </c>
      <c r="O1770" s="4" t="s">
        <v>530</v>
      </c>
    </row>
    <row r="1771" spans="2:15">
      <c r="B1771" s="20">
        <v>45463</v>
      </c>
      <c r="C1771" s="20">
        <v>45463</v>
      </c>
      <c r="D1771" s="54">
        <v>50392045</v>
      </c>
      <c r="E1771" s="55" t="s">
        <v>707</v>
      </c>
      <c r="G1771" s="68">
        <v>30</v>
      </c>
      <c r="H1771" s="56" t="s">
        <v>505</v>
      </c>
      <c r="J1771" s="56" t="s">
        <v>1402</v>
      </c>
      <c r="L1771" s="56" t="s">
        <v>1053</v>
      </c>
      <c r="M1771" s="4" t="s">
        <v>1053</v>
      </c>
      <c r="N1771" s="4" t="s">
        <v>836</v>
      </c>
      <c r="O1771" s="4" t="s">
        <v>530</v>
      </c>
    </row>
    <row r="1772" spans="2:15">
      <c r="B1772" s="20">
        <v>45463</v>
      </c>
      <c r="C1772" s="20">
        <v>45463</v>
      </c>
      <c r="D1772" s="54">
        <v>50145012</v>
      </c>
      <c r="E1772" s="55" t="s">
        <v>504</v>
      </c>
      <c r="G1772" s="68">
        <v>6</v>
      </c>
      <c r="H1772" s="56" t="s">
        <v>505</v>
      </c>
      <c r="J1772" s="56" t="s">
        <v>1402</v>
      </c>
      <c r="L1772" s="56" t="s">
        <v>1053</v>
      </c>
      <c r="M1772" s="4" t="s">
        <v>1053</v>
      </c>
      <c r="N1772" s="4" t="s">
        <v>836</v>
      </c>
      <c r="O1772" s="4" t="s">
        <v>530</v>
      </c>
    </row>
    <row r="1773" spans="2:15">
      <c r="B1773" s="20">
        <v>45463</v>
      </c>
      <c r="C1773" s="20">
        <v>45463</v>
      </c>
      <c r="D1773" s="54">
        <v>50392046</v>
      </c>
      <c r="E1773" s="55" t="s">
        <v>509</v>
      </c>
      <c r="G1773" s="68">
        <v>30</v>
      </c>
      <c r="H1773" s="56" t="s">
        <v>505</v>
      </c>
      <c r="J1773" s="56" t="s">
        <v>1402</v>
      </c>
      <c r="L1773" s="56" t="s">
        <v>1053</v>
      </c>
      <c r="M1773" s="4" t="s">
        <v>1053</v>
      </c>
      <c r="N1773" s="4" t="s">
        <v>836</v>
      </c>
      <c r="O1773" s="4" t="s">
        <v>530</v>
      </c>
    </row>
    <row r="1774" spans="2:15">
      <c r="B1774" s="20">
        <v>45464</v>
      </c>
      <c r="C1774" s="20">
        <v>45464</v>
      </c>
      <c r="D1774" s="54">
        <v>50400554</v>
      </c>
      <c r="E1774" s="55" t="s">
        <v>1311</v>
      </c>
      <c r="F1774" s="56">
        <v>28</v>
      </c>
      <c r="G1774" s="68">
        <v>107.52</v>
      </c>
      <c r="H1774" s="56" t="s">
        <v>80</v>
      </c>
      <c r="J1774" s="56">
        <v>711378</v>
      </c>
      <c r="K1774" s="4" t="s">
        <v>1403</v>
      </c>
      <c r="L1774" s="56" t="s">
        <v>1313</v>
      </c>
      <c r="M1774" s="4" t="s">
        <v>1404</v>
      </c>
      <c r="N1774" s="4" t="s">
        <v>1405</v>
      </c>
      <c r="O1774" s="4" t="s">
        <v>530</v>
      </c>
    </row>
    <row r="1775" spans="2:15">
      <c r="B1775" s="20">
        <v>45464</v>
      </c>
      <c r="C1775" s="20">
        <v>45464</v>
      </c>
      <c r="D1775" s="54">
        <v>50400554</v>
      </c>
      <c r="E1775" s="55" t="s">
        <v>1311</v>
      </c>
      <c r="F1775" s="56">
        <v>28</v>
      </c>
      <c r="G1775" s="68">
        <v>107.52</v>
      </c>
      <c r="H1775" s="56" t="s">
        <v>80</v>
      </c>
      <c r="J1775" s="56">
        <v>711378</v>
      </c>
      <c r="K1775" s="4" t="s">
        <v>1406</v>
      </c>
      <c r="L1775" s="56" t="s">
        <v>1313</v>
      </c>
      <c r="M1775" s="4" t="s">
        <v>1404</v>
      </c>
      <c r="N1775" s="4" t="s">
        <v>1407</v>
      </c>
      <c r="O1775" s="4" t="s">
        <v>530</v>
      </c>
    </row>
    <row r="1776" spans="2:15">
      <c r="B1776" s="20">
        <v>45464</v>
      </c>
      <c r="C1776" s="20">
        <v>45464</v>
      </c>
      <c r="D1776" s="54">
        <v>50400554</v>
      </c>
      <c r="E1776" s="55" t="s">
        <v>1311</v>
      </c>
      <c r="F1776" s="56">
        <v>28</v>
      </c>
      <c r="G1776" s="68">
        <v>107.52</v>
      </c>
      <c r="H1776" s="56" t="s">
        <v>80</v>
      </c>
      <c r="J1776" s="56">
        <v>711378</v>
      </c>
      <c r="K1776" s="4" t="s">
        <v>1408</v>
      </c>
      <c r="L1776" s="56" t="s">
        <v>1313</v>
      </c>
      <c r="M1776" s="4" t="s">
        <v>1367</v>
      </c>
      <c r="N1776" s="4" t="s">
        <v>1145</v>
      </c>
      <c r="O1776" s="4" t="s">
        <v>530</v>
      </c>
    </row>
    <row r="1777" spans="2:15">
      <c r="B1777" s="20">
        <v>45464</v>
      </c>
      <c r="C1777" s="20">
        <v>45464</v>
      </c>
      <c r="D1777" s="54">
        <v>50400554</v>
      </c>
      <c r="E1777" s="55" t="s">
        <v>1311</v>
      </c>
      <c r="F1777" s="56">
        <v>28</v>
      </c>
      <c r="G1777" s="68">
        <v>107.52</v>
      </c>
      <c r="H1777" s="56" t="s">
        <v>80</v>
      </c>
      <c r="J1777" s="56">
        <v>711378</v>
      </c>
      <c r="K1777" s="4" t="s">
        <v>1409</v>
      </c>
      <c r="L1777" s="56" t="s">
        <v>1313</v>
      </c>
      <c r="M1777" s="4" t="s">
        <v>1367</v>
      </c>
      <c r="N1777" s="4" t="s">
        <v>1410</v>
      </c>
      <c r="O1777" s="4" t="s">
        <v>530</v>
      </c>
    </row>
    <row r="1778" spans="2:15">
      <c r="B1778" s="20">
        <v>45464</v>
      </c>
      <c r="C1778" s="20">
        <v>45464</v>
      </c>
      <c r="D1778" s="54">
        <v>50400554</v>
      </c>
      <c r="E1778" s="55" t="s">
        <v>1311</v>
      </c>
      <c r="F1778" s="56">
        <v>28</v>
      </c>
      <c r="G1778" s="68">
        <v>107.52</v>
      </c>
      <c r="H1778" s="56" t="s">
        <v>80</v>
      </c>
      <c r="J1778" s="56">
        <v>711378</v>
      </c>
      <c r="K1778" s="4" t="s">
        <v>1411</v>
      </c>
      <c r="L1778" s="56" t="s">
        <v>1313</v>
      </c>
      <c r="M1778" s="4" t="s">
        <v>1367</v>
      </c>
      <c r="N1778" s="4" t="s">
        <v>1412</v>
      </c>
      <c r="O1778" s="4" t="s">
        <v>530</v>
      </c>
    </row>
    <row r="1779" spans="2:15">
      <c r="B1779" s="20">
        <v>45464</v>
      </c>
      <c r="C1779" s="20">
        <v>45464</v>
      </c>
      <c r="D1779" s="54">
        <v>40499</v>
      </c>
      <c r="E1779" s="55" t="s">
        <v>1094</v>
      </c>
      <c r="G1779" s="68">
        <v>220</v>
      </c>
      <c r="H1779" s="56" t="s">
        <v>92</v>
      </c>
      <c r="J1779" s="56">
        <v>876349</v>
      </c>
      <c r="L1779" s="56" t="s">
        <v>838</v>
      </c>
      <c r="M1779" s="4" t="s">
        <v>176</v>
      </c>
      <c r="N1779" s="4" t="s">
        <v>177</v>
      </c>
      <c r="O1779" s="4" t="s">
        <v>530</v>
      </c>
    </row>
    <row r="1780" spans="2:15">
      <c r="B1780" s="20">
        <v>45468</v>
      </c>
      <c r="C1780" s="20">
        <v>45468</v>
      </c>
      <c r="D1780" s="54">
        <v>50400554</v>
      </c>
      <c r="E1780" s="55" t="s">
        <v>1311</v>
      </c>
      <c r="F1780" s="56">
        <v>28</v>
      </c>
      <c r="G1780" s="68">
        <v>107.52</v>
      </c>
      <c r="H1780" s="56" t="s">
        <v>80</v>
      </c>
      <c r="J1780" s="56">
        <v>711522</v>
      </c>
      <c r="K1780" s="4" t="s">
        <v>1413</v>
      </c>
      <c r="L1780" s="56" t="s">
        <v>1313</v>
      </c>
      <c r="M1780" s="4" t="s">
        <v>392</v>
      </c>
      <c r="N1780" s="4" t="s">
        <v>1414</v>
      </c>
      <c r="O1780" s="4" t="s">
        <v>530</v>
      </c>
    </row>
    <row r="1781" spans="2:15">
      <c r="B1781" s="20">
        <v>45468</v>
      </c>
      <c r="C1781" s="20">
        <v>45468</v>
      </c>
      <c r="D1781" s="54">
        <v>50400554</v>
      </c>
      <c r="E1781" s="55" t="s">
        <v>1311</v>
      </c>
      <c r="F1781" s="56">
        <v>28</v>
      </c>
      <c r="G1781" s="68">
        <v>107.52</v>
      </c>
      <c r="H1781" s="56" t="s">
        <v>80</v>
      </c>
      <c r="J1781" s="56">
        <v>711522</v>
      </c>
      <c r="K1781" s="4" t="s">
        <v>1415</v>
      </c>
      <c r="L1781" s="56" t="s">
        <v>1313</v>
      </c>
      <c r="M1781" s="4" t="s">
        <v>1416</v>
      </c>
      <c r="N1781" s="4" t="s">
        <v>1417</v>
      </c>
      <c r="O1781" s="4" t="s">
        <v>530</v>
      </c>
    </row>
    <row r="1782" spans="2:15">
      <c r="B1782" s="20">
        <v>45468</v>
      </c>
      <c r="C1782" s="20">
        <v>45468</v>
      </c>
      <c r="D1782" s="54">
        <v>50400554</v>
      </c>
      <c r="E1782" s="55" t="s">
        <v>1311</v>
      </c>
      <c r="F1782" s="56">
        <v>28</v>
      </c>
      <c r="G1782" s="68">
        <v>107.52</v>
      </c>
      <c r="H1782" s="56" t="s">
        <v>80</v>
      </c>
      <c r="J1782" s="56">
        <v>711522</v>
      </c>
      <c r="K1782" s="4" t="s">
        <v>1418</v>
      </c>
      <c r="L1782" s="56" t="s">
        <v>1313</v>
      </c>
      <c r="M1782" s="4" t="s">
        <v>1416</v>
      </c>
      <c r="N1782" s="4" t="s">
        <v>1390</v>
      </c>
      <c r="O1782" s="4" t="s">
        <v>530</v>
      </c>
    </row>
    <row r="1783" spans="2:15">
      <c r="B1783" s="20">
        <v>45468</v>
      </c>
      <c r="C1783" s="20">
        <v>45468</v>
      </c>
      <c r="D1783" s="54">
        <v>50809147</v>
      </c>
      <c r="E1783" s="55" t="s">
        <v>930</v>
      </c>
      <c r="G1783" s="68">
        <v>5335.7</v>
      </c>
      <c r="H1783" s="56" t="s">
        <v>82</v>
      </c>
      <c r="J1783" s="56" t="s">
        <v>1419</v>
      </c>
      <c r="L1783" s="56" t="s">
        <v>947</v>
      </c>
      <c r="M1783" s="4" t="s">
        <v>660</v>
      </c>
      <c r="N1783" s="4" t="s">
        <v>1203</v>
      </c>
      <c r="O1783" s="4" t="s">
        <v>530</v>
      </c>
    </row>
    <row r="1784" spans="2:15">
      <c r="B1784" s="20">
        <v>45469</v>
      </c>
      <c r="C1784" s="20">
        <v>45469</v>
      </c>
      <c r="D1784" s="54">
        <v>50470190</v>
      </c>
      <c r="E1784" s="55" t="s">
        <v>12</v>
      </c>
      <c r="G1784" s="68">
        <v>9273600</v>
      </c>
      <c r="H1784" s="56" t="s">
        <v>92</v>
      </c>
      <c r="J1784" s="56" t="s">
        <v>1420</v>
      </c>
      <c r="L1784" s="56" t="s">
        <v>958</v>
      </c>
      <c r="M1784" s="4" t="s">
        <v>392</v>
      </c>
      <c r="N1784" s="4" t="s">
        <v>319</v>
      </c>
      <c r="O1784" s="4" t="s">
        <v>530</v>
      </c>
    </row>
    <row r="1785" spans="2:15">
      <c r="B1785" s="20">
        <v>45469</v>
      </c>
      <c r="C1785" s="20">
        <v>45469</v>
      </c>
      <c r="D1785" s="54">
        <v>50142237</v>
      </c>
      <c r="E1785" s="55" t="s">
        <v>617</v>
      </c>
      <c r="G1785" s="68">
        <v>23000</v>
      </c>
      <c r="H1785" s="56" t="s">
        <v>92</v>
      </c>
      <c r="J1785" s="56" t="s">
        <v>1421</v>
      </c>
      <c r="L1785" s="56" t="s">
        <v>1015</v>
      </c>
      <c r="M1785" s="4" t="s">
        <v>1015</v>
      </c>
      <c r="N1785" s="4" t="s">
        <v>683</v>
      </c>
      <c r="O1785" s="4" t="s">
        <v>530</v>
      </c>
    </row>
    <row r="1786" spans="2:15">
      <c r="B1786" s="20">
        <v>45470</v>
      </c>
      <c r="C1786" s="20">
        <v>45470</v>
      </c>
      <c r="D1786" s="54">
        <v>50272278</v>
      </c>
      <c r="E1786" s="55" t="s">
        <v>21</v>
      </c>
      <c r="G1786" s="68">
        <v>16800</v>
      </c>
      <c r="H1786" s="56" t="s">
        <v>92</v>
      </c>
      <c r="J1786" s="56" t="s">
        <v>1422</v>
      </c>
      <c r="K1786" s="4" t="s">
        <v>1423</v>
      </c>
      <c r="L1786" s="56" t="s">
        <v>934</v>
      </c>
      <c r="M1786" s="4" t="s">
        <v>1118</v>
      </c>
      <c r="N1786" s="4" t="s">
        <v>1424</v>
      </c>
      <c r="O1786" s="4" t="s">
        <v>530</v>
      </c>
    </row>
    <row r="1787" spans="2:15">
      <c r="B1787" s="20">
        <v>45470</v>
      </c>
      <c r="C1787" s="20">
        <v>45470</v>
      </c>
      <c r="D1787" s="54">
        <v>50400554</v>
      </c>
      <c r="E1787" s="55" t="s">
        <v>1311</v>
      </c>
      <c r="F1787" s="56">
        <v>28</v>
      </c>
      <c r="G1787" s="68">
        <v>107.52</v>
      </c>
      <c r="H1787" s="56" t="s">
        <v>80</v>
      </c>
      <c r="J1787" s="56">
        <v>711700</v>
      </c>
      <c r="K1787" s="4" t="s">
        <v>1425</v>
      </c>
      <c r="L1787" s="56" t="s">
        <v>1313</v>
      </c>
      <c r="M1787" s="4" t="s">
        <v>1367</v>
      </c>
      <c r="N1787" s="4" t="s">
        <v>1426</v>
      </c>
      <c r="O1787" s="4" t="s">
        <v>530</v>
      </c>
    </row>
    <row r="1788" spans="2:15">
      <c r="B1788" s="20">
        <v>45470</v>
      </c>
      <c r="C1788" s="20">
        <v>45470</v>
      </c>
      <c r="D1788" s="54">
        <v>50338577</v>
      </c>
      <c r="E1788" s="55" t="s">
        <v>1097</v>
      </c>
      <c r="G1788" s="68">
        <v>5750</v>
      </c>
      <c r="H1788" s="56" t="s">
        <v>753</v>
      </c>
      <c r="J1788" s="56">
        <v>60290161</v>
      </c>
      <c r="L1788" s="56" t="s">
        <v>1427</v>
      </c>
      <c r="M1788" s="4" t="s">
        <v>1428</v>
      </c>
      <c r="N1788" s="4"/>
      <c r="O1788" s="4" t="s">
        <v>530</v>
      </c>
    </row>
    <row r="1789" spans="2:15">
      <c r="B1789" s="20">
        <v>45471</v>
      </c>
      <c r="C1789" s="20">
        <v>45471</v>
      </c>
      <c r="D1789" s="54">
        <v>50400554</v>
      </c>
      <c r="E1789" s="55" t="s">
        <v>1311</v>
      </c>
      <c r="F1789" s="56">
        <v>28</v>
      </c>
      <c r="G1789" s="68">
        <v>107.52</v>
      </c>
      <c r="H1789" s="56" t="s">
        <v>80</v>
      </c>
      <c r="J1789" s="56">
        <v>711700</v>
      </c>
      <c r="K1789" s="4" t="s">
        <v>1429</v>
      </c>
      <c r="L1789" s="56" t="s">
        <v>1313</v>
      </c>
      <c r="M1789" s="4" t="s">
        <v>1367</v>
      </c>
      <c r="N1789" s="4" t="s">
        <v>1430</v>
      </c>
      <c r="O1789" s="4" t="s">
        <v>530</v>
      </c>
    </row>
    <row r="1790" spans="2:15">
      <c r="B1790" s="20">
        <v>45471</v>
      </c>
      <c r="C1790" s="20">
        <v>45471</v>
      </c>
      <c r="D1790" s="54">
        <v>50400554</v>
      </c>
      <c r="E1790" s="55" t="s">
        <v>1311</v>
      </c>
      <c r="F1790" s="56">
        <v>28</v>
      </c>
      <c r="G1790" s="68">
        <v>107.52</v>
      </c>
      <c r="H1790" s="56" t="s">
        <v>80</v>
      </c>
      <c r="J1790" s="56">
        <v>711700</v>
      </c>
      <c r="K1790" s="4" t="s">
        <v>1431</v>
      </c>
      <c r="L1790" s="56" t="s">
        <v>1313</v>
      </c>
      <c r="M1790" s="4" t="s">
        <v>1367</v>
      </c>
      <c r="N1790" s="4" t="s">
        <v>1432</v>
      </c>
      <c r="O1790" s="4" t="s">
        <v>530</v>
      </c>
    </row>
    <row r="1791" spans="2:15">
      <c r="B1791" s="20">
        <v>45471</v>
      </c>
      <c r="C1791" s="20">
        <v>45471</v>
      </c>
      <c r="D1791" s="54">
        <v>40010086</v>
      </c>
      <c r="E1791" s="55" t="s">
        <v>79</v>
      </c>
      <c r="G1791" s="68">
        <v>15899</v>
      </c>
      <c r="H1791" s="56" t="s">
        <v>80</v>
      </c>
      <c r="J1791" s="56">
        <v>1000583413</v>
      </c>
      <c r="K1791" s="4" t="s">
        <v>1433</v>
      </c>
      <c r="L1791" s="56" t="s">
        <v>175</v>
      </c>
      <c r="M1791" s="4" t="s">
        <v>520</v>
      </c>
      <c r="N1791" s="4" t="s">
        <v>1090</v>
      </c>
      <c r="O1791" s="4" t="s">
        <v>530</v>
      </c>
    </row>
    <row r="1792" spans="2:15">
      <c r="B1792" s="20">
        <v>45471</v>
      </c>
      <c r="C1792" s="20">
        <v>45471</v>
      </c>
      <c r="D1792" s="54">
        <v>40010087</v>
      </c>
      <c r="E1792" s="55" t="s">
        <v>387</v>
      </c>
      <c r="G1792" s="68">
        <v>15750</v>
      </c>
      <c r="H1792" s="56" t="s">
        <v>80</v>
      </c>
      <c r="J1792" s="56">
        <v>1000583413</v>
      </c>
      <c r="K1792" s="4" t="s">
        <v>1433</v>
      </c>
      <c r="L1792" s="56" t="s">
        <v>175</v>
      </c>
      <c r="M1792" s="4" t="s">
        <v>520</v>
      </c>
      <c r="N1792" s="4" t="s">
        <v>1090</v>
      </c>
      <c r="O1792" s="4" t="s">
        <v>530</v>
      </c>
    </row>
    <row r="1793" spans="2:15">
      <c r="B1793" s="20">
        <v>45472</v>
      </c>
      <c r="C1793" s="20">
        <v>45472</v>
      </c>
      <c r="D1793" s="54">
        <v>40010084</v>
      </c>
      <c r="E1793" s="55" t="s">
        <v>81</v>
      </c>
      <c r="G1793" s="68">
        <v>6892</v>
      </c>
      <c r="H1793" s="56" t="s">
        <v>80</v>
      </c>
      <c r="J1793" s="56">
        <v>1000583585</v>
      </c>
      <c r="K1793" s="4" t="s">
        <v>1434</v>
      </c>
      <c r="L1793" s="56" t="s">
        <v>175</v>
      </c>
      <c r="M1793" s="4" t="s">
        <v>564</v>
      </c>
      <c r="N1793" s="4" t="s">
        <v>995</v>
      </c>
      <c r="O1793" s="4" t="s">
        <v>530</v>
      </c>
    </row>
    <row r="1794" spans="2:15">
      <c r="B1794" s="20">
        <v>45472</v>
      </c>
      <c r="C1794" s="20">
        <v>45472</v>
      </c>
      <c r="D1794" s="54">
        <v>40010083</v>
      </c>
      <c r="E1794" s="55" t="s">
        <v>85</v>
      </c>
      <c r="G1794" s="68">
        <v>6349</v>
      </c>
      <c r="H1794" s="56" t="s">
        <v>80</v>
      </c>
      <c r="J1794" s="56">
        <v>1000583585</v>
      </c>
      <c r="K1794" s="4" t="s">
        <v>1434</v>
      </c>
      <c r="L1794" s="56" t="s">
        <v>175</v>
      </c>
      <c r="M1794" s="4" t="s">
        <v>564</v>
      </c>
      <c r="N1794" s="4" t="s">
        <v>995</v>
      </c>
      <c r="O1794" s="4" t="s">
        <v>530</v>
      </c>
    </row>
    <row r="1795" spans="2:15">
      <c r="B1795" s="20">
        <v>45472</v>
      </c>
      <c r="C1795" s="20">
        <v>45472</v>
      </c>
      <c r="D1795" s="54">
        <v>40007857</v>
      </c>
      <c r="E1795" s="55" t="s">
        <v>225</v>
      </c>
      <c r="G1795" s="68">
        <v>2896</v>
      </c>
      <c r="H1795" s="56" t="s">
        <v>80</v>
      </c>
      <c r="J1795" s="56">
        <v>1000583585</v>
      </c>
      <c r="K1795" s="4" t="s">
        <v>1434</v>
      </c>
      <c r="L1795" s="56" t="s">
        <v>175</v>
      </c>
      <c r="M1795" s="4" t="s">
        <v>564</v>
      </c>
      <c r="N1795" s="4" t="s">
        <v>995</v>
      </c>
      <c r="O1795" s="4" t="s">
        <v>530</v>
      </c>
    </row>
    <row r="1796" spans="2:15">
      <c r="B1796" s="20">
        <v>45474</v>
      </c>
      <c r="C1796" s="20">
        <v>45474</v>
      </c>
      <c r="D1796" s="54">
        <v>50271649</v>
      </c>
      <c r="E1796" s="55" t="s">
        <v>1435</v>
      </c>
      <c r="G1796" s="68">
        <v>33768</v>
      </c>
      <c r="H1796" s="56" t="s">
        <v>92</v>
      </c>
      <c r="J1796" s="56" t="s">
        <v>1436</v>
      </c>
      <c r="K1796" s="4" t="s">
        <v>1437</v>
      </c>
      <c r="L1796" s="56" t="s">
        <v>1438</v>
      </c>
      <c r="M1796" s="4" t="s">
        <v>1439</v>
      </c>
      <c r="N1796" s="4" t="s">
        <v>1440</v>
      </c>
      <c r="O1796" s="4" t="s">
        <v>530</v>
      </c>
    </row>
    <row r="1797" spans="2:15">
      <c r="B1797" s="20">
        <v>45475</v>
      </c>
      <c r="C1797" s="20">
        <v>45475</v>
      </c>
      <c r="D1797" s="54">
        <v>50142631</v>
      </c>
      <c r="E1797" s="55" t="s">
        <v>566</v>
      </c>
      <c r="G1797" s="68">
        <v>1500</v>
      </c>
      <c r="H1797" s="56" t="s">
        <v>82</v>
      </c>
      <c r="J1797" s="56" t="s">
        <v>1441</v>
      </c>
      <c r="L1797" s="56" t="s">
        <v>567</v>
      </c>
      <c r="M1797" s="4" t="s">
        <v>568</v>
      </c>
      <c r="N1797" s="4" t="s">
        <v>569</v>
      </c>
      <c r="O1797" s="4" t="s">
        <v>530</v>
      </c>
    </row>
    <row r="1798" spans="2:15">
      <c r="B1798" s="20">
        <v>45476</v>
      </c>
      <c r="C1798" s="20">
        <v>45476</v>
      </c>
      <c r="D1798" s="54">
        <v>50272278</v>
      </c>
      <c r="E1798" s="55" t="s">
        <v>21</v>
      </c>
      <c r="G1798" s="68">
        <v>16800</v>
      </c>
      <c r="H1798" s="56" t="s">
        <v>92</v>
      </c>
      <c r="J1798" s="56" t="s">
        <v>1442</v>
      </c>
      <c r="K1798" s="4" t="s">
        <v>1443</v>
      </c>
      <c r="L1798" s="56" t="s">
        <v>934</v>
      </c>
      <c r="M1798" s="4" t="s">
        <v>1118</v>
      </c>
      <c r="N1798" s="4" t="s">
        <v>1356</v>
      </c>
      <c r="O1798" s="4" t="s">
        <v>530</v>
      </c>
    </row>
    <row r="1799" spans="2:15">
      <c r="B1799" s="20">
        <v>45476</v>
      </c>
      <c r="C1799" s="20">
        <v>45476</v>
      </c>
      <c r="D1799" s="54">
        <v>50142373</v>
      </c>
      <c r="E1799" s="55" t="s">
        <v>1130</v>
      </c>
      <c r="G1799" s="68">
        <v>150</v>
      </c>
      <c r="H1799" s="56" t="s">
        <v>82</v>
      </c>
      <c r="J1799" s="56" t="s">
        <v>38</v>
      </c>
      <c r="M1799" s="4" t="s">
        <v>1444</v>
      </c>
      <c r="N1799" s="4" t="s">
        <v>1445</v>
      </c>
      <c r="O1799" s="4" t="s">
        <v>530</v>
      </c>
    </row>
    <row r="1800" spans="2:15">
      <c r="B1800" s="20">
        <v>45476</v>
      </c>
      <c r="C1800" s="20">
        <v>45476</v>
      </c>
      <c r="D1800" s="54">
        <v>50435419</v>
      </c>
      <c r="E1800" s="55" t="s">
        <v>656</v>
      </c>
      <c r="G1800" s="68">
        <v>8960</v>
      </c>
      <c r="H1800" s="56" t="s">
        <v>82</v>
      </c>
      <c r="J1800" s="56">
        <v>1158070346</v>
      </c>
      <c r="L1800" s="56" t="s">
        <v>722</v>
      </c>
      <c r="M1800" s="4" t="s">
        <v>1446</v>
      </c>
      <c r="N1800" s="4" t="s">
        <v>1447</v>
      </c>
      <c r="O1800" s="4" t="s">
        <v>530</v>
      </c>
    </row>
    <row r="1801" spans="2:15">
      <c r="B1801" s="20">
        <v>45476</v>
      </c>
      <c r="C1801" s="20">
        <v>45476</v>
      </c>
      <c r="D1801" s="54">
        <v>50751654</v>
      </c>
      <c r="E1801" s="55" t="s">
        <v>874</v>
      </c>
      <c r="G1801" s="68">
        <v>3584</v>
      </c>
      <c r="H1801" s="56" t="s">
        <v>82</v>
      </c>
      <c r="J1801" s="56">
        <v>1158070345</v>
      </c>
      <c r="L1801" s="56" t="s">
        <v>722</v>
      </c>
      <c r="M1801" s="4" t="s">
        <v>1446</v>
      </c>
      <c r="N1801" s="4" t="s">
        <v>1447</v>
      </c>
      <c r="O1801" s="4" t="s">
        <v>530</v>
      </c>
    </row>
    <row r="1802" spans="2:15">
      <c r="B1802" s="20">
        <v>45477</v>
      </c>
      <c r="C1802" s="20">
        <v>45477</v>
      </c>
      <c r="D1802" s="54">
        <v>50793278</v>
      </c>
      <c r="E1802" s="55" t="s">
        <v>1086</v>
      </c>
      <c r="G1802" s="68">
        <v>120</v>
      </c>
      <c r="H1802" s="56" t="s">
        <v>1087</v>
      </c>
      <c r="J1802" s="56">
        <v>1000550651</v>
      </c>
      <c r="K1802" s="4" t="s">
        <v>1448</v>
      </c>
      <c r="L1802" s="56" t="s">
        <v>175</v>
      </c>
      <c r="M1802" s="4" t="s">
        <v>392</v>
      </c>
      <c r="N1802" s="4" t="s">
        <v>1449</v>
      </c>
      <c r="O1802" s="4" t="s">
        <v>530</v>
      </c>
    </row>
    <row r="1803" spans="2:15">
      <c r="B1803" s="20">
        <v>45477</v>
      </c>
      <c r="C1803" s="20">
        <v>45477</v>
      </c>
      <c r="D1803" s="54">
        <v>50799770</v>
      </c>
      <c r="E1803" s="55" t="s">
        <v>17</v>
      </c>
      <c r="G1803" s="68">
        <v>8000</v>
      </c>
      <c r="H1803" s="56" t="s">
        <v>92</v>
      </c>
      <c r="J1803" s="56">
        <v>36960</v>
      </c>
      <c r="L1803" s="56" t="s">
        <v>838</v>
      </c>
      <c r="M1803" s="4" t="s">
        <v>176</v>
      </c>
      <c r="N1803" s="4" t="s">
        <v>177</v>
      </c>
      <c r="O1803" s="4" t="s">
        <v>530</v>
      </c>
    </row>
    <row r="1804" spans="2:15">
      <c r="B1804" s="20">
        <v>45477</v>
      </c>
      <c r="C1804" s="20">
        <v>45477</v>
      </c>
      <c r="D1804" s="54">
        <v>40499</v>
      </c>
      <c r="E1804" s="55" t="s">
        <v>1094</v>
      </c>
      <c r="G1804" s="68">
        <v>71</v>
      </c>
      <c r="H1804" s="56" t="s">
        <v>92</v>
      </c>
      <c r="J1804" s="56">
        <v>36960</v>
      </c>
      <c r="L1804" s="56" t="s">
        <v>838</v>
      </c>
      <c r="M1804" s="4" t="s">
        <v>176</v>
      </c>
      <c r="N1804" s="4" t="s">
        <v>177</v>
      </c>
      <c r="O1804" s="4" t="s">
        <v>530</v>
      </c>
    </row>
    <row r="1805" spans="2:15">
      <c r="B1805" s="20">
        <v>45482</v>
      </c>
      <c r="C1805" s="20">
        <v>45482</v>
      </c>
      <c r="D1805" s="54">
        <v>50824293</v>
      </c>
      <c r="E1805" s="55" t="s">
        <v>861</v>
      </c>
      <c r="G1805" s="68">
        <v>4896000</v>
      </c>
      <c r="H1805" s="56" t="s">
        <v>92</v>
      </c>
      <c r="J1805" s="56" t="s">
        <v>1450</v>
      </c>
      <c r="K1805" s="4" t="s">
        <v>1451</v>
      </c>
      <c r="L1805" s="56" t="s">
        <v>1257</v>
      </c>
      <c r="M1805" s="4" t="s">
        <v>1452</v>
      </c>
      <c r="N1805" s="4" t="s">
        <v>1453</v>
      </c>
      <c r="O1805" s="4" t="s">
        <v>530</v>
      </c>
    </row>
    <row r="1806" spans="2:15">
      <c r="B1806" s="20">
        <v>45483</v>
      </c>
      <c r="C1806" s="20">
        <v>45483</v>
      </c>
      <c r="D1806" s="54">
        <v>50142262</v>
      </c>
      <c r="E1806" s="55" t="s">
        <v>779</v>
      </c>
      <c r="G1806" s="68">
        <v>250</v>
      </c>
      <c r="H1806" s="56" t="s">
        <v>82</v>
      </c>
      <c r="J1806" s="56" t="s">
        <v>1454</v>
      </c>
      <c r="L1806" s="56" t="s">
        <v>780</v>
      </c>
      <c r="M1806" s="4" t="s">
        <v>780</v>
      </c>
      <c r="N1806" s="4" t="s">
        <v>1455</v>
      </c>
      <c r="O1806" s="4" t="s">
        <v>530</v>
      </c>
    </row>
    <row r="1807" spans="2:15">
      <c r="B1807" s="20">
        <v>45483</v>
      </c>
      <c r="C1807" s="20">
        <v>45483</v>
      </c>
      <c r="D1807" s="54">
        <v>50142520</v>
      </c>
      <c r="E1807" s="55" t="s">
        <v>1156</v>
      </c>
      <c r="G1807" s="68">
        <v>3000</v>
      </c>
      <c r="H1807" s="56" t="s">
        <v>92</v>
      </c>
      <c r="J1807" s="56" t="s">
        <v>1456</v>
      </c>
      <c r="L1807" s="56" t="s">
        <v>286</v>
      </c>
      <c r="M1807" s="4" t="s">
        <v>286</v>
      </c>
      <c r="N1807" s="4" t="s">
        <v>1457</v>
      </c>
      <c r="O1807" s="4" t="s">
        <v>530</v>
      </c>
    </row>
    <row r="1808" spans="2:15">
      <c r="B1808" s="20">
        <v>45483</v>
      </c>
      <c r="C1808" s="20">
        <v>45483</v>
      </c>
      <c r="D1808" s="54">
        <v>50813995</v>
      </c>
      <c r="E1808" s="55" t="s">
        <v>960</v>
      </c>
      <c r="G1808" s="68">
        <v>5440.55</v>
      </c>
      <c r="H1808" s="56" t="s">
        <v>753</v>
      </c>
      <c r="J1808" s="56" t="s">
        <v>1458</v>
      </c>
      <c r="L1808" s="56" t="s">
        <v>1227</v>
      </c>
      <c r="M1808" s="4" t="s">
        <v>660</v>
      </c>
      <c r="N1808" s="4" t="s">
        <v>353</v>
      </c>
      <c r="O1808" s="4" t="s">
        <v>178</v>
      </c>
    </row>
    <row r="1809" spans="2:15">
      <c r="B1809" s="20">
        <v>45483</v>
      </c>
      <c r="C1809" s="20">
        <v>45483</v>
      </c>
      <c r="D1809" s="54">
        <v>40499</v>
      </c>
      <c r="E1809" s="55" t="s">
        <v>1094</v>
      </c>
      <c r="G1809" s="68">
        <v>220</v>
      </c>
      <c r="H1809" s="56" t="s">
        <v>92</v>
      </c>
      <c r="J1809" s="56">
        <v>37192</v>
      </c>
      <c r="L1809" s="56" t="s">
        <v>838</v>
      </c>
      <c r="M1809" s="4" t="s">
        <v>176</v>
      </c>
      <c r="N1809" s="4" t="s">
        <v>177</v>
      </c>
      <c r="O1809" s="4" t="s">
        <v>178</v>
      </c>
    </row>
    <row r="1810" spans="2:15">
      <c r="B1810" s="20">
        <v>45483</v>
      </c>
      <c r="C1810" s="20">
        <v>45483</v>
      </c>
      <c r="D1810" s="54">
        <v>50144376</v>
      </c>
      <c r="E1810" s="55" t="s">
        <v>19</v>
      </c>
      <c r="G1810" s="68">
        <v>750</v>
      </c>
      <c r="H1810" s="56" t="s">
        <v>92</v>
      </c>
      <c r="J1810" s="56">
        <v>37192</v>
      </c>
      <c r="L1810" s="56" t="s">
        <v>838</v>
      </c>
      <c r="M1810" s="4" t="s">
        <v>176</v>
      </c>
      <c r="N1810" s="4" t="s">
        <v>177</v>
      </c>
      <c r="O1810" s="4" t="s">
        <v>178</v>
      </c>
    </row>
    <row r="1811" spans="2:15">
      <c r="B1811" s="20">
        <v>45484</v>
      </c>
      <c r="C1811" s="20">
        <v>45484</v>
      </c>
      <c r="D1811" s="54">
        <v>50809145</v>
      </c>
      <c r="E1811" s="55" t="s">
        <v>946</v>
      </c>
      <c r="G1811" s="68">
        <v>4502.8</v>
      </c>
      <c r="H1811" s="56" t="s">
        <v>82</v>
      </c>
      <c r="J1811" s="56" t="s">
        <v>1459</v>
      </c>
      <c r="L1811" s="56" t="s">
        <v>1227</v>
      </c>
      <c r="M1811" s="4" t="s">
        <v>660</v>
      </c>
      <c r="N1811" s="4" t="s">
        <v>353</v>
      </c>
      <c r="O1811" s="4" t="s">
        <v>178</v>
      </c>
    </row>
    <row r="1812" spans="2:15">
      <c r="B1812" s="20">
        <v>45484</v>
      </c>
      <c r="C1812" s="20">
        <v>45484</v>
      </c>
      <c r="D1812" s="54">
        <v>50809353</v>
      </c>
      <c r="E1812" s="55" t="s">
        <v>905</v>
      </c>
      <c r="G1812" s="68">
        <v>5000</v>
      </c>
      <c r="H1812" s="56" t="s">
        <v>82</v>
      </c>
      <c r="J1812" s="56">
        <v>163510</v>
      </c>
      <c r="K1812" s="4" t="s">
        <v>1460</v>
      </c>
      <c r="L1812" s="56" t="s">
        <v>906</v>
      </c>
      <c r="M1812" s="4" t="s">
        <v>1461</v>
      </c>
      <c r="N1812" s="4" t="s">
        <v>1462</v>
      </c>
      <c r="O1812" s="4" t="s">
        <v>178</v>
      </c>
    </row>
    <row r="1813" spans="2:15">
      <c r="B1813" s="20">
        <v>45488</v>
      </c>
      <c r="C1813" s="20">
        <v>45488</v>
      </c>
      <c r="D1813" s="54">
        <v>50272278</v>
      </c>
      <c r="E1813" s="55" t="s">
        <v>21</v>
      </c>
      <c r="G1813" s="68">
        <v>16716</v>
      </c>
      <c r="H1813" s="56" t="s">
        <v>92</v>
      </c>
      <c r="J1813" s="56" t="s">
        <v>1463</v>
      </c>
      <c r="K1813" s="4" t="s">
        <v>1464</v>
      </c>
      <c r="L1813" s="56" t="s">
        <v>934</v>
      </c>
      <c r="M1813" s="4" t="s">
        <v>1465</v>
      </c>
      <c r="N1813" s="4" t="s">
        <v>1466</v>
      </c>
      <c r="O1813" s="4" t="s">
        <v>178</v>
      </c>
    </row>
    <row r="1814" spans="2:15">
      <c r="B1814" s="20">
        <v>45489</v>
      </c>
      <c r="C1814" s="20">
        <v>45489</v>
      </c>
      <c r="D1814" s="54">
        <v>50470190</v>
      </c>
      <c r="E1814" s="55" t="s">
        <v>12</v>
      </c>
      <c r="G1814" s="68">
        <v>9273600</v>
      </c>
      <c r="H1814" s="56" t="s">
        <v>92</v>
      </c>
      <c r="J1814" s="56" t="s">
        <v>1467</v>
      </c>
      <c r="L1814" s="56" t="s">
        <v>230</v>
      </c>
      <c r="M1814" s="4" t="s">
        <v>392</v>
      </c>
      <c r="N1814" s="4" t="s">
        <v>1468</v>
      </c>
      <c r="O1814" s="4" t="s">
        <v>178</v>
      </c>
    </row>
    <row r="1815" spans="2:15">
      <c r="B1815" s="20">
        <v>45490</v>
      </c>
      <c r="C1815" s="20">
        <v>45490</v>
      </c>
      <c r="D1815" s="54">
        <v>50144376</v>
      </c>
      <c r="E1815" s="55" t="s">
        <v>19</v>
      </c>
      <c r="G1815" s="68">
        <v>16800</v>
      </c>
      <c r="H1815" s="56" t="s">
        <v>92</v>
      </c>
      <c r="J1815" s="56" t="s">
        <v>1469</v>
      </c>
      <c r="K1815" s="4" t="s">
        <v>1470</v>
      </c>
      <c r="L1815" s="56" t="s">
        <v>934</v>
      </c>
      <c r="M1815" s="4" t="s">
        <v>1471</v>
      </c>
      <c r="N1815" s="4" t="s">
        <v>1472</v>
      </c>
      <c r="O1815" s="4" t="s">
        <v>178</v>
      </c>
    </row>
    <row r="1816" spans="2:15">
      <c r="B1816" s="20">
        <v>45491</v>
      </c>
      <c r="C1816" s="20">
        <v>45491</v>
      </c>
      <c r="D1816" s="54">
        <v>50143646</v>
      </c>
      <c r="E1816" s="55" t="s">
        <v>191</v>
      </c>
      <c r="F1816" s="56">
        <v>21</v>
      </c>
      <c r="G1816" s="68">
        <v>10080</v>
      </c>
      <c r="H1816" s="56" t="s">
        <v>82</v>
      </c>
      <c r="J1816" s="56" t="s">
        <v>1473</v>
      </c>
      <c r="K1816" s="4" t="s">
        <v>1474</v>
      </c>
      <c r="L1816" s="56" t="s">
        <v>194</v>
      </c>
      <c r="M1816" s="4" t="s">
        <v>394</v>
      </c>
      <c r="N1816" s="4" t="s">
        <v>1013</v>
      </c>
      <c r="O1816" s="4" t="s">
        <v>178</v>
      </c>
    </row>
    <row r="1817" spans="2:15">
      <c r="B1817" s="20">
        <v>45491</v>
      </c>
      <c r="C1817" s="20">
        <v>45491</v>
      </c>
      <c r="D1817" s="54">
        <v>50834329</v>
      </c>
      <c r="E1817" s="55" t="s">
        <v>1475</v>
      </c>
      <c r="G1817" s="68">
        <v>4052.8</v>
      </c>
      <c r="H1817" s="56" t="s">
        <v>82</v>
      </c>
      <c r="J1817" s="56" t="s">
        <v>1476</v>
      </c>
      <c r="L1817" s="56" t="s">
        <v>1227</v>
      </c>
      <c r="M1817" s="4" t="s">
        <v>660</v>
      </c>
      <c r="N1817" s="4" t="s">
        <v>1203</v>
      </c>
      <c r="O1817" s="4" t="s">
        <v>178</v>
      </c>
    </row>
    <row r="1818" spans="2:15">
      <c r="B1818" s="20">
        <v>45491</v>
      </c>
      <c r="C1818" s="20">
        <v>45491</v>
      </c>
      <c r="D1818" s="54">
        <v>50144376</v>
      </c>
      <c r="E1818" s="55" t="s">
        <v>19</v>
      </c>
      <c r="G1818" s="68">
        <v>4000</v>
      </c>
      <c r="H1818" s="56" t="s">
        <v>92</v>
      </c>
      <c r="J1818" s="56" t="s">
        <v>1477</v>
      </c>
      <c r="L1818" s="56" t="s">
        <v>838</v>
      </c>
      <c r="M1818" s="4" t="s">
        <v>176</v>
      </c>
      <c r="N1818" s="4" t="s">
        <v>177</v>
      </c>
      <c r="O1818" s="4" t="s">
        <v>178</v>
      </c>
    </row>
    <row r="1819" spans="2:15">
      <c r="B1819" s="20">
        <v>45491</v>
      </c>
      <c r="C1819" s="20">
        <v>45491</v>
      </c>
      <c r="D1819" s="54">
        <v>40499</v>
      </c>
      <c r="E1819" s="55" t="s">
        <v>1094</v>
      </c>
      <c r="G1819" s="68">
        <v>140</v>
      </c>
      <c r="H1819" s="56" t="s">
        <v>92</v>
      </c>
      <c r="J1819" s="56" t="s">
        <v>1477</v>
      </c>
      <c r="L1819" s="56" t="s">
        <v>838</v>
      </c>
      <c r="M1819" s="4" t="s">
        <v>176</v>
      </c>
      <c r="N1819" s="4" t="s">
        <v>177</v>
      </c>
      <c r="O1819" s="4" t="s">
        <v>178</v>
      </c>
    </row>
    <row r="1820" spans="2:15">
      <c r="B1820" s="20">
        <v>45496</v>
      </c>
      <c r="C1820" s="20">
        <v>45496</v>
      </c>
      <c r="D1820" s="54">
        <v>50814629</v>
      </c>
      <c r="E1820" s="55" t="s">
        <v>1226</v>
      </c>
      <c r="G1820" s="68">
        <v>2018.8</v>
      </c>
      <c r="H1820" s="56" t="s">
        <v>82</v>
      </c>
      <c r="J1820" s="56" t="s">
        <v>1478</v>
      </c>
      <c r="L1820" s="56" t="s">
        <v>1227</v>
      </c>
      <c r="M1820" s="4" t="s">
        <v>660</v>
      </c>
      <c r="N1820" s="4" t="s">
        <v>1479</v>
      </c>
      <c r="O1820" s="4" t="s">
        <v>178</v>
      </c>
    </row>
    <row r="1821" spans="2:15">
      <c r="B1821" s="20">
        <v>45496</v>
      </c>
      <c r="C1821" s="20">
        <v>45496</v>
      </c>
      <c r="D1821" s="54">
        <v>50145028</v>
      </c>
      <c r="E1821" s="55" t="s">
        <v>23</v>
      </c>
      <c r="G1821" s="68">
        <v>1920</v>
      </c>
      <c r="H1821" s="56" t="s">
        <v>92</v>
      </c>
      <c r="J1821" s="56" t="s">
        <v>1480</v>
      </c>
      <c r="L1821" s="56" t="s">
        <v>673</v>
      </c>
      <c r="M1821" s="4" t="s">
        <v>673</v>
      </c>
      <c r="N1821" s="4" t="s">
        <v>1014</v>
      </c>
      <c r="O1821" s="4" t="s">
        <v>178</v>
      </c>
    </row>
    <row r="1822" spans="2:15">
      <c r="B1822" s="20">
        <v>45497</v>
      </c>
      <c r="C1822" s="20">
        <v>45497</v>
      </c>
      <c r="D1822" s="54">
        <v>40010086</v>
      </c>
      <c r="E1822" s="55" t="s">
        <v>79</v>
      </c>
      <c r="G1822" s="68">
        <v>14784</v>
      </c>
      <c r="H1822" s="56" t="s">
        <v>80</v>
      </c>
      <c r="J1822" s="56">
        <v>1000831128</v>
      </c>
      <c r="K1822" s="4" t="s">
        <v>1481</v>
      </c>
      <c r="L1822" s="56" t="s">
        <v>175</v>
      </c>
      <c r="M1822" s="4" t="s">
        <v>520</v>
      </c>
      <c r="N1822" s="4" t="s">
        <v>1482</v>
      </c>
      <c r="O1822" s="4" t="s">
        <v>178</v>
      </c>
    </row>
    <row r="1823" spans="2:15">
      <c r="B1823" s="20">
        <v>45497</v>
      </c>
      <c r="C1823" s="20">
        <v>45497</v>
      </c>
      <c r="D1823" s="54">
        <v>40010087</v>
      </c>
      <c r="E1823" s="55" t="s">
        <v>387</v>
      </c>
      <c r="G1823" s="68">
        <v>15387</v>
      </c>
      <c r="H1823" s="56" t="s">
        <v>80</v>
      </c>
      <c r="J1823" s="56">
        <v>1000831128</v>
      </c>
      <c r="K1823" s="4" t="s">
        <v>1481</v>
      </c>
      <c r="L1823" s="56" t="s">
        <v>175</v>
      </c>
      <c r="M1823" s="4" t="s">
        <v>520</v>
      </c>
      <c r="N1823" s="4" t="s">
        <v>1482</v>
      </c>
      <c r="O1823" s="4" t="s">
        <v>178</v>
      </c>
    </row>
    <row r="1824" spans="2:15">
      <c r="B1824" s="20">
        <v>45497</v>
      </c>
      <c r="C1824" s="20">
        <v>45497</v>
      </c>
      <c r="D1824" s="54">
        <v>40011133</v>
      </c>
      <c r="E1824" s="55" t="s">
        <v>634</v>
      </c>
      <c r="G1824" s="68">
        <v>5506</v>
      </c>
      <c r="H1824" s="56" t="s">
        <v>80</v>
      </c>
      <c r="J1824" s="56">
        <v>1000831128</v>
      </c>
      <c r="K1824" s="4" t="s">
        <v>1481</v>
      </c>
      <c r="L1824" s="56" t="s">
        <v>175</v>
      </c>
      <c r="M1824" s="4" t="s">
        <v>520</v>
      </c>
      <c r="N1824" s="4" t="s">
        <v>1482</v>
      </c>
      <c r="O1824" s="4" t="s">
        <v>178</v>
      </c>
    </row>
    <row r="1825" spans="2:15">
      <c r="B1825" s="20">
        <v>45497</v>
      </c>
      <c r="C1825" s="20">
        <v>45497</v>
      </c>
      <c r="D1825" s="54">
        <v>50144376</v>
      </c>
      <c r="E1825" s="55" t="s">
        <v>19</v>
      </c>
      <c r="G1825" s="68">
        <v>16800</v>
      </c>
      <c r="H1825" s="56" t="s">
        <v>92</v>
      </c>
      <c r="J1825" s="56" t="s">
        <v>1483</v>
      </c>
      <c r="K1825" s="4" t="s">
        <v>1484</v>
      </c>
      <c r="L1825" s="56" t="s">
        <v>934</v>
      </c>
      <c r="M1825" s="4" t="s">
        <v>1118</v>
      </c>
      <c r="N1825" s="4" t="s">
        <v>1303</v>
      </c>
      <c r="O1825" s="4" t="s">
        <v>178</v>
      </c>
    </row>
    <row r="1826" spans="2:15">
      <c r="B1826" s="20">
        <v>45497</v>
      </c>
      <c r="C1826" s="20">
        <v>45497</v>
      </c>
      <c r="D1826" s="54">
        <v>50142328</v>
      </c>
      <c r="E1826" s="55" t="s">
        <v>767</v>
      </c>
      <c r="G1826" s="68">
        <v>8000</v>
      </c>
      <c r="H1826" s="56" t="s">
        <v>82</v>
      </c>
      <c r="J1826" s="56" t="s">
        <v>1485</v>
      </c>
      <c r="L1826" s="56" t="s">
        <v>769</v>
      </c>
      <c r="M1826" s="4" t="s">
        <v>769</v>
      </c>
      <c r="N1826" s="4" t="s">
        <v>1486</v>
      </c>
      <c r="O1826" s="4" t="s">
        <v>178</v>
      </c>
    </row>
    <row r="1827" spans="2:15">
      <c r="B1827" s="20">
        <v>45497</v>
      </c>
      <c r="C1827" s="20">
        <v>45497</v>
      </c>
      <c r="D1827" s="54">
        <v>50272278</v>
      </c>
      <c r="E1827" s="55" t="s">
        <v>21</v>
      </c>
      <c r="G1827" s="68">
        <v>1400</v>
      </c>
      <c r="H1827" s="56" t="s">
        <v>92</v>
      </c>
      <c r="J1827" s="56" t="s">
        <v>1487</v>
      </c>
      <c r="L1827" s="56" t="s">
        <v>838</v>
      </c>
      <c r="M1827" s="4" t="s">
        <v>176</v>
      </c>
      <c r="N1827" s="4" t="s">
        <v>177</v>
      </c>
      <c r="O1827" s="4" t="s">
        <v>178</v>
      </c>
    </row>
    <row r="1828" spans="2:15">
      <c r="B1828" s="20">
        <v>45497</v>
      </c>
      <c r="C1828" s="20">
        <v>45497</v>
      </c>
      <c r="D1828" s="54">
        <v>40499</v>
      </c>
      <c r="E1828" s="55" t="s">
        <v>1094</v>
      </c>
      <c r="G1828" s="68">
        <v>144</v>
      </c>
      <c r="H1828" s="56" t="s">
        <v>92</v>
      </c>
      <c r="J1828" s="56" t="s">
        <v>1487</v>
      </c>
      <c r="L1828" s="56" t="s">
        <v>838</v>
      </c>
      <c r="M1828" s="4" t="s">
        <v>176</v>
      </c>
      <c r="N1828" s="4" t="s">
        <v>177</v>
      </c>
      <c r="O1828" s="4" t="s">
        <v>178</v>
      </c>
    </row>
    <row r="1829" spans="2:15">
      <c r="B1829" s="20">
        <v>45497</v>
      </c>
      <c r="C1829" s="20">
        <v>45497</v>
      </c>
      <c r="D1829" s="54">
        <v>50142137</v>
      </c>
      <c r="E1829" s="55" t="s">
        <v>840</v>
      </c>
      <c r="G1829" s="68">
        <v>4150</v>
      </c>
      <c r="H1829" s="56" t="s">
        <v>82</v>
      </c>
      <c r="J1829" s="56" t="s">
        <v>1487</v>
      </c>
      <c r="L1829" s="56" t="s">
        <v>838</v>
      </c>
      <c r="M1829" s="4" t="s">
        <v>176</v>
      </c>
      <c r="N1829" s="4" t="s">
        <v>177</v>
      </c>
      <c r="O1829" s="4" t="s">
        <v>178</v>
      </c>
    </row>
    <row r="1830" spans="2:15">
      <c r="B1830" s="20">
        <v>45499</v>
      </c>
      <c r="C1830" s="20">
        <v>45499</v>
      </c>
      <c r="D1830" s="54">
        <v>50470190</v>
      </c>
      <c r="E1830" s="55" t="s">
        <v>12</v>
      </c>
      <c r="G1830" s="68">
        <v>9273600</v>
      </c>
      <c r="H1830" s="56" t="s">
        <v>92</v>
      </c>
      <c r="J1830" s="56" t="s">
        <v>1488</v>
      </c>
      <c r="L1830" s="56" t="s">
        <v>958</v>
      </c>
      <c r="M1830" s="4" t="s">
        <v>392</v>
      </c>
      <c r="N1830" s="4" t="s">
        <v>1489</v>
      </c>
      <c r="O1830" s="4" t="s">
        <v>178</v>
      </c>
    </row>
    <row r="1831" spans="2:15">
      <c r="B1831" s="20">
        <v>45499</v>
      </c>
      <c r="C1831" s="20">
        <v>45499</v>
      </c>
      <c r="D1831" s="54">
        <v>50802401</v>
      </c>
      <c r="E1831" s="55" t="s">
        <v>13</v>
      </c>
      <c r="G1831" s="68">
        <v>9273600</v>
      </c>
      <c r="H1831" s="56" t="s">
        <v>92</v>
      </c>
      <c r="J1831" s="56" t="s">
        <v>1490</v>
      </c>
      <c r="L1831" s="56" t="s">
        <v>1117</v>
      </c>
      <c r="M1831" s="4" t="s">
        <v>392</v>
      </c>
      <c r="N1831" s="4" t="s">
        <v>1491</v>
      </c>
      <c r="O1831" s="4" t="s">
        <v>178</v>
      </c>
    </row>
    <row r="1832" spans="2:15">
      <c r="B1832" s="20">
        <v>45499</v>
      </c>
      <c r="C1832" s="20">
        <v>45499</v>
      </c>
      <c r="D1832" s="54">
        <v>50272278</v>
      </c>
      <c r="E1832" s="55" t="s">
        <v>21</v>
      </c>
      <c r="G1832" s="68">
        <v>11000</v>
      </c>
      <c r="H1832" s="56" t="s">
        <v>92</v>
      </c>
      <c r="J1832" s="56" t="s">
        <v>1492</v>
      </c>
      <c r="L1832" s="56" t="s">
        <v>262</v>
      </c>
      <c r="M1832" s="4" t="s">
        <v>176</v>
      </c>
      <c r="N1832" s="4" t="s">
        <v>177</v>
      </c>
      <c r="O1832" s="4" t="s">
        <v>178</v>
      </c>
    </row>
    <row r="1833" spans="2:15">
      <c r="B1833" s="20">
        <v>45502</v>
      </c>
      <c r="C1833" s="20">
        <v>45502</v>
      </c>
      <c r="D1833" s="54">
        <v>50802401</v>
      </c>
      <c r="E1833" s="55" t="s">
        <v>13</v>
      </c>
      <c r="G1833" s="68">
        <v>9273600</v>
      </c>
      <c r="H1833" s="56" t="s">
        <v>92</v>
      </c>
      <c r="J1833" s="56" t="s">
        <v>1493</v>
      </c>
      <c r="L1833" s="56" t="s">
        <v>1117</v>
      </c>
      <c r="M1833" s="4" t="s">
        <v>1494</v>
      </c>
      <c r="N1833" s="4" t="s">
        <v>1491</v>
      </c>
      <c r="O1833" s="4" t="s">
        <v>178</v>
      </c>
    </row>
    <row r="1834" spans="2:15">
      <c r="B1834" s="20">
        <v>45502</v>
      </c>
      <c r="C1834" s="20">
        <v>45502</v>
      </c>
      <c r="D1834" s="54">
        <v>50802401</v>
      </c>
      <c r="E1834" s="55" t="s">
        <v>13</v>
      </c>
      <c r="G1834" s="68">
        <v>9273600</v>
      </c>
      <c r="H1834" s="56" t="s">
        <v>92</v>
      </c>
      <c r="J1834" s="56" t="s">
        <v>1493</v>
      </c>
      <c r="L1834" s="56" t="s">
        <v>1117</v>
      </c>
      <c r="M1834" s="4" t="s">
        <v>1265</v>
      </c>
      <c r="N1834" s="4" t="s">
        <v>1495</v>
      </c>
      <c r="O1834" s="4" t="s">
        <v>178</v>
      </c>
    </row>
    <row r="1835" spans="2:15">
      <c r="B1835" s="20">
        <v>45502</v>
      </c>
      <c r="C1835" s="20">
        <v>45502</v>
      </c>
      <c r="D1835" s="54">
        <v>50145028</v>
      </c>
      <c r="E1835" s="55" t="s">
        <v>23</v>
      </c>
      <c r="G1835" s="68">
        <v>1152</v>
      </c>
      <c r="H1835" s="56" t="s">
        <v>92</v>
      </c>
      <c r="J1835" s="56" t="s">
        <v>1496</v>
      </c>
      <c r="L1835" s="56" t="s">
        <v>838</v>
      </c>
      <c r="M1835" s="4" t="s">
        <v>176</v>
      </c>
      <c r="N1835" s="4" t="s">
        <v>177</v>
      </c>
      <c r="O1835" s="4" t="s">
        <v>178</v>
      </c>
    </row>
    <row r="1836" spans="2:15">
      <c r="B1836" s="20">
        <v>45502</v>
      </c>
      <c r="C1836" s="20">
        <v>45502</v>
      </c>
      <c r="D1836" s="54">
        <v>40499</v>
      </c>
      <c r="E1836" s="55" t="s">
        <v>1094</v>
      </c>
      <c r="G1836" s="68">
        <v>42</v>
      </c>
      <c r="H1836" s="56" t="s">
        <v>92</v>
      </c>
      <c r="J1836" s="56" t="s">
        <v>1496</v>
      </c>
      <c r="L1836" s="56" t="s">
        <v>838</v>
      </c>
      <c r="M1836" s="4" t="s">
        <v>176</v>
      </c>
      <c r="N1836" s="4" t="s">
        <v>177</v>
      </c>
      <c r="O1836" s="4" t="s">
        <v>178</v>
      </c>
    </row>
    <row r="1837" spans="2:15">
      <c r="B1837" s="20">
        <v>45502</v>
      </c>
      <c r="C1837" s="20">
        <v>45502</v>
      </c>
      <c r="D1837" s="54">
        <v>50515034</v>
      </c>
      <c r="E1837" s="55" t="s">
        <v>41</v>
      </c>
      <c r="G1837" s="68">
        <v>288</v>
      </c>
      <c r="H1837" s="56" t="s">
        <v>80</v>
      </c>
      <c r="J1837" s="56" t="s">
        <v>1496</v>
      </c>
      <c r="L1837" s="56" t="s">
        <v>838</v>
      </c>
      <c r="M1837" s="4" t="s">
        <v>176</v>
      </c>
      <c r="N1837" s="4" t="s">
        <v>177</v>
      </c>
      <c r="O1837" s="4" t="s">
        <v>178</v>
      </c>
    </row>
    <row r="1838" spans="2:15">
      <c r="B1838" s="20">
        <v>45503</v>
      </c>
      <c r="C1838" s="20">
        <v>45503</v>
      </c>
      <c r="D1838" s="54">
        <v>50802401</v>
      </c>
      <c r="E1838" s="55" t="s">
        <v>13</v>
      </c>
      <c r="G1838" s="68">
        <v>9273600</v>
      </c>
      <c r="H1838" s="56" t="s">
        <v>92</v>
      </c>
      <c r="J1838" s="56" t="s">
        <v>1497</v>
      </c>
      <c r="L1838" s="56" t="s">
        <v>1117</v>
      </c>
      <c r="M1838" s="4" t="s">
        <v>1494</v>
      </c>
      <c r="N1838" s="4" t="s">
        <v>1491</v>
      </c>
      <c r="O1838" s="4" t="s">
        <v>178</v>
      </c>
    </row>
    <row r="1839" spans="2:15">
      <c r="B1839" s="20">
        <v>45505</v>
      </c>
      <c r="C1839" s="20">
        <v>45505</v>
      </c>
      <c r="D1839" s="54">
        <v>20016059</v>
      </c>
      <c r="E1839" s="55" t="s">
        <v>1498</v>
      </c>
      <c r="G1839" s="68">
        <v>100</v>
      </c>
      <c r="H1839" s="56" t="s">
        <v>92</v>
      </c>
      <c r="J1839" s="56">
        <v>515</v>
      </c>
      <c r="L1839" s="56" t="s">
        <v>1499</v>
      </c>
      <c r="M1839" s="4" t="s">
        <v>1499</v>
      </c>
      <c r="N1839" s="4"/>
      <c r="O1839" s="4" t="s">
        <v>178</v>
      </c>
    </row>
    <row r="1840" spans="2:15">
      <c r="B1840" s="20">
        <v>45505</v>
      </c>
      <c r="C1840" s="20">
        <v>45505</v>
      </c>
      <c r="D1840" s="54">
        <v>50502050</v>
      </c>
      <c r="E1840" s="55" t="s">
        <v>1500</v>
      </c>
      <c r="G1840" s="68">
        <v>2000</v>
      </c>
      <c r="H1840" s="56" t="s">
        <v>898</v>
      </c>
      <c r="J1840" s="56" t="s">
        <v>1501</v>
      </c>
      <c r="L1840" s="56" t="s">
        <v>1346</v>
      </c>
      <c r="M1840" s="4" t="s">
        <v>1444</v>
      </c>
      <c r="N1840" s="4" t="s">
        <v>1502</v>
      </c>
      <c r="O1840" s="4" t="s">
        <v>178</v>
      </c>
    </row>
    <row r="1841" spans="2:15">
      <c r="B1841" s="20">
        <v>45505</v>
      </c>
      <c r="C1841" s="20">
        <v>45505</v>
      </c>
      <c r="D1841" s="54">
        <v>50272278</v>
      </c>
      <c r="E1841" s="55" t="s">
        <v>21</v>
      </c>
      <c r="G1841" s="68">
        <v>16450</v>
      </c>
      <c r="H1841" s="56" t="s">
        <v>92</v>
      </c>
      <c r="J1841" s="56" t="s">
        <v>1503</v>
      </c>
      <c r="L1841" s="56" t="s">
        <v>934</v>
      </c>
      <c r="M1841" s="4" t="s">
        <v>1118</v>
      </c>
      <c r="N1841" s="4" t="s">
        <v>1504</v>
      </c>
      <c r="O1841" s="4" t="s">
        <v>178</v>
      </c>
    </row>
    <row r="1842" spans="2:15">
      <c r="B1842" s="20">
        <v>45505</v>
      </c>
      <c r="C1842" s="20">
        <v>45505</v>
      </c>
      <c r="D1842" s="54">
        <v>50793278</v>
      </c>
      <c r="E1842" s="55" t="s">
        <v>1086</v>
      </c>
      <c r="G1842" s="68">
        <v>140</v>
      </c>
      <c r="H1842" s="56" t="s">
        <v>1087</v>
      </c>
      <c r="J1842" s="56">
        <v>1000965594</v>
      </c>
      <c r="K1842" s="4" t="s">
        <v>1505</v>
      </c>
      <c r="L1842" s="56" t="s">
        <v>175</v>
      </c>
      <c r="M1842" s="4" t="s">
        <v>392</v>
      </c>
      <c r="N1842" s="4" t="s">
        <v>1506</v>
      </c>
      <c r="O1842" s="4" t="s">
        <v>178</v>
      </c>
    </row>
    <row r="1843" spans="2:15">
      <c r="B1843" s="20">
        <v>45506</v>
      </c>
      <c r="C1843" s="20">
        <v>45506</v>
      </c>
      <c r="D1843" s="54">
        <v>50272278</v>
      </c>
      <c r="E1843" s="55" t="s">
        <v>21</v>
      </c>
      <c r="G1843" s="68">
        <v>13000</v>
      </c>
      <c r="H1843" s="56" t="s">
        <v>92</v>
      </c>
      <c r="J1843" s="56" t="s">
        <v>1507</v>
      </c>
      <c r="L1843" s="56" t="s">
        <v>262</v>
      </c>
      <c r="M1843" s="4" t="s">
        <v>262</v>
      </c>
      <c r="N1843" s="4" t="s">
        <v>1274</v>
      </c>
      <c r="O1843" s="4" t="s">
        <v>178</v>
      </c>
    </row>
    <row r="1844" spans="2:15">
      <c r="B1844" s="20">
        <v>45509</v>
      </c>
      <c r="C1844" s="20">
        <v>45509</v>
      </c>
      <c r="D1844" s="54">
        <v>50142520</v>
      </c>
      <c r="E1844" s="55" t="s">
        <v>1156</v>
      </c>
      <c r="G1844" s="68">
        <v>5000</v>
      </c>
      <c r="H1844" s="56" t="s">
        <v>92</v>
      </c>
      <c r="L1844" s="56" t="s">
        <v>286</v>
      </c>
      <c r="M1844" s="4" t="s">
        <v>286</v>
      </c>
      <c r="N1844" s="4" t="s">
        <v>1457</v>
      </c>
      <c r="O1844" s="4" t="s">
        <v>178</v>
      </c>
    </row>
    <row r="1845" spans="2:15">
      <c r="B1845" s="20">
        <v>45509</v>
      </c>
      <c r="C1845" s="20">
        <v>45509</v>
      </c>
      <c r="D1845" s="54">
        <v>50144376</v>
      </c>
      <c r="E1845" s="55" t="s">
        <v>19</v>
      </c>
      <c r="G1845" s="68">
        <v>13000</v>
      </c>
      <c r="H1845" s="56" t="s">
        <v>92</v>
      </c>
      <c r="L1845" s="56" t="s">
        <v>262</v>
      </c>
      <c r="M1845" s="4" t="s">
        <v>262</v>
      </c>
      <c r="N1845" s="4" t="s">
        <v>1274</v>
      </c>
      <c r="O1845" s="4" t="s">
        <v>178</v>
      </c>
    </row>
    <row r="1846" spans="2:15">
      <c r="B1846" s="20">
        <v>45509</v>
      </c>
      <c r="C1846" s="20">
        <v>45509</v>
      </c>
      <c r="D1846" s="54">
        <v>50272278</v>
      </c>
      <c r="E1846" s="55" t="s">
        <v>21</v>
      </c>
      <c r="G1846" s="68">
        <v>16800</v>
      </c>
      <c r="H1846" s="56" t="s">
        <v>92</v>
      </c>
      <c r="J1846" s="56" t="s">
        <v>1508</v>
      </c>
      <c r="K1846" s="4" t="s">
        <v>1509</v>
      </c>
      <c r="L1846" s="56" t="s">
        <v>934</v>
      </c>
      <c r="M1846" s="4" t="s">
        <v>1118</v>
      </c>
      <c r="N1846" s="4" t="s">
        <v>1510</v>
      </c>
      <c r="O1846" s="4" t="s">
        <v>178</v>
      </c>
    </row>
    <row r="1847" spans="2:15">
      <c r="B1847" s="20">
        <v>45509</v>
      </c>
      <c r="C1847" s="20">
        <v>45509</v>
      </c>
      <c r="D1847" s="54">
        <v>50470190</v>
      </c>
      <c r="E1847" s="55" t="s">
        <v>12</v>
      </c>
      <c r="G1847" s="68">
        <v>9273600</v>
      </c>
      <c r="H1847" s="56" t="s">
        <v>92</v>
      </c>
      <c r="J1847" s="56" t="s">
        <v>1511</v>
      </c>
      <c r="L1847" s="56" t="s">
        <v>958</v>
      </c>
      <c r="M1847" s="4" t="s">
        <v>392</v>
      </c>
      <c r="N1847" s="4" t="s">
        <v>1489</v>
      </c>
      <c r="O1847" s="4" t="s">
        <v>178</v>
      </c>
    </row>
    <row r="1848" spans="2:15">
      <c r="B1848" s="20">
        <v>45510</v>
      </c>
      <c r="C1848" s="20">
        <v>45510</v>
      </c>
      <c r="D1848" s="54">
        <v>50272278</v>
      </c>
      <c r="E1848" s="55" t="s">
        <v>21</v>
      </c>
      <c r="G1848" s="68">
        <v>13000</v>
      </c>
      <c r="H1848" s="56" t="s">
        <v>92</v>
      </c>
      <c r="J1848" s="56" t="s">
        <v>1512</v>
      </c>
      <c r="L1848" s="56" t="s">
        <v>262</v>
      </c>
      <c r="M1848" s="4" t="s">
        <v>262</v>
      </c>
      <c r="N1848" s="4" t="s">
        <v>1274</v>
      </c>
      <c r="O1848" s="4" t="s">
        <v>178</v>
      </c>
    </row>
    <row r="1849" spans="2:15">
      <c r="B1849" s="20">
        <v>45510</v>
      </c>
      <c r="C1849" s="20">
        <v>45510</v>
      </c>
      <c r="D1849" s="54">
        <v>50143875</v>
      </c>
      <c r="E1849" s="55" t="s">
        <v>713</v>
      </c>
      <c r="G1849" s="68">
        <v>10000</v>
      </c>
      <c r="H1849" s="56" t="s">
        <v>92</v>
      </c>
      <c r="J1849" s="56" t="s">
        <v>1513</v>
      </c>
      <c r="L1849" s="56" t="s">
        <v>615</v>
      </c>
      <c r="M1849" s="4" t="s">
        <v>615</v>
      </c>
      <c r="N1849" s="4" t="s">
        <v>1514</v>
      </c>
      <c r="O1849" s="4" t="s">
        <v>178</v>
      </c>
    </row>
    <row r="1850" spans="2:15">
      <c r="B1850" s="20">
        <v>45511</v>
      </c>
      <c r="C1850" s="20">
        <v>45511</v>
      </c>
      <c r="D1850" s="54">
        <v>50272278</v>
      </c>
      <c r="E1850" s="55" t="s">
        <v>21</v>
      </c>
      <c r="G1850" s="68">
        <v>13000</v>
      </c>
      <c r="H1850" s="56" t="s">
        <v>92</v>
      </c>
      <c r="J1850" s="56" t="s">
        <v>1515</v>
      </c>
      <c r="L1850" s="56" t="s">
        <v>262</v>
      </c>
      <c r="M1850" s="4" t="s">
        <v>262</v>
      </c>
      <c r="N1850" s="4" t="s">
        <v>1274</v>
      </c>
      <c r="O1850" s="4" t="s">
        <v>178</v>
      </c>
    </row>
    <row r="1851" spans="2:15">
      <c r="B1851" s="20">
        <v>45512</v>
      </c>
      <c r="C1851" s="20">
        <v>45512</v>
      </c>
      <c r="D1851" s="54">
        <v>50272278</v>
      </c>
      <c r="E1851" s="55" t="s">
        <v>21</v>
      </c>
      <c r="G1851" s="68">
        <v>16800</v>
      </c>
      <c r="H1851" s="56" t="s">
        <v>92</v>
      </c>
      <c r="J1851" s="56" t="s">
        <v>1516</v>
      </c>
      <c r="K1851" s="4" t="s">
        <v>1517</v>
      </c>
      <c r="L1851" s="56" t="s">
        <v>934</v>
      </c>
      <c r="M1851" s="4" t="s">
        <v>1518</v>
      </c>
      <c r="N1851" s="4" t="s">
        <v>1519</v>
      </c>
      <c r="O1851" s="4" t="s">
        <v>178</v>
      </c>
    </row>
    <row r="1852" spans="2:15">
      <c r="B1852" s="20">
        <v>45512</v>
      </c>
      <c r="C1852" s="20">
        <v>45512</v>
      </c>
      <c r="D1852" s="54">
        <v>50010080</v>
      </c>
      <c r="E1852" s="55" t="s">
        <v>354</v>
      </c>
      <c r="G1852" s="68">
        <v>20000</v>
      </c>
      <c r="H1852" s="56" t="s">
        <v>82</v>
      </c>
      <c r="J1852" s="56" t="s">
        <v>1520</v>
      </c>
      <c r="L1852" s="56" t="s">
        <v>355</v>
      </c>
      <c r="M1852" s="4" t="s">
        <v>650</v>
      </c>
      <c r="N1852" s="4" t="s">
        <v>961</v>
      </c>
      <c r="O1852" s="4" t="s">
        <v>178</v>
      </c>
    </row>
    <row r="1853" spans="2:15">
      <c r="B1853" s="20">
        <v>45512</v>
      </c>
      <c r="C1853" s="20">
        <v>45512</v>
      </c>
      <c r="D1853" s="54">
        <v>50142373</v>
      </c>
      <c r="E1853" s="55" t="s">
        <v>1130</v>
      </c>
      <c r="G1853" s="68">
        <v>325</v>
      </c>
      <c r="H1853" s="56" t="s">
        <v>82</v>
      </c>
      <c r="J1853" s="56" t="s">
        <v>1521</v>
      </c>
      <c r="L1853" s="56" t="s">
        <v>567</v>
      </c>
      <c r="M1853" s="4" t="s">
        <v>568</v>
      </c>
      <c r="N1853" s="4" t="s">
        <v>569</v>
      </c>
      <c r="O1853" s="4" t="s">
        <v>178</v>
      </c>
    </row>
    <row r="1854" spans="2:15">
      <c r="B1854" s="20">
        <v>45512</v>
      </c>
      <c r="C1854" s="20">
        <v>45512</v>
      </c>
      <c r="D1854" s="54">
        <v>50272278</v>
      </c>
      <c r="E1854" s="55" t="s">
        <v>21</v>
      </c>
      <c r="G1854" s="68">
        <v>13000</v>
      </c>
      <c r="H1854" s="56" t="s">
        <v>962</v>
      </c>
      <c r="J1854" s="56" t="s">
        <v>1522</v>
      </c>
      <c r="L1854" s="56" t="s">
        <v>262</v>
      </c>
      <c r="M1854" s="4" t="s">
        <v>262</v>
      </c>
      <c r="N1854" s="4" t="s">
        <v>1274</v>
      </c>
      <c r="O1854" s="4" t="s">
        <v>178</v>
      </c>
    </row>
    <row r="1855" spans="2:15">
      <c r="B1855" s="20">
        <v>45512</v>
      </c>
      <c r="C1855" s="20">
        <v>45512</v>
      </c>
      <c r="D1855" s="54">
        <v>50272278</v>
      </c>
      <c r="E1855" s="55" t="s">
        <v>21</v>
      </c>
      <c r="G1855" s="68">
        <v>950</v>
      </c>
      <c r="H1855" s="56" t="s">
        <v>92</v>
      </c>
      <c r="J1855" s="56" t="s">
        <v>1523</v>
      </c>
      <c r="L1855" s="56" t="s">
        <v>838</v>
      </c>
      <c r="M1855" s="4" t="s">
        <v>176</v>
      </c>
      <c r="N1855" s="4" t="s">
        <v>177</v>
      </c>
      <c r="O1855" s="4" t="s">
        <v>178</v>
      </c>
    </row>
    <row r="1856" spans="2:15">
      <c r="B1856" s="20">
        <v>45512</v>
      </c>
      <c r="C1856" s="20">
        <v>45512</v>
      </c>
      <c r="D1856" s="54">
        <v>40499</v>
      </c>
      <c r="E1856" s="55" t="s">
        <v>1094</v>
      </c>
      <c r="G1856" s="68">
        <v>167</v>
      </c>
      <c r="H1856" s="56" t="s">
        <v>92</v>
      </c>
      <c r="J1856" s="56" t="s">
        <v>1523</v>
      </c>
      <c r="L1856" s="56" t="s">
        <v>838</v>
      </c>
      <c r="M1856" s="4" t="s">
        <v>176</v>
      </c>
      <c r="N1856" s="4" t="s">
        <v>177</v>
      </c>
      <c r="O1856" s="4" t="s">
        <v>178</v>
      </c>
    </row>
    <row r="1857" spans="2:15">
      <c r="B1857" s="20">
        <v>45513</v>
      </c>
      <c r="C1857" s="20">
        <v>45513</v>
      </c>
      <c r="D1857" s="54">
        <v>50272278</v>
      </c>
      <c r="E1857" s="55" t="s">
        <v>21</v>
      </c>
      <c r="G1857" s="68">
        <v>13000</v>
      </c>
      <c r="H1857" s="56" t="s">
        <v>92</v>
      </c>
      <c r="J1857" s="56" t="s">
        <v>1524</v>
      </c>
      <c r="L1857" s="56" t="s">
        <v>262</v>
      </c>
      <c r="M1857" s="4" t="s">
        <v>262</v>
      </c>
      <c r="N1857" s="4" t="s">
        <v>1274</v>
      </c>
      <c r="O1857" s="4" t="s">
        <v>178</v>
      </c>
    </row>
    <row r="1858" spans="2:15">
      <c r="B1858" s="20">
        <v>45514</v>
      </c>
      <c r="C1858" s="20">
        <v>45514</v>
      </c>
      <c r="D1858" s="54">
        <v>50804970</v>
      </c>
      <c r="E1858" s="55" t="s">
        <v>857</v>
      </c>
      <c r="G1858" s="68">
        <v>980000</v>
      </c>
      <c r="H1858" s="56" t="s">
        <v>92</v>
      </c>
      <c r="J1858" s="56" t="s">
        <v>1525</v>
      </c>
      <c r="K1858" s="4" t="s">
        <v>1526</v>
      </c>
      <c r="L1858" s="56" t="s">
        <v>1527</v>
      </c>
      <c r="M1858" s="4" t="s">
        <v>520</v>
      </c>
      <c r="N1858" s="4"/>
      <c r="O1858" s="4" t="s">
        <v>178</v>
      </c>
    </row>
    <row r="1859" spans="2:15">
      <c r="B1859" s="20">
        <v>45514</v>
      </c>
      <c r="C1859" s="20">
        <v>45514</v>
      </c>
      <c r="D1859" s="54">
        <v>50804971</v>
      </c>
      <c r="E1859" s="55" t="s">
        <v>855</v>
      </c>
      <c r="G1859" s="68">
        <v>990000</v>
      </c>
      <c r="H1859" s="56" t="s">
        <v>92</v>
      </c>
      <c r="J1859" s="56" t="s">
        <v>1525</v>
      </c>
      <c r="K1859" s="4" t="s">
        <v>1526</v>
      </c>
      <c r="L1859" s="56" t="s">
        <v>1527</v>
      </c>
      <c r="M1859" s="4" t="s">
        <v>520</v>
      </c>
      <c r="N1859" s="4"/>
      <c r="O1859" s="4" t="s">
        <v>178</v>
      </c>
    </row>
    <row r="1860" spans="2:15">
      <c r="B1860" s="20">
        <v>45514</v>
      </c>
      <c r="C1860" s="20">
        <v>45514</v>
      </c>
      <c r="D1860" s="54">
        <v>50804929</v>
      </c>
      <c r="E1860" s="55" t="s">
        <v>856</v>
      </c>
      <c r="G1860" s="68">
        <v>996000</v>
      </c>
      <c r="H1860" s="56" t="s">
        <v>92</v>
      </c>
      <c r="J1860" s="56" t="s">
        <v>1525</v>
      </c>
      <c r="K1860" s="4" t="s">
        <v>1526</v>
      </c>
      <c r="L1860" s="56" t="s">
        <v>1527</v>
      </c>
      <c r="M1860" s="4" t="s">
        <v>520</v>
      </c>
      <c r="N1860" s="4"/>
      <c r="O1860" s="4" t="s">
        <v>178</v>
      </c>
    </row>
    <row r="1861" spans="2:15">
      <c r="B1861" s="20">
        <v>45514</v>
      </c>
      <c r="C1861" s="20">
        <v>45514</v>
      </c>
      <c r="D1861" s="54">
        <v>40007941</v>
      </c>
      <c r="E1861" s="55" t="s">
        <v>211</v>
      </c>
      <c r="G1861" s="68">
        <v>4812</v>
      </c>
      <c r="H1861" s="56" t="s">
        <v>80</v>
      </c>
      <c r="J1861" s="56">
        <v>1000966373</v>
      </c>
      <c r="K1861" s="4" t="s">
        <v>1526</v>
      </c>
      <c r="L1861" s="56" t="s">
        <v>175</v>
      </c>
      <c r="M1861" s="4" t="s">
        <v>520</v>
      </c>
      <c r="N1861" s="4"/>
      <c r="O1861" s="4" t="s">
        <v>178</v>
      </c>
    </row>
    <row r="1862" spans="2:15">
      <c r="B1862" s="20">
        <v>45514</v>
      </c>
      <c r="C1862" s="20">
        <v>45514</v>
      </c>
      <c r="D1862" s="54">
        <v>40007942</v>
      </c>
      <c r="E1862" s="55" t="s">
        <v>219</v>
      </c>
      <c r="G1862" s="68">
        <v>4913</v>
      </c>
      <c r="H1862" s="56" t="s">
        <v>80</v>
      </c>
      <c r="J1862" s="56">
        <v>1000966373</v>
      </c>
      <c r="K1862" s="4" t="s">
        <v>1526</v>
      </c>
      <c r="L1862" s="56" t="s">
        <v>175</v>
      </c>
      <c r="M1862" s="4" t="s">
        <v>520</v>
      </c>
      <c r="N1862" s="4"/>
      <c r="O1862" s="4" t="s">
        <v>178</v>
      </c>
    </row>
    <row r="1863" spans="2:15">
      <c r="B1863" s="20">
        <v>45514</v>
      </c>
      <c r="C1863" s="20">
        <v>45514</v>
      </c>
      <c r="D1863" s="54">
        <v>50515034</v>
      </c>
      <c r="E1863" s="55" t="s">
        <v>41</v>
      </c>
      <c r="G1863" s="68">
        <v>633.6</v>
      </c>
      <c r="H1863" s="56" t="s">
        <v>80</v>
      </c>
      <c r="J1863" s="56" t="s">
        <v>1528</v>
      </c>
      <c r="K1863" s="4" t="s">
        <v>1529</v>
      </c>
      <c r="L1863" s="56" t="s">
        <v>1530</v>
      </c>
      <c r="M1863" s="4" t="s">
        <v>498</v>
      </c>
      <c r="N1863" s="4" t="s">
        <v>1531</v>
      </c>
      <c r="O1863" s="4" t="s">
        <v>178</v>
      </c>
    </row>
    <row r="1864" spans="2:15">
      <c r="B1864" s="20">
        <v>45516</v>
      </c>
      <c r="C1864" s="20">
        <v>45516</v>
      </c>
      <c r="D1864" s="54">
        <v>50470190</v>
      </c>
      <c r="E1864" s="55" t="s">
        <v>12</v>
      </c>
      <c r="G1864" s="68">
        <v>9273600</v>
      </c>
      <c r="H1864" s="56" t="s">
        <v>92</v>
      </c>
      <c r="J1864" s="56" t="s">
        <v>1532</v>
      </c>
      <c r="L1864" s="56" t="s">
        <v>958</v>
      </c>
      <c r="M1864" s="4" t="s">
        <v>392</v>
      </c>
      <c r="N1864" s="4" t="s">
        <v>1489</v>
      </c>
      <c r="O1864" s="4" t="s">
        <v>178</v>
      </c>
    </row>
    <row r="1865" spans="2:15">
      <c r="B1865" s="20">
        <v>45517</v>
      </c>
      <c r="C1865" s="20">
        <v>45517</v>
      </c>
      <c r="D1865" s="54">
        <v>50144376</v>
      </c>
      <c r="E1865" s="55" t="s">
        <v>19</v>
      </c>
      <c r="G1865" s="68">
        <v>13000</v>
      </c>
      <c r="H1865" s="56" t="s">
        <v>92</v>
      </c>
      <c r="J1865" s="56" t="s">
        <v>1533</v>
      </c>
      <c r="L1865" s="56" t="s">
        <v>262</v>
      </c>
      <c r="M1865" s="4" t="s">
        <v>262</v>
      </c>
      <c r="N1865" s="4" t="s">
        <v>1274</v>
      </c>
      <c r="O1865" s="4" t="s">
        <v>178</v>
      </c>
    </row>
    <row r="1866" spans="2:15">
      <c r="B1866" s="20">
        <v>45517</v>
      </c>
      <c r="C1866" s="20">
        <v>45517</v>
      </c>
      <c r="D1866" s="54">
        <v>50141533</v>
      </c>
      <c r="E1866" s="55" t="s">
        <v>494</v>
      </c>
      <c r="G1866" s="68">
        <v>5000</v>
      </c>
      <c r="H1866" s="56" t="s">
        <v>92</v>
      </c>
      <c r="J1866" s="56" t="s">
        <v>1534</v>
      </c>
      <c r="L1866" s="56" t="s">
        <v>495</v>
      </c>
      <c r="M1866" s="4" t="s">
        <v>495</v>
      </c>
      <c r="N1866" s="4" t="s">
        <v>1535</v>
      </c>
      <c r="O1866" s="4" t="s">
        <v>178</v>
      </c>
    </row>
    <row r="1867" spans="2:15">
      <c r="B1867" s="20">
        <v>45517</v>
      </c>
      <c r="C1867" s="20">
        <v>45517</v>
      </c>
      <c r="D1867" s="54">
        <v>40499</v>
      </c>
      <c r="E1867" s="55" t="s">
        <v>1094</v>
      </c>
      <c r="G1867" s="68">
        <v>100</v>
      </c>
      <c r="H1867" s="56" t="s">
        <v>92</v>
      </c>
      <c r="J1867" s="56" t="s">
        <v>1536</v>
      </c>
      <c r="L1867" s="56" t="s">
        <v>838</v>
      </c>
      <c r="M1867" s="4" t="s">
        <v>838</v>
      </c>
      <c r="N1867" s="4" t="s">
        <v>177</v>
      </c>
      <c r="O1867" s="4" t="s">
        <v>178</v>
      </c>
    </row>
    <row r="1868" spans="2:15">
      <c r="B1868" s="20">
        <v>45517</v>
      </c>
      <c r="C1868" s="20">
        <v>45517</v>
      </c>
      <c r="D1868" s="54">
        <v>50143893</v>
      </c>
      <c r="E1868" s="55" t="s">
        <v>24</v>
      </c>
      <c r="G1868" s="68">
        <v>1122</v>
      </c>
      <c r="H1868" s="56" t="s">
        <v>82</v>
      </c>
      <c r="J1868" s="56" t="s">
        <v>1536</v>
      </c>
      <c r="L1868" s="56" t="s">
        <v>838</v>
      </c>
      <c r="M1868" s="4" t="s">
        <v>838</v>
      </c>
      <c r="N1868" s="4" t="s">
        <v>177</v>
      </c>
      <c r="O1868" s="4" t="s">
        <v>178</v>
      </c>
    </row>
    <row r="1869" spans="2:15">
      <c r="B1869" s="20">
        <v>45517</v>
      </c>
      <c r="C1869" s="20">
        <v>45517</v>
      </c>
      <c r="D1869" s="54">
        <v>50799770</v>
      </c>
      <c r="E1869" s="55" t="s">
        <v>17</v>
      </c>
      <c r="G1869" s="68">
        <v>2250</v>
      </c>
      <c r="H1869" s="56" t="s">
        <v>92</v>
      </c>
      <c r="J1869" s="56" t="s">
        <v>1536</v>
      </c>
      <c r="L1869" s="56" t="s">
        <v>838</v>
      </c>
      <c r="M1869" s="4" t="s">
        <v>838</v>
      </c>
      <c r="N1869" s="4" t="s">
        <v>177</v>
      </c>
      <c r="O1869" s="4" t="s">
        <v>178</v>
      </c>
    </row>
    <row r="1870" spans="2:15">
      <c r="B1870" s="20">
        <v>45517</v>
      </c>
      <c r="C1870" s="20">
        <v>45517</v>
      </c>
      <c r="D1870" s="54">
        <v>50145028</v>
      </c>
      <c r="E1870" s="55" t="s">
        <v>23</v>
      </c>
      <c r="G1870" s="68">
        <v>1122</v>
      </c>
      <c r="H1870" s="56" t="s">
        <v>92</v>
      </c>
      <c r="J1870" s="56" t="s">
        <v>1536</v>
      </c>
      <c r="L1870" s="56" t="s">
        <v>838</v>
      </c>
      <c r="M1870" s="4" t="s">
        <v>838</v>
      </c>
      <c r="N1870" s="4" t="s">
        <v>177</v>
      </c>
      <c r="O1870" s="4" t="s">
        <v>178</v>
      </c>
    </row>
    <row r="1871" spans="2:15">
      <c r="B1871" s="20">
        <v>45518</v>
      </c>
      <c r="C1871" s="20">
        <v>45518</v>
      </c>
      <c r="D1871" s="54">
        <v>50809147</v>
      </c>
      <c r="E1871" s="55" t="s">
        <v>930</v>
      </c>
      <c r="G1871" s="68">
        <v>446.35</v>
      </c>
      <c r="H1871" s="56" t="s">
        <v>82</v>
      </c>
      <c r="J1871" s="56" t="s">
        <v>1537</v>
      </c>
      <c r="L1871" s="56" t="s">
        <v>1227</v>
      </c>
      <c r="M1871" s="4" t="s">
        <v>660</v>
      </c>
      <c r="N1871" s="4" t="s">
        <v>1203</v>
      </c>
      <c r="O1871" s="4" t="s">
        <v>178</v>
      </c>
    </row>
    <row r="1872" spans="2:15">
      <c r="B1872" s="20">
        <v>45518</v>
      </c>
      <c r="C1872" s="20">
        <v>45518</v>
      </c>
      <c r="D1872" s="54">
        <v>50821962</v>
      </c>
      <c r="E1872" s="55" t="s">
        <v>1538</v>
      </c>
      <c r="G1872" s="68">
        <v>3139.15</v>
      </c>
      <c r="H1872" s="56" t="s">
        <v>82</v>
      </c>
      <c r="J1872" s="56" t="s">
        <v>1539</v>
      </c>
      <c r="L1872" s="56" t="s">
        <v>1227</v>
      </c>
      <c r="M1872" s="4" t="s">
        <v>660</v>
      </c>
      <c r="N1872" s="4" t="s">
        <v>1203</v>
      </c>
      <c r="O1872" s="4" t="s">
        <v>178</v>
      </c>
    </row>
    <row r="1873" spans="2:15">
      <c r="B1873" s="20">
        <v>45518</v>
      </c>
      <c r="C1873" s="20">
        <v>45518</v>
      </c>
      <c r="D1873" s="54">
        <v>50272278</v>
      </c>
      <c r="E1873" s="55" t="s">
        <v>21</v>
      </c>
      <c r="G1873" s="68">
        <v>10500</v>
      </c>
      <c r="H1873" s="56" t="s">
        <v>92</v>
      </c>
      <c r="J1873" s="56" t="s">
        <v>1540</v>
      </c>
      <c r="L1873" s="56" t="s">
        <v>262</v>
      </c>
      <c r="M1873" s="4" t="s">
        <v>262</v>
      </c>
      <c r="N1873" s="4" t="s">
        <v>1274</v>
      </c>
      <c r="O1873" s="4" t="s">
        <v>178</v>
      </c>
    </row>
    <row r="1874" spans="2:15">
      <c r="B1874" s="20">
        <v>45519</v>
      </c>
      <c r="C1874" s="20">
        <v>45519</v>
      </c>
      <c r="D1874" s="54">
        <v>50501117</v>
      </c>
      <c r="E1874" s="55" t="s">
        <v>1541</v>
      </c>
      <c r="G1874" s="68">
        <v>52416</v>
      </c>
      <c r="H1874" s="56" t="s">
        <v>92</v>
      </c>
      <c r="J1874" s="56" t="s">
        <v>1542</v>
      </c>
      <c r="L1874" s="56" t="s">
        <v>1438</v>
      </c>
      <c r="M1874" s="4" t="s">
        <v>1543</v>
      </c>
      <c r="N1874" s="4" t="s">
        <v>1544</v>
      </c>
      <c r="O1874" s="4" t="s">
        <v>178</v>
      </c>
    </row>
    <row r="1875" spans="2:15">
      <c r="B1875" s="20">
        <v>45519</v>
      </c>
      <c r="C1875" s="20">
        <v>45519</v>
      </c>
      <c r="D1875" s="54">
        <v>50501117</v>
      </c>
      <c r="E1875" s="55" t="s">
        <v>1541</v>
      </c>
      <c r="G1875" s="68">
        <v>52416</v>
      </c>
      <c r="H1875" s="56" t="s">
        <v>92</v>
      </c>
      <c r="J1875" s="56" t="s">
        <v>1542</v>
      </c>
      <c r="L1875" s="56" t="s">
        <v>1438</v>
      </c>
      <c r="M1875" s="4" t="s">
        <v>1543</v>
      </c>
      <c r="N1875" s="4" t="s">
        <v>1545</v>
      </c>
      <c r="O1875" s="4" t="s">
        <v>178</v>
      </c>
    </row>
    <row r="1876" spans="2:15">
      <c r="B1876" s="20">
        <v>45519</v>
      </c>
      <c r="C1876" s="20">
        <v>45519</v>
      </c>
      <c r="D1876" s="54">
        <v>50501117</v>
      </c>
      <c r="E1876" s="55" t="s">
        <v>1541</v>
      </c>
      <c r="G1876" s="68">
        <v>52416</v>
      </c>
      <c r="H1876" s="56" t="s">
        <v>92</v>
      </c>
      <c r="J1876" s="56" t="s">
        <v>1542</v>
      </c>
      <c r="L1876" s="56" t="s">
        <v>1438</v>
      </c>
      <c r="M1876" s="4" t="s">
        <v>1543</v>
      </c>
      <c r="N1876" s="4" t="s">
        <v>1546</v>
      </c>
      <c r="O1876" s="4" t="s">
        <v>178</v>
      </c>
    </row>
    <row r="1877" spans="2:15">
      <c r="B1877" s="20">
        <v>45519</v>
      </c>
      <c r="C1877" s="20">
        <v>45519</v>
      </c>
      <c r="D1877" s="54">
        <v>50501117</v>
      </c>
      <c r="E1877" s="55" t="s">
        <v>1541</v>
      </c>
      <c r="G1877" s="68">
        <v>52416</v>
      </c>
      <c r="H1877" s="56" t="s">
        <v>92</v>
      </c>
      <c r="J1877" s="56" t="s">
        <v>1542</v>
      </c>
      <c r="L1877" s="56" t="s">
        <v>1438</v>
      </c>
      <c r="M1877" s="4" t="s">
        <v>1543</v>
      </c>
      <c r="N1877" s="4" t="s">
        <v>1547</v>
      </c>
      <c r="O1877" s="4" t="s">
        <v>178</v>
      </c>
    </row>
    <row r="1878" spans="2:15">
      <c r="B1878" s="20">
        <v>45519</v>
      </c>
      <c r="C1878" s="20">
        <v>45519</v>
      </c>
      <c r="D1878" s="54">
        <v>50501117</v>
      </c>
      <c r="E1878" s="55" t="s">
        <v>1541</v>
      </c>
      <c r="G1878" s="68">
        <v>52416</v>
      </c>
      <c r="H1878" s="56" t="s">
        <v>92</v>
      </c>
      <c r="J1878" s="56" t="s">
        <v>1542</v>
      </c>
      <c r="L1878" s="56" t="s">
        <v>1438</v>
      </c>
      <c r="M1878" s="4" t="s">
        <v>1543</v>
      </c>
      <c r="N1878" s="4" t="s">
        <v>1548</v>
      </c>
      <c r="O1878" s="4" t="s">
        <v>178</v>
      </c>
    </row>
    <row r="1879" spans="2:15">
      <c r="B1879" s="20">
        <v>45520</v>
      </c>
      <c r="C1879" s="20">
        <v>45520</v>
      </c>
      <c r="D1879" s="54">
        <v>50144376</v>
      </c>
      <c r="E1879" s="55" t="s">
        <v>19</v>
      </c>
      <c r="G1879" s="68">
        <v>13000</v>
      </c>
      <c r="H1879" s="56" t="s">
        <v>92</v>
      </c>
      <c r="J1879" s="56" t="s">
        <v>1549</v>
      </c>
      <c r="L1879" s="56" t="s">
        <v>262</v>
      </c>
      <c r="M1879" s="4" t="s">
        <v>262</v>
      </c>
      <c r="N1879" s="4" t="s">
        <v>1274</v>
      </c>
      <c r="O1879" s="4" t="s">
        <v>178</v>
      </c>
    </row>
    <row r="1880" spans="2:15">
      <c r="B1880" s="20">
        <v>45523</v>
      </c>
      <c r="C1880" s="20">
        <v>45523</v>
      </c>
      <c r="D1880" s="54">
        <v>50824293</v>
      </c>
      <c r="E1880" s="55" t="s">
        <v>861</v>
      </c>
      <c r="G1880" s="68">
        <v>5376000</v>
      </c>
      <c r="H1880" s="56" t="s">
        <v>92</v>
      </c>
      <c r="J1880" s="56" t="s">
        <v>1550</v>
      </c>
      <c r="K1880" s="4" t="s">
        <v>1551</v>
      </c>
      <c r="L1880" s="56" t="s">
        <v>1257</v>
      </c>
      <c r="M1880" s="4" t="s">
        <v>392</v>
      </c>
      <c r="N1880" s="4" t="s">
        <v>1552</v>
      </c>
      <c r="O1880" s="4" t="s">
        <v>178</v>
      </c>
    </row>
    <row r="1881" spans="2:15">
      <c r="B1881" s="20">
        <v>45523</v>
      </c>
      <c r="C1881" s="20">
        <v>45523</v>
      </c>
      <c r="D1881" s="54">
        <v>50470190</v>
      </c>
      <c r="E1881" s="55" t="s">
        <v>12</v>
      </c>
      <c r="G1881" s="68">
        <v>9273600</v>
      </c>
      <c r="H1881" s="56" t="s">
        <v>92</v>
      </c>
      <c r="J1881" s="56" t="s">
        <v>1553</v>
      </c>
      <c r="L1881" s="56" t="s">
        <v>958</v>
      </c>
      <c r="M1881" s="4" t="s">
        <v>392</v>
      </c>
      <c r="N1881" s="4" t="s">
        <v>1489</v>
      </c>
      <c r="O1881" s="4" t="s">
        <v>178</v>
      </c>
    </row>
    <row r="1882" spans="2:15">
      <c r="B1882" s="20">
        <v>45523</v>
      </c>
      <c r="C1882" s="20">
        <v>45523</v>
      </c>
      <c r="D1882" s="54">
        <v>50811693</v>
      </c>
      <c r="E1882" s="55" t="s">
        <v>1269</v>
      </c>
      <c r="G1882" s="68">
        <v>10930660</v>
      </c>
      <c r="H1882" s="56" t="s">
        <v>92</v>
      </c>
      <c r="J1882" s="56" t="s">
        <v>1554</v>
      </c>
      <c r="L1882" s="56" t="s">
        <v>1271</v>
      </c>
      <c r="M1882" s="4" t="s">
        <v>1378</v>
      </c>
      <c r="N1882" s="4" t="s">
        <v>1555</v>
      </c>
      <c r="O1882" s="4" t="s">
        <v>178</v>
      </c>
    </row>
    <row r="1883" spans="2:15">
      <c r="B1883" s="20">
        <v>45524</v>
      </c>
      <c r="C1883" s="20">
        <v>45524</v>
      </c>
      <c r="D1883" s="54">
        <v>50534881</v>
      </c>
      <c r="E1883" s="55" t="s">
        <v>227</v>
      </c>
      <c r="G1883" s="68">
        <v>36000</v>
      </c>
      <c r="H1883" s="56" t="s">
        <v>92</v>
      </c>
      <c r="J1883" s="56" t="s">
        <v>1556</v>
      </c>
      <c r="L1883" s="56" t="s">
        <v>838</v>
      </c>
      <c r="M1883" s="4" t="s">
        <v>176</v>
      </c>
      <c r="N1883" s="4" t="s">
        <v>177</v>
      </c>
      <c r="O1883" s="4" t="s">
        <v>178</v>
      </c>
    </row>
    <row r="1884" spans="2:15">
      <c r="B1884" s="20">
        <v>45524</v>
      </c>
      <c r="C1884" s="20">
        <v>45524</v>
      </c>
      <c r="D1884" s="54">
        <v>50272278</v>
      </c>
      <c r="E1884" s="55" t="s">
        <v>21</v>
      </c>
      <c r="G1884" s="68">
        <v>2000</v>
      </c>
      <c r="H1884" s="56" t="s">
        <v>92</v>
      </c>
      <c r="J1884" s="56" t="s">
        <v>1556</v>
      </c>
      <c r="L1884" s="56" t="s">
        <v>838</v>
      </c>
      <c r="M1884" s="4" t="s">
        <v>176</v>
      </c>
      <c r="N1884" s="4" t="s">
        <v>177</v>
      </c>
      <c r="O1884" s="4" t="s">
        <v>178</v>
      </c>
    </row>
    <row r="1885" spans="2:15">
      <c r="B1885" s="20">
        <v>45524</v>
      </c>
      <c r="C1885" s="20">
        <v>45524</v>
      </c>
      <c r="D1885" s="54">
        <v>40499</v>
      </c>
      <c r="E1885" s="55" t="s">
        <v>1094</v>
      </c>
      <c r="G1885" s="68">
        <v>140</v>
      </c>
      <c r="H1885" s="56" t="s">
        <v>92</v>
      </c>
      <c r="J1885" s="56" t="s">
        <v>1556</v>
      </c>
      <c r="L1885" s="56" t="s">
        <v>838</v>
      </c>
      <c r="M1885" s="4" t="s">
        <v>176</v>
      </c>
      <c r="N1885" s="4" t="s">
        <v>177</v>
      </c>
      <c r="O1885" s="4" t="s">
        <v>178</v>
      </c>
    </row>
    <row r="1886" spans="2:15">
      <c r="B1886" s="20">
        <v>45524</v>
      </c>
      <c r="C1886" s="20">
        <v>45524</v>
      </c>
      <c r="D1886" s="54">
        <v>50272278</v>
      </c>
      <c r="E1886" s="55" t="s">
        <v>21</v>
      </c>
      <c r="G1886" s="68">
        <v>13000</v>
      </c>
      <c r="H1886" s="56" t="s">
        <v>92</v>
      </c>
      <c r="J1886" s="56" t="s">
        <v>1557</v>
      </c>
      <c r="L1886" s="56" t="s">
        <v>262</v>
      </c>
      <c r="M1886" s="4" t="s">
        <v>262</v>
      </c>
      <c r="N1886" s="4" t="s">
        <v>1274</v>
      </c>
      <c r="O1886" s="4" t="s">
        <v>178</v>
      </c>
    </row>
    <row r="1887" spans="2:15">
      <c r="B1887" s="20">
        <v>45524</v>
      </c>
      <c r="C1887" s="20">
        <v>45524</v>
      </c>
      <c r="D1887" s="54">
        <v>50272278</v>
      </c>
      <c r="E1887" s="55" t="s">
        <v>21</v>
      </c>
      <c r="G1887" s="68">
        <v>16642</v>
      </c>
      <c r="H1887" s="56" t="s">
        <v>962</v>
      </c>
      <c r="J1887" s="56" t="s">
        <v>1558</v>
      </c>
      <c r="L1887" s="56" t="s">
        <v>1053</v>
      </c>
      <c r="M1887" s="4" t="s">
        <v>1053</v>
      </c>
      <c r="N1887" s="4" t="s">
        <v>706</v>
      </c>
      <c r="O1887" s="4" t="s">
        <v>178</v>
      </c>
    </row>
    <row r="1888" spans="2:15">
      <c r="B1888" s="20">
        <v>45525</v>
      </c>
      <c r="C1888" s="20">
        <v>45525</v>
      </c>
      <c r="D1888" s="54">
        <v>50145029</v>
      </c>
      <c r="E1888" s="55" t="s">
        <v>705</v>
      </c>
      <c r="G1888" s="68">
        <v>60</v>
      </c>
      <c r="H1888" s="56" t="s">
        <v>505</v>
      </c>
      <c r="J1888" s="56" t="s">
        <v>1558</v>
      </c>
      <c r="L1888" s="56" t="s">
        <v>1053</v>
      </c>
      <c r="M1888" s="4" t="s">
        <v>1053</v>
      </c>
      <c r="N1888" s="4" t="s">
        <v>706</v>
      </c>
      <c r="O1888" s="4" t="s">
        <v>178</v>
      </c>
    </row>
    <row r="1889" spans="2:15">
      <c r="B1889" s="20">
        <v>45525</v>
      </c>
      <c r="C1889" s="20">
        <v>45525</v>
      </c>
      <c r="D1889" s="54">
        <v>50392045</v>
      </c>
      <c r="E1889" s="55" t="s">
        <v>707</v>
      </c>
      <c r="G1889" s="68">
        <v>60</v>
      </c>
      <c r="H1889" s="56" t="s">
        <v>505</v>
      </c>
      <c r="J1889" s="56" t="s">
        <v>1558</v>
      </c>
      <c r="L1889" s="56" t="s">
        <v>1053</v>
      </c>
      <c r="M1889" s="4" t="s">
        <v>1053</v>
      </c>
      <c r="N1889" s="4" t="s">
        <v>706</v>
      </c>
      <c r="O1889" s="4" t="s">
        <v>178</v>
      </c>
    </row>
    <row r="1890" spans="2:15">
      <c r="B1890" s="20">
        <v>45525</v>
      </c>
      <c r="C1890" s="20">
        <v>45525</v>
      </c>
      <c r="D1890" s="54">
        <v>50145012</v>
      </c>
      <c r="E1890" s="55" t="s">
        <v>504</v>
      </c>
      <c r="G1890" s="68">
        <v>24</v>
      </c>
      <c r="H1890" s="56" t="s">
        <v>505</v>
      </c>
      <c r="J1890" s="56" t="s">
        <v>1558</v>
      </c>
      <c r="L1890" s="56" t="s">
        <v>1053</v>
      </c>
      <c r="M1890" s="4" t="s">
        <v>1053</v>
      </c>
      <c r="N1890" s="4" t="s">
        <v>706</v>
      </c>
      <c r="O1890" s="4" t="s">
        <v>178</v>
      </c>
    </row>
    <row r="1891" spans="2:15">
      <c r="B1891" s="20">
        <v>45525</v>
      </c>
      <c r="C1891" s="20">
        <v>45525</v>
      </c>
      <c r="D1891" s="54">
        <v>50392046</v>
      </c>
      <c r="E1891" s="55" t="s">
        <v>509</v>
      </c>
      <c r="G1891" s="68">
        <v>24</v>
      </c>
      <c r="H1891" s="56" t="s">
        <v>505</v>
      </c>
      <c r="J1891" s="56" t="s">
        <v>1558</v>
      </c>
      <c r="L1891" s="56" t="s">
        <v>1053</v>
      </c>
      <c r="M1891" s="4" t="s">
        <v>1053</v>
      </c>
      <c r="N1891" s="4" t="s">
        <v>706</v>
      </c>
      <c r="O1891" s="4" t="s">
        <v>178</v>
      </c>
    </row>
    <row r="1892" spans="2:15">
      <c r="B1892" s="20">
        <v>45525</v>
      </c>
      <c r="C1892" s="20">
        <v>45525</v>
      </c>
      <c r="D1892" s="54">
        <v>50144376</v>
      </c>
      <c r="E1892" s="55" t="s">
        <v>19</v>
      </c>
      <c r="G1892" s="68">
        <v>1500</v>
      </c>
      <c r="H1892" s="56" t="s">
        <v>92</v>
      </c>
      <c r="J1892" s="56" t="s">
        <v>1559</v>
      </c>
      <c r="L1892" s="56" t="s">
        <v>262</v>
      </c>
      <c r="M1892" s="4" t="s">
        <v>262</v>
      </c>
      <c r="N1892" s="4" t="s">
        <v>1274</v>
      </c>
      <c r="O1892" s="4" t="s">
        <v>178</v>
      </c>
    </row>
    <row r="1893" spans="2:15">
      <c r="B1893" s="20">
        <v>45526</v>
      </c>
      <c r="C1893" s="20">
        <v>45526</v>
      </c>
      <c r="D1893" s="54">
        <v>50144376</v>
      </c>
      <c r="E1893" s="55" t="s">
        <v>19</v>
      </c>
      <c r="G1893" s="68">
        <v>6000</v>
      </c>
      <c r="H1893" s="56" t="s">
        <v>92</v>
      </c>
      <c r="J1893" s="56" t="s">
        <v>1560</v>
      </c>
      <c r="L1893" s="56" t="s">
        <v>262</v>
      </c>
      <c r="M1893" s="4" t="s">
        <v>262</v>
      </c>
      <c r="N1893" s="4" t="s">
        <v>364</v>
      </c>
      <c r="O1893" s="4" t="s">
        <v>178</v>
      </c>
    </row>
    <row r="1894" spans="2:15">
      <c r="B1894" s="20">
        <v>45526</v>
      </c>
      <c r="C1894" s="20">
        <v>45526</v>
      </c>
      <c r="D1894" s="54">
        <v>50809147</v>
      </c>
      <c r="E1894" s="55" t="s">
        <v>930</v>
      </c>
      <c r="G1894" s="68">
        <v>4478.25</v>
      </c>
      <c r="H1894" s="56" t="s">
        <v>82</v>
      </c>
      <c r="J1894" s="56" t="s">
        <v>1561</v>
      </c>
      <c r="L1894" s="56" t="s">
        <v>1227</v>
      </c>
      <c r="M1894" s="4" t="s">
        <v>660</v>
      </c>
      <c r="N1894" s="4" t="s">
        <v>428</v>
      </c>
      <c r="O1894" s="4" t="s">
        <v>178</v>
      </c>
    </row>
    <row r="1895" spans="2:15">
      <c r="B1895" s="20">
        <v>45527</v>
      </c>
      <c r="C1895" s="20">
        <v>45527</v>
      </c>
      <c r="D1895" s="54">
        <v>50515034</v>
      </c>
      <c r="E1895" s="55" t="s">
        <v>41</v>
      </c>
      <c r="G1895" s="68">
        <v>579.6</v>
      </c>
      <c r="H1895" s="56" t="s">
        <v>80</v>
      </c>
      <c r="J1895" s="56" t="s">
        <v>1562</v>
      </c>
      <c r="K1895" s="4" t="s">
        <v>1563</v>
      </c>
      <c r="L1895" s="56" t="s">
        <v>1530</v>
      </c>
      <c r="M1895" s="4" t="s">
        <v>1564</v>
      </c>
      <c r="N1895" s="4" t="s">
        <v>1565</v>
      </c>
      <c r="O1895" s="4" t="s">
        <v>178</v>
      </c>
    </row>
    <row r="1896" spans="2:15">
      <c r="B1896" s="20">
        <v>45530</v>
      </c>
      <c r="C1896" s="20">
        <v>45530</v>
      </c>
      <c r="D1896" s="54">
        <v>50470190</v>
      </c>
      <c r="E1896" s="55" t="s">
        <v>12</v>
      </c>
      <c r="G1896" s="68">
        <v>9273600</v>
      </c>
      <c r="H1896" s="56" t="s">
        <v>92</v>
      </c>
      <c r="J1896" s="56" t="s">
        <v>1566</v>
      </c>
      <c r="L1896" s="56" t="s">
        <v>958</v>
      </c>
      <c r="M1896" s="4" t="s">
        <v>392</v>
      </c>
      <c r="N1896" s="4" t="s">
        <v>1489</v>
      </c>
      <c r="O1896" s="4" t="s">
        <v>178</v>
      </c>
    </row>
    <row r="1897" spans="2:15">
      <c r="B1897" s="20">
        <v>45530</v>
      </c>
      <c r="C1897" s="20">
        <v>45530</v>
      </c>
      <c r="D1897" s="54">
        <v>50144376</v>
      </c>
      <c r="E1897" s="55" t="s">
        <v>19</v>
      </c>
      <c r="G1897" s="68">
        <v>13000</v>
      </c>
      <c r="H1897" s="56" t="s">
        <v>92</v>
      </c>
      <c r="J1897" s="56" t="s">
        <v>1567</v>
      </c>
      <c r="L1897" s="56" t="s">
        <v>262</v>
      </c>
      <c r="M1897" s="4" t="s">
        <v>262</v>
      </c>
      <c r="N1897" s="4" t="s">
        <v>1274</v>
      </c>
      <c r="O1897" s="4" t="s">
        <v>178</v>
      </c>
    </row>
    <row r="1898" spans="2:15">
      <c r="B1898" s="20">
        <v>45530</v>
      </c>
      <c r="C1898" s="20">
        <v>45530</v>
      </c>
      <c r="D1898" s="54">
        <v>50799770</v>
      </c>
      <c r="E1898" s="55" t="s">
        <v>17</v>
      </c>
      <c r="G1898" s="68">
        <v>5000</v>
      </c>
      <c r="H1898" s="56" t="s">
        <v>92</v>
      </c>
      <c r="J1898" s="56" t="s">
        <v>1568</v>
      </c>
      <c r="L1898" s="56" t="s">
        <v>838</v>
      </c>
      <c r="M1898" s="4" t="s">
        <v>176</v>
      </c>
      <c r="N1898" s="4" t="s">
        <v>177</v>
      </c>
      <c r="O1898" s="4" t="s">
        <v>178</v>
      </c>
    </row>
    <row r="1899" spans="2:15">
      <c r="B1899" s="20">
        <v>45530</v>
      </c>
      <c r="C1899" s="20">
        <v>45530</v>
      </c>
      <c r="D1899" s="54">
        <v>40499</v>
      </c>
      <c r="E1899" s="55" t="s">
        <v>1094</v>
      </c>
      <c r="G1899" s="68">
        <v>140</v>
      </c>
      <c r="H1899" s="56" t="s">
        <v>92</v>
      </c>
      <c r="J1899" s="56" t="s">
        <v>1568</v>
      </c>
      <c r="L1899" s="56" t="s">
        <v>838</v>
      </c>
      <c r="M1899" s="4" t="s">
        <v>176</v>
      </c>
      <c r="N1899" s="4" t="s">
        <v>177</v>
      </c>
      <c r="O1899" s="4" t="s">
        <v>178</v>
      </c>
    </row>
    <row r="1900" spans="2:15">
      <c r="B1900" s="20">
        <v>45531</v>
      </c>
      <c r="C1900" s="20">
        <v>45531</v>
      </c>
      <c r="D1900" s="54">
        <v>50144376</v>
      </c>
      <c r="E1900" s="55" t="s">
        <v>19</v>
      </c>
      <c r="G1900" s="68">
        <v>6000</v>
      </c>
      <c r="H1900" s="56" t="s">
        <v>92</v>
      </c>
      <c r="J1900" s="56" t="s">
        <v>1569</v>
      </c>
      <c r="L1900" s="56" t="s">
        <v>262</v>
      </c>
      <c r="M1900" s="4" t="s">
        <v>262</v>
      </c>
      <c r="N1900" s="4" t="s">
        <v>364</v>
      </c>
      <c r="O1900" s="4" t="s">
        <v>178</v>
      </c>
    </row>
    <row r="1901" spans="2:15">
      <c r="B1901" s="20">
        <v>45531</v>
      </c>
      <c r="C1901" s="20">
        <v>45531</v>
      </c>
      <c r="D1901" s="54">
        <v>50272278</v>
      </c>
      <c r="E1901" s="55" t="s">
        <v>21</v>
      </c>
      <c r="G1901" s="68">
        <v>13000</v>
      </c>
      <c r="H1901" s="56" t="s">
        <v>92</v>
      </c>
      <c r="J1901" s="56" t="s">
        <v>1570</v>
      </c>
      <c r="L1901" s="56" t="s">
        <v>262</v>
      </c>
      <c r="M1901" s="4" t="s">
        <v>262</v>
      </c>
      <c r="N1901" s="4" t="s">
        <v>1274</v>
      </c>
      <c r="O1901" s="4" t="s">
        <v>178</v>
      </c>
    </row>
    <row r="1902" spans="2:15">
      <c r="B1902" s="20">
        <v>45532</v>
      </c>
      <c r="C1902" s="20">
        <v>45532</v>
      </c>
      <c r="D1902" s="54">
        <v>50799770</v>
      </c>
      <c r="E1902" s="55" t="s">
        <v>17</v>
      </c>
      <c r="G1902" s="68">
        <v>6000</v>
      </c>
      <c r="H1902" s="56" t="s">
        <v>92</v>
      </c>
      <c r="J1902" s="56" t="s">
        <v>1571</v>
      </c>
      <c r="L1902" s="56" t="s">
        <v>262</v>
      </c>
      <c r="M1902" s="4" t="s">
        <v>262</v>
      </c>
      <c r="N1902" s="4" t="s">
        <v>364</v>
      </c>
      <c r="O1902" s="4" t="s">
        <v>178</v>
      </c>
    </row>
    <row r="1903" spans="2:15">
      <c r="B1903" s="20">
        <v>45532</v>
      </c>
      <c r="C1903" s="20">
        <v>45532</v>
      </c>
      <c r="D1903" s="54">
        <v>50141786</v>
      </c>
      <c r="E1903" s="55" t="s">
        <v>188</v>
      </c>
      <c r="G1903" s="68">
        <v>11200</v>
      </c>
      <c r="H1903" s="56" t="s">
        <v>82</v>
      </c>
      <c r="J1903" s="56">
        <v>306935</v>
      </c>
      <c r="L1903" s="56" t="s">
        <v>189</v>
      </c>
      <c r="M1903" s="4" t="s">
        <v>1572</v>
      </c>
      <c r="N1903" s="4" t="s">
        <v>1573</v>
      </c>
      <c r="O1903" s="4" t="s">
        <v>178</v>
      </c>
    </row>
    <row r="1904" spans="2:15">
      <c r="B1904" s="20">
        <v>45532</v>
      </c>
      <c r="C1904" s="20">
        <v>45532</v>
      </c>
      <c r="D1904" s="54">
        <v>50141786</v>
      </c>
      <c r="E1904" s="55" t="s">
        <v>188</v>
      </c>
      <c r="G1904" s="68">
        <v>11200</v>
      </c>
      <c r="H1904" s="56" t="s">
        <v>82</v>
      </c>
      <c r="J1904" s="56">
        <v>306936</v>
      </c>
      <c r="L1904" s="56" t="s">
        <v>189</v>
      </c>
      <c r="M1904" s="4" t="s">
        <v>1572</v>
      </c>
      <c r="N1904" s="4" t="s">
        <v>1573</v>
      </c>
      <c r="O1904" s="4" t="s">
        <v>178</v>
      </c>
    </row>
    <row r="1905" spans="2:15">
      <c r="B1905" s="20">
        <v>45533</v>
      </c>
      <c r="C1905" s="20">
        <v>45533</v>
      </c>
      <c r="D1905" s="54">
        <v>50144376</v>
      </c>
      <c r="E1905" s="55" t="s">
        <v>19</v>
      </c>
      <c r="G1905" s="68">
        <v>10500</v>
      </c>
      <c r="H1905" s="56" t="s">
        <v>92</v>
      </c>
      <c r="J1905" s="56" t="s">
        <v>1574</v>
      </c>
      <c r="L1905" s="56" t="s">
        <v>262</v>
      </c>
      <c r="M1905" s="4" t="s">
        <v>262</v>
      </c>
      <c r="N1905" s="4" t="s">
        <v>1274</v>
      </c>
      <c r="O1905" s="4" t="s">
        <v>178</v>
      </c>
    </row>
    <row r="1906" spans="2:15">
      <c r="B1906" s="20">
        <v>45533</v>
      </c>
      <c r="C1906" s="20">
        <v>45533</v>
      </c>
      <c r="D1906" s="54">
        <v>50142519</v>
      </c>
      <c r="E1906" s="55" t="s">
        <v>1575</v>
      </c>
      <c r="G1906" s="68">
        <v>2000</v>
      </c>
      <c r="H1906" s="56" t="s">
        <v>92</v>
      </c>
      <c r="J1906" s="56" t="s">
        <v>1576</v>
      </c>
      <c r="L1906" s="56" t="s">
        <v>286</v>
      </c>
      <c r="M1906" s="4" t="s">
        <v>286</v>
      </c>
      <c r="N1906" s="4"/>
      <c r="O1906" s="4" t="s">
        <v>178</v>
      </c>
    </row>
    <row r="1907" spans="2:15">
      <c r="B1907" s="20">
        <v>45534</v>
      </c>
      <c r="C1907" s="20">
        <v>45534</v>
      </c>
      <c r="D1907" s="54">
        <v>50802401</v>
      </c>
      <c r="E1907" s="55" t="s">
        <v>13</v>
      </c>
      <c r="G1907" s="68">
        <v>9273600</v>
      </c>
      <c r="H1907" s="56" t="s">
        <v>92</v>
      </c>
      <c r="J1907" s="56" t="s">
        <v>1577</v>
      </c>
      <c r="L1907" s="56" t="s">
        <v>1117</v>
      </c>
      <c r="N1907" s="4" t="s">
        <v>1573</v>
      </c>
      <c r="O1907" s="4" t="s">
        <v>178</v>
      </c>
    </row>
    <row r="1908" spans="2:15">
      <c r="B1908" s="20">
        <v>45534</v>
      </c>
      <c r="C1908" s="20">
        <v>45534</v>
      </c>
      <c r="D1908" s="54">
        <v>50144376</v>
      </c>
      <c r="E1908" s="55" t="s">
        <v>19</v>
      </c>
      <c r="G1908" s="68">
        <v>16800</v>
      </c>
      <c r="H1908" s="56" t="s">
        <v>92</v>
      </c>
      <c r="J1908" s="56" t="s">
        <v>1578</v>
      </c>
      <c r="L1908" s="56" t="s">
        <v>934</v>
      </c>
      <c r="M1908" s="4" t="s">
        <v>1518</v>
      </c>
      <c r="N1908" s="4" t="s">
        <v>1579</v>
      </c>
      <c r="O1908" s="4" t="s">
        <v>178</v>
      </c>
    </row>
    <row r="1909" spans="2:15">
      <c r="B1909" s="20">
        <v>45534</v>
      </c>
      <c r="C1909" s="20">
        <v>45534</v>
      </c>
      <c r="D1909" s="54">
        <v>50272278</v>
      </c>
      <c r="E1909" s="55" t="s">
        <v>21</v>
      </c>
      <c r="G1909" s="68">
        <v>13000</v>
      </c>
      <c r="H1909" s="56" t="s">
        <v>92</v>
      </c>
      <c r="J1909" s="56" t="s">
        <v>1580</v>
      </c>
      <c r="L1909" s="56" t="s">
        <v>262</v>
      </c>
      <c r="M1909" s="4" t="s">
        <v>262</v>
      </c>
      <c r="N1909" s="4" t="s">
        <v>1274</v>
      </c>
      <c r="O1909" s="4" t="s">
        <v>178</v>
      </c>
    </row>
    <row r="1910" spans="2:15">
      <c r="B1910" s="20">
        <v>45534</v>
      </c>
      <c r="C1910" s="20">
        <v>45534</v>
      </c>
      <c r="D1910" s="54">
        <v>50328897</v>
      </c>
      <c r="E1910" s="55" t="s">
        <v>1581</v>
      </c>
      <c r="G1910" s="68">
        <v>250</v>
      </c>
      <c r="H1910" s="56" t="s">
        <v>987</v>
      </c>
      <c r="J1910" s="56" t="s">
        <v>1582</v>
      </c>
      <c r="L1910" s="56" t="s">
        <v>1583</v>
      </c>
      <c r="M1910" s="4" t="s">
        <v>1583</v>
      </c>
      <c r="N1910" s="4" t="s">
        <v>1584</v>
      </c>
      <c r="O1910" s="4" t="s">
        <v>178</v>
      </c>
    </row>
    <row r="1911" spans="2:15">
      <c r="B1911" s="20">
        <v>45534</v>
      </c>
      <c r="C1911" s="20">
        <v>45534</v>
      </c>
      <c r="D1911" s="54">
        <v>5028897</v>
      </c>
      <c r="E1911" s="55" t="s">
        <v>1585</v>
      </c>
      <c r="G1911" s="68">
        <v>220</v>
      </c>
      <c r="H1911" s="56" t="s">
        <v>987</v>
      </c>
      <c r="J1911" s="56" t="s">
        <v>1582</v>
      </c>
      <c r="L1911" s="56" t="s">
        <v>1583</v>
      </c>
      <c r="M1911" s="4" t="s">
        <v>1583</v>
      </c>
      <c r="N1911" s="4"/>
      <c r="O1911" s="4" t="s">
        <v>178</v>
      </c>
    </row>
    <row r="1912" spans="2:15">
      <c r="B1912" s="20">
        <v>45537</v>
      </c>
      <c r="C1912" s="20">
        <v>45537</v>
      </c>
      <c r="D1912" s="54">
        <v>20016059</v>
      </c>
      <c r="E1912" s="55" t="s">
        <v>1498</v>
      </c>
      <c r="G1912" s="68">
        <v>200</v>
      </c>
      <c r="H1912" s="56" t="s">
        <v>92</v>
      </c>
      <c r="L1912" s="56" t="s">
        <v>1499</v>
      </c>
      <c r="M1912" s="4" t="s">
        <v>1499</v>
      </c>
      <c r="N1912" s="4"/>
      <c r="O1912" s="4" t="s">
        <v>178</v>
      </c>
    </row>
    <row r="1913" spans="2:15">
      <c r="B1913" s="20">
        <v>45537</v>
      </c>
      <c r="C1913" s="20">
        <v>45537</v>
      </c>
      <c r="D1913" s="54">
        <v>50142631</v>
      </c>
      <c r="E1913" s="55" t="s">
        <v>566</v>
      </c>
      <c r="G1913" s="68">
        <v>1500</v>
      </c>
      <c r="H1913" s="56" t="s">
        <v>1586</v>
      </c>
      <c r="J1913" s="56" t="s">
        <v>1587</v>
      </c>
      <c r="L1913" s="56" t="s">
        <v>567</v>
      </c>
      <c r="M1913" s="4" t="s">
        <v>567</v>
      </c>
      <c r="N1913" s="4" t="s">
        <v>569</v>
      </c>
      <c r="O1913" s="4" t="s">
        <v>178</v>
      </c>
    </row>
    <row r="1914" spans="2:15">
      <c r="B1914" s="20">
        <v>45537</v>
      </c>
      <c r="C1914" s="20">
        <v>45537</v>
      </c>
      <c r="D1914" s="54">
        <v>50144376</v>
      </c>
      <c r="E1914" s="55" t="s">
        <v>19</v>
      </c>
      <c r="G1914" s="68">
        <v>2000</v>
      </c>
      <c r="H1914" s="56" t="s">
        <v>92</v>
      </c>
      <c r="J1914" s="56" t="s">
        <v>1588</v>
      </c>
      <c r="L1914" s="56" t="s">
        <v>838</v>
      </c>
      <c r="M1914" s="4" t="s">
        <v>176</v>
      </c>
      <c r="N1914" s="4" t="s">
        <v>177</v>
      </c>
      <c r="O1914" s="4" t="s">
        <v>178</v>
      </c>
    </row>
    <row r="1915" spans="2:15">
      <c r="B1915" s="20">
        <v>45537</v>
      </c>
      <c r="C1915" s="20">
        <v>45537</v>
      </c>
      <c r="D1915" s="54">
        <v>50142424</v>
      </c>
      <c r="E1915" s="55" t="s">
        <v>33</v>
      </c>
      <c r="G1915" s="68">
        <v>9000</v>
      </c>
      <c r="H1915" s="56" t="s">
        <v>82</v>
      </c>
      <c r="J1915" s="56" t="s">
        <v>1588</v>
      </c>
      <c r="L1915" s="56" t="s">
        <v>838</v>
      </c>
      <c r="M1915" s="4" t="s">
        <v>176</v>
      </c>
      <c r="N1915" s="4" t="s">
        <v>177</v>
      </c>
      <c r="O1915" s="4" t="s">
        <v>178</v>
      </c>
    </row>
    <row r="1916" spans="2:15">
      <c r="B1916" s="20">
        <v>45537</v>
      </c>
      <c r="C1916" s="20">
        <v>45537</v>
      </c>
      <c r="D1916" s="54">
        <v>40499</v>
      </c>
      <c r="E1916" s="55" t="s">
        <v>1094</v>
      </c>
      <c r="G1916" s="68">
        <v>111</v>
      </c>
      <c r="H1916" s="56" t="s">
        <v>92</v>
      </c>
      <c r="J1916" s="56" t="s">
        <v>1588</v>
      </c>
      <c r="L1916" s="56" t="s">
        <v>838</v>
      </c>
      <c r="M1916" s="4" t="s">
        <v>176</v>
      </c>
      <c r="N1916" s="4" t="s">
        <v>177</v>
      </c>
      <c r="O1916" s="4" t="s">
        <v>178</v>
      </c>
    </row>
    <row r="1917" spans="2:15">
      <c r="B1917" s="20">
        <v>45538</v>
      </c>
      <c r="C1917" s="20">
        <v>45538</v>
      </c>
      <c r="D1917" s="54">
        <v>50470190</v>
      </c>
      <c r="E1917" s="55" t="s">
        <v>12</v>
      </c>
      <c r="G1917" s="68">
        <v>9273600</v>
      </c>
      <c r="H1917" s="56" t="s">
        <v>92</v>
      </c>
      <c r="J1917" s="56" t="s">
        <v>1589</v>
      </c>
      <c r="L1917" s="56" t="s">
        <v>958</v>
      </c>
      <c r="M1917" s="4" t="s">
        <v>392</v>
      </c>
      <c r="N1917" s="4" t="s">
        <v>1489</v>
      </c>
      <c r="O1917" s="4" t="s">
        <v>178</v>
      </c>
    </row>
    <row r="1918" spans="2:15">
      <c r="B1918" s="20">
        <v>45538</v>
      </c>
      <c r="C1918" s="20">
        <v>45538</v>
      </c>
      <c r="D1918" s="54">
        <v>50799770</v>
      </c>
      <c r="E1918" s="55" t="s">
        <v>17</v>
      </c>
      <c r="G1918" s="68">
        <v>13000</v>
      </c>
      <c r="H1918" s="56" t="s">
        <v>92</v>
      </c>
      <c r="J1918" s="56" t="s">
        <v>1590</v>
      </c>
      <c r="L1918" s="56" t="s">
        <v>262</v>
      </c>
      <c r="M1918" s="4" t="s">
        <v>262</v>
      </c>
      <c r="N1918" s="4" t="s">
        <v>1268</v>
      </c>
      <c r="O1918" s="4" t="s">
        <v>178</v>
      </c>
    </row>
    <row r="1919" spans="2:15">
      <c r="B1919" s="20">
        <v>45538</v>
      </c>
      <c r="C1919" s="20">
        <v>45538</v>
      </c>
      <c r="D1919" s="54">
        <v>50142328</v>
      </c>
      <c r="E1919" s="55" t="s">
        <v>1591</v>
      </c>
      <c r="G1919" s="68">
        <v>8000</v>
      </c>
      <c r="H1919" s="56" t="s">
        <v>82</v>
      </c>
      <c r="J1919" s="56" t="s">
        <v>1592</v>
      </c>
      <c r="L1919" s="56" t="s">
        <v>769</v>
      </c>
      <c r="M1919" s="4" t="s">
        <v>769</v>
      </c>
      <c r="N1919" s="4" t="s">
        <v>1486</v>
      </c>
      <c r="O1919" s="4" t="s">
        <v>178</v>
      </c>
    </row>
    <row r="1920" spans="2:15">
      <c r="B1920" s="20">
        <v>45539</v>
      </c>
      <c r="C1920" s="20">
        <v>45539</v>
      </c>
      <c r="D1920" s="54">
        <v>50272278</v>
      </c>
      <c r="E1920" s="55" t="s">
        <v>21</v>
      </c>
      <c r="G1920" s="68">
        <v>13000</v>
      </c>
      <c r="H1920" s="56" t="s">
        <v>92</v>
      </c>
      <c r="J1920" s="56" t="s">
        <v>1593</v>
      </c>
      <c r="L1920" s="56" t="s">
        <v>262</v>
      </c>
      <c r="M1920" s="4" t="s">
        <v>262</v>
      </c>
      <c r="N1920" s="4" t="s">
        <v>1274</v>
      </c>
      <c r="O1920" s="4" t="s">
        <v>178</v>
      </c>
    </row>
    <row r="1921" spans="2:15">
      <c r="B1921" s="20">
        <v>45540</v>
      </c>
      <c r="C1921" s="20">
        <v>45540</v>
      </c>
      <c r="D1921" s="54">
        <v>50010080</v>
      </c>
      <c r="E1921" s="55" t="s">
        <v>354</v>
      </c>
      <c r="G1921" s="68">
        <v>19000</v>
      </c>
      <c r="H1921" s="56" t="s">
        <v>82</v>
      </c>
      <c r="J1921" s="56" t="s">
        <v>1594</v>
      </c>
      <c r="L1921" s="56" t="s">
        <v>355</v>
      </c>
      <c r="M1921" s="4" t="s">
        <v>650</v>
      </c>
      <c r="N1921" s="4" t="s">
        <v>961</v>
      </c>
      <c r="O1921" s="4" t="s">
        <v>178</v>
      </c>
    </row>
    <row r="1922" spans="2:15">
      <c r="B1922" s="20">
        <v>45540</v>
      </c>
      <c r="C1922" s="20">
        <v>45540</v>
      </c>
      <c r="D1922" s="54">
        <v>50799770</v>
      </c>
      <c r="E1922" s="55" t="s">
        <v>17</v>
      </c>
      <c r="G1922" s="68">
        <v>3500</v>
      </c>
      <c r="H1922" s="56" t="s">
        <v>92</v>
      </c>
      <c r="J1922" s="56" t="s">
        <v>1595</v>
      </c>
      <c r="L1922" s="56" t="s">
        <v>838</v>
      </c>
      <c r="M1922" s="4" t="s">
        <v>176</v>
      </c>
      <c r="N1922" s="4" t="s">
        <v>177</v>
      </c>
      <c r="O1922" s="4" t="s">
        <v>178</v>
      </c>
    </row>
    <row r="1923" spans="2:15">
      <c r="B1923" s="20">
        <v>45540</v>
      </c>
      <c r="C1923" s="20">
        <v>45540</v>
      </c>
      <c r="D1923" s="54">
        <v>40499</v>
      </c>
      <c r="E1923" s="55" t="s">
        <v>1094</v>
      </c>
      <c r="G1923" s="68">
        <v>134</v>
      </c>
      <c r="H1923" s="56" t="s">
        <v>92</v>
      </c>
      <c r="J1923" s="56" t="s">
        <v>1595</v>
      </c>
      <c r="L1923" s="56" t="s">
        <v>838</v>
      </c>
      <c r="M1923" s="4" t="s">
        <v>176</v>
      </c>
      <c r="N1923" s="4" t="s">
        <v>177</v>
      </c>
      <c r="O1923" s="4" t="s">
        <v>178</v>
      </c>
    </row>
    <row r="1924" spans="2:15">
      <c r="B1924" s="20">
        <v>45540</v>
      </c>
      <c r="C1924" s="20">
        <v>45540</v>
      </c>
      <c r="D1924" s="54">
        <v>50272278</v>
      </c>
      <c r="E1924" s="55" t="s">
        <v>21</v>
      </c>
      <c r="G1924" s="68">
        <v>11000</v>
      </c>
      <c r="H1924" s="56" t="s">
        <v>92</v>
      </c>
      <c r="J1924" s="56" t="s">
        <v>1596</v>
      </c>
      <c r="L1924" s="56" t="s">
        <v>262</v>
      </c>
      <c r="M1924" s="4" t="s">
        <v>262</v>
      </c>
      <c r="N1924" s="4" t="s">
        <v>1274</v>
      </c>
      <c r="O1924" s="4" t="s">
        <v>178</v>
      </c>
    </row>
    <row r="1925" spans="2:15">
      <c r="B1925" s="20">
        <v>45542</v>
      </c>
      <c r="C1925" s="20">
        <v>45542</v>
      </c>
      <c r="D1925" s="54">
        <v>50472692</v>
      </c>
      <c r="E1925" s="55" t="s">
        <v>1304</v>
      </c>
      <c r="G1925" s="68">
        <v>5460</v>
      </c>
      <c r="H1925" s="56" t="s">
        <v>80</v>
      </c>
      <c r="J1925" s="56" t="s">
        <v>1597</v>
      </c>
      <c r="K1925" s="4" t="s">
        <v>1598</v>
      </c>
      <c r="L1925" s="56" t="s">
        <v>1306</v>
      </c>
      <c r="M1925" s="4" t="s">
        <v>392</v>
      </c>
      <c r="N1925" s="4"/>
      <c r="O1925" s="4" t="s">
        <v>533</v>
      </c>
    </row>
    <row r="1926" spans="2:15">
      <c r="B1926" s="20">
        <v>45542</v>
      </c>
      <c r="C1926" s="20">
        <v>45542</v>
      </c>
      <c r="D1926" s="54">
        <v>50472696</v>
      </c>
      <c r="E1926" s="55" t="s">
        <v>1308</v>
      </c>
      <c r="G1926" s="68">
        <v>5145</v>
      </c>
      <c r="H1926" s="56" t="s">
        <v>80</v>
      </c>
      <c r="J1926" s="56" t="s">
        <v>1599</v>
      </c>
      <c r="K1926" s="4" t="s">
        <v>1598</v>
      </c>
      <c r="L1926" s="56" t="s">
        <v>1306</v>
      </c>
      <c r="M1926" s="4" t="s">
        <v>392</v>
      </c>
      <c r="N1926" s="4"/>
      <c r="O1926" s="4" t="s">
        <v>533</v>
      </c>
    </row>
    <row r="1927" spans="2:15">
      <c r="B1927" s="20">
        <v>45542</v>
      </c>
      <c r="C1927" s="20">
        <v>45542</v>
      </c>
      <c r="D1927" s="54">
        <v>50472692</v>
      </c>
      <c r="E1927" s="55" t="s">
        <v>1304</v>
      </c>
      <c r="G1927" s="68">
        <v>4966</v>
      </c>
      <c r="H1927" s="56" t="s">
        <v>80</v>
      </c>
      <c r="J1927" s="56" t="s">
        <v>1600</v>
      </c>
      <c r="K1927" s="4" t="s">
        <v>1601</v>
      </c>
      <c r="L1927" s="56" t="s">
        <v>1306</v>
      </c>
      <c r="M1927" s="4" t="s">
        <v>392</v>
      </c>
      <c r="N1927" s="4"/>
      <c r="O1927" s="4" t="s">
        <v>533</v>
      </c>
    </row>
    <row r="1928" spans="2:15">
      <c r="B1928" s="20">
        <v>45542</v>
      </c>
      <c r="C1928" s="20">
        <v>45542</v>
      </c>
      <c r="D1928" s="54">
        <v>50472696</v>
      </c>
      <c r="E1928" s="55" t="s">
        <v>1308</v>
      </c>
      <c r="G1928" s="68">
        <v>4707.5</v>
      </c>
      <c r="H1928" s="56" t="s">
        <v>80</v>
      </c>
      <c r="J1928" s="56" t="s">
        <v>1600</v>
      </c>
      <c r="K1928" s="4" t="s">
        <v>1601</v>
      </c>
      <c r="L1928" s="56" t="s">
        <v>1306</v>
      </c>
      <c r="M1928" s="4" t="s">
        <v>392</v>
      </c>
      <c r="N1928" s="4"/>
      <c r="O1928" s="4" t="s">
        <v>533</v>
      </c>
    </row>
    <row r="1929" spans="2:15">
      <c r="B1929" s="20">
        <v>45544</v>
      </c>
      <c r="C1929" s="20">
        <v>45544</v>
      </c>
      <c r="D1929" s="54">
        <v>50272278</v>
      </c>
      <c r="E1929" s="55" t="s">
        <v>21</v>
      </c>
      <c r="G1929" s="68">
        <v>6500</v>
      </c>
      <c r="H1929" s="56" t="s">
        <v>92</v>
      </c>
      <c r="J1929" s="56" t="s">
        <v>1602</v>
      </c>
      <c r="L1929" s="56" t="s">
        <v>262</v>
      </c>
      <c r="M1929" s="4" t="s">
        <v>262</v>
      </c>
      <c r="N1929" s="4" t="s">
        <v>1274</v>
      </c>
      <c r="O1929" s="4" t="s">
        <v>533</v>
      </c>
    </row>
    <row r="1930" spans="2:15">
      <c r="B1930" s="20">
        <v>45544</v>
      </c>
      <c r="C1930" s="20">
        <v>45544</v>
      </c>
      <c r="D1930" s="54">
        <v>50272278</v>
      </c>
      <c r="E1930" s="55" t="s">
        <v>21</v>
      </c>
      <c r="G1930" s="68">
        <v>4500</v>
      </c>
      <c r="H1930" s="56" t="s">
        <v>92</v>
      </c>
      <c r="J1930" s="56" t="s">
        <v>1603</v>
      </c>
      <c r="L1930" s="56" t="s">
        <v>262</v>
      </c>
      <c r="M1930" s="4" t="s">
        <v>262</v>
      </c>
      <c r="N1930" s="4" t="s">
        <v>1274</v>
      </c>
      <c r="O1930" s="4" t="s">
        <v>533</v>
      </c>
    </row>
    <row r="1931" spans="2:15">
      <c r="B1931" s="20">
        <v>45545</v>
      </c>
      <c r="C1931" s="20">
        <v>45545</v>
      </c>
      <c r="D1931" s="54">
        <v>50470190</v>
      </c>
      <c r="E1931" s="55" t="s">
        <v>12</v>
      </c>
      <c r="F1931" s="56">
        <v>32</v>
      </c>
      <c r="G1931" s="68">
        <v>9273600</v>
      </c>
      <c r="H1931" s="56" t="s">
        <v>92</v>
      </c>
      <c r="J1931" s="56" t="s">
        <v>1604</v>
      </c>
      <c r="L1931" s="56" t="s">
        <v>230</v>
      </c>
      <c r="M1931" s="4" t="s">
        <v>392</v>
      </c>
      <c r="N1931" s="4" t="s">
        <v>1605</v>
      </c>
      <c r="O1931" s="4" t="s">
        <v>533</v>
      </c>
    </row>
    <row r="1932" spans="2:15">
      <c r="B1932" s="20">
        <v>45545</v>
      </c>
      <c r="C1932" s="20">
        <v>45545</v>
      </c>
      <c r="D1932" s="54">
        <v>50809145</v>
      </c>
      <c r="E1932" s="55" t="s">
        <v>946</v>
      </c>
      <c r="F1932" s="56">
        <v>10</v>
      </c>
      <c r="G1932" s="68">
        <v>4588.4</v>
      </c>
      <c r="H1932" s="56" t="s">
        <v>82</v>
      </c>
      <c r="J1932" s="56" t="s">
        <v>1606</v>
      </c>
      <c r="L1932" s="56" t="s">
        <v>1227</v>
      </c>
      <c r="M1932" s="4" t="s">
        <v>1227</v>
      </c>
      <c r="N1932" s="4" t="s">
        <v>1203</v>
      </c>
      <c r="O1932" s="4" t="s">
        <v>533</v>
      </c>
    </row>
    <row r="1933" spans="2:15">
      <c r="B1933" s="20">
        <v>45545</v>
      </c>
      <c r="C1933" s="20">
        <v>45545</v>
      </c>
      <c r="D1933" s="54">
        <v>50815429</v>
      </c>
      <c r="E1933" s="55" t="s">
        <v>1607</v>
      </c>
      <c r="F1933" s="56">
        <v>1</v>
      </c>
      <c r="G1933" s="68">
        <v>1584000</v>
      </c>
      <c r="H1933" s="56" t="s">
        <v>92</v>
      </c>
      <c r="J1933" s="56" t="s">
        <v>1608</v>
      </c>
      <c r="K1933" s="4" t="s">
        <v>1609</v>
      </c>
      <c r="L1933" s="56" t="s">
        <v>1610</v>
      </c>
      <c r="M1933" s="4" t="s">
        <v>750</v>
      </c>
      <c r="N1933" s="4" t="s">
        <v>395</v>
      </c>
      <c r="O1933" s="4" t="s">
        <v>533</v>
      </c>
    </row>
    <row r="1934" spans="2:15">
      <c r="B1934" s="20">
        <v>45545</v>
      </c>
      <c r="C1934" s="20">
        <v>45545</v>
      </c>
      <c r="D1934" s="54">
        <v>50597773</v>
      </c>
      <c r="E1934" s="55" t="s">
        <v>1611</v>
      </c>
      <c r="G1934" s="68">
        <v>27600</v>
      </c>
      <c r="H1934" s="56" t="s">
        <v>92</v>
      </c>
      <c r="J1934" s="56" t="s">
        <v>1612</v>
      </c>
      <c r="L1934" s="56" t="s">
        <v>342</v>
      </c>
      <c r="M1934" s="4" t="s">
        <v>326</v>
      </c>
      <c r="N1934" s="4" t="s">
        <v>1613</v>
      </c>
      <c r="O1934" s="4" t="s">
        <v>533</v>
      </c>
    </row>
    <row r="1935" spans="2:15">
      <c r="B1935" s="20">
        <v>45546</v>
      </c>
      <c r="C1935" s="20">
        <v>45546</v>
      </c>
      <c r="D1935" s="54">
        <v>50809353</v>
      </c>
      <c r="E1935" s="55" t="s">
        <v>905</v>
      </c>
      <c r="F1935" s="56">
        <v>25</v>
      </c>
      <c r="G1935" s="68">
        <v>14600</v>
      </c>
      <c r="H1935" s="56" t="s">
        <v>82</v>
      </c>
      <c r="J1935" s="56">
        <v>163511</v>
      </c>
      <c r="K1935" s="4" t="s">
        <v>1614</v>
      </c>
      <c r="L1935" s="56" t="s">
        <v>906</v>
      </c>
      <c r="M1935" s="4" t="s">
        <v>1615</v>
      </c>
      <c r="N1935" s="4" t="s">
        <v>1616</v>
      </c>
      <c r="O1935" s="4" t="s">
        <v>533</v>
      </c>
    </row>
    <row r="1936" spans="2:15">
      <c r="B1936" s="20">
        <v>45546</v>
      </c>
      <c r="C1936" s="20">
        <v>45546</v>
      </c>
      <c r="D1936" s="54">
        <v>50809152</v>
      </c>
      <c r="E1936" s="55" t="s">
        <v>953</v>
      </c>
      <c r="F1936" s="56">
        <v>4</v>
      </c>
      <c r="G1936" s="68">
        <v>1708.7</v>
      </c>
      <c r="H1936" s="56" t="s">
        <v>82</v>
      </c>
      <c r="J1936" s="56" t="s">
        <v>1617</v>
      </c>
      <c r="L1936" s="56" t="s">
        <v>1227</v>
      </c>
      <c r="M1936" s="4" t="s">
        <v>1227</v>
      </c>
      <c r="N1936" s="4" t="s">
        <v>1244</v>
      </c>
      <c r="O1936" s="4" t="s">
        <v>533</v>
      </c>
    </row>
    <row r="1937" spans="2:15">
      <c r="B1937" s="20">
        <v>45546</v>
      </c>
      <c r="C1937" s="20">
        <v>45546</v>
      </c>
      <c r="D1937" s="54">
        <v>50834013</v>
      </c>
      <c r="E1937" s="55" t="s">
        <v>1618</v>
      </c>
      <c r="F1937" s="56">
        <v>1</v>
      </c>
      <c r="G1937" s="68">
        <v>98.25</v>
      </c>
      <c r="H1937" s="56" t="s">
        <v>80</v>
      </c>
      <c r="J1937" s="56" t="s">
        <v>1619</v>
      </c>
      <c r="K1937" s="4" t="s">
        <v>1620</v>
      </c>
      <c r="L1937" s="56" t="s">
        <v>1621</v>
      </c>
      <c r="M1937" s="4" t="s">
        <v>1622</v>
      </c>
      <c r="N1937" s="4" t="s">
        <v>1623</v>
      </c>
      <c r="O1937" s="4" t="s">
        <v>533</v>
      </c>
    </row>
    <row r="1938" spans="2:15">
      <c r="B1938" s="20">
        <v>45546</v>
      </c>
      <c r="C1938" s="20">
        <v>45546</v>
      </c>
      <c r="D1938" s="54">
        <v>50834015</v>
      </c>
      <c r="E1938" s="55" t="s">
        <v>1624</v>
      </c>
      <c r="G1938" s="68">
        <v>99</v>
      </c>
      <c r="H1938" s="56" t="s">
        <v>80</v>
      </c>
      <c r="J1938" s="56" t="s">
        <v>1619</v>
      </c>
      <c r="K1938" s="4" t="s">
        <v>1620</v>
      </c>
      <c r="L1938" s="56" t="s">
        <v>1621</v>
      </c>
      <c r="M1938" s="4" t="s">
        <v>1622</v>
      </c>
      <c r="N1938" s="4" t="s">
        <v>1623</v>
      </c>
      <c r="O1938" s="4" t="s">
        <v>533</v>
      </c>
    </row>
    <row r="1939" spans="2:15">
      <c r="B1939" s="20">
        <v>45546</v>
      </c>
      <c r="C1939" s="20">
        <v>45546</v>
      </c>
      <c r="D1939" s="54">
        <v>50834014</v>
      </c>
      <c r="E1939" s="55" t="s">
        <v>1625</v>
      </c>
      <c r="G1939" s="68">
        <v>103</v>
      </c>
      <c r="H1939" s="56" t="s">
        <v>80</v>
      </c>
      <c r="J1939" s="56" t="s">
        <v>1619</v>
      </c>
      <c r="K1939" s="4" t="s">
        <v>1620</v>
      </c>
      <c r="L1939" s="56" t="s">
        <v>1621</v>
      </c>
      <c r="M1939" s="4" t="s">
        <v>1622</v>
      </c>
      <c r="N1939" s="4" t="s">
        <v>1623</v>
      </c>
      <c r="O1939" s="4" t="s">
        <v>533</v>
      </c>
    </row>
    <row r="1940" spans="2:15">
      <c r="B1940" s="20">
        <v>45546</v>
      </c>
      <c r="C1940" s="20">
        <v>45546</v>
      </c>
      <c r="D1940" s="54">
        <v>50272278</v>
      </c>
      <c r="E1940" s="55" t="s">
        <v>21</v>
      </c>
      <c r="G1940" s="68">
        <v>13000</v>
      </c>
      <c r="H1940" s="56" t="s">
        <v>92</v>
      </c>
      <c r="J1940" s="56" t="s">
        <v>1626</v>
      </c>
      <c r="L1940" s="56" t="s">
        <v>262</v>
      </c>
      <c r="M1940" s="4" t="s">
        <v>262</v>
      </c>
      <c r="N1940" s="4" t="s">
        <v>1274</v>
      </c>
      <c r="O1940" s="4" t="s">
        <v>533</v>
      </c>
    </row>
    <row r="1941" spans="2:15">
      <c r="B1941" s="20">
        <v>45546</v>
      </c>
      <c r="C1941" s="20">
        <v>45546</v>
      </c>
      <c r="D1941" s="54">
        <v>40499</v>
      </c>
      <c r="E1941" s="55" t="s">
        <v>1094</v>
      </c>
      <c r="G1941" s="68">
        <v>172</v>
      </c>
      <c r="H1941" s="56" t="s">
        <v>92</v>
      </c>
      <c r="J1941" s="56" t="s">
        <v>1627</v>
      </c>
      <c r="L1941" s="56" t="s">
        <v>1628</v>
      </c>
      <c r="M1941" s="4" t="s">
        <v>176</v>
      </c>
      <c r="N1941" s="4" t="s">
        <v>177</v>
      </c>
      <c r="O1941" s="4" t="s">
        <v>533</v>
      </c>
    </row>
    <row r="1942" spans="2:15">
      <c r="B1942" s="20">
        <v>45546</v>
      </c>
      <c r="C1942" s="20">
        <v>45546</v>
      </c>
      <c r="D1942" s="54">
        <v>50143893</v>
      </c>
      <c r="E1942" s="55" t="s">
        <v>24</v>
      </c>
      <c r="G1942" s="68">
        <v>1188</v>
      </c>
      <c r="H1942" s="56" t="s">
        <v>82</v>
      </c>
      <c r="J1942" s="56" t="s">
        <v>1627</v>
      </c>
      <c r="L1942" s="56" t="s">
        <v>1628</v>
      </c>
      <c r="M1942" s="4" t="s">
        <v>176</v>
      </c>
      <c r="N1942" s="4" t="s">
        <v>177</v>
      </c>
      <c r="O1942" s="4" t="s">
        <v>533</v>
      </c>
    </row>
    <row r="1943" spans="2:15">
      <c r="B1943" s="20">
        <v>45546</v>
      </c>
      <c r="C1943" s="20">
        <v>45546</v>
      </c>
      <c r="D1943" s="54">
        <v>50272278</v>
      </c>
      <c r="E1943" s="55" t="s">
        <v>21</v>
      </c>
      <c r="G1943" s="68">
        <v>200</v>
      </c>
      <c r="H1943" s="56" t="s">
        <v>92</v>
      </c>
      <c r="J1943" s="56" t="s">
        <v>1627</v>
      </c>
      <c r="L1943" s="56" t="s">
        <v>1628</v>
      </c>
      <c r="M1943" s="4" t="s">
        <v>176</v>
      </c>
      <c r="N1943" s="4" t="s">
        <v>177</v>
      </c>
      <c r="O1943" s="4" t="s">
        <v>533</v>
      </c>
    </row>
    <row r="1944" spans="2:15">
      <c r="B1944" s="20">
        <v>45546</v>
      </c>
      <c r="C1944" s="20">
        <v>45546</v>
      </c>
      <c r="D1944" s="54">
        <v>50534881</v>
      </c>
      <c r="E1944" s="55" t="s">
        <v>227</v>
      </c>
      <c r="G1944" s="68">
        <v>10500</v>
      </c>
      <c r="H1944" s="56" t="s">
        <v>92</v>
      </c>
      <c r="J1944" s="56" t="s">
        <v>1627</v>
      </c>
      <c r="L1944" s="56" t="s">
        <v>1628</v>
      </c>
      <c r="M1944" s="4" t="s">
        <v>176</v>
      </c>
      <c r="N1944" s="4" t="s">
        <v>177</v>
      </c>
      <c r="O1944" s="4" t="s">
        <v>533</v>
      </c>
    </row>
    <row r="1945" spans="2:15">
      <c r="B1945" s="20">
        <v>45547</v>
      </c>
      <c r="C1945" s="20">
        <v>45547</v>
      </c>
      <c r="D1945" s="54">
        <v>50498271</v>
      </c>
      <c r="E1945" s="55" t="s">
        <v>1025</v>
      </c>
      <c r="F1945" s="56">
        <v>10</v>
      </c>
      <c r="G1945" s="68">
        <v>5215.95</v>
      </c>
      <c r="H1945" s="56" t="s">
        <v>82</v>
      </c>
      <c r="J1945" s="56" t="s">
        <v>1629</v>
      </c>
      <c r="L1945" s="56" t="s">
        <v>1227</v>
      </c>
      <c r="M1945" s="4" t="s">
        <v>1227</v>
      </c>
      <c r="N1945" s="4" t="s">
        <v>1630</v>
      </c>
      <c r="O1945" s="4" t="s">
        <v>533</v>
      </c>
    </row>
    <row r="1946" spans="2:15">
      <c r="B1946" s="20">
        <v>45547</v>
      </c>
      <c r="C1946" s="20">
        <v>45547</v>
      </c>
      <c r="D1946" s="54">
        <v>50145028</v>
      </c>
      <c r="E1946" s="55" t="s">
        <v>23</v>
      </c>
      <c r="G1946" s="68">
        <v>1152</v>
      </c>
      <c r="H1946" s="56" t="s">
        <v>92</v>
      </c>
      <c r="J1946" s="56" t="s">
        <v>1631</v>
      </c>
      <c r="L1946" s="56" t="s">
        <v>1628</v>
      </c>
      <c r="M1946" s="4" t="s">
        <v>176</v>
      </c>
      <c r="N1946" s="4" t="s">
        <v>177</v>
      </c>
      <c r="O1946" s="4" t="s">
        <v>533</v>
      </c>
    </row>
    <row r="1947" spans="2:15">
      <c r="B1947" s="20">
        <v>45547</v>
      </c>
      <c r="C1947" s="20">
        <v>45547</v>
      </c>
      <c r="D1947" s="54">
        <v>40499</v>
      </c>
      <c r="E1947" s="55" t="s">
        <v>1094</v>
      </c>
      <c r="G1947" s="68">
        <v>100</v>
      </c>
      <c r="H1947" s="56" t="s">
        <v>92</v>
      </c>
      <c r="J1947" s="56" t="s">
        <v>1631</v>
      </c>
      <c r="L1947" s="56" t="s">
        <v>1628</v>
      </c>
      <c r="M1947" s="4" t="s">
        <v>176</v>
      </c>
      <c r="N1947" s="4" t="s">
        <v>177</v>
      </c>
      <c r="O1947" s="4" t="s">
        <v>533</v>
      </c>
    </row>
    <row r="1948" spans="2:15">
      <c r="B1948" s="20">
        <v>45547</v>
      </c>
      <c r="C1948" s="20">
        <v>45547</v>
      </c>
      <c r="D1948" s="54">
        <v>50522176</v>
      </c>
      <c r="E1948" s="55" t="s">
        <v>1632</v>
      </c>
      <c r="G1948" s="68">
        <v>572</v>
      </c>
      <c r="H1948" s="56" t="s">
        <v>82</v>
      </c>
      <c r="J1948" s="56" t="s">
        <v>1631</v>
      </c>
      <c r="L1948" s="56" t="s">
        <v>1628</v>
      </c>
      <c r="M1948" s="4" t="s">
        <v>176</v>
      </c>
      <c r="N1948" s="4" t="s">
        <v>177</v>
      </c>
      <c r="O1948" s="4" t="s">
        <v>533</v>
      </c>
    </row>
    <row r="1949" spans="2:15">
      <c r="B1949" s="20">
        <v>45547</v>
      </c>
      <c r="C1949" s="20">
        <v>45547</v>
      </c>
      <c r="D1949" s="54">
        <v>50272278</v>
      </c>
      <c r="E1949" s="55" t="s">
        <v>21</v>
      </c>
      <c r="G1949" s="68">
        <v>16800</v>
      </c>
      <c r="H1949" s="56" t="s">
        <v>92</v>
      </c>
      <c r="J1949" s="56" t="s">
        <v>1633</v>
      </c>
      <c r="L1949" s="56" t="s">
        <v>934</v>
      </c>
      <c r="M1949" s="4" t="s">
        <v>1344</v>
      </c>
      <c r="N1949" s="4" t="s">
        <v>1634</v>
      </c>
      <c r="O1949" s="4" t="s">
        <v>533</v>
      </c>
    </row>
    <row r="1950" spans="2:15">
      <c r="B1950" s="20">
        <v>45547</v>
      </c>
      <c r="C1950" s="20">
        <v>45547</v>
      </c>
      <c r="D1950" s="54">
        <v>50145028</v>
      </c>
      <c r="E1950" s="55" t="s">
        <v>23</v>
      </c>
      <c r="G1950" s="68">
        <v>1728</v>
      </c>
      <c r="H1950" s="56" t="s">
        <v>92</v>
      </c>
      <c r="J1950" s="56" t="s">
        <v>1635</v>
      </c>
      <c r="L1950" s="56" t="s">
        <v>673</v>
      </c>
      <c r="M1950" s="4" t="s">
        <v>673</v>
      </c>
      <c r="N1950" s="4" t="s">
        <v>1014</v>
      </c>
      <c r="O1950" s="4" t="s">
        <v>533</v>
      </c>
    </row>
    <row r="1951" spans="2:15">
      <c r="B1951" s="20">
        <v>45547</v>
      </c>
      <c r="C1951" s="20">
        <v>45547</v>
      </c>
      <c r="D1951" s="54">
        <v>50272278</v>
      </c>
      <c r="E1951" s="55" t="s">
        <v>21</v>
      </c>
      <c r="G1951" s="68">
        <v>13000</v>
      </c>
      <c r="H1951" s="56" t="s">
        <v>92</v>
      </c>
      <c r="J1951" s="56" t="s">
        <v>1636</v>
      </c>
      <c r="L1951" s="56" t="s">
        <v>262</v>
      </c>
      <c r="M1951" s="4" t="s">
        <v>262</v>
      </c>
      <c r="N1951" s="4" t="s">
        <v>1274</v>
      </c>
      <c r="O1951" s="4" t="s">
        <v>533</v>
      </c>
    </row>
    <row r="1952" spans="2:15">
      <c r="B1952" s="20">
        <v>45547</v>
      </c>
      <c r="C1952" s="20">
        <v>45547</v>
      </c>
      <c r="D1952" s="54">
        <v>50818948</v>
      </c>
      <c r="E1952" s="55" t="s">
        <v>1173</v>
      </c>
      <c r="G1952" s="68">
        <v>4610000</v>
      </c>
      <c r="H1952" s="56" t="s">
        <v>92</v>
      </c>
      <c r="J1952" s="56" t="s">
        <v>1637</v>
      </c>
      <c r="L1952" s="56" t="s">
        <v>1638</v>
      </c>
      <c r="M1952" s="4" t="s">
        <v>1378</v>
      </c>
      <c r="N1952" s="4" t="s">
        <v>1639</v>
      </c>
      <c r="O1952" s="4" t="s">
        <v>533</v>
      </c>
    </row>
    <row r="1953" spans="2:15">
      <c r="B1953" s="20">
        <v>45547</v>
      </c>
      <c r="C1953" s="20">
        <v>45547</v>
      </c>
      <c r="D1953" s="54">
        <v>50818947</v>
      </c>
      <c r="E1953" s="55" t="s">
        <v>1174</v>
      </c>
      <c r="G1953" s="68">
        <v>6055100</v>
      </c>
      <c r="H1953" s="56" t="s">
        <v>92</v>
      </c>
      <c r="J1953" s="56" t="s">
        <v>1637</v>
      </c>
      <c r="L1953" s="56" t="s">
        <v>1638</v>
      </c>
      <c r="M1953" s="4" t="s">
        <v>1378</v>
      </c>
      <c r="N1953" s="4" t="s">
        <v>1639</v>
      </c>
      <c r="O1953" s="4" t="s">
        <v>533</v>
      </c>
    </row>
    <row r="1954" spans="2:15">
      <c r="B1954" s="20">
        <v>45548</v>
      </c>
      <c r="C1954" s="20">
        <v>45548</v>
      </c>
      <c r="D1954" s="54">
        <v>50804971</v>
      </c>
      <c r="E1954" s="55" t="s">
        <v>1640</v>
      </c>
      <c r="G1954" s="68">
        <v>3488700</v>
      </c>
      <c r="H1954" s="56" t="s">
        <v>92</v>
      </c>
      <c r="J1954" s="56" t="s">
        <v>1641</v>
      </c>
      <c r="L1954" s="56" t="s">
        <v>1527</v>
      </c>
      <c r="M1954" s="4" t="s">
        <v>564</v>
      </c>
      <c r="N1954" s="4" t="s">
        <v>798</v>
      </c>
      <c r="O1954" s="4" t="s">
        <v>533</v>
      </c>
    </row>
    <row r="1955" spans="2:15">
      <c r="B1955" s="20">
        <v>45548</v>
      </c>
      <c r="C1955" s="20">
        <v>45548</v>
      </c>
      <c r="D1955" s="54">
        <v>50804970</v>
      </c>
      <c r="E1955" s="55" t="s">
        <v>1642</v>
      </c>
      <c r="G1955" s="68">
        <v>3490000</v>
      </c>
      <c r="H1955" s="56" t="s">
        <v>92</v>
      </c>
      <c r="J1955" s="56" t="s">
        <v>1641</v>
      </c>
      <c r="L1955" s="56" t="s">
        <v>358</v>
      </c>
      <c r="M1955" s="4" t="s">
        <v>564</v>
      </c>
      <c r="N1955" s="4" t="s">
        <v>798</v>
      </c>
      <c r="O1955" s="4" t="s">
        <v>533</v>
      </c>
    </row>
    <row r="1956" spans="2:15">
      <c r="B1956" s="20">
        <v>45548</v>
      </c>
      <c r="C1956" s="20">
        <v>45548</v>
      </c>
      <c r="D1956" s="54">
        <v>50804929</v>
      </c>
      <c r="E1956" s="55" t="s">
        <v>856</v>
      </c>
      <c r="G1956" s="68">
        <v>3492000</v>
      </c>
      <c r="H1956" s="56" t="s">
        <v>92</v>
      </c>
      <c r="J1956" s="56" t="s">
        <v>1641</v>
      </c>
      <c r="L1956" s="56" t="s">
        <v>358</v>
      </c>
      <c r="M1956" s="4" t="s">
        <v>564</v>
      </c>
      <c r="N1956" s="4" t="s">
        <v>798</v>
      </c>
      <c r="O1956" s="4" t="s">
        <v>533</v>
      </c>
    </row>
    <row r="1957" spans="2:15">
      <c r="B1957" s="20">
        <v>45551</v>
      </c>
      <c r="C1957" s="20">
        <v>45551</v>
      </c>
      <c r="D1957" s="54">
        <v>50272278</v>
      </c>
      <c r="E1957" s="55" t="s">
        <v>21</v>
      </c>
      <c r="G1957" s="68">
        <v>13000</v>
      </c>
      <c r="H1957" s="56" t="s">
        <v>92</v>
      </c>
      <c r="J1957" s="56" t="s">
        <v>1643</v>
      </c>
      <c r="L1957" s="56" t="s">
        <v>262</v>
      </c>
      <c r="M1957" s="4" t="s">
        <v>262</v>
      </c>
      <c r="N1957" s="4" t="s">
        <v>1274</v>
      </c>
      <c r="O1957" s="4" t="s">
        <v>178</v>
      </c>
    </row>
    <row r="1958" spans="2:15">
      <c r="B1958" s="20">
        <v>45551</v>
      </c>
      <c r="C1958" s="20">
        <v>45551</v>
      </c>
      <c r="D1958" s="54">
        <v>50794492</v>
      </c>
      <c r="E1958" s="55" t="s">
        <v>1644</v>
      </c>
      <c r="G1958" s="68">
        <v>669</v>
      </c>
      <c r="H1958" s="56" t="s">
        <v>92</v>
      </c>
      <c r="J1958" s="56" t="s">
        <v>1645</v>
      </c>
      <c r="L1958" s="56" t="s">
        <v>1227</v>
      </c>
      <c r="M1958" s="4" t="s">
        <v>1227</v>
      </c>
      <c r="N1958" s="4" t="s">
        <v>1630</v>
      </c>
      <c r="O1958" s="4" t="s">
        <v>178</v>
      </c>
    </row>
    <row r="1959" spans="2:15">
      <c r="B1959" s="20">
        <v>45551</v>
      </c>
      <c r="C1959" s="20">
        <v>45551</v>
      </c>
      <c r="D1959" s="54">
        <v>50470190</v>
      </c>
      <c r="E1959" s="55" t="s">
        <v>12</v>
      </c>
      <c r="G1959" s="68">
        <v>9273600</v>
      </c>
      <c r="H1959" s="56" t="s">
        <v>92</v>
      </c>
      <c r="J1959" s="56" t="s">
        <v>1646</v>
      </c>
      <c r="L1959" s="56" t="s">
        <v>958</v>
      </c>
      <c r="M1959" s="4" t="s">
        <v>392</v>
      </c>
      <c r="N1959" s="4" t="s">
        <v>1605</v>
      </c>
      <c r="O1959" s="4" t="s">
        <v>178</v>
      </c>
    </row>
    <row r="1960" spans="2:15">
      <c r="B1960" s="20">
        <v>45552</v>
      </c>
      <c r="C1960" s="20">
        <v>45552</v>
      </c>
      <c r="D1960" s="54">
        <v>50793278</v>
      </c>
      <c r="E1960" s="55" t="s">
        <v>1086</v>
      </c>
      <c r="G1960" s="68">
        <v>120</v>
      </c>
      <c r="H1960" s="56" t="s">
        <v>1087</v>
      </c>
      <c r="J1960" s="56">
        <v>1001492154</v>
      </c>
      <c r="K1960" s="4" t="s">
        <v>1647</v>
      </c>
      <c r="L1960" s="56" t="s">
        <v>175</v>
      </c>
      <c r="M1960" s="4" t="s">
        <v>1648</v>
      </c>
      <c r="N1960" s="4" t="s">
        <v>1649</v>
      </c>
      <c r="O1960" s="4" t="s">
        <v>178</v>
      </c>
    </row>
    <row r="1961" spans="2:15">
      <c r="B1961" s="20">
        <v>45553</v>
      </c>
      <c r="C1961" s="20">
        <v>45553</v>
      </c>
      <c r="D1961" s="54">
        <v>50142237</v>
      </c>
      <c r="E1961" s="55" t="s">
        <v>617</v>
      </c>
      <c r="G1961" s="68">
        <v>27000</v>
      </c>
      <c r="H1961" s="56" t="s">
        <v>92</v>
      </c>
      <c r="J1961" s="56" t="s">
        <v>1650</v>
      </c>
      <c r="L1961" s="56" t="s">
        <v>1015</v>
      </c>
      <c r="M1961" s="4" t="s">
        <v>1015</v>
      </c>
      <c r="N1961" s="4" t="s">
        <v>785</v>
      </c>
      <c r="O1961" s="4" t="s">
        <v>178</v>
      </c>
    </row>
    <row r="1962" spans="2:15">
      <c r="B1962" s="20">
        <v>45553</v>
      </c>
      <c r="C1962" s="20">
        <v>45553</v>
      </c>
      <c r="D1962" s="54">
        <v>50815214</v>
      </c>
      <c r="E1962" s="55" t="s">
        <v>1111</v>
      </c>
      <c r="G1962" s="68">
        <v>1654600</v>
      </c>
      <c r="H1962" s="56" t="s">
        <v>92</v>
      </c>
      <c r="J1962" s="56">
        <v>10767</v>
      </c>
      <c r="K1962" s="4" t="s">
        <v>1651</v>
      </c>
      <c r="L1962" s="56" t="s">
        <v>1109</v>
      </c>
      <c r="M1962" s="4" t="s">
        <v>1648</v>
      </c>
      <c r="N1962" s="4" t="s">
        <v>1652</v>
      </c>
      <c r="O1962" s="4" t="s">
        <v>178</v>
      </c>
    </row>
    <row r="1963" spans="2:15">
      <c r="B1963" s="20">
        <v>45554</v>
      </c>
      <c r="C1963" s="20">
        <v>45554</v>
      </c>
      <c r="D1963" s="54">
        <v>50144376</v>
      </c>
      <c r="E1963" s="55" t="s">
        <v>19</v>
      </c>
      <c r="G1963" s="68">
        <v>16800</v>
      </c>
      <c r="H1963" s="56" t="s">
        <v>92</v>
      </c>
      <c r="J1963" s="56" t="s">
        <v>1653</v>
      </c>
      <c r="K1963" s="4" t="s">
        <v>1654</v>
      </c>
      <c r="L1963" s="56" t="s">
        <v>934</v>
      </c>
      <c r="M1963" s="4" t="s">
        <v>1344</v>
      </c>
      <c r="N1963" s="4" t="s">
        <v>1655</v>
      </c>
      <c r="O1963" s="4" t="s">
        <v>178</v>
      </c>
    </row>
    <row r="1964" spans="2:15">
      <c r="B1964" s="20">
        <v>45555</v>
      </c>
      <c r="C1964" s="20">
        <v>45555</v>
      </c>
      <c r="D1964" s="54">
        <v>50809146</v>
      </c>
      <c r="E1964" s="55" t="s">
        <v>1030</v>
      </c>
      <c r="G1964" s="68">
        <v>4537.95</v>
      </c>
      <c r="H1964" s="56" t="s">
        <v>82</v>
      </c>
      <c r="J1964" s="56" t="s">
        <v>1656</v>
      </c>
      <c r="L1964" s="56" t="s">
        <v>1227</v>
      </c>
      <c r="M1964" s="4" t="s">
        <v>660</v>
      </c>
      <c r="N1964" s="4" t="s">
        <v>1203</v>
      </c>
      <c r="O1964" s="4" t="s">
        <v>178</v>
      </c>
    </row>
    <row r="1965" spans="2:15">
      <c r="B1965" s="20">
        <v>45555</v>
      </c>
      <c r="C1965" s="20">
        <v>45555</v>
      </c>
      <c r="D1965" s="54">
        <v>50010080</v>
      </c>
      <c r="E1965" s="55" t="s">
        <v>1657</v>
      </c>
      <c r="G1965" s="68">
        <v>20000</v>
      </c>
      <c r="H1965" s="56" t="s">
        <v>92</v>
      </c>
      <c r="J1965" s="56" t="s">
        <v>1658</v>
      </c>
      <c r="L1965" s="56" t="s">
        <v>355</v>
      </c>
      <c r="M1965" s="4" t="s">
        <v>750</v>
      </c>
      <c r="N1965" s="4" t="s">
        <v>961</v>
      </c>
      <c r="O1965" s="4" t="s">
        <v>178</v>
      </c>
    </row>
    <row r="1966" spans="2:15">
      <c r="B1966" s="20">
        <v>45555</v>
      </c>
      <c r="C1966" s="20">
        <v>45555</v>
      </c>
      <c r="D1966" s="54">
        <v>50809145</v>
      </c>
      <c r="E1966" s="55" t="s">
        <v>946</v>
      </c>
      <c r="G1966" s="68">
        <v>5083.85</v>
      </c>
      <c r="H1966" s="56" t="s">
        <v>82</v>
      </c>
      <c r="J1966" s="56" t="s">
        <v>1659</v>
      </c>
      <c r="L1966" s="56" t="s">
        <v>1227</v>
      </c>
      <c r="M1966" s="4" t="s">
        <v>660</v>
      </c>
      <c r="N1966" s="4" t="s">
        <v>1244</v>
      </c>
      <c r="O1966" s="4" t="s">
        <v>178</v>
      </c>
    </row>
    <row r="1967" spans="2:15">
      <c r="B1967" s="20">
        <v>45555</v>
      </c>
      <c r="C1967" s="20">
        <v>45555</v>
      </c>
      <c r="D1967" s="54">
        <v>50272278</v>
      </c>
      <c r="E1967" s="55" t="s">
        <v>21</v>
      </c>
      <c r="G1967" s="68">
        <v>13000</v>
      </c>
      <c r="H1967" s="56" t="s">
        <v>92</v>
      </c>
      <c r="J1967" s="56" t="s">
        <v>1660</v>
      </c>
      <c r="L1967" s="56" t="s">
        <v>262</v>
      </c>
      <c r="M1967" s="4" t="s">
        <v>262</v>
      </c>
      <c r="N1967" s="4" t="s">
        <v>1274</v>
      </c>
      <c r="O1967" s="4" t="s">
        <v>178</v>
      </c>
    </row>
    <row r="1968" spans="2:15">
      <c r="B1968" s="20">
        <v>45555</v>
      </c>
      <c r="C1968" s="20">
        <v>45555</v>
      </c>
      <c r="D1968" s="54">
        <v>50813995</v>
      </c>
      <c r="E1968" s="55" t="s">
        <v>960</v>
      </c>
      <c r="G1968" s="68">
        <v>5420.05</v>
      </c>
      <c r="H1968" s="56" t="s">
        <v>82</v>
      </c>
      <c r="J1968" s="56" t="s">
        <v>1661</v>
      </c>
      <c r="L1968" s="56" t="s">
        <v>1227</v>
      </c>
      <c r="M1968" s="4" t="s">
        <v>660</v>
      </c>
      <c r="N1968" s="4" t="s">
        <v>1203</v>
      </c>
      <c r="O1968" s="4" t="s">
        <v>178</v>
      </c>
    </row>
    <row r="1969" spans="2:15">
      <c r="B1969" s="20">
        <v>45556</v>
      </c>
      <c r="C1969" s="20">
        <v>45556</v>
      </c>
      <c r="D1969" s="54">
        <v>50509889</v>
      </c>
      <c r="E1969" s="55" t="s">
        <v>1662</v>
      </c>
      <c r="G1969" s="68">
        <v>2820000</v>
      </c>
      <c r="H1969" s="56" t="s">
        <v>92</v>
      </c>
      <c r="J1969" s="56">
        <v>1001420853</v>
      </c>
      <c r="L1969" s="56" t="s">
        <v>175</v>
      </c>
      <c r="M1969" s="4" t="s">
        <v>392</v>
      </c>
      <c r="N1969" s="4" t="s">
        <v>1552</v>
      </c>
      <c r="O1969" s="4" t="s">
        <v>178</v>
      </c>
    </row>
    <row r="1970" spans="2:15">
      <c r="B1970" s="20">
        <v>45558</v>
      </c>
      <c r="C1970" s="20">
        <v>45558</v>
      </c>
      <c r="D1970" s="54">
        <v>50470190</v>
      </c>
      <c r="E1970" s="55" t="s">
        <v>12</v>
      </c>
      <c r="G1970" s="68">
        <v>9273600</v>
      </c>
      <c r="H1970" s="56" t="s">
        <v>962</v>
      </c>
      <c r="J1970" s="56" t="s">
        <v>1663</v>
      </c>
      <c r="L1970" s="56" t="s">
        <v>958</v>
      </c>
      <c r="M1970" s="4" t="s">
        <v>392</v>
      </c>
      <c r="N1970" s="4" t="s">
        <v>319</v>
      </c>
      <c r="O1970" s="4" t="s">
        <v>178</v>
      </c>
    </row>
    <row r="1971" spans="2:15">
      <c r="B1971" s="20">
        <v>45558</v>
      </c>
      <c r="C1971" s="20">
        <v>45558</v>
      </c>
      <c r="D1971" s="54">
        <v>50809147</v>
      </c>
      <c r="E1971" s="55" t="s">
        <v>930</v>
      </c>
      <c r="G1971" s="68">
        <v>5947.1</v>
      </c>
      <c r="H1971" s="56" t="s">
        <v>82</v>
      </c>
      <c r="J1971" s="56" t="s">
        <v>1664</v>
      </c>
      <c r="L1971" s="56" t="s">
        <v>1227</v>
      </c>
      <c r="M1971" s="4" t="s">
        <v>660</v>
      </c>
      <c r="N1971" s="4" t="s">
        <v>1244</v>
      </c>
      <c r="O1971" s="4" t="s">
        <v>178</v>
      </c>
    </row>
    <row r="1972" spans="2:15">
      <c r="B1972" s="20">
        <v>45559</v>
      </c>
      <c r="C1972" s="20">
        <v>45559</v>
      </c>
      <c r="D1972" s="54">
        <v>50144376</v>
      </c>
      <c r="E1972" s="55" t="s">
        <v>19</v>
      </c>
      <c r="G1972" s="68">
        <v>4350</v>
      </c>
      <c r="H1972" s="56" t="s">
        <v>92</v>
      </c>
      <c r="J1972" s="56" t="s">
        <v>1665</v>
      </c>
      <c r="L1972" s="56" t="s">
        <v>838</v>
      </c>
      <c r="M1972" s="4" t="s">
        <v>176</v>
      </c>
      <c r="N1972" s="4" t="s">
        <v>177</v>
      </c>
      <c r="O1972" s="4" t="s">
        <v>178</v>
      </c>
    </row>
    <row r="1973" spans="2:15">
      <c r="B1973" s="20">
        <v>45559</v>
      </c>
      <c r="C1973" s="20">
        <v>45559</v>
      </c>
      <c r="D1973" s="54">
        <v>50272278</v>
      </c>
      <c r="E1973" s="55" t="s">
        <v>21</v>
      </c>
      <c r="G1973" s="68">
        <v>1050</v>
      </c>
      <c r="H1973" s="56" t="s">
        <v>92</v>
      </c>
      <c r="J1973" s="56" t="s">
        <v>1665</v>
      </c>
      <c r="L1973" s="56" t="s">
        <v>838</v>
      </c>
      <c r="M1973" s="4" t="s">
        <v>176</v>
      </c>
      <c r="N1973" s="4" t="s">
        <v>177</v>
      </c>
      <c r="O1973" s="4" t="s">
        <v>178</v>
      </c>
    </row>
    <row r="1974" spans="2:15">
      <c r="B1974" s="20">
        <v>45559</v>
      </c>
      <c r="C1974" s="20">
        <v>45559</v>
      </c>
      <c r="D1974" s="54">
        <v>40499</v>
      </c>
      <c r="E1974" s="55" t="s">
        <v>1094</v>
      </c>
      <c r="G1974" s="68">
        <v>160</v>
      </c>
      <c r="H1974" s="56" t="s">
        <v>92</v>
      </c>
      <c r="J1974" s="56" t="s">
        <v>1665</v>
      </c>
      <c r="L1974" s="56" t="s">
        <v>838</v>
      </c>
      <c r="M1974" s="4" t="s">
        <v>176</v>
      </c>
      <c r="N1974" s="4" t="s">
        <v>177</v>
      </c>
      <c r="O1974" s="4" t="s">
        <v>178</v>
      </c>
    </row>
    <row r="1975" spans="2:15">
      <c r="B1975" s="20">
        <v>45559</v>
      </c>
      <c r="C1975" s="20">
        <v>45559</v>
      </c>
      <c r="D1975" s="54">
        <v>50143875</v>
      </c>
      <c r="E1975" s="55" t="s">
        <v>713</v>
      </c>
      <c r="G1975" s="68">
        <v>10000</v>
      </c>
      <c r="H1975" s="56" t="s">
        <v>92</v>
      </c>
      <c r="J1975" s="56" t="s">
        <v>1666</v>
      </c>
      <c r="L1975" s="56" t="s">
        <v>615</v>
      </c>
      <c r="M1975" s="4" t="s">
        <v>615</v>
      </c>
      <c r="N1975" s="4" t="s">
        <v>1667</v>
      </c>
      <c r="O1975" s="4" t="s">
        <v>178</v>
      </c>
    </row>
    <row r="1976" spans="2:15">
      <c r="B1976" s="20">
        <v>45559</v>
      </c>
      <c r="C1976" s="20">
        <v>45559</v>
      </c>
      <c r="D1976" s="54">
        <v>50143894</v>
      </c>
      <c r="E1976" s="55" t="s">
        <v>944</v>
      </c>
      <c r="G1976" s="68">
        <v>5000</v>
      </c>
      <c r="H1976" s="56" t="s">
        <v>92</v>
      </c>
      <c r="J1976" s="56" t="s">
        <v>1666</v>
      </c>
      <c r="L1976" s="56" t="s">
        <v>615</v>
      </c>
      <c r="M1976" s="4" t="s">
        <v>615</v>
      </c>
      <c r="N1976" s="4" t="s">
        <v>1667</v>
      </c>
      <c r="O1976" s="4" t="s">
        <v>178</v>
      </c>
    </row>
    <row r="1977" spans="2:15">
      <c r="B1977" s="20">
        <v>45559</v>
      </c>
      <c r="C1977" s="20">
        <v>45559</v>
      </c>
      <c r="D1977" s="54">
        <v>50834669</v>
      </c>
      <c r="E1977" s="55" t="s">
        <v>1668</v>
      </c>
      <c r="G1977" s="68">
        <f>633600</f>
        <v>633600</v>
      </c>
      <c r="H1977" s="56" t="s">
        <v>80</v>
      </c>
      <c r="J1977" s="56" t="s">
        <v>1669</v>
      </c>
      <c r="L1977" s="56" t="s">
        <v>1530</v>
      </c>
      <c r="M1977" s="4" t="s">
        <v>1298</v>
      </c>
      <c r="N1977" s="4" t="s">
        <v>1670</v>
      </c>
      <c r="O1977" s="4" t="s">
        <v>178</v>
      </c>
    </row>
    <row r="1978" spans="2:15">
      <c r="B1978" s="20">
        <v>45559</v>
      </c>
      <c r="C1978" s="20">
        <v>45559</v>
      </c>
      <c r="D1978" s="54">
        <v>50819323</v>
      </c>
      <c r="E1978" s="55" t="s">
        <v>40</v>
      </c>
      <c r="G1978" s="68">
        <v>64080</v>
      </c>
      <c r="H1978" s="56" t="s">
        <v>92</v>
      </c>
      <c r="J1978" s="56" t="s">
        <v>1671</v>
      </c>
      <c r="L1978" s="56" t="s">
        <v>1530</v>
      </c>
      <c r="M1978" s="4" t="s">
        <v>1298</v>
      </c>
      <c r="N1978" s="4" t="s">
        <v>1670</v>
      </c>
      <c r="O1978" s="4" t="s">
        <v>178</v>
      </c>
    </row>
    <row r="1979" spans="2:15">
      <c r="B1979" s="20">
        <v>45559</v>
      </c>
      <c r="C1979" s="20">
        <v>45559</v>
      </c>
      <c r="D1979" s="54">
        <v>50813995</v>
      </c>
      <c r="E1979" s="55" t="s">
        <v>960</v>
      </c>
      <c r="G1979" s="68">
        <v>4427</v>
      </c>
      <c r="H1979" s="56" t="s">
        <v>82</v>
      </c>
      <c r="J1979" s="56" t="s">
        <v>1672</v>
      </c>
      <c r="L1979" s="56" t="s">
        <v>1227</v>
      </c>
      <c r="M1979" s="4" t="s">
        <v>660</v>
      </c>
      <c r="N1979" s="4" t="s">
        <v>1203</v>
      </c>
      <c r="O1979" s="4" t="s">
        <v>178</v>
      </c>
    </row>
    <row r="1980" spans="2:15">
      <c r="B1980" s="20">
        <v>45559</v>
      </c>
      <c r="C1980" s="20">
        <v>45559</v>
      </c>
      <c r="D1980" s="54">
        <v>50498271</v>
      </c>
      <c r="E1980" s="55" t="s">
        <v>1025</v>
      </c>
      <c r="G1980" s="68">
        <v>5504.25</v>
      </c>
      <c r="H1980" s="56" t="s">
        <v>82</v>
      </c>
      <c r="J1980" s="56" t="s">
        <v>1673</v>
      </c>
      <c r="L1980" s="56" t="s">
        <v>1227</v>
      </c>
      <c r="M1980" s="4" t="s">
        <v>660</v>
      </c>
      <c r="N1980" s="4" t="s">
        <v>1203</v>
      </c>
      <c r="O1980" s="4" t="s">
        <v>178</v>
      </c>
    </row>
    <row r="1981" spans="2:15">
      <c r="B1981" s="20">
        <v>45559</v>
      </c>
      <c r="C1981" s="20">
        <v>45559</v>
      </c>
      <c r="D1981" s="54">
        <v>50498271</v>
      </c>
      <c r="E1981" s="55" t="s">
        <v>1025</v>
      </c>
      <c r="G1981" s="68">
        <v>4391.95</v>
      </c>
      <c r="H1981" s="56" t="s">
        <v>82</v>
      </c>
      <c r="J1981" s="56" t="s">
        <v>1674</v>
      </c>
      <c r="L1981" s="56" t="s">
        <v>1227</v>
      </c>
      <c r="M1981" s="4" t="s">
        <v>660</v>
      </c>
      <c r="N1981" s="4" t="s">
        <v>1203</v>
      </c>
      <c r="O1981" s="4" t="s">
        <v>178</v>
      </c>
    </row>
    <row r="1982" spans="2:15">
      <c r="B1982" s="20">
        <v>45559</v>
      </c>
      <c r="C1982" s="20">
        <v>45559</v>
      </c>
      <c r="D1982" s="54">
        <v>50272278</v>
      </c>
      <c r="E1982" s="55" t="s">
        <v>21</v>
      </c>
      <c r="G1982" s="68">
        <v>6000</v>
      </c>
      <c r="H1982" s="56" t="s">
        <v>92</v>
      </c>
      <c r="J1982" s="56" t="s">
        <v>1675</v>
      </c>
      <c r="L1982" s="56" t="s">
        <v>262</v>
      </c>
      <c r="M1982" s="4" t="s">
        <v>262</v>
      </c>
      <c r="N1982" s="4" t="s">
        <v>518</v>
      </c>
      <c r="O1982" s="4" t="s">
        <v>178</v>
      </c>
    </row>
    <row r="1983" spans="2:15">
      <c r="B1983" s="20">
        <v>45560</v>
      </c>
      <c r="C1983" s="20">
        <v>45560</v>
      </c>
      <c r="D1983" s="54">
        <v>50169446</v>
      </c>
      <c r="E1983" s="55" t="s">
        <v>1345</v>
      </c>
      <c r="G1983" s="68">
        <v>195.8</v>
      </c>
      <c r="H1983" s="56" t="s">
        <v>82</v>
      </c>
      <c r="J1983" s="56" t="s">
        <v>1676</v>
      </c>
      <c r="L1983" s="56" t="s">
        <v>1346</v>
      </c>
      <c r="M1983" s="4" t="s">
        <v>392</v>
      </c>
      <c r="N1983" s="4" t="s">
        <v>1502</v>
      </c>
      <c r="O1983" s="4" t="s">
        <v>178</v>
      </c>
    </row>
    <row r="1984" spans="2:15">
      <c r="B1984" s="20">
        <v>45560</v>
      </c>
      <c r="C1984" s="20">
        <v>45560</v>
      </c>
      <c r="D1984" s="54">
        <v>50272278</v>
      </c>
      <c r="E1984" s="55" t="s">
        <v>21</v>
      </c>
      <c r="G1984" s="68">
        <v>16800</v>
      </c>
      <c r="H1984" s="56" t="s">
        <v>962</v>
      </c>
      <c r="J1984" s="56" t="s">
        <v>1677</v>
      </c>
      <c r="L1984" s="56" t="s">
        <v>934</v>
      </c>
      <c r="M1984" s="4" t="s">
        <v>1344</v>
      </c>
      <c r="N1984" s="4" t="s">
        <v>1678</v>
      </c>
      <c r="O1984" s="4" t="s">
        <v>178</v>
      </c>
    </row>
    <row r="1985" spans="2:15">
      <c r="B1985" s="20">
        <v>45560</v>
      </c>
      <c r="C1985" s="20">
        <v>45560</v>
      </c>
      <c r="D1985" s="54">
        <v>50272278</v>
      </c>
      <c r="E1985" s="55" t="s">
        <v>21</v>
      </c>
      <c r="G1985" s="68">
        <v>13000</v>
      </c>
      <c r="H1985" s="56" t="s">
        <v>962</v>
      </c>
      <c r="J1985" s="56" t="s">
        <v>1679</v>
      </c>
      <c r="L1985" s="56" t="s">
        <v>262</v>
      </c>
      <c r="M1985" s="4" t="s">
        <v>262</v>
      </c>
      <c r="N1985" s="4" t="s">
        <v>1274</v>
      </c>
      <c r="O1985" s="4" t="s">
        <v>178</v>
      </c>
    </row>
    <row r="1986" spans="2:15">
      <c r="B1986" s="20">
        <v>45560</v>
      </c>
      <c r="C1986" s="20">
        <v>45560</v>
      </c>
      <c r="D1986" s="54">
        <v>50142350</v>
      </c>
      <c r="E1986" s="55" t="s">
        <v>212</v>
      </c>
      <c r="G1986" s="68">
        <v>2494.8</v>
      </c>
      <c r="H1986" s="56" t="s">
        <v>82</v>
      </c>
      <c r="J1986" s="56" t="s">
        <v>1680</v>
      </c>
      <c r="L1986" s="56" t="s">
        <v>1160</v>
      </c>
      <c r="M1986" s="4" t="s">
        <v>404</v>
      </c>
      <c r="N1986" s="4" t="s">
        <v>1681</v>
      </c>
      <c r="O1986" s="4" t="s">
        <v>178</v>
      </c>
    </row>
    <row r="1987" spans="2:15">
      <c r="B1987" s="20">
        <v>45560</v>
      </c>
      <c r="C1987" s="20">
        <v>45560</v>
      </c>
      <c r="D1987" s="54">
        <v>50809147</v>
      </c>
      <c r="E1987" s="55" t="s">
        <v>930</v>
      </c>
      <c r="G1987" s="68">
        <v>1394</v>
      </c>
      <c r="H1987" s="56" t="s">
        <v>82</v>
      </c>
      <c r="J1987" s="56" t="s">
        <v>1682</v>
      </c>
      <c r="L1987" s="56" t="s">
        <v>838</v>
      </c>
      <c r="M1987" s="4" t="s">
        <v>176</v>
      </c>
      <c r="N1987" s="4" t="s">
        <v>177</v>
      </c>
      <c r="O1987" s="4" t="s">
        <v>178</v>
      </c>
    </row>
    <row r="1988" spans="2:15">
      <c r="B1988" s="20">
        <v>45560</v>
      </c>
      <c r="C1988" s="20">
        <v>45560</v>
      </c>
      <c r="D1988" s="54">
        <v>50809145</v>
      </c>
      <c r="E1988" s="55" t="s">
        <v>946</v>
      </c>
      <c r="G1988" s="68">
        <v>2896.05</v>
      </c>
      <c r="H1988" s="56" t="s">
        <v>82</v>
      </c>
      <c r="J1988" s="56" t="s">
        <v>1682</v>
      </c>
      <c r="L1988" s="56" t="s">
        <v>838</v>
      </c>
      <c r="M1988" s="4" t="s">
        <v>176</v>
      </c>
      <c r="N1988" s="4" t="s">
        <v>177</v>
      </c>
      <c r="O1988" s="4" t="s">
        <v>178</v>
      </c>
    </row>
    <row r="1989" spans="2:15">
      <c r="B1989" s="20">
        <v>45560</v>
      </c>
      <c r="C1989" s="20">
        <v>45560</v>
      </c>
      <c r="D1989" s="54">
        <v>50498271</v>
      </c>
      <c r="E1989" s="55" t="s">
        <v>1025</v>
      </c>
      <c r="G1989" s="68">
        <v>859.55</v>
      </c>
      <c r="H1989" s="56" t="s">
        <v>82</v>
      </c>
      <c r="J1989" s="56" t="s">
        <v>1682</v>
      </c>
      <c r="L1989" s="56" t="s">
        <v>838</v>
      </c>
      <c r="M1989" s="4" t="s">
        <v>176</v>
      </c>
      <c r="N1989" s="4" t="s">
        <v>177</v>
      </c>
      <c r="O1989" s="4" t="s">
        <v>178</v>
      </c>
    </row>
    <row r="1990" spans="2:15">
      <c r="B1990" s="20">
        <v>45560</v>
      </c>
      <c r="C1990" s="20">
        <v>45560</v>
      </c>
      <c r="D1990" s="54">
        <v>40499</v>
      </c>
      <c r="E1990" s="55" t="s">
        <v>1094</v>
      </c>
      <c r="G1990" s="68">
        <v>110</v>
      </c>
      <c r="H1990" s="56" t="s">
        <v>92</v>
      </c>
      <c r="J1990" s="56" t="s">
        <v>1682</v>
      </c>
      <c r="L1990" s="56" t="s">
        <v>838</v>
      </c>
      <c r="M1990" s="4" t="s">
        <v>176</v>
      </c>
      <c r="N1990" s="4" t="s">
        <v>177</v>
      </c>
      <c r="O1990" s="4" t="s">
        <v>178</v>
      </c>
    </row>
    <row r="1991" spans="2:15">
      <c r="B1991" s="20">
        <v>45560</v>
      </c>
      <c r="C1991" s="20">
        <v>45560</v>
      </c>
      <c r="D1991" s="54">
        <v>50141951</v>
      </c>
      <c r="E1991" s="55" t="s">
        <v>1386</v>
      </c>
      <c r="G1991" s="68">
        <v>400</v>
      </c>
      <c r="H1991" s="56" t="s">
        <v>82</v>
      </c>
      <c r="J1991" s="56" t="s">
        <v>1683</v>
      </c>
      <c r="L1991" s="56" t="s">
        <v>1389</v>
      </c>
      <c r="M1991" s="4" t="s">
        <v>1684</v>
      </c>
      <c r="N1991" s="4" t="s">
        <v>1685</v>
      </c>
      <c r="O1991" s="4" t="s">
        <v>178</v>
      </c>
    </row>
    <row r="1992" spans="2:15">
      <c r="B1992" s="20">
        <v>45560</v>
      </c>
      <c r="C1992" s="20">
        <v>45560</v>
      </c>
      <c r="D1992" s="54">
        <v>50142330</v>
      </c>
      <c r="E1992" s="55" t="s">
        <v>195</v>
      </c>
      <c r="G1992" s="68">
        <v>4800</v>
      </c>
      <c r="H1992" s="56" t="s">
        <v>82</v>
      </c>
      <c r="J1992" s="56" t="s">
        <v>1683</v>
      </c>
      <c r="L1992" s="56" t="s">
        <v>1389</v>
      </c>
      <c r="M1992" s="4" t="s">
        <v>1684</v>
      </c>
      <c r="N1992" s="4" t="s">
        <v>1685</v>
      </c>
      <c r="O1992" s="4" t="s">
        <v>178</v>
      </c>
    </row>
    <row r="1993" spans="2:15">
      <c r="B1993" s="20">
        <v>45560</v>
      </c>
      <c r="C1993" s="20">
        <v>45560</v>
      </c>
      <c r="D1993" s="54">
        <v>50802401</v>
      </c>
      <c r="E1993" s="55" t="s">
        <v>13</v>
      </c>
      <c r="G1993" s="68">
        <v>9273600</v>
      </c>
      <c r="H1993" s="56" t="s">
        <v>92</v>
      </c>
      <c r="J1993" s="56" t="s">
        <v>1686</v>
      </c>
      <c r="L1993" s="56" t="s">
        <v>1117</v>
      </c>
      <c r="N1993" s="4" t="s">
        <v>1687</v>
      </c>
      <c r="O1993" s="4" t="s">
        <v>178</v>
      </c>
    </row>
    <row r="1994" spans="2:15">
      <c r="B1994" s="20">
        <v>45561</v>
      </c>
      <c r="C1994" s="20">
        <v>45561</v>
      </c>
      <c r="D1994" s="54">
        <v>50272278</v>
      </c>
      <c r="E1994" s="55" t="s">
        <v>21</v>
      </c>
      <c r="G1994" s="68">
        <v>12000</v>
      </c>
      <c r="H1994" s="56" t="s">
        <v>92</v>
      </c>
      <c r="J1994" s="56" t="s">
        <v>1688</v>
      </c>
      <c r="L1994" s="56" t="s">
        <v>262</v>
      </c>
      <c r="M1994" s="4" t="s">
        <v>262</v>
      </c>
      <c r="N1994" s="4" t="s">
        <v>1274</v>
      </c>
      <c r="O1994" s="4" t="s">
        <v>178</v>
      </c>
    </row>
    <row r="1995" spans="2:15">
      <c r="B1995" s="20">
        <v>45561</v>
      </c>
      <c r="C1995" s="20">
        <v>45561</v>
      </c>
      <c r="D1995" s="54">
        <v>50272278</v>
      </c>
      <c r="E1995" s="55" t="s">
        <v>21</v>
      </c>
      <c r="G1995" s="68">
        <v>1000</v>
      </c>
      <c r="H1995" s="56" t="s">
        <v>92</v>
      </c>
      <c r="J1995" s="56" t="s">
        <v>1689</v>
      </c>
      <c r="L1995" s="56" t="s">
        <v>262</v>
      </c>
      <c r="M1995" s="4" t="s">
        <v>262</v>
      </c>
      <c r="N1995" s="4" t="s">
        <v>1274</v>
      </c>
      <c r="O1995" s="4" t="s">
        <v>178</v>
      </c>
    </row>
    <row r="1996" spans="2:15">
      <c r="B1996" s="20">
        <v>45562</v>
      </c>
      <c r="C1996" s="20">
        <v>45562</v>
      </c>
      <c r="D1996" s="54">
        <v>50834669</v>
      </c>
      <c r="E1996" s="55" t="s">
        <v>1668</v>
      </c>
      <c r="G1996" s="68">
        <f>683280</f>
        <v>683280</v>
      </c>
      <c r="H1996" s="56" t="s">
        <v>80</v>
      </c>
      <c r="J1996" s="56" t="s">
        <v>1690</v>
      </c>
      <c r="L1996" s="56" t="s">
        <v>1530</v>
      </c>
      <c r="M1996" s="4" t="s">
        <v>1249</v>
      </c>
      <c r="N1996" s="4" t="s">
        <v>1691</v>
      </c>
      <c r="O1996" s="4" t="s">
        <v>178</v>
      </c>
    </row>
    <row r="1997" spans="2:15">
      <c r="B1997" s="20">
        <v>45562</v>
      </c>
      <c r="C1997" s="20">
        <v>45562</v>
      </c>
      <c r="D1997" s="54">
        <v>50272278</v>
      </c>
      <c r="E1997" s="55" t="s">
        <v>21</v>
      </c>
      <c r="G1997" s="68">
        <v>13000</v>
      </c>
      <c r="H1997" s="56" t="s">
        <v>92</v>
      </c>
      <c r="J1997" s="56" t="s">
        <v>1692</v>
      </c>
      <c r="L1997" s="56" t="s">
        <v>262</v>
      </c>
      <c r="M1997" s="4" t="s">
        <v>262</v>
      </c>
      <c r="N1997" s="4" t="s">
        <v>1274</v>
      </c>
      <c r="O1997" s="4" t="s">
        <v>178</v>
      </c>
    </row>
    <row r="1998" spans="2:15">
      <c r="B1998" s="20">
        <v>45563</v>
      </c>
      <c r="C1998" s="20">
        <v>45563</v>
      </c>
      <c r="D1998" s="54">
        <v>50272278</v>
      </c>
      <c r="E1998" s="55" t="s">
        <v>21</v>
      </c>
      <c r="G1998" s="68">
        <v>9000</v>
      </c>
      <c r="H1998" s="56" t="s">
        <v>92</v>
      </c>
      <c r="J1998" s="56" t="s">
        <v>1693</v>
      </c>
      <c r="L1998" s="56" t="s">
        <v>262</v>
      </c>
      <c r="M1998" s="4" t="s">
        <v>262</v>
      </c>
      <c r="N1998" s="4" t="s">
        <v>1274</v>
      </c>
      <c r="O1998" s="4" t="s">
        <v>178</v>
      </c>
    </row>
    <row r="1999" spans="2:15">
      <c r="B1999" s="20">
        <v>45566</v>
      </c>
      <c r="C1999" s="20">
        <v>45566</v>
      </c>
      <c r="D1999" s="54">
        <v>50272278</v>
      </c>
      <c r="E1999" s="55" t="s">
        <v>21</v>
      </c>
      <c r="G1999" s="68">
        <v>6000</v>
      </c>
      <c r="H1999" s="56" t="s">
        <v>92</v>
      </c>
      <c r="J1999" s="56" t="s">
        <v>1694</v>
      </c>
      <c r="L1999" s="56" t="s">
        <v>262</v>
      </c>
      <c r="M1999" s="4" t="s">
        <v>262</v>
      </c>
      <c r="N1999" s="4" t="s">
        <v>364</v>
      </c>
      <c r="O1999" s="4" t="s">
        <v>178</v>
      </c>
    </row>
    <row r="2000" spans="2:15">
      <c r="B2000" s="20">
        <v>45566</v>
      </c>
      <c r="C2000" s="20">
        <v>45566</v>
      </c>
      <c r="D2000" s="54">
        <v>50272278</v>
      </c>
      <c r="E2000" s="55" t="s">
        <v>21</v>
      </c>
      <c r="G2000" s="68">
        <v>6000</v>
      </c>
      <c r="H2000" s="56" t="s">
        <v>92</v>
      </c>
      <c r="J2000" s="56" t="s">
        <v>1695</v>
      </c>
      <c r="L2000" s="56" t="s">
        <v>262</v>
      </c>
      <c r="M2000" s="4" t="s">
        <v>262</v>
      </c>
      <c r="N2000" s="4" t="s">
        <v>364</v>
      </c>
      <c r="O2000" s="4" t="s">
        <v>178</v>
      </c>
    </row>
    <row r="2001" spans="2:15">
      <c r="B2001" s="20">
        <v>45566</v>
      </c>
      <c r="C2001" s="20">
        <v>45566</v>
      </c>
      <c r="D2001" s="54">
        <v>40011780</v>
      </c>
      <c r="E2001" s="55" t="s">
        <v>584</v>
      </c>
      <c r="G2001" s="68">
        <v>3600</v>
      </c>
      <c r="H2001" s="56" t="s">
        <v>80</v>
      </c>
      <c r="J2001" s="56" t="s">
        <v>1696</v>
      </c>
      <c r="L2001" s="56" t="s">
        <v>1031</v>
      </c>
      <c r="M2001" s="4" t="s">
        <v>750</v>
      </c>
      <c r="N2001" s="4" t="s">
        <v>1697</v>
      </c>
      <c r="O2001" s="4" t="s">
        <v>178</v>
      </c>
    </row>
    <row r="2002" spans="2:15">
      <c r="B2002" s="20">
        <v>45566</v>
      </c>
      <c r="C2002" s="20">
        <v>45566</v>
      </c>
      <c r="D2002" s="54">
        <v>40011588</v>
      </c>
      <c r="E2002" s="55" t="s">
        <v>585</v>
      </c>
      <c r="G2002" s="68">
        <v>7210</v>
      </c>
      <c r="H2002" s="56" t="s">
        <v>80</v>
      </c>
      <c r="J2002" s="56" t="s">
        <v>1696</v>
      </c>
      <c r="L2002" s="56" t="s">
        <v>1031</v>
      </c>
      <c r="M2002" s="4" t="s">
        <v>750</v>
      </c>
      <c r="N2002" s="4" t="s">
        <v>1697</v>
      </c>
      <c r="O2002" s="4" t="s">
        <v>178</v>
      </c>
    </row>
    <row r="2003" spans="2:15">
      <c r="B2003" s="20">
        <v>45566</v>
      </c>
      <c r="C2003" s="20">
        <v>45566</v>
      </c>
      <c r="D2003" s="54">
        <v>40011659</v>
      </c>
      <c r="E2003" s="55" t="s">
        <v>1698</v>
      </c>
      <c r="G2003" s="68">
        <v>1056</v>
      </c>
      <c r="H2003" s="56" t="s">
        <v>80</v>
      </c>
      <c r="J2003" s="56" t="s">
        <v>1696</v>
      </c>
      <c r="L2003" s="56" t="s">
        <v>1031</v>
      </c>
      <c r="M2003" s="4" t="s">
        <v>750</v>
      </c>
      <c r="N2003" s="4" t="s">
        <v>1697</v>
      </c>
      <c r="O2003" s="4" t="s">
        <v>178</v>
      </c>
    </row>
    <row r="2004" spans="2:15">
      <c r="B2004" s="20">
        <v>45567</v>
      </c>
      <c r="C2004" s="20">
        <v>45567</v>
      </c>
      <c r="D2004" s="54">
        <v>40499</v>
      </c>
      <c r="E2004" s="55" t="s">
        <v>1094</v>
      </c>
      <c r="G2004" s="68">
        <v>220</v>
      </c>
      <c r="H2004" s="56" t="s">
        <v>92</v>
      </c>
      <c r="J2004" s="56" t="s">
        <v>1699</v>
      </c>
      <c r="L2004" s="56" t="s">
        <v>838</v>
      </c>
      <c r="M2004" s="4" t="s">
        <v>176</v>
      </c>
      <c r="N2004" s="4" t="s">
        <v>177</v>
      </c>
      <c r="O2004" s="4" t="s">
        <v>178</v>
      </c>
    </row>
    <row r="2005" spans="2:15">
      <c r="B2005" s="20">
        <v>45567</v>
      </c>
      <c r="C2005" s="20">
        <v>45567</v>
      </c>
      <c r="D2005" s="54">
        <v>50142350</v>
      </c>
      <c r="E2005" s="55" t="s">
        <v>212</v>
      </c>
      <c r="G2005" s="68">
        <v>1473.32</v>
      </c>
      <c r="H2005" s="56" t="s">
        <v>82</v>
      </c>
      <c r="J2005" s="56" t="s">
        <v>1699</v>
      </c>
      <c r="L2005" s="56" t="s">
        <v>838</v>
      </c>
      <c r="M2005" s="4" t="s">
        <v>176</v>
      </c>
      <c r="N2005" s="4" t="s">
        <v>177</v>
      </c>
      <c r="O2005" s="4" t="s">
        <v>178</v>
      </c>
    </row>
    <row r="2006" spans="2:15">
      <c r="B2006" s="20">
        <v>45567</v>
      </c>
      <c r="C2006" s="20">
        <v>45567</v>
      </c>
      <c r="D2006" s="54">
        <v>50272278</v>
      </c>
      <c r="E2006" s="55" t="s">
        <v>21</v>
      </c>
      <c r="G2006" s="68">
        <v>13000</v>
      </c>
      <c r="H2006" s="56" t="s">
        <v>92</v>
      </c>
      <c r="J2006" s="56" t="s">
        <v>1700</v>
      </c>
      <c r="L2006" s="56" t="s">
        <v>262</v>
      </c>
      <c r="M2006" s="4" t="s">
        <v>262</v>
      </c>
      <c r="N2006" s="4" t="s">
        <v>1274</v>
      </c>
      <c r="O2006" s="4" t="s">
        <v>178</v>
      </c>
    </row>
    <row r="2007" spans="2:15">
      <c r="B2007" s="20">
        <v>45567</v>
      </c>
      <c r="C2007" s="20">
        <v>45567</v>
      </c>
      <c r="D2007" s="54">
        <v>50819320</v>
      </c>
      <c r="E2007" s="55" t="s">
        <v>1701</v>
      </c>
      <c r="G2007" s="68">
        <v>320</v>
      </c>
      <c r="H2007" s="56" t="s">
        <v>80</v>
      </c>
      <c r="J2007" s="56" t="s">
        <v>1702</v>
      </c>
      <c r="L2007" s="56" t="s">
        <v>1306</v>
      </c>
      <c r="M2007" s="4" t="s">
        <v>392</v>
      </c>
      <c r="N2007" s="4"/>
      <c r="O2007" s="4" t="s">
        <v>178</v>
      </c>
    </row>
    <row r="2008" spans="2:15">
      <c r="B2008" s="20">
        <v>45567</v>
      </c>
      <c r="C2008" s="20">
        <v>45567</v>
      </c>
      <c r="D2008" s="54">
        <v>50819321</v>
      </c>
      <c r="E2008" s="55" t="s">
        <v>1703</v>
      </c>
      <c r="G2008" s="68">
        <v>387.2</v>
      </c>
      <c r="H2008" s="56" t="s">
        <v>80</v>
      </c>
      <c r="J2008" s="56" t="s">
        <v>1702</v>
      </c>
      <c r="L2008" s="56" t="s">
        <v>1306</v>
      </c>
      <c r="M2008" s="4" t="s">
        <v>392</v>
      </c>
      <c r="N2008" s="4"/>
      <c r="O2008" s="4" t="s">
        <v>178</v>
      </c>
    </row>
    <row r="2009" spans="2:15">
      <c r="B2009" s="20">
        <v>45567</v>
      </c>
      <c r="C2009" s="20">
        <v>45567</v>
      </c>
      <c r="D2009" s="54">
        <v>50142523</v>
      </c>
      <c r="E2009" s="55" t="s">
        <v>1157</v>
      </c>
      <c r="G2009" s="68">
        <v>3000</v>
      </c>
      <c r="H2009" s="56" t="s">
        <v>92</v>
      </c>
      <c r="J2009" s="56" t="s">
        <v>1704</v>
      </c>
      <c r="L2009" s="56" t="s">
        <v>286</v>
      </c>
      <c r="M2009" s="4" t="s">
        <v>286</v>
      </c>
      <c r="N2009" s="4" t="s">
        <v>1457</v>
      </c>
      <c r="O2009" s="4" t="s">
        <v>178</v>
      </c>
    </row>
    <row r="2010" spans="2:15">
      <c r="B2010" s="20">
        <v>45567</v>
      </c>
      <c r="C2010" s="20">
        <v>45567</v>
      </c>
      <c r="D2010" s="54">
        <v>50142520</v>
      </c>
      <c r="E2010" s="55" t="s">
        <v>1156</v>
      </c>
      <c r="G2010" s="68">
        <v>3000</v>
      </c>
      <c r="H2010" s="56" t="s">
        <v>92</v>
      </c>
      <c r="J2010" s="56" t="s">
        <v>1704</v>
      </c>
      <c r="L2010" s="56" t="s">
        <v>286</v>
      </c>
      <c r="M2010" s="4" t="s">
        <v>286</v>
      </c>
      <c r="N2010" s="4" t="s">
        <v>1457</v>
      </c>
      <c r="O2010" s="4" t="s">
        <v>178</v>
      </c>
    </row>
    <row r="2011" spans="2:15">
      <c r="B2011" s="20">
        <v>45567</v>
      </c>
      <c r="C2011" s="20">
        <v>45567</v>
      </c>
      <c r="D2011" s="54">
        <v>20016059</v>
      </c>
      <c r="E2011" s="55" t="s">
        <v>1498</v>
      </c>
      <c r="G2011" s="68">
        <v>200</v>
      </c>
      <c r="H2011" s="56" t="s">
        <v>92</v>
      </c>
      <c r="L2011" s="56" t="s">
        <v>1499</v>
      </c>
      <c r="N2011" s="4"/>
      <c r="O2011" s="4" t="s">
        <v>178</v>
      </c>
    </row>
    <row r="2012" spans="2:15">
      <c r="B2012" s="20">
        <v>45568</v>
      </c>
      <c r="C2012" s="20">
        <v>45568</v>
      </c>
      <c r="D2012" s="54">
        <v>50272278</v>
      </c>
      <c r="E2012" s="55" t="s">
        <v>21</v>
      </c>
      <c r="G2012" s="68">
        <v>13000</v>
      </c>
      <c r="H2012" s="56" t="s">
        <v>92</v>
      </c>
      <c r="J2012" s="56" t="s">
        <v>1705</v>
      </c>
      <c r="L2012" s="56" t="s">
        <v>262</v>
      </c>
      <c r="M2012" s="4" t="s">
        <v>262</v>
      </c>
      <c r="N2012" s="4" t="s">
        <v>1274</v>
      </c>
      <c r="O2012" s="4" t="s">
        <v>178</v>
      </c>
    </row>
    <row r="2013" spans="2:15">
      <c r="B2013" s="20">
        <v>45569</v>
      </c>
      <c r="C2013" s="20">
        <v>45569</v>
      </c>
      <c r="D2013" s="54">
        <v>50837284</v>
      </c>
      <c r="E2013" s="55" t="s">
        <v>28</v>
      </c>
      <c r="G2013" s="68">
        <v>4671</v>
      </c>
      <c r="H2013" s="56" t="s">
        <v>82</v>
      </c>
      <c r="J2013" s="56" t="s">
        <v>1706</v>
      </c>
      <c r="L2013" s="56" t="s">
        <v>1227</v>
      </c>
      <c r="M2013" s="4" t="s">
        <v>660</v>
      </c>
      <c r="N2013" s="4" t="s">
        <v>1630</v>
      </c>
      <c r="O2013" s="4" t="s">
        <v>178</v>
      </c>
    </row>
    <row r="2014" spans="2:15">
      <c r="B2014" s="20">
        <v>45569</v>
      </c>
      <c r="C2014" s="20">
        <v>45569</v>
      </c>
      <c r="D2014" s="54">
        <v>50470190</v>
      </c>
      <c r="E2014" s="55" t="s">
        <v>12</v>
      </c>
      <c r="G2014" s="68">
        <v>9273600</v>
      </c>
      <c r="H2014" s="56" t="s">
        <v>92</v>
      </c>
      <c r="J2014" s="56" t="s">
        <v>1707</v>
      </c>
      <c r="L2014" s="56" t="s">
        <v>958</v>
      </c>
      <c r="M2014" s="4" t="s">
        <v>392</v>
      </c>
      <c r="N2014" s="4" t="s">
        <v>319</v>
      </c>
      <c r="O2014" s="4" t="s">
        <v>178</v>
      </c>
    </row>
    <row r="2015" spans="2:15">
      <c r="B2015" s="20">
        <v>45569</v>
      </c>
      <c r="C2015" s="20">
        <v>45569</v>
      </c>
      <c r="D2015" s="54">
        <v>50272278</v>
      </c>
      <c r="E2015" s="55" t="s">
        <v>21</v>
      </c>
      <c r="G2015" s="68">
        <v>13000</v>
      </c>
      <c r="H2015" s="56" t="s">
        <v>92</v>
      </c>
      <c r="J2015" s="56" t="s">
        <v>1708</v>
      </c>
      <c r="L2015" s="56" t="s">
        <v>262</v>
      </c>
      <c r="M2015" s="4" t="s">
        <v>262</v>
      </c>
      <c r="N2015" s="4" t="s">
        <v>1274</v>
      </c>
      <c r="O2015" s="4" t="s">
        <v>178</v>
      </c>
    </row>
    <row r="2016" spans="2:15">
      <c r="B2016" s="20">
        <v>45569</v>
      </c>
      <c r="C2016" s="20">
        <v>45569</v>
      </c>
      <c r="D2016" s="54">
        <v>50818963</v>
      </c>
      <c r="E2016" s="55" t="s">
        <v>1709</v>
      </c>
      <c r="G2016" s="68">
        <v>8090000</v>
      </c>
      <c r="H2016" s="56" t="s">
        <v>92</v>
      </c>
      <c r="J2016" s="56" t="s">
        <v>1710</v>
      </c>
      <c r="L2016" s="56" t="s">
        <v>1271</v>
      </c>
      <c r="M2016" s="4" t="s">
        <v>1378</v>
      </c>
      <c r="N2016" s="4" t="s">
        <v>1711</v>
      </c>
      <c r="O2016" s="4" t="s">
        <v>178</v>
      </c>
    </row>
    <row r="2017" spans="2:15">
      <c r="B2017" s="20">
        <v>45569</v>
      </c>
      <c r="C2017" s="20">
        <v>45569</v>
      </c>
      <c r="D2017" s="54">
        <v>50818949</v>
      </c>
      <c r="E2017" s="55" t="s">
        <v>1381</v>
      </c>
      <c r="G2017" s="68">
        <v>2902646</v>
      </c>
      <c r="H2017" s="56" t="s">
        <v>92</v>
      </c>
      <c r="J2017" s="56" t="s">
        <v>1710</v>
      </c>
      <c r="L2017" s="56" t="s">
        <v>1271</v>
      </c>
      <c r="M2017" s="4" t="s">
        <v>1378</v>
      </c>
      <c r="N2017" s="4" t="s">
        <v>1711</v>
      </c>
      <c r="O2017" s="4" t="s">
        <v>178</v>
      </c>
    </row>
    <row r="2018" spans="2:15">
      <c r="B2018" s="20">
        <v>45569</v>
      </c>
      <c r="C2018" s="20">
        <v>45569</v>
      </c>
      <c r="D2018" s="54">
        <v>50272278</v>
      </c>
      <c r="E2018" s="55" t="s">
        <v>21</v>
      </c>
      <c r="G2018" s="68">
        <v>600</v>
      </c>
      <c r="H2018" s="56" t="s">
        <v>92</v>
      </c>
      <c r="J2018" s="56" t="s">
        <v>1712</v>
      </c>
      <c r="L2018" s="56" t="s">
        <v>838</v>
      </c>
      <c r="M2018" s="4" t="s">
        <v>176</v>
      </c>
      <c r="N2018" s="4" t="s">
        <v>177</v>
      </c>
      <c r="O2018" s="4" t="s">
        <v>178</v>
      </c>
    </row>
    <row r="2019" spans="2:15">
      <c r="B2019" s="20">
        <v>45569</v>
      </c>
      <c r="C2019" s="20">
        <v>45569</v>
      </c>
      <c r="D2019" s="54">
        <v>40499</v>
      </c>
      <c r="E2019" s="55" t="s">
        <v>1094</v>
      </c>
      <c r="G2019" s="68">
        <v>154</v>
      </c>
      <c r="H2019" s="56" t="s">
        <v>92</v>
      </c>
      <c r="J2019" s="56" t="s">
        <v>1712</v>
      </c>
      <c r="L2019" s="56" t="s">
        <v>838</v>
      </c>
      <c r="M2019" s="4" t="s">
        <v>176</v>
      </c>
      <c r="N2019" s="4" t="s">
        <v>177</v>
      </c>
      <c r="O2019" s="4" t="s">
        <v>178</v>
      </c>
    </row>
    <row r="2020" spans="2:15">
      <c r="B2020" s="20">
        <v>45569</v>
      </c>
      <c r="C2020" s="20">
        <v>45569</v>
      </c>
      <c r="D2020" s="54">
        <v>50272278</v>
      </c>
      <c r="E2020" s="55" t="s">
        <v>21</v>
      </c>
      <c r="G2020" s="68">
        <v>6000</v>
      </c>
      <c r="H2020" s="56" t="s">
        <v>92</v>
      </c>
      <c r="J2020" s="56" t="s">
        <v>1713</v>
      </c>
      <c r="L2020" s="56" t="s">
        <v>262</v>
      </c>
      <c r="M2020" s="4" t="s">
        <v>262</v>
      </c>
      <c r="N2020" s="4" t="s">
        <v>364</v>
      </c>
      <c r="O2020" s="4" t="s">
        <v>178</v>
      </c>
    </row>
    <row r="2021" spans="2:15">
      <c r="B2021" s="20">
        <v>45570</v>
      </c>
      <c r="C2021" s="20">
        <v>45570</v>
      </c>
      <c r="D2021" s="54">
        <v>40011148</v>
      </c>
      <c r="E2021" s="55" t="s">
        <v>86</v>
      </c>
      <c r="G2021" s="68">
        <v>4500</v>
      </c>
      <c r="H2021" s="56" t="s">
        <v>80</v>
      </c>
      <c r="J2021" s="56" t="s">
        <v>1714</v>
      </c>
      <c r="L2021" s="56" t="s">
        <v>1031</v>
      </c>
      <c r="M2021" s="4" t="s">
        <v>750</v>
      </c>
      <c r="N2021" s="4" t="s">
        <v>1715</v>
      </c>
      <c r="O2021" s="4" t="s">
        <v>178</v>
      </c>
    </row>
    <row r="2022" spans="2:15">
      <c r="B2022" s="20">
        <v>45570</v>
      </c>
      <c r="C2022" s="20">
        <v>45570</v>
      </c>
      <c r="D2022" s="54">
        <v>40011149</v>
      </c>
      <c r="E2022" s="55" t="s">
        <v>37</v>
      </c>
      <c r="G2022" s="68">
        <v>6408</v>
      </c>
      <c r="H2022" s="56" t="s">
        <v>80</v>
      </c>
      <c r="J2022" s="56" t="s">
        <v>1714</v>
      </c>
      <c r="L2022" s="56" t="s">
        <v>1031</v>
      </c>
      <c r="M2022" s="4" t="s">
        <v>750</v>
      </c>
      <c r="N2022" s="4" t="s">
        <v>1715</v>
      </c>
      <c r="O2022" s="4" t="s">
        <v>178</v>
      </c>
    </row>
    <row r="2023" spans="2:15">
      <c r="B2023" s="20">
        <v>45570</v>
      </c>
      <c r="C2023" s="20">
        <v>45570</v>
      </c>
      <c r="D2023" s="54">
        <v>50400554</v>
      </c>
      <c r="E2023" s="55" t="s">
        <v>1311</v>
      </c>
      <c r="G2023" s="68">
        <v>103.04</v>
      </c>
      <c r="H2023" s="56" t="s">
        <v>80</v>
      </c>
      <c r="J2023" s="56">
        <v>1001852785</v>
      </c>
      <c r="L2023" s="56" t="s">
        <v>175</v>
      </c>
      <c r="M2023" s="4" t="s">
        <v>392</v>
      </c>
      <c r="N2023" s="4" t="s">
        <v>1716</v>
      </c>
      <c r="O2023" s="4" t="s">
        <v>178</v>
      </c>
    </row>
    <row r="2024" spans="2:15">
      <c r="B2024" s="20">
        <v>45573</v>
      </c>
      <c r="C2024" s="20">
        <v>45573</v>
      </c>
      <c r="D2024" s="54">
        <v>50400554</v>
      </c>
      <c r="E2024" s="55" t="s">
        <v>1311</v>
      </c>
      <c r="G2024" s="68">
        <v>103.04</v>
      </c>
      <c r="H2024" s="56" t="s">
        <v>80</v>
      </c>
      <c r="J2024" s="56">
        <v>1001770857</v>
      </c>
      <c r="L2024" s="56" t="s">
        <v>175</v>
      </c>
      <c r="M2024" s="4" t="s">
        <v>392</v>
      </c>
      <c r="N2024" s="4" t="s">
        <v>1717</v>
      </c>
      <c r="O2024" s="4" t="s">
        <v>178</v>
      </c>
    </row>
    <row r="2025" spans="2:15">
      <c r="B2025" s="20">
        <v>45573</v>
      </c>
      <c r="C2025" s="20">
        <v>45573</v>
      </c>
      <c r="D2025" s="54">
        <v>50272278</v>
      </c>
      <c r="E2025" s="55" t="s">
        <v>21</v>
      </c>
      <c r="G2025" s="68">
        <v>13000</v>
      </c>
      <c r="H2025" s="56" t="s">
        <v>92</v>
      </c>
      <c r="J2025" s="56" t="s">
        <v>1718</v>
      </c>
      <c r="L2025" s="56" t="s">
        <v>262</v>
      </c>
      <c r="M2025" s="4" t="s">
        <v>262</v>
      </c>
      <c r="N2025" s="4" t="s">
        <v>1274</v>
      </c>
      <c r="O2025" s="4" t="s">
        <v>178</v>
      </c>
    </row>
    <row r="2026" spans="2:15">
      <c r="B2026" s="20">
        <v>45573</v>
      </c>
      <c r="C2026" s="20">
        <v>45573</v>
      </c>
      <c r="D2026" s="54">
        <v>50824293</v>
      </c>
      <c r="E2026" s="55" t="s">
        <v>861</v>
      </c>
      <c r="G2026" s="68">
        <v>6576000</v>
      </c>
      <c r="H2026" s="56" t="s">
        <v>92</v>
      </c>
      <c r="J2026" s="56" t="s">
        <v>1719</v>
      </c>
      <c r="L2026" s="56" t="s">
        <v>864</v>
      </c>
      <c r="M2026" s="4" t="s">
        <v>392</v>
      </c>
      <c r="N2026" s="4" t="s">
        <v>1720</v>
      </c>
      <c r="O2026" s="4" t="s">
        <v>178</v>
      </c>
    </row>
    <row r="2027" spans="2:15">
      <c r="B2027" s="20">
        <v>45573</v>
      </c>
      <c r="C2027" s="20">
        <v>45573</v>
      </c>
      <c r="D2027" s="54">
        <v>50837509</v>
      </c>
      <c r="E2027" s="55" t="s">
        <v>14</v>
      </c>
      <c r="G2027" s="68">
        <v>9273600</v>
      </c>
      <c r="H2027" s="56" t="s">
        <v>92</v>
      </c>
      <c r="J2027" s="56" t="s">
        <v>1721</v>
      </c>
      <c r="L2027" s="56" t="s">
        <v>1117</v>
      </c>
      <c r="M2027" s="4" t="s">
        <v>1722</v>
      </c>
      <c r="N2027" s="4"/>
      <c r="O2027" s="4" t="s">
        <v>178</v>
      </c>
    </row>
    <row r="2028" spans="2:15">
      <c r="B2028" s="20">
        <v>45573</v>
      </c>
      <c r="C2028" s="20">
        <v>45573</v>
      </c>
      <c r="D2028" s="54">
        <v>50837509</v>
      </c>
      <c r="E2028" s="55" t="s">
        <v>14</v>
      </c>
      <c r="G2028" s="68">
        <v>9273600</v>
      </c>
      <c r="H2028" s="56" t="s">
        <v>92</v>
      </c>
      <c r="J2028" s="56" t="s">
        <v>1723</v>
      </c>
      <c r="L2028" s="56" t="s">
        <v>1117</v>
      </c>
      <c r="M2028" s="4" t="s">
        <v>1722</v>
      </c>
      <c r="N2028" s="4"/>
      <c r="O2028" s="4" t="s">
        <v>178</v>
      </c>
    </row>
    <row r="2029" spans="2:15">
      <c r="B2029" s="20">
        <v>45574</v>
      </c>
      <c r="C2029" s="20">
        <v>45574</v>
      </c>
      <c r="D2029" s="54">
        <v>50400554</v>
      </c>
      <c r="E2029" s="55" t="s">
        <v>1311</v>
      </c>
      <c r="G2029" s="68">
        <v>103.04</v>
      </c>
      <c r="H2029" s="56" t="s">
        <v>80</v>
      </c>
      <c r="J2029" s="56">
        <v>1001771141</v>
      </c>
      <c r="L2029" s="56" t="s">
        <v>1724</v>
      </c>
      <c r="M2029" s="4" t="s">
        <v>392</v>
      </c>
      <c r="N2029" s="4" t="s">
        <v>1725</v>
      </c>
      <c r="O2029" s="4" t="s">
        <v>178</v>
      </c>
    </row>
    <row r="2030" spans="2:15">
      <c r="B2030" s="20">
        <v>45574</v>
      </c>
      <c r="C2030" s="20">
        <v>45574</v>
      </c>
      <c r="D2030" s="54">
        <v>50400554</v>
      </c>
      <c r="E2030" s="55" t="s">
        <v>1311</v>
      </c>
      <c r="G2030" s="68">
        <v>103.04</v>
      </c>
      <c r="H2030" s="56" t="s">
        <v>80</v>
      </c>
      <c r="J2030" s="56">
        <v>1001771141</v>
      </c>
      <c r="L2030" s="56" t="s">
        <v>1726</v>
      </c>
      <c r="M2030" s="4" t="s">
        <v>392</v>
      </c>
      <c r="N2030" s="4" t="s">
        <v>1365</v>
      </c>
      <c r="O2030" s="4" t="s">
        <v>178</v>
      </c>
    </row>
    <row r="2031" spans="2:15">
      <c r="B2031" s="20">
        <v>45574</v>
      </c>
      <c r="C2031" s="20">
        <v>45574</v>
      </c>
      <c r="D2031" s="54">
        <v>50400554</v>
      </c>
      <c r="E2031" s="55" t="s">
        <v>1311</v>
      </c>
      <c r="G2031" s="68">
        <v>103.04</v>
      </c>
      <c r="H2031" s="56" t="s">
        <v>80</v>
      </c>
      <c r="J2031" s="56">
        <v>1001768991</v>
      </c>
      <c r="L2031" s="56" t="s">
        <v>1727</v>
      </c>
      <c r="M2031" s="4" t="s">
        <v>392</v>
      </c>
      <c r="N2031" s="4" t="s">
        <v>1728</v>
      </c>
      <c r="O2031" s="4" t="s">
        <v>178</v>
      </c>
    </row>
    <row r="2032" spans="2:15">
      <c r="B2032" s="20">
        <v>45574</v>
      </c>
      <c r="C2032" s="20">
        <v>45574</v>
      </c>
      <c r="D2032" s="54">
        <v>50272278</v>
      </c>
      <c r="E2032" s="55" t="s">
        <v>21</v>
      </c>
      <c r="G2032" s="68">
        <v>13000</v>
      </c>
      <c r="H2032" s="56" t="s">
        <v>92</v>
      </c>
      <c r="J2032" s="56" t="s">
        <v>1729</v>
      </c>
      <c r="L2032" s="56" t="s">
        <v>262</v>
      </c>
      <c r="M2032" s="4" t="s">
        <v>262</v>
      </c>
      <c r="N2032" s="4" t="s">
        <v>1274</v>
      </c>
      <c r="O2032" s="4" t="s">
        <v>178</v>
      </c>
    </row>
    <row r="2033" spans="2:15">
      <c r="B2033" s="20">
        <v>45574</v>
      </c>
      <c r="C2033" s="20">
        <v>45574</v>
      </c>
      <c r="D2033" s="54">
        <v>50272278</v>
      </c>
      <c r="E2033" s="55" t="s">
        <v>21</v>
      </c>
      <c r="G2033" s="68">
        <v>16800</v>
      </c>
      <c r="H2033" s="56" t="s">
        <v>92</v>
      </c>
      <c r="J2033" s="56" t="s">
        <v>1730</v>
      </c>
      <c r="L2033" s="56" t="s">
        <v>934</v>
      </c>
      <c r="M2033" s="4" t="s">
        <v>1344</v>
      </c>
      <c r="N2033" s="4" t="s">
        <v>1731</v>
      </c>
      <c r="O2033" s="4" t="s">
        <v>178</v>
      </c>
    </row>
    <row r="2034" spans="2:15">
      <c r="B2034" s="20">
        <v>45574</v>
      </c>
      <c r="C2034" s="20">
        <v>45574</v>
      </c>
      <c r="D2034" s="54">
        <v>50142262</v>
      </c>
      <c r="E2034" s="55" t="s">
        <v>779</v>
      </c>
      <c r="G2034" s="68">
        <v>250</v>
      </c>
      <c r="H2034" s="56" t="s">
        <v>82</v>
      </c>
      <c r="J2034" s="56" t="s">
        <v>1732</v>
      </c>
      <c r="L2034" s="56" t="s">
        <v>780</v>
      </c>
      <c r="M2034" s="4" t="s">
        <v>780</v>
      </c>
      <c r="N2034" s="4" t="s">
        <v>1068</v>
      </c>
      <c r="O2034" s="4" t="s">
        <v>178</v>
      </c>
    </row>
    <row r="2035" spans="2:15">
      <c r="B2035" s="20">
        <v>45575</v>
      </c>
      <c r="C2035" s="20">
        <v>45575</v>
      </c>
      <c r="D2035" s="54">
        <v>50272278</v>
      </c>
      <c r="E2035" s="55" t="s">
        <v>21</v>
      </c>
      <c r="G2035" s="68">
        <v>13000</v>
      </c>
      <c r="H2035" s="56" t="s">
        <v>92</v>
      </c>
      <c r="J2035" s="56" t="s">
        <v>1733</v>
      </c>
      <c r="L2035" s="56" t="s">
        <v>262</v>
      </c>
      <c r="M2035" s="4" t="s">
        <v>176</v>
      </c>
      <c r="N2035" s="4" t="s">
        <v>193</v>
      </c>
      <c r="O2035" s="4" t="s">
        <v>178</v>
      </c>
    </row>
    <row r="2036" spans="2:15">
      <c r="B2036" s="20">
        <v>45575</v>
      </c>
      <c r="C2036" s="20">
        <v>45575</v>
      </c>
      <c r="D2036" s="54">
        <v>50400554</v>
      </c>
      <c r="E2036" s="55" t="s">
        <v>1311</v>
      </c>
      <c r="G2036" s="68">
        <v>103.04</v>
      </c>
      <c r="H2036" s="56" t="s">
        <v>80</v>
      </c>
      <c r="J2036" s="56">
        <v>1001767379</v>
      </c>
      <c r="K2036" s="4" t="s">
        <v>1734</v>
      </c>
      <c r="L2036" s="56" t="s">
        <v>175</v>
      </c>
      <c r="M2036" s="4" t="s">
        <v>392</v>
      </c>
      <c r="N2036" s="4" t="s">
        <v>1735</v>
      </c>
      <c r="O2036" s="4" t="s">
        <v>178</v>
      </c>
    </row>
    <row r="2037" spans="2:15">
      <c r="B2037" s="20">
        <v>45575</v>
      </c>
      <c r="C2037" s="20">
        <v>45575</v>
      </c>
      <c r="D2037" s="54">
        <v>50802401</v>
      </c>
      <c r="E2037" s="55" t="s">
        <v>13</v>
      </c>
      <c r="G2037" s="68">
        <v>9273600</v>
      </c>
      <c r="H2037" s="56" t="s">
        <v>92</v>
      </c>
      <c r="J2037" s="56" t="s">
        <v>1736</v>
      </c>
      <c r="L2037" s="56" t="s">
        <v>1117</v>
      </c>
      <c r="M2037" s="4" t="s">
        <v>1253</v>
      </c>
      <c r="N2037" s="4" t="s">
        <v>1284</v>
      </c>
      <c r="O2037" s="4" t="s">
        <v>178</v>
      </c>
    </row>
    <row r="2038" spans="2:15">
      <c r="B2038" s="20">
        <v>45575</v>
      </c>
      <c r="C2038" s="20">
        <v>45575</v>
      </c>
      <c r="D2038" s="54">
        <v>50272278</v>
      </c>
      <c r="E2038" s="55" t="s">
        <v>21</v>
      </c>
      <c r="G2038" s="68">
        <v>13000</v>
      </c>
      <c r="H2038" s="56" t="s">
        <v>92</v>
      </c>
      <c r="J2038" s="56" t="s">
        <v>1737</v>
      </c>
      <c r="L2038" s="56" t="s">
        <v>262</v>
      </c>
      <c r="M2038" s="4" t="s">
        <v>262</v>
      </c>
      <c r="N2038" s="4" t="s">
        <v>1274</v>
      </c>
      <c r="O2038" s="4" t="s">
        <v>178</v>
      </c>
    </row>
    <row r="2039" spans="2:15">
      <c r="B2039" s="20">
        <v>45575</v>
      </c>
      <c r="C2039" s="20">
        <v>45575</v>
      </c>
      <c r="D2039" s="54">
        <v>50400554</v>
      </c>
      <c r="E2039" s="55" t="s">
        <v>1311</v>
      </c>
      <c r="G2039" s="68">
        <v>103.04</v>
      </c>
      <c r="H2039" s="56" t="s">
        <v>80</v>
      </c>
      <c r="J2039" s="56">
        <v>1001767379</v>
      </c>
      <c r="L2039" s="56" t="s">
        <v>175</v>
      </c>
      <c r="M2039" s="4" t="s">
        <v>1738</v>
      </c>
      <c r="N2039" s="4" t="s">
        <v>1739</v>
      </c>
      <c r="O2039" s="4" t="s">
        <v>178</v>
      </c>
    </row>
    <row r="2040" spans="2:15">
      <c r="B2040" s="20">
        <v>45576</v>
      </c>
      <c r="C2040" s="20">
        <v>45576</v>
      </c>
      <c r="D2040" s="54">
        <v>50400554</v>
      </c>
      <c r="E2040" s="55" t="s">
        <v>1311</v>
      </c>
      <c r="G2040" s="68">
        <v>103.04</v>
      </c>
      <c r="H2040" s="56" t="s">
        <v>80</v>
      </c>
      <c r="J2040" s="56">
        <v>1001851605</v>
      </c>
      <c r="L2040" s="56" t="s">
        <v>175</v>
      </c>
      <c r="M2040" s="4" t="s">
        <v>1740</v>
      </c>
      <c r="N2040" s="4" t="s">
        <v>1741</v>
      </c>
      <c r="O2040" s="4" t="s">
        <v>178</v>
      </c>
    </row>
    <row r="2041" spans="2:15">
      <c r="B2041" s="20">
        <v>45576</v>
      </c>
      <c r="C2041" s="20">
        <v>45576</v>
      </c>
      <c r="D2041" s="54">
        <v>50142631</v>
      </c>
      <c r="E2041" s="55" t="s">
        <v>566</v>
      </c>
      <c r="G2041" s="68">
        <v>1650</v>
      </c>
      <c r="H2041" s="56" t="s">
        <v>82</v>
      </c>
      <c r="J2041" s="56" t="s">
        <v>1742</v>
      </c>
      <c r="L2041" s="56" t="s">
        <v>567</v>
      </c>
      <c r="M2041" s="4" t="s">
        <v>567</v>
      </c>
      <c r="N2041" s="4" t="s">
        <v>569</v>
      </c>
      <c r="O2041" s="4" t="s">
        <v>178</v>
      </c>
    </row>
    <row r="2042" spans="2:15">
      <c r="B2042" s="20">
        <v>45576</v>
      </c>
      <c r="C2042" s="20">
        <v>45576</v>
      </c>
      <c r="D2042" s="54">
        <v>50142373</v>
      </c>
      <c r="E2042" s="55" t="s">
        <v>1130</v>
      </c>
      <c r="G2042" s="68">
        <v>700</v>
      </c>
      <c r="H2042" s="56" t="s">
        <v>82</v>
      </c>
      <c r="J2042" s="56" t="s">
        <v>1743</v>
      </c>
      <c r="L2042" s="56" t="s">
        <v>567</v>
      </c>
      <c r="M2042" s="4" t="s">
        <v>567</v>
      </c>
      <c r="N2042" s="4" t="s">
        <v>569</v>
      </c>
      <c r="O2042" s="4" t="s">
        <v>178</v>
      </c>
    </row>
    <row r="2043" spans="2:15">
      <c r="B2043" s="20">
        <v>45576</v>
      </c>
      <c r="C2043" s="20">
        <v>45576</v>
      </c>
      <c r="D2043" s="54">
        <v>50272278</v>
      </c>
      <c r="E2043" s="55" t="s">
        <v>21</v>
      </c>
      <c r="G2043" s="68">
        <v>13000</v>
      </c>
      <c r="H2043" s="56" t="s">
        <v>92</v>
      </c>
      <c r="J2043" s="56" t="s">
        <v>1744</v>
      </c>
      <c r="L2043" s="56" t="s">
        <v>262</v>
      </c>
      <c r="M2043" s="4" t="s">
        <v>176</v>
      </c>
      <c r="N2043" s="4" t="s">
        <v>177</v>
      </c>
      <c r="O2043" s="4" t="s">
        <v>178</v>
      </c>
    </row>
    <row r="2044" spans="2:15">
      <c r="B2044" s="20">
        <v>45576</v>
      </c>
      <c r="C2044" s="20">
        <v>45576</v>
      </c>
      <c r="D2044" s="54">
        <v>50837284</v>
      </c>
      <c r="E2044" s="55" t="s">
        <v>28</v>
      </c>
      <c r="G2044" s="68">
        <v>3321.45</v>
      </c>
      <c r="H2044" s="56" t="s">
        <v>82</v>
      </c>
      <c r="J2044" s="56" t="s">
        <v>1745</v>
      </c>
      <c r="L2044" s="56" t="s">
        <v>1227</v>
      </c>
      <c r="M2044" s="4" t="s">
        <v>660</v>
      </c>
      <c r="N2044" s="4" t="s">
        <v>785</v>
      </c>
      <c r="O2044" s="4" t="s">
        <v>178</v>
      </c>
    </row>
    <row r="2045" spans="2:15">
      <c r="B2045" s="20">
        <v>45576</v>
      </c>
      <c r="C2045" s="20">
        <v>45576</v>
      </c>
      <c r="D2045" s="54">
        <v>40499</v>
      </c>
      <c r="E2045" s="55" t="s">
        <v>1094</v>
      </c>
      <c r="G2045" s="68">
        <v>190</v>
      </c>
      <c r="H2045" s="56" t="s">
        <v>92</v>
      </c>
      <c r="J2045" s="56" t="s">
        <v>1746</v>
      </c>
      <c r="L2045" s="56" t="s">
        <v>838</v>
      </c>
      <c r="M2045" s="4" t="s">
        <v>176</v>
      </c>
      <c r="N2045" s="4" t="s">
        <v>177</v>
      </c>
      <c r="O2045" s="4" t="s">
        <v>178</v>
      </c>
    </row>
    <row r="2046" spans="2:15">
      <c r="B2046" s="20">
        <v>45579</v>
      </c>
      <c r="C2046" s="20">
        <v>45579</v>
      </c>
      <c r="D2046" s="54">
        <v>50837237</v>
      </c>
      <c r="E2046" s="55" t="s">
        <v>1747</v>
      </c>
      <c r="G2046" s="68">
        <v>4559.7</v>
      </c>
      <c r="H2046" s="56" t="s">
        <v>82</v>
      </c>
      <c r="J2046" s="56" t="s">
        <v>1748</v>
      </c>
      <c r="L2046" s="56" t="s">
        <v>1227</v>
      </c>
      <c r="M2046" s="4" t="s">
        <v>660</v>
      </c>
      <c r="N2046" s="4" t="s">
        <v>428</v>
      </c>
      <c r="O2046" s="4" t="s">
        <v>178</v>
      </c>
    </row>
    <row r="2047" spans="2:15">
      <c r="B2047" s="20">
        <v>45580</v>
      </c>
      <c r="C2047" s="20">
        <v>45580</v>
      </c>
      <c r="D2047" s="54">
        <v>50400554</v>
      </c>
      <c r="E2047" s="55" t="s">
        <v>1311</v>
      </c>
      <c r="G2047" s="68">
        <v>103.04</v>
      </c>
      <c r="H2047" s="56" t="s">
        <v>80</v>
      </c>
      <c r="J2047" s="56">
        <v>1001771372</v>
      </c>
      <c r="L2047" s="56" t="s">
        <v>175</v>
      </c>
      <c r="M2047" s="4" t="s">
        <v>1749</v>
      </c>
      <c r="N2047" s="4" t="s">
        <v>1750</v>
      </c>
      <c r="O2047" s="4" t="s">
        <v>178</v>
      </c>
    </row>
    <row r="2048" spans="2:15">
      <c r="B2048" s="20">
        <v>45580</v>
      </c>
      <c r="C2048" s="20">
        <v>45580</v>
      </c>
      <c r="D2048" s="54">
        <v>50400554</v>
      </c>
      <c r="E2048" s="55" t="s">
        <v>1311</v>
      </c>
      <c r="G2048" s="68">
        <v>103.04</v>
      </c>
      <c r="H2048" s="56" t="s">
        <v>80</v>
      </c>
      <c r="J2048" s="56">
        <v>1001771372</v>
      </c>
      <c r="L2048" s="56" t="s">
        <v>175</v>
      </c>
      <c r="M2048" s="4" t="s">
        <v>498</v>
      </c>
      <c r="N2048" s="4" t="s">
        <v>1751</v>
      </c>
      <c r="O2048" s="4" t="s">
        <v>178</v>
      </c>
    </row>
    <row r="2049" spans="2:15">
      <c r="B2049" s="20">
        <v>45580</v>
      </c>
      <c r="C2049" s="20">
        <v>45580</v>
      </c>
      <c r="D2049" s="54">
        <v>50470190</v>
      </c>
      <c r="E2049" s="55" t="s">
        <v>12</v>
      </c>
      <c r="G2049" s="68">
        <v>9273600</v>
      </c>
      <c r="H2049" s="56" t="s">
        <v>92</v>
      </c>
      <c r="J2049" s="56" t="s">
        <v>1752</v>
      </c>
      <c r="L2049" s="56" t="s">
        <v>958</v>
      </c>
      <c r="M2049" s="4" t="s">
        <v>392</v>
      </c>
      <c r="N2049" s="4" t="s">
        <v>1275</v>
      </c>
      <c r="O2049" s="4" t="s">
        <v>178</v>
      </c>
    </row>
    <row r="2050" spans="2:15">
      <c r="B2050" s="20">
        <v>45580</v>
      </c>
      <c r="C2050" s="20">
        <v>45580</v>
      </c>
      <c r="D2050" s="54">
        <v>40499</v>
      </c>
      <c r="E2050" s="55" t="s">
        <v>1094</v>
      </c>
      <c r="G2050" s="68">
        <v>77</v>
      </c>
      <c r="H2050" s="56" t="s">
        <v>92</v>
      </c>
      <c r="J2050" s="56" t="s">
        <v>1753</v>
      </c>
      <c r="L2050" s="56" t="s">
        <v>838</v>
      </c>
      <c r="M2050" s="4" t="s">
        <v>176</v>
      </c>
      <c r="N2050" s="4" t="s">
        <v>177</v>
      </c>
      <c r="O2050" s="4" t="s">
        <v>178</v>
      </c>
    </row>
    <row r="2051" spans="2:15">
      <c r="B2051" s="20">
        <v>45580</v>
      </c>
      <c r="C2051" s="20">
        <v>45580</v>
      </c>
      <c r="D2051" s="54">
        <v>50272278</v>
      </c>
      <c r="E2051" s="55" t="s">
        <v>21</v>
      </c>
      <c r="G2051" s="68">
        <v>1800</v>
      </c>
      <c r="H2051" s="56" t="s">
        <v>92</v>
      </c>
      <c r="J2051" s="56" t="s">
        <v>1753</v>
      </c>
      <c r="L2051" s="56" t="s">
        <v>838</v>
      </c>
      <c r="M2051" s="4" t="s">
        <v>176</v>
      </c>
      <c r="N2051" s="4" t="s">
        <v>177</v>
      </c>
      <c r="O2051" s="4" t="s">
        <v>178</v>
      </c>
    </row>
    <row r="2052" spans="2:15">
      <c r="B2052" s="20">
        <v>45581</v>
      </c>
      <c r="C2052" s="20">
        <v>45581</v>
      </c>
      <c r="D2052" s="54">
        <v>50400554</v>
      </c>
      <c r="E2052" s="55" t="s">
        <v>1311</v>
      </c>
      <c r="G2052" s="68">
        <v>103.04</v>
      </c>
      <c r="H2052" s="56" t="s">
        <v>80</v>
      </c>
      <c r="J2052" s="56">
        <v>1001771372</v>
      </c>
      <c r="L2052" s="56" t="s">
        <v>175</v>
      </c>
      <c r="M2052" s="4" t="s">
        <v>1754</v>
      </c>
      <c r="N2052" s="4" t="s">
        <v>1755</v>
      </c>
      <c r="O2052" s="4" t="s">
        <v>178</v>
      </c>
    </row>
    <row r="2053" spans="2:15">
      <c r="B2053" s="20">
        <v>45582</v>
      </c>
      <c r="C2053" s="20">
        <v>45582</v>
      </c>
      <c r="D2053" s="54">
        <v>50400554</v>
      </c>
      <c r="E2053" s="55" t="s">
        <v>1311</v>
      </c>
      <c r="G2053" s="68">
        <v>103.04</v>
      </c>
      <c r="H2053" s="56" t="s">
        <v>80</v>
      </c>
      <c r="J2053" s="56">
        <v>1001770587</v>
      </c>
      <c r="L2053" s="56" t="s">
        <v>175</v>
      </c>
      <c r="M2053" s="4" t="s">
        <v>392</v>
      </c>
      <c r="N2053" s="4" t="s">
        <v>1756</v>
      </c>
      <c r="O2053" s="4" t="s">
        <v>178</v>
      </c>
    </row>
    <row r="2054" spans="2:15">
      <c r="B2054" s="20">
        <v>45582</v>
      </c>
      <c r="C2054" s="20">
        <v>45582</v>
      </c>
      <c r="D2054" s="54">
        <v>50400554</v>
      </c>
      <c r="E2054" s="55" t="s">
        <v>1311</v>
      </c>
      <c r="G2054" s="68">
        <v>103.04</v>
      </c>
      <c r="H2054" s="56" t="s">
        <v>80</v>
      </c>
      <c r="J2054" s="56">
        <v>1001922948</v>
      </c>
      <c r="L2054" s="56" t="s">
        <v>175</v>
      </c>
      <c r="M2054" s="4" t="s">
        <v>1367</v>
      </c>
      <c r="N2054" s="4" t="s">
        <v>1757</v>
      </c>
      <c r="O2054" s="4" t="s">
        <v>178</v>
      </c>
    </row>
    <row r="2055" spans="2:15">
      <c r="B2055" s="20">
        <v>45582</v>
      </c>
      <c r="C2055" s="20">
        <v>45582</v>
      </c>
      <c r="D2055" s="54">
        <v>50272278</v>
      </c>
      <c r="E2055" s="55" t="s">
        <v>21</v>
      </c>
      <c r="G2055" s="68">
        <v>13000</v>
      </c>
      <c r="H2055" s="56" t="s">
        <v>92</v>
      </c>
      <c r="J2055" s="56" t="s">
        <v>1758</v>
      </c>
      <c r="L2055" s="56" t="s">
        <v>262</v>
      </c>
      <c r="M2055" s="4" t="s">
        <v>176</v>
      </c>
      <c r="N2055" s="4" t="s">
        <v>177</v>
      </c>
      <c r="O2055" s="4" t="s">
        <v>178</v>
      </c>
    </row>
    <row r="2056" spans="2:15">
      <c r="B2056" s="20">
        <v>45582</v>
      </c>
      <c r="C2056" s="20">
        <v>45582</v>
      </c>
      <c r="D2056" s="54">
        <v>50272278</v>
      </c>
      <c r="E2056" s="55" t="s">
        <v>21</v>
      </c>
      <c r="G2056" s="68">
        <v>13000</v>
      </c>
      <c r="H2056" s="56" t="s">
        <v>92</v>
      </c>
      <c r="J2056" s="56" t="s">
        <v>1759</v>
      </c>
      <c r="L2056" s="56" t="s">
        <v>262</v>
      </c>
      <c r="M2056" s="4" t="s">
        <v>262</v>
      </c>
      <c r="N2056" s="4" t="s">
        <v>1274</v>
      </c>
      <c r="O2056" s="4" t="s">
        <v>178</v>
      </c>
    </row>
    <row r="2057" spans="2:15">
      <c r="B2057" s="20">
        <v>45582</v>
      </c>
      <c r="C2057" s="20">
        <v>45582</v>
      </c>
      <c r="D2057" s="54">
        <v>50144376</v>
      </c>
      <c r="E2057" s="55" t="s">
        <v>19</v>
      </c>
      <c r="G2057" s="68">
        <v>16800</v>
      </c>
      <c r="H2057" s="56" t="s">
        <v>92</v>
      </c>
      <c r="J2057" s="56" t="s">
        <v>1760</v>
      </c>
      <c r="L2057" s="56" t="s">
        <v>1761</v>
      </c>
      <c r="M2057" s="4" t="s">
        <v>1518</v>
      </c>
      <c r="N2057" s="4" t="s">
        <v>1762</v>
      </c>
      <c r="O2057" s="4" t="s">
        <v>178</v>
      </c>
    </row>
    <row r="2058" spans="2:15">
      <c r="B2058" s="20">
        <v>45583</v>
      </c>
      <c r="C2058" s="20">
        <v>45583</v>
      </c>
      <c r="D2058" s="54">
        <v>50141533</v>
      </c>
      <c r="E2058" s="55" t="s">
        <v>494</v>
      </c>
      <c r="G2058" s="68">
        <v>10000</v>
      </c>
      <c r="H2058" s="56" t="s">
        <v>82</v>
      </c>
      <c r="J2058" s="56" t="s">
        <v>1763</v>
      </c>
      <c r="L2058" s="56" t="s">
        <v>495</v>
      </c>
      <c r="M2058" s="4" t="s">
        <v>495</v>
      </c>
      <c r="N2058" s="4" t="s">
        <v>1764</v>
      </c>
      <c r="O2058" s="4" t="s">
        <v>178</v>
      </c>
    </row>
    <row r="2059" spans="2:15">
      <c r="B2059" s="20">
        <v>45583</v>
      </c>
      <c r="C2059" s="20">
        <v>45583</v>
      </c>
      <c r="D2059" s="54">
        <v>50400554</v>
      </c>
      <c r="E2059" s="55" t="s">
        <v>1311</v>
      </c>
      <c r="G2059" s="68">
        <v>100.016</v>
      </c>
      <c r="H2059" s="56" t="s">
        <v>80</v>
      </c>
      <c r="J2059" s="56">
        <v>1002048900</v>
      </c>
      <c r="L2059" s="56" t="s">
        <v>175</v>
      </c>
      <c r="M2059" s="4" t="s">
        <v>1330</v>
      </c>
      <c r="N2059" s="4" t="s">
        <v>1765</v>
      </c>
      <c r="O2059" s="4" t="s">
        <v>178</v>
      </c>
    </row>
    <row r="2060" spans="2:15">
      <c r="B2060" s="20">
        <v>45583</v>
      </c>
      <c r="C2060" s="20">
        <v>45583</v>
      </c>
      <c r="D2060" s="54">
        <v>40499</v>
      </c>
      <c r="E2060" s="55" t="s">
        <v>1094</v>
      </c>
      <c r="G2060" s="68">
        <v>90</v>
      </c>
      <c r="H2060" s="56" t="s">
        <v>92</v>
      </c>
      <c r="J2060" s="56" t="s">
        <v>1766</v>
      </c>
      <c r="L2060" s="56" t="s">
        <v>838</v>
      </c>
      <c r="M2060" s="4" t="s">
        <v>176</v>
      </c>
      <c r="N2060" s="4" t="s">
        <v>177</v>
      </c>
      <c r="O2060" s="4" t="s">
        <v>178</v>
      </c>
    </row>
    <row r="2061" spans="2:15">
      <c r="B2061" s="20">
        <v>45583</v>
      </c>
      <c r="C2061" s="20">
        <v>45583</v>
      </c>
      <c r="D2061" s="54">
        <v>50470190</v>
      </c>
      <c r="E2061" s="55" t="s">
        <v>12</v>
      </c>
      <c r="G2061" s="68">
        <v>172800</v>
      </c>
      <c r="H2061" s="56" t="s">
        <v>92</v>
      </c>
      <c r="J2061" s="56" t="s">
        <v>1766</v>
      </c>
      <c r="L2061" s="56" t="s">
        <v>838</v>
      </c>
      <c r="M2061" s="4" t="s">
        <v>176</v>
      </c>
      <c r="N2061" s="4" t="s">
        <v>177</v>
      </c>
      <c r="O2061" s="4" t="s">
        <v>178</v>
      </c>
    </row>
    <row r="2062" spans="2:15">
      <c r="B2062" s="20">
        <v>45583</v>
      </c>
      <c r="C2062" s="20">
        <v>45583</v>
      </c>
      <c r="D2062" s="54">
        <v>50802401</v>
      </c>
      <c r="E2062" s="55" t="s">
        <v>13</v>
      </c>
      <c r="G2062" s="68">
        <v>68400</v>
      </c>
      <c r="H2062" s="56" t="s">
        <v>92</v>
      </c>
      <c r="J2062" s="56" t="s">
        <v>1766</v>
      </c>
      <c r="L2062" s="56" t="s">
        <v>838</v>
      </c>
      <c r="M2062" s="4" t="s">
        <v>176</v>
      </c>
      <c r="N2062" s="4" t="s">
        <v>177</v>
      </c>
      <c r="O2062" s="4" t="s">
        <v>178</v>
      </c>
    </row>
    <row r="2063" spans="2:15">
      <c r="B2063" s="20">
        <v>45583</v>
      </c>
      <c r="C2063" s="20">
        <v>45583</v>
      </c>
      <c r="D2063" s="54">
        <v>50449101</v>
      </c>
      <c r="E2063" s="55" t="s">
        <v>237</v>
      </c>
      <c r="G2063" s="68">
        <v>148800</v>
      </c>
      <c r="H2063" s="56" t="s">
        <v>92</v>
      </c>
      <c r="J2063" s="56" t="s">
        <v>1766</v>
      </c>
      <c r="L2063" s="56" t="s">
        <v>838</v>
      </c>
      <c r="M2063" s="4" t="s">
        <v>176</v>
      </c>
      <c r="N2063" s="4" t="s">
        <v>177</v>
      </c>
      <c r="O2063" s="4" t="s">
        <v>178</v>
      </c>
    </row>
    <row r="2064" spans="2:15">
      <c r="B2064" s="20">
        <v>45586</v>
      </c>
      <c r="C2064" s="20">
        <v>45586</v>
      </c>
      <c r="D2064" s="54">
        <v>50470190</v>
      </c>
      <c r="E2064" s="55" t="s">
        <v>12</v>
      </c>
      <c r="G2064" s="68">
        <v>9273600</v>
      </c>
      <c r="H2064" s="56" t="s">
        <v>92</v>
      </c>
      <c r="J2064" s="56" t="s">
        <v>1767</v>
      </c>
      <c r="L2064" s="56" t="s">
        <v>1158</v>
      </c>
      <c r="M2064" s="4" t="s">
        <v>392</v>
      </c>
      <c r="N2064" s="4" t="s">
        <v>319</v>
      </c>
      <c r="O2064" s="4" t="s">
        <v>178</v>
      </c>
    </row>
    <row r="2065" spans="2:15">
      <c r="B2065" s="20">
        <v>45586</v>
      </c>
      <c r="C2065" s="20">
        <v>45586</v>
      </c>
      <c r="D2065" s="54">
        <v>50272278</v>
      </c>
      <c r="E2065" s="55" t="s">
        <v>21</v>
      </c>
      <c r="G2065" s="68">
        <v>13000</v>
      </c>
      <c r="H2065" s="56" t="s">
        <v>92</v>
      </c>
      <c r="J2065" s="56" t="s">
        <v>1768</v>
      </c>
      <c r="L2065" s="56" t="s">
        <v>262</v>
      </c>
      <c r="M2065" s="4" t="s">
        <v>262</v>
      </c>
      <c r="N2065" s="4" t="s">
        <v>1274</v>
      </c>
      <c r="O2065" s="4" t="s">
        <v>178</v>
      </c>
    </row>
    <row r="2066" spans="2:15">
      <c r="B2066" s="20">
        <v>45587</v>
      </c>
      <c r="C2066" s="20">
        <v>45587</v>
      </c>
      <c r="D2066" s="54">
        <v>50272278</v>
      </c>
      <c r="E2066" s="55" t="s">
        <v>21</v>
      </c>
      <c r="G2066" s="68">
        <v>13000</v>
      </c>
      <c r="H2066" s="56" t="s">
        <v>92</v>
      </c>
      <c r="J2066" s="56" t="s">
        <v>1769</v>
      </c>
      <c r="L2066" s="56" t="s">
        <v>262</v>
      </c>
      <c r="M2066" s="4" t="s">
        <v>262</v>
      </c>
      <c r="N2066" s="4" t="s">
        <v>1274</v>
      </c>
      <c r="O2066" s="4" t="s">
        <v>178</v>
      </c>
    </row>
    <row r="2067" spans="2:15">
      <c r="B2067" s="20">
        <v>45587</v>
      </c>
      <c r="C2067" s="20">
        <v>45587</v>
      </c>
      <c r="D2067" s="54">
        <v>50534881</v>
      </c>
      <c r="E2067" s="55" t="s">
        <v>227</v>
      </c>
      <c r="G2067" s="68">
        <v>23600</v>
      </c>
      <c r="H2067" s="56" t="s">
        <v>92</v>
      </c>
      <c r="J2067" s="56" t="s">
        <v>1770</v>
      </c>
      <c r="L2067" s="56" t="s">
        <v>838</v>
      </c>
      <c r="M2067" s="4" t="s">
        <v>176</v>
      </c>
      <c r="N2067" s="4" t="s">
        <v>177</v>
      </c>
      <c r="O2067" s="4" t="s">
        <v>178</v>
      </c>
    </row>
    <row r="2068" spans="2:15">
      <c r="B2068" s="20">
        <v>45587</v>
      </c>
      <c r="C2068" s="20">
        <v>45587</v>
      </c>
      <c r="D2068" s="54">
        <v>50513699</v>
      </c>
      <c r="E2068" s="55" t="s">
        <v>338</v>
      </c>
      <c r="G2068" s="68">
        <v>1518</v>
      </c>
      <c r="H2068" s="56" t="s">
        <v>82</v>
      </c>
      <c r="J2068" s="56" t="s">
        <v>1770</v>
      </c>
      <c r="L2068" s="56" t="s">
        <v>838</v>
      </c>
      <c r="M2068" s="4" t="s">
        <v>176</v>
      </c>
      <c r="N2068" s="4" t="s">
        <v>177</v>
      </c>
      <c r="O2068" s="4" t="s">
        <v>178</v>
      </c>
    </row>
    <row r="2069" spans="2:15">
      <c r="B2069" s="20">
        <v>45587</v>
      </c>
      <c r="C2069" s="20">
        <v>45587</v>
      </c>
      <c r="D2069" s="54">
        <v>50801001</v>
      </c>
      <c r="E2069" s="55" t="s">
        <v>698</v>
      </c>
      <c r="G2069" s="68">
        <v>3897.8</v>
      </c>
      <c r="H2069" s="56" t="s">
        <v>82</v>
      </c>
      <c r="J2069" s="56" t="s">
        <v>1770</v>
      </c>
      <c r="L2069" s="56" t="s">
        <v>838</v>
      </c>
      <c r="M2069" s="4" t="s">
        <v>176</v>
      </c>
      <c r="N2069" s="4" t="s">
        <v>177</v>
      </c>
      <c r="O2069" s="4" t="s">
        <v>178</v>
      </c>
    </row>
    <row r="2070" spans="2:15">
      <c r="B2070" s="20">
        <v>45587</v>
      </c>
      <c r="C2070" s="20">
        <v>45587</v>
      </c>
      <c r="D2070" s="54">
        <v>50369034</v>
      </c>
      <c r="E2070" s="55" t="s">
        <v>322</v>
      </c>
      <c r="G2070" s="68">
        <v>1514</v>
      </c>
      <c r="H2070" s="56" t="s">
        <v>82</v>
      </c>
      <c r="J2070" s="56" t="s">
        <v>1770</v>
      </c>
      <c r="L2070" s="56" t="s">
        <v>838</v>
      </c>
      <c r="M2070" s="4" t="s">
        <v>176</v>
      </c>
      <c r="N2070" s="4" t="s">
        <v>177</v>
      </c>
      <c r="O2070" s="4" t="s">
        <v>178</v>
      </c>
    </row>
    <row r="2071" spans="2:15">
      <c r="B2071" s="20">
        <v>45587</v>
      </c>
      <c r="C2071" s="20">
        <v>45587</v>
      </c>
      <c r="D2071" s="54">
        <v>50824293</v>
      </c>
      <c r="E2071" s="55" t="s">
        <v>861</v>
      </c>
      <c r="G2071" s="68">
        <v>1944000</v>
      </c>
      <c r="H2071" s="56" t="s">
        <v>82</v>
      </c>
      <c r="J2071" s="56" t="s">
        <v>1770</v>
      </c>
      <c r="L2071" s="56" t="s">
        <v>838</v>
      </c>
      <c r="M2071" s="4" t="s">
        <v>176</v>
      </c>
      <c r="N2071" s="4" t="s">
        <v>177</v>
      </c>
      <c r="O2071" s="4" t="s">
        <v>178</v>
      </c>
    </row>
    <row r="2072" spans="2:15">
      <c r="B2072" s="20">
        <v>45588</v>
      </c>
      <c r="C2072" s="20">
        <v>45588</v>
      </c>
      <c r="D2072" s="54">
        <v>50286736</v>
      </c>
      <c r="E2072" s="55" t="s">
        <v>1771</v>
      </c>
      <c r="G2072" s="68">
        <v>510000</v>
      </c>
      <c r="H2072" s="56" t="s">
        <v>92</v>
      </c>
      <c r="J2072" s="56" t="s">
        <v>1772</v>
      </c>
      <c r="L2072" s="56" t="s">
        <v>1190</v>
      </c>
      <c r="M2072" s="4" t="s">
        <v>1444</v>
      </c>
      <c r="N2072" s="4" t="s">
        <v>803</v>
      </c>
      <c r="O2072" s="4" t="s">
        <v>178</v>
      </c>
    </row>
    <row r="2073" spans="2:15">
      <c r="B2073" s="20">
        <v>45588</v>
      </c>
      <c r="C2073" s="20">
        <v>45588</v>
      </c>
      <c r="D2073" s="54">
        <v>50286737</v>
      </c>
      <c r="E2073" s="55" t="s">
        <v>1773</v>
      </c>
      <c r="G2073" s="68">
        <v>510000</v>
      </c>
      <c r="H2073" s="56" t="s">
        <v>92</v>
      </c>
      <c r="J2073" s="56" t="s">
        <v>1772</v>
      </c>
      <c r="L2073" s="56" t="s">
        <v>1190</v>
      </c>
      <c r="M2073" s="4" t="s">
        <v>1444</v>
      </c>
      <c r="N2073" s="4" t="s">
        <v>803</v>
      </c>
      <c r="O2073" s="4" t="s">
        <v>178</v>
      </c>
    </row>
    <row r="2074" spans="2:15">
      <c r="B2074" s="20">
        <v>45588</v>
      </c>
      <c r="C2074" s="20">
        <v>45588</v>
      </c>
      <c r="D2074" s="54">
        <v>50272278</v>
      </c>
      <c r="E2074" s="55" t="s">
        <v>21</v>
      </c>
      <c r="G2074" s="68">
        <v>16650</v>
      </c>
      <c r="H2074" s="56" t="s">
        <v>92</v>
      </c>
      <c r="J2074" s="56" t="s">
        <v>1774</v>
      </c>
      <c r="L2074" s="56" t="s">
        <v>1761</v>
      </c>
      <c r="M2074" s="4" t="s">
        <v>1344</v>
      </c>
      <c r="N2074" s="4" t="s">
        <v>1775</v>
      </c>
      <c r="O2074" s="4" t="s">
        <v>178</v>
      </c>
    </row>
    <row r="2075" spans="2:15">
      <c r="B2075" s="20">
        <v>45588</v>
      </c>
      <c r="C2075" s="20">
        <v>45588</v>
      </c>
      <c r="D2075" s="54">
        <v>50272278</v>
      </c>
      <c r="E2075" s="55" t="s">
        <v>21</v>
      </c>
      <c r="G2075" s="68">
        <v>13000</v>
      </c>
      <c r="H2075" s="56" t="s">
        <v>92</v>
      </c>
      <c r="J2075" s="56" t="s">
        <v>1776</v>
      </c>
      <c r="L2075" s="56" t="s">
        <v>262</v>
      </c>
      <c r="M2075" s="4" t="s">
        <v>262</v>
      </c>
      <c r="N2075" s="4" t="s">
        <v>1274</v>
      </c>
      <c r="O2075" s="4" t="s">
        <v>178</v>
      </c>
    </row>
    <row r="2076" spans="2:15">
      <c r="B2076" s="20">
        <v>45589</v>
      </c>
      <c r="C2076" s="20">
        <v>45589</v>
      </c>
      <c r="D2076" s="54">
        <v>50272278</v>
      </c>
      <c r="E2076" s="55" t="s">
        <v>21</v>
      </c>
      <c r="G2076" s="68">
        <v>13000</v>
      </c>
      <c r="H2076" s="56" t="s">
        <v>92</v>
      </c>
      <c r="J2076" s="56" t="s">
        <v>1777</v>
      </c>
      <c r="L2076" s="56" t="s">
        <v>262</v>
      </c>
      <c r="M2076" s="4" t="s">
        <v>262</v>
      </c>
      <c r="N2076" s="4" t="s">
        <v>1274</v>
      </c>
      <c r="O2076" s="4" t="s">
        <v>178</v>
      </c>
    </row>
    <row r="2077" spans="2:15">
      <c r="B2077" s="20">
        <v>45589</v>
      </c>
      <c r="C2077" s="20">
        <v>45589</v>
      </c>
      <c r="D2077" s="54">
        <v>50834329</v>
      </c>
      <c r="E2077" s="55" t="s">
        <v>1778</v>
      </c>
      <c r="G2077" s="68">
        <v>3005</v>
      </c>
      <c r="H2077" s="56" t="s">
        <v>82</v>
      </c>
      <c r="J2077" s="56" t="s">
        <v>1779</v>
      </c>
      <c r="L2077" s="56" t="s">
        <v>947</v>
      </c>
      <c r="M2077" s="4" t="s">
        <v>660</v>
      </c>
      <c r="N2077" s="4" t="s">
        <v>428</v>
      </c>
      <c r="O2077" s="4" t="s">
        <v>178</v>
      </c>
    </row>
    <row r="2078" spans="2:15">
      <c r="B2078" s="20">
        <v>45589</v>
      </c>
      <c r="C2078" s="20">
        <v>45589</v>
      </c>
      <c r="D2078" s="54">
        <v>50142523</v>
      </c>
      <c r="E2078" s="55" t="s">
        <v>1157</v>
      </c>
      <c r="G2078" s="68">
        <v>1500</v>
      </c>
      <c r="H2078" s="56" t="s">
        <v>92</v>
      </c>
      <c r="J2078" s="56" t="s">
        <v>1780</v>
      </c>
      <c r="L2078" s="56" t="s">
        <v>286</v>
      </c>
      <c r="M2078" s="4" t="s">
        <v>286</v>
      </c>
      <c r="N2078" s="4" t="s">
        <v>1457</v>
      </c>
      <c r="O2078" s="4" t="s">
        <v>178</v>
      </c>
    </row>
    <row r="2079" spans="2:15">
      <c r="B2079" s="20">
        <v>45589</v>
      </c>
      <c r="C2079" s="20">
        <v>45589</v>
      </c>
      <c r="D2079" s="54">
        <v>50142520</v>
      </c>
      <c r="E2079" s="55" t="s">
        <v>1156</v>
      </c>
      <c r="G2079" s="68">
        <v>1000</v>
      </c>
      <c r="H2079" s="56" t="s">
        <v>92</v>
      </c>
      <c r="J2079" s="56" t="s">
        <v>1780</v>
      </c>
      <c r="L2079" s="56" t="s">
        <v>286</v>
      </c>
      <c r="M2079" s="4" t="s">
        <v>286</v>
      </c>
      <c r="N2079" s="4" t="s">
        <v>1457</v>
      </c>
      <c r="O2079" s="4" t="s">
        <v>178</v>
      </c>
    </row>
    <row r="2080" spans="2:15">
      <c r="B2080" s="20">
        <v>45589</v>
      </c>
      <c r="C2080" s="20">
        <v>45589</v>
      </c>
      <c r="D2080" s="54">
        <v>50142519</v>
      </c>
      <c r="E2080" s="55" t="s">
        <v>1575</v>
      </c>
      <c r="G2080" s="68">
        <v>3000</v>
      </c>
      <c r="H2080" s="56" t="s">
        <v>92</v>
      </c>
      <c r="J2080" s="56" t="s">
        <v>1781</v>
      </c>
      <c r="L2080" s="56" t="s">
        <v>286</v>
      </c>
      <c r="M2080" s="4" t="s">
        <v>286</v>
      </c>
      <c r="N2080" s="4" t="s">
        <v>1457</v>
      </c>
      <c r="O2080" s="4" t="s">
        <v>178</v>
      </c>
    </row>
    <row r="2081" spans="2:15">
      <c r="B2081" s="20">
        <v>45590</v>
      </c>
      <c r="C2081" s="20">
        <v>45590</v>
      </c>
      <c r="D2081" s="54">
        <v>50834329</v>
      </c>
      <c r="E2081" s="55" t="s">
        <v>1475</v>
      </c>
      <c r="G2081" s="68">
        <v>1501.2</v>
      </c>
      <c r="H2081" s="56" t="s">
        <v>987</v>
      </c>
      <c r="J2081" s="56" t="s">
        <v>1782</v>
      </c>
      <c r="L2081" s="56" t="s">
        <v>947</v>
      </c>
      <c r="M2081" s="4" t="s">
        <v>660</v>
      </c>
      <c r="N2081" s="4" t="s">
        <v>428</v>
      </c>
      <c r="O2081" s="4" t="s">
        <v>178</v>
      </c>
    </row>
    <row r="2082" spans="2:15">
      <c r="B2082" s="20">
        <v>45590</v>
      </c>
      <c r="C2082" s="20">
        <v>45590</v>
      </c>
      <c r="D2082" s="54">
        <v>50470190</v>
      </c>
      <c r="E2082" s="55" t="s">
        <v>12</v>
      </c>
      <c r="G2082" s="68">
        <v>9273600</v>
      </c>
      <c r="H2082" s="56" t="s">
        <v>92</v>
      </c>
      <c r="J2082" s="56" t="s">
        <v>1783</v>
      </c>
      <c r="L2082" s="56" t="s">
        <v>958</v>
      </c>
      <c r="M2082" s="4" t="s">
        <v>392</v>
      </c>
      <c r="N2082" s="4" t="s">
        <v>319</v>
      </c>
      <c r="O2082" s="4" t="s">
        <v>178</v>
      </c>
    </row>
    <row r="2083" spans="2:15">
      <c r="B2083" s="20">
        <v>45593</v>
      </c>
      <c r="C2083" s="20">
        <v>45593</v>
      </c>
      <c r="D2083" s="54">
        <v>50793278</v>
      </c>
      <c r="E2083" s="55" t="s">
        <v>1086</v>
      </c>
      <c r="G2083" s="68">
        <v>80</v>
      </c>
      <c r="H2083" s="56" t="s">
        <v>1087</v>
      </c>
      <c r="J2083" s="56">
        <v>1002121155</v>
      </c>
      <c r="L2083" s="56" t="s">
        <v>175</v>
      </c>
      <c r="M2083" s="4" t="s">
        <v>1784</v>
      </c>
      <c r="N2083" s="4" t="s">
        <v>1785</v>
      </c>
      <c r="O2083" s="4" t="s">
        <v>178</v>
      </c>
    </row>
    <row r="2084" spans="2:15">
      <c r="B2084" s="20">
        <v>45593</v>
      </c>
      <c r="C2084" s="20">
        <v>45593</v>
      </c>
      <c r="D2084" s="54">
        <v>50145028</v>
      </c>
      <c r="E2084" s="55" t="s">
        <v>23</v>
      </c>
      <c r="G2084" s="68">
        <v>768</v>
      </c>
      <c r="H2084" s="56" t="s">
        <v>92</v>
      </c>
      <c r="J2084" s="56" t="s">
        <v>1786</v>
      </c>
      <c r="L2084" s="56" t="s">
        <v>838</v>
      </c>
      <c r="M2084" s="4" t="s">
        <v>176</v>
      </c>
      <c r="N2084" s="4" t="s">
        <v>177</v>
      </c>
      <c r="O2084" s="4" t="s">
        <v>178</v>
      </c>
    </row>
    <row r="2085" spans="2:15">
      <c r="B2085" s="20">
        <v>45593</v>
      </c>
      <c r="C2085" s="20">
        <v>45593</v>
      </c>
      <c r="D2085" s="54">
        <v>50143893</v>
      </c>
      <c r="E2085" s="55" t="s">
        <v>24</v>
      </c>
      <c r="G2085" s="68">
        <v>3300</v>
      </c>
      <c r="H2085" s="56" t="s">
        <v>92</v>
      </c>
      <c r="J2085" s="56" t="s">
        <v>1786</v>
      </c>
      <c r="L2085" s="56" t="s">
        <v>838</v>
      </c>
      <c r="M2085" s="4" t="s">
        <v>176</v>
      </c>
      <c r="N2085" s="4" t="s">
        <v>177</v>
      </c>
      <c r="O2085" s="4" t="s">
        <v>178</v>
      </c>
    </row>
    <row r="2086" spans="2:15">
      <c r="B2086" s="20">
        <v>45594</v>
      </c>
      <c r="C2086" s="20">
        <v>45594</v>
      </c>
      <c r="D2086" s="54">
        <v>50272278</v>
      </c>
      <c r="E2086" s="55" t="s">
        <v>21</v>
      </c>
      <c r="G2086" s="68">
        <v>13000</v>
      </c>
      <c r="H2086" s="56" t="s">
        <v>92</v>
      </c>
      <c r="J2086" s="56" t="s">
        <v>1787</v>
      </c>
      <c r="L2086" s="56" t="s">
        <v>262</v>
      </c>
      <c r="M2086" s="4" t="s">
        <v>262</v>
      </c>
      <c r="N2086" s="4" t="s">
        <v>1274</v>
      </c>
      <c r="O2086" s="4" t="s">
        <v>178</v>
      </c>
    </row>
    <row r="2087" spans="2:15">
      <c r="B2087" s="20">
        <v>45594</v>
      </c>
      <c r="C2087" s="20">
        <v>45594</v>
      </c>
      <c r="D2087" s="54">
        <v>50834329</v>
      </c>
      <c r="E2087" s="55" t="s">
        <v>1475</v>
      </c>
      <c r="G2087" s="68">
        <v>289</v>
      </c>
      <c r="H2087" s="56" t="s">
        <v>82</v>
      </c>
      <c r="J2087" s="56" t="s">
        <v>1788</v>
      </c>
      <c r="L2087" s="56" t="s">
        <v>947</v>
      </c>
      <c r="M2087" s="4" t="s">
        <v>660</v>
      </c>
      <c r="N2087" s="4" t="s">
        <v>428</v>
      </c>
      <c r="O2087" s="4" t="s">
        <v>178</v>
      </c>
    </row>
    <row r="2088" spans="2:15">
      <c r="B2088" s="20">
        <v>45595</v>
      </c>
      <c r="C2088" s="20">
        <v>45595</v>
      </c>
      <c r="D2088" s="54">
        <v>40010086</v>
      </c>
      <c r="E2088" s="55" t="s">
        <v>79</v>
      </c>
      <c r="G2088" s="68">
        <v>14483</v>
      </c>
      <c r="H2088" s="56" t="s">
        <v>80</v>
      </c>
      <c r="J2088" s="56">
        <v>1002164674</v>
      </c>
      <c r="L2088" s="56" t="s">
        <v>175</v>
      </c>
      <c r="M2088" s="4" t="s">
        <v>520</v>
      </c>
      <c r="N2088" s="4" t="s">
        <v>1137</v>
      </c>
      <c r="O2088" s="4" t="s">
        <v>178</v>
      </c>
    </row>
    <row r="2089" spans="2:15">
      <c r="B2089" s="20">
        <v>45595</v>
      </c>
      <c r="C2089" s="20">
        <v>45595</v>
      </c>
      <c r="D2089" s="54">
        <v>40010087</v>
      </c>
      <c r="E2089" s="55" t="s">
        <v>387</v>
      </c>
      <c r="G2089" s="68">
        <v>15116</v>
      </c>
      <c r="H2089" s="56" t="s">
        <v>80</v>
      </c>
      <c r="J2089" s="56">
        <v>1002164674</v>
      </c>
      <c r="L2089" s="56" t="s">
        <v>175</v>
      </c>
      <c r="M2089" s="4" t="s">
        <v>520</v>
      </c>
      <c r="N2089" s="4" t="s">
        <v>1137</v>
      </c>
      <c r="O2089" s="4" t="s">
        <v>178</v>
      </c>
    </row>
    <row r="2090" spans="2:15">
      <c r="B2090" s="20">
        <v>45595</v>
      </c>
      <c r="C2090" s="20">
        <v>45595</v>
      </c>
      <c r="D2090" s="54">
        <v>40010084</v>
      </c>
      <c r="E2090" s="55" t="s">
        <v>81</v>
      </c>
      <c r="G2090" s="68">
        <v>6505</v>
      </c>
      <c r="H2090" s="56" t="s">
        <v>80</v>
      </c>
      <c r="J2090" s="56">
        <v>1002164674</v>
      </c>
      <c r="L2090" s="56" t="s">
        <v>175</v>
      </c>
      <c r="M2090" s="4" t="s">
        <v>520</v>
      </c>
      <c r="N2090" s="4" t="s">
        <v>1789</v>
      </c>
      <c r="O2090" s="4" t="s">
        <v>178</v>
      </c>
    </row>
    <row r="2091" spans="2:15">
      <c r="B2091" s="20">
        <v>45595</v>
      </c>
      <c r="C2091" s="20">
        <v>45595</v>
      </c>
      <c r="D2091" s="54">
        <v>40010083</v>
      </c>
      <c r="E2091" s="55" t="s">
        <v>85</v>
      </c>
      <c r="G2091" s="68">
        <v>5917</v>
      </c>
      <c r="H2091" s="56" t="s">
        <v>80</v>
      </c>
      <c r="J2091" s="56">
        <v>1002164674</v>
      </c>
      <c r="L2091" s="56" t="s">
        <v>175</v>
      </c>
      <c r="M2091" s="4" t="s">
        <v>520</v>
      </c>
      <c r="N2091" s="4" t="s">
        <v>1789</v>
      </c>
      <c r="O2091" s="4" t="s">
        <v>178</v>
      </c>
    </row>
    <row r="2092" spans="2:15">
      <c r="B2092" s="20">
        <v>45595</v>
      </c>
      <c r="C2092" s="20">
        <v>45595</v>
      </c>
      <c r="D2092" s="54">
        <v>40011133</v>
      </c>
      <c r="E2092" s="55" t="s">
        <v>634</v>
      </c>
      <c r="G2092" s="68">
        <v>11753</v>
      </c>
      <c r="H2092" s="56" t="s">
        <v>80</v>
      </c>
      <c r="J2092" s="56">
        <v>1002164674</v>
      </c>
      <c r="L2092" s="56" t="s">
        <v>175</v>
      </c>
      <c r="M2092" s="4" t="s">
        <v>520</v>
      </c>
      <c r="N2092" s="4" t="s">
        <v>1789</v>
      </c>
      <c r="O2092" s="4" t="s">
        <v>178</v>
      </c>
    </row>
    <row r="2093" spans="2:15">
      <c r="B2093" s="20">
        <v>45595</v>
      </c>
      <c r="C2093" s="20">
        <v>45595</v>
      </c>
      <c r="D2093" s="54">
        <v>40014675</v>
      </c>
      <c r="E2093" s="55" t="s">
        <v>44</v>
      </c>
      <c r="G2093" s="68">
        <v>106.4</v>
      </c>
      <c r="H2093" s="56" t="s">
        <v>1248</v>
      </c>
      <c r="J2093" s="56" t="s">
        <v>1790</v>
      </c>
      <c r="L2093" s="56" t="s">
        <v>1791</v>
      </c>
      <c r="M2093" s="4" t="s">
        <v>1792</v>
      </c>
      <c r="N2093" s="4" t="s">
        <v>1793</v>
      </c>
      <c r="O2093" s="4" t="s">
        <v>178</v>
      </c>
    </row>
    <row r="2094" spans="2:15">
      <c r="B2094" s="20">
        <v>45595</v>
      </c>
      <c r="C2094" s="20">
        <v>45595</v>
      </c>
      <c r="D2094" s="54">
        <v>40014675</v>
      </c>
      <c r="E2094" s="55" t="s">
        <v>44</v>
      </c>
      <c r="G2094" s="68">
        <v>114</v>
      </c>
      <c r="H2094" s="56" t="s">
        <v>1248</v>
      </c>
      <c r="J2094" s="56" t="s">
        <v>1794</v>
      </c>
      <c r="L2094" s="56" t="s">
        <v>1791</v>
      </c>
      <c r="M2094" s="4" t="s">
        <v>1792</v>
      </c>
      <c r="N2094" s="4" t="s">
        <v>1795</v>
      </c>
      <c r="O2094" s="4" t="s">
        <v>178</v>
      </c>
    </row>
    <row r="2095" spans="2:15">
      <c r="B2095" s="20">
        <v>45596</v>
      </c>
      <c r="C2095" s="20">
        <v>45596</v>
      </c>
      <c r="D2095" s="54">
        <v>40014675</v>
      </c>
      <c r="E2095" s="55" t="s">
        <v>44</v>
      </c>
      <c r="G2095" s="68">
        <v>114</v>
      </c>
      <c r="H2095" s="56" t="s">
        <v>1248</v>
      </c>
      <c r="J2095" s="56" t="s">
        <v>1796</v>
      </c>
      <c r="L2095" s="56" t="s">
        <v>1791</v>
      </c>
      <c r="M2095" s="4" t="s">
        <v>1792</v>
      </c>
      <c r="N2095" s="4" t="s">
        <v>1793</v>
      </c>
      <c r="O2095" s="4" t="s">
        <v>178</v>
      </c>
    </row>
    <row r="2096" spans="2:15">
      <c r="B2096" s="20">
        <v>45596</v>
      </c>
      <c r="C2096" s="20">
        <v>45596</v>
      </c>
      <c r="D2096" s="54">
        <v>40014675</v>
      </c>
      <c r="E2096" s="55" t="s">
        <v>44</v>
      </c>
      <c r="G2096" s="68">
        <v>114</v>
      </c>
      <c r="H2096" s="56" t="s">
        <v>1248</v>
      </c>
      <c r="J2096" s="56" t="s">
        <v>1797</v>
      </c>
      <c r="L2096" s="56" t="s">
        <v>1791</v>
      </c>
      <c r="M2096" s="4" t="s">
        <v>1792</v>
      </c>
      <c r="N2096" s="4" t="s">
        <v>1795</v>
      </c>
      <c r="O2096" s="4" t="s">
        <v>178</v>
      </c>
    </row>
    <row r="2097" spans="2:15">
      <c r="B2097" s="20">
        <v>45596</v>
      </c>
      <c r="C2097" s="20">
        <v>45596</v>
      </c>
      <c r="D2097" s="54">
        <v>40014675</v>
      </c>
      <c r="E2097" s="55" t="s">
        <v>44</v>
      </c>
      <c r="G2097" s="68">
        <v>114</v>
      </c>
      <c r="H2097" s="56" t="s">
        <v>1248</v>
      </c>
      <c r="J2097" s="56" t="s">
        <v>1798</v>
      </c>
      <c r="L2097" s="56" t="s">
        <v>1791</v>
      </c>
      <c r="M2097" s="4" t="s">
        <v>1792</v>
      </c>
      <c r="N2097" s="4" t="s">
        <v>1793</v>
      </c>
      <c r="O2097" s="4" t="s">
        <v>178</v>
      </c>
    </row>
    <row r="2098" spans="2:15">
      <c r="B2098" s="20">
        <v>45596</v>
      </c>
      <c r="C2098" s="20">
        <v>45596</v>
      </c>
      <c r="D2098" s="54">
        <v>40014675</v>
      </c>
      <c r="E2098" s="55" t="s">
        <v>44</v>
      </c>
      <c r="G2098" s="68">
        <v>114</v>
      </c>
      <c r="H2098" s="56" t="s">
        <v>1248</v>
      </c>
      <c r="J2098" s="56" t="s">
        <v>1799</v>
      </c>
      <c r="L2098" s="56" t="s">
        <v>1791</v>
      </c>
      <c r="M2098" s="4" t="s">
        <v>1792</v>
      </c>
      <c r="N2098" s="4" t="s">
        <v>1795</v>
      </c>
      <c r="O2098" s="4" t="s">
        <v>178</v>
      </c>
    </row>
    <row r="2099" spans="2:15">
      <c r="B2099" s="20">
        <v>45596</v>
      </c>
      <c r="C2099" s="20">
        <v>45596</v>
      </c>
      <c r="D2099" s="54">
        <v>40014675</v>
      </c>
      <c r="E2099" s="55" t="s">
        <v>44</v>
      </c>
      <c r="G2099" s="68">
        <v>102.6</v>
      </c>
      <c r="H2099" s="56" t="s">
        <v>1248</v>
      </c>
      <c r="J2099" s="56" t="s">
        <v>1800</v>
      </c>
      <c r="L2099" s="56" t="s">
        <v>1791</v>
      </c>
      <c r="M2099" s="4" t="s">
        <v>1792</v>
      </c>
      <c r="N2099" s="4" t="s">
        <v>1795</v>
      </c>
      <c r="O2099" s="4" t="s">
        <v>178</v>
      </c>
    </row>
    <row r="2100" spans="2:15">
      <c r="B2100" s="20">
        <v>45597</v>
      </c>
      <c r="C2100" s="20">
        <v>45597</v>
      </c>
      <c r="D2100" s="54">
        <v>50144376</v>
      </c>
      <c r="E2100" s="55" t="s">
        <v>19</v>
      </c>
      <c r="G2100" s="68">
        <v>13000</v>
      </c>
      <c r="H2100" s="56" t="s">
        <v>92</v>
      </c>
      <c r="J2100" s="56" t="s">
        <v>1801</v>
      </c>
      <c r="L2100" s="56" t="s">
        <v>262</v>
      </c>
      <c r="M2100" s="4" t="s">
        <v>262</v>
      </c>
      <c r="N2100" s="4" t="s">
        <v>1274</v>
      </c>
      <c r="O2100" s="4" t="s">
        <v>178</v>
      </c>
    </row>
    <row r="2101" spans="2:15">
      <c r="B2101" s="20">
        <v>45597</v>
      </c>
      <c r="C2101" s="20">
        <v>45597</v>
      </c>
      <c r="D2101" s="54">
        <v>50143875</v>
      </c>
      <c r="E2101" s="55" t="s">
        <v>713</v>
      </c>
      <c r="G2101" s="68">
        <v>10000</v>
      </c>
      <c r="H2101" s="56" t="s">
        <v>92</v>
      </c>
      <c r="J2101" s="56" t="s">
        <v>1802</v>
      </c>
      <c r="L2101" s="56" t="s">
        <v>615</v>
      </c>
      <c r="M2101" s="4" t="s">
        <v>615</v>
      </c>
      <c r="N2101" s="4" t="s">
        <v>1803</v>
      </c>
      <c r="O2101" s="4" t="s">
        <v>178</v>
      </c>
    </row>
    <row r="2102" spans="2:15">
      <c r="B2102" s="20">
        <v>45597</v>
      </c>
      <c r="C2102" s="20">
        <v>45597</v>
      </c>
      <c r="D2102" s="54">
        <v>50143894</v>
      </c>
      <c r="E2102" s="55" t="s">
        <v>944</v>
      </c>
      <c r="G2102" s="68">
        <v>5000</v>
      </c>
      <c r="H2102" s="56" t="s">
        <v>92</v>
      </c>
      <c r="J2102" s="56" t="s">
        <v>1802</v>
      </c>
      <c r="L2102" s="56" t="s">
        <v>615</v>
      </c>
      <c r="M2102" s="4" t="s">
        <v>615</v>
      </c>
      <c r="N2102" s="4" t="s">
        <v>1803</v>
      </c>
      <c r="O2102" s="4" t="s">
        <v>178</v>
      </c>
    </row>
    <row r="2103" spans="2:15">
      <c r="B2103" s="20">
        <v>45597</v>
      </c>
      <c r="C2103" s="20">
        <v>45597</v>
      </c>
      <c r="D2103" s="54">
        <v>50470190</v>
      </c>
      <c r="E2103" s="55" t="s">
        <v>12</v>
      </c>
      <c r="G2103" s="68">
        <v>9273600</v>
      </c>
      <c r="H2103" s="56" t="s">
        <v>92</v>
      </c>
      <c r="J2103" s="56" t="s">
        <v>1804</v>
      </c>
      <c r="L2103" s="56" t="s">
        <v>1805</v>
      </c>
      <c r="M2103" s="4" t="s">
        <v>392</v>
      </c>
      <c r="N2103" s="4" t="s">
        <v>1605</v>
      </c>
      <c r="O2103" s="4" t="s">
        <v>178</v>
      </c>
    </row>
    <row r="2104" spans="2:15">
      <c r="B2104" s="20">
        <v>45597</v>
      </c>
      <c r="C2104" s="20">
        <v>45597</v>
      </c>
      <c r="D2104" s="54">
        <v>50802401</v>
      </c>
      <c r="E2104" s="55" t="s">
        <v>13</v>
      </c>
      <c r="G2104" s="68">
        <v>9273600</v>
      </c>
      <c r="H2104" s="56" t="s">
        <v>92</v>
      </c>
      <c r="J2104" s="56" t="s">
        <v>1806</v>
      </c>
      <c r="L2104" s="56" t="s">
        <v>1117</v>
      </c>
      <c r="M2104" s="4" t="s">
        <v>392</v>
      </c>
      <c r="N2104" s="4" t="s">
        <v>1573</v>
      </c>
      <c r="O2104" s="4" t="s">
        <v>178</v>
      </c>
    </row>
    <row r="2105" spans="2:15">
      <c r="B2105" s="20">
        <v>45597</v>
      </c>
      <c r="C2105" s="20">
        <v>45597</v>
      </c>
      <c r="D2105" s="54">
        <v>50142237</v>
      </c>
      <c r="E2105" s="55" t="s">
        <v>617</v>
      </c>
      <c r="G2105" s="68">
        <v>57000</v>
      </c>
      <c r="H2105" s="56" t="s">
        <v>92</v>
      </c>
      <c r="J2105" s="56" t="s">
        <v>1807</v>
      </c>
      <c r="L2105" s="56" t="s">
        <v>1015</v>
      </c>
      <c r="M2105" s="4" t="s">
        <v>1015</v>
      </c>
      <c r="N2105" s="4" t="s">
        <v>766</v>
      </c>
      <c r="O2105" s="4" t="s">
        <v>178</v>
      </c>
    </row>
    <row r="2106" spans="2:15">
      <c r="B2106" s="20">
        <v>45598</v>
      </c>
      <c r="C2106" s="20">
        <v>45598</v>
      </c>
      <c r="D2106" s="54">
        <v>40014675</v>
      </c>
      <c r="E2106" s="55" t="s">
        <v>44</v>
      </c>
      <c r="G2106" s="68">
        <v>114</v>
      </c>
      <c r="H2106" s="56" t="s">
        <v>1248</v>
      </c>
      <c r="J2106" s="56" t="s">
        <v>1808</v>
      </c>
      <c r="L2106" s="56" t="s">
        <v>1791</v>
      </c>
      <c r="M2106" s="4" t="s">
        <v>1792</v>
      </c>
      <c r="N2106" s="4" t="s">
        <v>1795</v>
      </c>
      <c r="O2106" s="4" t="s">
        <v>178</v>
      </c>
    </row>
    <row r="2107" spans="2:15">
      <c r="B2107" s="20">
        <v>45598</v>
      </c>
      <c r="C2107" s="20">
        <v>45598</v>
      </c>
      <c r="D2107" s="54">
        <v>40014675</v>
      </c>
      <c r="E2107" s="55" t="s">
        <v>44</v>
      </c>
      <c r="G2107" s="68">
        <v>114</v>
      </c>
      <c r="H2107" s="56" t="s">
        <v>1248</v>
      </c>
      <c r="J2107" s="56" t="s">
        <v>1809</v>
      </c>
      <c r="L2107" s="56" t="s">
        <v>1791</v>
      </c>
      <c r="M2107" s="4" t="s">
        <v>1792</v>
      </c>
      <c r="N2107" s="4" t="s">
        <v>1793</v>
      </c>
      <c r="O2107" s="4" t="s">
        <v>178</v>
      </c>
    </row>
    <row r="2108" spans="2:15">
      <c r="B2108" s="20">
        <v>45598</v>
      </c>
      <c r="C2108" s="20">
        <v>45598</v>
      </c>
      <c r="D2108" s="54">
        <v>40014675</v>
      </c>
      <c r="E2108" s="55" t="s">
        <v>44</v>
      </c>
      <c r="G2108" s="68">
        <v>114</v>
      </c>
      <c r="H2108" s="56" t="s">
        <v>1248</v>
      </c>
      <c r="J2108" s="56" t="s">
        <v>1810</v>
      </c>
      <c r="L2108" s="56" t="s">
        <v>1791</v>
      </c>
      <c r="M2108" s="4" t="s">
        <v>1792</v>
      </c>
      <c r="N2108" s="4" t="s">
        <v>1795</v>
      </c>
      <c r="O2108" s="4" t="s">
        <v>178</v>
      </c>
    </row>
    <row r="2109" spans="2:15">
      <c r="B2109" s="20">
        <v>45598</v>
      </c>
      <c r="C2109" s="20">
        <v>45598</v>
      </c>
      <c r="D2109" s="54">
        <v>40014675</v>
      </c>
      <c r="E2109" s="55" t="s">
        <v>44</v>
      </c>
      <c r="G2109" s="68">
        <v>114</v>
      </c>
      <c r="H2109" s="56" t="s">
        <v>1248</v>
      </c>
      <c r="J2109" s="56" t="s">
        <v>1811</v>
      </c>
      <c r="L2109" s="56" t="s">
        <v>1791</v>
      </c>
      <c r="M2109" s="4" t="s">
        <v>1792</v>
      </c>
      <c r="N2109" s="4" t="s">
        <v>1793</v>
      </c>
      <c r="O2109" s="4" t="s">
        <v>178</v>
      </c>
    </row>
    <row r="2110" spans="2:15">
      <c r="B2110" s="20">
        <v>45598</v>
      </c>
      <c r="C2110" s="20">
        <v>45598</v>
      </c>
      <c r="D2110" s="54">
        <v>40014675</v>
      </c>
      <c r="E2110" s="55" t="s">
        <v>44</v>
      </c>
      <c r="G2110" s="68">
        <v>114</v>
      </c>
      <c r="H2110" s="56" t="s">
        <v>1248</v>
      </c>
      <c r="J2110" s="56" t="s">
        <v>1812</v>
      </c>
      <c r="L2110" s="56" t="s">
        <v>1791</v>
      </c>
      <c r="M2110" s="4" t="s">
        <v>1792</v>
      </c>
      <c r="N2110" s="4" t="s">
        <v>1795</v>
      </c>
      <c r="O2110" s="4" t="s">
        <v>178</v>
      </c>
    </row>
    <row r="2111" spans="2:15">
      <c r="B2111" s="20">
        <v>45600</v>
      </c>
      <c r="C2111" s="20">
        <v>45600</v>
      </c>
      <c r="D2111" s="54">
        <v>50480086</v>
      </c>
      <c r="E2111" s="55" t="s">
        <v>1813</v>
      </c>
      <c r="G2111" s="68">
        <v>4850.15</v>
      </c>
      <c r="H2111" s="56" t="s">
        <v>82</v>
      </c>
      <c r="J2111" s="56" t="s">
        <v>1814</v>
      </c>
      <c r="L2111" s="56" t="s">
        <v>947</v>
      </c>
      <c r="M2111" s="4" t="s">
        <v>660</v>
      </c>
      <c r="N2111" s="4" t="s">
        <v>1203</v>
      </c>
      <c r="O2111" s="4" t="s">
        <v>178</v>
      </c>
    </row>
    <row r="2112" spans="2:15">
      <c r="B2112" s="20">
        <v>45600</v>
      </c>
      <c r="C2112" s="20">
        <v>45600</v>
      </c>
      <c r="D2112" s="54">
        <v>50142237</v>
      </c>
      <c r="E2112" s="55" t="s">
        <v>617</v>
      </c>
      <c r="G2112" s="68">
        <v>8000</v>
      </c>
      <c r="H2112" s="56" t="s">
        <v>92</v>
      </c>
      <c r="J2112" s="56" t="s">
        <v>1807</v>
      </c>
      <c r="L2112" s="56" t="s">
        <v>1015</v>
      </c>
      <c r="M2112" s="4" t="s">
        <v>1015</v>
      </c>
      <c r="N2112" s="4" t="s">
        <v>1054</v>
      </c>
      <c r="O2112" s="4" t="s">
        <v>178</v>
      </c>
    </row>
    <row r="2113" spans="2:15">
      <c r="B2113" s="20">
        <v>45601</v>
      </c>
      <c r="C2113" s="20">
        <v>45601</v>
      </c>
      <c r="D2113" s="54">
        <v>50397884</v>
      </c>
      <c r="E2113" s="55" t="s">
        <v>1296</v>
      </c>
      <c r="G2113" s="68">
        <v>2565</v>
      </c>
      <c r="H2113" s="56" t="s">
        <v>80</v>
      </c>
      <c r="J2113" s="56">
        <v>12401423</v>
      </c>
      <c r="L2113" s="56" t="s">
        <v>1815</v>
      </c>
      <c r="M2113" s="4" t="s">
        <v>1816</v>
      </c>
      <c r="N2113" s="4" t="s">
        <v>1817</v>
      </c>
      <c r="O2113" s="4" t="s">
        <v>178</v>
      </c>
    </row>
    <row r="2114" spans="2:15">
      <c r="B2114" s="20">
        <v>45601</v>
      </c>
      <c r="C2114" s="20">
        <v>45601</v>
      </c>
      <c r="D2114" s="54">
        <v>50397884</v>
      </c>
      <c r="E2114" s="55" t="s">
        <v>1296</v>
      </c>
      <c r="G2114" s="68">
        <v>5940</v>
      </c>
      <c r="H2114" s="56" t="s">
        <v>80</v>
      </c>
      <c r="J2114" s="56">
        <v>12401418</v>
      </c>
      <c r="L2114" s="56" t="s">
        <v>1815</v>
      </c>
      <c r="M2114" s="4" t="s">
        <v>498</v>
      </c>
      <c r="N2114" s="4" t="s">
        <v>1818</v>
      </c>
      <c r="O2114" s="4" t="s">
        <v>178</v>
      </c>
    </row>
    <row r="2115" spans="2:15">
      <c r="B2115" s="20">
        <v>45601</v>
      </c>
      <c r="C2115" s="20">
        <v>45601</v>
      </c>
      <c r="D2115" s="54">
        <v>50272278</v>
      </c>
      <c r="E2115" s="55" t="s">
        <v>21</v>
      </c>
      <c r="G2115" s="68">
        <v>13000</v>
      </c>
      <c r="H2115" s="56" t="s">
        <v>92</v>
      </c>
      <c r="J2115" s="56" t="s">
        <v>1819</v>
      </c>
      <c r="L2115" s="56" t="s">
        <v>262</v>
      </c>
      <c r="M2115" s="4" t="s">
        <v>262</v>
      </c>
      <c r="N2115" s="4" t="s">
        <v>1274</v>
      </c>
      <c r="O2115" s="4" t="s">
        <v>178</v>
      </c>
    </row>
    <row r="2116" spans="2:15">
      <c r="B2116" s="20">
        <v>45601</v>
      </c>
      <c r="C2116" s="20">
        <v>45601</v>
      </c>
      <c r="D2116" s="54">
        <v>50142237</v>
      </c>
      <c r="E2116" s="55" t="s">
        <v>617</v>
      </c>
      <c r="G2116" s="68">
        <v>15000</v>
      </c>
      <c r="H2116" s="56" t="s">
        <v>92</v>
      </c>
      <c r="J2116" s="56" t="s">
        <v>1820</v>
      </c>
      <c r="L2116" s="56" t="s">
        <v>1015</v>
      </c>
      <c r="M2116" s="4" t="s">
        <v>1015</v>
      </c>
      <c r="N2116" s="4" t="s">
        <v>1054</v>
      </c>
      <c r="O2116" s="4" t="s">
        <v>178</v>
      </c>
    </row>
    <row r="2117" spans="2:15">
      <c r="B2117" s="20">
        <v>45601</v>
      </c>
      <c r="C2117" s="20">
        <v>45601</v>
      </c>
      <c r="D2117" s="54">
        <v>40014675</v>
      </c>
      <c r="E2117" s="55" t="s">
        <v>44</v>
      </c>
      <c r="G2117" s="68">
        <v>114</v>
      </c>
      <c r="H2117" s="56" t="s">
        <v>1248</v>
      </c>
      <c r="J2117" s="56" t="s">
        <v>1821</v>
      </c>
      <c r="L2117" s="56" t="s">
        <v>1791</v>
      </c>
      <c r="M2117" s="4" t="s">
        <v>1792</v>
      </c>
      <c r="N2117" s="4" t="s">
        <v>1793</v>
      </c>
      <c r="O2117" s="4" t="s">
        <v>178</v>
      </c>
    </row>
    <row r="2118" spans="2:15">
      <c r="B2118" s="20">
        <v>45601</v>
      </c>
      <c r="C2118" s="20">
        <v>45601</v>
      </c>
      <c r="D2118" s="54">
        <v>40014675</v>
      </c>
      <c r="E2118" s="55" t="s">
        <v>44</v>
      </c>
      <c r="G2118" s="68">
        <v>114</v>
      </c>
      <c r="H2118" s="56" t="s">
        <v>1248</v>
      </c>
      <c r="J2118" s="56" t="s">
        <v>1822</v>
      </c>
      <c r="L2118" s="56" t="s">
        <v>1791</v>
      </c>
      <c r="M2118" s="4" t="s">
        <v>1792</v>
      </c>
      <c r="N2118" s="4" t="s">
        <v>1795</v>
      </c>
      <c r="O2118" s="4" t="s">
        <v>178</v>
      </c>
    </row>
    <row r="2119" spans="2:15">
      <c r="B2119" s="20">
        <v>45601</v>
      </c>
      <c r="C2119" s="20">
        <v>45601</v>
      </c>
      <c r="D2119" s="54">
        <v>40014675</v>
      </c>
      <c r="E2119" s="55" t="s">
        <v>44</v>
      </c>
      <c r="G2119" s="68">
        <v>114</v>
      </c>
      <c r="H2119" s="56" t="s">
        <v>1248</v>
      </c>
      <c r="J2119" s="56" t="s">
        <v>1823</v>
      </c>
      <c r="L2119" s="56" t="s">
        <v>1791</v>
      </c>
      <c r="M2119" s="4" t="s">
        <v>1792</v>
      </c>
      <c r="N2119" s="4" t="s">
        <v>1793</v>
      </c>
      <c r="O2119" s="4" t="s">
        <v>178</v>
      </c>
    </row>
    <row r="2120" spans="2:15">
      <c r="B2120" s="20">
        <v>45601</v>
      </c>
      <c r="C2120" s="20">
        <v>45601</v>
      </c>
      <c r="D2120" s="54">
        <v>40014675</v>
      </c>
      <c r="E2120" s="55" t="s">
        <v>44</v>
      </c>
      <c r="G2120" s="68">
        <v>114</v>
      </c>
      <c r="H2120" s="56" t="s">
        <v>1248</v>
      </c>
      <c r="J2120" s="56" t="s">
        <v>1824</v>
      </c>
      <c r="L2120" s="56" t="s">
        <v>1791</v>
      </c>
      <c r="M2120" s="4" t="s">
        <v>1792</v>
      </c>
      <c r="N2120" s="4" t="s">
        <v>1795</v>
      </c>
      <c r="O2120" s="4" t="s">
        <v>178</v>
      </c>
    </row>
    <row r="2121" spans="2:15">
      <c r="B2121" s="20">
        <v>45601</v>
      </c>
      <c r="C2121" s="20">
        <v>45601</v>
      </c>
      <c r="D2121" s="54">
        <v>50804929</v>
      </c>
      <c r="E2121" s="55" t="s">
        <v>856</v>
      </c>
      <c r="G2121" s="68">
        <v>2310000</v>
      </c>
      <c r="H2121" s="56" t="s">
        <v>92</v>
      </c>
      <c r="J2121" s="56" t="s">
        <v>1825</v>
      </c>
      <c r="L2121" s="56" t="s">
        <v>358</v>
      </c>
      <c r="M2121" s="4" t="s">
        <v>1452</v>
      </c>
      <c r="N2121" s="4" t="s">
        <v>1453</v>
      </c>
      <c r="O2121" s="4" t="s">
        <v>178</v>
      </c>
    </row>
    <row r="2122" spans="2:15">
      <c r="B2122" s="20">
        <v>45602</v>
      </c>
      <c r="C2122" s="20">
        <v>45602</v>
      </c>
      <c r="D2122" s="54">
        <v>50470190</v>
      </c>
      <c r="E2122" s="55" t="s">
        <v>12</v>
      </c>
      <c r="G2122" s="68">
        <v>9273600</v>
      </c>
      <c r="H2122" s="56" t="s">
        <v>92</v>
      </c>
      <c r="J2122" s="56" t="s">
        <v>1826</v>
      </c>
      <c r="L2122" s="56" t="s">
        <v>958</v>
      </c>
      <c r="M2122" s="4" t="s">
        <v>392</v>
      </c>
      <c r="N2122" s="4" t="s">
        <v>1605</v>
      </c>
      <c r="O2122" s="4" t="s">
        <v>178</v>
      </c>
    </row>
    <row r="2123" spans="2:15">
      <c r="B2123" s="20">
        <v>45602</v>
      </c>
      <c r="C2123" s="20">
        <v>45602</v>
      </c>
      <c r="D2123" s="54">
        <v>40011148</v>
      </c>
      <c r="E2123" s="55" t="s">
        <v>86</v>
      </c>
      <c r="G2123" s="68">
        <v>1350</v>
      </c>
      <c r="H2123" s="56" t="s">
        <v>92</v>
      </c>
      <c r="J2123" s="56" t="s">
        <v>1827</v>
      </c>
      <c r="L2123" s="56" t="s">
        <v>838</v>
      </c>
      <c r="M2123" s="4" t="s">
        <v>176</v>
      </c>
      <c r="N2123" s="4" t="s">
        <v>177</v>
      </c>
      <c r="O2123" s="4" t="s">
        <v>178</v>
      </c>
    </row>
    <row r="2124" spans="2:15">
      <c r="B2124" s="20">
        <v>45602</v>
      </c>
      <c r="C2124" s="20">
        <v>45602</v>
      </c>
      <c r="D2124" s="54">
        <v>40014675</v>
      </c>
      <c r="E2124" s="55" t="s">
        <v>44</v>
      </c>
      <c r="G2124" s="68">
        <v>15.368</v>
      </c>
      <c r="H2124" s="56" t="s">
        <v>80</v>
      </c>
      <c r="J2124" s="56" t="s">
        <v>1828</v>
      </c>
      <c r="L2124" s="56" t="s">
        <v>1791</v>
      </c>
      <c r="M2124" s="4" t="s">
        <v>1792</v>
      </c>
      <c r="N2124" s="4" t="s">
        <v>1793</v>
      </c>
      <c r="O2124" s="4" t="s">
        <v>178</v>
      </c>
    </row>
    <row r="2125" spans="2:15">
      <c r="B2125" s="20">
        <v>45602</v>
      </c>
      <c r="C2125" s="20">
        <v>45602</v>
      </c>
      <c r="D2125" s="54">
        <v>50271649</v>
      </c>
      <c r="E2125" s="55" t="s">
        <v>1435</v>
      </c>
      <c r="G2125" s="68">
        <v>3672</v>
      </c>
      <c r="H2125" s="56" t="s">
        <v>92</v>
      </c>
      <c r="J2125" s="56" t="s">
        <v>1828</v>
      </c>
      <c r="L2125" s="56" t="s">
        <v>1791</v>
      </c>
      <c r="M2125" s="4" t="s">
        <v>1792</v>
      </c>
      <c r="N2125" s="4" t="s">
        <v>1793</v>
      </c>
      <c r="O2125" s="4" t="s">
        <v>178</v>
      </c>
    </row>
    <row r="2126" spans="2:15">
      <c r="B2126" s="20">
        <v>45603</v>
      </c>
      <c r="C2126" s="20">
        <v>45603</v>
      </c>
      <c r="D2126" s="54">
        <v>50144376</v>
      </c>
      <c r="E2126" s="55" t="s">
        <v>19</v>
      </c>
      <c r="G2126" s="68">
        <v>12000</v>
      </c>
      <c r="H2126" s="56" t="s">
        <v>92</v>
      </c>
      <c r="J2126" s="56" t="s">
        <v>1829</v>
      </c>
      <c r="L2126" s="56" t="s">
        <v>262</v>
      </c>
      <c r="M2126" s="4" t="s">
        <v>262</v>
      </c>
      <c r="N2126" s="4" t="s">
        <v>1274</v>
      </c>
      <c r="O2126" s="4" t="s">
        <v>178</v>
      </c>
    </row>
    <row r="2127" spans="2:15">
      <c r="B2127" s="20">
        <v>45603</v>
      </c>
      <c r="C2127" s="20">
        <v>45603</v>
      </c>
      <c r="D2127" s="54">
        <v>50145028</v>
      </c>
      <c r="E2127" s="55" t="s">
        <v>23</v>
      </c>
      <c r="G2127" s="68">
        <v>1920</v>
      </c>
      <c r="H2127" s="56" t="s">
        <v>92</v>
      </c>
      <c r="J2127" s="56" t="s">
        <v>1830</v>
      </c>
      <c r="L2127" s="56" t="s">
        <v>673</v>
      </c>
      <c r="M2127" s="4" t="s">
        <v>673</v>
      </c>
      <c r="N2127" s="4" t="s">
        <v>1014</v>
      </c>
      <c r="O2127" s="4" t="s">
        <v>178</v>
      </c>
    </row>
    <row r="2128" spans="2:15">
      <c r="B2128" s="20">
        <v>45603</v>
      </c>
      <c r="C2128" s="20">
        <v>45603</v>
      </c>
      <c r="D2128" s="54">
        <v>50802401</v>
      </c>
      <c r="E2128" s="55" t="s">
        <v>13</v>
      </c>
      <c r="G2128" s="68">
        <v>9273600</v>
      </c>
      <c r="H2128" s="56" t="s">
        <v>92</v>
      </c>
      <c r="J2128" s="56" t="s">
        <v>1831</v>
      </c>
      <c r="L2128" s="56" t="s">
        <v>1117</v>
      </c>
      <c r="M2128" s="4" t="s">
        <v>392</v>
      </c>
      <c r="N2128" s="4" t="s">
        <v>1573</v>
      </c>
      <c r="O2128" s="4" t="s">
        <v>178</v>
      </c>
    </row>
    <row r="2129" spans="2:15">
      <c r="B2129" s="20">
        <v>45604</v>
      </c>
      <c r="C2129" s="20">
        <v>45604</v>
      </c>
      <c r="D2129" s="54">
        <v>20016059</v>
      </c>
      <c r="E2129" s="55" t="s">
        <v>1498</v>
      </c>
      <c r="G2129" s="68">
        <v>200</v>
      </c>
      <c r="H2129" s="56" t="s">
        <v>92</v>
      </c>
      <c r="J2129" s="56">
        <v>3263</v>
      </c>
      <c r="L2129" s="56" t="s">
        <v>1499</v>
      </c>
      <c r="M2129" s="4" t="s">
        <v>1499</v>
      </c>
      <c r="N2129" s="4" t="s">
        <v>1832</v>
      </c>
      <c r="O2129" s="4" t="s">
        <v>178</v>
      </c>
    </row>
    <row r="2130" spans="2:15">
      <c r="B2130" s="20">
        <v>45604</v>
      </c>
      <c r="C2130" s="20">
        <v>45604</v>
      </c>
      <c r="D2130" s="54">
        <v>50839405</v>
      </c>
      <c r="E2130" s="55" t="s">
        <v>1833</v>
      </c>
      <c r="G2130" s="68">
        <v>798.5</v>
      </c>
      <c r="H2130" s="56" t="s">
        <v>82</v>
      </c>
      <c r="J2130" s="56" t="s">
        <v>1834</v>
      </c>
      <c r="L2130" s="56" t="s">
        <v>1227</v>
      </c>
      <c r="M2130" s="4" t="s">
        <v>660</v>
      </c>
      <c r="N2130" s="4" t="s">
        <v>1835</v>
      </c>
      <c r="O2130" s="4" t="s">
        <v>178</v>
      </c>
    </row>
    <row r="2131" spans="2:15">
      <c r="B2131" s="20">
        <v>45604</v>
      </c>
      <c r="C2131" s="20">
        <v>45604</v>
      </c>
      <c r="D2131" s="54">
        <v>50144376</v>
      </c>
      <c r="E2131" s="55" t="s">
        <v>19</v>
      </c>
      <c r="G2131" s="68">
        <v>13000</v>
      </c>
      <c r="H2131" s="56" t="s">
        <v>92</v>
      </c>
      <c r="J2131" s="56" t="s">
        <v>1836</v>
      </c>
      <c r="L2131" s="56" t="s">
        <v>262</v>
      </c>
      <c r="M2131" s="4" t="s">
        <v>262</v>
      </c>
      <c r="N2131" s="4" t="s">
        <v>1274</v>
      </c>
      <c r="O2131" s="4" t="s">
        <v>178</v>
      </c>
    </row>
    <row r="2132" spans="2:15">
      <c r="B2132" s="20">
        <v>45604</v>
      </c>
      <c r="C2132" s="20">
        <v>45604</v>
      </c>
      <c r="D2132" s="54">
        <v>50145029</v>
      </c>
      <c r="E2132" s="55" t="s">
        <v>705</v>
      </c>
      <c r="G2132" s="68">
        <v>48</v>
      </c>
      <c r="H2132" s="56" t="s">
        <v>505</v>
      </c>
      <c r="J2132" s="56" t="s">
        <v>1837</v>
      </c>
      <c r="L2132" s="56" t="s">
        <v>1053</v>
      </c>
      <c r="M2132" s="4" t="s">
        <v>1053</v>
      </c>
      <c r="N2132" s="4" t="s">
        <v>836</v>
      </c>
      <c r="O2132" s="4" t="s">
        <v>178</v>
      </c>
    </row>
    <row r="2133" spans="2:15">
      <c r="B2133" s="20">
        <v>45604</v>
      </c>
      <c r="C2133" s="20">
        <v>45604</v>
      </c>
      <c r="D2133" s="54">
        <v>50392045</v>
      </c>
      <c r="E2133" s="55" t="s">
        <v>707</v>
      </c>
      <c r="G2133" s="68">
        <v>48</v>
      </c>
      <c r="H2133" s="56" t="s">
        <v>505</v>
      </c>
      <c r="J2133" s="56" t="s">
        <v>1837</v>
      </c>
      <c r="L2133" s="56" t="s">
        <v>1053</v>
      </c>
      <c r="M2133" s="4" t="s">
        <v>1053</v>
      </c>
      <c r="N2133" s="4" t="s">
        <v>836</v>
      </c>
      <c r="O2133" s="4" t="s">
        <v>178</v>
      </c>
    </row>
    <row r="2134" spans="2:15">
      <c r="B2134" s="20">
        <v>45604</v>
      </c>
      <c r="C2134" s="20">
        <v>45604</v>
      </c>
      <c r="D2134" s="54">
        <v>50145012</v>
      </c>
      <c r="E2134" s="55" t="s">
        <v>504</v>
      </c>
      <c r="G2134" s="68">
        <v>48</v>
      </c>
      <c r="H2134" s="56" t="s">
        <v>505</v>
      </c>
      <c r="J2134" s="56" t="s">
        <v>1837</v>
      </c>
      <c r="L2134" s="56" t="s">
        <v>1053</v>
      </c>
      <c r="M2134" s="4" t="s">
        <v>1053</v>
      </c>
      <c r="N2134" s="4" t="s">
        <v>836</v>
      </c>
      <c r="O2134" s="4" t="s">
        <v>178</v>
      </c>
    </row>
    <row r="2135" spans="2:15">
      <c r="B2135" s="20">
        <v>45604</v>
      </c>
      <c r="C2135" s="20">
        <v>45604</v>
      </c>
      <c r="D2135" s="54">
        <v>50392046</v>
      </c>
      <c r="E2135" s="55" t="s">
        <v>509</v>
      </c>
      <c r="G2135" s="68">
        <v>48</v>
      </c>
      <c r="H2135" s="56" t="s">
        <v>505</v>
      </c>
      <c r="J2135" s="56" t="s">
        <v>1837</v>
      </c>
      <c r="L2135" s="56" t="s">
        <v>1053</v>
      </c>
      <c r="M2135" s="4" t="s">
        <v>1053</v>
      </c>
      <c r="N2135" s="4" t="s">
        <v>836</v>
      </c>
      <c r="O2135" s="4" t="s">
        <v>178</v>
      </c>
    </row>
    <row r="2136" spans="2:15">
      <c r="B2136" s="20">
        <v>45604</v>
      </c>
      <c r="C2136" s="20">
        <v>45604</v>
      </c>
      <c r="D2136" s="54">
        <v>50820741</v>
      </c>
      <c r="E2136" s="55" t="s">
        <v>1838</v>
      </c>
      <c r="G2136" s="68">
        <v>9273600</v>
      </c>
      <c r="H2136" s="56" t="s">
        <v>92</v>
      </c>
      <c r="J2136" s="56" t="s">
        <v>1839</v>
      </c>
      <c r="L2136" s="56" t="s">
        <v>1117</v>
      </c>
      <c r="M2136" s="4" t="s">
        <v>1118</v>
      </c>
      <c r="N2136" s="4" t="s">
        <v>1840</v>
      </c>
      <c r="O2136" s="4" t="s">
        <v>178</v>
      </c>
    </row>
    <row r="2137" spans="2:15">
      <c r="B2137" s="20">
        <v>45604</v>
      </c>
      <c r="C2137" s="20">
        <v>45604</v>
      </c>
      <c r="D2137" s="54">
        <v>50820741</v>
      </c>
      <c r="E2137" s="55" t="s">
        <v>1838</v>
      </c>
      <c r="G2137" s="68">
        <v>9273600</v>
      </c>
      <c r="H2137" s="56" t="s">
        <v>92</v>
      </c>
      <c r="J2137" s="56" t="s">
        <v>1841</v>
      </c>
      <c r="L2137" s="56" t="s">
        <v>1117</v>
      </c>
      <c r="M2137" s="4" t="s">
        <v>392</v>
      </c>
      <c r="N2137" s="4" t="s">
        <v>1842</v>
      </c>
      <c r="O2137" s="4" t="s">
        <v>178</v>
      </c>
    </row>
    <row r="2138" spans="2:15">
      <c r="B2138" s="20">
        <v>45604</v>
      </c>
      <c r="C2138" s="20">
        <v>45604</v>
      </c>
      <c r="D2138" s="54">
        <v>40014900</v>
      </c>
      <c r="E2138" s="55" t="s">
        <v>153</v>
      </c>
      <c r="G2138" s="68">
        <v>114</v>
      </c>
      <c r="H2138" s="56" t="s">
        <v>80</v>
      </c>
      <c r="J2138" s="56" t="s">
        <v>1843</v>
      </c>
      <c r="L2138" s="56" t="s">
        <v>1791</v>
      </c>
      <c r="M2138" s="4" t="s">
        <v>1792</v>
      </c>
      <c r="N2138" s="4" t="s">
        <v>1793</v>
      </c>
      <c r="O2138" s="4" t="s">
        <v>178</v>
      </c>
    </row>
    <row r="2139" spans="2:15">
      <c r="B2139" s="20">
        <v>45604</v>
      </c>
      <c r="C2139" s="20">
        <v>45604</v>
      </c>
      <c r="D2139" s="54">
        <v>40014900</v>
      </c>
      <c r="E2139" s="55" t="s">
        <v>153</v>
      </c>
      <c r="G2139" s="68">
        <v>114</v>
      </c>
      <c r="H2139" s="56" t="s">
        <v>80</v>
      </c>
      <c r="J2139" s="56" t="s">
        <v>1844</v>
      </c>
      <c r="L2139" s="56" t="s">
        <v>1791</v>
      </c>
      <c r="M2139" s="4" t="s">
        <v>1792</v>
      </c>
      <c r="N2139" s="4" t="s">
        <v>1795</v>
      </c>
      <c r="O2139" s="4" t="s">
        <v>178</v>
      </c>
    </row>
    <row r="2140" spans="2:15">
      <c r="B2140" s="20">
        <v>45604</v>
      </c>
      <c r="C2140" s="20">
        <v>45604</v>
      </c>
      <c r="D2140" s="54">
        <v>40014900</v>
      </c>
      <c r="E2140" s="55" t="s">
        <v>153</v>
      </c>
      <c r="G2140" s="68">
        <v>22.8</v>
      </c>
      <c r="H2140" s="56" t="s">
        <v>80</v>
      </c>
      <c r="J2140" s="56" t="s">
        <v>1845</v>
      </c>
      <c r="L2140" s="56" t="s">
        <v>1791</v>
      </c>
      <c r="M2140" s="4" t="s">
        <v>1792</v>
      </c>
      <c r="N2140" s="4" t="s">
        <v>1795</v>
      </c>
      <c r="O2140" s="4" t="s">
        <v>178</v>
      </c>
    </row>
    <row r="2141" spans="2:15">
      <c r="B2141" s="20">
        <v>45607</v>
      </c>
      <c r="C2141" s="20">
        <v>45607</v>
      </c>
      <c r="D2141" s="54">
        <v>50837284</v>
      </c>
      <c r="E2141" s="55" t="s">
        <v>28</v>
      </c>
      <c r="G2141" s="68">
        <v>2794.65</v>
      </c>
      <c r="H2141" s="56" t="s">
        <v>987</v>
      </c>
      <c r="J2141" s="56" t="s">
        <v>1846</v>
      </c>
      <c r="L2141" s="56" t="s">
        <v>1227</v>
      </c>
      <c r="M2141" s="4" t="s">
        <v>660</v>
      </c>
      <c r="N2141" s="4" t="s">
        <v>1835</v>
      </c>
      <c r="O2141" s="4" t="s">
        <v>178</v>
      </c>
    </row>
    <row r="2142" spans="2:15">
      <c r="B2142" s="20">
        <v>45608</v>
      </c>
      <c r="C2142" s="20">
        <v>45608</v>
      </c>
      <c r="D2142" s="54">
        <v>50144376</v>
      </c>
      <c r="E2142" s="55" t="s">
        <v>19</v>
      </c>
      <c r="G2142" s="68">
        <v>13000</v>
      </c>
      <c r="H2142" s="56" t="s">
        <v>92</v>
      </c>
      <c r="J2142" s="56" t="s">
        <v>1847</v>
      </c>
      <c r="L2142" s="56" t="s">
        <v>262</v>
      </c>
      <c r="M2142" s="4" t="s">
        <v>262</v>
      </c>
      <c r="N2142" s="4" t="s">
        <v>1274</v>
      </c>
      <c r="O2142" s="4" t="s">
        <v>178</v>
      </c>
    </row>
    <row r="2143" spans="2:15">
      <c r="B2143" s="20">
        <v>45609</v>
      </c>
      <c r="C2143" s="20">
        <v>45609</v>
      </c>
      <c r="D2143" s="54">
        <v>50272278</v>
      </c>
      <c r="E2143" s="55" t="s">
        <v>21</v>
      </c>
      <c r="G2143" s="68">
        <v>16800</v>
      </c>
      <c r="H2143" s="56" t="s">
        <v>92</v>
      </c>
      <c r="J2143" s="56" t="s">
        <v>1848</v>
      </c>
      <c r="L2143" s="56" t="s">
        <v>1761</v>
      </c>
      <c r="M2143" s="4" t="s">
        <v>1761</v>
      </c>
      <c r="N2143" s="4" t="s">
        <v>1849</v>
      </c>
      <c r="O2143" s="4" t="s">
        <v>178</v>
      </c>
    </row>
    <row r="2144" spans="2:15">
      <c r="B2144" s="20">
        <v>45609</v>
      </c>
      <c r="C2144" s="20">
        <v>45609</v>
      </c>
      <c r="D2144" s="54">
        <v>50328897</v>
      </c>
      <c r="E2144" s="55" t="s">
        <v>1850</v>
      </c>
      <c r="G2144" s="68">
        <v>220</v>
      </c>
      <c r="H2144" s="56" t="s">
        <v>82</v>
      </c>
      <c r="J2144" s="56" t="s">
        <v>1851</v>
      </c>
      <c r="L2144" s="56" t="s">
        <v>1852</v>
      </c>
      <c r="M2144" s="4" t="s">
        <v>1852</v>
      </c>
      <c r="N2144" s="4" t="s">
        <v>1584</v>
      </c>
      <c r="O2144" s="4" t="s">
        <v>178</v>
      </c>
    </row>
    <row r="2145" spans="2:15">
      <c r="B2145" s="20">
        <v>45609</v>
      </c>
      <c r="C2145" s="20">
        <v>45609</v>
      </c>
      <c r="D2145" s="54">
        <v>50328488</v>
      </c>
      <c r="E2145" s="55" t="s">
        <v>1853</v>
      </c>
      <c r="G2145" s="68">
        <v>250</v>
      </c>
      <c r="H2145" s="56" t="s">
        <v>82</v>
      </c>
      <c r="J2145" s="56" t="s">
        <v>1854</v>
      </c>
      <c r="L2145" s="56" t="s">
        <v>1852</v>
      </c>
      <c r="M2145" s="4" t="s">
        <v>1852</v>
      </c>
      <c r="N2145" s="4" t="s">
        <v>1584</v>
      </c>
      <c r="O2145" s="4" t="s">
        <v>178</v>
      </c>
    </row>
    <row r="2146" spans="2:15">
      <c r="B2146" s="20">
        <v>45609</v>
      </c>
      <c r="C2146" s="20">
        <v>45609</v>
      </c>
      <c r="D2146" s="54">
        <v>50145028</v>
      </c>
      <c r="E2146" s="55" t="s">
        <v>23</v>
      </c>
      <c r="G2146" s="68">
        <v>1344</v>
      </c>
      <c r="H2146" s="56" t="s">
        <v>987</v>
      </c>
      <c r="J2146" s="56" t="s">
        <v>1855</v>
      </c>
      <c r="L2146" s="56" t="s">
        <v>838</v>
      </c>
      <c r="M2146" s="4" t="s">
        <v>176</v>
      </c>
      <c r="N2146" s="4" t="s">
        <v>177</v>
      </c>
      <c r="O2146" s="4" t="s">
        <v>178</v>
      </c>
    </row>
    <row r="2147" spans="2:15">
      <c r="B2147" s="20">
        <v>45609</v>
      </c>
      <c r="C2147" s="20">
        <v>45609</v>
      </c>
      <c r="D2147" s="54">
        <v>50143893</v>
      </c>
      <c r="E2147" s="55" t="s">
        <v>24</v>
      </c>
      <c r="G2147" s="68">
        <v>4818</v>
      </c>
      <c r="H2147" s="56" t="s">
        <v>987</v>
      </c>
      <c r="J2147" s="56" t="s">
        <v>1855</v>
      </c>
      <c r="L2147" s="56" t="s">
        <v>838</v>
      </c>
      <c r="M2147" s="4" t="s">
        <v>176</v>
      </c>
      <c r="N2147" s="4" t="s">
        <v>177</v>
      </c>
      <c r="O2147" s="4" t="s">
        <v>178</v>
      </c>
    </row>
    <row r="2148" spans="2:15">
      <c r="B2148" s="20">
        <v>45610</v>
      </c>
      <c r="C2148" s="20">
        <v>45610</v>
      </c>
      <c r="D2148" s="54">
        <v>50144376</v>
      </c>
      <c r="E2148" s="55" t="s">
        <v>19</v>
      </c>
      <c r="G2148" s="68">
        <v>13000</v>
      </c>
      <c r="H2148" s="56" t="s">
        <v>962</v>
      </c>
      <c r="J2148" s="56" t="s">
        <v>1856</v>
      </c>
      <c r="L2148" s="56" t="s">
        <v>262</v>
      </c>
      <c r="M2148" s="4" t="s">
        <v>262</v>
      </c>
      <c r="N2148" s="4" t="s">
        <v>1274</v>
      </c>
      <c r="O2148" s="4" t="s">
        <v>178</v>
      </c>
    </row>
    <row r="2149" spans="2:15">
      <c r="B2149" s="20">
        <v>45610</v>
      </c>
      <c r="C2149" s="20">
        <v>45610</v>
      </c>
      <c r="D2149" s="54">
        <v>50837237</v>
      </c>
      <c r="E2149" s="55" t="s">
        <v>1747</v>
      </c>
      <c r="G2149" s="68">
        <v>3161.95</v>
      </c>
      <c r="H2149" s="56" t="s">
        <v>987</v>
      </c>
      <c r="J2149" s="56" t="s">
        <v>1857</v>
      </c>
      <c r="L2149" s="56" t="s">
        <v>1227</v>
      </c>
      <c r="M2149" s="4" t="s">
        <v>660</v>
      </c>
      <c r="N2149" s="4" t="s">
        <v>1835</v>
      </c>
      <c r="O2149" s="4" t="s">
        <v>178</v>
      </c>
    </row>
    <row r="2150" spans="2:15">
      <c r="B2150" s="20">
        <v>45611</v>
      </c>
      <c r="C2150" s="20">
        <v>45611</v>
      </c>
      <c r="D2150" s="54">
        <v>50144376</v>
      </c>
      <c r="E2150" s="55" t="s">
        <v>19</v>
      </c>
      <c r="G2150" s="68">
        <v>6000</v>
      </c>
      <c r="H2150" s="56" t="s">
        <v>92</v>
      </c>
      <c r="J2150" s="56" t="s">
        <v>1858</v>
      </c>
      <c r="L2150" s="56" t="s">
        <v>262</v>
      </c>
      <c r="M2150" s="4" t="s">
        <v>262</v>
      </c>
      <c r="N2150" s="4" t="s">
        <v>364</v>
      </c>
      <c r="O2150" s="4" t="s">
        <v>178</v>
      </c>
    </row>
    <row r="2151" spans="2:15">
      <c r="B2151" s="20">
        <v>45611</v>
      </c>
      <c r="C2151" s="20">
        <v>45611</v>
      </c>
      <c r="D2151" s="54">
        <v>50837237</v>
      </c>
      <c r="E2151" s="55" t="s">
        <v>1747</v>
      </c>
      <c r="G2151" s="68">
        <v>1587.45</v>
      </c>
      <c r="H2151" s="56" t="s">
        <v>82</v>
      </c>
      <c r="J2151" s="56" t="s">
        <v>1859</v>
      </c>
      <c r="L2151" s="56" t="s">
        <v>1227</v>
      </c>
      <c r="M2151" s="4" t="s">
        <v>660</v>
      </c>
      <c r="N2151" s="4" t="s">
        <v>1835</v>
      </c>
      <c r="O2151" s="4" t="s">
        <v>178</v>
      </c>
    </row>
    <row r="2152" spans="2:15">
      <c r="B2152" s="20">
        <v>45611</v>
      </c>
      <c r="C2152" s="20">
        <v>45611</v>
      </c>
      <c r="D2152" s="54">
        <v>50142631</v>
      </c>
      <c r="E2152" s="55" t="s">
        <v>566</v>
      </c>
      <c r="G2152" s="68">
        <v>6000</v>
      </c>
      <c r="H2152" s="56" t="s">
        <v>82</v>
      </c>
      <c r="J2152" s="56" t="s">
        <v>1860</v>
      </c>
      <c r="L2152" s="56" t="s">
        <v>567</v>
      </c>
      <c r="M2152" s="4" t="s">
        <v>567</v>
      </c>
      <c r="N2152" s="4" t="s">
        <v>569</v>
      </c>
      <c r="O2152" s="4" t="s">
        <v>178</v>
      </c>
    </row>
    <row r="2153" spans="2:15">
      <c r="B2153" s="20">
        <v>45611</v>
      </c>
      <c r="C2153" s="20">
        <v>45611</v>
      </c>
      <c r="D2153" s="54">
        <v>50142121</v>
      </c>
      <c r="E2153" s="55" t="s">
        <v>1243</v>
      </c>
      <c r="G2153" s="68">
        <v>50</v>
      </c>
      <c r="H2153" s="56" t="s">
        <v>82</v>
      </c>
      <c r="J2153" s="56" t="s">
        <v>1860</v>
      </c>
      <c r="L2153" s="56" t="s">
        <v>567</v>
      </c>
      <c r="M2153" s="4" t="s">
        <v>567</v>
      </c>
      <c r="N2153" s="4" t="s">
        <v>569</v>
      </c>
      <c r="O2153" s="4" t="s">
        <v>178</v>
      </c>
    </row>
    <row r="2154" spans="2:15">
      <c r="B2154" s="20">
        <v>45614</v>
      </c>
      <c r="C2154" s="20">
        <v>45614</v>
      </c>
      <c r="D2154" s="54">
        <v>50272278</v>
      </c>
      <c r="E2154" s="55" t="s">
        <v>21</v>
      </c>
      <c r="G2154" s="68">
        <v>13000</v>
      </c>
      <c r="H2154" s="56" t="s">
        <v>92</v>
      </c>
      <c r="J2154" s="56" t="s">
        <v>1861</v>
      </c>
      <c r="L2154" s="56" t="s">
        <v>262</v>
      </c>
      <c r="M2154" s="4" t="s">
        <v>262</v>
      </c>
      <c r="N2154" s="4" t="s">
        <v>1274</v>
      </c>
      <c r="O2154" s="4" t="s">
        <v>178</v>
      </c>
    </row>
    <row r="2155" spans="2:15">
      <c r="B2155" s="20">
        <v>45614</v>
      </c>
      <c r="C2155" s="20">
        <v>45614</v>
      </c>
      <c r="D2155" s="54">
        <v>50144376</v>
      </c>
      <c r="E2155" s="55" t="s">
        <v>19</v>
      </c>
      <c r="G2155" s="68">
        <v>16800</v>
      </c>
      <c r="H2155" s="56" t="s">
        <v>92</v>
      </c>
      <c r="J2155" s="56" t="s">
        <v>1862</v>
      </c>
      <c r="L2155" s="56" t="s">
        <v>1761</v>
      </c>
      <c r="M2155" s="4" t="s">
        <v>1761</v>
      </c>
      <c r="N2155" s="4" t="s">
        <v>1849</v>
      </c>
      <c r="O2155" s="4" t="s">
        <v>178</v>
      </c>
    </row>
    <row r="2156" spans="2:15">
      <c r="B2156" s="20">
        <v>45615</v>
      </c>
      <c r="C2156" s="20">
        <v>45615</v>
      </c>
      <c r="D2156" s="54">
        <v>50751654</v>
      </c>
      <c r="E2156" s="55" t="s">
        <v>874</v>
      </c>
      <c r="G2156" s="68">
        <v>1792</v>
      </c>
      <c r="H2156" s="56" t="s">
        <v>82</v>
      </c>
      <c r="J2156" s="56" t="s">
        <v>1863</v>
      </c>
      <c r="L2156" s="56" t="s">
        <v>1012</v>
      </c>
      <c r="M2156" s="4" t="s">
        <v>392</v>
      </c>
      <c r="N2156" s="4" t="s">
        <v>1258</v>
      </c>
      <c r="O2156" s="4" t="s">
        <v>178</v>
      </c>
    </row>
    <row r="2157" spans="2:15">
      <c r="B2157" s="20">
        <v>45615</v>
      </c>
      <c r="C2157" s="20">
        <v>45615</v>
      </c>
      <c r="D2157" s="54">
        <v>50144376</v>
      </c>
      <c r="E2157" s="55" t="s">
        <v>19</v>
      </c>
      <c r="G2157" s="68">
        <v>13000</v>
      </c>
      <c r="H2157" s="56" t="s">
        <v>92</v>
      </c>
      <c r="J2157" s="56" t="s">
        <v>1864</v>
      </c>
      <c r="L2157" s="56" t="s">
        <v>262</v>
      </c>
      <c r="M2157" s="4" t="s">
        <v>262</v>
      </c>
      <c r="N2157" s="4" t="s">
        <v>1274</v>
      </c>
      <c r="O2157" s="4" t="s">
        <v>178</v>
      </c>
    </row>
    <row r="2158" spans="2:15">
      <c r="B2158" s="20">
        <v>45616</v>
      </c>
      <c r="C2158" s="20">
        <v>45616</v>
      </c>
      <c r="D2158" s="54">
        <v>50144376</v>
      </c>
      <c r="E2158" s="55" t="s">
        <v>19</v>
      </c>
      <c r="G2158" s="68">
        <v>13000</v>
      </c>
      <c r="H2158" s="56" t="s">
        <v>92</v>
      </c>
      <c r="J2158" s="56" t="s">
        <v>1865</v>
      </c>
      <c r="L2158" s="56" t="s">
        <v>262</v>
      </c>
      <c r="M2158" s="4" t="s">
        <v>262</v>
      </c>
      <c r="N2158" s="4" t="s">
        <v>1274</v>
      </c>
      <c r="O2158" s="4" t="s">
        <v>178</v>
      </c>
    </row>
    <row r="2159" spans="2:15">
      <c r="B2159" s="20">
        <v>45617</v>
      </c>
      <c r="C2159" s="20">
        <v>45617</v>
      </c>
      <c r="D2159" s="54">
        <v>50144376</v>
      </c>
      <c r="E2159" s="55" t="s">
        <v>19</v>
      </c>
      <c r="G2159" s="68">
        <v>1300</v>
      </c>
      <c r="H2159" s="56" t="s">
        <v>92</v>
      </c>
      <c r="J2159" s="56" t="s">
        <v>1866</v>
      </c>
      <c r="L2159" s="56" t="s">
        <v>838</v>
      </c>
      <c r="M2159" s="4" t="s">
        <v>176</v>
      </c>
      <c r="N2159" s="4" t="s">
        <v>177</v>
      </c>
      <c r="O2159" s="4" t="s">
        <v>178</v>
      </c>
    </row>
    <row r="2160" spans="2:15">
      <c r="B2160" s="20">
        <v>45621</v>
      </c>
      <c r="C2160" s="20">
        <v>45621</v>
      </c>
      <c r="D2160" s="54">
        <v>50142523</v>
      </c>
      <c r="E2160" s="55" t="s">
        <v>1157</v>
      </c>
      <c r="G2160" s="68">
        <v>5500</v>
      </c>
      <c r="H2160" s="56" t="s">
        <v>92</v>
      </c>
      <c r="J2160" s="56" t="s">
        <v>1867</v>
      </c>
      <c r="L2160" s="56" t="s">
        <v>286</v>
      </c>
      <c r="M2160" s="4" t="s">
        <v>286</v>
      </c>
      <c r="N2160" s="4" t="s">
        <v>1457</v>
      </c>
      <c r="O2160" s="4" t="s">
        <v>178</v>
      </c>
    </row>
    <row r="2161" spans="2:15">
      <c r="B2161" s="20">
        <v>45621</v>
      </c>
      <c r="C2161" s="20">
        <v>45621</v>
      </c>
      <c r="D2161" s="54">
        <v>50142520</v>
      </c>
      <c r="E2161" s="55" t="s">
        <v>1156</v>
      </c>
      <c r="G2161" s="68">
        <v>6000</v>
      </c>
      <c r="H2161" s="56" t="s">
        <v>92</v>
      </c>
      <c r="J2161" s="56" t="s">
        <v>1867</v>
      </c>
      <c r="L2161" s="56" t="s">
        <v>286</v>
      </c>
      <c r="M2161" s="4" t="s">
        <v>286</v>
      </c>
      <c r="N2161" s="4" t="s">
        <v>1457</v>
      </c>
      <c r="O2161" s="4" t="s">
        <v>178</v>
      </c>
    </row>
    <row r="2162" spans="2:15">
      <c r="B2162" s="20">
        <v>45621</v>
      </c>
      <c r="C2162" s="20">
        <v>45621</v>
      </c>
      <c r="D2162" s="54">
        <v>50272278</v>
      </c>
      <c r="E2162" s="55" t="s">
        <v>21</v>
      </c>
      <c r="G2162" s="68">
        <v>13000</v>
      </c>
      <c r="H2162" s="56" t="s">
        <v>92</v>
      </c>
      <c r="J2162" s="56" t="s">
        <v>1868</v>
      </c>
      <c r="L2162" s="56" t="s">
        <v>262</v>
      </c>
      <c r="M2162" s="4" t="s">
        <v>262</v>
      </c>
      <c r="N2162" s="4" t="s">
        <v>1274</v>
      </c>
      <c r="O2162" s="4" t="s">
        <v>178</v>
      </c>
    </row>
    <row r="2163" spans="2:15">
      <c r="B2163" s="20">
        <v>45621</v>
      </c>
      <c r="C2163" s="20">
        <v>45621</v>
      </c>
      <c r="D2163" s="54">
        <v>50143875</v>
      </c>
      <c r="E2163" s="55" t="s">
        <v>713</v>
      </c>
      <c r="G2163" s="68">
        <v>9500</v>
      </c>
      <c r="H2163" s="56" t="s">
        <v>92</v>
      </c>
      <c r="J2163" s="56" t="s">
        <v>1869</v>
      </c>
      <c r="L2163" s="56" t="s">
        <v>615</v>
      </c>
      <c r="M2163" s="4" t="s">
        <v>615</v>
      </c>
      <c r="N2163" s="4" t="s">
        <v>1870</v>
      </c>
      <c r="O2163" s="4" t="s">
        <v>178</v>
      </c>
    </row>
    <row r="2164" spans="2:15">
      <c r="B2164" s="20">
        <v>45621</v>
      </c>
      <c r="C2164" s="20">
        <v>45621</v>
      </c>
      <c r="D2164" s="54">
        <v>50143894</v>
      </c>
      <c r="E2164" s="55" t="s">
        <v>944</v>
      </c>
      <c r="G2164" s="68">
        <v>5000</v>
      </c>
      <c r="H2164" s="56" t="s">
        <v>92</v>
      </c>
      <c r="J2164" s="56" t="s">
        <v>1869</v>
      </c>
      <c r="L2164" s="56" t="s">
        <v>615</v>
      </c>
      <c r="M2164" s="4" t="s">
        <v>615</v>
      </c>
      <c r="N2164" s="4" t="s">
        <v>1870</v>
      </c>
      <c r="O2164" s="4" t="s">
        <v>178</v>
      </c>
    </row>
    <row r="2165" spans="2:15">
      <c r="B2165" s="20">
        <v>45622</v>
      </c>
      <c r="C2165" s="20">
        <v>45622</v>
      </c>
      <c r="D2165" s="54">
        <v>50272278</v>
      </c>
      <c r="E2165" s="55" t="s">
        <v>21</v>
      </c>
      <c r="G2165" s="68">
        <v>16800</v>
      </c>
      <c r="H2165" s="56" t="s">
        <v>92</v>
      </c>
      <c r="J2165" s="56" t="s">
        <v>1871</v>
      </c>
      <c r="L2165" s="56" t="s">
        <v>1761</v>
      </c>
      <c r="M2165" s="4" t="s">
        <v>1761</v>
      </c>
      <c r="N2165" s="4" t="s">
        <v>1849</v>
      </c>
      <c r="O2165" s="4" t="s">
        <v>178</v>
      </c>
    </row>
    <row r="2166" spans="2:15">
      <c r="B2166" s="20">
        <v>45622</v>
      </c>
      <c r="C2166" s="20">
        <v>45622</v>
      </c>
      <c r="D2166" s="54">
        <v>50272278</v>
      </c>
      <c r="E2166" s="55" t="s">
        <v>21</v>
      </c>
      <c r="G2166" s="68">
        <v>13000</v>
      </c>
      <c r="H2166" s="56" t="s">
        <v>92</v>
      </c>
      <c r="J2166" s="56" t="s">
        <v>1872</v>
      </c>
      <c r="L2166" s="56" t="s">
        <v>262</v>
      </c>
      <c r="M2166" s="4" t="s">
        <v>262</v>
      </c>
      <c r="N2166" s="4" t="s">
        <v>1274</v>
      </c>
      <c r="O2166" s="4" t="s">
        <v>178</v>
      </c>
    </row>
    <row r="2167" spans="2:15">
      <c r="B2167" s="20">
        <v>45622</v>
      </c>
      <c r="C2167" s="20">
        <v>45622</v>
      </c>
      <c r="D2167" s="54">
        <v>40007939</v>
      </c>
      <c r="E2167" s="55" t="s">
        <v>1873</v>
      </c>
      <c r="G2167" s="68">
        <v>1008</v>
      </c>
      <c r="H2167" s="56" t="s">
        <v>92</v>
      </c>
      <c r="J2167" s="56" t="s">
        <v>1874</v>
      </c>
      <c r="L2167" s="56" t="s">
        <v>1190</v>
      </c>
      <c r="M2167" s="4" t="s">
        <v>750</v>
      </c>
      <c r="N2167" s="4"/>
      <c r="O2167" s="4" t="s">
        <v>178</v>
      </c>
    </row>
    <row r="2168" spans="2:15">
      <c r="B2168" s="20">
        <v>45623</v>
      </c>
      <c r="C2168" s="20">
        <v>45623</v>
      </c>
      <c r="D2168" s="54">
        <v>50824293</v>
      </c>
      <c r="E2168" s="55" t="s">
        <v>861</v>
      </c>
      <c r="G2168" s="68">
        <v>6568000</v>
      </c>
      <c r="H2168" s="56" t="s">
        <v>92</v>
      </c>
      <c r="J2168" s="56" t="s">
        <v>1875</v>
      </c>
      <c r="L2168" s="56" t="s">
        <v>1257</v>
      </c>
      <c r="N2168" s="4"/>
      <c r="O2168" s="4" t="s">
        <v>178</v>
      </c>
    </row>
    <row r="2169" spans="2:15">
      <c r="B2169" s="20">
        <v>45623</v>
      </c>
      <c r="C2169" s="20">
        <v>45623</v>
      </c>
      <c r="D2169" s="54">
        <v>50142055</v>
      </c>
      <c r="E2169" s="55" t="s">
        <v>206</v>
      </c>
      <c r="G2169" s="68">
        <v>6000</v>
      </c>
      <c r="H2169" s="56" t="s">
        <v>82</v>
      </c>
      <c r="J2169" s="56">
        <v>500262596</v>
      </c>
      <c r="L2169" s="56" t="s">
        <v>1876</v>
      </c>
      <c r="M2169" s="4" t="s">
        <v>1494</v>
      </c>
      <c r="N2169" s="4" t="s">
        <v>1877</v>
      </c>
      <c r="O2169" s="4" t="s">
        <v>178</v>
      </c>
    </row>
    <row r="2170" spans="2:15">
      <c r="B2170" s="20">
        <v>45624</v>
      </c>
      <c r="C2170" s="20">
        <v>45624</v>
      </c>
      <c r="D2170" s="54">
        <v>50470190</v>
      </c>
      <c r="E2170" s="55" t="s">
        <v>12</v>
      </c>
      <c r="G2170" s="68">
        <v>6085800</v>
      </c>
      <c r="H2170" s="56" t="s">
        <v>962</v>
      </c>
      <c r="J2170" s="56" t="s">
        <v>1878</v>
      </c>
      <c r="L2170" s="56" t="s">
        <v>1879</v>
      </c>
      <c r="M2170" s="4" t="s">
        <v>392</v>
      </c>
      <c r="N2170" s="4" t="s">
        <v>319</v>
      </c>
      <c r="O2170" s="4" t="s">
        <v>178</v>
      </c>
    </row>
    <row r="2171" spans="2:15">
      <c r="B2171" s="20">
        <v>45624</v>
      </c>
      <c r="C2171" s="20">
        <v>45624</v>
      </c>
      <c r="D2171" s="54">
        <v>50449101</v>
      </c>
      <c r="E2171" s="55" t="s">
        <v>237</v>
      </c>
      <c r="G2171" s="68">
        <v>3187800</v>
      </c>
      <c r="H2171" s="56" t="s">
        <v>92</v>
      </c>
      <c r="J2171" s="56" t="s">
        <v>1878</v>
      </c>
      <c r="L2171" s="56" t="s">
        <v>1879</v>
      </c>
      <c r="M2171" s="4" t="s">
        <v>392</v>
      </c>
      <c r="N2171" s="4" t="s">
        <v>319</v>
      </c>
      <c r="O2171" s="4" t="s">
        <v>178</v>
      </c>
    </row>
    <row r="2172" spans="2:15">
      <c r="B2172" s="20">
        <v>45624</v>
      </c>
      <c r="C2172" s="20">
        <v>45624</v>
      </c>
      <c r="D2172" s="54">
        <v>50272278</v>
      </c>
      <c r="E2172" s="55" t="s">
        <v>21</v>
      </c>
      <c r="G2172" s="68">
        <v>13000</v>
      </c>
      <c r="H2172" s="56" t="s">
        <v>92</v>
      </c>
      <c r="J2172" s="56" t="s">
        <v>1880</v>
      </c>
      <c r="L2172" s="56" t="s">
        <v>262</v>
      </c>
      <c r="M2172" s="4" t="s">
        <v>262</v>
      </c>
      <c r="N2172" s="4" t="s">
        <v>1274</v>
      </c>
      <c r="O2172" s="4" t="s">
        <v>178</v>
      </c>
    </row>
    <row r="2173" spans="2:15">
      <c r="B2173" s="20">
        <v>45624</v>
      </c>
      <c r="C2173" s="20">
        <v>45624</v>
      </c>
      <c r="D2173" s="54">
        <v>50804971</v>
      </c>
      <c r="E2173" s="55" t="s">
        <v>855</v>
      </c>
      <c r="G2173" s="68">
        <v>2970000</v>
      </c>
      <c r="H2173" s="56" t="s">
        <v>92</v>
      </c>
      <c r="J2173" s="56" t="s">
        <v>1881</v>
      </c>
      <c r="L2173" s="56" t="s">
        <v>838</v>
      </c>
      <c r="M2173" s="4" t="s">
        <v>176</v>
      </c>
      <c r="N2173" s="4" t="s">
        <v>177</v>
      </c>
      <c r="O2173" s="4" t="s">
        <v>178</v>
      </c>
    </row>
    <row r="2174" spans="2:15">
      <c r="B2174" s="20">
        <v>45624</v>
      </c>
      <c r="C2174" s="20">
        <v>45624</v>
      </c>
      <c r="D2174" s="54">
        <v>50804929</v>
      </c>
      <c r="E2174" s="55" t="s">
        <v>856</v>
      </c>
      <c r="G2174" s="68">
        <v>2303950</v>
      </c>
      <c r="H2174" s="56" t="s">
        <v>92</v>
      </c>
      <c r="J2174" s="56" t="s">
        <v>1881</v>
      </c>
      <c r="L2174" s="56" t="s">
        <v>838</v>
      </c>
      <c r="M2174" s="4" t="s">
        <v>176</v>
      </c>
      <c r="N2174" s="4" t="s">
        <v>177</v>
      </c>
      <c r="O2174" s="4" t="s">
        <v>178</v>
      </c>
    </row>
    <row r="2175" spans="2:15">
      <c r="B2175" s="20">
        <v>45625</v>
      </c>
      <c r="C2175" s="20">
        <v>45625</v>
      </c>
      <c r="D2175" s="54">
        <v>40011588</v>
      </c>
      <c r="E2175" s="55" t="s">
        <v>585</v>
      </c>
      <c r="G2175" s="68">
        <v>10350</v>
      </c>
      <c r="H2175" s="56" t="s">
        <v>80</v>
      </c>
      <c r="J2175" s="56">
        <v>3287000226</v>
      </c>
      <c r="L2175" s="56" t="s">
        <v>1031</v>
      </c>
      <c r="M2175" s="4" t="s">
        <v>750</v>
      </c>
      <c r="N2175" s="4" t="s">
        <v>1882</v>
      </c>
      <c r="O2175" s="4" t="s">
        <v>178</v>
      </c>
    </row>
    <row r="2176" spans="2:15">
      <c r="B2176" s="20">
        <v>45625</v>
      </c>
      <c r="C2176" s="20">
        <v>45625</v>
      </c>
      <c r="D2176" s="54">
        <v>40008023</v>
      </c>
      <c r="E2176" s="55" t="s">
        <v>1883</v>
      </c>
      <c r="G2176" s="68">
        <v>1810</v>
      </c>
      <c r="H2176" s="56" t="s">
        <v>80</v>
      </c>
      <c r="J2176" s="56">
        <v>3287000226</v>
      </c>
      <c r="L2176" s="56" t="s">
        <v>1031</v>
      </c>
      <c r="M2176" s="4" t="s">
        <v>750</v>
      </c>
      <c r="N2176" s="4" t="s">
        <v>1882</v>
      </c>
      <c r="O2176" s="4" t="s">
        <v>178</v>
      </c>
    </row>
    <row r="2177" spans="2:15">
      <c r="B2177" s="20">
        <v>45625</v>
      </c>
      <c r="C2177" s="20">
        <v>45625</v>
      </c>
      <c r="D2177" s="54">
        <v>50272278</v>
      </c>
      <c r="E2177" s="55" t="s">
        <v>21</v>
      </c>
      <c r="G2177" s="68">
        <v>13000</v>
      </c>
      <c r="H2177" s="56" t="s">
        <v>92</v>
      </c>
      <c r="J2177" s="56" t="s">
        <v>1884</v>
      </c>
      <c r="L2177" s="56" t="s">
        <v>262</v>
      </c>
      <c r="M2177" s="4" t="s">
        <v>262</v>
      </c>
      <c r="N2177" s="4" t="s">
        <v>1274</v>
      </c>
      <c r="O2177" s="4" t="s">
        <v>178</v>
      </c>
    </row>
    <row r="2178" spans="2:15">
      <c r="B2178" s="20">
        <v>45628</v>
      </c>
      <c r="C2178" s="20">
        <v>45628</v>
      </c>
      <c r="D2178" s="54">
        <v>50470190</v>
      </c>
      <c r="E2178" s="55" t="s">
        <v>12</v>
      </c>
      <c r="G2178" s="68">
        <v>9273600</v>
      </c>
      <c r="H2178" s="56" t="s">
        <v>92</v>
      </c>
      <c r="J2178" s="56" t="s">
        <v>1885</v>
      </c>
      <c r="L2178" s="56" t="s">
        <v>1879</v>
      </c>
      <c r="M2178" s="4" t="s">
        <v>392</v>
      </c>
      <c r="N2178" s="4" t="s">
        <v>319</v>
      </c>
      <c r="O2178" s="4" t="s">
        <v>178</v>
      </c>
    </row>
    <row r="2179" spans="2:15">
      <c r="B2179" s="20">
        <v>45628</v>
      </c>
      <c r="C2179" s="20">
        <v>45628</v>
      </c>
      <c r="D2179" s="54">
        <v>50840365</v>
      </c>
      <c r="E2179" s="55" t="s">
        <v>1886</v>
      </c>
      <c r="G2179" s="68">
        <v>5594.2</v>
      </c>
      <c r="H2179" s="56" t="s">
        <v>987</v>
      </c>
      <c r="J2179" s="56" t="s">
        <v>1887</v>
      </c>
      <c r="L2179" s="56" t="s">
        <v>947</v>
      </c>
      <c r="M2179" s="4" t="s">
        <v>660</v>
      </c>
      <c r="N2179" s="4" t="s">
        <v>1203</v>
      </c>
      <c r="O2179" s="4" t="s">
        <v>178</v>
      </c>
    </row>
    <row r="2180" spans="2:15">
      <c r="B2180" s="20">
        <v>45629</v>
      </c>
      <c r="C2180" s="20">
        <v>45629</v>
      </c>
      <c r="D2180" s="54">
        <v>50837239</v>
      </c>
      <c r="E2180" s="55" t="s">
        <v>27</v>
      </c>
      <c r="G2180" s="68">
        <v>5066.7</v>
      </c>
      <c r="H2180" s="56" t="s">
        <v>82</v>
      </c>
      <c r="J2180" s="56" t="s">
        <v>1888</v>
      </c>
      <c r="L2180" s="56" t="s">
        <v>947</v>
      </c>
      <c r="M2180" s="4" t="s">
        <v>660</v>
      </c>
      <c r="N2180" s="4" t="s">
        <v>1203</v>
      </c>
      <c r="O2180" s="4" t="s">
        <v>178</v>
      </c>
    </row>
    <row r="2181" spans="2:15">
      <c r="B2181" s="20">
        <v>45629</v>
      </c>
      <c r="C2181" s="20">
        <v>45629</v>
      </c>
      <c r="D2181" s="54">
        <v>50840365</v>
      </c>
      <c r="E2181" s="55" t="s">
        <v>1886</v>
      </c>
      <c r="G2181" s="68">
        <v>407.7</v>
      </c>
      <c r="H2181" s="56" t="s">
        <v>82</v>
      </c>
      <c r="J2181" s="56" t="s">
        <v>1889</v>
      </c>
      <c r="L2181" s="56" t="s">
        <v>947</v>
      </c>
      <c r="M2181" s="4" t="s">
        <v>660</v>
      </c>
      <c r="N2181" s="4" t="s">
        <v>1203</v>
      </c>
      <c r="O2181" s="4" t="s">
        <v>178</v>
      </c>
    </row>
    <row r="2182" spans="2:15">
      <c r="B2182" s="20">
        <v>45629</v>
      </c>
      <c r="C2182" s="20">
        <v>45629</v>
      </c>
      <c r="D2182" s="54">
        <v>50837284</v>
      </c>
      <c r="E2182" s="55" t="s">
        <v>28</v>
      </c>
      <c r="G2182" s="68">
        <v>5033.6</v>
      </c>
      <c r="H2182" s="56" t="s">
        <v>82</v>
      </c>
      <c r="J2182" s="56" t="s">
        <v>1890</v>
      </c>
      <c r="L2182" s="56" t="s">
        <v>947</v>
      </c>
      <c r="M2182" s="4" t="s">
        <v>660</v>
      </c>
      <c r="N2182" s="4" t="s">
        <v>353</v>
      </c>
      <c r="O2182" s="4" t="s">
        <v>178</v>
      </c>
    </row>
    <row r="2183" spans="2:15">
      <c r="B2183" s="20">
        <v>45629</v>
      </c>
      <c r="C2183" s="20">
        <v>45629</v>
      </c>
      <c r="D2183" s="54">
        <v>50144376</v>
      </c>
      <c r="E2183" s="55" t="s">
        <v>19</v>
      </c>
      <c r="G2183" s="68">
        <v>13000</v>
      </c>
      <c r="H2183" s="56" t="s">
        <v>92</v>
      </c>
      <c r="J2183" s="56" t="s">
        <v>1891</v>
      </c>
      <c r="L2183" s="56" t="s">
        <v>262</v>
      </c>
      <c r="M2183" s="4" t="s">
        <v>262</v>
      </c>
      <c r="N2183" s="4" t="s">
        <v>1274</v>
      </c>
      <c r="O2183" s="4" t="s">
        <v>178</v>
      </c>
    </row>
    <row r="2184" spans="2:15">
      <c r="B2184" s="20">
        <v>45630</v>
      </c>
      <c r="C2184" s="20">
        <v>45630</v>
      </c>
      <c r="D2184" s="54">
        <v>50272278</v>
      </c>
      <c r="E2184" s="55" t="s">
        <v>21</v>
      </c>
      <c r="G2184" s="68">
        <v>13000</v>
      </c>
      <c r="H2184" s="56" t="s">
        <v>92</v>
      </c>
      <c r="J2184" s="56" t="s">
        <v>1892</v>
      </c>
      <c r="L2184" s="56" t="s">
        <v>262</v>
      </c>
      <c r="M2184" s="4" t="s">
        <v>262</v>
      </c>
      <c r="N2184" s="4" t="s">
        <v>1274</v>
      </c>
      <c r="O2184" s="4" t="s">
        <v>178</v>
      </c>
    </row>
    <row r="2185" spans="2:15">
      <c r="B2185" s="20">
        <v>45630</v>
      </c>
      <c r="C2185" s="20">
        <v>45630</v>
      </c>
      <c r="D2185" s="54">
        <v>50501117</v>
      </c>
      <c r="E2185" s="55" t="s">
        <v>1541</v>
      </c>
      <c r="G2185" s="68">
        <v>52416</v>
      </c>
      <c r="H2185" s="56" t="s">
        <v>92</v>
      </c>
      <c r="J2185" s="56" t="s">
        <v>1893</v>
      </c>
      <c r="L2185" s="56" t="s">
        <v>1438</v>
      </c>
      <c r="M2185" s="4" t="s">
        <v>1894</v>
      </c>
      <c r="N2185" s="4" t="s">
        <v>1895</v>
      </c>
      <c r="O2185" s="4" t="s">
        <v>178</v>
      </c>
    </row>
    <row r="2186" spans="2:15">
      <c r="B2186" s="20">
        <v>45630</v>
      </c>
      <c r="C2186" s="20">
        <v>45630</v>
      </c>
      <c r="D2186" s="54">
        <v>50501117</v>
      </c>
      <c r="E2186" s="55" t="s">
        <v>1541</v>
      </c>
      <c r="G2186" s="68">
        <v>52416</v>
      </c>
      <c r="H2186" s="56" t="s">
        <v>92</v>
      </c>
      <c r="J2186" s="56" t="s">
        <v>1893</v>
      </c>
      <c r="L2186" s="56" t="s">
        <v>1438</v>
      </c>
      <c r="M2186" s="4" t="s">
        <v>1894</v>
      </c>
      <c r="N2186" s="4" t="s">
        <v>1896</v>
      </c>
      <c r="O2186" s="4" t="s">
        <v>178</v>
      </c>
    </row>
    <row r="2187" spans="2:15">
      <c r="B2187" s="20">
        <v>45630</v>
      </c>
      <c r="C2187" s="20">
        <v>45630</v>
      </c>
      <c r="D2187" s="54">
        <v>50837632</v>
      </c>
      <c r="E2187" s="55" t="s">
        <v>1897</v>
      </c>
      <c r="G2187" s="68">
        <v>7579</v>
      </c>
      <c r="H2187" s="56" t="s">
        <v>80</v>
      </c>
      <c r="J2187" s="56" t="s">
        <v>1898</v>
      </c>
      <c r="L2187" s="56" t="s">
        <v>1899</v>
      </c>
      <c r="M2187" s="4" t="s">
        <v>498</v>
      </c>
      <c r="N2187" s="4" t="s">
        <v>1900</v>
      </c>
      <c r="O2187" s="4" t="s">
        <v>178</v>
      </c>
    </row>
    <row r="2188" spans="2:15">
      <c r="B2188" s="20">
        <v>45630</v>
      </c>
      <c r="C2188" s="20">
        <v>45630</v>
      </c>
      <c r="D2188" s="54">
        <v>50837633</v>
      </c>
      <c r="E2188" s="55" t="s">
        <v>1901</v>
      </c>
      <c r="G2188" s="68">
        <v>7717.5</v>
      </c>
      <c r="H2188" s="56" t="s">
        <v>80</v>
      </c>
      <c r="J2188" s="56" t="s">
        <v>1898</v>
      </c>
      <c r="L2188" s="56" t="s">
        <v>1899</v>
      </c>
      <c r="M2188" s="4" t="s">
        <v>498</v>
      </c>
      <c r="N2188" s="4" t="s">
        <v>1900</v>
      </c>
      <c r="O2188" s="4" t="s">
        <v>178</v>
      </c>
    </row>
    <row r="2189" spans="2:15">
      <c r="B2189" s="20">
        <v>45630</v>
      </c>
      <c r="C2189" s="20">
        <v>45630</v>
      </c>
      <c r="D2189" s="54">
        <v>50809353</v>
      </c>
      <c r="E2189" s="55" t="s">
        <v>905</v>
      </c>
      <c r="G2189" s="68">
        <v>10000</v>
      </c>
      <c r="H2189" s="56" t="s">
        <v>82</v>
      </c>
      <c r="J2189" s="56">
        <v>169555</v>
      </c>
      <c r="L2189" s="56" t="s">
        <v>906</v>
      </c>
      <c r="M2189" s="4" t="s">
        <v>1615</v>
      </c>
      <c r="N2189" s="4" t="s">
        <v>1902</v>
      </c>
      <c r="O2189" s="4" t="s">
        <v>178</v>
      </c>
    </row>
    <row r="2190" spans="2:15">
      <c r="B2190" s="20">
        <v>45630</v>
      </c>
      <c r="C2190" s="20">
        <v>45630</v>
      </c>
      <c r="D2190" s="54">
        <v>50799770</v>
      </c>
      <c r="E2190" s="55" t="s">
        <v>17</v>
      </c>
      <c r="G2190" s="68">
        <v>3500</v>
      </c>
      <c r="H2190" s="56" t="s">
        <v>92</v>
      </c>
      <c r="J2190" s="56" t="s">
        <v>1903</v>
      </c>
      <c r="L2190" s="56" t="s">
        <v>838</v>
      </c>
      <c r="M2190" s="4" t="s">
        <v>1904</v>
      </c>
      <c r="N2190" s="4" t="s">
        <v>1905</v>
      </c>
      <c r="O2190" s="4" t="s">
        <v>178</v>
      </c>
    </row>
    <row r="2191" spans="2:15">
      <c r="B2191" s="20">
        <v>45631</v>
      </c>
      <c r="C2191" s="20">
        <v>45631</v>
      </c>
      <c r="D2191" s="54">
        <v>50501117</v>
      </c>
      <c r="E2191" s="55" t="s">
        <v>1541</v>
      </c>
      <c r="G2191" s="68">
        <v>52416</v>
      </c>
      <c r="H2191" s="56" t="s">
        <v>92</v>
      </c>
      <c r="J2191" s="56" t="s">
        <v>1893</v>
      </c>
      <c r="L2191" s="56" t="s">
        <v>1438</v>
      </c>
      <c r="M2191" s="4" t="s">
        <v>1894</v>
      </c>
      <c r="N2191" s="4"/>
      <c r="O2191" s="4" t="s">
        <v>178</v>
      </c>
    </row>
    <row r="2192" spans="2:15">
      <c r="B2192" s="20">
        <v>45631</v>
      </c>
      <c r="C2192" s="20">
        <v>45631</v>
      </c>
      <c r="D2192" s="54">
        <v>50501117</v>
      </c>
      <c r="E2192" s="55" t="s">
        <v>1541</v>
      </c>
      <c r="G2192" s="68">
        <v>52416</v>
      </c>
      <c r="H2192" s="56" t="s">
        <v>92</v>
      </c>
      <c r="J2192" s="56" t="s">
        <v>1893</v>
      </c>
      <c r="L2192" s="56" t="s">
        <v>1438</v>
      </c>
      <c r="M2192" s="4" t="s">
        <v>1894</v>
      </c>
      <c r="N2192" s="4"/>
      <c r="O2192" s="4" t="s">
        <v>178</v>
      </c>
    </row>
    <row r="2193" spans="2:15">
      <c r="B2193" s="20">
        <v>45631</v>
      </c>
      <c r="C2193" s="20">
        <v>45631</v>
      </c>
      <c r="D2193" s="54">
        <v>50793278</v>
      </c>
      <c r="E2193" s="55" t="s">
        <v>1086</v>
      </c>
      <c r="G2193" s="68">
        <v>100</v>
      </c>
      <c r="H2193" s="56" t="s">
        <v>1087</v>
      </c>
      <c r="J2193" s="56">
        <v>1002649424</v>
      </c>
      <c r="L2193" s="56" t="s">
        <v>175</v>
      </c>
      <c r="M2193" s="4" t="s">
        <v>1906</v>
      </c>
      <c r="N2193" s="4"/>
      <c r="O2193" s="4" t="s">
        <v>178</v>
      </c>
    </row>
    <row r="2194" spans="2:15">
      <c r="B2194" s="20">
        <v>45631</v>
      </c>
      <c r="C2194" s="20">
        <v>45631</v>
      </c>
      <c r="D2194" s="54">
        <v>50809353</v>
      </c>
      <c r="E2194" s="55" t="s">
        <v>905</v>
      </c>
      <c r="G2194" s="68">
        <v>10000</v>
      </c>
      <c r="H2194" s="56" t="s">
        <v>82</v>
      </c>
      <c r="J2194" s="56">
        <v>169553</v>
      </c>
      <c r="L2194" s="56" t="s">
        <v>906</v>
      </c>
      <c r="M2194" s="4" t="s">
        <v>1615</v>
      </c>
      <c r="N2194" s="4"/>
      <c r="O2194" s="4" t="s">
        <v>178</v>
      </c>
    </row>
    <row r="2195" spans="2:15">
      <c r="B2195" s="20">
        <v>45631</v>
      </c>
      <c r="C2195" s="20">
        <v>45631</v>
      </c>
      <c r="D2195" s="54">
        <v>50144376</v>
      </c>
      <c r="E2195" s="55" t="s">
        <v>19</v>
      </c>
      <c r="G2195" s="68">
        <v>11000</v>
      </c>
      <c r="H2195" s="56" t="s">
        <v>92</v>
      </c>
      <c r="J2195" s="56" t="s">
        <v>1907</v>
      </c>
      <c r="L2195" s="56" t="s">
        <v>838</v>
      </c>
      <c r="M2195" s="4" t="s">
        <v>1904</v>
      </c>
      <c r="N2195" s="4" t="s">
        <v>1905</v>
      </c>
      <c r="O2195" s="4" t="s">
        <v>178</v>
      </c>
    </row>
    <row r="2196" spans="2:15">
      <c r="B2196" s="20">
        <v>45631</v>
      </c>
      <c r="C2196" s="20">
        <v>45631</v>
      </c>
      <c r="D2196" s="54">
        <v>50272278</v>
      </c>
      <c r="E2196" s="55" t="s">
        <v>21</v>
      </c>
      <c r="G2196" s="68">
        <v>13000</v>
      </c>
      <c r="H2196" s="56" t="s">
        <v>92</v>
      </c>
      <c r="J2196" s="56" t="s">
        <v>1908</v>
      </c>
      <c r="L2196" s="56" t="s">
        <v>262</v>
      </c>
      <c r="M2196" s="4" t="s">
        <v>262</v>
      </c>
      <c r="N2196" s="4" t="s">
        <v>1274</v>
      </c>
      <c r="O2196" s="4" t="s">
        <v>178</v>
      </c>
    </row>
    <row r="2197" spans="2:15">
      <c r="B2197" s="20">
        <v>45632</v>
      </c>
      <c r="C2197" s="20">
        <v>45632</v>
      </c>
      <c r="D2197" s="54">
        <v>50501117</v>
      </c>
      <c r="E2197" s="55" t="s">
        <v>1541</v>
      </c>
      <c r="G2197" s="68">
        <v>52416</v>
      </c>
      <c r="H2197" s="56" t="s">
        <v>92</v>
      </c>
      <c r="J2197" s="56" t="s">
        <v>1909</v>
      </c>
      <c r="L2197" s="56" t="s">
        <v>1438</v>
      </c>
      <c r="M2197" s="4" t="s">
        <v>1894</v>
      </c>
      <c r="N2197" s="4"/>
      <c r="O2197" s="4" t="s">
        <v>178</v>
      </c>
    </row>
    <row r="2198" spans="2:15">
      <c r="B2198" s="20">
        <v>45632</v>
      </c>
      <c r="C2198" s="20">
        <v>45632</v>
      </c>
      <c r="D2198" s="54">
        <v>50501117</v>
      </c>
      <c r="E2198" s="55" t="s">
        <v>1541</v>
      </c>
      <c r="G2198" s="68">
        <v>52416</v>
      </c>
      <c r="H2198" s="56" t="s">
        <v>92</v>
      </c>
      <c r="J2198" s="56" t="s">
        <v>1909</v>
      </c>
      <c r="L2198" s="56" t="s">
        <v>1438</v>
      </c>
      <c r="M2198" s="4" t="s">
        <v>1894</v>
      </c>
      <c r="N2198" s="4"/>
      <c r="O2198" s="4" t="s">
        <v>178</v>
      </c>
    </row>
    <row r="2199" spans="2:15">
      <c r="B2199" s="20">
        <v>45632</v>
      </c>
      <c r="C2199" s="20">
        <v>45632</v>
      </c>
      <c r="D2199" s="54">
        <v>50440810</v>
      </c>
      <c r="E2199" s="55" t="s">
        <v>1910</v>
      </c>
      <c r="G2199" s="68">
        <v>2562.05</v>
      </c>
      <c r="H2199" s="56" t="s">
        <v>82</v>
      </c>
      <c r="J2199" s="56" t="s">
        <v>1911</v>
      </c>
      <c r="L2199" s="56" t="s">
        <v>947</v>
      </c>
      <c r="M2199" s="4" t="s">
        <v>660</v>
      </c>
      <c r="N2199" s="4" t="s">
        <v>1203</v>
      </c>
      <c r="O2199" s="4" t="s">
        <v>178</v>
      </c>
    </row>
    <row r="2200" spans="2:15">
      <c r="B2200" s="20">
        <v>45635</v>
      </c>
      <c r="C2200" s="20">
        <v>45635</v>
      </c>
      <c r="D2200" s="54">
        <v>50010080</v>
      </c>
      <c r="E2200" s="55" t="s">
        <v>1657</v>
      </c>
      <c r="G2200" s="68">
        <v>19950</v>
      </c>
      <c r="H2200" s="56" t="s">
        <v>82</v>
      </c>
      <c r="J2200" s="56" t="s">
        <v>1912</v>
      </c>
      <c r="L2200" s="56" t="s">
        <v>355</v>
      </c>
      <c r="M2200" s="4" t="s">
        <v>650</v>
      </c>
      <c r="N2200" s="4" t="s">
        <v>1913</v>
      </c>
      <c r="O2200" s="4" t="s">
        <v>178</v>
      </c>
    </row>
    <row r="2201" spans="2:15">
      <c r="B2201" s="20">
        <v>45636</v>
      </c>
      <c r="C2201" s="20">
        <v>45636</v>
      </c>
      <c r="D2201" s="54">
        <v>50272278</v>
      </c>
      <c r="E2201" s="55" t="s">
        <v>21</v>
      </c>
      <c r="G2201" s="68">
        <v>13000</v>
      </c>
      <c r="H2201" s="56" t="s">
        <v>92</v>
      </c>
      <c r="J2201" s="56" t="s">
        <v>1914</v>
      </c>
      <c r="L2201" s="56" t="s">
        <v>262</v>
      </c>
      <c r="M2201" s="4" t="s">
        <v>262</v>
      </c>
      <c r="N2201" s="4" t="s">
        <v>1274</v>
      </c>
      <c r="O2201" s="4" t="s">
        <v>178</v>
      </c>
    </row>
    <row r="2202" spans="2:15">
      <c r="B2202" s="20">
        <v>45636</v>
      </c>
      <c r="C2202" s="20">
        <v>45636</v>
      </c>
      <c r="D2202" s="54">
        <v>50470190</v>
      </c>
      <c r="E2202" s="55" t="s">
        <v>12</v>
      </c>
      <c r="G2202" s="68">
        <v>9273600</v>
      </c>
      <c r="H2202" s="56" t="s">
        <v>92</v>
      </c>
      <c r="J2202" s="56" t="s">
        <v>1915</v>
      </c>
      <c r="L2202" s="56" t="s">
        <v>958</v>
      </c>
      <c r="M2202" s="4" t="s">
        <v>392</v>
      </c>
      <c r="N2202" s="4" t="s">
        <v>319</v>
      </c>
      <c r="O2202" s="4" t="s">
        <v>178</v>
      </c>
    </row>
    <row r="2203" spans="2:15">
      <c r="B2203" s="20">
        <v>45636</v>
      </c>
      <c r="C2203" s="20">
        <v>45636</v>
      </c>
      <c r="D2203" s="54">
        <v>50834329</v>
      </c>
      <c r="E2203" s="55" t="s">
        <v>1475</v>
      </c>
      <c r="G2203" s="68">
        <v>4070.7</v>
      </c>
      <c r="H2203" s="56" t="s">
        <v>82</v>
      </c>
      <c r="J2203" s="56" t="s">
        <v>1916</v>
      </c>
      <c r="L2203" s="56" t="s">
        <v>947</v>
      </c>
      <c r="M2203" s="4" t="s">
        <v>660</v>
      </c>
      <c r="N2203" s="4" t="s">
        <v>353</v>
      </c>
      <c r="O2203" s="4" t="s">
        <v>178</v>
      </c>
    </row>
    <row r="2204" spans="2:15">
      <c r="B2204" s="20">
        <v>45636</v>
      </c>
      <c r="C2204" s="20">
        <v>45636</v>
      </c>
      <c r="D2204" s="54">
        <v>50834329</v>
      </c>
      <c r="E2204" s="55" t="s">
        <v>1475</v>
      </c>
      <c r="G2204" s="68">
        <v>815.6</v>
      </c>
      <c r="H2204" s="56" t="s">
        <v>82</v>
      </c>
      <c r="J2204" s="56" t="s">
        <v>1917</v>
      </c>
      <c r="L2204" s="56" t="s">
        <v>947</v>
      </c>
      <c r="M2204" s="4" t="s">
        <v>660</v>
      </c>
      <c r="N2204" s="4" t="s">
        <v>1203</v>
      </c>
      <c r="O2204" s="4" t="s">
        <v>178</v>
      </c>
    </row>
    <row r="2205" spans="2:15">
      <c r="B2205" s="20">
        <v>45637</v>
      </c>
      <c r="C2205" s="20">
        <v>45637</v>
      </c>
      <c r="D2205" s="54">
        <v>50809353</v>
      </c>
      <c r="E2205" s="55" t="s">
        <v>905</v>
      </c>
      <c r="G2205" s="68">
        <v>10000</v>
      </c>
      <c r="H2205" s="56" t="s">
        <v>82</v>
      </c>
      <c r="J2205" s="56">
        <v>169554</v>
      </c>
      <c r="L2205" s="56" t="s">
        <v>1339</v>
      </c>
      <c r="M2205" s="4" t="s">
        <v>1461</v>
      </c>
      <c r="N2205" s="4" t="s">
        <v>1918</v>
      </c>
      <c r="O2205" s="4" t="s">
        <v>178</v>
      </c>
    </row>
    <row r="2206" spans="2:15">
      <c r="B2206" s="20">
        <v>45637</v>
      </c>
      <c r="C2206" s="20">
        <v>45637</v>
      </c>
      <c r="D2206" s="54">
        <v>50272278</v>
      </c>
      <c r="E2206" s="55" t="s">
        <v>21</v>
      </c>
      <c r="G2206" s="68">
        <v>13000</v>
      </c>
      <c r="H2206" s="56" t="s">
        <v>92</v>
      </c>
      <c r="J2206" s="56" t="s">
        <v>1919</v>
      </c>
      <c r="L2206" s="56" t="s">
        <v>262</v>
      </c>
      <c r="M2206" s="4" t="s">
        <v>262</v>
      </c>
      <c r="N2206" s="4" t="s">
        <v>1274</v>
      </c>
      <c r="O2206" s="4" t="s">
        <v>178</v>
      </c>
    </row>
    <row r="2207" spans="2:15">
      <c r="B2207" s="20">
        <v>45637</v>
      </c>
      <c r="C2207" s="20">
        <v>45637</v>
      </c>
      <c r="D2207" s="54">
        <v>50840366</v>
      </c>
      <c r="E2207" s="55" t="s">
        <v>1920</v>
      </c>
      <c r="G2207" s="68">
        <v>3046.7</v>
      </c>
      <c r="H2207" s="56" t="s">
        <v>82</v>
      </c>
      <c r="J2207" s="56" t="s">
        <v>1921</v>
      </c>
      <c r="L2207" s="56" t="s">
        <v>947</v>
      </c>
      <c r="M2207" s="4" t="s">
        <v>660</v>
      </c>
      <c r="N2207" s="4" t="s">
        <v>1203</v>
      </c>
      <c r="O2207" s="4" t="s">
        <v>178</v>
      </c>
    </row>
    <row r="2208" spans="2:15">
      <c r="B2208" s="20">
        <v>45637</v>
      </c>
      <c r="C2208" s="20">
        <v>45637</v>
      </c>
      <c r="D2208" s="54">
        <v>40014675</v>
      </c>
      <c r="E2208" s="55" t="s">
        <v>44</v>
      </c>
      <c r="G2208" s="68">
        <v>114</v>
      </c>
      <c r="H2208" s="56" t="s">
        <v>1248</v>
      </c>
      <c r="J2208" s="56" t="s">
        <v>1922</v>
      </c>
      <c r="L2208" s="56" t="s">
        <v>1791</v>
      </c>
      <c r="M2208" s="4" t="s">
        <v>1792</v>
      </c>
      <c r="N2208" s="4" t="s">
        <v>1793</v>
      </c>
      <c r="O2208" s="4" t="s">
        <v>178</v>
      </c>
    </row>
    <row r="2209" spans="2:15">
      <c r="B2209" s="20">
        <v>45637</v>
      </c>
      <c r="C2209" s="20">
        <v>45637</v>
      </c>
      <c r="D2209" s="54">
        <v>40014675</v>
      </c>
      <c r="E2209" s="55" t="s">
        <v>44</v>
      </c>
      <c r="G2209" s="68">
        <v>114</v>
      </c>
      <c r="H2209" s="56" t="s">
        <v>1248</v>
      </c>
      <c r="J2209" s="56" t="s">
        <v>1923</v>
      </c>
      <c r="L2209" s="56" t="s">
        <v>1791</v>
      </c>
      <c r="M2209" s="4" t="s">
        <v>1792</v>
      </c>
      <c r="N2209" s="4" t="s">
        <v>1795</v>
      </c>
      <c r="O2209" s="4" t="s">
        <v>178</v>
      </c>
    </row>
    <row r="2210" spans="2:15">
      <c r="B2210" s="20">
        <v>45637</v>
      </c>
      <c r="C2210" s="20">
        <v>45637</v>
      </c>
      <c r="D2210" s="54">
        <v>40014675</v>
      </c>
      <c r="E2210" s="55" t="s">
        <v>44</v>
      </c>
      <c r="G2210" s="68">
        <v>114</v>
      </c>
      <c r="H2210" s="56" t="s">
        <v>1248</v>
      </c>
      <c r="J2210" s="56" t="s">
        <v>1924</v>
      </c>
      <c r="L2210" s="56" t="s">
        <v>1791</v>
      </c>
      <c r="M2210" s="4" t="s">
        <v>1792</v>
      </c>
      <c r="N2210" s="4" t="s">
        <v>1793</v>
      </c>
      <c r="O2210" s="4" t="s">
        <v>178</v>
      </c>
    </row>
    <row r="2211" spans="2:15">
      <c r="B2211" s="20">
        <v>45637</v>
      </c>
      <c r="C2211" s="20">
        <v>45637</v>
      </c>
      <c r="D2211" s="54">
        <v>40014675</v>
      </c>
      <c r="E2211" s="55" t="s">
        <v>44</v>
      </c>
      <c r="G2211" s="68">
        <v>114</v>
      </c>
      <c r="H2211" s="56" t="s">
        <v>1248</v>
      </c>
      <c r="J2211" s="56" t="s">
        <v>1925</v>
      </c>
      <c r="L2211" s="56" t="s">
        <v>1791</v>
      </c>
      <c r="M2211" s="4" t="s">
        <v>1792</v>
      </c>
      <c r="N2211" s="4" t="s">
        <v>1795</v>
      </c>
      <c r="O2211" s="4" t="s">
        <v>178</v>
      </c>
    </row>
    <row r="2212" spans="2:15">
      <c r="B2212" s="20">
        <v>45638</v>
      </c>
      <c r="C2212" s="20">
        <v>45638</v>
      </c>
      <c r="D2212" s="54">
        <v>40011588</v>
      </c>
      <c r="E2212" s="55" t="s">
        <v>585</v>
      </c>
      <c r="G2212" s="68">
        <v>1460</v>
      </c>
      <c r="H2212" s="56" t="s">
        <v>80</v>
      </c>
      <c r="J2212" s="56" t="s">
        <v>1926</v>
      </c>
      <c r="L2212" s="56" t="s">
        <v>1031</v>
      </c>
      <c r="M2212" s="4" t="s">
        <v>750</v>
      </c>
      <c r="N2212" s="4" t="s">
        <v>1882</v>
      </c>
      <c r="O2212" s="4" t="s">
        <v>178</v>
      </c>
    </row>
    <row r="2213" spans="2:15">
      <c r="B2213" s="20">
        <v>45638</v>
      </c>
      <c r="C2213" s="20">
        <v>45638</v>
      </c>
      <c r="D2213" s="54">
        <v>40011149</v>
      </c>
      <c r="E2213" s="55" t="s">
        <v>37</v>
      </c>
      <c r="G2213" s="68">
        <v>6328</v>
      </c>
      <c r="H2213" s="56" t="s">
        <v>80</v>
      </c>
      <c r="J2213" s="56" t="s">
        <v>1926</v>
      </c>
      <c r="L2213" s="56" t="s">
        <v>1031</v>
      </c>
      <c r="M2213" s="4" t="s">
        <v>750</v>
      </c>
      <c r="N2213" s="4" t="s">
        <v>1882</v>
      </c>
      <c r="O2213" s="4" t="s">
        <v>178</v>
      </c>
    </row>
    <row r="2214" spans="2:15">
      <c r="B2214" s="20">
        <v>45638</v>
      </c>
      <c r="C2214" s="20">
        <v>45638</v>
      </c>
      <c r="D2214" s="54">
        <v>40014675</v>
      </c>
      <c r="E2214" s="55" t="s">
        <v>44</v>
      </c>
      <c r="G2214" s="68">
        <v>114</v>
      </c>
      <c r="H2214" s="56" t="s">
        <v>80</v>
      </c>
      <c r="J2214" s="56" t="s">
        <v>1927</v>
      </c>
      <c r="L2214" s="56" t="s">
        <v>1791</v>
      </c>
      <c r="M2214" s="4" t="s">
        <v>1792</v>
      </c>
      <c r="N2214" s="4" t="s">
        <v>1793</v>
      </c>
      <c r="O2214" s="4" t="s">
        <v>178</v>
      </c>
    </row>
    <row r="2215" spans="2:15">
      <c r="B2215" s="20">
        <v>45639</v>
      </c>
      <c r="C2215" s="20">
        <v>45639</v>
      </c>
      <c r="D2215" s="54">
        <v>40010086</v>
      </c>
      <c r="E2215" s="55" t="s">
        <v>79</v>
      </c>
      <c r="G2215" s="68">
        <v>8943</v>
      </c>
      <c r="H2215" s="56" t="s">
        <v>80</v>
      </c>
      <c r="J2215" s="56">
        <v>1002776658</v>
      </c>
      <c r="L2215" s="56" t="s">
        <v>175</v>
      </c>
      <c r="M2215" s="4" t="s">
        <v>564</v>
      </c>
      <c r="N2215" s="4" t="s">
        <v>1928</v>
      </c>
      <c r="O2215" s="4" t="s">
        <v>178</v>
      </c>
    </row>
    <row r="2216" spans="2:15">
      <c r="B2216" s="20">
        <v>45639</v>
      </c>
      <c r="C2216" s="20">
        <v>45639</v>
      </c>
      <c r="D2216" s="54">
        <v>40010087</v>
      </c>
      <c r="E2216" s="55" t="s">
        <v>387</v>
      </c>
      <c r="G2216" s="68">
        <v>8955</v>
      </c>
      <c r="H2216" s="56" t="s">
        <v>80</v>
      </c>
      <c r="J2216" s="56">
        <v>1002776658</v>
      </c>
      <c r="L2216" s="56" t="s">
        <v>175</v>
      </c>
      <c r="M2216" s="4" t="s">
        <v>564</v>
      </c>
      <c r="N2216" s="4" t="s">
        <v>1928</v>
      </c>
      <c r="O2216" s="4" t="s">
        <v>178</v>
      </c>
    </row>
    <row r="2217" spans="2:15">
      <c r="B2217" s="20">
        <v>45639</v>
      </c>
      <c r="C2217" s="20">
        <v>45639</v>
      </c>
      <c r="D2217" s="54">
        <v>40007941</v>
      </c>
      <c r="E2217" s="55" t="s">
        <v>211</v>
      </c>
      <c r="G2217" s="68">
        <v>6188</v>
      </c>
      <c r="H2217" s="56" t="s">
        <v>80</v>
      </c>
      <c r="J2217" s="56">
        <v>1002776658</v>
      </c>
      <c r="L2217" s="56" t="s">
        <v>175</v>
      </c>
      <c r="M2217" s="4" t="s">
        <v>564</v>
      </c>
      <c r="N2217" s="4" t="s">
        <v>1928</v>
      </c>
      <c r="O2217" s="4" t="s">
        <v>178</v>
      </c>
    </row>
    <row r="2218" spans="2:15">
      <c r="B2218" s="20">
        <v>45639</v>
      </c>
      <c r="C2218" s="20">
        <v>45639</v>
      </c>
      <c r="D2218" s="54">
        <v>40007857</v>
      </c>
      <c r="E2218" s="55" t="s">
        <v>225</v>
      </c>
      <c r="G2218" s="68">
        <v>3911</v>
      </c>
      <c r="H2218" s="56" t="s">
        <v>80</v>
      </c>
      <c r="J2218" s="56">
        <v>1002776658</v>
      </c>
      <c r="L2218" s="56" t="s">
        <v>175</v>
      </c>
      <c r="M2218" s="4" t="s">
        <v>564</v>
      </c>
      <c r="N2218" s="4" t="s">
        <v>1928</v>
      </c>
      <c r="O2218" s="4" t="s">
        <v>178</v>
      </c>
    </row>
    <row r="2219" spans="2:15">
      <c r="B2219" s="20">
        <v>45639</v>
      </c>
      <c r="C2219" s="20">
        <v>45639</v>
      </c>
      <c r="D2219" s="54">
        <v>40007942</v>
      </c>
      <c r="E2219" s="55" t="s">
        <v>219</v>
      </c>
      <c r="G2219" s="68">
        <v>6188</v>
      </c>
      <c r="H2219" s="56" t="s">
        <v>80</v>
      </c>
      <c r="J2219" s="56">
        <v>1002776658</v>
      </c>
      <c r="L2219" s="56" t="s">
        <v>175</v>
      </c>
      <c r="M2219" s="4" t="s">
        <v>564</v>
      </c>
      <c r="N2219" s="4" t="s">
        <v>1928</v>
      </c>
      <c r="O2219" s="4" t="s">
        <v>178</v>
      </c>
    </row>
    <row r="2220" spans="2:15">
      <c r="B2220" s="20">
        <v>45642</v>
      </c>
      <c r="C2220" s="20">
        <v>45642</v>
      </c>
      <c r="D2220" s="54">
        <v>50470190</v>
      </c>
      <c r="E2220" s="55" t="s">
        <v>12</v>
      </c>
      <c r="G2220" s="68">
        <v>9273600</v>
      </c>
      <c r="H2220" s="56" t="s">
        <v>92</v>
      </c>
      <c r="J2220" s="56" t="s">
        <v>1929</v>
      </c>
      <c r="L2220" s="56" t="s">
        <v>230</v>
      </c>
      <c r="M2220" s="4" t="s">
        <v>392</v>
      </c>
      <c r="N2220" s="4" t="s">
        <v>319</v>
      </c>
      <c r="O2220" s="4" t="s">
        <v>178</v>
      </c>
    </row>
    <row r="2221" spans="2:15">
      <c r="B2221" s="20">
        <v>45643</v>
      </c>
      <c r="C2221" s="20">
        <v>45643</v>
      </c>
      <c r="D2221" s="54">
        <v>50272278</v>
      </c>
      <c r="E2221" s="55" t="s">
        <v>21</v>
      </c>
      <c r="G2221" s="68">
        <v>13000</v>
      </c>
      <c r="H2221" s="56" t="s">
        <v>92</v>
      </c>
      <c r="J2221" s="56" t="s">
        <v>1930</v>
      </c>
      <c r="L2221" s="56" t="s">
        <v>262</v>
      </c>
      <c r="M2221" s="4" t="s">
        <v>262</v>
      </c>
      <c r="N2221" s="4" t="s">
        <v>1274</v>
      </c>
      <c r="O2221" s="4" t="s">
        <v>178</v>
      </c>
    </row>
    <row r="2222" spans="2:15">
      <c r="B2222" s="20">
        <v>45644</v>
      </c>
      <c r="C2222" s="20">
        <v>45644</v>
      </c>
      <c r="D2222" s="54">
        <v>50820741</v>
      </c>
      <c r="E2222" s="55" t="s">
        <v>1114</v>
      </c>
      <c r="G2222" s="68">
        <v>9273600</v>
      </c>
      <c r="H2222" s="56" t="s">
        <v>92</v>
      </c>
      <c r="J2222" s="56" t="s">
        <v>1931</v>
      </c>
      <c r="L2222" s="56" t="s">
        <v>1117</v>
      </c>
      <c r="M2222" s="4" t="s">
        <v>1722</v>
      </c>
      <c r="N2222" s="4" t="s">
        <v>1932</v>
      </c>
      <c r="O2222" s="4" t="s">
        <v>178</v>
      </c>
    </row>
    <row r="2223" spans="2:15">
      <c r="B2223" s="20">
        <v>45645</v>
      </c>
      <c r="C2223" s="20">
        <v>45645</v>
      </c>
      <c r="D2223" s="54">
        <v>50272278</v>
      </c>
      <c r="E2223" s="55" t="s">
        <v>21</v>
      </c>
      <c r="G2223" s="68">
        <v>12000</v>
      </c>
      <c r="H2223" s="56" t="s">
        <v>92</v>
      </c>
      <c r="J2223" s="56" t="s">
        <v>1933</v>
      </c>
      <c r="L2223" s="56" t="s">
        <v>262</v>
      </c>
      <c r="M2223" s="4" t="s">
        <v>262</v>
      </c>
      <c r="N2223" s="4" t="s">
        <v>1274</v>
      </c>
      <c r="O2223" s="4" t="s">
        <v>178</v>
      </c>
    </row>
    <row r="2224" spans="2:15">
      <c r="B2224" s="20">
        <v>45646</v>
      </c>
      <c r="C2224" s="20">
        <v>45646</v>
      </c>
      <c r="D2224" s="54">
        <v>50470190</v>
      </c>
      <c r="E2224" s="55" t="s">
        <v>12</v>
      </c>
      <c r="G2224" s="68">
        <v>3767400</v>
      </c>
      <c r="H2224" s="56" t="s">
        <v>92</v>
      </c>
      <c r="J2224" s="56" t="s">
        <v>1934</v>
      </c>
      <c r="L2224" s="56" t="s">
        <v>1117</v>
      </c>
      <c r="M2224" s="4" t="s">
        <v>1722</v>
      </c>
      <c r="N2224" s="4"/>
      <c r="O2224" s="4" t="s">
        <v>178</v>
      </c>
    </row>
    <row r="2225" spans="2:15">
      <c r="B2225" s="20">
        <v>45646</v>
      </c>
      <c r="C2225" s="20">
        <v>45646</v>
      </c>
      <c r="D2225" s="54">
        <v>50820741</v>
      </c>
      <c r="E2225" s="55" t="s">
        <v>1114</v>
      </c>
      <c r="G2225" s="68">
        <v>5506200</v>
      </c>
      <c r="H2225" s="56" t="s">
        <v>92</v>
      </c>
      <c r="J2225" s="56" t="s">
        <v>1934</v>
      </c>
      <c r="L2225" s="56" t="s">
        <v>1117</v>
      </c>
      <c r="M2225" s="4" t="s">
        <v>1722</v>
      </c>
      <c r="N2225" s="4"/>
      <c r="O2225" s="4" t="s">
        <v>178</v>
      </c>
    </row>
    <row r="2226" spans="2:15">
      <c r="B2226" s="20">
        <v>45646</v>
      </c>
      <c r="C2226" s="20">
        <v>45646</v>
      </c>
      <c r="D2226" s="54">
        <v>50837509</v>
      </c>
      <c r="E2226" s="55" t="s">
        <v>14</v>
      </c>
      <c r="G2226" s="68">
        <v>9273600</v>
      </c>
      <c r="H2226" s="56" t="s">
        <v>92</v>
      </c>
      <c r="J2226" s="56" t="s">
        <v>1935</v>
      </c>
      <c r="L2226" s="56" t="s">
        <v>1117</v>
      </c>
      <c r="M2226" s="4" t="s">
        <v>1722</v>
      </c>
      <c r="N2226" s="4"/>
      <c r="O2226" s="4" t="s">
        <v>178</v>
      </c>
    </row>
    <row r="2227" spans="2:15">
      <c r="B2227" s="20">
        <v>45646</v>
      </c>
      <c r="C2227" s="20">
        <v>45646</v>
      </c>
      <c r="D2227" s="54">
        <v>40014675</v>
      </c>
      <c r="E2227" s="55" t="s">
        <v>44</v>
      </c>
      <c r="G2227" s="68">
        <v>114</v>
      </c>
      <c r="H2227" s="56" t="s">
        <v>1248</v>
      </c>
      <c r="J2227" s="56" t="s">
        <v>1936</v>
      </c>
      <c r="L2227" s="56" t="s">
        <v>1791</v>
      </c>
      <c r="M2227" s="4" t="s">
        <v>1792</v>
      </c>
      <c r="N2227" s="4" t="s">
        <v>1793</v>
      </c>
      <c r="O2227" s="4" t="s">
        <v>178</v>
      </c>
    </row>
    <row r="2228" spans="2:15">
      <c r="B2228" s="20">
        <v>45646</v>
      </c>
      <c r="C2228" s="20">
        <v>45646</v>
      </c>
      <c r="D2228" s="54">
        <v>40014675</v>
      </c>
      <c r="E2228" s="55" t="s">
        <v>44</v>
      </c>
      <c r="G2228" s="68">
        <v>114</v>
      </c>
      <c r="H2228" s="56" t="s">
        <v>1248</v>
      </c>
      <c r="J2228" s="56" t="s">
        <v>1937</v>
      </c>
      <c r="L2228" s="56" t="s">
        <v>1791</v>
      </c>
      <c r="M2228" s="4" t="s">
        <v>1792</v>
      </c>
      <c r="N2228" s="4" t="s">
        <v>1795</v>
      </c>
      <c r="O2228" s="4" t="s">
        <v>178</v>
      </c>
    </row>
    <row r="2229" spans="2:15">
      <c r="B2229" s="20">
        <v>45646</v>
      </c>
      <c r="C2229" s="20">
        <v>45646</v>
      </c>
      <c r="D2229" s="54">
        <v>40014675</v>
      </c>
      <c r="E2229" s="55" t="s">
        <v>44</v>
      </c>
      <c r="G2229" s="68">
        <v>114</v>
      </c>
      <c r="H2229" s="56" t="s">
        <v>1248</v>
      </c>
      <c r="J2229" s="56" t="s">
        <v>1938</v>
      </c>
      <c r="L2229" s="56" t="s">
        <v>1791</v>
      </c>
      <c r="M2229" s="4" t="s">
        <v>1792</v>
      </c>
      <c r="N2229" s="4" t="s">
        <v>1793</v>
      </c>
      <c r="O2229" s="4" t="s">
        <v>178</v>
      </c>
    </row>
    <row r="2230" spans="2:15">
      <c r="B2230" s="20">
        <v>45646</v>
      </c>
      <c r="C2230" s="20">
        <v>45646</v>
      </c>
      <c r="D2230" s="54">
        <v>40014675</v>
      </c>
      <c r="E2230" s="55" t="s">
        <v>44</v>
      </c>
      <c r="G2230" s="68">
        <v>114</v>
      </c>
      <c r="H2230" s="56" t="s">
        <v>1248</v>
      </c>
      <c r="J2230" s="56" t="s">
        <v>1939</v>
      </c>
      <c r="L2230" s="56" t="s">
        <v>1791</v>
      </c>
      <c r="M2230" s="4" t="s">
        <v>1792</v>
      </c>
      <c r="N2230" s="4" t="s">
        <v>1795</v>
      </c>
      <c r="O2230" s="4" t="s">
        <v>178</v>
      </c>
    </row>
    <row r="2231" spans="2:15">
      <c r="B2231" s="20">
        <v>45646</v>
      </c>
      <c r="C2231" s="20">
        <v>45646</v>
      </c>
      <c r="D2231" s="54">
        <v>40014675</v>
      </c>
      <c r="E2231" s="55" t="s">
        <v>44</v>
      </c>
      <c r="G2231" s="68">
        <v>114</v>
      </c>
      <c r="H2231" s="56" t="s">
        <v>1248</v>
      </c>
      <c r="J2231" s="56" t="s">
        <v>1940</v>
      </c>
      <c r="L2231" s="56" t="s">
        <v>1791</v>
      </c>
      <c r="M2231" s="4" t="s">
        <v>1792</v>
      </c>
      <c r="N2231" s="4" t="s">
        <v>1793</v>
      </c>
      <c r="O2231" s="4" t="s">
        <v>178</v>
      </c>
    </row>
    <row r="2232" spans="2:15">
      <c r="B2232" s="20">
        <v>45646</v>
      </c>
      <c r="C2232" s="20">
        <v>45646</v>
      </c>
      <c r="D2232" s="54">
        <v>50502050</v>
      </c>
      <c r="E2232" s="55" t="s">
        <v>1500</v>
      </c>
      <c r="G2232" s="68">
        <v>3500</v>
      </c>
      <c r="H2232" s="56" t="s">
        <v>987</v>
      </c>
      <c r="J2232" s="56">
        <v>185456</v>
      </c>
      <c r="L2232" s="56" t="s">
        <v>1346</v>
      </c>
      <c r="M2232" s="4" t="s">
        <v>1941</v>
      </c>
      <c r="N2232" s="4"/>
      <c r="O2232" s="4" t="s">
        <v>178</v>
      </c>
    </row>
    <row r="2233" spans="2:15">
      <c r="B2233" s="20">
        <v>45646</v>
      </c>
      <c r="C2233" s="20">
        <v>45646</v>
      </c>
      <c r="D2233" s="54">
        <v>50328488</v>
      </c>
      <c r="E2233" s="55" t="s">
        <v>1853</v>
      </c>
      <c r="G2233" s="68">
        <v>250</v>
      </c>
      <c r="H2233" s="56" t="s">
        <v>1942</v>
      </c>
      <c r="J2233" s="56" t="s">
        <v>1943</v>
      </c>
      <c r="L2233" s="56" t="s">
        <v>1852</v>
      </c>
      <c r="M2233" s="4" t="s">
        <v>1852</v>
      </c>
      <c r="N2233" s="4"/>
      <c r="O2233" s="4" t="s">
        <v>178</v>
      </c>
    </row>
    <row r="2234" spans="2:15">
      <c r="B2234" s="20">
        <v>45646</v>
      </c>
      <c r="C2234" s="20">
        <v>45646</v>
      </c>
      <c r="D2234" s="54">
        <v>50328897</v>
      </c>
      <c r="E2234" s="55" t="s">
        <v>1850</v>
      </c>
      <c r="G2234" s="68">
        <v>220</v>
      </c>
      <c r="H2234" s="56" t="s">
        <v>987</v>
      </c>
      <c r="J2234" s="56" t="s">
        <v>1943</v>
      </c>
      <c r="L2234" s="56" t="s">
        <v>1852</v>
      </c>
      <c r="M2234" s="4" t="s">
        <v>1852</v>
      </c>
      <c r="N2234" s="4"/>
      <c r="O2234" s="4" t="s">
        <v>178</v>
      </c>
    </row>
    <row r="2235" spans="2:15">
      <c r="B2235" s="20">
        <v>45646</v>
      </c>
      <c r="C2235" s="20">
        <v>45646</v>
      </c>
      <c r="D2235" s="54">
        <v>50142519</v>
      </c>
      <c r="E2235" s="55" t="s">
        <v>1575</v>
      </c>
      <c r="G2235" s="68">
        <v>3500</v>
      </c>
      <c r="H2235" s="56" t="s">
        <v>92</v>
      </c>
      <c r="J2235" s="56" t="s">
        <v>1944</v>
      </c>
      <c r="L2235" s="56" t="s">
        <v>286</v>
      </c>
      <c r="M2235" s="4" t="s">
        <v>286</v>
      </c>
      <c r="N2235" s="4" t="s">
        <v>1457</v>
      </c>
      <c r="O2235" s="4" t="s">
        <v>1945</v>
      </c>
    </row>
    <row r="2236" spans="2:15">
      <c r="B2236" s="20">
        <v>45649</v>
      </c>
      <c r="C2236" s="20">
        <v>45649</v>
      </c>
      <c r="D2236" s="54">
        <v>50840365</v>
      </c>
      <c r="E2236" s="55" t="s">
        <v>1886</v>
      </c>
      <c r="G2236" s="68">
        <v>3029.2</v>
      </c>
      <c r="H2236" s="56" t="s">
        <v>1942</v>
      </c>
      <c r="J2236" s="56" t="s">
        <v>1946</v>
      </c>
      <c r="L2236" s="56" t="s">
        <v>947</v>
      </c>
      <c r="M2236" s="4" t="s">
        <v>660</v>
      </c>
      <c r="N2236" s="4"/>
      <c r="O2236" s="4" t="s">
        <v>178</v>
      </c>
    </row>
    <row r="2237" spans="2:15">
      <c r="B2237" s="20">
        <v>45649</v>
      </c>
      <c r="C2237" s="20">
        <v>45649</v>
      </c>
      <c r="D2237" s="54">
        <v>40014675</v>
      </c>
      <c r="E2237" s="55" t="s">
        <v>44</v>
      </c>
      <c r="G2237" s="68">
        <v>114</v>
      </c>
      <c r="H2237" s="56" t="s">
        <v>80</v>
      </c>
      <c r="J2237" s="56" t="s">
        <v>1947</v>
      </c>
      <c r="L2237" s="56" t="s">
        <v>1791</v>
      </c>
      <c r="M2237" s="4" t="s">
        <v>1792</v>
      </c>
      <c r="N2237" s="4" t="s">
        <v>1793</v>
      </c>
      <c r="O2237" s="4" t="s">
        <v>178</v>
      </c>
    </row>
    <row r="2238" spans="2:15">
      <c r="B2238" s="20">
        <v>45649</v>
      </c>
      <c r="C2238" s="20">
        <v>45649</v>
      </c>
      <c r="D2238" s="54">
        <v>40014675</v>
      </c>
      <c r="E2238" s="55" t="s">
        <v>44</v>
      </c>
      <c r="G2238" s="68">
        <v>114</v>
      </c>
      <c r="H2238" s="56" t="s">
        <v>80</v>
      </c>
      <c r="J2238" s="56" t="s">
        <v>1948</v>
      </c>
      <c r="L2238" s="56" t="s">
        <v>1791</v>
      </c>
      <c r="M2238" s="4" t="s">
        <v>1792</v>
      </c>
      <c r="N2238" s="4" t="s">
        <v>1795</v>
      </c>
      <c r="O2238" s="4" t="s">
        <v>178</v>
      </c>
    </row>
    <row r="2239" spans="2:15">
      <c r="B2239" s="20">
        <v>45649</v>
      </c>
      <c r="C2239" s="20">
        <v>45649</v>
      </c>
      <c r="D2239" s="54">
        <v>50142329</v>
      </c>
      <c r="E2239" s="55" t="s">
        <v>1073</v>
      </c>
      <c r="G2239" s="68">
        <v>500</v>
      </c>
      <c r="H2239" s="56" t="s">
        <v>1949</v>
      </c>
      <c r="J2239" s="56" t="s">
        <v>1950</v>
      </c>
      <c r="L2239" s="56" t="s">
        <v>769</v>
      </c>
      <c r="M2239" s="4" t="s">
        <v>769</v>
      </c>
      <c r="N2239" s="4" t="s">
        <v>1951</v>
      </c>
      <c r="O2239" s="4" t="s">
        <v>178</v>
      </c>
    </row>
    <row r="2240" spans="2:15">
      <c r="B2240" s="20">
        <v>45650</v>
      </c>
      <c r="C2240" s="20">
        <v>45650</v>
      </c>
      <c r="D2240" s="54">
        <v>50272278</v>
      </c>
      <c r="E2240" s="55" t="s">
        <v>21</v>
      </c>
      <c r="G2240" s="68">
        <v>16800</v>
      </c>
      <c r="H2240" s="56" t="s">
        <v>92</v>
      </c>
      <c r="J2240" s="56" t="s">
        <v>1952</v>
      </c>
      <c r="L2240" s="56" t="s">
        <v>1761</v>
      </c>
      <c r="M2240" s="4" t="s">
        <v>1761</v>
      </c>
      <c r="N2240" s="4"/>
      <c r="O2240" s="4" t="s">
        <v>178</v>
      </c>
    </row>
    <row r="2241" spans="2:15">
      <c r="B2241" s="20">
        <v>45650</v>
      </c>
      <c r="C2241" s="20">
        <v>45650</v>
      </c>
      <c r="D2241" s="54">
        <v>50272278</v>
      </c>
      <c r="E2241" s="55" t="s">
        <v>21</v>
      </c>
      <c r="G2241" s="68">
        <v>6000</v>
      </c>
      <c r="H2241" s="56" t="s">
        <v>92</v>
      </c>
      <c r="J2241" s="56" t="s">
        <v>1953</v>
      </c>
      <c r="L2241" s="56" t="s">
        <v>262</v>
      </c>
      <c r="M2241" s="4" t="s">
        <v>262</v>
      </c>
      <c r="N2241" s="4" t="s">
        <v>364</v>
      </c>
      <c r="O2241" s="4" t="s">
        <v>178</v>
      </c>
    </row>
    <row r="2242" spans="2:15">
      <c r="B2242" s="20">
        <v>45650</v>
      </c>
      <c r="C2242" s="20">
        <v>45650</v>
      </c>
      <c r="D2242" s="54">
        <v>40014675</v>
      </c>
      <c r="E2242" s="55" t="s">
        <v>44</v>
      </c>
      <c r="G2242" s="68">
        <v>114</v>
      </c>
      <c r="H2242" s="56" t="s">
        <v>1248</v>
      </c>
      <c r="J2242" s="56" t="s">
        <v>1954</v>
      </c>
      <c r="L2242" s="56" t="s">
        <v>1791</v>
      </c>
      <c r="M2242" s="4" t="s">
        <v>1792</v>
      </c>
      <c r="N2242" s="4" t="s">
        <v>1793</v>
      </c>
      <c r="O2242" s="4" t="s">
        <v>178</v>
      </c>
    </row>
    <row r="2243" spans="2:15">
      <c r="B2243" s="20">
        <v>45650</v>
      </c>
      <c r="C2243" s="20">
        <v>45650</v>
      </c>
      <c r="D2243" s="54">
        <v>40014675</v>
      </c>
      <c r="E2243" s="55" t="s">
        <v>44</v>
      </c>
      <c r="G2243" s="68">
        <v>114</v>
      </c>
      <c r="H2243" s="56" t="s">
        <v>1248</v>
      </c>
      <c r="J2243" s="56" t="s">
        <v>1955</v>
      </c>
      <c r="L2243" s="56" t="s">
        <v>1791</v>
      </c>
      <c r="M2243" s="4" t="s">
        <v>1792</v>
      </c>
      <c r="N2243" s="4" t="s">
        <v>1795</v>
      </c>
      <c r="O2243" s="4" t="s">
        <v>178</v>
      </c>
    </row>
    <row r="2244" spans="2:15">
      <c r="B2244" s="20">
        <v>45650</v>
      </c>
      <c r="C2244" s="20">
        <v>45650</v>
      </c>
      <c r="D2244" s="54">
        <v>40014675</v>
      </c>
      <c r="E2244" s="55" t="s">
        <v>44</v>
      </c>
      <c r="G2244" s="68">
        <v>114</v>
      </c>
      <c r="H2244" s="56" t="s">
        <v>1248</v>
      </c>
      <c r="J2244" s="56" t="s">
        <v>1956</v>
      </c>
      <c r="L2244" s="56" t="s">
        <v>1791</v>
      </c>
      <c r="M2244" s="4" t="s">
        <v>1792</v>
      </c>
      <c r="N2244" s="4" t="s">
        <v>1793</v>
      </c>
      <c r="O2244" s="4" t="s">
        <v>178</v>
      </c>
    </row>
    <row r="2245" spans="2:15">
      <c r="B2245" s="20">
        <v>45650</v>
      </c>
      <c r="C2245" s="20">
        <v>45650</v>
      </c>
      <c r="D2245" s="54">
        <v>50143875</v>
      </c>
      <c r="E2245" s="55" t="s">
        <v>713</v>
      </c>
      <c r="G2245" s="68">
        <v>10200</v>
      </c>
      <c r="H2245" s="56" t="s">
        <v>962</v>
      </c>
      <c r="J2245" s="56" t="s">
        <v>1957</v>
      </c>
      <c r="L2245" s="56" t="s">
        <v>615</v>
      </c>
      <c r="M2245" s="4" t="s">
        <v>615</v>
      </c>
      <c r="N2245" s="4" t="s">
        <v>1958</v>
      </c>
      <c r="O2245" s="4" t="s">
        <v>178</v>
      </c>
    </row>
    <row r="2246" spans="2:15">
      <c r="B2246" s="20">
        <v>45652</v>
      </c>
      <c r="C2246" s="20">
        <v>45652</v>
      </c>
      <c r="D2246" s="54">
        <v>50272278</v>
      </c>
      <c r="E2246" s="55" t="s">
        <v>21</v>
      </c>
      <c r="G2246" s="68">
        <v>13000</v>
      </c>
      <c r="H2246" s="56" t="s">
        <v>962</v>
      </c>
      <c r="J2246" s="56" t="s">
        <v>1959</v>
      </c>
      <c r="L2246" s="56" t="s">
        <v>262</v>
      </c>
      <c r="M2246" s="4" t="s">
        <v>262</v>
      </c>
      <c r="N2246" s="4" t="s">
        <v>1274</v>
      </c>
      <c r="O2246" s="4" t="s">
        <v>178</v>
      </c>
    </row>
    <row r="2247" spans="2:15">
      <c r="B2247" s="20">
        <v>45653</v>
      </c>
      <c r="C2247" s="20">
        <v>45653</v>
      </c>
      <c r="D2247" s="54">
        <v>50142329</v>
      </c>
      <c r="E2247" s="55" t="s">
        <v>1073</v>
      </c>
      <c r="G2247" s="68">
        <v>500</v>
      </c>
      <c r="H2247" s="56" t="s">
        <v>1942</v>
      </c>
      <c r="J2247" s="56" t="s">
        <v>1960</v>
      </c>
      <c r="L2247" s="56" t="s">
        <v>769</v>
      </c>
      <c r="M2247" s="4" t="s">
        <v>769</v>
      </c>
      <c r="N2247" s="4" t="s">
        <v>1951</v>
      </c>
      <c r="O2247" s="4" t="s">
        <v>178</v>
      </c>
    </row>
    <row r="2248" spans="2:15">
      <c r="B2248" s="20">
        <v>45653</v>
      </c>
      <c r="C2248" s="20">
        <v>45653</v>
      </c>
      <c r="D2248" s="54">
        <v>50272278</v>
      </c>
      <c r="E2248" s="55" t="s">
        <v>21</v>
      </c>
      <c r="G2248" s="68">
        <v>6000</v>
      </c>
      <c r="H2248" s="56" t="s">
        <v>962</v>
      </c>
      <c r="J2248" s="56" t="s">
        <v>1959</v>
      </c>
      <c r="L2248" s="56" t="s">
        <v>262</v>
      </c>
      <c r="M2248" s="4" t="s">
        <v>262</v>
      </c>
      <c r="N2248" s="4" t="s">
        <v>364</v>
      </c>
      <c r="O2248" s="4" t="s">
        <v>178</v>
      </c>
    </row>
    <row r="2249" spans="2:15">
      <c r="B2249" s="20">
        <v>45653</v>
      </c>
      <c r="C2249" s="20">
        <v>45653</v>
      </c>
      <c r="D2249" s="54">
        <v>40009151</v>
      </c>
      <c r="E2249" s="55" t="s">
        <v>1961</v>
      </c>
      <c r="G2249" s="68">
        <v>12000</v>
      </c>
      <c r="H2249" s="56" t="s">
        <v>80</v>
      </c>
      <c r="J2249" s="56">
        <v>1002947884</v>
      </c>
      <c r="L2249" s="56" t="s">
        <v>175</v>
      </c>
      <c r="M2249" s="4" t="s">
        <v>392</v>
      </c>
      <c r="N2249" s="4" t="s">
        <v>1962</v>
      </c>
      <c r="O2249" s="4" t="s">
        <v>178</v>
      </c>
    </row>
    <row r="2250" spans="2:15">
      <c r="B2250" s="20">
        <v>45654</v>
      </c>
      <c r="C2250" s="20">
        <v>45654</v>
      </c>
      <c r="D2250" s="54">
        <v>50804929</v>
      </c>
      <c r="E2250" s="55" t="s">
        <v>856</v>
      </c>
      <c r="G2250" s="68">
        <v>5520000</v>
      </c>
      <c r="H2250" s="56" t="s">
        <v>92</v>
      </c>
      <c r="J2250" s="56" t="s">
        <v>1963</v>
      </c>
      <c r="L2250" s="56" t="s">
        <v>1621</v>
      </c>
      <c r="M2250" s="4" t="s">
        <v>564</v>
      </c>
      <c r="N2250" s="4"/>
      <c r="O2250" s="4" t="s">
        <v>178</v>
      </c>
    </row>
    <row r="2251" spans="2:15">
      <c r="B2251" s="20">
        <v>45654</v>
      </c>
      <c r="C2251" s="20">
        <v>45654</v>
      </c>
      <c r="D2251" s="54">
        <v>50804970</v>
      </c>
      <c r="E2251" s="55" t="s">
        <v>857</v>
      </c>
      <c r="G2251" s="68">
        <v>940850</v>
      </c>
      <c r="H2251" s="56" t="s">
        <v>92</v>
      </c>
      <c r="J2251" s="56" t="s">
        <v>1963</v>
      </c>
      <c r="L2251" s="56" t="s">
        <v>1621</v>
      </c>
      <c r="M2251" s="4" t="s">
        <v>564</v>
      </c>
      <c r="N2251" s="4"/>
      <c r="O2251" s="4" t="s">
        <v>178</v>
      </c>
    </row>
    <row r="2252" spans="2:15">
      <c r="B2252" s="20">
        <v>45654</v>
      </c>
      <c r="C2252" s="20">
        <v>45654</v>
      </c>
      <c r="D2252" s="54">
        <v>50804970</v>
      </c>
      <c r="E2252" s="55" t="s">
        <v>857</v>
      </c>
      <c r="G2252" s="68">
        <v>4900000</v>
      </c>
      <c r="H2252" s="56" t="s">
        <v>92</v>
      </c>
      <c r="J2252" s="56" t="s">
        <v>1964</v>
      </c>
      <c r="L2252" s="56" t="s">
        <v>1621</v>
      </c>
      <c r="M2252" s="4" t="s">
        <v>564</v>
      </c>
      <c r="N2252" s="4"/>
      <c r="O2252" s="4" t="s">
        <v>178</v>
      </c>
    </row>
    <row r="2253" spans="2:15">
      <c r="B2253" s="20">
        <v>45654</v>
      </c>
      <c r="C2253" s="20">
        <v>45654</v>
      </c>
      <c r="D2253" s="54">
        <v>50804971</v>
      </c>
      <c r="E2253" s="55" t="s">
        <v>855</v>
      </c>
      <c r="G2253" s="68">
        <v>5760000</v>
      </c>
      <c r="H2253" s="56" t="s">
        <v>92</v>
      </c>
      <c r="J2253" s="56" t="s">
        <v>1964</v>
      </c>
      <c r="L2253" s="56" t="s">
        <v>1621</v>
      </c>
      <c r="M2253" s="4" t="s">
        <v>564</v>
      </c>
      <c r="N2253" s="4"/>
      <c r="O2253" s="4" t="s">
        <v>178</v>
      </c>
    </row>
    <row r="2254" spans="2:15">
      <c r="B2254" s="20">
        <v>45654</v>
      </c>
      <c r="C2254" s="20">
        <v>45654</v>
      </c>
      <c r="D2254" s="54">
        <v>50470190</v>
      </c>
      <c r="E2254" s="55" t="s">
        <v>12</v>
      </c>
      <c r="G2254" s="68">
        <v>9273600</v>
      </c>
      <c r="H2254" s="56" t="s">
        <v>92</v>
      </c>
      <c r="J2254" s="56" t="s">
        <v>1965</v>
      </c>
      <c r="L2254" s="56" t="s">
        <v>958</v>
      </c>
      <c r="M2254" s="4" t="s">
        <v>392</v>
      </c>
      <c r="N2254" s="4" t="s">
        <v>1605</v>
      </c>
      <c r="O2254" s="4" t="s">
        <v>178</v>
      </c>
    </row>
    <row r="2255" spans="2:15">
      <c r="B2255" s="20">
        <v>45654</v>
      </c>
      <c r="C2255" s="20">
        <v>45654</v>
      </c>
      <c r="D2255" s="54">
        <v>50144376</v>
      </c>
      <c r="E2255" s="55" t="s">
        <v>19</v>
      </c>
      <c r="G2255" s="68">
        <v>16800</v>
      </c>
      <c r="H2255" s="56" t="s">
        <v>92</v>
      </c>
      <c r="J2255" s="56" t="s">
        <v>1966</v>
      </c>
      <c r="L2255" s="56" t="s">
        <v>1967</v>
      </c>
      <c r="M2255" s="4" t="s">
        <v>1761</v>
      </c>
      <c r="N2255" s="4"/>
      <c r="O2255" s="4" t="s">
        <v>178</v>
      </c>
    </row>
    <row r="2256" spans="2:15">
      <c r="B2256" s="20">
        <v>45656</v>
      </c>
      <c r="C2256" s="20">
        <v>45656</v>
      </c>
      <c r="D2256" s="54">
        <v>50272278</v>
      </c>
      <c r="E2256" s="55" t="s">
        <v>21</v>
      </c>
      <c r="G2256" s="68">
        <v>13000</v>
      </c>
      <c r="H2256" s="56" t="s">
        <v>92</v>
      </c>
      <c r="J2256" s="56" t="s">
        <v>1968</v>
      </c>
      <c r="L2256" s="56" t="s">
        <v>262</v>
      </c>
      <c r="M2256" s="4" t="s">
        <v>262</v>
      </c>
      <c r="N2256" s="4" t="s">
        <v>1274</v>
      </c>
      <c r="O2256" s="4" t="s">
        <v>178</v>
      </c>
    </row>
    <row r="2257" spans="2:15">
      <c r="B2257" s="20">
        <v>45656</v>
      </c>
      <c r="C2257" s="20">
        <v>45656</v>
      </c>
      <c r="D2257" s="54">
        <v>50272278</v>
      </c>
      <c r="E2257" s="55" t="s">
        <v>21</v>
      </c>
      <c r="G2257" s="68">
        <v>13000</v>
      </c>
      <c r="H2257" s="56" t="s">
        <v>92</v>
      </c>
      <c r="J2257" s="56" t="s">
        <v>1969</v>
      </c>
      <c r="L2257" s="56" t="s">
        <v>262</v>
      </c>
      <c r="M2257" s="4" t="s">
        <v>262</v>
      </c>
      <c r="N2257" s="4" t="s">
        <v>1274</v>
      </c>
      <c r="O2257" s="4" t="s">
        <v>178</v>
      </c>
    </row>
    <row r="2258" spans="2:15">
      <c r="B2258" s="20">
        <v>45656</v>
      </c>
      <c r="C2258" s="20">
        <v>45656</v>
      </c>
      <c r="D2258" s="54">
        <v>50837239</v>
      </c>
      <c r="E2258" s="55" t="s">
        <v>27</v>
      </c>
      <c r="G2258" s="68">
        <v>3273.6</v>
      </c>
      <c r="H2258" s="56" t="s">
        <v>82</v>
      </c>
      <c r="J2258" s="56" t="s">
        <v>1970</v>
      </c>
      <c r="L2258" s="56" t="s">
        <v>1227</v>
      </c>
      <c r="M2258" s="4" t="s">
        <v>660</v>
      </c>
      <c r="N2258" s="4" t="s">
        <v>1203</v>
      </c>
      <c r="O2258" s="4" t="s">
        <v>178</v>
      </c>
    </row>
    <row r="2259" spans="2:15">
      <c r="B2259" s="20">
        <v>45656</v>
      </c>
      <c r="C2259" s="20">
        <v>45656</v>
      </c>
      <c r="D2259" s="54">
        <v>50837265</v>
      </c>
      <c r="E2259" s="55" t="s">
        <v>25</v>
      </c>
      <c r="G2259" s="68">
        <v>5425.25</v>
      </c>
      <c r="H2259" s="56" t="s">
        <v>82</v>
      </c>
      <c r="J2259" s="56" t="s">
        <v>1971</v>
      </c>
      <c r="L2259" s="56" t="s">
        <v>1227</v>
      </c>
      <c r="M2259" s="4" t="s">
        <v>660</v>
      </c>
      <c r="N2259" s="4" t="s">
        <v>1203</v>
      </c>
      <c r="O2259" s="4" t="s">
        <v>178</v>
      </c>
    </row>
    <row r="2260" spans="2:15">
      <c r="B2260" s="20">
        <v>45657</v>
      </c>
      <c r="C2260" s="20">
        <v>45657</v>
      </c>
      <c r="D2260" s="54">
        <v>50272278</v>
      </c>
      <c r="E2260" s="55" t="s">
        <v>21</v>
      </c>
      <c r="G2260" s="68">
        <v>13000</v>
      </c>
      <c r="H2260" s="56" t="s">
        <v>92</v>
      </c>
      <c r="J2260" s="56" t="s">
        <v>1972</v>
      </c>
      <c r="L2260" s="56" t="s">
        <v>262</v>
      </c>
      <c r="M2260" s="4" t="s">
        <v>262</v>
      </c>
      <c r="N2260" s="4" t="s">
        <v>1274</v>
      </c>
      <c r="O2260" s="4" t="s">
        <v>178</v>
      </c>
    </row>
    <row r="2261" spans="2:15">
      <c r="B2261" s="20">
        <v>45659</v>
      </c>
      <c r="C2261" s="20">
        <v>45659</v>
      </c>
      <c r="D2261" s="54">
        <v>50837239</v>
      </c>
      <c r="E2261" s="55" t="s">
        <v>27</v>
      </c>
      <c r="G2261" s="68">
        <v>1884.2</v>
      </c>
      <c r="H2261" s="56" t="s">
        <v>82</v>
      </c>
      <c r="J2261" s="56" t="s">
        <v>1973</v>
      </c>
      <c r="L2261" s="56" t="s">
        <v>1227</v>
      </c>
      <c r="M2261" s="4" t="s">
        <v>660</v>
      </c>
      <c r="N2261" s="4" t="s">
        <v>1203</v>
      </c>
      <c r="O2261" s="4" t="s">
        <v>178</v>
      </c>
    </row>
    <row r="2262" spans="2:15">
      <c r="B2262" s="20">
        <v>45659</v>
      </c>
      <c r="C2262" s="20">
        <v>45659</v>
      </c>
      <c r="D2262" s="54">
        <v>50272278</v>
      </c>
      <c r="E2262" s="55" t="s">
        <v>21</v>
      </c>
      <c r="G2262" s="68">
        <v>13000</v>
      </c>
      <c r="H2262" s="56" t="s">
        <v>92</v>
      </c>
      <c r="J2262" s="56" t="s">
        <v>96</v>
      </c>
      <c r="L2262" s="56" t="s">
        <v>262</v>
      </c>
      <c r="M2262" s="4" t="s">
        <v>262</v>
      </c>
      <c r="N2262" s="4" t="s">
        <v>1274</v>
      </c>
      <c r="O2262" s="4" t="s">
        <v>178</v>
      </c>
    </row>
    <row r="2263" spans="2:15">
      <c r="B2263" s="20">
        <v>45659</v>
      </c>
      <c r="C2263" s="20">
        <v>45659</v>
      </c>
      <c r="D2263" s="54">
        <v>50470190</v>
      </c>
      <c r="E2263" s="55" t="s">
        <v>12</v>
      </c>
      <c r="G2263" s="68">
        <v>9273600</v>
      </c>
      <c r="H2263" s="56" t="s">
        <v>92</v>
      </c>
      <c r="J2263" s="56" t="s">
        <v>1974</v>
      </c>
      <c r="L2263" s="56" t="s">
        <v>230</v>
      </c>
      <c r="M2263" s="4" t="s">
        <v>392</v>
      </c>
      <c r="N2263" s="4" t="s">
        <v>1605</v>
      </c>
      <c r="O2263" s="4" t="s">
        <v>178</v>
      </c>
    </row>
    <row r="2264" spans="2:15">
      <c r="B2264" s="20">
        <v>45660</v>
      </c>
      <c r="C2264" s="20">
        <v>45660</v>
      </c>
      <c r="D2264" s="54">
        <v>50824293</v>
      </c>
      <c r="E2264" s="55" t="s">
        <v>861</v>
      </c>
      <c r="G2264" s="68">
        <v>6000000</v>
      </c>
      <c r="H2264" s="56" t="s">
        <v>92</v>
      </c>
      <c r="J2264" s="56" t="s">
        <v>1975</v>
      </c>
      <c r="L2264" s="56" t="s">
        <v>1257</v>
      </c>
      <c r="M2264" s="4" t="s">
        <v>1237</v>
      </c>
      <c r="N2264" s="4"/>
      <c r="O2264" s="4" t="s">
        <v>178</v>
      </c>
    </row>
    <row r="2265" spans="2:15">
      <c r="B2265" s="20">
        <v>45660</v>
      </c>
      <c r="C2265" s="20">
        <v>45660</v>
      </c>
      <c r="D2265" s="54">
        <v>50272278</v>
      </c>
      <c r="E2265" s="55" t="s">
        <v>21</v>
      </c>
      <c r="G2265" s="68">
        <v>13000</v>
      </c>
      <c r="H2265" s="56" t="s">
        <v>92</v>
      </c>
      <c r="J2265" s="56" t="s">
        <v>98</v>
      </c>
      <c r="L2265" s="56" t="s">
        <v>262</v>
      </c>
      <c r="M2265" s="4" t="s">
        <v>262</v>
      </c>
      <c r="N2265" s="4" t="s">
        <v>1274</v>
      </c>
      <c r="O2265" s="4" t="s">
        <v>178</v>
      </c>
    </row>
    <row r="2266" spans="2:15">
      <c r="B2266" s="20">
        <v>45660</v>
      </c>
      <c r="C2266" s="20">
        <v>45660</v>
      </c>
      <c r="D2266" s="54">
        <v>50837238</v>
      </c>
      <c r="E2266" s="55" t="s">
        <v>1976</v>
      </c>
      <c r="G2266" s="68">
        <v>5301.15</v>
      </c>
      <c r="H2266" s="56" t="s">
        <v>82</v>
      </c>
      <c r="J2266" s="56" t="s">
        <v>1977</v>
      </c>
      <c r="L2266" s="56" t="s">
        <v>947</v>
      </c>
      <c r="M2266" s="4" t="s">
        <v>660</v>
      </c>
      <c r="N2266" s="4" t="s">
        <v>1203</v>
      </c>
      <c r="O2266" s="4" t="s">
        <v>178</v>
      </c>
    </row>
    <row r="2267" spans="2:15">
      <c r="B2267" s="20">
        <v>45663</v>
      </c>
      <c r="C2267" s="20">
        <v>45663</v>
      </c>
      <c r="D2267" s="54">
        <v>50144376</v>
      </c>
      <c r="E2267" s="55" t="s">
        <v>19</v>
      </c>
      <c r="G2267" s="68">
        <v>13000</v>
      </c>
      <c r="H2267" s="56" t="s">
        <v>92</v>
      </c>
      <c r="J2267" s="56" t="s">
        <v>100</v>
      </c>
      <c r="L2267" s="56" t="s">
        <v>262</v>
      </c>
      <c r="M2267" s="4" t="s">
        <v>262</v>
      </c>
      <c r="N2267" s="4" t="s">
        <v>1274</v>
      </c>
      <c r="O2267" s="4" t="s">
        <v>178</v>
      </c>
    </row>
    <row r="2268" spans="2:15">
      <c r="B2268" s="20">
        <v>45663</v>
      </c>
      <c r="C2268" s="20">
        <v>45663</v>
      </c>
      <c r="D2268" s="54">
        <v>40015070</v>
      </c>
      <c r="E2268" s="55" t="s">
        <v>1978</v>
      </c>
      <c r="G2268" s="68">
        <v>7554375</v>
      </c>
      <c r="H2268" s="56" t="s">
        <v>92</v>
      </c>
      <c r="L2268" s="56" t="s">
        <v>1815</v>
      </c>
      <c r="M2268" s="4" t="s">
        <v>392</v>
      </c>
      <c r="N2268" s="4" t="s">
        <v>1275</v>
      </c>
      <c r="O2268" s="4" t="s">
        <v>178</v>
      </c>
    </row>
    <row r="2269" spans="2:15">
      <c r="B2269" s="20">
        <v>45663</v>
      </c>
      <c r="C2269" s="20">
        <v>45663</v>
      </c>
      <c r="D2269" s="54">
        <v>777777</v>
      </c>
      <c r="E2269" s="55" t="s">
        <v>1979</v>
      </c>
      <c r="G2269" s="68">
        <v>540000</v>
      </c>
      <c r="H2269" s="56" t="s">
        <v>92</v>
      </c>
      <c r="L2269" s="56" t="s">
        <v>1815</v>
      </c>
      <c r="M2269" s="4" t="s">
        <v>392</v>
      </c>
      <c r="N2269" s="4" t="s">
        <v>1605</v>
      </c>
      <c r="O2269" s="4" t="s">
        <v>178</v>
      </c>
    </row>
    <row r="2270" spans="2:15">
      <c r="B2270" s="20">
        <v>45664</v>
      </c>
      <c r="C2270" s="20">
        <v>45664</v>
      </c>
      <c r="D2270" s="54">
        <v>50142329</v>
      </c>
      <c r="E2270" s="55" t="s">
        <v>1073</v>
      </c>
      <c r="G2270" s="68">
        <v>600</v>
      </c>
      <c r="H2270" s="56" t="s">
        <v>1949</v>
      </c>
      <c r="J2270" s="56" t="s">
        <v>1980</v>
      </c>
      <c r="L2270" s="56" t="s">
        <v>769</v>
      </c>
      <c r="M2270" s="4" t="s">
        <v>1981</v>
      </c>
      <c r="N2270" s="4" t="s">
        <v>1982</v>
      </c>
      <c r="O2270" s="4" t="s">
        <v>1945</v>
      </c>
    </row>
    <row r="2271" spans="2:15">
      <c r="B2271" s="20">
        <v>45664</v>
      </c>
      <c r="C2271" s="20">
        <v>45664</v>
      </c>
      <c r="D2271" s="54">
        <v>50272278</v>
      </c>
      <c r="E2271" s="55" t="s">
        <v>21</v>
      </c>
      <c r="G2271" s="68">
        <v>16800</v>
      </c>
      <c r="H2271" s="56" t="s">
        <v>92</v>
      </c>
      <c r="J2271" s="56" t="s">
        <v>1983</v>
      </c>
      <c r="L2271" s="56" t="s">
        <v>1761</v>
      </c>
      <c r="M2271" s="4" t="s">
        <v>1761</v>
      </c>
      <c r="N2271" s="4"/>
      <c r="O2271" s="4" t="s">
        <v>178</v>
      </c>
    </row>
    <row r="2272" spans="2:15">
      <c r="B2272" s="20">
        <v>45664</v>
      </c>
      <c r="C2272" s="20">
        <v>45664</v>
      </c>
      <c r="D2272" s="54">
        <v>50145028</v>
      </c>
      <c r="E2272" s="55" t="s">
        <v>23</v>
      </c>
      <c r="G2272" s="68">
        <v>384</v>
      </c>
      <c r="H2272" s="56" t="s">
        <v>92</v>
      </c>
      <c r="J2272" s="56" t="s">
        <v>1984</v>
      </c>
      <c r="L2272" s="56" t="s">
        <v>838</v>
      </c>
      <c r="M2272" s="4" t="s">
        <v>1904</v>
      </c>
      <c r="N2272" s="4" t="s">
        <v>1905</v>
      </c>
      <c r="O2272" s="4" t="s">
        <v>178</v>
      </c>
    </row>
    <row r="2273" spans="2:15">
      <c r="B2273" s="20">
        <v>45664</v>
      </c>
      <c r="C2273" s="20">
        <v>45664</v>
      </c>
      <c r="D2273" s="54">
        <v>50143893</v>
      </c>
      <c r="E2273" s="55" t="s">
        <v>24</v>
      </c>
      <c r="G2273" s="68">
        <v>7854</v>
      </c>
      <c r="H2273" s="56" t="s">
        <v>987</v>
      </c>
      <c r="J2273" s="56" t="s">
        <v>1984</v>
      </c>
      <c r="L2273" s="56" t="s">
        <v>838</v>
      </c>
      <c r="M2273" s="4" t="s">
        <v>1904</v>
      </c>
      <c r="N2273" s="4" t="s">
        <v>1905</v>
      </c>
      <c r="O2273" s="4" t="s">
        <v>178</v>
      </c>
    </row>
    <row r="2274" spans="2:15">
      <c r="B2274" s="20">
        <v>45664</v>
      </c>
      <c r="C2274" s="20">
        <v>45664</v>
      </c>
      <c r="D2274" s="54">
        <v>50272278</v>
      </c>
      <c r="E2274" s="55" t="s">
        <v>21</v>
      </c>
      <c r="G2274" s="68">
        <v>13000</v>
      </c>
      <c r="H2274" s="56" t="s">
        <v>92</v>
      </c>
      <c r="J2274" s="56" t="s">
        <v>102</v>
      </c>
      <c r="L2274" s="56" t="s">
        <v>262</v>
      </c>
      <c r="M2274" s="4" t="s">
        <v>262</v>
      </c>
      <c r="N2274" s="4" t="s">
        <v>1274</v>
      </c>
      <c r="O2274" s="4" t="s">
        <v>178</v>
      </c>
    </row>
    <row r="2275" spans="2:15">
      <c r="B2275" s="20">
        <v>45664</v>
      </c>
      <c r="C2275" s="20">
        <v>45664</v>
      </c>
      <c r="D2275" s="54">
        <v>50010080</v>
      </c>
      <c r="E2275" s="55" t="s">
        <v>1657</v>
      </c>
      <c r="G2275" s="68">
        <v>20000</v>
      </c>
      <c r="H2275" s="56" t="s">
        <v>82</v>
      </c>
      <c r="J2275" s="56" t="s">
        <v>1985</v>
      </c>
      <c r="L2275" s="56" t="s">
        <v>355</v>
      </c>
      <c r="M2275" s="4" t="s">
        <v>650</v>
      </c>
      <c r="N2275" s="4" t="s">
        <v>418</v>
      </c>
      <c r="O2275" s="4" t="s">
        <v>178</v>
      </c>
    </row>
    <row r="2276" spans="2:15">
      <c r="B2276" s="20">
        <v>45665</v>
      </c>
      <c r="C2276" s="20">
        <v>45665</v>
      </c>
      <c r="D2276" s="54">
        <v>50272278</v>
      </c>
      <c r="E2276" s="55" t="s">
        <v>21</v>
      </c>
      <c r="G2276" s="68">
        <v>13000</v>
      </c>
      <c r="H2276" s="56" t="s">
        <v>92</v>
      </c>
      <c r="J2276" s="56" t="s">
        <v>104</v>
      </c>
      <c r="L2276" s="56" t="s">
        <v>262</v>
      </c>
      <c r="M2276" s="4" t="s">
        <v>262</v>
      </c>
      <c r="N2276" s="4" t="s">
        <v>1274</v>
      </c>
      <c r="O2276" s="4" t="s">
        <v>178</v>
      </c>
    </row>
    <row r="2277" spans="2:15">
      <c r="B2277" s="20">
        <v>45665</v>
      </c>
      <c r="C2277" s="20">
        <v>45665</v>
      </c>
      <c r="D2277" s="54">
        <v>50449101</v>
      </c>
      <c r="E2277" s="55" t="s">
        <v>237</v>
      </c>
      <c r="G2277" s="68">
        <v>9273600</v>
      </c>
      <c r="H2277" s="56" t="s">
        <v>92</v>
      </c>
      <c r="J2277" s="56" t="s">
        <v>1986</v>
      </c>
      <c r="L2277" s="56" t="s">
        <v>1117</v>
      </c>
      <c r="M2277" s="4" t="s">
        <v>1722</v>
      </c>
      <c r="N2277" s="4" t="s">
        <v>1987</v>
      </c>
      <c r="O2277" s="4" t="s">
        <v>178</v>
      </c>
    </row>
    <row r="2278" spans="2:15">
      <c r="B2278" s="20">
        <v>45667</v>
      </c>
      <c r="C2278" s="20">
        <v>45667</v>
      </c>
      <c r="D2278" s="54">
        <v>50145028</v>
      </c>
      <c r="E2278" s="55" t="s">
        <v>23</v>
      </c>
      <c r="G2278" s="68">
        <v>1920</v>
      </c>
      <c r="H2278" s="56" t="s">
        <v>92</v>
      </c>
      <c r="J2278" s="56" t="s">
        <v>1988</v>
      </c>
      <c r="L2278" s="56" t="s">
        <v>673</v>
      </c>
      <c r="M2278" s="4" t="s">
        <v>673</v>
      </c>
      <c r="N2278" s="4" t="s">
        <v>1905</v>
      </c>
      <c r="O2278" s="4" t="s">
        <v>178</v>
      </c>
    </row>
    <row r="2279" spans="2:15">
      <c r="B2279" s="20">
        <v>45667</v>
      </c>
      <c r="C2279" s="20">
        <v>45667</v>
      </c>
      <c r="D2279" s="54">
        <v>50142328</v>
      </c>
      <c r="E2279" s="55" t="s">
        <v>1591</v>
      </c>
      <c r="G2279" s="68">
        <v>6000</v>
      </c>
      <c r="H2279" s="56" t="s">
        <v>82</v>
      </c>
      <c r="J2279" s="56" t="s">
        <v>1989</v>
      </c>
      <c r="L2279" s="56" t="s">
        <v>769</v>
      </c>
      <c r="M2279" s="4" t="s">
        <v>769</v>
      </c>
      <c r="N2279" s="4" t="s">
        <v>1486</v>
      </c>
      <c r="O2279" s="4" t="s">
        <v>178</v>
      </c>
    </row>
    <row r="2280" spans="2:15">
      <c r="B2280" s="20">
        <v>45667</v>
      </c>
      <c r="C2280" s="20">
        <v>45667</v>
      </c>
      <c r="D2280" s="54">
        <v>50821479</v>
      </c>
      <c r="E2280" s="55" t="s">
        <v>1199</v>
      </c>
      <c r="G2280" s="68">
        <f>5440000+164690</f>
        <v>5604690</v>
      </c>
      <c r="H2280" s="56" t="s">
        <v>92</v>
      </c>
      <c r="J2280" s="56">
        <v>11005</v>
      </c>
      <c r="L2280" s="56" t="s">
        <v>1109</v>
      </c>
      <c r="M2280" s="4" t="s">
        <v>392</v>
      </c>
      <c r="N2280" s="4" t="s">
        <v>1990</v>
      </c>
      <c r="O2280" s="4" t="s">
        <v>533</v>
      </c>
    </row>
    <row r="2281" spans="2:15">
      <c r="B2281" s="20">
        <v>45667</v>
      </c>
      <c r="C2281" s="20">
        <v>45667</v>
      </c>
      <c r="D2281" s="54">
        <v>50145029</v>
      </c>
      <c r="E2281" s="55" t="s">
        <v>705</v>
      </c>
      <c r="G2281" s="68">
        <v>18</v>
      </c>
      <c r="H2281" s="56" t="s">
        <v>92</v>
      </c>
      <c r="J2281" s="56">
        <v>1013</v>
      </c>
      <c r="L2281" s="56" t="s">
        <v>1053</v>
      </c>
      <c r="M2281" s="4" t="s">
        <v>1053</v>
      </c>
      <c r="N2281" s="4" t="s">
        <v>836</v>
      </c>
      <c r="O2281" s="4" t="s">
        <v>533</v>
      </c>
    </row>
    <row r="2282" spans="2:15">
      <c r="B2282" s="20">
        <v>45667</v>
      </c>
      <c r="C2282" s="20">
        <v>45667</v>
      </c>
      <c r="D2282" s="54">
        <v>50392045</v>
      </c>
      <c r="E2282" s="55" t="s">
        <v>707</v>
      </c>
      <c r="G2282" s="68">
        <v>54</v>
      </c>
      <c r="H2282" s="56" t="s">
        <v>92</v>
      </c>
      <c r="J2282" s="56">
        <v>1013</v>
      </c>
      <c r="L2282" s="56" t="s">
        <v>1053</v>
      </c>
      <c r="M2282" s="4" t="s">
        <v>1053</v>
      </c>
      <c r="N2282" s="4" t="s">
        <v>836</v>
      </c>
      <c r="O2282" s="4" t="s">
        <v>533</v>
      </c>
    </row>
    <row r="2283" spans="2:15">
      <c r="B2283" s="20">
        <v>45667</v>
      </c>
      <c r="C2283" s="20">
        <v>45667</v>
      </c>
      <c r="D2283" s="54">
        <v>50145012</v>
      </c>
      <c r="E2283" s="55" t="s">
        <v>504</v>
      </c>
      <c r="G2283" s="68">
        <v>6</v>
      </c>
      <c r="H2283" s="56" t="s">
        <v>92</v>
      </c>
      <c r="J2283" s="56">
        <v>1013</v>
      </c>
      <c r="L2283" s="56" t="s">
        <v>1053</v>
      </c>
      <c r="M2283" s="4" t="s">
        <v>1053</v>
      </c>
      <c r="N2283" s="4" t="s">
        <v>836</v>
      </c>
      <c r="O2283" s="4" t="s">
        <v>533</v>
      </c>
    </row>
    <row r="2284" spans="2:15">
      <c r="B2284" s="20">
        <v>45667</v>
      </c>
      <c r="C2284" s="20">
        <v>45667</v>
      </c>
      <c r="D2284" s="54">
        <v>50392046</v>
      </c>
      <c r="E2284" s="55" t="s">
        <v>509</v>
      </c>
      <c r="G2284" s="68">
        <v>12</v>
      </c>
      <c r="H2284" s="56" t="s">
        <v>92</v>
      </c>
      <c r="J2284" s="56">
        <v>1013</v>
      </c>
      <c r="L2284" s="56" t="s">
        <v>1053</v>
      </c>
      <c r="M2284" s="4" t="s">
        <v>1053</v>
      </c>
      <c r="N2284" s="4" t="s">
        <v>836</v>
      </c>
      <c r="O2284" s="4" t="s">
        <v>533</v>
      </c>
    </row>
    <row r="2285" spans="2:15">
      <c r="B2285" s="20">
        <v>45667</v>
      </c>
      <c r="C2285" s="20">
        <v>45667</v>
      </c>
      <c r="D2285" s="54">
        <v>20016059</v>
      </c>
      <c r="E2285" s="55" t="s">
        <v>1498</v>
      </c>
      <c r="G2285" s="68">
        <v>100</v>
      </c>
      <c r="H2285" s="56" t="s">
        <v>92</v>
      </c>
      <c r="J2285" s="56">
        <v>6917</v>
      </c>
      <c r="L2285" s="56" t="s">
        <v>1499</v>
      </c>
      <c r="M2285" s="4" t="s">
        <v>1499</v>
      </c>
      <c r="N2285" s="4" t="s">
        <v>1991</v>
      </c>
      <c r="O2285" s="4" t="s">
        <v>533</v>
      </c>
    </row>
    <row r="2286" spans="2:15">
      <c r="B2286" s="20">
        <v>45670</v>
      </c>
      <c r="C2286" s="20">
        <v>45304</v>
      </c>
      <c r="D2286" s="54">
        <v>50272278</v>
      </c>
      <c r="E2286" s="55" t="s">
        <v>21</v>
      </c>
      <c r="G2286" s="68">
        <v>13000</v>
      </c>
      <c r="H2286" s="56" t="s">
        <v>92</v>
      </c>
      <c r="J2286" s="56" t="s">
        <v>106</v>
      </c>
      <c r="L2286" s="56" t="s">
        <v>262</v>
      </c>
      <c r="M2286" s="4" t="s">
        <v>262</v>
      </c>
      <c r="N2286" s="4" t="s">
        <v>1274</v>
      </c>
      <c r="O2286" s="4" t="s">
        <v>178</v>
      </c>
    </row>
    <row r="2287" spans="2:15">
      <c r="B2287" s="20">
        <v>45670</v>
      </c>
      <c r="C2287" s="20">
        <v>45304</v>
      </c>
      <c r="D2287" s="54">
        <v>50837236</v>
      </c>
      <c r="E2287" s="55" t="s">
        <v>1992</v>
      </c>
      <c r="G2287" s="68">
        <v>3096.45</v>
      </c>
      <c r="H2287" s="56" t="s">
        <v>82</v>
      </c>
      <c r="J2287" s="56" t="s">
        <v>1993</v>
      </c>
      <c r="L2287" s="56" t="s">
        <v>1227</v>
      </c>
      <c r="M2287" s="4" t="s">
        <v>660</v>
      </c>
      <c r="N2287" s="4"/>
      <c r="O2287" s="4" t="s">
        <v>178</v>
      </c>
    </row>
    <row r="2288" spans="2:15">
      <c r="B2288" s="20">
        <v>45671</v>
      </c>
      <c r="C2288" s="20">
        <v>45671</v>
      </c>
      <c r="D2288" s="54">
        <v>50837284</v>
      </c>
      <c r="E2288" s="55" t="s">
        <v>28</v>
      </c>
      <c r="G2288" s="68">
        <v>5122.6</v>
      </c>
      <c r="H2288" s="56" t="s">
        <v>82</v>
      </c>
      <c r="J2288" s="56" t="s">
        <v>1994</v>
      </c>
      <c r="L2288" s="56" t="s">
        <v>1227</v>
      </c>
      <c r="M2288" s="4" t="s">
        <v>660</v>
      </c>
      <c r="N2288" s="4"/>
      <c r="O2288" s="4" t="s">
        <v>178</v>
      </c>
    </row>
    <row r="2289" spans="2:15">
      <c r="B2289" s="20">
        <v>45671</v>
      </c>
      <c r="C2289" s="20">
        <v>45671</v>
      </c>
      <c r="D2289" s="54">
        <v>50328897</v>
      </c>
      <c r="E2289" s="55" t="s">
        <v>1850</v>
      </c>
      <c r="G2289" s="68">
        <v>220</v>
      </c>
      <c r="H2289" s="56" t="s">
        <v>82</v>
      </c>
      <c r="J2289" s="56" t="s">
        <v>1995</v>
      </c>
      <c r="L2289" s="56" t="s">
        <v>1852</v>
      </c>
      <c r="M2289" s="4" t="s">
        <v>1852</v>
      </c>
      <c r="N2289" s="4"/>
      <c r="O2289" s="4" t="s">
        <v>178</v>
      </c>
    </row>
    <row r="2290" spans="2:15">
      <c r="B2290" s="20">
        <v>45671</v>
      </c>
      <c r="C2290" s="20">
        <v>45671</v>
      </c>
      <c r="D2290" s="54">
        <v>50328488</v>
      </c>
      <c r="E2290" s="55" t="s">
        <v>1853</v>
      </c>
      <c r="G2290" s="68">
        <v>25</v>
      </c>
      <c r="H2290" s="56" t="s">
        <v>82</v>
      </c>
      <c r="J2290" s="56" t="s">
        <v>1996</v>
      </c>
      <c r="L2290" s="56" t="s">
        <v>1852</v>
      </c>
      <c r="M2290" s="4" t="s">
        <v>1852</v>
      </c>
      <c r="N2290" s="4"/>
      <c r="O2290" s="4" t="s">
        <v>178</v>
      </c>
    </row>
    <row r="2291" spans="2:15">
      <c r="B2291" s="20">
        <v>45671</v>
      </c>
      <c r="C2291" s="20">
        <v>45671</v>
      </c>
      <c r="D2291" s="54">
        <v>50834329</v>
      </c>
      <c r="E2291" s="55" t="s">
        <v>1475</v>
      </c>
      <c r="G2291" s="68">
        <v>1899.5</v>
      </c>
      <c r="H2291" s="56" t="s">
        <v>82</v>
      </c>
      <c r="J2291" s="56" t="s">
        <v>1997</v>
      </c>
      <c r="L2291" s="56" t="s">
        <v>1227</v>
      </c>
      <c r="M2291" s="4" t="s">
        <v>660</v>
      </c>
      <c r="N2291" s="4"/>
      <c r="O2291" s="4" t="s">
        <v>178</v>
      </c>
    </row>
    <row r="2292" spans="2:15">
      <c r="B2292" s="20">
        <v>45672</v>
      </c>
      <c r="C2292" s="20">
        <v>45672</v>
      </c>
      <c r="D2292" s="54">
        <v>50272278</v>
      </c>
      <c r="E2292" s="55" t="s">
        <v>21</v>
      </c>
      <c r="G2292" s="68">
        <v>13000</v>
      </c>
      <c r="H2292" s="56" t="s">
        <v>92</v>
      </c>
      <c r="J2292" s="56" t="s">
        <v>108</v>
      </c>
      <c r="L2292" s="56" t="s">
        <v>262</v>
      </c>
      <c r="M2292" s="4" t="s">
        <v>262</v>
      </c>
      <c r="N2292" s="4" t="s">
        <v>1274</v>
      </c>
      <c r="O2292" s="4" t="s">
        <v>178</v>
      </c>
    </row>
    <row r="2293" spans="2:15">
      <c r="B2293" s="20">
        <v>45672</v>
      </c>
      <c r="C2293" s="20">
        <v>45672</v>
      </c>
      <c r="D2293" s="54">
        <v>50143875</v>
      </c>
      <c r="E2293" s="55" t="s">
        <v>713</v>
      </c>
      <c r="G2293" s="68">
        <v>20000</v>
      </c>
      <c r="H2293" s="56" t="s">
        <v>92</v>
      </c>
      <c r="J2293" s="56" t="s">
        <v>1998</v>
      </c>
      <c r="L2293" s="56" t="s">
        <v>615</v>
      </c>
      <c r="M2293" s="4" t="s">
        <v>615</v>
      </c>
      <c r="N2293" s="4"/>
      <c r="O2293" s="4" t="s">
        <v>178</v>
      </c>
    </row>
    <row r="2294" spans="2:15">
      <c r="B2294" s="20">
        <v>45672</v>
      </c>
      <c r="C2294" s="20">
        <v>45672</v>
      </c>
      <c r="D2294" s="54">
        <v>50143894</v>
      </c>
      <c r="E2294" s="55" t="s">
        <v>944</v>
      </c>
      <c r="G2294" s="68">
        <v>735</v>
      </c>
      <c r="H2294" s="56" t="s">
        <v>92</v>
      </c>
      <c r="J2294" s="56" t="s">
        <v>1998</v>
      </c>
      <c r="L2294" s="56" t="s">
        <v>615</v>
      </c>
      <c r="M2294" s="4" t="s">
        <v>615</v>
      </c>
      <c r="N2294" s="4"/>
      <c r="O2294" s="4" t="s">
        <v>178</v>
      </c>
    </row>
    <row r="2295" spans="2:15">
      <c r="B2295" s="20">
        <v>45673</v>
      </c>
      <c r="C2295" s="20">
        <v>45673</v>
      </c>
      <c r="D2295" s="54">
        <v>50470190</v>
      </c>
      <c r="E2295" s="55" t="s">
        <v>12</v>
      </c>
      <c r="G2295" s="68">
        <v>9273600</v>
      </c>
      <c r="H2295" s="56" t="s">
        <v>92</v>
      </c>
      <c r="J2295" s="56" t="s">
        <v>1999</v>
      </c>
      <c r="L2295" s="56" t="s">
        <v>2000</v>
      </c>
      <c r="M2295" s="4" t="s">
        <v>392</v>
      </c>
      <c r="N2295" s="4" t="s">
        <v>1605</v>
      </c>
      <c r="O2295" s="4" t="s">
        <v>178</v>
      </c>
    </row>
    <row r="2296" spans="2:15">
      <c r="B2296" s="20">
        <v>45673</v>
      </c>
      <c r="C2296" s="20">
        <v>45673</v>
      </c>
      <c r="D2296" s="54">
        <v>50400554</v>
      </c>
      <c r="E2296" s="55" t="s">
        <v>1311</v>
      </c>
      <c r="G2296" s="68">
        <f>107520/1000</f>
        <v>107.52</v>
      </c>
      <c r="H2296" s="56" t="s">
        <v>92</v>
      </c>
      <c r="N2296" s="4"/>
      <c r="O2296" s="4" t="s">
        <v>178</v>
      </c>
    </row>
    <row r="2297" spans="2:15">
      <c r="B2297" s="20">
        <v>45674</v>
      </c>
      <c r="C2297" s="20">
        <v>45674</v>
      </c>
      <c r="D2297" s="54">
        <v>50837239</v>
      </c>
      <c r="E2297" s="55" t="s">
        <v>27</v>
      </c>
      <c r="G2297" s="68">
        <v>4847.95</v>
      </c>
      <c r="H2297" s="56" t="s">
        <v>82</v>
      </c>
      <c r="J2297" s="56" t="s">
        <v>2001</v>
      </c>
      <c r="L2297" s="56" t="s">
        <v>1227</v>
      </c>
      <c r="M2297" s="4" t="s">
        <v>660</v>
      </c>
      <c r="N2297" s="4"/>
      <c r="O2297" s="4" t="s">
        <v>178</v>
      </c>
    </row>
    <row r="2298" spans="2:15">
      <c r="B2298" s="20">
        <v>45675</v>
      </c>
      <c r="C2298" s="20">
        <v>45675</v>
      </c>
      <c r="D2298" s="54">
        <v>50144200</v>
      </c>
      <c r="E2298" s="55" t="s">
        <v>184</v>
      </c>
      <c r="G2298" s="68">
        <v>10775000</v>
      </c>
      <c r="H2298" s="56" t="s">
        <v>92</v>
      </c>
      <c r="J2298" s="56" t="s">
        <v>2002</v>
      </c>
      <c r="L2298" s="56" t="s">
        <v>2003</v>
      </c>
      <c r="M2298" s="4" t="s">
        <v>2004</v>
      </c>
      <c r="N2298" s="4"/>
      <c r="O2298" s="4" t="s">
        <v>178</v>
      </c>
    </row>
    <row r="2299" spans="2:15">
      <c r="B2299" s="20">
        <v>45675</v>
      </c>
      <c r="C2299" s="20">
        <v>45675</v>
      </c>
      <c r="D2299" s="54">
        <v>50507916</v>
      </c>
      <c r="E2299" s="55" t="s">
        <v>406</v>
      </c>
      <c r="G2299" s="68">
        <v>10967000</v>
      </c>
      <c r="H2299" s="56" t="s">
        <v>92</v>
      </c>
      <c r="J2299" s="56" t="s">
        <v>2002</v>
      </c>
      <c r="L2299" s="56" t="s">
        <v>2003</v>
      </c>
      <c r="M2299" s="4" t="s">
        <v>2004</v>
      </c>
      <c r="N2299" s="4"/>
      <c r="O2299" s="4" t="s">
        <v>178</v>
      </c>
    </row>
    <row r="2300" spans="2:15">
      <c r="B2300" s="20">
        <v>45677</v>
      </c>
      <c r="C2300" s="20">
        <v>45677</v>
      </c>
      <c r="D2300" s="54">
        <v>50392046</v>
      </c>
      <c r="E2300" s="55" t="s">
        <v>509</v>
      </c>
      <c r="G2300" s="68">
        <v>6</v>
      </c>
      <c r="J2300" s="56" t="s">
        <v>2005</v>
      </c>
      <c r="L2300" s="56" t="s">
        <v>1053</v>
      </c>
      <c r="M2300" s="4" t="s">
        <v>1053</v>
      </c>
      <c r="N2300" s="4"/>
      <c r="O2300" s="4" t="s">
        <v>178</v>
      </c>
    </row>
    <row r="2301" spans="2:15">
      <c r="B2301" s="20">
        <v>45677</v>
      </c>
      <c r="C2301" s="20">
        <v>45677</v>
      </c>
      <c r="D2301" s="54">
        <v>50272278</v>
      </c>
      <c r="E2301" s="55" t="s">
        <v>21</v>
      </c>
      <c r="G2301" s="68">
        <v>12000</v>
      </c>
      <c r="H2301" s="56" t="s">
        <v>92</v>
      </c>
      <c r="J2301" s="56" t="s">
        <v>110</v>
      </c>
      <c r="L2301" s="56" t="s">
        <v>262</v>
      </c>
      <c r="M2301" s="4" t="s">
        <v>262</v>
      </c>
      <c r="N2301" s="4" t="s">
        <v>1274</v>
      </c>
      <c r="O2301" s="4" t="s">
        <v>178</v>
      </c>
    </row>
    <row r="2302" spans="2:15">
      <c r="B2302" s="20">
        <v>45677</v>
      </c>
      <c r="C2302" s="20">
        <v>45677</v>
      </c>
      <c r="D2302" s="54">
        <v>50145028</v>
      </c>
      <c r="E2302" s="55" t="s">
        <v>23</v>
      </c>
      <c r="G2302" s="68">
        <v>3960</v>
      </c>
      <c r="H2302" s="56" t="s">
        <v>92</v>
      </c>
      <c r="J2302" s="56" t="s">
        <v>2006</v>
      </c>
      <c r="L2302" s="56" t="s">
        <v>838</v>
      </c>
      <c r="M2302" s="4" t="s">
        <v>1904</v>
      </c>
      <c r="N2302" s="4" t="s">
        <v>1905</v>
      </c>
      <c r="O2302" s="4" t="s">
        <v>178</v>
      </c>
    </row>
    <row r="2303" spans="2:15">
      <c r="B2303" s="20">
        <v>45677</v>
      </c>
      <c r="C2303" s="20">
        <v>45677</v>
      </c>
      <c r="D2303" s="54">
        <v>50143893</v>
      </c>
      <c r="E2303" s="55" t="s">
        <v>24</v>
      </c>
      <c r="G2303" s="68">
        <v>3960</v>
      </c>
      <c r="H2303" s="56" t="s">
        <v>82</v>
      </c>
      <c r="J2303" s="56" t="s">
        <v>2006</v>
      </c>
      <c r="L2303" s="56" t="s">
        <v>838</v>
      </c>
      <c r="M2303" s="4" t="s">
        <v>1904</v>
      </c>
      <c r="N2303" s="4" t="s">
        <v>1905</v>
      </c>
      <c r="O2303" s="4" t="s">
        <v>178</v>
      </c>
    </row>
    <row r="2304" spans="2:15">
      <c r="B2304" s="20">
        <v>45677</v>
      </c>
      <c r="C2304" s="20">
        <v>45677</v>
      </c>
      <c r="D2304" s="54">
        <v>50472696</v>
      </c>
      <c r="E2304" s="55" t="s">
        <v>1308</v>
      </c>
      <c r="G2304" s="68">
        <v>3675</v>
      </c>
      <c r="H2304" s="56" t="s">
        <v>80</v>
      </c>
      <c r="J2304" s="56" t="s">
        <v>2006</v>
      </c>
      <c r="L2304" s="56" t="s">
        <v>838</v>
      </c>
      <c r="M2304" s="4" t="s">
        <v>1904</v>
      </c>
      <c r="N2304" s="4" t="s">
        <v>1905</v>
      </c>
      <c r="O2304" s="4" t="s">
        <v>178</v>
      </c>
    </row>
    <row r="2305" spans="2:15">
      <c r="B2305" s="20">
        <v>45677</v>
      </c>
      <c r="C2305" s="20">
        <v>45677</v>
      </c>
      <c r="D2305" s="54">
        <v>50472692</v>
      </c>
      <c r="E2305" s="55" t="s">
        <v>1304</v>
      </c>
      <c r="G2305" s="68">
        <v>2730</v>
      </c>
      <c r="H2305" s="56" t="s">
        <v>80</v>
      </c>
      <c r="J2305" s="56" t="s">
        <v>2006</v>
      </c>
      <c r="L2305" s="56" t="s">
        <v>838</v>
      </c>
      <c r="M2305" s="4" t="s">
        <v>1904</v>
      </c>
      <c r="N2305" s="4" t="s">
        <v>1905</v>
      </c>
      <c r="O2305" s="4" t="s">
        <v>178</v>
      </c>
    </row>
    <row r="2306" spans="2:15">
      <c r="B2306" s="20">
        <v>45677</v>
      </c>
      <c r="C2306" s="20">
        <v>45677</v>
      </c>
      <c r="D2306" s="54">
        <v>50142237</v>
      </c>
      <c r="E2306" s="55" t="s">
        <v>617</v>
      </c>
      <c r="G2306" s="68">
        <v>70000</v>
      </c>
      <c r="H2306" s="56" t="s">
        <v>92</v>
      </c>
      <c r="J2306" s="56" t="s">
        <v>2007</v>
      </c>
      <c r="L2306" s="56" t="s">
        <v>1015</v>
      </c>
      <c r="M2306" s="4" t="s">
        <v>1015</v>
      </c>
      <c r="N2306" s="4" t="s">
        <v>1054</v>
      </c>
      <c r="O2306" s="4" t="s">
        <v>178</v>
      </c>
    </row>
    <row r="2307" spans="2:15">
      <c r="B2307" s="20">
        <v>45677</v>
      </c>
      <c r="C2307" s="20">
        <v>45677</v>
      </c>
      <c r="D2307" s="54">
        <v>50802401</v>
      </c>
      <c r="E2307" s="55" t="s">
        <v>13</v>
      </c>
      <c r="G2307" s="68">
        <v>9273600</v>
      </c>
      <c r="H2307" s="56" t="s">
        <v>92</v>
      </c>
      <c r="J2307" s="56" t="s">
        <v>2008</v>
      </c>
      <c r="L2307" s="56" t="s">
        <v>1117</v>
      </c>
      <c r="N2307" s="4"/>
      <c r="O2307" s="4" t="s">
        <v>178</v>
      </c>
    </row>
    <row r="2308" spans="2:15">
      <c r="B2308" s="20">
        <v>45678</v>
      </c>
      <c r="C2308" s="20">
        <v>45678</v>
      </c>
      <c r="D2308" s="54">
        <v>55555555</v>
      </c>
      <c r="E2308" s="55" t="s">
        <v>2009</v>
      </c>
      <c r="G2308" s="68">
        <v>385000</v>
      </c>
      <c r="H2308" s="56" t="s">
        <v>92</v>
      </c>
      <c r="J2308" s="56" t="s">
        <v>2010</v>
      </c>
      <c r="L2308" s="56" t="s">
        <v>1190</v>
      </c>
      <c r="M2308" s="4" t="s">
        <v>498</v>
      </c>
      <c r="N2308" s="4" t="s">
        <v>2011</v>
      </c>
      <c r="O2308" s="4" t="s">
        <v>178</v>
      </c>
    </row>
    <row r="2309" spans="2:15">
      <c r="B2309" s="20">
        <v>45678</v>
      </c>
      <c r="C2309" s="20">
        <v>45678</v>
      </c>
      <c r="D2309" s="54">
        <v>44444444</v>
      </c>
      <c r="E2309" s="55" t="s">
        <v>2012</v>
      </c>
      <c r="G2309" s="68">
        <v>385000</v>
      </c>
      <c r="H2309" s="56" t="s">
        <v>92</v>
      </c>
      <c r="J2309" s="56" t="s">
        <v>2010</v>
      </c>
      <c r="L2309" s="56" t="s">
        <v>1190</v>
      </c>
      <c r="M2309" s="4" t="s">
        <v>498</v>
      </c>
      <c r="N2309" s="4" t="s">
        <v>2011</v>
      </c>
      <c r="O2309" s="4" t="s">
        <v>178</v>
      </c>
    </row>
    <row r="2310" spans="2:15">
      <c r="B2310" s="20">
        <v>45678</v>
      </c>
      <c r="C2310" s="20">
        <v>45678</v>
      </c>
      <c r="D2310" s="54">
        <v>77777777</v>
      </c>
      <c r="E2310" s="55" t="s">
        <v>2013</v>
      </c>
      <c r="G2310" s="68">
        <v>22000</v>
      </c>
      <c r="H2310" s="56" t="s">
        <v>92</v>
      </c>
      <c r="J2310" s="56" t="s">
        <v>2010</v>
      </c>
      <c r="L2310" s="56" t="s">
        <v>1190</v>
      </c>
      <c r="M2310" s="4" t="s">
        <v>498</v>
      </c>
      <c r="N2310" s="4" t="s">
        <v>2011</v>
      </c>
      <c r="O2310" s="4" t="s">
        <v>178</v>
      </c>
    </row>
    <row r="2311" spans="2:15">
      <c r="B2311" s="20">
        <v>45678</v>
      </c>
      <c r="C2311" s="20">
        <v>45678</v>
      </c>
      <c r="D2311" s="54">
        <v>88888888</v>
      </c>
      <c r="E2311" s="55" t="s">
        <v>2014</v>
      </c>
      <c r="G2311" s="68">
        <v>22000</v>
      </c>
      <c r="H2311" s="56" t="s">
        <v>92</v>
      </c>
      <c r="J2311" s="56" t="s">
        <v>2010</v>
      </c>
      <c r="L2311" s="56" t="s">
        <v>1190</v>
      </c>
      <c r="M2311" s="4" t="s">
        <v>498</v>
      </c>
      <c r="N2311" s="4" t="s">
        <v>2011</v>
      </c>
      <c r="O2311" s="4" t="s">
        <v>178</v>
      </c>
    </row>
    <row r="2312" spans="2:15">
      <c r="B2312" s="20">
        <v>45678</v>
      </c>
      <c r="C2312" s="20">
        <v>45678</v>
      </c>
      <c r="D2312" s="54">
        <v>99999999</v>
      </c>
      <c r="E2312" s="55" t="s">
        <v>2015</v>
      </c>
      <c r="G2312" s="68">
        <v>22000</v>
      </c>
      <c r="H2312" s="56" t="s">
        <v>92</v>
      </c>
      <c r="J2312" s="56" t="s">
        <v>2010</v>
      </c>
      <c r="L2312" s="56" t="s">
        <v>1190</v>
      </c>
      <c r="M2312" s="4" t="s">
        <v>498</v>
      </c>
      <c r="N2312" s="4" t="s">
        <v>2011</v>
      </c>
      <c r="O2312" s="4" t="s">
        <v>178</v>
      </c>
    </row>
    <row r="2313" spans="2:15">
      <c r="B2313" s="20">
        <v>45678</v>
      </c>
      <c r="C2313" s="20">
        <v>45678</v>
      </c>
      <c r="D2313" s="54">
        <v>10101010</v>
      </c>
      <c r="E2313" s="55" t="s">
        <v>2016</v>
      </c>
      <c r="G2313" s="68">
        <v>22000</v>
      </c>
      <c r="H2313" s="56" t="s">
        <v>92</v>
      </c>
      <c r="J2313" s="56" t="s">
        <v>2010</v>
      </c>
      <c r="L2313" s="56" t="s">
        <v>1190</v>
      </c>
      <c r="M2313" s="4" t="s">
        <v>498</v>
      </c>
      <c r="N2313" s="4" t="s">
        <v>2011</v>
      </c>
      <c r="O2313" s="4" t="s">
        <v>178</v>
      </c>
    </row>
    <row r="2314" spans="2:15">
      <c r="B2314" s="20">
        <v>45678</v>
      </c>
      <c r="C2314" s="20">
        <v>45678</v>
      </c>
      <c r="D2314" s="54">
        <v>50272278</v>
      </c>
      <c r="E2314" s="55" t="s">
        <v>21</v>
      </c>
      <c r="G2314" s="68">
        <v>13000</v>
      </c>
      <c r="H2314" s="56" t="s">
        <v>92</v>
      </c>
      <c r="J2314" s="56" t="s">
        <v>112</v>
      </c>
      <c r="L2314" s="56" t="s">
        <v>262</v>
      </c>
      <c r="M2314" s="4" t="s">
        <v>262</v>
      </c>
      <c r="N2314" s="4" t="s">
        <v>1274</v>
      </c>
      <c r="O2314" s="4" t="s">
        <v>178</v>
      </c>
    </row>
    <row r="2315" spans="2:15">
      <c r="B2315" s="20">
        <v>45678</v>
      </c>
      <c r="C2315" s="20">
        <v>45678</v>
      </c>
      <c r="D2315" s="54">
        <v>50837284</v>
      </c>
      <c r="E2315" s="55" t="s">
        <v>28</v>
      </c>
      <c r="G2315" s="68">
        <v>2058.85</v>
      </c>
      <c r="H2315" s="56" t="s">
        <v>1942</v>
      </c>
      <c r="J2315" s="56" t="s">
        <v>2017</v>
      </c>
      <c r="L2315" s="56" t="s">
        <v>1227</v>
      </c>
      <c r="M2315" s="4" t="s">
        <v>660</v>
      </c>
      <c r="N2315" s="4"/>
      <c r="O2315" s="4" t="s">
        <v>178</v>
      </c>
    </row>
    <row r="2316" spans="2:15">
      <c r="B2316" s="20">
        <v>45679</v>
      </c>
      <c r="C2316" s="20">
        <v>45679</v>
      </c>
      <c r="D2316" s="54">
        <v>50470190</v>
      </c>
      <c r="E2316" s="55" t="s">
        <v>12</v>
      </c>
      <c r="G2316" s="68">
        <v>9273600</v>
      </c>
      <c r="H2316" s="56" t="s">
        <v>92</v>
      </c>
      <c r="J2316" s="56" t="s">
        <v>2018</v>
      </c>
      <c r="L2316" s="56" t="s">
        <v>958</v>
      </c>
      <c r="M2316" s="4" t="s">
        <v>392</v>
      </c>
      <c r="N2316" s="4" t="s">
        <v>319</v>
      </c>
      <c r="O2316" s="4" t="s">
        <v>178</v>
      </c>
    </row>
    <row r="2317" spans="2:15">
      <c r="B2317" s="20">
        <v>45680</v>
      </c>
      <c r="C2317" s="20">
        <v>45680</v>
      </c>
      <c r="D2317" s="54">
        <v>50793278</v>
      </c>
      <c r="E2317" s="55" t="s">
        <v>1086</v>
      </c>
      <c r="G2317" s="68">
        <v>160</v>
      </c>
      <c r="H2317" s="56" t="s">
        <v>1087</v>
      </c>
      <c r="J2317" s="56">
        <v>1003515798</v>
      </c>
      <c r="L2317" s="56" t="s">
        <v>175</v>
      </c>
      <c r="M2317" s="4" t="s">
        <v>175</v>
      </c>
      <c r="N2317" s="4"/>
      <c r="O2317" s="4" t="s">
        <v>178</v>
      </c>
    </row>
    <row r="2318" spans="2:15">
      <c r="B2318" s="20">
        <v>45681</v>
      </c>
      <c r="C2318" s="20">
        <v>45681</v>
      </c>
      <c r="D2318" s="54">
        <v>50272278</v>
      </c>
      <c r="E2318" s="55" t="s">
        <v>21</v>
      </c>
      <c r="G2318" s="68">
        <v>13000</v>
      </c>
      <c r="H2318" s="56" t="s">
        <v>92</v>
      </c>
      <c r="J2318" s="56" t="s">
        <v>114</v>
      </c>
      <c r="L2318" s="56" t="s">
        <v>262</v>
      </c>
      <c r="M2318" s="4" t="s">
        <v>262</v>
      </c>
      <c r="N2318" s="4" t="s">
        <v>1274</v>
      </c>
      <c r="O2318" s="4" t="s">
        <v>178</v>
      </c>
    </row>
    <row r="2319" spans="2:15">
      <c r="B2319" s="20">
        <v>45684</v>
      </c>
      <c r="C2319" s="20">
        <v>45684</v>
      </c>
      <c r="D2319" s="54">
        <v>50328488</v>
      </c>
      <c r="E2319" s="55" t="s">
        <v>1853</v>
      </c>
      <c r="G2319" s="68">
        <v>150</v>
      </c>
      <c r="H2319" s="56" t="s">
        <v>962</v>
      </c>
      <c r="J2319" s="56" t="s">
        <v>2019</v>
      </c>
      <c r="L2319" s="56" t="s">
        <v>1852</v>
      </c>
      <c r="N2319" s="4"/>
      <c r="O2319" s="4" t="s">
        <v>178</v>
      </c>
    </row>
    <row r="2320" spans="2:15">
      <c r="B2320" s="20">
        <v>45684</v>
      </c>
      <c r="C2320" s="20">
        <v>45684</v>
      </c>
      <c r="D2320" s="54">
        <v>50144376</v>
      </c>
      <c r="E2320" s="55" t="s">
        <v>19</v>
      </c>
      <c r="G2320" s="68">
        <v>13000</v>
      </c>
      <c r="H2320" s="56" t="s">
        <v>92</v>
      </c>
      <c r="J2320" s="56" t="s">
        <v>116</v>
      </c>
      <c r="L2320" s="56" t="s">
        <v>262</v>
      </c>
      <c r="M2320" s="4" t="s">
        <v>262</v>
      </c>
      <c r="N2320" s="4" t="s">
        <v>1274</v>
      </c>
      <c r="O2320" s="4" t="s">
        <v>178</v>
      </c>
    </row>
    <row r="2321" spans="2:15">
      <c r="B2321" s="20">
        <v>45684</v>
      </c>
      <c r="C2321" s="20">
        <v>45684</v>
      </c>
      <c r="D2321" s="54">
        <v>50821962</v>
      </c>
      <c r="E2321" s="55" t="s">
        <v>2020</v>
      </c>
      <c r="G2321" s="68">
        <v>5117.5</v>
      </c>
      <c r="H2321" s="56" t="s">
        <v>1942</v>
      </c>
      <c r="J2321" s="56" t="s">
        <v>2021</v>
      </c>
      <c r="L2321" s="56" t="s">
        <v>1227</v>
      </c>
      <c r="M2321" s="4" t="s">
        <v>660</v>
      </c>
      <c r="N2321" s="4" t="s">
        <v>1203</v>
      </c>
      <c r="O2321" s="4" t="s">
        <v>178</v>
      </c>
    </row>
    <row r="2322" spans="2:15">
      <c r="B2322" s="20">
        <v>45684</v>
      </c>
      <c r="C2322" s="20">
        <v>45684</v>
      </c>
      <c r="D2322" s="54">
        <v>40010083</v>
      </c>
      <c r="E2322" s="55" t="s">
        <v>85</v>
      </c>
      <c r="G2322" s="68">
        <v>7074</v>
      </c>
      <c r="H2322" s="56" t="s">
        <v>80</v>
      </c>
      <c r="J2322" s="56">
        <v>1003626046</v>
      </c>
      <c r="L2322" s="56" t="s">
        <v>175</v>
      </c>
      <c r="N2322" s="4"/>
      <c r="O2322" s="4" t="s">
        <v>178</v>
      </c>
    </row>
    <row r="2323" spans="2:15">
      <c r="B2323" s="20">
        <v>45684</v>
      </c>
      <c r="C2323" s="20">
        <v>45684</v>
      </c>
      <c r="D2323" s="54">
        <v>40010084</v>
      </c>
      <c r="E2323" s="55" t="s">
        <v>81</v>
      </c>
      <c r="G2323" s="68">
        <v>7520</v>
      </c>
      <c r="H2323" s="56" t="s">
        <v>80</v>
      </c>
      <c r="J2323" s="56">
        <v>1003626046</v>
      </c>
      <c r="L2323" s="56" t="s">
        <v>175</v>
      </c>
      <c r="N2323" s="4"/>
      <c r="O2323" s="4" t="s">
        <v>178</v>
      </c>
    </row>
    <row r="2324" spans="2:15">
      <c r="B2324" s="20">
        <v>45684</v>
      </c>
      <c r="C2324" s="20">
        <v>45684</v>
      </c>
      <c r="D2324" s="54">
        <v>40007938</v>
      </c>
      <c r="E2324" s="55" t="s">
        <v>202</v>
      </c>
      <c r="G2324" s="68">
        <v>3109</v>
      </c>
      <c r="H2324" s="56" t="s">
        <v>80</v>
      </c>
      <c r="J2324" s="56">
        <v>1003626046</v>
      </c>
      <c r="L2324" s="56" t="s">
        <v>175</v>
      </c>
      <c r="N2324" s="4"/>
      <c r="O2324" s="4" t="s">
        <v>178</v>
      </c>
    </row>
    <row r="2325" spans="2:15">
      <c r="B2325" s="20">
        <v>45685</v>
      </c>
      <c r="C2325" s="20">
        <v>45685</v>
      </c>
      <c r="D2325" s="54">
        <v>50272278</v>
      </c>
      <c r="E2325" s="55" t="s">
        <v>21</v>
      </c>
      <c r="G2325" s="68">
        <v>13000</v>
      </c>
      <c r="H2325" s="56" t="s">
        <v>92</v>
      </c>
      <c r="J2325" s="56" t="s">
        <v>118</v>
      </c>
      <c r="L2325" s="56" t="s">
        <v>262</v>
      </c>
      <c r="M2325" s="4" t="s">
        <v>262</v>
      </c>
      <c r="N2325" s="4" t="s">
        <v>1274</v>
      </c>
      <c r="O2325" s="4" t="s">
        <v>178</v>
      </c>
    </row>
    <row r="2326" spans="2:15">
      <c r="B2326" s="20">
        <v>45685</v>
      </c>
      <c r="C2326" s="20">
        <v>45685</v>
      </c>
      <c r="D2326" s="54">
        <v>40010086</v>
      </c>
      <c r="E2326" s="55" t="s">
        <v>79</v>
      </c>
      <c r="G2326" s="68">
        <v>15582</v>
      </c>
      <c r="H2326" s="56" t="s">
        <v>80</v>
      </c>
      <c r="J2326" s="56">
        <v>1003621175</v>
      </c>
      <c r="L2326" s="56" t="s">
        <v>175</v>
      </c>
      <c r="M2326" s="4" t="s">
        <v>564</v>
      </c>
      <c r="N2326" s="4" t="s">
        <v>2022</v>
      </c>
      <c r="O2326" s="4" t="s">
        <v>178</v>
      </c>
    </row>
    <row r="2327" spans="2:15">
      <c r="B2327" s="20">
        <v>45685</v>
      </c>
      <c r="C2327" s="20">
        <v>45685</v>
      </c>
      <c r="D2327" s="54">
        <v>40010087</v>
      </c>
      <c r="E2327" s="55" t="s">
        <v>387</v>
      </c>
      <c r="G2327" s="68">
        <v>15552</v>
      </c>
      <c r="H2327" s="56" t="s">
        <v>80</v>
      </c>
      <c r="J2327" s="56">
        <v>1003621175</v>
      </c>
      <c r="L2327" s="56" t="s">
        <v>175</v>
      </c>
      <c r="M2327" s="4" t="s">
        <v>564</v>
      </c>
      <c r="N2327" s="4" t="s">
        <v>2022</v>
      </c>
      <c r="O2327" s="4" t="s">
        <v>178</v>
      </c>
    </row>
    <row r="2328" spans="2:15">
      <c r="B2328" s="20">
        <v>45685</v>
      </c>
      <c r="C2328" s="20">
        <v>45685</v>
      </c>
      <c r="D2328" s="54">
        <v>40009543</v>
      </c>
      <c r="E2328" s="55" t="s">
        <v>473</v>
      </c>
      <c r="G2328" s="68">
        <v>3102</v>
      </c>
      <c r="H2328" s="56" t="s">
        <v>80</v>
      </c>
      <c r="J2328" s="56">
        <v>1003621175</v>
      </c>
      <c r="L2328" s="56" t="s">
        <v>175</v>
      </c>
      <c r="M2328" s="4" t="s">
        <v>564</v>
      </c>
      <c r="N2328" s="4" t="s">
        <v>2022</v>
      </c>
      <c r="O2328" s="4" t="s">
        <v>178</v>
      </c>
    </row>
    <row r="2329" spans="2:15">
      <c r="B2329" s="20">
        <v>45685</v>
      </c>
      <c r="C2329" s="20">
        <v>45685</v>
      </c>
      <c r="D2329" s="54">
        <v>40007855</v>
      </c>
      <c r="E2329" s="55" t="s">
        <v>84</v>
      </c>
      <c r="G2329" s="68">
        <v>4304</v>
      </c>
      <c r="H2329" s="56" t="s">
        <v>80</v>
      </c>
      <c r="J2329" s="56">
        <v>1003621175</v>
      </c>
      <c r="L2329" s="56" t="s">
        <v>175</v>
      </c>
      <c r="M2329" s="4" t="s">
        <v>564</v>
      </c>
      <c r="N2329" s="4" t="s">
        <v>2022</v>
      </c>
      <c r="O2329" s="4" t="s">
        <v>178</v>
      </c>
    </row>
    <row r="2330" spans="2:15">
      <c r="B2330" s="20">
        <v>45685</v>
      </c>
      <c r="C2330" s="20">
        <v>45685</v>
      </c>
      <c r="D2330" s="54">
        <v>40009541</v>
      </c>
      <c r="E2330" s="55" t="s">
        <v>685</v>
      </c>
      <c r="G2330" s="68">
        <v>3731</v>
      </c>
      <c r="H2330" s="56" t="s">
        <v>80</v>
      </c>
      <c r="J2330" s="56">
        <v>1003621175</v>
      </c>
      <c r="L2330" s="56" t="s">
        <v>175</v>
      </c>
      <c r="M2330" s="4" t="s">
        <v>564</v>
      </c>
      <c r="N2330" s="4" t="s">
        <v>2022</v>
      </c>
      <c r="O2330" s="4" t="s">
        <v>178</v>
      </c>
    </row>
    <row r="2331" spans="2:15">
      <c r="B2331" s="20">
        <v>45686</v>
      </c>
      <c r="C2331" s="20">
        <v>45686</v>
      </c>
      <c r="D2331" s="54">
        <v>50837237</v>
      </c>
      <c r="E2331" s="55" t="s">
        <v>1747</v>
      </c>
      <c r="G2331" s="68">
        <v>5569.05</v>
      </c>
      <c r="H2331" s="56" t="s">
        <v>987</v>
      </c>
      <c r="J2331" s="56" t="s">
        <v>2023</v>
      </c>
      <c r="L2331" s="56" t="s">
        <v>1227</v>
      </c>
      <c r="M2331" s="4" t="s">
        <v>660</v>
      </c>
      <c r="N2331" s="4" t="s">
        <v>1203</v>
      </c>
      <c r="O2331" s="4" t="s">
        <v>178</v>
      </c>
    </row>
    <row r="2332" spans="2:15">
      <c r="B2332" s="20">
        <v>45687</v>
      </c>
      <c r="C2332" s="20">
        <v>45687</v>
      </c>
      <c r="D2332" s="54">
        <v>50144376</v>
      </c>
      <c r="E2332" s="55" t="s">
        <v>19</v>
      </c>
      <c r="G2332" s="68">
        <v>13000</v>
      </c>
      <c r="H2332" s="56" t="s">
        <v>92</v>
      </c>
      <c r="J2332" s="56" t="s">
        <v>120</v>
      </c>
      <c r="L2332" s="56" t="s">
        <v>262</v>
      </c>
      <c r="M2332" s="4" t="s">
        <v>262</v>
      </c>
      <c r="N2332" s="4" t="s">
        <v>1274</v>
      </c>
      <c r="O2332" s="4" t="s">
        <v>178</v>
      </c>
    </row>
    <row r="2333" spans="2:15">
      <c r="B2333" s="20">
        <v>45687</v>
      </c>
      <c r="C2333" s="20">
        <v>45687</v>
      </c>
      <c r="D2333" s="54">
        <v>50272278</v>
      </c>
      <c r="E2333" s="55" t="s">
        <v>21</v>
      </c>
      <c r="G2333" s="68">
        <v>14000</v>
      </c>
      <c r="H2333" s="56" t="s">
        <v>92</v>
      </c>
      <c r="J2333" s="56" t="s">
        <v>122</v>
      </c>
      <c r="L2333" s="56" t="s">
        <v>262</v>
      </c>
      <c r="M2333" s="4" t="s">
        <v>176</v>
      </c>
      <c r="N2333" s="4" t="s">
        <v>177</v>
      </c>
      <c r="O2333" s="4" t="s">
        <v>178</v>
      </c>
    </row>
    <row r="2334" spans="2:15">
      <c r="B2334" s="20">
        <v>45688</v>
      </c>
      <c r="C2334" s="20">
        <v>45688</v>
      </c>
      <c r="D2334" s="54">
        <v>40015004</v>
      </c>
      <c r="E2334" s="55" t="s">
        <v>2024</v>
      </c>
      <c r="G2334" s="68">
        <v>2067</v>
      </c>
      <c r="H2334" s="56" t="s">
        <v>80</v>
      </c>
      <c r="J2334" s="56">
        <v>1003622319</v>
      </c>
      <c r="L2334" s="56" t="s">
        <v>175</v>
      </c>
      <c r="M2334" s="4" t="s">
        <v>564</v>
      </c>
      <c r="N2334" s="4" t="s">
        <v>2025</v>
      </c>
      <c r="O2334" s="4" t="s">
        <v>178</v>
      </c>
    </row>
    <row r="2335" spans="2:15">
      <c r="B2335" s="20">
        <v>45688</v>
      </c>
      <c r="C2335" s="20">
        <v>45688</v>
      </c>
      <c r="D2335" s="54">
        <v>40015005</v>
      </c>
      <c r="E2335" s="55" t="s">
        <v>2026</v>
      </c>
      <c r="G2335" s="68">
        <v>2019</v>
      </c>
      <c r="H2335" s="56" t="s">
        <v>80</v>
      </c>
      <c r="J2335" s="56">
        <v>1003622319</v>
      </c>
      <c r="L2335" s="56" t="s">
        <v>175</v>
      </c>
      <c r="M2335" s="4" t="s">
        <v>564</v>
      </c>
      <c r="N2335" s="4" t="s">
        <v>2025</v>
      </c>
      <c r="O2335" s="4" t="s">
        <v>178</v>
      </c>
    </row>
    <row r="2336" spans="2:15">
      <c r="B2336" s="20">
        <v>45688</v>
      </c>
      <c r="C2336" s="20">
        <v>45688</v>
      </c>
      <c r="D2336" s="54">
        <v>40015006</v>
      </c>
      <c r="E2336" s="55" t="s">
        <v>2027</v>
      </c>
      <c r="G2336" s="68">
        <v>2102</v>
      </c>
      <c r="H2336" s="56" t="s">
        <v>80</v>
      </c>
      <c r="J2336" s="56">
        <v>1003622319</v>
      </c>
      <c r="L2336" s="56" t="s">
        <v>175</v>
      </c>
      <c r="M2336" s="4" t="s">
        <v>564</v>
      </c>
      <c r="N2336" s="4" t="s">
        <v>2025</v>
      </c>
      <c r="O2336" s="4" t="s">
        <v>178</v>
      </c>
    </row>
    <row r="2337" spans="2:15">
      <c r="B2337" s="20">
        <v>45688</v>
      </c>
      <c r="C2337" s="20">
        <v>45688</v>
      </c>
      <c r="D2337" s="54">
        <v>40015003</v>
      </c>
      <c r="E2337" s="55" t="s">
        <v>2028</v>
      </c>
      <c r="G2337" s="68">
        <v>2079</v>
      </c>
      <c r="H2337" s="56" t="s">
        <v>80</v>
      </c>
      <c r="J2337" s="56">
        <v>1003622319</v>
      </c>
      <c r="L2337" s="56" t="s">
        <v>175</v>
      </c>
      <c r="M2337" s="4" t="s">
        <v>564</v>
      </c>
      <c r="N2337" s="4" t="s">
        <v>2025</v>
      </c>
      <c r="O2337" s="4" t="s">
        <v>178</v>
      </c>
    </row>
    <row r="2338" spans="2:15">
      <c r="B2338" s="20">
        <v>45688</v>
      </c>
      <c r="C2338" s="20">
        <v>45688</v>
      </c>
      <c r="D2338" s="54">
        <v>40009546</v>
      </c>
      <c r="E2338" s="55" t="s">
        <v>174</v>
      </c>
      <c r="G2338" s="68">
        <v>4407</v>
      </c>
      <c r="H2338" s="56" t="s">
        <v>80</v>
      </c>
      <c r="J2338" s="56">
        <v>1003622319</v>
      </c>
      <c r="L2338" s="56" t="s">
        <v>175</v>
      </c>
      <c r="M2338" s="4" t="s">
        <v>564</v>
      </c>
      <c r="N2338" s="4" t="s">
        <v>2025</v>
      </c>
      <c r="O2338" s="4" t="s">
        <v>178</v>
      </c>
    </row>
    <row r="2339" spans="2:15">
      <c r="B2339" s="20">
        <v>45688</v>
      </c>
      <c r="C2339" s="20">
        <v>45688</v>
      </c>
      <c r="D2339" s="54">
        <v>40011133</v>
      </c>
      <c r="E2339" s="55" t="s">
        <v>634</v>
      </c>
      <c r="G2339" s="68">
        <v>5166</v>
      </c>
      <c r="H2339" s="56" t="s">
        <v>80</v>
      </c>
      <c r="J2339" s="56">
        <v>1003622319</v>
      </c>
      <c r="L2339" s="56" t="s">
        <v>175</v>
      </c>
      <c r="M2339" s="4" t="s">
        <v>564</v>
      </c>
      <c r="N2339" s="4" t="s">
        <v>2025</v>
      </c>
      <c r="O2339" s="4" t="s">
        <v>178</v>
      </c>
    </row>
    <row r="2340" spans="2:15">
      <c r="B2340" s="20">
        <v>45688</v>
      </c>
      <c r="C2340" s="20">
        <v>45688</v>
      </c>
      <c r="D2340" s="54">
        <v>40007941</v>
      </c>
      <c r="E2340" s="55" t="s">
        <v>211</v>
      </c>
      <c r="G2340" s="68">
        <v>6155</v>
      </c>
      <c r="H2340" s="56" t="s">
        <v>80</v>
      </c>
      <c r="J2340" s="56">
        <v>1003622319</v>
      </c>
      <c r="L2340" s="56" t="s">
        <v>175</v>
      </c>
      <c r="M2340" s="4" t="s">
        <v>564</v>
      </c>
      <c r="N2340" s="4" t="s">
        <v>2025</v>
      </c>
      <c r="O2340" s="4" t="s">
        <v>178</v>
      </c>
    </row>
    <row r="2341" spans="2:15">
      <c r="B2341" s="20">
        <v>45688</v>
      </c>
      <c r="C2341" s="20">
        <v>45688</v>
      </c>
      <c r="D2341" s="54">
        <v>50837237</v>
      </c>
      <c r="E2341" s="55" t="s">
        <v>1747</v>
      </c>
      <c r="G2341" s="68">
        <v>1165.1</v>
      </c>
      <c r="H2341" s="56" t="s">
        <v>82</v>
      </c>
      <c r="J2341" s="56" t="s">
        <v>2029</v>
      </c>
      <c r="L2341" s="56" t="s">
        <v>1227</v>
      </c>
      <c r="M2341" s="4" t="s">
        <v>660</v>
      </c>
      <c r="N2341" s="4" t="s">
        <v>1203</v>
      </c>
      <c r="O2341" s="4" t="s">
        <v>178</v>
      </c>
    </row>
    <row r="2342" spans="2:15">
      <c r="B2342" s="20">
        <v>45688</v>
      </c>
      <c r="C2342" s="20">
        <v>45688</v>
      </c>
      <c r="D2342" s="54">
        <v>50837238</v>
      </c>
      <c r="E2342" s="55" t="s">
        <v>1976</v>
      </c>
      <c r="G2342" s="68">
        <v>1712.25</v>
      </c>
      <c r="H2342" s="56" t="s">
        <v>82</v>
      </c>
      <c r="J2342" s="56" t="s">
        <v>2029</v>
      </c>
      <c r="L2342" s="56" t="s">
        <v>1227</v>
      </c>
      <c r="M2342" s="4" t="s">
        <v>660</v>
      </c>
      <c r="N2342" s="4" t="s">
        <v>1203</v>
      </c>
      <c r="O2342" s="4" t="s">
        <v>178</v>
      </c>
    </row>
    <row r="2343" spans="2:15">
      <c r="B2343" s="20">
        <v>45691</v>
      </c>
      <c r="C2343" s="20">
        <v>45691</v>
      </c>
      <c r="D2343" s="54">
        <v>40014675</v>
      </c>
      <c r="E2343" s="55" t="s">
        <v>44</v>
      </c>
      <c r="G2343" s="68">
        <v>114</v>
      </c>
      <c r="H2343" s="56" t="s">
        <v>1248</v>
      </c>
      <c r="J2343" s="56" t="s">
        <v>2030</v>
      </c>
      <c r="L2343" s="56" t="s">
        <v>1791</v>
      </c>
      <c r="M2343" s="4" t="s">
        <v>1792</v>
      </c>
      <c r="N2343" s="4" t="s">
        <v>1793</v>
      </c>
      <c r="O2343" s="4" t="s">
        <v>178</v>
      </c>
    </row>
    <row r="2344" spans="2:15">
      <c r="B2344" s="20">
        <v>45691</v>
      </c>
      <c r="C2344" s="20">
        <v>45691</v>
      </c>
      <c r="D2344" s="54">
        <v>40014675</v>
      </c>
      <c r="E2344" s="55" t="s">
        <v>44</v>
      </c>
      <c r="G2344" s="68">
        <v>114</v>
      </c>
      <c r="H2344" s="56" t="s">
        <v>1248</v>
      </c>
      <c r="J2344" s="56" t="s">
        <v>2031</v>
      </c>
      <c r="L2344" s="56" t="s">
        <v>1791</v>
      </c>
      <c r="M2344" s="4" t="s">
        <v>1792</v>
      </c>
      <c r="N2344" s="4" t="s">
        <v>2032</v>
      </c>
      <c r="O2344" s="4" t="s">
        <v>178</v>
      </c>
    </row>
    <row r="2345" spans="2:15">
      <c r="B2345" s="20">
        <v>45691</v>
      </c>
      <c r="C2345" s="20">
        <v>45691</v>
      </c>
      <c r="D2345" s="54">
        <v>40014675</v>
      </c>
      <c r="E2345" s="55" t="s">
        <v>44</v>
      </c>
      <c r="G2345" s="68">
        <v>114</v>
      </c>
      <c r="H2345" s="56" t="s">
        <v>1248</v>
      </c>
      <c r="J2345" s="56" t="s">
        <v>2033</v>
      </c>
      <c r="L2345" s="56" t="s">
        <v>1791</v>
      </c>
      <c r="M2345" s="4" t="s">
        <v>1792</v>
      </c>
      <c r="N2345" s="4" t="s">
        <v>1793</v>
      </c>
      <c r="O2345" s="4" t="s">
        <v>178</v>
      </c>
    </row>
    <row r="2346" spans="2:15">
      <c r="B2346" s="20">
        <v>45691</v>
      </c>
      <c r="C2346" s="20">
        <v>45691</v>
      </c>
      <c r="D2346" s="54">
        <v>50272278</v>
      </c>
      <c r="E2346" s="55" t="s">
        <v>21</v>
      </c>
      <c r="G2346" s="68">
        <v>13000</v>
      </c>
      <c r="H2346" s="56" t="s">
        <v>962</v>
      </c>
      <c r="J2346" s="56" t="s">
        <v>124</v>
      </c>
      <c r="L2346" s="56" t="s">
        <v>262</v>
      </c>
      <c r="M2346" s="4" t="s">
        <v>262</v>
      </c>
      <c r="N2346" s="4" t="s">
        <v>1274</v>
      </c>
      <c r="O2346" s="4" t="s">
        <v>178</v>
      </c>
    </row>
    <row r="2347" spans="2:15">
      <c r="B2347" s="20">
        <v>45691</v>
      </c>
      <c r="C2347" s="20">
        <v>45691</v>
      </c>
      <c r="D2347" s="54">
        <v>50470190</v>
      </c>
      <c r="E2347" s="55" t="s">
        <v>12</v>
      </c>
      <c r="G2347" s="68">
        <v>9273600</v>
      </c>
      <c r="J2347" s="56" t="s">
        <v>2034</v>
      </c>
      <c r="L2347" s="56" t="s">
        <v>958</v>
      </c>
      <c r="M2347" s="4" t="s">
        <v>392</v>
      </c>
      <c r="N2347" s="4" t="s">
        <v>319</v>
      </c>
      <c r="O2347" s="4" t="s">
        <v>178</v>
      </c>
    </row>
    <row r="2348" spans="2:15">
      <c r="B2348" s="20">
        <v>45692</v>
      </c>
      <c r="C2348" s="20">
        <v>45692</v>
      </c>
      <c r="D2348" s="54">
        <v>40014675</v>
      </c>
      <c r="E2348" s="55" t="s">
        <v>44</v>
      </c>
      <c r="F2348" s="56">
        <v>114</v>
      </c>
      <c r="G2348" s="68">
        <v>114</v>
      </c>
      <c r="H2348" s="56" t="s">
        <v>1248</v>
      </c>
      <c r="J2348" s="56" t="s">
        <v>2035</v>
      </c>
      <c r="L2348" s="56" t="s">
        <v>1791</v>
      </c>
      <c r="M2348" s="4" t="s">
        <v>1792</v>
      </c>
      <c r="N2348" s="4" t="s">
        <v>2032</v>
      </c>
      <c r="O2348" s="4" t="s">
        <v>178</v>
      </c>
    </row>
    <row r="2349" spans="2:15">
      <c r="B2349" s="20">
        <v>45692</v>
      </c>
      <c r="C2349" s="20">
        <v>45692</v>
      </c>
      <c r="D2349" s="54">
        <v>40014675</v>
      </c>
      <c r="E2349" s="55" t="s">
        <v>44</v>
      </c>
      <c r="F2349" s="56">
        <v>114</v>
      </c>
      <c r="G2349" s="68">
        <v>114</v>
      </c>
      <c r="H2349" s="56" t="s">
        <v>1248</v>
      </c>
      <c r="J2349" s="56" t="s">
        <v>2036</v>
      </c>
      <c r="L2349" s="56" t="s">
        <v>1791</v>
      </c>
      <c r="M2349" s="4" t="s">
        <v>1792</v>
      </c>
      <c r="N2349" s="4" t="s">
        <v>2032</v>
      </c>
      <c r="O2349" s="4" t="s">
        <v>178</v>
      </c>
    </row>
    <row r="2350" spans="2:15">
      <c r="B2350" s="20">
        <v>45692</v>
      </c>
      <c r="C2350" s="20">
        <v>45692</v>
      </c>
      <c r="D2350" s="54">
        <v>40014675</v>
      </c>
      <c r="E2350" s="55" t="s">
        <v>44</v>
      </c>
      <c r="F2350" s="56">
        <v>114</v>
      </c>
      <c r="G2350" s="68">
        <v>114</v>
      </c>
      <c r="H2350" s="56" t="s">
        <v>1248</v>
      </c>
      <c r="J2350" s="56" t="s">
        <v>2037</v>
      </c>
      <c r="L2350" s="56" t="s">
        <v>1791</v>
      </c>
      <c r="M2350" s="4" t="s">
        <v>1792</v>
      </c>
      <c r="N2350" s="4" t="s">
        <v>2032</v>
      </c>
      <c r="O2350" s="4" t="s">
        <v>178</v>
      </c>
    </row>
    <row r="2351" spans="2:15">
      <c r="B2351" s="20">
        <v>45692</v>
      </c>
      <c r="C2351" s="20">
        <v>45692</v>
      </c>
      <c r="D2351" s="54">
        <v>50272278</v>
      </c>
      <c r="E2351" s="55" t="s">
        <v>21</v>
      </c>
      <c r="G2351" s="68">
        <v>13000</v>
      </c>
      <c r="H2351" s="56" t="s">
        <v>92</v>
      </c>
      <c r="J2351" s="56" t="s">
        <v>126</v>
      </c>
      <c r="L2351" s="56" t="s">
        <v>262</v>
      </c>
      <c r="M2351" s="4" t="s">
        <v>262</v>
      </c>
      <c r="N2351" s="4" t="s">
        <v>1274</v>
      </c>
      <c r="O2351" s="4" t="s">
        <v>178</v>
      </c>
    </row>
    <row r="2352" spans="2:15">
      <c r="B2352" s="20">
        <v>45692</v>
      </c>
      <c r="C2352" s="20">
        <v>45692</v>
      </c>
      <c r="D2352" s="54">
        <v>50142571</v>
      </c>
      <c r="E2352" s="55" t="s">
        <v>605</v>
      </c>
      <c r="G2352" s="68">
        <v>336</v>
      </c>
      <c r="H2352" s="56" t="s">
        <v>82</v>
      </c>
      <c r="J2352" s="56" t="s">
        <v>2038</v>
      </c>
      <c r="L2352" s="56" t="s">
        <v>2039</v>
      </c>
      <c r="N2352" s="4"/>
      <c r="O2352" s="4" t="s">
        <v>178</v>
      </c>
    </row>
    <row r="2353" spans="2:15">
      <c r="B2353" s="20">
        <v>45692</v>
      </c>
      <c r="C2353" s="20">
        <v>45692</v>
      </c>
      <c r="D2353" s="54">
        <v>50143646</v>
      </c>
      <c r="E2353" s="55" t="s">
        <v>191</v>
      </c>
      <c r="G2353" s="68">
        <v>5280</v>
      </c>
      <c r="H2353" s="56" t="s">
        <v>82</v>
      </c>
      <c r="J2353" s="56" t="s">
        <v>2040</v>
      </c>
      <c r="L2353" s="56" t="s">
        <v>194</v>
      </c>
      <c r="M2353" s="4" t="s">
        <v>750</v>
      </c>
      <c r="N2353" s="4" t="s">
        <v>2041</v>
      </c>
      <c r="O2353" s="4" t="s">
        <v>178</v>
      </c>
    </row>
    <row r="2354" spans="2:15">
      <c r="B2354" s="20">
        <v>45693</v>
      </c>
      <c r="C2354" s="20">
        <v>45693</v>
      </c>
      <c r="D2354" s="54">
        <v>40014675</v>
      </c>
      <c r="E2354" s="55" t="s">
        <v>44</v>
      </c>
      <c r="G2354" s="68">
        <v>114</v>
      </c>
      <c r="H2354" s="56" t="s">
        <v>1248</v>
      </c>
      <c r="J2354" s="56" t="s">
        <v>2042</v>
      </c>
      <c r="L2354" s="56" t="s">
        <v>1791</v>
      </c>
      <c r="M2354" s="4" t="s">
        <v>1792</v>
      </c>
      <c r="N2354" s="4" t="s">
        <v>2032</v>
      </c>
      <c r="O2354" s="4" t="s">
        <v>178</v>
      </c>
    </row>
    <row r="2355" spans="2:15">
      <c r="B2355" s="20">
        <v>45693</v>
      </c>
      <c r="C2355" s="20">
        <v>45693</v>
      </c>
      <c r="D2355" s="54">
        <v>40014675</v>
      </c>
      <c r="E2355" s="55" t="s">
        <v>44</v>
      </c>
      <c r="G2355" s="68">
        <v>114</v>
      </c>
      <c r="H2355" s="56" t="s">
        <v>1248</v>
      </c>
      <c r="J2355" s="56" t="s">
        <v>2043</v>
      </c>
      <c r="L2355" s="56" t="s">
        <v>1791</v>
      </c>
      <c r="M2355" s="4" t="s">
        <v>1792</v>
      </c>
      <c r="N2355" s="4" t="s">
        <v>2032</v>
      </c>
      <c r="O2355" s="4" t="s">
        <v>178</v>
      </c>
    </row>
    <row r="2356" spans="2:15">
      <c r="B2356" s="20">
        <v>45693</v>
      </c>
      <c r="C2356" s="20">
        <v>45693</v>
      </c>
      <c r="D2356" s="54">
        <v>40014675</v>
      </c>
      <c r="E2356" s="55" t="s">
        <v>44</v>
      </c>
      <c r="G2356" s="68">
        <v>114</v>
      </c>
      <c r="H2356" s="56" t="s">
        <v>1248</v>
      </c>
      <c r="J2356" s="56" t="s">
        <v>2044</v>
      </c>
      <c r="L2356" s="56" t="s">
        <v>1791</v>
      </c>
      <c r="M2356" s="4" t="s">
        <v>1792</v>
      </c>
      <c r="N2356" s="4" t="s">
        <v>2032</v>
      </c>
      <c r="O2356" s="4" t="s">
        <v>178</v>
      </c>
    </row>
    <row r="2357" spans="2:15">
      <c r="B2357" s="20">
        <v>45693</v>
      </c>
      <c r="C2357" s="20">
        <v>45693</v>
      </c>
      <c r="D2357" s="54">
        <v>50144376</v>
      </c>
      <c r="E2357" s="55" t="s">
        <v>19</v>
      </c>
      <c r="G2357" s="68">
        <v>13000</v>
      </c>
      <c r="H2357" s="56" t="s">
        <v>92</v>
      </c>
      <c r="J2357" s="56" t="s">
        <v>128</v>
      </c>
      <c r="L2357" s="56" t="s">
        <v>262</v>
      </c>
      <c r="M2357" s="4" t="s">
        <v>262</v>
      </c>
      <c r="N2357" s="4" t="s">
        <v>1274</v>
      </c>
      <c r="O2357" s="4" t="s">
        <v>178</v>
      </c>
    </row>
    <row r="2358" spans="2:15">
      <c r="B2358" s="20">
        <v>45693</v>
      </c>
      <c r="C2358" s="20">
        <v>45693</v>
      </c>
      <c r="D2358" s="54">
        <v>50837236</v>
      </c>
      <c r="E2358" s="55" t="s">
        <v>1992</v>
      </c>
      <c r="G2358" s="68">
        <v>5012.7</v>
      </c>
      <c r="H2358" s="56" t="s">
        <v>82</v>
      </c>
      <c r="J2358" s="56" t="s">
        <v>2045</v>
      </c>
      <c r="L2358" s="56" t="s">
        <v>1227</v>
      </c>
      <c r="M2358" s="4" t="s">
        <v>660</v>
      </c>
      <c r="N2358" s="4" t="s">
        <v>1203</v>
      </c>
      <c r="O2358" s="4" t="s">
        <v>178</v>
      </c>
    </row>
    <row r="2359" spans="2:15">
      <c r="B2359" s="20">
        <v>45694</v>
      </c>
      <c r="C2359" s="20">
        <v>45694</v>
      </c>
      <c r="D2359" s="54">
        <v>50328897</v>
      </c>
      <c r="E2359" s="55" t="s">
        <v>1850</v>
      </c>
      <c r="G2359" s="68">
        <v>66</v>
      </c>
      <c r="H2359" s="56" t="s">
        <v>82</v>
      </c>
      <c r="J2359" s="56" t="s">
        <v>2046</v>
      </c>
      <c r="L2359" s="56" t="s">
        <v>1852</v>
      </c>
      <c r="M2359" s="4" t="s">
        <v>1852</v>
      </c>
      <c r="N2359" s="4" t="s">
        <v>1584</v>
      </c>
      <c r="O2359" s="4" t="s">
        <v>178</v>
      </c>
    </row>
    <row r="2360" spans="2:15">
      <c r="B2360" s="20">
        <v>45694</v>
      </c>
      <c r="C2360" s="20">
        <v>45694</v>
      </c>
      <c r="D2360" s="54">
        <v>50328488</v>
      </c>
      <c r="E2360" s="55" t="s">
        <v>1853</v>
      </c>
      <c r="G2360" s="68">
        <v>75</v>
      </c>
      <c r="H2360" s="56" t="s">
        <v>82</v>
      </c>
      <c r="J2360" s="56" t="s">
        <v>2046</v>
      </c>
      <c r="L2360" s="56" t="s">
        <v>1852</v>
      </c>
      <c r="M2360" s="4" t="s">
        <v>1852</v>
      </c>
      <c r="N2360" s="4" t="s">
        <v>1584</v>
      </c>
      <c r="O2360" s="4" t="s">
        <v>178</v>
      </c>
    </row>
    <row r="2361" spans="2:15">
      <c r="B2361" s="20">
        <v>45694</v>
      </c>
      <c r="C2361" s="20">
        <v>45694</v>
      </c>
      <c r="D2361" s="54">
        <v>50272278</v>
      </c>
      <c r="E2361" s="55" t="s">
        <v>21</v>
      </c>
      <c r="G2361" s="68">
        <v>13000</v>
      </c>
      <c r="H2361" s="56" t="s">
        <v>92</v>
      </c>
      <c r="J2361" s="56" t="s">
        <v>130</v>
      </c>
      <c r="L2361" s="56" t="s">
        <v>262</v>
      </c>
      <c r="M2361" s="4" t="s">
        <v>262</v>
      </c>
      <c r="N2361" s="4" t="s">
        <v>1274</v>
      </c>
      <c r="O2361" s="4" t="s">
        <v>178</v>
      </c>
    </row>
    <row r="2362" spans="2:15">
      <c r="B2362" s="20">
        <v>45694</v>
      </c>
      <c r="C2362" s="20">
        <v>45694</v>
      </c>
      <c r="D2362" s="54">
        <v>40014675</v>
      </c>
      <c r="E2362" s="55" t="s">
        <v>44</v>
      </c>
      <c r="G2362" s="68">
        <v>114</v>
      </c>
      <c r="H2362" s="56" t="s">
        <v>1248</v>
      </c>
      <c r="J2362" s="56" t="s">
        <v>2047</v>
      </c>
      <c r="L2362" s="56" t="s">
        <v>1791</v>
      </c>
      <c r="M2362" s="4" t="s">
        <v>1792</v>
      </c>
      <c r="N2362" s="4" t="s">
        <v>2032</v>
      </c>
      <c r="O2362" s="4" t="s">
        <v>178</v>
      </c>
    </row>
    <row r="2363" spans="2:15">
      <c r="B2363" s="20">
        <v>45694</v>
      </c>
      <c r="C2363" s="20">
        <v>45694</v>
      </c>
      <c r="D2363" s="54">
        <v>40014675</v>
      </c>
      <c r="E2363" s="55" t="s">
        <v>44</v>
      </c>
      <c r="G2363" s="68">
        <v>114</v>
      </c>
      <c r="H2363" s="56" t="s">
        <v>1248</v>
      </c>
      <c r="J2363" s="56" t="s">
        <v>2048</v>
      </c>
      <c r="L2363" s="56" t="s">
        <v>1791</v>
      </c>
      <c r="M2363" s="4" t="s">
        <v>1792</v>
      </c>
      <c r="N2363" s="4" t="s">
        <v>2032</v>
      </c>
      <c r="O2363" s="4" t="s">
        <v>178</v>
      </c>
    </row>
    <row r="2364" spans="2:15">
      <c r="B2364" s="20">
        <v>45694</v>
      </c>
      <c r="C2364" s="20">
        <v>45694</v>
      </c>
      <c r="D2364" s="54">
        <v>40014675</v>
      </c>
      <c r="E2364" s="55" t="s">
        <v>44</v>
      </c>
      <c r="G2364" s="68">
        <v>114</v>
      </c>
      <c r="H2364" s="56" t="s">
        <v>1248</v>
      </c>
      <c r="J2364" s="56" t="s">
        <v>2049</v>
      </c>
      <c r="L2364" s="56" t="s">
        <v>1791</v>
      </c>
      <c r="M2364" s="4" t="s">
        <v>1792</v>
      </c>
      <c r="N2364" s="4" t="s">
        <v>2032</v>
      </c>
      <c r="O2364" s="4" t="s">
        <v>178</v>
      </c>
    </row>
    <row r="2365" spans="2:15">
      <c r="B2365" s="20">
        <v>45694</v>
      </c>
      <c r="C2365" s="20">
        <v>45694</v>
      </c>
      <c r="D2365" s="54">
        <v>50840366</v>
      </c>
      <c r="E2365" s="55" t="s">
        <v>1920</v>
      </c>
      <c r="G2365" s="68">
        <v>5059.2</v>
      </c>
      <c r="H2365" s="56" t="s">
        <v>82</v>
      </c>
      <c r="J2365" s="56" t="s">
        <v>2050</v>
      </c>
      <c r="L2365" s="56" t="s">
        <v>1227</v>
      </c>
      <c r="M2365" s="4" t="s">
        <v>660</v>
      </c>
      <c r="N2365" s="4" t="s">
        <v>1203</v>
      </c>
      <c r="O2365" s="4" t="s">
        <v>178</v>
      </c>
    </row>
    <row r="2366" spans="2:15">
      <c r="B2366" s="20">
        <v>45694</v>
      </c>
      <c r="C2366" s="20">
        <v>45694</v>
      </c>
      <c r="D2366" s="54">
        <v>50142519</v>
      </c>
      <c r="E2366" s="55" t="s">
        <v>1575</v>
      </c>
      <c r="G2366" s="68">
        <v>2500</v>
      </c>
      <c r="H2366" s="56" t="s">
        <v>92</v>
      </c>
      <c r="J2366" s="56" t="s">
        <v>2051</v>
      </c>
      <c r="L2366" s="56" t="s">
        <v>286</v>
      </c>
      <c r="N2366" s="4"/>
      <c r="O2366" s="4" t="s">
        <v>178</v>
      </c>
    </row>
    <row r="2367" spans="2:15">
      <c r="B2367" s="20">
        <v>45694</v>
      </c>
      <c r="C2367" s="20">
        <v>45694</v>
      </c>
      <c r="D2367" s="54">
        <v>20016185</v>
      </c>
      <c r="E2367" s="55" t="s">
        <v>285</v>
      </c>
      <c r="G2367" s="68">
        <v>100000</v>
      </c>
      <c r="H2367" s="56" t="s">
        <v>92</v>
      </c>
      <c r="J2367" s="56" t="s">
        <v>2052</v>
      </c>
      <c r="L2367" s="56" t="s">
        <v>286</v>
      </c>
      <c r="N2367" s="4"/>
      <c r="O2367" s="4" t="s">
        <v>178</v>
      </c>
    </row>
    <row r="2368" spans="2:15">
      <c r="B2368" s="20">
        <v>45695</v>
      </c>
      <c r="C2368" s="20">
        <v>45695</v>
      </c>
      <c r="D2368" s="54">
        <v>50272278</v>
      </c>
      <c r="E2368" s="55" t="s">
        <v>21</v>
      </c>
      <c r="G2368" s="68">
        <v>6000</v>
      </c>
      <c r="H2368" s="56" t="s">
        <v>92</v>
      </c>
      <c r="J2368" s="56" t="s">
        <v>132</v>
      </c>
      <c r="L2368" s="56" t="s">
        <v>262</v>
      </c>
      <c r="M2368" s="4" t="s">
        <v>262</v>
      </c>
      <c r="N2368" s="4" t="s">
        <v>2053</v>
      </c>
      <c r="O2368" s="4" t="s">
        <v>178</v>
      </c>
    </row>
    <row r="2369" spans="2:15">
      <c r="B2369" s="20">
        <v>45695</v>
      </c>
      <c r="C2369" s="20">
        <v>45695</v>
      </c>
      <c r="D2369" s="54">
        <v>50819321</v>
      </c>
      <c r="E2369" s="55" t="s">
        <v>1703</v>
      </c>
      <c r="G2369" s="68">
        <v>510000</v>
      </c>
      <c r="H2369" s="56" t="s">
        <v>92</v>
      </c>
      <c r="J2369" s="56" t="s">
        <v>2054</v>
      </c>
      <c r="L2369" s="56" t="s">
        <v>1899</v>
      </c>
      <c r="M2369" s="4" t="s">
        <v>520</v>
      </c>
      <c r="N2369" s="4" t="s">
        <v>2055</v>
      </c>
      <c r="O2369" s="4" t="s">
        <v>178</v>
      </c>
    </row>
    <row r="2370" spans="2:15">
      <c r="B2370" s="20">
        <v>45695</v>
      </c>
      <c r="C2370" s="20">
        <v>45695</v>
      </c>
      <c r="D2370" s="54">
        <v>50819320</v>
      </c>
      <c r="E2370" s="55" t="s">
        <v>1701</v>
      </c>
      <c r="G2370" s="68">
        <v>510000</v>
      </c>
      <c r="H2370" s="56" t="s">
        <v>92</v>
      </c>
      <c r="J2370" s="56" t="s">
        <v>2054</v>
      </c>
      <c r="L2370" s="56" t="s">
        <v>1899</v>
      </c>
      <c r="M2370" s="4" t="s">
        <v>520</v>
      </c>
      <c r="N2370" s="4" t="s">
        <v>2055</v>
      </c>
      <c r="O2370" s="4" t="s">
        <v>178</v>
      </c>
    </row>
    <row r="2371" spans="2:15">
      <c r="B2371" s="20">
        <v>45695</v>
      </c>
      <c r="C2371" s="20">
        <v>45695</v>
      </c>
      <c r="D2371" s="54">
        <v>50142327</v>
      </c>
      <c r="E2371" s="55" t="s">
        <v>256</v>
      </c>
      <c r="G2371" s="68">
        <v>20021.4</v>
      </c>
      <c r="H2371" s="56" t="s">
        <v>82</v>
      </c>
      <c r="N2371" s="4"/>
      <c r="O2371" s="4" t="s">
        <v>178</v>
      </c>
    </row>
    <row r="2372" spans="2:15">
      <c r="B2372" s="20">
        <v>45695</v>
      </c>
      <c r="C2372" s="20">
        <v>45695</v>
      </c>
      <c r="D2372" s="54">
        <v>50142334</v>
      </c>
      <c r="E2372" s="55" t="s">
        <v>257</v>
      </c>
      <c r="G2372" s="68">
        <v>20021.4</v>
      </c>
      <c r="H2372" s="56" t="s">
        <v>82</v>
      </c>
      <c r="J2372" s="56">
        <v>8302191598</v>
      </c>
      <c r="L2372" s="56" t="s">
        <v>2056</v>
      </c>
      <c r="M2372" s="4" t="s">
        <v>209</v>
      </c>
      <c r="N2372" s="4" t="s">
        <v>2057</v>
      </c>
      <c r="O2372" s="4" t="s">
        <v>178</v>
      </c>
    </row>
    <row r="2373" spans="2:15">
      <c r="B2373" s="20">
        <v>45695</v>
      </c>
      <c r="C2373" s="20">
        <v>45695</v>
      </c>
      <c r="D2373" s="54">
        <v>40014675</v>
      </c>
      <c r="E2373" s="55" t="s">
        <v>44</v>
      </c>
      <c r="G2373" s="68">
        <v>114</v>
      </c>
      <c r="H2373" s="56" t="s">
        <v>80</v>
      </c>
      <c r="J2373" s="56" t="s">
        <v>2058</v>
      </c>
      <c r="L2373" s="56" t="s">
        <v>1791</v>
      </c>
      <c r="M2373" s="4" t="s">
        <v>1792</v>
      </c>
      <c r="N2373" s="4" t="s">
        <v>2032</v>
      </c>
      <c r="O2373" s="4" t="s">
        <v>178</v>
      </c>
    </row>
    <row r="2374" spans="2:15">
      <c r="B2374" s="20">
        <v>45696</v>
      </c>
      <c r="C2374" s="20">
        <v>45696</v>
      </c>
      <c r="D2374" s="54">
        <v>50142281</v>
      </c>
      <c r="E2374" s="55" t="s">
        <v>204</v>
      </c>
      <c r="G2374" s="68">
        <v>8550</v>
      </c>
      <c r="H2374" s="56" t="s">
        <v>82</v>
      </c>
      <c r="J2374" s="56">
        <v>97813130</v>
      </c>
      <c r="L2374" s="56" t="s">
        <v>2059</v>
      </c>
      <c r="M2374" s="4" t="s">
        <v>392</v>
      </c>
      <c r="N2374" s="4"/>
      <c r="O2374" s="4" t="s">
        <v>178</v>
      </c>
    </row>
    <row r="2375" spans="2:15">
      <c r="B2375" s="20">
        <v>45698</v>
      </c>
      <c r="C2375" s="20">
        <v>45698</v>
      </c>
      <c r="D2375" s="54">
        <v>40014675</v>
      </c>
      <c r="E2375" s="55" t="s">
        <v>44</v>
      </c>
      <c r="G2375" s="68">
        <v>114</v>
      </c>
      <c r="H2375" s="56" t="s">
        <v>80</v>
      </c>
      <c r="J2375" s="56" t="s">
        <v>2060</v>
      </c>
      <c r="L2375" s="56" t="s">
        <v>1791</v>
      </c>
      <c r="M2375" s="4" t="s">
        <v>1792</v>
      </c>
      <c r="N2375" s="4" t="s">
        <v>1793</v>
      </c>
      <c r="O2375" s="4" t="s">
        <v>178</v>
      </c>
    </row>
    <row r="2376" spans="2:15">
      <c r="B2376" s="20">
        <v>45698</v>
      </c>
      <c r="C2376" s="20">
        <v>45698</v>
      </c>
      <c r="D2376" s="54">
        <v>40014675</v>
      </c>
      <c r="E2376" s="55" t="s">
        <v>44</v>
      </c>
      <c r="G2376" s="68">
        <v>114</v>
      </c>
      <c r="H2376" s="56" t="s">
        <v>80</v>
      </c>
      <c r="J2376" s="56" t="s">
        <v>2061</v>
      </c>
      <c r="L2376" s="56" t="s">
        <v>1791</v>
      </c>
      <c r="M2376" s="4" t="s">
        <v>1792</v>
      </c>
      <c r="N2376" s="4" t="s">
        <v>2032</v>
      </c>
      <c r="O2376" s="4" t="s">
        <v>178</v>
      </c>
    </row>
    <row r="2377" spans="2:15">
      <c r="B2377" s="20">
        <v>45698</v>
      </c>
      <c r="C2377" s="20">
        <v>45698</v>
      </c>
      <c r="D2377" s="54">
        <v>40014900</v>
      </c>
      <c r="E2377" s="55" t="s">
        <v>153</v>
      </c>
      <c r="G2377" s="68">
        <f>64220/1000</f>
        <v>64.22</v>
      </c>
      <c r="H2377" s="56" t="s">
        <v>80</v>
      </c>
      <c r="J2377" s="56" t="s">
        <v>2062</v>
      </c>
      <c r="L2377" s="56" t="s">
        <v>1791</v>
      </c>
      <c r="M2377" s="4" t="s">
        <v>1792</v>
      </c>
      <c r="N2377" s="4" t="s">
        <v>1793</v>
      </c>
      <c r="O2377" s="4" t="s">
        <v>178</v>
      </c>
    </row>
    <row r="2378" spans="2:15">
      <c r="B2378" s="20">
        <v>45698</v>
      </c>
      <c r="C2378" s="20">
        <v>45698</v>
      </c>
      <c r="D2378" s="54">
        <v>50837239</v>
      </c>
      <c r="E2378" s="55" t="s">
        <v>27</v>
      </c>
      <c r="G2378" s="68">
        <v>5020.4</v>
      </c>
      <c r="H2378" s="56" t="s">
        <v>82</v>
      </c>
      <c r="J2378" s="56" t="s">
        <v>2063</v>
      </c>
      <c r="L2378" s="56" t="s">
        <v>1227</v>
      </c>
      <c r="M2378" s="4" t="s">
        <v>660</v>
      </c>
      <c r="N2378" s="4" t="s">
        <v>1203</v>
      </c>
      <c r="O2378" s="4" t="s">
        <v>178</v>
      </c>
    </row>
    <row r="2379" spans="2:15">
      <c r="B2379" s="20">
        <v>45698</v>
      </c>
      <c r="C2379" s="20">
        <v>45698</v>
      </c>
      <c r="D2379" s="54">
        <v>50837237</v>
      </c>
      <c r="E2379" s="55" t="s">
        <v>1747</v>
      </c>
      <c r="G2379" s="68">
        <v>5481.95</v>
      </c>
      <c r="H2379" s="56" t="s">
        <v>82</v>
      </c>
      <c r="J2379" s="56" t="s">
        <v>2064</v>
      </c>
      <c r="L2379" s="56" t="s">
        <v>1227</v>
      </c>
      <c r="M2379" s="4" t="s">
        <v>660</v>
      </c>
      <c r="N2379" s="4" t="s">
        <v>1203</v>
      </c>
      <c r="O2379" s="4" t="s">
        <v>178</v>
      </c>
    </row>
    <row r="2380" spans="2:15">
      <c r="B2380" s="20">
        <v>45698</v>
      </c>
      <c r="C2380" s="20">
        <v>45698</v>
      </c>
      <c r="D2380" s="54">
        <v>50470190</v>
      </c>
      <c r="E2380" s="55" t="s">
        <v>12</v>
      </c>
      <c r="G2380" s="68">
        <v>9273600</v>
      </c>
      <c r="H2380" s="56" t="s">
        <v>92</v>
      </c>
      <c r="J2380" s="56" t="s">
        <v>2065</v>
      </c>
      <c r="L2380" s="56" t="s">
        <v>958</v>
      </c>
      <c r="M2380" s="4" t="s">
        <v>392</v>
      </c>
      <c r="N2380" s="4" t="s">
        <v>1605</v>
      </c>
      <c r="O2380" s="4" t="s">
        <v>178</v>
      </c>
    </row>
    <row r="2381" spans="2:15">
      <c r="B2381" s="20">
        <v>45698</v>
      </c>
      <c r="C2381" s="20">
        <v>45698</v>
      </c>
      <c r="D2381" s="54">
        <v>40014675</v>
      </c>
      <c r="E2381" s="55" t="s">
        <v>44</v>
      </c>
      <c r="G2381" s="68">
        <v>114</v>
      </c>
      <c r="H2381" s="56" t="s">
        <v>80</v>
      </c>
      <c r="J2381" s="56" t="s">
        <v>1960</v>
      </c>
      <c r="L2381" s="56" t="s">
        <v>1791</v>
      </c>
      <c r="M2381" s="4" t="s">
        <v>1792</v>
      </c>
      <c r="N2381" s="4" t="s">
        <v>2032</v>
      </c>
      <c r="O2381" s="4" t="s">
        <v>178</v>
      </c>
    </row>
    <row r="2382" spans="2:15">
      <c r="B2382" s="20">
        <v>45698</v>
      </c>
      <c r="C2382" s="20">
        <v>45698</v>
      </c>
      <c r="D2382" s="54">
        <v>40014675</v>
      </c>
      <c r="E2382" s="55" t="s">
        <v>44</v>
      </c>
      <c r="G2382" s="68">
        <v>114</v>
      </c>
      <c r="H2382" s="56" t="s">
        <v>80</v>
      </c>
      <c r="J2382" s="56" t="s">
        <v>2066</v>
      </c>
      <c r="L2382" s="56" t="s">
        <v>1791</v>
      </c>
      <c r="M2382" s="4" t="s">
        <v>1792</v>
      </c>
      <c r="N2382" s="4" t="s">
        <v>2032</v>
      </c>
      <c r="O2382" s="4" t="s">
        <v>178</v>
      </c>
    </row>
    <row r="2383" spans="2:15">
      <c r="B2383" s="20">
        <v>45699</v>
      </c>
      <c r="C2383" s="20">
        <v>45699</v>
      </c>
      <c r="D2383" s="54">
        <v>40014675</v>
      </c>
      <c r="E2383" s="55" t="s">
        <v>44</v>
      </c>
      <c r="G2383" s="68">
        <v>114</v>
      </c>
      <c r="H2383" s="56" t="s">
        <v>80</v>
      </c>
      <c r="J2383" s="56" t="s">
        <v>2067</v>
      </c>
      <c r="L2383" s="56" t="s">
        <v>1791</v>
      </c>
      <c r="M2383" s="4" t="s">
        <v>1792</v>
      </c>
      <c r="N2383" s="4" t="s">
        <v>1793</v>
      </c>
      <c r="O2383" s="4" t="s">
        <v>178</v>
      </c>
    </row>
    <row r="2384" spans="2:15">
      <c r="B2384" s="20">
        <v>45699</v>
      </c>
      <c r="C2384" s="20">
        <v>45699</v>
      </c>
      <c r="D2384" s="54">
        <v>40014675</v>
      </c>
      <c r="E2384" s="55" t="s">
        <v>44</v>
      </c>
      <c r="G2384" s="68">
        <v>114</v>
      </c>
      <c r="H2384" s="56" t="s">
        <v>80</v>
      </c>
      <c r="J2384" s="56" t="s">
        <v>2068</v>
      </c>
      <c r="L2384" s="56" t="s">
        <v>1791</v>
      </c>
      <c r="M2384" s="4" t="s">
        <v>1792</v>
      </c>
      <c r="N2384" s="4" t="s">
        <v>2032</v>
      </c>
      <c r="O2384" s="4" t="s">
        <v>178</v>
      </c>
    </row>
    <row r="2385" spans="2:15">
      <c r="B2385" s="20">
        <v>45699</v>
      </c>
      <c r="C2385" s="20">
        <v>45699</v>
      </c>
      <c r="D2385" s="54">
        <v>40014675</v>
      </c>
      <c r="E2385" s="55" t="s">
        <v>44</v>
      </c>
      <c r="G2385" s="68">
        <v>114</v>
      </c>
      <c r="H2385" s="56" t="s">
        <v>80</v>
      </c>
      <c r="J2385" s="56" t="s">
        <v>2069</v>
      </c>
      <c r="L2385" s="56" t="s">
        <v>1791</v>
      </c>
      <c r="M2385" s="4" t="s">
        <v>1792</v>
      </c>
      <c r="N2385" s="4" t="s">
        <v>1793</v>
      </c>
      <c r="O2385" s="4" t="s">
        <v>178</v>
      </c>
    </row>
    <row r="2386" spans="2:15">
      <c r="B2386" s="20">
        <v>45699</v>
      </c>
      <c r="C2386" s="20">
        <v>45699</v>
      </c>
      <c r="D2386" s="54">
        <v>50272278</v>
      </c>
      <c r="E2386" s="55" t="s">
        <v>21</v>
      </c>
      <c r="G2386" s="68">
        <v>13000</v>
      </c>
      <c r="H2386" s="56" t="s">
        <v>92</v>
      </c>
      <c r="J2386" s="56" t="s">
        <v>134</v>
      </c>
      <c r="L2386" s="56" t="s">
        <v>262</v>
      </c>
      <c r="M2386" s="4" t="s">
        <v>262</v>
      </c>
      <c r="N2386" s="4" t="s">
        <v>1274</v>
      </c>
      <c r="O2386" s="4" t="s">
        <v>178</v>
      </c>
    </row>
    <row r="2387" spans="2:15">
      <c r="B2387" s="20">
        <v>45699</v>
      </c>
      <c r="C2387" s="20">
        <v>45699</v>
      </c>
      <c r="D2387" s="54">
        <v>40014900</v>
      </c>
      <c r="E2387" s="55" t="s">
        <v>153</v>
      </c>
      <c r="G2387" s="68">
        <v>91.2</v>
      </c>
      <c r="H2387" s="56" t="s">
        <v>80</v>
      </c>
      <c r="J2387" s="56" t="s">
        <v>2070</v>
      </c>
      <c r="L2387" s="56" t="s">
        <v>1791</v>
      </c>
      <c r="M2387" s="4" t="s">
        <v>392</v>
      </c>
      <c r="N2387" s="4" t="s">
        <v>2071</v>
      </c>
      <c r="O2387" s="4" t="s">
        <v>178</v>
      </c>
    </row>
    <row r="2388" spans="2:15">
      <c r="B2388" s="20">
        <v>45699</v>
      </c>
      <c r="C2388" s="20">
        <v>45699</v>
      </c>
      <c r="D2388" s="54">
        <v>50834329</v>
      </c>
      <c r="E2388" s="55" t="s">
        <v>1475</v>
      </c>
      <c r="G2388" s="68">
        <v>4384.4</v>
      </c>
      <c r="H2388" s="56" t="s">
        <v>82</v>
      </c>
      <c r="J2388" s="56" t="s">
        <v>2072</v>
      </c>
      <c r="L2388" s="56" t="s">
        <v>1227</v>
      </c>
      <c r="M2388" s="4" t="s">
        <v>660</v>
      </c>
      <c r="N2388" s="4" t="s">
        <v>1203</v>
      </c>
      <c r="O2388" s="4" t="s">
        <v>178</v>
      </c>
    </row>
    <row r="2389" spans="2:15">
      <c r="B2389" s="20">
        <v>45699</v>
      </c>
      <c r="C2389" s="20">
        <v>45699</v>
      </c>
      <c r="D2389" s="54">
        <v>40014675</v>
      </c>
      <c r="E2389" s="55" t="s">
        <v>44</v>
      </c>
      <c r="G2389" s="68">
        <v>114</v>
      </c>
      <c r="H2389" s="56" t="s">
        <v>80</v>
      </c>
      <c r="J2389" s="56" t="s">
        <v>2073</v>
      </c>
      <c r="L2389" s="56" t="s">
        <v>1791</v>
      </c>
      <c r="M2389" s="4" t="s">
        <v>1792</v>
      </c>
      <c r="N2389" s="4" t="s">
        <v>1793</v>
      </c>
      <c r="O2389" s="4" t="s">
        <v>178</v>
      </c>
    </row>
    <row r="2390" spans="2:15">
      <c r="B2390" s="20">
        <v>45699</v>
      </c>
      <c r="C2390" s="20">
        <v>45699</v>
      </c>
      <c r="D2390" s="54">
        <v>40014675</v>
      </c>
      <c r="E2390" s="55" t="s">
        <v>44</v>
      </c>
      <c r="G2390" s="68">
        <v>114</v>
      </c>
      <c r="H2390" s="56" t="s">
        <v>80</v>
      </c>
      <c r="J2390" s="56" t="s">
        <v>2074</v>
      </c>
      <c r="L2390" s="56" t="s">
        <v>1791</v>
      </c>
      <c r="M2390" s="4" t="s">
        <v>1792</v>
      </c>
      <c r="N2390" s="4" t="s">
        <v>2032</v>
      </c>
      <c r="O2390" s="4" t="s">
        <v>178</v>
      </c>
    </row>
    <row r="2391" spans="2:15">
      <c r="B2391" s="20">
        <v>45700</v>
      </c>
      <c r="C2391" s="20">
        <v>45700</v>
      </c>
      <c r="D2391" s="54">
        <v>40014675</v>
      </c>
      <c r="E2391" s="55" t="s">
        <v>44</v>
      </c>
      <c r="G2391" s="68">
        <v>114</v>
      </c>
      <c r="H2391" s="56" t="s">
        <v>80</v>
      </c>
      <c r="J2391" s="56" t="s">
        <v>2075</v>
      </c>
      <c r="L2391" s="56" t="s">
        <v>1791</v>
      </c>
      <c r="M2391" s="4" t="s">
        <v>1792</v>
      </c>
      <c r="N2391" s="4" t="s">
        <v>1793</v>
      </c>
      <c r="O2391" s="4" t="s">
        <v>178</v>
      </c>
    </row>
    <row r="2392" spans="2:15">
      <c r="B2392" s="20">
        <v>45700</v>
      </c>
      <c r="C2392" s="20">
        <v>45700</v>
      </c>
      <c r="D2392" s="54">
        <v>40014675</v>
      </c>
      <c r="E2392" s="55" t="s">
        <v>44</v>
      </c>
      <c r="G2392" s="68">
        <v>95</v>
      </c>
      <c r="H2392" s="56" t="s">
        <v>80</v>
      </c>
      <c r="J2392" s="56" t="s">
        <v>1980</v>
      </c>
      <c r="L2392" s="56" t="s">
        <v>1791</v>
      </c>
      <c r="M2392" s="4" t="s">
        <v>1792</v>
      </c>
      <c r="N2392" s="4" t="s">
        <v>2032</v>
      </c>
      <c r="O2392" s="4" t="s">
        <v>178</v>
      </c>
    </row>
    <row r="2393" spans="2:15">
      <c r="B2393" s="20">
        <v>45701</v>
      </c>
      <c r="C2393" s="20">
        <v>45701</v>
      </c>
      <c r="D2393" s="54">
        <v>50837509</v>
      </c>
      <c r="E2393" s="55" t="s">
        <v>14</v>
      </c>
      <c r="G2393" s="68">
        <v>9273600</v>
      </c>
      <c r="H2393" s="56" t="s">
        <v>92</v>
      </c>
      <c r="J2393" s="56" t="s">
        <v>2076</v>
      </c>
      <c r="L2393" s="56" t="s">
        <v>2077</v>
      </c>
      <c r="M2393" s="4" t="s">
        <v>392</v>
      </c>
      <c r="N2393" s="4" t="s">
        <v>2078</v>
      </c>
      <c r="O2393" s="4" t="s">
        <v>178</v>
      </c>
    </row>
    <row r="2394" spans="2:15">
      <c r="B2394" s="20">
        <v>45701</v>
      </c>
      <c r="C2394" s="20">
        <v>45701</v>
      </c>
      <c r="D2394" s="54">
        <v>50821962</v>
      </c>
      <c r="E2394" s="55" t="s">
        <v>2020</v>
      </c>
      <c r="G2394" s="68">
        <v>2637.8</v>
      </c>
      <c r="H2394" s="56" t="s">
        <v>82</v>
      </c>
      <c r="J2394" s="56" t="s">
        <v>2079</v>
      </c>
      <c r="L2394" s="56" t="s">
        <v>1227</v>
      </c>
      <c r="M2394" s="4" t="s">
        <v>660</v>
      </c>
      <c r="N2394" s="4" t="s">
        <v>1203</v>
      </c>
      <c r="O2394" s="4" t="s">
        <v>178</v>
      </c>
    </row>
    <row r="2395" spans="2:15">
      <c r="B2395" s="20">
        <v>45701</v>
      </c>
      <c r="C2395" s="20">
        <v>45701</v>
      </c>
      <c r="D2395" s="54">
        <v>50840365</v>
      </c>
      <c r="E2395" s="55" t="s">
        <v>1886</v>
      </c>
      <c r="G2395" s="68">
        <v>1128.75</v>
      </c>
      <c r="H2395" s="56" t="s">
        <v>82</v>
      </c>
      <c r="J2395" s="56" t="s">
        <v>2080</v>
      </c>
      <c r="L2395" s="56" t="s">
        <v>1227</v>
      </c>
      <c r="M2395" s="4" t="s">
        <v>660</v>
      </c>
      <c r="N2395" s="4" t="s">
        <v>1203</v>
      </c>
      <c r="O2395" s="4" t="s">
        <v>178</v>
      </c>
    </row>
    <row r="2396" spans="2:15">
      <c r="B2396" s="20">
        <v>45702</v>
      </c>
      <c r="C2396" s="20">
        <v>45702</v>
      </c>
      <c r="D2396" s="54">
        <v>50837238</v>
      </c>
      <c r="E2396" s="55" t="s">
        <v>1976</v>
      </c>
      <c r="G2396" s="68">
        <v>3179.55</v>
      </c>
      <c r="H2396" s="56" t="s">
        <v>82</v>
      </c>
      <c r="J2396" s="56" t="s">
        <v>2081</v>
      </c>
      <c r="L2396" s="56" t="s">
        <v>1227</v>
      </c>
      <c r="M2396" s="4" t="s">
        <v>660</v>
      </c>
      <c r="N2396" s="4" t="s">
        <v>353</v>
      </c>
      <c r="O2396" s="4" t="s">
        <v>178</v>
      </c>
    </row>
    <row r="2397" spans="2:15">
      <c r="B2397" s="20">
        <v>45702</v>
      </c>
      <c r="C2397" s="20">
        <v>45702</v>
      </c>
      <c r="D2397" s="54">
        <v>50834329</v>
      </c>
      <c r="E2397" s="55" t="s">
        <v>1475</v>
      </c>
      <c r="G2397" s="68">
        <v>721.55</v>
      </c>
      <c r="H2397" s="56" t="s">
        <v>82</v>
      </c>
      <c r="J2397" s="56" t="s">
        <v>2082</v>
      </c>
      <c r="L2397" s="56" t="s">
        <v>1227</v>
      </c>
      <c r="M2397" s="4" t="s">
        <v>660</v>
      </c>
      <c r="N2397" s="4" t="s">
        <v>353</v>
      </c>
      <c r="O2397" s="4" t="s">
        <v>178</v>
      </c>
    </row>
    <row r="2398" spans="2:15">
      <c r="B2398" s="20">
        <v>45705</v>
      </c>
      <c r="C2398" s="20">
        <v>45705</v>
      </c>
      <c r="D2398" s="54">
        <v>50802401</v>
      </c>
      <c r="E2398" s="55" t="s">
        <v>13</v>
      </c>
      <c r="G2398" s="68">
        <v>9273600</v>
      </c>
      <c r="H2398" s="56" t="s">
        <v>962</v>
      </c>
      <c r="J2398" s="56" t="s">
        <v>2083</v>
      </c>
      <c r="L2398" s="56" t="s">
        <v>2077</v>
      </c>
      <c r="M2398" s="4" t="s">
        <v>392</v>
      </c>
      <c r="N2398" s="4" t="s">
        <v>2084</v>
      </c>
      <c r="O2398" s="4" t="s">
        <v>178</v>
      </c>
    </row>
    <row r="2399" spans="2:15">
      <c r="B2399" s="20">
        <v>45705</v>
      </c>
      <c r="C2399" s="20">
        <v>45705</v>
      </c>
      <c r="D2399" s="54">
        <v>50272278</v>
      </c>
      <c r="E2399" s="55" t="s">
        <v>21</v>
      </c>
      <c r="G2399" s="68">
        <v>13000</v>
      </c>
      <c r="H2399" s="56" t="s">
        <v>92</v>
      </c>
      <c r="J2399" s="56" t="s">
        <v>136</v>
      </c>
      <c r="L2399" s="56" t="s">
        <v>262</v>
      </c>
      <c r="M2399" s="4" t="s">
        <v>262</v>
      </c>
      <c r="N2399" s="4" t="s">
        <v>1268</v>
      </c>
      <c r="O2399" s="4" t="s">
        <v>1945</v>
      </c>
    </row>
    <row r="2400" spans="2:15">
      <c r="B2400" s="20">
        <v>45705</v>
      </c>
      <c r="C2400" s="20">
        <v>45705</v>
      </c>
      <c r="D2400" s="54">
        <v>50470190</v>
      </c>
      <c r="E2400" s="55" t="s">
        <v>12</v>
      </c>
      <c r="G2400" s="68">
        <v>9273600</v>
      </c>
      <c r="H2400" s="56" t="s">
        <v>92</v>
      </c>
      <c r="J2400" s="56" t="s">
        <v>2085</v>
      </c>
      <c r="L2400" s="56" t="s">
        <v>958</v>
      </c>
      <c r="M2400" s="4" t="s">
        <v>392</v>
      </c>
      <c r="N2400" s="4" t="s">
        <v>1605</v>
      </c>
      <c r="O2400" s="4" t="s">
        <v>178</v>
      </c>
    </row>
    <row r="2401" spans="2:15">
      <c r="B2401" s="20">
        <v>45706</v>
      </c>
      <c r="C2401" s="20">
        <v>45706</v>
      </c>
      <c r="D2401" s="54">
        <v>50837284</v>
      </c>
      <c r="E2401" s="55" t="s">
        <v>28</v>
      </c>
      <c r="G2401" s="68">
        <v>1664.55</v>
      </c>
      <c r="H2401" s="56" t="s">
        <v>82</v>
      </c>
      <c r="J2401" s="56" t="s">
        <v>2086</v>
      </c>
      <c r="L2401" s="56" t="s">
        <v>1227</v>
      </c>
      <c r="M2401" s="4" t="s">
        <v>660</v>
      </c>
      <c r="N2401" s="4" t="s">
        <v>1203</v>
      </c>
      <c r="O2401" s="4" t="s">
        <v>178</v>
      </c>
    </row>
    <row r="2402" spans="2:15">
      <c r="B2402" s="20">
        <v>45706</v>
      </c>
      <c r="C2402" s="20">
        <v>45706</v>
      </c>
      <c r="D2402" s="54">
        <v>50837267</v>
      </c>
      <c r="E2402" s="55" t="s">
        <v>26</v>
      </c>
      <c r="G2402" s="68">
        <v>1819.2</v>
      </c>
      <c r="H2402" s="56" t="s">
        <v>82</v>
      </c>
      <c r="J2402" s="56" t="s">
        <v>2087</v>
      </c>
      <c r="L2402" s="56" t="s">
        <v>1227</v>
      </c>
      <c r="M2402" s="4" t="s">
        <v>660</v>
      </c>
      <c r="N2402" s="4" t="s">
        <v>1203</v>
      </c>
      <c r="O2402" s="4" t="s">
        <v>178</v>
      </c>
    </row>
    <row r="2403" spans="2:15">
      <c r="B2403" s="20">
        <v>45707</v>
      </c>
      <c r="C2403" s="20">
        <v>45707</v>
      </c>
      <c r="D2403" s="54">
        <v>50819323</v>
      </c>
      <c r="E2403" s="55" t="s">
        <v>40</v>
      </c>
      <c r="G2403" s="68">
        <f>82540/1000</f>
        <v>82.54</v>
      </c>
      <c r="H2403" s="56" t="s">
        <v>80</v>
      </c>
      <c r="J2403" s="56" t="s">
        <v>2088</v>
      </c>
      <c r="L2403" s="56" t="s">
        <v>1530</v>
      </c>
      <c r="M2403" s="4" t="s">
        <v>392</v>
      </c>
      <c r="N2403" s="4" t="s">
        <v>2089</v>
      </c>
      <c r="O2403" s="4" t="s">
        <v>178</v>
      </c>
    </row>
    <row r="2404" spans="2:15">
      <c r="B2404" s="20">
        <v>45707</v>
      </c>
      <c r="C2404" s="20">
        <v>45707</v>
      </c>
      <c r="D2404" s="54">
        <v>50272278</v>
      </c>
      <c r="E2404" s="55" t="s">
        <v>21</v>
      </c>
      <c r="G2404" s="68">
        <v>13000</v>
      </c>
      <c r="H2404" s="56" t="s">
        <v>92</v>
      </c>
      <c r="J2404" s="56" t="s">
        <v>2090</v>
      </c>
      <c r="L2404" s="56" t="s">
        <v>262</v>
      </c>
      <c r="M2404" s="4" t="s">
        <v>262</v>
      </c>
      <c r="N2404" s="4" t="s">
        <v>1268</v>
      </c>
      <c r="O2404" s="4" t="s">
        <v>1945</v>
      </c>
    </row>
    <row r="2405" spans="2:15">
      <c r="B2405" s="20">
        <v>45708</v>
      </c>
      <c r="C2405" s="20">
        <v>45708</v>
      </c>
      <c r="D2405" s="54">
        <v>50144376</v>
      </c>
      <c r="E2405" s="55" t="s">
        <v>19</v>
      </c>
      <c r="G2405" s="68">
        <v>13000</v>
      </c>
      <c r="H2405" s="56" t="s">
        <v>92</v>
      </c>
      <c r="J2405" s="56" t="s">
        <v>2091</v>
      </c>
      <c r="L2405" s="56" t="s">
        <v>262</v>
      </c>
      <c r="M2405" s="4" t="s">
        <v>262</v>
      </c>
      <c r="N2405" s="4" t="s">
        <v>1268</v>
      </c>
      <c r="O2405" s="4" t="s">
        <v>1945</v>
      </c>
    </row>
    <row r="2406" spans="2:15">
      <c r="B2406" s="20">
        <v>45708</v>
      </c>
      <c r="C2406" s="20">
        <v>45708</v>
      </c>
      <c r="D2406" s="54">
        <v>50142350</v>
      </c>
      <c r="E2406" s="55" t="s">
        <v>212</v>
      </c>
      <c r="G2406" s="68">
        <v>2494.8</v>
      </c>
      <c r="H2406" s="56" t="s">
        <v>1942</v>
      </c>
      <c r="J2406" s="56" t="s">
        <v>2092</v>
      </c>
      <c r="L2406" s="56" t="s">
        <v>1160</v>
      </c>
      <c r="M2406" s="4" t="s">
        <v>1444</v>
      </c>
      <c r="N2406" s="4" t="s">
        <v>2093</v>
      </c>
      <c r="O2406" s="4" t="s">
        <v>178</v>
      </c>
    </row>
    <row r="2407" spans="2:15">
      <c r="B2407" s="20">
        <v>45708</v>
      </c>
      <c r="C2407" s="20">
        <v>45708</v>
      </c>
      <c r="D2407" s="54">
        <v>50141533</v>
      </c>
      <c r="E2407" s="55" t="s">
        <v>494</v>
      </c>
      <c r="G2407" s="68">
        <v>9750</v>
      </c>
      <c r="H2407" s="56" t="s">
        <v>82</v>
      </c>
      <c r="J2407" s="56" t="s">
        <v>2094</v>
      </c>
      <c r="L2407" s="56" t="s">
        <v>495</v>
      </c>
      <c r="M2407" s="4" t="s">
        <v>495</v>
      </c>
      <c r="N2407" s="4" t="s">
        <v>2095</v>
      </c>
      <c r="O2407" s="4" t="s">
        <v>178</v>
      </c>
    </row>
    <row r="2408" spans="2:15">
      <c r="B2408" s="20">
        <v>45709</v>
      </c>
      <c r="C2408" s="20">
        <v>45709</v>
      </c>
      <c r="D2408" s="54">
        <v>50142237</v>
      </c>
      <c r="E2408" s="55" t="s">
        <v>617</v>
      </c>
      <c r="G2408" s="68">
        <v>30000</v>
      </c>
      <c r="H2408" s="56" t="s">
        <v>92</v>
      </c>
      <c r="J2408" s="56" t="s">
        <v>2096</v>
      </c>
      <c r="L2408" s="56" t="s">
        <v>1015</v>
      </c>
      <c r="M2408" s="4" t="s">
        <v>1015</v>
      </c>
      <c r="N2408" s="4"/>
      <c r="O2408" s="4" t="s">
        <v>178</v>
      </c>
    </row>
    <row r="2409" spans="2:15">
      <c r="B2409" s="20">
        <v>45709</v>
      </c>
      <c r="C2409" s="20">
        <v>45709</v>
      </c>
      <c r="D2409" s="54">
        <v>40004808</v>
      </c>
      <c r="E2409" s="55" t="s">
        <v>91</v>
      </c>
      <c r="G2409" s="68">
        <v>13500</v>
      </c>
      <c r="H2409" s="56" t="s">
        <v>80</v>
      </c>
      <c r="J2409" s="56">
        <v>1003642484</v>
      </c>
      <c r="L2409" s="56" t="s">
        <v>175</v>
      </c>
      <c r="M2409" s="4" t="s">
        <v>392</v>
      </c>
      <c r="N2409" s="4"/>
      <c r="O2409" s="4" t="s">
        <v>178</v>
      </c>
    </row>
    <row r="2410" spans="2:15">
      <c r="B2410" s="20">
        <v>45709</v>
      </c>
      <c r="C2410" s="20">
        <v>45709</v>
      </c>
      <c r="D2410" s="54">
        <v>20016059</v>
      </c>
      <c r="E2410" s="55" t="s">
        <v>1498</v>
      </c>
      <c r="G2410" s="68">
        <v>200</v>
      </c>
      <c r="H2410" s="56" t="s">
        <v>92</v>
      </c>
      <c r="J2410" s="56">
        <v>18279</v>
      </c>
      <c r="L2410" s="56" t="s">
        <v>1499</v>
      </c>
      <c r="M2410" s="4" t="s">
        <v>1499</v>
      </c>
      <c r="N2410" s="4"/>
      <c r="O2410" s="4" t="s">
        <v>178</v>
      </c>
    </row>
    <row r="2411" spans="2:15">
      <c r="B2411" s="20">
        <v>45709</v>
      </c>
      <c r="C2411" s="20">
        <v>45709</v>
      </c>
      <c r="D2411" s="54">
        <v>50272278</v>
      </c>
      <c r="E2411" s="55" t="s">
        <v>21</v>
      </c>
      <c r="G2411" s="68">
        <v>13000</v>
      </c>
      <c r="H2411" s="56" t="s">
        <v>92</v>
      </c>
      <c r="J2411" s="56" t="s">
        <v>2097</v>
      </c>
      <c r="L2411" s="56" t="s">
        <v>262</v>
      </c>
      <c r="M2411" s="4" t="s">
        <v>262</v>
      </c>
      <c r="N2411" s="4" t="s">
        <v>1268</v>
      </c>
      <c r="O2411" s="4" t="s">
        <v>1945</v>
      </c>
    </row>
    <row r="2412" spans="2:15">
      <c r="B2412" s="20">
        <v>45710</v>
      </c>
      <c r="C2412" s="20">
        <v>45710</v>
      </c>
      <c r="D2412" s="54">
        <v>55555555</v>
      </c>
      <c r="E2412" s="55" t="s">
        <v>2009</v>
      </c>
      <c r="G2412" s="68">
        <v>304000</v>
      </c>
      <c r="H2412" s="56" t="s">
        <v>92</v>
      </c>
      <c r="J2412" s="56" t="s">
        <v>2098</v>
      </c>
      <c r="L2412" s="56" t="s">
        <v>1190</v>
      </c>
      <c r="M2412" s="4" t="s">
        <v>750</v>
      </c>
      <c r="N2412" s="4"/>
      <c r="O2412" s="4" t="s">
        <v>1945</v>
      </c>
    </row>
    <row r="2413" spans="2:15">
      <c r="B2413" s="20">
        <v>45710</v>
      </c>
      <c r="C2413" s="20">
        <v>45710</v>
      </c>
      <c r="D2413" s="54">
        <v>44444444</v>
      </c>
      <c r="E2413" s="55" t="s">
        <v>2012</v>
      </c>
      <c r="G2413" s="68">
        <v>304000</v>
      </c>
      <c r="H2413" s="56" t="s">
        <v>92</v>
      </c>
      <c r="J2413" s="56" t="s">
        <v>2098</v>
      </c>
      <c r="L2413" s="56" t="s">
        <v>1190</v>
      </c>
      <c r="M2413" s="4" t="s">
        <v>750</v>
      </c>
      <c r="N2413" s="4"/>
      <c r="O2413" s="4" t="s">
        <v>1945</v>
      </c>
    </row>
    <row r="2414" spans="2:15">
      <c r="B2414" s="20">
        <v>45710</v>
      </c>
      <c r="C2414" s="20">
        <v>45710</v>
      </c>
      <c r="D2414" s="54">
        <v>40011148</v>
      </c>
      <c r="E2414" s="55" t="s">
        <v>86</v>
      </c>
      <c r="G2414" s="68">
        <v>2080</v>
      </c>
      <c r="H2414" s="56" t="s">
        <v>80</v>
      </c>
      <c r="J2414" s="56" t="s">
        <v>2099</v>
      </c>
      <c r="L2414" s="56" t="s">
        <v>1031</v>
      </c>
      <c r="M2414" s="4" t="s">
        <v>750</v>
      </c>
      <c r="N2414" s="4"/>
      <c r="O2414" s="4" t="s">
        <v>178</v>
      </c>
    </row>
    <row r="2415" spans="2:15">
      <c r="B2415" s="20">
        <v>45710</v>
      </c>
      <c r="C2415" s="20">
        <v>45710</v>
      </c>
      <c r="D2415" s="54">
        <v>50145187</v>
      </c>
      <c r="E2415" s="55" t="s">
        <v>465</v>
      </c>
      <c r="G2415" s="68">
        <v>6006000</v>
      </c>
      <c r="H2415" s="56" t="s">
        <v>92</v>
      </c>
      <c r="J2415" s="56" t="s">
        <v>2100</v>
      </c>
      <c r="L2415" s="56" t="s">
        <v>877</v>
      </c>
      <c r="N2415" s="4"/>
      <c r="O2415" s="4" t="s">
        <v>178</v>
      </c>
    </row>
    <row r="2416" spans="2:15">
      <c r="B2416" s="20">
        <v>45710</v>
      </c>
      <c r="C2416" s="20">
        <v>45710</v>
      </c>
      <c r="D2416" s="54">
        <v>50509889</v>
      </c>
      <c r="E2416" s="55" t="s">
        <v>671</v>
      </c>
      <c r="G2416" s="68">
        <v>5016000</v>
      </c>
      <c r="H2416" s="56" t="s">
        <v>92</v>
      </c>
      <c r="J2416" s="56" t="s">
        <v>2100</v>
      </c>
      <c r="L2416" s="56" t="s">
        <v>877</v>
      </c>
      <c r="N2416" s="4"/>
    </row>
    <row r="2417" spans="2:15">
      <c r="B2417" s="20">
        <v>45712</v>
      </c>
      <c r="C2417" s="20">
        <v>45712</v>
      </c>
      <c r="D2417" s="54">
        <v>50272278</v>
      </c>
      <c r="E2417" s="55" t="s">
        <v>21</v>
      </c>
      <c r="G2417" s="68">
        <v>13000</v>
      </c>
      <c r="H2417" s="56" t="s">
        <v>92</v>
      </c>
      <c r="J2417" s="56" t="s">
        <v>2101</v>
      </c>
      <c r="L2417" s="56" t="s">
        <v>262</v>
      </c>
      <c r="M2417" s="4" t="s">
        <v>262</v>
      </c>
      <c r="N2417" s="4" t="s">
        <v>1268</v>
      </c>
      <c r="O2417" s="4" t="s">
        <v>1945</v>
      </c>
    </row>
    <row r="2418" spans="2:15">
      <c r="B2418" s="20">
        <v>45712</v>
      </c>
      <c r="C2418" s="20">
        <v>45712</v>
      </c>
      <c r="D2418" s="54">
        <v>40004808</v>
      </c>
      <c r="E2418" s="55" t="s">
        <v>91</v>
      </c>
      <c r="G2418" s="68">
        <v>13500</v>
      </c>
      <c r="H2418" s="56" t="s">
        <v>80</v>
      </c>
      <c r="J2418" s="56">
        <v>1003660399</v>
      </c>
      <c r="L2418" s="56" t="s">
        <v>175</v>
      </c>
      <c r="M2418" s="4" t="s">
        <v>392</v>
      </c>
      <c r="N2418" s="4" t="s">
        <v>2102</v>
      </c>
      <c r="O2418" s="4" t="s">
        <v>178</v>
      </c>
    </row>
    <row r="2419" spans="2:15">
      <c r="B2419" s="20">
        <v>45712</v>
      </c>
      <c r="C2419" s="20">
        <v>45712</v>
      </c>
      <c r="D2419" s="54">
        <v>50142519</v>
      </c>
      <c r="E2419" s="55" t="s">
        <v>1575</v>
      </c>
      <c r="G2419" s="68">
        <v>5000</v>
      </c>
      <c r="H2419" s="56" t="s">
        <v>92</v>
      </c>
      <c r="J2419" s="56" t="s">
        <v>2103</v>
      </c>
      <c r="L2419" s="56" t="s">
        <v>286</v>
      </c>
      <c r="M2419" s="4" t="s">
        <v>286</v>
      </c>
      <c r="N2419" s="4" t="s">
        <v>1457</v>
      </c>
      <c r="O2419" s="4" t="s">
        <v>178</v>
      </c>
    </row>
    <row r="2420" spans="2:15">
      <c r="B2420" s="20">
        <v>45713</v>
      </c>
      <c r="C2420" s="20">
        <v>45713</v>
      </c>
      <c r="D2420" s="54">
        <v>50272278</v>
      </c>
      <c r="E2420" s="55" t="s">
        <v>21</v>
      </c>
      <c r="G2420" s="68">
        <v>14000</v>
      </c>
      <c r="H2420" s="56" t="s">
        <v>92</v>
      </c>
      <c r="J2420" s="56" t="s">
        <v>2104</v>
      </c>
      <c r="L2420" s="56" t="s">
        <v>262</v>
      </c>
      <c r="M2420" s="4" t="s">
        <v>176</v>
      </c>
      <c r="N2420" s="4" t="s">
        <v>177</v>
      </c>
      <c r="O2420" s="4" t="s">
        <v>1945</v>
      </c>
    </row>
    <row r="2421" spans="2:15">
      <c r="B2421" s="20">
        <v>45713</v>
      </c>
      <c r="C2421" s="20">
        <v>45713</v>
      </c>
      <c r="D2421" s="54">
        <v>50272278</v>
      </c>
      <c r="E2421" s="55" t="s">
        <v>21</v>
      </c>
      <c r="G2421" s="68">
        <v>13000</v>
      </c>
      <c r="H2421" s="56" t="s">
        <v>92</v>
      </c>
      <c r="J2421" s="56" t="s">
        <v>2105</v>
      </c>
      <c r="L2421" s="56" t="s">
        <v>262</v>
      </c>
      <c r="M2421" s="4" t="s">
        <v>262</v>
      </c>
      <c r="N2421" s="4" t="s">
        <v>1268</v>
      </c>
      <c r="O2421" s="4" t="s">
        <v>1945</v>
      </c>
    </row>
    <row r="2422" spans="2:15">
      <c r="B2422" s="20">
        <v>45714</v>
      </c>
      <c r="C2422" s="20">
        <v>45714</v>
      </c>
      <c r="D2422" s="54">
        <v>50837239</v>
      </c>
      <c r="E2422" s="55" t="s">
        <v>27</v>
      </c>
      <c r="G2422" s="68">
        <v>2477</v>
      </c>
      <c r="H2422" s="56" t="s">
        <v>1942</v>
      </c>
      <c r="J2422" s="56" t="s">
        <v>2106</v>
      </c>
      <c r="L2422" s="56" t="s">
        <v>1227</v>
      </c>
      <c r="M2422" s="4" t="s">
        <v>660</v>
      </c>
      <c r="N2422" s="4" t="s">
        <v>1203</v>
      </c>
      <c r="O2422" s="4" t="s">
        <v>178</v>
      </c>
    </row>
    <row r="2423" spans="2:15">
      <c r="B2423" s="20">
        <v>45714</v>
      </c>
      <c r="C2423" s="20">
        <v>45714</v>
      </c>
      <c r="D2423" s="54">
        <v>50837239</v>
      </c>
      <c r="E2423" s="55" t="s">
        <v>27</v>
      </c>
      <c r="G2423" s="68">
        <v>2552.75</v>
      </c>
      <c r="H2423" s="56" t="s">
        <v>987</v>
      </c>
      <c r="J2423" s="56" t="s">
        <v>2107</v>
      </c>
      <c r="L2423" s="56" t="s">
        <v>1227</v>
      </c>
      <c r="M2423" s="4" t="s">
        <v>660</v>
      </c>
      <c r="N2423" s="4" t="s">
        <v>1203</v>
      </c>
      <c r="O2423" s="4" t="s">
        <v>178</v>
      </c>
    </row>
    <row r="2424" spans="2:15">
      <c r="B2424" s="20">
        <v>45714</v>
      </c>
      <c r="C2424" s="20">
        <v>45714</v>
      </c>
      <c r="D2424" s="54">
        <v>50837267</v>
      </c>
      <c r="E2424" s="55" t="s">
        <v>26</v>
      </c>
      <c r="G2424" s="68">
        <v>381.05</v>
      </c>
      <c r="H2424" s="56" t="s">
        <v>987</v>
      </c>
      <c r="J2424" s="56" t="s">
        <v>2108</v>
      </c>
      <c r="L2424" s="56" t="s">
        <v>1227</v>
      </c>
      <c r="M2424" s="4" t="s">
        <v>660</v>
      </c>
      <c r="N2424" s="4" t="s">
        <v>1203</v>
      </c>
      <c r="O2424" s="4" t="s">
        <v>178</v>
      </c>
    </row>
    <row r="2425" spans="2:15">
      <c r="B2425" s="20">
        <v>45714</v>
      </c>
      <c r="C2425" s="20">
        <v>45714</v>
      </c>
      <c r="D2425" s="54">
        <v>50144376</v>
      </c>
      <c r="E2425" s="55" t="s">
        <v>19</v>
      </c>
      <c r="G2425" s="68">
        <v>13000</v>
      </c>
      <c r="H2425" s="56" t="s">
        <v>92</v>
      </c>
      <c r="J2425" s="56" t="s">
        <v>2109</v>
      </c>
      <c r="L2425" s="56" t="s">
        <v>262</v>
      </c>
      <c r="M2425" s="4" t="s">
        <v>262</v>
      </c>
      <c r="N2425" s="4" t="s">
        <v>1268</v>
      </c>
      <c r="O2425" s="4" t="s">
        <v>1945</v>
      </c>
    </row>
    <row r="2426" spans="2:15">
      <c r="B2426" s="20">
        <v>45714</v>
      </c>
      <c r="C2426" s="20">
        <v>45714</v>
      </c>
      <c r="D2426" s="54">
        <v>40014675</v>
      </c>
      <c r="E2426" s="55" t="s">
        <v>44</v>
      </c>
      <c r="G2426" s="68">
        <v>114</v>
      </c>
      <c r="H2426" s="56" t="s">
        <v>80</v>
      </c>
      <c r="J2426" s="56" t="s">
        <v>1458</v>
      </c>
      <c r="L2426" s="56" t="s">
        <v>1791</v>
      </c>
      <c r="M2426" s="4" t="s">
        <v>1792</v>
      </c>
      <c r="N2426" s="4" t="s">
        <v>1793</v>
      </c>
      <c r="O2426" s="4" t="s">
        <v>178</v>
      </c>
    </row>
    <row r="2427" spans="2:15">
      <c r="B2427" s="20">
        <v>45714</v>
      </c>
      <c r="C2427" s="20">
        <v>45714</v>
      </c>
      <c r="D2427" s="54">
        <v>40014675</v>
      </c>
      <c r="E2427" s="55" t="s">
        <v>44</v>
      </c>
      <c r="G2427" s="68">
        <v>114</v>
      </c>
      <c r="H2427" s="56" t="s">
        <v>80</v>
      </c>
      <c r="J2427" s="56" t="s">
        <v>1459</v>
      </c>
      <c r="L2427" s="56" t="s">
        <v>1791</v>
      </c>
      <c r="M2427" s="4" t="s">
        <v>1792</v>
      </c>
      <c r="N2427" s="4" t="s">
        <v>1793</v>
      </c>
      <c r="O2427" s="4" t="s">
        <v>178</v>
      </c>
    </row>
    <row r="2428" spans="2:15">
      <c r="B2428" s="20">
        <v>45714</v>
      </c>
      <c r="C2428" s="20">
        <v>45714</v>
      </c>
      <c r="D2428" s="54">
        <v>40014675</v>
      </c>
      <c r="E2428" s="55" t="s">
        <v>44</v>
      </c>
      <c r="G2428" s="68">
        <v>114</v>
      </c>
      <c r="H2428" s="56" t="s">
        <v>80</v>
      </c>
      <c r="J2428" s="56" t="s">
        <v>2110</v>
      </c>
      <c r="N2428" s="4"/>
    </row>
    <row r="2429" spans="2:15">
      <c r="B2429" s="20">
        <v>45714</v>
      </c>
      <c r="C2429" s="20">
        <v>45714</v>
      </c>
      <c r="D2429" s="54">
        <v>40014675</v>
      </c>
      <c r="E2429" s="55" t="s">
        <v>44</v>
      </c>
      <c r="G2429" s="68">
        <v>114</v>
      </c>
      <c r="H2429" s="56" t="s">
        <v>80</v>
      </c>
      <c r="J2429" s="56" t="s">
        <v>2111</v>
      </c>
      <c r="L2429" s="56" t="s">
        <v>1791</v>
      </c>
      <c r="M2429" s="4" t="s">
        <v>1792</v>
      </c>
      <c r="N2429" s="4" t="s">
        <v>1793</v>
      </c>
      <c r="O2429" s="4" t="s">
        <v>178</v>
      </c>
    </row>
    <row r="2430" spans="2:15">
      <c r="B2430" s="20">
        <v>45714</v>
      </c>
      <c r="C2430" s="20">
        <v>45714</v>
      </c>
      <c r="D2430" s="54">
        <v>50837284</v>
      </c>
      <c r="E2430" s="55" t="s">
        <v>28</v>
      </c>
      <c r="G2430" s="68">
        <v>5081.55</v>
      </c>
      <c r="H2430" s="56" t="s">
        <v>1942</v>
      </c>
      <c r="J2430" s="56" t="s">
        <v>2112</v>
      </c>
      <c r="L2430" s="56" t="s">
        <v>1227</v>
      </c>
      <c r="M2430" s="4" t="s">
        <v>660</v>
      </c>
      <c r="N2430" s="4" t="s">
        <v>1203</v>
      </c>
      <c r="O2430" s="4" t="s">
        <v>178</v>
      </c>
    </row>
    <row r="2431" spans="2:15">
      <c r="B2431" s="20">
        <v>45714</v>
      </c>
      <c r="C2431" s="20">
        <v>45714</v>
      </c>
      <c r="D2431" s="54">
        <v>40010086</v>
      </c>
      <c r="E2431" s="55" t="s">
        <v>79</v>
      </c>
      <c r="G2431" s="68">
        <v>10248</v>
      </c>
      <c r="H2431" s="56" t="s">
        <v>80</v>
      </c>
      <c r="J2431" s="56">
        <v>1004086019</v>
      </c>
      <c r="L2431" s="56" t="s">
        <v>175</v>
      </c>
      <c r="N2431" s="4"/>
      <c r="O2431" s="4" t="s">
        <v>178</v>
      </c>
    </row>
    <row r="2432" spans="2:15">
      <c r="B2432" s="20">
        <v>45714</v>
      </c>
      <c r="C2432" s="20">
        <v>45714</v>
      </c>
      <c r="D2432" s="54">
        <v>40010087</v>
      </c>
      <c r="E2432" s="55" t="s">
        <v>387</v>
      </c>
      <c r="G2432" s="68">
        <v>10247</v>
      </c>
      <c r="H2432" s="56" t="s">
        <v>80</v>
      </c>
      <c r="J2432" s="56">
        <v>1004086019</v>
      </c>
      <c r="L2432" s="56" t="s">
        <v>175</v>
      </c>
      <c r="N2432" s="4"/>
      <c r="O2432" s="4" t="s">
        <v>178</v>
      </c>
    </row>
    <row r="2433" spans="2:15">
      <c r="B2433" s="20">
        <v>45714</v>
      </c>
      <c r="C2433" s="20">
        <v>45714</v>
      </c>
      <c r="D2433" s="54">
        <v>40009148</v>
      </c>
      <c r="E2433" s="55" t="s">
        <v>2113</v>
      </c>
      <c r="G2433" s="68">
        <v>5785</v>
      </c>
      <c r="H2433" s="56" t="s">
        <v>80</v>
      </c>
      <c r="J2433" s="56">
        <v>1004086019</v>
      </c>
      <c r="L2433" s="56" t="s">
        <v>175</v>
      </c>
      <c r="N2433" s="4"/>
      <c r="O2433" s="4" t="s">
        <v>178</v>
      </c>
    </row>
    <row r="2434" spans="2:15">
      <c r="B2434" s="20">
        <v>45714</v>
      </c>
      <c r="C2434" s="20">
        <v>45714</v>
      </c>
      <c r="D2434" s="54">
        <v>50824293</v>
      </c>
      <c r="E2434" s="55" t="s">
        <v>861</v>
      </c>
      <c r="G2434" s="68">
        <v>6000000</v>
      </c>
      <c r="H2434" s="56" t="s">
        <v>92</v>
      </c>
      <c r="J2434" s="56" t="s">
        <v>2114</v>
      </c>
      <c r="L2434" s="56" t="s">
        <v>864</v>
      </c>
      <c r="N2434" s="4"/>
      <c r="O2434" s="4" t="s">
        <v>178</v>
      </c>
    </row>
    <row r="2435" spans="2:15">
      <c r="B2435" s="20">
        <v>45715</v>
      </c>
      <c r="C2435" s="20">
        <v>45715</v>
      </c>
      <c r="D2435" s="54">
        <v>50272278</v>
      </c>
      <c r="E2435" s="55" t="s">
        <v>21</v>
      </c>
      <c r="G2435" s="68">
        <v>13000</v>
      </c>
      <c r="H2435" s="56" t="s">
        <v>962</v>
      </c>
      <c r="J2435" s="56" t="s">
        <v>2115</v>
      </c>
      <c r="L2435" s="56" t="s">
        <v>262</v>
      </c>
      <c r="M2435" s="4" t="s">
        <v>262</v>
      </c>
      <c r="N2435" s="4" t="s">
        <v>1268</v>
      </c>
      <c r="O2435" s="4" t="s">
        <v>1945</v>
      </c>
    </row>
    <row r="2436" spans="2:15">
      <c r="B2436" s="20">
        <v>45715</v>
      </c>
      <c r="C2436" s="20">
        <v>45715</v>
      </c>
      <c r="D2436" s="54">
        <v>50837284</v>
      </c>
      <c r="E2436" s="55" t="s">
        <v>28</v>
      </c>
      <c r="G2436" s="68">
        <v>3582.35</v>
      </c>
      <c r="H2436" s="56" t="s">
        <v>82</v>
      </c>
      <c r="J2436" s="56" t="s">
        <v>2116</v>
      </c>
      <c r="L2436" s="56" t="s">
        <v>1227</v>
      </c>
      <c r="M2436" s="4" t="s">
        <v>660</v>
      </c>
      <c r="N2436" s="4" t="s">
        <v>1203</v>
      </c>
      <c r="O2436" s="4" t="s">
        <v>178</v>
      </c>
    </row>
    <row r="2437" spans="2:15">
      <c r="B2437" s="20">
        <v>45715</v>
      </c>
      <c r="C2437" s="20">
        <v>45715</v>
      </c>
      <c r="D2437" s="54">
        <v>40014675</v>
      </c>
      <c r="E2437" s="55" t="s">
        <v>44</v>
      </c>
      <c r="G2437" s="68">
        <v>114</v>
      </c>
      <c r="H2437" s="56" t="s">
        <v>80</v>
      </c>
      <c r="J2437" s="56" t="s">
        <v>1476</v>
      </c>
      <c r="L2437" s="56" t="s">
        <v>1791</v>
      </c>
      <c r="M2437" s="4" t="s">
        <v>1792</v>
      </c>
      <c r="N2437" s="4" t="s">
        <v>1793</v>
      </c>
      <c r="O2437" s="4" t="s">
        <v>178</v>
      </c>
    </row>
    <row r="2438" spans="2:15">
      <c r="B2438" s="20">
        <v>45715</v>
      </c>
      <c r="C2438" s="20">
        <v>45715</v>
      </c>
      <c r="D2438" s="54">
        <v>40014675</v>
      </c>
      <c r="E2438" s="55" t="s">
        <v>44</v>
      </c>
      <c r="G2438" s="68">
        <v>114</v>
      </c>
      <c r="H2438" s="56" t="s">
        <v>80</v>
      </c>
      <c r="J2438" s="56" t="s">
        <v>2117</v>
      </c>
      <c r="L2438" s="56" t="s">
        <v>1791</v>
      </c>
      <c r="M2438" s="4" t="s">
        <v>1792</v>
      </c>
      <c r="N2438" s="4" t="s">
        <v>1793</v>
      </c>
      <c r="O2438" s="4" t="s">
        <v>178</v>
      </c>
    </row>
    <row r="2439" spans="2:15">
      <c r="B2439" s="20">
        <v>45715</v>
      </c>
      <c r="C2439" s="20">
        <v>45715</v>
      </c>
      <c r="D2439" s="54">
        <v>40014675</v>
      </c>
      <c r="E2439" s="55" t="s">
        <v>44</v>
      </c>
      <c r="G2439" s="68">
        <v>114</v>
      </c>
      <c r="H2439" s="56" t="s">
        <v>80</v>
      </c>
      <c r="J2439" s="56" t="s">
        <v>2118</v>
      </c>
      <c r="L2439" s="56" t="s">
        <v>1791</v>
      </c>
      <c r="M2439" s="4" t="s">
        <v>1792</v>
      </c>
      <c r="N2439" s="4" t="s">
        <v>1793</v>
      </c>
      <c r="O2439" s="4" t="s">
        <v>178</v>
      </c>
    </row>
    <row r="2440" spans="2:15">
      <c r="B2440" s="20">
        <v>45715</v>
      </c>
      <c r="C2440" s="20">
        <v>45715</v>
      </c>
      <c r="D2440" s="54">
        <v>40014675</v>
      </c>
      <c r="E2440" s="55" t="s">
        <v>44</v>
      </c>
      <c r="G2440" s="68">
        <v>114</v>
      </c>
      <c r="H2440" s="56" t="s">
        <v>80</v>
      </c>
      <c r="J2440" s="56" t="s">
        <v>2111</v>
      </c>
      <c r="L2440" s="56" t="s">
        <v>1791</v>
      </c>
      <c r="M2440" s="4" t="s">
        <v>1792</v>
      </c>
      <c r="N2440" s="4" t="s">
        <v>1793</v>
      </c>
      <c r="O2440" s="4" t="s">
        <v>178</v>
      </c>
    </row>
    <row r="2441" spans="2:15">
      <c r="B2441" s="20">
        <v>45716</v>
      </c>
      <c r="C2441" s="20">
        <v>45716</v>
      </c>
      <c r="D2441" s="54">
        <v>50144376</v>
      </c>
      <c r="E2441" s="55" t="s">
        <v>19</v>
      </c>
      <c r="G2441" s="68">
        <v>13000</v>
      </c>
      <c r="H2441" s="56" t="s">
        <v>962</v>
      </c>
      <c r="J2441" s="56" t="s">
        <v>2119</v>
      </c>
      <c r="L2441" s="56" t="s">
        <v>262</v>
      </c>
      <c r="M2441" s="4" t="s">
        <v>262</v>
      </c>
      <c r="N2441" s="4" t="s">
        <v>1268</v>
      </c>
      <c r="O2441" s="4" t="s">
        <v>1945</v>
      </c>
    </row>
    <row r="2442" spans="2:15">
      <c r="B2442" s="20">
        <v>45716</v>
      </c>
      <c r="C2442" s="20">
        <v>45716</v>
      </c>
      <c r="D2442" s="54">
        <v>50272278</v>
      </c>
      <c r="E2442" s="55" t="s">
        <v>21</v>
      </c>
      <c r="G2442" s="68">
        <v>13000</v>
      </c>
      <c r="H2442" s="56" t="s">
        <v>962</v>
      </c>
      <c r="J2442" s="56" t="s">
        <v>2120</v>
      </c>
      <c r="L2442" s="56" t="s">
        <v>262</v>
      </c>
      <c r="M2442" s="4" t="s">
        <v>262</v>
      </c>
      <c r="N2442" s="4" t="s">
        <v>1268</v>
      </c>
      <c r="O2442" s="4" t="s">
        <v>1945</v>
      </c>
    </row>
    <row r="2443" spans="2:15">
      <c r="B2443" s="20">
        <v>45716</v>
      </c>
      <c r="C2443" s="20">
        <v>45716</v>
      </c>
      <c r="D2443" s="54">
        <v>50793278</v>
      </c>
      <c r="E2443" s="55" t="s">
        <v>1086</v>
      </c>
      <c r="G2443" s="68">
        <v>160</v>
      </c>
      <c r="H2443" s="56" t="s">
        <v>1087</v>
      </c>
      <c r="J2443" s="56">
        <v>1004088785</v>
      </c>
      <c r="L2443" s="56" t="s">
        <v>175</v>
      </c>
      <c r="M2443" s="4" t="s">
        <v>392</v>
      </c>
      <c r="N2443" s="4"/>
      <c r="O2443" s="4" t="s">
        <v>178</v>
      </c>
    </row>
    <row r="2444" spans="2:15">
      <c r="B2444" s="20">
        <v>45717</v>
      </c>
      <c r="C2444" s="20">
        <v>45717</v>
      </c>
      <c r="D2444" s="54">
        <v>50010080</v>
      </c>
      <c r="E2444" s="55" t="s">
        <v>1657</v>
      </c>
      <c r="G2444" s="68">
        <v>14300</v>
      </c>
      <c r="H2444" s="56" t="s">
        <v>987</v>
      </c>
      <c r="J2444" s="56" t="s">
        <v>2121</v>
      </c>
      <c r="L2444" s="56" t="s">
        <v>355</v>
      </c>
      <c r="M2444" s="4" t="s">
        <v>355</v>
      </c>
      <c r="N2444" s="4"/>
      <c r="O2444" s="4" t="s">
        <v>178</v>
      </c>
    </row>
    <row r="2445" spans="2:15">
      <c r="B2445" s="20">
        <v>45720</v>
      </c>
      <c r="C2445" s="20">
        <v>45720</v>
      </c>
      <c r="D2445" s="54">
        <v>40014675</v>
      </c>
      <c r="E2445" s="55" t="s">
        <v>44</v>
      </c>
      <c r="G2445" s="68">
        <v>114</v>
      </c>
      <c r="H2445" s="56" t="s">
        <v>80</v>
      </c>
      <c r="J2445" s="56" t="s">
        <v>2122</v>
      </c>
      <c r="L2445" s="56" t="s">
        <v>1791</v>
      </c>
      <c r="M2445" s="4" t="s">
        <v>1792</v>
      </c>
      <c r="N2445" s="4" t="s">
        <v>1793</v>
      </c>
      <c r="O2445" s="4" t="s">
        <v>178</v>
      </c>
    </row>
    <row r="2446" spans="2:15">
      <c r="B2446" s="20">
        <v>45720</v>
      </c>
      <c r="C2446" s="20">
        <v>45720</v>
      </c>
      <c r="D2446" s="54">
        <v>40014675</v>
      </c>
      <c r="E2446" s="55" t="s">
        <v>44</v>
      </c>
      <c r="G2446" s="68">
        <v>114</v>
      </c>
      <c r="H2446" s="56" t="s">
        <v>80</v>
      </c>
      <c r="J2446" s="56" t="s">
        <v>2123</v>
      </c>
      <c r="L2446" s="56" t="s">
        <v>1791</v>
      </c>
      <c r="M2446" s="4" t="s">
        <v>1792</v>
      </c>
      <c r="N2446" s="4" t="s">
        <v>2032</v>
      </c>
      <c r="O2446" s="4" t="s">
        <v>178</v>
      </c>
    </row>
    <row r="2447" spans="2:15">
      <c r="B2447" s="20">
        <v>45720</v>
      </c>
      <c r="C2447" s="20">
        <v>45720</v>
      </c>
      <c r="D2447" s="54">
        <v>40014675</v>
      </c>
      <c r="E2447" s="55" t="s">
        <v>44</v>
      </c>
      <c r="G2447" s="68">
        <v>114</v>
      </c>
      <c r="H2447" s="56" t="s">
        <v>80</v>
      </c>
      <c r="J2447" s="56" t="s">
        <v>2124</v>
      </c>
      <c r="L2447" s="56" t="s">
        <v>1791</v>
      </c>
      <c r="M2447" s="4" t="s">
        <v>1792</v>
      </c>
      <c r="N2447" s="4" t="s">
        <v>1793</v>
      </c>
      <c r="O2447" s="4" t="s">
        <v>178</v>
      </c>
    </row>
    <row r="2448" spans="2:15">
      <c r="B2448" s="20">
        <v>45720</v>
      </c>
      <c r="C2448" s="20">
        <v>45720</v>
      </c>
      <c r="D2448" s="54">
        <v>40014675</v>
      </c>
      <c r="E2448" s="55" t="s">
        <v>44</v>
      </c>
      <c r="G2448" s="68">
        <v>114</v>
      </c>
      <c r="H2448" s="56" t="s">
        <v>80</v>
      </c>
      <c r="J2448" s="56" t="s">
        <v>2125</v>
      </c>
      <c r="L2448" s="56" t="s">
        <v>1791</v>
      </c>
      <c r="M2448" s="4" t="s">
        <v>1792</v>
      </c>
      <c r="N2448" s="4" t="s">
        <v>2032</v>
      </c>
      <c r="O2448" s="4" t="s">
        <v>178</v>
      </c>
    </row>
    <row r="2449" spans="2:15">
      <c r="B2449" s="20">
        <v>45720</v>
      </c>
      <c r="C2449" s="20">
        <v>45720</v>
      </c>
      <c r="D2449" s="54">
        <v>40014675</v>
      </c>
      <c r="E2449" s="55" t="s">
        <v>44</v>
      </c>
      <c r="G2449" s="68">
        <v>114</v>
      </c>
      <c r="H2449" s="56" t="s">
        <v>80</v>
      </c>
      <c r="J2449" s="56" t="s">
        <v>2126</v>
      </c>
      <c r="L2449" s="56" t="s">
        <v>1791</v>
      </c>
      <c r="M2449" s="4" t="s">
        <v>1792</v>
      </c>
      <c r="N2449" s="4" t="s">
        <v>1793</v>
      </c>
      <c r="O2449" s="4" t="s">
        <v>178</v>
      </c>
    </row>
    <row r="2450" spans="2:15">
      <c r="B2450" s="20">
        <v>45720</v>
      </c>
      <c r="C2450" s="20">
        <v>45720</v>
      </c>
      <c r="D2450" s="54">
        <v>50470190</v>
      </c>
      <c r="E2450" s="55" t="s">
        <v>12</v>
      </c>
      <c r="G2450" s="68">
        <v>9273600</v>
      </c>
      <c r="H2450" s="56" t="s">
        <v>92</v>
      </c>
      <c r="J2450" s="56" t="s">
        <v>2127</v>
      </c>
      <c r="L2450" s="56" t="s">
        <v>1158</v>
      </c>
      <c r="M2450" s="4" t="s">
        <v>392</v>
      </c>
      <c r="N2450" s="4" t="s">
        <v>2128</v>
      </c>
      <c r="O2450" s="4" t="s">
        <v>178</v>
      </c>
    </row>
    <row r="2451" spans="2:15">
      <c r="B2451" s="20">
        <v>45720</v>
      </c>
      <c r="C2451" s="20">
        <v>45720</v>
      </c>
      <c r="D2451" s="54">
        <v>7559042</v>
      </c>
      <c r="E2451" s="55" t="s">
        <v>2129</v>
      </c>
      <c r="G2451" s="68">
        <v>65100</v>
      </c>
      <c r="H2451" s="56" t="s">
        <v>92</v>
      </c>
      <c r="J2451" s="56" t="s">
        <v>2130</v>
      </c>
      <c r="L2451" s="56" t="s">
        <v>2131</v>
      </c>
      <c r="M2451" s="4" t="s">
        <v>2131</v>
      </c>
      <c r="N2451" s="4"/>
      <c r="O2451" s="4" t="s">
        <v>178</v>
      </c>
    </row>
    <row r="2452" spans="2:15">
      <c r="B2452" s="20">
        <v>45721</v>
      </c>
      <c r="C2452" s="20">
        <v>45721</v>
      </c>
      <c r="D2452" s="54">
        <v>50837284</v>
      </c>
      <c r="E2452" s="55" t="s">
        <v>28</v>
      </c>
      <c r="G2452" s="68">
        <v>4982.6</v>
      </c>
      <c r="H2452" s="56" t="s">
        <v>987</v>
      </c>
      <c r="J2452" s="56" t="s">
        <v>2132</v>
      </c>
      <c r="L2452" s="56" t="s">
        <v>1227</v>
      </c>
      <c r="M2452" s="4" t="s">
        <v>660</v>
      </c>
      <c r="N2452" s="4" t="s">
        <v>1203</v>
      </c>
      <c r="O2452" s="4" t="s">
        <v>178</v>
      </c>
    </row>
    <row r="2453" spans="2:15">
      <c r="B2453" s="20">
        <v>45721</v>
      </c>
      <c r="C2453" s="20">
        <v>45721</v>
      </c>
      <c r="D2453" s="54">
        <v>50142631</v>
      </c>
      <c r="E2453" s="55" t="s">
        <v>566</v>
      </c>
      <c r="G2453" s="68">
        <v>6000</v>
      </c>
      <c r="H2453" s="56" t="s">
        <v>82</v>
      </c>
      <c r="J2453" s="56" t="s">
        <v>2133</v>
      </c>
      <c r="L2453" s="56" t="s">
        <v>2134</v>
      </c>
      <c r="M2453" s="4" t="s">
        <v>2134</v>
      </c>
      <c r="N2453" s="4" t="s">
        <v>2135</v>
      </c>
      <c r="O2453" s="4" t="s">
        <v>1945</v>
      </c>
    </row>
    <row r="2454" spans="2:15">
      <c r="B2454" s="20">
        <v>45721</v>
      </c>
      <c r="C2454" s="20">
        <v>45721</v>
      </c>
      <c r="D2454" s="54">
        <v>50142373</v>
      </c>
      <c r="E2454" s="55" t="s">
        <v>1130</v>
      </c>
      <c r="G2454" s="68">
        <v>400</v>
      </c>
      <c r="H2454" s="56" t="s">
        <v>753</v>
      </c>
      <c r="J2454" s="56" t="s">
        <v>2136</v>
      </c>
      <c r="L2454" s="56" t="s">
        <v>2134</v>
      </c>
      <c r="M2454" s="4" t="s">
        <v>2134</v>
      </c>
      <c r="N2454" s="4" t="s">
        <v>2135</v>
      </c>
      <c r="O2454" s="4" t="s">
        <v>1945</v>
      </c>
    </row>
    <row r="2455" spans="2:15">
      <c r="B2455" s="20">
        <v>45721</v>
      </c>
      <c r="C2455" s="20">
        <v>45721</v>
      </c>
      <c r="D2455" s="54">
        <v>50272278</v>
      </c>
      <c r="E2455" s="55" t="s">
        <v>21</v>
      </c>
      <c r="G2455" s="68">
        <v>13000</v>
      </c>
      <c r="H2455" s="56" t="s">
        <v>92</v>
      </c>
      <c r="J2455" s="56" t="s">
        <v>2137</v>
      </c>
      <c r="L2455" s="56" t="s">
        <v>262</v>
      </c>
      <c r="M2455" s="4" t="s">
        <v>262</v>
      </c>
      <c r="N2455" s="4" t="s">
        <v>1268</v>
      </c>
      <c r="O2455" s="4" t="s">
        <v>1945</v>
      </c>
    </row>
    <row r="2456" spans="2:15">
      <c r="B2456" s="20">
        <v>45721</v>
      </c>
      <c r="C2456" s="20">
        <v>45721</v>
      </c>
      <c r="D2456" s="54">
        <v>50837269</v>
      </c>
      <c r="E2456" s="55" t="s">
        <v>2138</v>
      </c>
      <c r="G2456" s="68">
        <v>1586.8</v>
      </c>
      <c r="H2456" s="56" t="s">
        <v>82</v>
      </c>
      <c r="J2456" s="56" t="s">
        <v>2139</v>
      </c>
      <c r="L2456" s="56" t="s">
        <v>1227</v>
      </c>
      <c r="M2456" s="4" t="s">
        <v>660</v>
      </c>
      <c r="N2456" s="4" t="s">
        <v>1203</v>
      </c>
      <c r="O2456" s="4" t="s">
        <v>178</v>
      </c>
    </row>
    <row r="2457" spans="2:15">
      <c r="B2457" s="20">
        <v>45721</v>
      </c>
      <c r="C2457" s="20">
        <v>45721</v>
      </c>
      <c r="D2457" s="54">
        <v>50142262</v>
      </c>
      <c r="E2457" s="55" t="s">
        <v>779</v>
      </c>
      <c r="G2457" s="68">
        <v>139</v>
      </c>
      <c r="H2457" s="56" t="s">
        <v>92</v>
      </c>
      <c r="J2457" s="56" t="s">
        <v>2140</v>
      </c>
      <c r="L2457" s="56" t="s">
        <v>2141</v>
      </c>
      <c r="M2457" s="4" t="s">
        <v>2141</v>
      </c>
      <c r="N2457" s="4"/>
      <c r="O2457" s="4" t="s">
        <v>178</v>
      </c>
    </row>
    <row r="2458" spans="2:15">
      <c r="B2458" s="20">
        <v>45722</v>
      </c>
      <c r="C2458" s="20">
        <v>45722</v>
      </c>
      <c r="D2458" s="54">
        <v>50272278</v>
      </c>
      <c r="E2458" s="55" t="s">
        <v>21</v>
      </c>
      <c r="G2458" s="68">
        <v>13000</v>
      </c>
      <c r="H2458" s="56" t="s">
        <v>92</v>
      </c>
      <c r="J2458" s="56" t="s">
        <v>2142</v>
      </c>
      <c r="L2458" s="56" t="s">
        <v>262</v>
      </c>
      <c r="M2458" s="4" t="s">
        <v>262</v>
      </c>
      <c r="N2458" s="4" t="s">
        <v>1268</v>
      </c>
      <c r="O2458" s="4" t="s">
        <v>1945</v>
      </c>
    </row>
    <row r="2459" spans="2:15">
      <c r="B2459" s="20">
        <v>45723</v>
      </c>
      <c r="C2459" s="20">
        <v>45723</v>
      </c>
      <c r="D2459" s="54">
        <v>50142571</v>
      </c>
      <c r="E2459" s="55" t="s">
        <v>605</v>
      </c>
      <c r="G2459" s="68">
        <v>408</v>
      </c>
      <c r="H2459" s="56" t="s">
        <v>82</v>
      </c>
      <c r="J2459" s="56" t="s">
        <v>2143</v>
      </c>
      <c r="L2459" s="56" t="s">
        <v>2144</v>
      </c>
      <c r="M2459" s="4" t="s">
        <v>2144</v>
      </c>
      <c r="N2459" s="4" t="s">
        <v>2145</v>
      </c>
      <c r="O2459" s="4" t="s">
        <v>178</v>
      </c>
    </row>
    <row r="2460" spans="2:15">
      <c r="B2460" s="20">
        <v>45723</v>
      </c>
      <c r="C2460" s="20">
        <v>45723</v>
      </c>
      <c r="D2460" s="54">
        <v>50837239</v>
      </c>
      <c r="E2460" s="55" t="s">
        <v>27</v>
      </c>
      <c r="G2460" s="68">
        <v>5121.25</v>
      </c>
      <c r="H2460" s="56" t="s">
        <v>82</v>
      </c>
      <c r="J2460" s="56" t="s">
        <v>2146</v>
      </c>
      <c r="L2460" s="56" t="s">
        <v>1227</v>
      </c>
      <c r="M2460" s="4" t="s">
        <v>660</v>
      </c>
      <c r="N2460" s="4" t="s">
        <v>1203</v>
      </c>
      <c r="O2460" s="4" t="s">
        <v>178</v>
      </c>
    </row>
    <row r="2461" spans="2:15">
      <c r="B2461" s="20">
        <v>45723</v>
      </c>
      <c r="C2461" s="20">
        <v>45723</v>
      </c>
      <c r="D2461" s="54">
        <v>40011588</v>
      </c>
      <c r="E2461" s="55" t="s">
        <v>585</v>
      </c>
      <c r="G2461" s="68">
        <v>11750</v>
      </c>
      <c r="H2461" s="56" t="s">
        <v>1248</v>
      </c>
      <c r="J2461" s="56" t="s">
        <v>2147</v>
      </c>
      <c r="L2461" s="56" t="s">
        <v>1031</v>
      </c>
      <c r="M2461" s="4" t="s">
        <v>750</v>
      </c>
      <c r="N2461" s="4" t="s">
        <v>395</v>
      </c>
      <c r="O2461" s="4" t="s">
        <v>178</v>
      </c>
    </row>
    <row r="2462" spans="2:15">
      <c r="B2462" s="20">
        <v>45724</v>
      </c>
      <c r="C2462" s="20">
        <v>45724</v>
      </c>
      <c r="D2462" s="54">
        <v>50804970</v>
      </c>
      <c r="E2462" s="55" t="s">
        <v>857</v>
      </c>
      <c r="G2462" s="68">
        <v>3000000</v>
      </c>
      <c r="H2462" s="56" t="s">
        <v>92</v>
      </c>
      <c r="J2462" s="56" t="s">
        <v>2148</v>
      </c>
      <c r="L2462" s="56" t="s">
        <v>2149</v>
      </c>
      <c r="M2462" s="4" t="s">
        <v>2004</v>
      </c>
      <c r="N2462" s="4" t="s">
        <v>2150</v>
      </c>
      <c r="O2462" s="4" t="s">
        <v>178</v>
      </c>
    </row>
    <row r="2463" spans="2:15">
      <c r="B2463" s="20">
        <v>45724</v>
      </c>
      <c r="C2463" s="20">
        <v>45724</v>
      </c>
      <c r="D2463" s="54">
        <v>50804971</v>
      </c>
      <c r="E2463" s="55" t="s">
        <v>855</v>
      </c>
      <c r="G2463" s="68">
        <v>3000000</v>
      </c>
      <c r="H2463" s="56" t="s">
        <v>92</v>
      </c>
      <c r="J2463" s="56" t="s">
        <v>2148</v>
      </c>
      <c r="L2463" s="56" t="s">
        <v>2149</v>
      </c>
      <c r="M2463" s="4" t="s">
        <v>2004</v>
      </c>
      <c r="N2463" s="4" t="s">
        <v>2150</v>
      </c>
      <c r="O2463" s="4" t="s">
        <v>178</v>
      </c>
    </row>
    <row r="2464" spans="2:15">
      <c r="B2464" s="20">
        <v>45724</v>
      </c>
      <c r="C2464" s="20">
        <v>45724</v>
      </c>
      <c r="D2464" s="54">
        <v>50804929</v>
      </c>
      <c r="E2464" s="55" t="s">
        <v>856</v>
      </c>
      <c r="G2464" s="68">
        <v>2939100</v>
      </c>
      <c r="H2464" s="56" t="s">
        <v>92</v>
      </c>
      <c r="J2464" s="56" t="s">
        <v>2148</v>
      </c>
      <c r="L2464" s="56" t="s">
        <v>2149</v>
      </c>
      <c r="M2464" s="4" t="s">
        <v>2004</v>
      </c>
      <c r="N2464" s="4" t="s">
        <v>2150</v>
      </c>
      <c r="O2464" s="4" t="s">
        <v>178</v>
      </c>
    </row>
    <row r="2465" spans="2:15">
      <c r="B2465" s="20">
        <v>45724</v>
      </c>
      <c r="C2465" s="20">
        <v>45724</v>
      </c>
      <c r="D2465" s="54">
        <v>50387529</v>
      </c>
      <c r="E2465" s="55" t="s">
        <v>610</v>
      </c>
      <c r="G2465" s="68">
        <v>2000</v>
      </c>
      <c r="H2465" s="56" t="s">
        <v>82</v>
      </c>
      <c r="J2465" s="56" t="s">
        <v>2151</v>
      </c>
      <c r="L2465" s="56" t="s">
        <v>838</v>
      </c>
      <c r="M2465" s="4" t="s">
        <v>2152</v>
      </c>
      <c r="N2465" s="4" t="s">
        <v>1905</v>
      </c>
      <c r="O2465" s="4" t="s">
        <v>178</v>
      </c>
    </row>
    <row r="2466" spans="2:15">
      <c r="B2466" s="20">
        <v>45724</v>
      </c>
      <c r="C2466" s="20">
        <v>45724</v>
      </c>
      <c r="D2466" s="54">
        <v>50765894</v>
      </c>
      <c r="E2466" s="55" t="s">
        <v>2153</v>
      </c>
      <c r="G2466" s="68">
        <v>800</v>
      </c>
      <c r="H2466" s="56" t="s">
        <v>82</v>
      </c>
      <c r="J2466" s="56" t="s">
        <v>2151</v>
      </c>
      <c r="L2466" s="56" t="s">
        <v>838</v>
      </c>
      <c r="M2466" s="4" t="s">
        <v>2152</v>
      </c>
      <c r="N2466" s="4" t="s">
        <v>1905</v>
      </c>
      <c r="O2466" s="4" t="s">
        <v>178</v>
      </c>
    </row>
    <row r="2467" spans="2:15">
      <c r="B2467" s="20">
        <v>45724</v>
      </c>
      <c r="C2467" s="20">
        <v>45724</v>
      </c>
      <c r="D2467" s="54">
        <v>50437501</v>
      </c>
      <c r="E2467" s="55" t="s">
        <v>2154</v>
      </c>
      <c r="G2467" s="68">
        <v>800</v>
      </c>
      <c r="H2467" s="56" t="s">
        <v>82</v>
      </c>
      <c r="J2467" s="56" t="s">
        <v>2151</v>
      </c>
      <c r="L2467" s="56" t="s">
        <v>838</v>
      </c>
      <c r="M2467" s="4" t="s">
        <v>2152</v>
      </c>
      <c r="N2467" s="4" t="s">
        <v>1905</v>
      </c>
      <c r="O2467" s="4" t="s">
        <v>178</v>
      </c>
    </row>
    <row r="2468" spans="2:15">
      <c r="B2468" s="20">
        <v>45724</v>
      </c>
      <c r="C2468" s="20">
        <v>45724</v>
      </c>
      <c r="D2468" s="54">
        <v>50772940</v>
      </c>
      <c r="E2468" s="55" t="s">
        <v>2155</v>
      </c>
      <c r="G2468" s="68">
        <v>800</v>
      </c>
      <c r="H2468" s="56" t="s">
        <v>82</v>
      </c>
      <c r="J2468" s="56" t="s">
        <v>2151</v>
      </c>
      <c r="L2468" s="56" t="s">
        <v>838</v>
      </c>
      <c r="M2468" s="4" t="s">
        <v>2152</v>
      </c>
      <c r="N2468" s="4" t="s">
        <v>1905</v>
      </c>
      <c r="O2468" s="4" t="s">
        <v>178</v>
      </c>
    </row>
    <row r="2469" spans="2:15">
      <c r="B2469" s="20">
        <v>45724</v>
      </c>
      <c r="C2469" s="20">
        <v>45724</v>
      </c>
      <c r="D2469" s="54">
        <v>50409115</v>
      </c>
      <c r="E2469" s="55" t="s">
        <v>2156</v>
      </c>
      <c r="G2469" s="68">
        <v>220</v>
      </c>
      <c r="H2469" s="56" t="s">
        <v>82</v>
      </c>
      <c r="J2469" s="56" t="s">
        <v>2151</v>
      </c>
      <c r="L2469" s="56" t="s">
        <v>838</v>
      </c>
      <c r="M2469" s="4" t="s">
        <v>2152</v>
      </c>
      <c r="N2469" s="4" t="s">
        <v>1905</v>
      </c>
      <c r="O2469" s="4" t="s">
        <v>178</v>
      </c>
    </row>
    <row r="2470" spans="2:15">
      <c r="B2470" s="20">
        <v>45724</v>
      </c>
      <c r="C2470" s="20">
        <v>45724</v>
      </c>
      <c r="D2470" s="54">
        <v>50409120</v>
      </c>
      <c r="E2470" s="55" t="s">
        <v>2157</v>
      </c>
      <c r="G2470" s="68">
        <v>240</v>
      </c>
      <c r="H2470" s="56" t="s">
        <v>82</v>
      </c>
      <c r="J2470" s="56" t="s">
        <v>2151</v>
      </c>
      <c r="L2470" s="56" t="s">
        <v>838</v>
      </c>
      <c r="M2470" s="4" t="s">
        <v>2152</v>
      </c>
      <c r="N2470" s="4" t="s">
        <v>1905</v>
      </c>
      <c r="O2470" s="4" t="s">
        <v>178</v>
      </c>
    </row>
    <row r="2471" spans="2:15">
      <c r="B2471" s="20">
        <v>45724</v>
      </c>
      <c r="C2471" s="20">
        <v>45724</v>
      </c>
      <c r="D2471" s="54">
        <v>504909122</v>
      </c>
      <c r="E2471" s="55" t="s">
        <v>2158</v>
      </c>
      <c r="G2471" s="68">
        <v>480</v>
      </c>
      <c r="H2471" s="56" t="s">
        <v>82</v>
      </c>
      <c r="J2471" s="56" t="s">
        <v>2151</v>
      </c>
      <c r="L2471" s="56" t="s">
        <v>838</v>
      </c>
      <c r="M2471" s="4" t="s">
        <v>2152</v>
      </c>
      <c r="N2471" s="4" t="s">
        <v>1905</v>
      </c>
      <c r="O2471" s="4" t="s">
        <v>178</v>
      </c>
    </row>
    <row r="2472" spans="2:15">
      <c r="B2472" s="20">
        <v>45724</v>
      </c>
      <c r="C2472" s="20">
        <v>45724</v>
      </c>
      <c r="D2472" s="54">
        <v>50142298</v>
      </c>
      <c r="E2472" s="55" t="s">
        <v>2159</v>
      </c>
      <c r="G2472" s="68">
        <v>5055</v>
      </c>
      <c r="H2472" s="56" t="s">
        <v>82</v>
      </c>
      <c r="J2472" s="56" t="s">
        <v>2151</v>
      </c>
      <c r="L2472" s="56" t="s">
        <v>838</v>
      </c>
      <c r="M2472" s="4" t="s">
        <v>2152</v>
      </c>
      <c r="N2472" s="4" t="s">
        <v>1905</v>
      </c>
      <c r="O2472" s="4" t="s">
        <v>178</v>
      </c>
    </row>
    <row r="2473" spans="2:15">
      <c r="B2473" s="20">
        <v>45724</v>
      </c>
      <c r="C2473" s="20">
        <v>45724</v>
      </c>
      <c r="D2473" s="54">
        <v>50145028</v>
      </c>
      <c r="E2473" s="55" t="s">
        <v>2160</v>
      </c>
      <c r="G2473" s="68">
        <v>192</v>
      </c>
      <c r="H2473" s="56" t="s">
        <v>92</v>
      </c>
      <c r="J2473" s="56" t="s">
        <v>2151</v>
      </c>
      <c r="L2473" s="56" t="s">
        <v>838</v>
      </c>
      <c r="M2473" s="4" t="s">
        <v>2152</v>
      </c>
      <c r="N2473" s="4" t="s">
        <v>1905</v>
      </c>
      <c r="O2473" s="4" t="s">
        <v>178</v>
      </c>
    </row>
    <row r="2474" spans="2:15">
      <c r="B2474" s="20">
        <v>45724</v>
      </c>
      <c r="C2474" s="20">
        <v>45724</v>
      </c>
      <c r="D2474" s="54">
        <v>50143893</v>
      </c>
      <c r="E2474" s="55" t="s">
        <v>2161</v>
      </c>
      <c r="G2474" s="68">
        <v>1980</v>
      </c>
      <c r="H2474" s="56" t="s">
        <v>82</v>
      </c>
      <c r="J2474" s="56" t="s">
        <v>2151</v>
      </c>
      <c r="L2474" s="56" t="s">
        <v>838</v>
      </c>
      <c r="M2474" s="4" t="s">
        <v>2152</v>
      </c>
      <c r="N2474" s="4" t="s">
        <v>1905</v>
      </c>
      <c r="O2474" s="4" t="s">
        <v>178</v>
      </c>
    </row>
    <row r="2475" spans="2:15">
      <c r="B2475" s="20">
        <v>45726</v>
      </c>
      <c r="C2475" s="20">
        <v>45726</v>
      </c>
      <c r="D2475" s="54">
        <v>50145028</v>
      </c>
      <c r="E2475" s="55" t="s">
        <v>23</v>
      </c>
      <c r="G2475" s="68">
        <v>1920</v>
      </c>
      <c r="H2475" s="56" t="s">
        <v>92</v>
      </c>
      <c r="J2475" s="56" t="s">
        <v>2162</v>
      </c>
      <c r="L2475" s="56" t="s">
        <v>673</v>
      </c>
      <c r="M2475" s="4" t="s">
        <v>673</v>
      </c>
      <c r="N2475" s="4" t="s">
        <v>1014</v>
      </c>
      <c r="O2475" s="4" t="s">
        <v>178</v>
      </c>
    </row>
    <row r="2476" spans="2:15">
      <c r="B2476" s="20">
        <v>45726</v>
      </c>
      <c r="C2476" s="20">
        <v>45726</v>
      </c>
      <c r="D2476" s="54">
        <v>50144376</v>
      </c>
      <c r="E2476" s="55" t="s">
        <v>19</v>
      </c>
      <c r="G2476" s="68">
        <v>13000</v>
      </c>
      <c r="H2476" s="56" t="s">
        <v>92</v>
      </c>
      <c r="J2476" s="56" t="s">
        <v>2163</v>
      </c>
      <c r="L2476" s="56" t="s">
        <v>262</v>
      </c>
      <c r="M2476" s="4" t="s">
        <v>262</v>
      </c>
      <c r="N2476" s="4" t="s">
        <v>1268</v>
      </c>
      <c r="O2476" s="4" t="s">
        <v>1945</v>
      </c>
    </row>
    <row r="2477" spans="2:15">
      <c r="B2477" s="20">
        <v>45726</v>
      </c>
      <c r="C2477" s="20">
        <v>45726</v>
      </c>
      <c r="D2477" s="54">
        <v>20016059</v>
      </c>
      <c r="E2477" s="55" t="s">
        <v>1498</v>
      </c>
      <c r="G2477" s="68">
        <v>100</v>
      </c>
      <c r="H2477" s="56" t="s">
        <v>92</v>
      </c>
      <c r="J2477" s="56">
        <v>1579</v>
      </c>
      <c r="L2477" s="56" t="s">
        <v>1499</v>
      </c>
      <c r="N2477" s="4"/>
    </row>
    <row r="2478" spans="2:15">
      <c r="B2478" s="20">
        <v>45726</v>
      </c>
      <c r="C2478" s="20">
        <v>45726</v>
      </c>
      <c r="D2478" s="54">
        <v>50145028</v>
      </c>
      <c r="E2478" s="55" t="s">
        <v>23</v>
      </c>
      <c r="G2478" s="68">
        <v>768</v>
      </c>
      <c r="H2478" s="56" t="s">
        <v>92</v>
      </c>
      <c r="J2478" s="56" t="s">
        <v>2164</v>
      </c>
      <c r="L2478" s="56" t="s">
        <v>838</v>
      </c>
      <c r="M2478" s="4" t="s">
        <v>2152</v>
      </c>
      <c r="N2478" s="4" t="s">
        <v>1905</v>
      </c>
      <c r="O2478" s="4" t="s">
        <v>178</v>
      </c>
    </row>
    <row r="2479" spans="2:15">
      <c r="B2479" s="20">
        <v>45726</v>
      </c>
      <c r="C2479" s="20">
        <v>45726</v>
      </c>
      <c r="D2479" s="54">
        <v>50799770</v>
      </c>
      <c r="E2479" s="55" t="s">
        <v>17</v>
      </c>
      <c r="G2479" s="68">
        <v>4250</v>
      </c>
      <c r="H2479" s="56" t="s">
        <v>92</v>
      </c>
      <c r="J2479" s="56" t="s">
        <v>2164</v>
      </c>
      <c r="L2479" s="56" t="s">
        <v>838</v>
      </c>
      <c r="M2479" s="4" t="s">
        <v>2152</v>
      </c>
      <c r="N2479" s="4" t="s">
        <v>1905</v>
      </c>
      <c r="O2479" s="4" t="s">
        <v>178</v>
      </c>
    </row>
    <row r="2480" spans="2:15">
      <c r="B2480" s="20">
        <v>45726</v>
      </c>
      <c r="C2480" s="20">
        <v>45726</v>
      </c>
      <c r="D2480" s="54">
        <v>50272278</v>
      </c>
      <c r="E2480" s="55" t="s">
        <v>21</v>
      </c>
      <c r="G2480" s="68">
        <v>500</v>
      </c>
      <c r="H2480" s="56" t="s">
        <v>92</v>
      </c>
      <c r="J2480" s="56" t="s">
        <v>2164</v>
      </c>
      <c r="L2480" s="56" t="s">
        <v>838</v>
      </c>
      <c r="M2480" s="4" t="s">
        <v>2152</v>
      </c>
      <c r="N2480" s="4" t="s">
        <v>1905</v>
      </c>
      <c r="O2480" s="4" t="s">
        <v>178</v>
      </c>
    </row>
    <row r="2481" spans="2:15">
      <c r="B2481" s="20">
        <v>45727</v>
      </c>
      <c r="C2481" s="20">
        <v>45727</v>
      </c>
      <c r="D2481" s="54">
        <v>50272278</v>
      </c>
      <c r="E2481" s="55" t="s">
        <v>21</v>
      </c>
      <c r="G2481" s="68">
        <v>12500</v>
      </c>
      <c r="H2481" s="56" t="s">
        <v>92</v>
      </c>
      <c r="J2481" s="56" t="s">
        <v>2165</v>
      </c>
      <c r="L2481" s="56" t="s">
        <v>262</v>
      </c>
      <c r="M2481" s="4" t="s">
        <v>262</v>
      </c>
      <c r="N2481" s="4" t="s">
        <v>1268</v>
      </c>
      <c r="O2481" s="4" t="s">
        <v>1945</v>
      </c>
    </row>
    <row r="2482" spans="2:15">
      <c r="B2482" s="20">
        <v>45727</v>
      </c>
      <c r="C2482" s="20">
        <v>45727</v>
      </c>
      <c r="D2482" s="54">
        <v>50470190</v>
      </c>
      <c r="E2482" s="55" t="s">
        <v>12</v>
      </c>
      <c r="G2482" s="68">
        <v>9273600</v>
      </c>
      <c r="H2482" s="56" t="s">
        <v>92</v>
      </c>
      <c r="J2482" s="56" t="s">
        <v>2166</v>
      </c>
      <c r="L2482" s="56" t="s">
        <v>1158</v>
      </c>
      <c r="M2482" s="4" t="s">
        <v>392</v>
      </c>
      <c r="N2482" s="4" t="s">
        <v>2128</v>
      </c>
      <c r="O2482" s="4" t="s">
        <v>178</v>
      </c>
    </row>
    <row r="2483" spans="2:15">
      <c r="B2483" s="20">
        <v>45728</v>
      </c>
      <c r="C2483" s="20">
        <v>45728</v>
      </c>
      <c r="D2483" s="54">
        <v>50142619</v>
      </c>
      <c r="E2483" s="55" t="s">
        <v>433</v>
      </c>
      <c r="G2483" s="68">
        <v>242</v>
      </c>
      <c r="H2483" s="56" t="s">
        <v>753</v>
      </c>
      <c r="J2483" s="56" t="s">
        <v>2167</v>
      </c>
      <c r="L2483" s="56" t="s">
        <v>2144</v>
      </c>
      <c r="M2483" s="4" t="s">
        <v>2144</v>
      </c>
      <c r="N2483" s="4" t="s">
        <v>2168</v>
      </c>
      <c r="O2483" s="4" t="s">
        <v>178</v>
      </c>
    </row>
    <row r="2484" spans="2:15">
      <c r="B2484" s="20">
        <v>45728</v>
      </c>
      <c r="C2484" s="20">
        <v>45728</v>
      </c>
      <c r="D2484" s="54">
        <v>50272278</v>
      </c>
      <c r="E2484" s="55" t="s">
        <v>21</v>
      </c>
      <c r="G2484" s="68">
        <v>13000</v>
      </c>
      <c r="H2484" s="56" t="s">
        <v>92</v>
      </c>
      <c r="J2484" s="56" t="s">
        <v>2169</v>
      </c>
      <c r="L2484" s="56" t="s">
        <v>262</v>
      </c>
      <c r="M2484" s="4" t="s">
        <v>262</v>
      </c>
      <c r="N2484" s="4" t="s">
        <v>1268</v>
      </c>
      <c r="O2484" s="4" t="s">
        <v>1945</v>
      </c>
    </row>
    <row r="2485" spans="2:15">
      <c r="B2485" s="20">
        <v>45729</v>
      </c>
      <c r="C2485" s="20">
        <v>45729</v>
      </c>
      <c r="D2485" s="54">
        <v>40014675</v>
      </c>
      <c r="E2485" s="55" t="s">
        <v>44</v>
      </c>
      <c r="G2485" s="68">
        <v>91.2</v>
      </c>
      <c r="H2485" s="56" t="s">
        <v>80</v>
      </c>
      <c r="J2485" s="56" t="s">
        <v>2170</v>
      </c>
      <c r="L2485" s="56" t="s">
        <v>838</v>
      </c>
      <c r="M2485" s="4" t="s">
        <v>392</v>
      </c>
      <c r="N2485" s="4" t="s">
        <v>2171</v>
      </c>
      <c r="O2485" s="4" t="s">
        <v>178</v>
      </c>
    </row>
    <row r="2486" spans="2:15">
      <c r="B2486" s="20">
        <v>45729</v>
      </c>
      <c r="C2486" s="20">
        <v>45729</v>
      </c>
      <c r="D2486" s="54">
        <v>50837284</v>
      </c>
      <c r="E2486" s="55" t="s">
        <v>28</v>
      </c>
      <c r="G2486" s="68">
        <v>5035.3</v>
      </c>
      <c r="H2486" s="56" t="s">
        <v>82</v>
      </c>
      <c r="J2486" s="56" t="s">
        <v>2172</v>
      </c>
      <c r="L2486" s="56" t="s">
        <v>1227</v>
      </c>
      <c r="M2486" s="4" t="s">
        <v>660</v>
      </c>
      <c r="N2486" s="4" t="s">
        <v>353</v>
      </c>
      <c r="O2486" s="4" t="s">
        <v>178</v>
      </c>
    </row>
    <row r="2487" spans="2:15">
      <c r="B2487" s="20">
        <v>45729</v>
      </c>
      <c r="C2487" s="20">
        <v>45729</v>
      </c>
      <c r="D2487" s="54">
        <v>50145029</v>
      </c>
      <c r="E2487" s="55" t="s">
        <v>705</v>
      </c>
      <c r="G2487" s="68">
        <v>36</v>
      </c>
      <c r="H2487" s="56" t="s">
        <v>505</v>
      </c>
      <c r="J2487" s="56" t="s">
        <v>2173</v>
      </c>
      <c r="L2487" s="56" t="s">
        <v>1053</v>
      </c>
      <c r="M2487" s="4" t="s">
        <v>1053</v>
      </c>
      <c r="N2487" s="4" t="s">
        <v>2174</v>
      </c>
      <c r="O2487" s="4" t="s">
        <v>178</v>
      </c>
    </row>
    <row r="2488" spans="2:15">
      <c r="B2488" s="20">
        <v>45729</v>
      </c>
      <c r="C2488" s="20">
        <v>45729</v>
      </c>
      <c r="D2488" s="54">
        <v>50392045</v>
      </c>
      <c r="E2488" s="55" t="s">
        <v>707</v>
      </c>
      <c r="G2488" s="68">
        <v>60</v>
      </c>
      <c r="H2488" s="56" t="s">
        <v>505</v>
      </c>
      <c r="J2488" s="56" t="s">
        <v>2173</v>
      </c>
      <c r="L2488" s="56" t="s">
        <v>1053</v>
      </c>
      <c r="M2488" s="4" t="s">
        <v>1053</v>
      </c>
      <c r="N2488" s="4" t="s">
        <v>2174</v>
      </c>
      <c r="O2488" s="4" t="s">
        <v>178</v>
      </c>
    </row>
    <row r="2489" spans="2:15">
      <c r="B2489" s="20">
        <v>45729</v>
      </c>
      <c r="C2489" s="20">
        <v>45729</v>
      </c>
      <c r="D2489" s="54">
        <v>50145012</v>
      </c>
      <c r="E2489" s="55" t="s">
        <v>504</v>
      </c>
      <c r="G2489" s="68">
        <v>6</v>
      </c>
      <c r="H2489" s="56" t="s">
        <v>505</v>
      </c>
      <c r="J2489" s="56" t="s">
        <v>2173</v>
      </c>
      <c r="L2489" s="56" t="s">
        <v>1053</v>
      </c>
      <c r="M2489" s="4" t="s">
        <v>1053</v>
      </c>
      <c r="N2489" s="4" t="s">
        <v>2174</v>
      </c>
      <c r="O2489" s="4" t="s">
        <v>178</v>
      </c>
    </row>
    <row r="2490" spans="2:15">
      <c r="B2490" s="20">
        <v>45729</v>
      </c>
      <c r="C2490" s="20">
        <v>45729</v>
      </c>
      <c r="D2490" s="54">
        <v>50392046</v>
      </c>
      <c r="E2490" s="55" t="s">
        <v>509</v>
      </c>
      <c r="G2490" s="68">
        <v>12</v>
      </c>
      <c r="H2490" s="56" t="s">
        <v>505</v>
      </c>
      <c r="J2490" s="56" t="s">
        <v>2173</v>
      </c>
      <c r="L2490" s="56" t="s">
        <v>1053</v>
      </c>
      <c r="M2490" s="4" t="s">
        <v>1053</v>
      </c>
      <c r="N2490" s="4" t="s">
        <v>2174</v>
      </c>
      <c r="O2490" s="4" t="s">
        <v>178</v>
      </c>
    </row>
    <row r="2491" spans="2:15">
      <c r="B2491" s="20">
        <v>45730</v>
      </c>
      <c r="C2491" s="20">
        <v>45730</v>
      </c>
      <c r="D2491" s="54">
        <v>40014900</v>
      </c>
      <c r="E2491" s="55" t="s">
        <v>153</v>
      </c>
      <c r="G2491" s="68">
        <v>114</v>
      </c>
      <c r="H2491" s="56" t="s">
        <v>80</v>
      </c>
      <c r="J2491" s="56" t="s">
        <v>1857</v>
      </c>
      <c r="L2491" s="56" t="s">
        <v>1791</v>
      </c>
      <c r="M2491" s="4" t="s">
        <v>1792</v>
      </c>
      <c r="N2491" s="4" t="s">
        <v>1793</v>
      </c>
      <c r="O2491" s="4" t="s">
        <v>178</v>
      </c>
    </row>
    <row r="2492" spans="2:15">
      <c r="B2492" s="20">
        <v>45730</v>
      </c>
      <c r="C2492" s="20">
        <v>45730</v>
      </c>
      <c r="D2492" s="54">
        <v>40014900</v>
      </c>
      <c r="E2492" s="55" t="s">
        <v>153</v>
      </c>
      <c r="G2492" s="68">
        <v>114</v>
      </c>
      <c r="H2492" s="56" t="s">
        <v>80</v>
      </c>
      <c r="J2492" s="56" t="s">
        <v>2175</v>
      </c>
      <c r="L2492" s="56" t="s">
        <v>1791</v>
      </c>
      <c r="M2492" s="4" t="s">
        <v>1792</v>
      </c>
      <c r="N2492" s="4" t="s">
        <v>1793</v>
      </c>
      <c r="O2492" s="4" t="s">
        <v>178</v>
      </c>
    </row>
    <row r="2493" spans="2:15">
      <c r="B2493" s="20">
        <v>45730</v>
      </c>
      <c r="C2493" s="20">
        <v>45730</v>
      </c>
      <c r="D2493" s="54">
        <v>40014900</v>
      </c>
      <c r="E2493" s="55" t="s">
        <v>153</v>
      </c>
      <c r="G2493" s="68">
        <v>114</v>
      </c>
      <c r="H2493" s="56" t="s">
        <v>80</v>
      </c>
      <c r="J2493" s="56" t="s">
        <v>2176</v>
      </c>
      <c r="L2493" s="56" t="s">
        <v>1791</v>
      </c>
      <c r="M2493" s="4" t="s">
        <v>1792</v>
      </c>
      <c r="N2493" s="4" t="s">
        <v>1793</v>
      </c>
      <c r="O2493" s="4" t="s">
        <v>178</v>
      </c>
    </row>
    <row r="2494" spans="2:15">
      <c r="B2494" s="20">
        <v>45730</v>
      </c>
      <c r="C2494" s="20">
        <v>45730</v>
      </c>
      <c r="D2494" s="54">
        <v>40014900</v>
      </c>
      <c r="E2494" s="55" t="s">
        <v>153</v>
      </c>
      <c r="G2494" s="68">
        <v>114</v>
      </c>
      <c r="H2494" s="56" t="s">
        <v>80</v>
      </c>
      <c r="J2494" s="56" t="s">
        <v>2177</v>
      </c>
      <c r="L2494" s="56" t="s">
        <v>1791</v>
      </c>
      <c r="M2494" s="4" t="s">
        <v>1792</v>
      </c>
      <c r="N2494" s="4" t="s">
        <v>1793</v>
      </c>
      <c r="O2494" s="4" t="s">
        <v>178</v>
      </c>
    </row>
    <row r="2495" spans="2:15">
      <c r="B2495" s="20">
        <v>45730</v>
      </c>
      <c r="C2495" s="20">
        <v>45730</v>
      </c>
      <c r="D2495" s="54">
        <v>40014900</v>
      </c>
      <c r="E2495" s="55" t="s">
        <v>153</v>
      </c>
      <c r="G2495" s="68">
        <v>114</v>
      </c>
      <c r="H2495" s="56" t="s">
        <v>80</v>
      </c>
      <c r="J2495" s="56" t="s">
        <v>2178</v>
      </c>
      <c r="L2495" s="56" t="s">
        <v>1791</v>
      </c>
      <c r="M2495" s="4" t="s">
        <v>1792</v>
      </c>
      <c r="N2495" s="4" t="s">
        <v>1793</v>
      </c>
      <c r="O2495" s="4" t="s">
        <v>178</v>
      </c>
    </row>
    <row r="2496" spans="2:15">
      <c r="B2496" s="20">
        <v>45733</v>
      </c>
      <c r="C2496" s="20">
        <v>45733</v>
      </c>
      <c r="D2496" s="54">
        <v>50837284</v>
      </c>
      <c r="E2496" s="55" t="s">
        <v>28</v>
      </c>
      <c r="G2496" s="68">
        <v>5303.5</v>
      </c>
      <c r="H2496" s="56" t="s">
        <v>82</v>
      </c>
      <c r="J2496" s="56" t="s">
        <v>2179</v>
      </c>
      <c r="L2496" s="56" t="s">
        <v>1227</v>
      </c>
      <c r="M2496" s="4" t="s">
        <v>660</v>
      </c>
      <c r="N2496" s="4" t="s">
        <v>353</v>
      </c>
      <c r="O2496" s="4" t="s">
        <v>178</v>
      </c>
    </row>
    <row r="2497" spans="2:15">
      <c r="B2497" s="20">
        <v>45733</v>
      </c>
      <c r="C2497" s="20">
        <v>45733</v>
      </c>
      <c r="D2497" s="54">
        <v>50834329</v>
      </c>
      <c r="E2497" s="55" t="s">
        <v>1475</v>
      </c>
      <c r="G2497" s="68">
        <v>709.9</v>
      </c>
      <c r="H2497" s="56" t="s">
        <v>82</v>
      </c>
      <c r="J2497" s="56" t="s">
        <v>2180</v>
      </c>
      <c r="L2497" s="56" t="s">
        <v>1227</v>
      </c>
      <c r="M2497" s="4" t="s">
        <v>660</v>
      </c>
      <c r="N2497" s="4" t="s">
        <v>353</v>
      </c>
      <c r="O2497" s="4" t="s">
        <v>178</v>
      </c>
    </row>
    <row r="2498" spans="2:15">
      <c r="B2498" s="20">
        <v>45733</v>
      </c>
      <c r="C2498" s="20">
        <v>45733</v>
      </c>
      <c r="D2498" s="54">
        <v>50272278</v>
      </c>
      <c r="E2498" s="55" t="s">
        <v>21</v>
      </c>
      <c r="G2498" s="68">
        <v>13000</v>
      </c>
      <c r="H2498" s="56" t="s">
        <v>92</v>
      </c>
      <c r="J2498" s="56" t="s">
        <v>2181</v>
      </c>
      <c r="L2498" s="56" t="s">
        <v>262</v>
      </c>
      <c r="M2498" s="4" t="s">
        <v>262</v>
      </c>
      <c r="N2498" s="4" t="s">
        <v>1268</v>
      </c>
      <c r="O2498" s="4" t="s">
        <v>1945</v>
      </c>
    </row>
    <row r="2499" spans="2:15">
      <c r="B2499" s="20">
        <v>45734</v>
      </c>
      <c r="C2499" s="20">
        <v>45734</v>
      </c>
      <c r="D2499" s="54">
        <v>50272278</v>
      </c>
      <c r="E2499" s="55" t="s">
        <v>21</v>
      </c>
      <c r="G2499" s="68">
        <v>13000</v>
      </c>
      <c r="H2499" s="56" t="s">
        <v>92</v>
      </c>
      <c r="J2499" s="56" t="s">
        <v>2182</v>
      </c>
      <c r="L2499" s="56" t="s">
        <v>262</v>
      </c>
      <c r="M2499" s="4" t="s">
        <v>262</v>
      </c>
      <c r="N2499" s="4" t="s">
        <v>1268</v>
      </c>
      <c r="O2499" s="4" t="s">
        <v>1945</v>
      </c>
    </row>
    <row r="2500" spans="2:15">
      <c r="B2500" s="20">
        <v>45734</v>
      </c>
      <c r="C2500" s="20">
        <v>45734</v>
      </c>
      <c r="D2500" s="54">
        <v>50470190</v>
      </c>
      <c r="E2500" s="55" t="s">
        <v>12</v>
      </c>
      <c r="G2500" s="68">
        <v>9273600</v>
      </c>
      <c r="H2500" s="56" t="s">
        <v>92</v>
      </c>
      <c r="J2500" s="56" t="s">
        <v>2183</v>
      </c>
      <c r="L2500" s="56" t="s">
        <v>1158</v>
      </c>
      <c r="M2500" s="4" t="s">
        <v>392</v>
      </c>
      <c r="N2500" s="4" t="s">
        <v>2128</v>
      </c>
      <c r="O2500" s="4" t="s">
        <v>178</v>
      </c>
    </row>
    <row r="2501" spans="2:15">
      <c r="B2501" s="20">
        <v>45735</v>
      </c>
      <c r="C2501" s="20">
        <v>45734</v>
      </c>
      <c r="D2501" s="54">
        <v>50272278</v>
      </c>
      <c r="E2501" s="55" t="s">
        <v>21</v>
      </c>
      <c r="G2501" s="68">
        <v>13000</v>
      </c>
      <c r="H2501" s="56" t="s">
        <v>92</v>
      </c>
      <c r="J2501" s="56" t="s">
        <v>2184</v>
      </c>
      <c r="L2501" s="56" t="s">
        <v>262</v>
      </c>
      <c r="M2501" s="4" t="s">
        <v>262</v>
      </c>
      <c r="N2501" s="4" t="s">
        <v>1268</v>
      </c>
      <c r="O2501" s="4" t="s">
        <v>178</v>
      </c>
    </row>
    <row r="2502" spans="2:15">
      <c r="B2502" s="20">
        <v>45735</v>
      </c>
      <c r="C2502" s="20">
        <v>45735</v>
      </c>
      <c r="D2502" s="54">
        <v>50819321</v>
      </c>
      <c r="E2502" s="55" t="s">
        <v>1703</v>
      </c>
      <c r="G2502" s="68">
        <v>1499000</v>
      </c>
      <c r="H2502" s="56" t="s">
        <v>92</v>
      </c>
      <c r="J2502" s="56" t="s">
        <v>2185</v>
      </c>
      <c r="L2502" s="56" t="s">
        <v>2186</v>
      </c>
      <c r="M2502" s="4" t="s">
        <v>1344</v>
      </c>
      <c r="N2502" s="4"/>
      <c r="O2502" s="4" t="s">
        <v>178</v>
      </c>
    </row>
    <row r="2503" spans="2:15">
      <c r="B2503" s="20">
        <v>45735</v>
      </c>
      <c r="C2503" s="20">
        <v>45735</v>
      </c>
      <c r="D2503" s="54">
        <v>50819320</v>
      </c>
      <c r="E2503" s="55" t="s">
        <v>1701</v>
      </c>
      <c r="G2503" s="68">
        <v>1379000</v>
      </c>
      <c r="H2503" s="56" t="s">
        <v>92</v>
      </c>
      <c r="J2503" s="56" t="s">
        <v>2185</v>
      </c>
      <c r="L2503" s="56" t="s">
        <v>2186</v>
      </c>
      <c r="M2503" s="4" t="s">
        <v>1344</v>
      </c>
      <c r="N2503" s="4"/>
      <c r="O2503" s="4" t="s">
        <v>178</v>
      </c>
    </row>
    <row r="2504" spans="2:15">
      <c r="B2504" s="20">
        <v>45735</v>
      </c>
      <c r="C2504" s="20">
        <v>45735</v>
      </c>
      <c r="D2504" s="54">
        <v>50472696</v>
      </c>
      <c r="E2504" s="55" t="s">
        <v>1308</v>
      </c>
      <c r="G2504" s="68">
        <v>5880</v>
      </c>
      <c r="H2504" s="56" t="s">
        <v>80</v>
      </c>
      <c r="J2504" s="56" t="s">
        <v>2185</v>
      </c>
      <c r="L2504" s="56" t="s">
        <v>2186</v>
      </c>
      <c r="M2504" s="4" t="s">
        <v>1344</v>
      </c>
      <c r="N2504" s="4"/>
      <c r="O2504" s="4" t="s">
        <v>178</v>
      </c>
    </row>
    <row r="2505" spans="2:15">
      <c r="B2505" s="20">
        <v>45735</v>
      </c>
      <c r="C2505" s="20">
        <v>45735</v>
      </c>
      <c r="D2505" s="54">
        <v>50472692</v>
      </c>
      <c r="E2505" s="55" t="s">
        <v>1304</v>
      </c>
      <c r="G2505" s="68">
        <v>6171.3</v>
      </c>
      <c r="H2505" s="56" t="s">
        <v>80</v>
      </c>
      <c r="J2505" s="56" t="s">
        <v>2185</v>
      </c>
      <c r="L2505" s="56" t="s">
        <v>2186</v>
      </c>
      <c r="M2505" s="4" t="s">
        <v>1344</v>
      </c>
      <c r="N2505" s="4"/>
      <c r="O2505" s="4" t="s">
        <v>178</v>
      </c>
    </row>
    <row r="2506" spans="2:15">
      <c r="B2506" s="20">
        <v>45736</v>
      </c>
      <c r="C2506" s="20">
        <v>45736</v>
      </c>
      <c r="D2506" s="54">
        <v>50010080</v>
      </c>
      <c r="E2506" s="55" t="s">
        <v>1657</v>
      </c>
      <c r="G2506" s="68">
        <v>20000</v>
      </c>
      <c r="H2506" s="56" t="s">
        <v>987</v>
      </c>
      <c r="J2506" s="56" t="s">
        <v>2187</v>
      </c>
      <c r="L2506" s="56" t="s">
        <v>2188</v>
      </c>
      <c r="M2506" s="4" t="s">
        <v>650</v>
      </c>
      <c r="N2506" s="4"/>
      <c r="O2506" s="4" t="s">
        <v>178</v>
      </c>
    </row>
    <row r="2507" spans="2:15">
      <c r="B2507" s="20">
        <v>45736</v>
      </c>
      <c r="C2507" s="20">
        <v>45736</v>
      </c>
      <c r="D2507" s="54">
        <v>50272278</v>
      </c>
      <c r="E2507" s="55" t="s">
        <v>21</v>
      </c>
      <c r="G2507" s="68">
        <v>13000</v>
      </c>
      <c r="H2507" s="56" t="s">
        <v>92</v>
      </c>
      <c r="J2507" s="56" t="s">
        <v>2189</v>
      </c>
      <c r="L2507" s="56" t="s">
        <v>262</v>
      </c>
      <c r="M2507" s="4" t="s">
        <v>262</v>
      </c>
      <c r="N2507" s="4" t="s">
        <v>1268</v>
      </c>
      <c r="O2507" s="4" t="s">
        <v>1945</v>
      </c>
    </row>
    <row r="2508" spans="2:15">
      <c r="B2508" s="20">
        <v>45737</v>
      </c>
      <c r="C2508" s="20">
        <v>45737</v>
      </c>
      <c r="D2508" s="54">
        <v>40007942</v>
      </c>
      <c r="E2508" s="55" t="s">
        <v>219</v>
      </c>
      <c r="G2508" s="68">
        <v>1415</v>
      </c>
      <c r="H2508" s="56" t="s">
        <v>80</v>
      </c>
      <c r="J2508" s="56" t="s">
        <v>2190</v>
      </c>
      <c r="L2508" s="56" t="s">
        <v>1190</v>
      </c>
      <c r="M2508" s="4" t="s">
        <v>750</v>
      </c>
      <c r="N2508" s="4"/>
      <c r="O2508" s="4" t="s">
        <v>178</v>
      </c>
    </row>
    <row r="2509" spans="2:15">
      <c r="B2509" s="20">
        <v>45737</v>
      </c>
      <c r="C2509" s="20">
        <v>45737</v>
      </c>
      <c r="D2509" s="54">
        <v>50793278</v>
      </c>
      <c r="E2509" s="55" t="s">
        <v>1086</v>
      </c>
      <c r="G2509" s="68">
        <v>120</v>
      </c>
      <c r="H2509" s="56" t="s">
        <v>1087</v>
      </c>
      <c r="J2509" s="56">
        <v>1004420886</v>
      </c>
      <c r="L2509" s="56" t="s">
        <v>175</v>
      </c>
      <c r="M2509" s="4" t="s">
        <v>392</v>
      </c>
      <c r="N2509" s="4" t="s">
        <v>2191</v>
      </c>
      <c r="O2509" s="4" t="s">
        <v>178</v>
      </c>
    </row>
    <row r="2510" spans="2:15">
      <c r="B2510" s="20">
        <v>45737</v>
      </c>
      <c r="C2510" s="20">
        <v>45737</v>
      </c>
      <c r="D2510" s="54">
        <v>40014675</v>
      </c>
      <c r="E2510" s="55" t="s">
        <v>44</v>
      </c>
      <c r="G2510" s="68">
        <v>91.2</v>
      </c>
      <c r="H2510" s="56" t="s">
        <v>80</v>
      </c>
      <c r="J2510" s="56" t="s">
        <v>2192</v>
      </c>
      <c r="L2510" s="56" t="s">
        <v>2193</v>
      </c>
      <c r="M2510" s="4" t="s">
        <v>392</v>
      </c>
      <c r="N2510" s="4"/>
      <c r="O2510" s="4" t="s">
        <v>178</v>
      </c>
    </row>
    <row r="2511" spans="2:15">
      <c r="B2511" s="20">
        <v>45737</v>
      </c>
      <c r="C2511" s="20">
        <v>45737</v>
      </c>
      <c r="D2511" s="54">
        <v>40014675</v>
      </c>
      <c r="E2511" s="55" t="s">
        <v>44</v>
      </c>
      <c r="G2511" s="68">
        <v>91.2</v>
      </c>
      <c r="H2511" s="56" t="s">
        <v>80</v>
      </c>
      <c r="J2511" s="56" t="s">
        <v>2194</v>
      </c>
      <c r="L2511" s="56" t="s">
        <v>2193</v>
      </c>
      <c r="M2511" s="4" t="s">
        <v>392</v>
      </c>
      <c r="N2511" s="4"/>
      <c r="O2511" s="4" t="s">
        <v>178</v>
      </c>
    </row>
    <row r="2512" spans="2:15">
      <c r="B2512" s="20">
        <v>45740</v>
      </c>
      <c r="C2512" s="20">
        <v>45740</v>
      </c>
      <c r="D2512" s="54">
        <v>50272278</v>
      </c>
      <c r="E2512" s="55" t="s">
        <v>21</v>
      </c>
      <c r="G2512" s="68">
        <v>13000</v>
      </c>
      <c r="H2512" s="56" t="s">
        <v>92</v>
      </c>
      <c r="J2512" s="56" t="s">
        <v>2195</v>
      </c>
      <c r="L2512" s="56" t="s">
        <v>262</v>
      </c>
      <c r="M2512" s="4" t="s">
        <v>262</v>
      </c>
      <c r="N2512" s="4" t="s">
        <v>1268</v>
      </c>
      <c r="O2512" s="4" t="s">
        <v>178</v>
      </c>
    </row>
    <row r="2513" spans="2:15">
      <c r="B2513" s="20">
        <v>45740</v>
      </c>
      <c r="C2513" s="20">
        <v>45740</v>
      </c>
      <c r="D2513" s="54">
        <v>50842177</v>
      </c>
      <c r="E2513" s="55" t="s">
        <v>2196</v>
      </c>
      <c r="G2513" s="68">
        <v>5180.8</v>
      </c>
      <c r="H2513" s="56" t="s">
        <v>1942</v>
      </c>
      <c r="J2513" s="56" t="s">
        <v>2197</v>
      </c>
      <c r="L2513" s="56" t="s">
        <v>1227</v>
      </c>
      <c r="M2513" s="4" t="s">
        <v>660</v>
      </c>
      <c r="N2513" s="4" t="s">
        <v>353</v>
      </c>
      <c r="O2513" s="4" t="s">
        <v>178</v>
      </c>
    </row>
    <row r="2514" spans="2:15">
      <c r="B2514" s="20">
        <v>45740</v>
      </c>
      <c r="C2514" s="20">
        <v>45740</v>
      </c>
      <c r="D2514" s="54">
        <v>50470190</v>
      </c>
      <c r="E2514" s="55" t="s">
        <v>12</v>
      </c>
      <c r="G2514" s="68">
        <v>9273600</v>
      </c>
      <c r="H2514" s="56" t="s">
        <v>92</v>
      </c>
      <c r="J2514" s="56" t="s">
        <v>2198</v>
      </c>
      <c r="L2514" s="56" t="s">
        <v>1158</v>
      </c>
      <c r="M2514" s="4" t="s">
        <v>392</v>
      </c>
      <c r="N2514" s="4" t="s">
        <v>1275</v>
      </c>
      <c r="O2514" s="4" t="s">
        <v>178</v>
      </c>
    </row>
    <row r="2515" spans="2:15">
      <c r="B2515" s="20">
        <v>45740</v>
      </c>
      <c r="C2515" s="20">
        <v>45740</v>
      </c>
      <c r="D2515" s="54">
        <v>40011780</v>
      </c>
      <c r="E2515" s="55" t="s">
        <v>584</v>
      </c>
      <c r="G2515" s="68">
        <v>3230</v>
      </c>
      <c r="H2515" s="56" t="s">
        <v>80</v>
      </c>
      <c r="J2515" s="56" t="s">
        <v>2199</v>
      </c>
      <c r="L2515" s="56" t="s">
        <v>2200</v>
      </c>
      <c r="M2515" s="4" t="s">
        <v>392</v>
      </c>
      <c r="N2515" s="4" t="s">
        <v>2201</v>
      </c>
      <c r="O2515" s="4" t="s">
        <v>178</v>
      </c>
    </row>
    <row r="2516" spans="2:15">
      <c r="B2516" s="20">
        <v>45740</v>
      </c>
      <c r="C2516" s="20">
        <v>45740</v>
      </c>
      <c r="D2516" s="54">
        <v>50842183</v>
      </c>
      <c r="E2516" s="55" t="s">
        <v>2202</v>
      </c>
      <c r="G2516" s="68">
        <v>9273600</v>
      </c>
      <c r="H2516" s="56" t="s">
        <v>92</v>
      </c>
      <c r="J2516" s="56" t="s">
        <v>2203</v>
      </c>
      <c r="L2516" s="56" t="s">
        <v>1117</v>
      </c>
      <c r="M2516" s="4" t="s">
        <v>2204</v>
      </c>
      <c r="N2516" s="4" t="s">
        <v>2205</v>
      </c>
      <c r="O2516" s="4" t="s">
        <v>178</v>
      </c>
    </row>
    <row r="2517" spans="2:15">
      <c r="B2517" s="20">
        <v>45740</v>
      </c>
      <c r="C2517" s="20">
        <v>45740</v>
      </c>
      <c r="D2517" s="54">
        <v>40014675</v>
      </c>
      <c r="E2517" s="55" t="s">
        <v>44</v>
      </c>
      <c r="G2517" s="68">
        <v>91.2</v>
      </c>
      <c r="H2517" s="56" t="s">
        <v>80</v>
      </c>
      <c r="J2517" s="56" t="s">
        <v>2206</v>
      </c>
      <c r="L2517" s="56" t="s">
        <v>838</v>
      </c>
      <c r="M2517" s="4" t="s">
        <v>2004</v>
      </c>
      <c r="N2517" s="4"/>
      <c r="O2517" s="4" t="s">
        <v>178</v>
      </c>
    </row>
    <row r="2518" spans="2:15">
      <c r="B2518" s="20">
        <v>45741</v>
      </c>
      <c r="C2518" s="20">
        <v>45741</v>
      </c>
      <c r="D2518" s="54">
        <v>50842176</v>
      </c>
      <c r="E2518" s="55" t="s">
        <v>2207</v>
      </c>
      <c r="G2518" s="68">
        <v>5277.35</v>
      </c>
      <c r="H2518" s="56" t="s">
        <v>987</v>
      </c>
      <c r="J2518" s="56" t="s">
        <v>2208</v>
      </c>
      <c r="L2518" s="56" t="s">
        <v>1227</v>
      </c>
      <c r="M2518" s="4" t="s">
        <v>660</v>
      </c>
      <c r="N2518" s="4" t="s">
        <v>353</v>
      </c>
      <c r="O2518" s="4" t="s">
        <v>178</v>
      </c>
    </row>
    <row r="2519" spans="2:15">
      <c r="B2519" s="20">
        <v>45741</v>
      </c>
      <c r="C2519" s="20">
        <v>45741</v>
      </c>
      <c r="D2519" s="54">
        <v>50142519</v>
      </c>
      <c r="E2519" s="55" t="s">
        <v>1575</v>
      </c>
      <c r="G2519" s="68">
        <v>6000</v>
      </c>
      <c r="H2519" s="56" t="s">
        <v>92</v>
      </c>
      <c r="J2519" s="56" t="s">
        <v>2209</v>
      </c>
      <c r="L2519" s="56" t="s">
        <v>2210</v>
      </c>
      <c r="M2519" s="4" t="s">
        <v>2210</v>
      </c>
      <c r="N2519" s="4"/>
      <c r="O2519" s="4" t="s">
        <v>178</v>
      </c>
    </row>
    <row r="2520" spans="2:15">
      <c r="B2520" s="20">
        <v>45741</v>
      </c>
      <c r="C2520" s="20">
        <v>45741</v>
      </c>
      <c r="D2520" s="54">
        <v>50142328</v>
      </c>
      <c r="E2520" s="55" t="s">
        <v>1591</v>
      </c>
      <c r="G2520" s="68">
        <v>8000</v>
      </c>
      <c r="H2520" s="56" t="s">
        <v>1942</v>
      </c>
      <c r="J2520" s="56" t="s">
        <v>2211</v>
      </c>
      <c r="L2520" s="56" t="s">
        <v>1981</v>
      </c>
      <c r="M2520" s="4" t="s">
        <v>1981</v>
      </c>
      <c r="N2520" s="4"/>
      <c r="O2520" s="4" t="s">
        <v>178</v>
      </c>
    </row>
    <row r="2521" spans="2:15">
      <c r="B2521" s="20">
        <v>45741</v>
      </c>
      <c r="C2521" s="20">
        <v>45741</v>
      </c>
      <c r="D2521" s="54">
        <v>50837509</v>
      </c>
      <c r="E2521" s="55" t="s">
        <v>14</v>
      </c>
      <c r="G2521" s="68">
        <v>9273600</v>
      </c>
      <c r="H2521" s="56" t="s">
        <v>92</v>
      </c>
      <c r="J2521" s="56" t="s">
        <v>2212</v>
      </c>
      <c r="L2521" s="56" t="s">
        <v>1117</v>
      </c>
      <c r="M2521" s="4" t="s">
        <v>392</v>
      </c>
      <c r="N2521" s="4"/>
      <c r="O2521" s="4" t="s">
        <v>178</v>
      </c>
    </row>
    <row r="2522" spans="2:15">
      <c r="B2522" s="20">
        <v>45741</v>
      </c>
      <c r="C2522" s="20">
        <v>45741</v>
      </c>
      <c r="D2522" s="54">
        <v>40014675</v>
      </c>
      <c r="E2522" s="55" t="s">
        <v>44</v>
      </c>
      <c r="G2522" s="68">
        <v>68.4</v>
      </c>
      <c r="H2522" s="56" t="s">
        <v>80</v>
      </c>
      <c r="J2522" s="56" t="s">
        <v>2213</v>
      </c>
      <c r="L2522" s="56" t="s">
        <v>838</v>
      </c>
      <c r="M2522" s="4" t="s">
        <v>2004</v>
      </c>
      <c r="N2522" s="4"/>
      <c r="O2522" s="4" t="s">
        <v>178</v>
      </c>
    </row>
    <row r="2523" spans="2:15">
      <c r="B2523" s="20">
        <v>45742</v>
      </c>
      <c r="C2523" s="20">
        <v>45742</v>
      </c>
      <c r="D2523" s="54">
        <v>50837267</v>
      </c>
      <c r="E2523" s="55" t="s">
        <v>26</v>
      </c>
      <c r="G2523" s="68">
        <v>4942.65</v>
      </c>
      <c r="H2523" s="56" t="s">
        <v>82</v>
      </c>
      <c r="J2523" s="56" t="s">
        <v>2214</v>
      </c>
      <c r="L2523" s="56" t="s">
        <v>1227</v>
      </c>
      <c r="M2523" s="4" t="s">
        <v>660</v>
      </c>
      <c r="N2523" s="4" t="s">
        <v>353</v>
      </c>
      <c r="O2523" s="4" t="s">
        <v>178</v>
      </c>
    </row>
    <row r="2524" spans="2:15">
      <c r="B2524" s="20">
        <v>45742</v>
      </c>
      <c r="C2524" s="20">
        <v>45742</v>
      </c>
      <c r="D2524" s="54">
        <v>50842183</v>
      </c>
      <c r="E2524" s="55" t="s">
        <v>2202</v>
      </c>
      <c r="G2524" s="68">
        <v>9273600</v>
      </c>
      <c r="H2524" s="56" t="s">
        <v>92</v>
      </c>
      <c r="J2524" s="56" t="s">
        <v>2215</v>
      </c>
      <c r="L2524" s="56" t="s">
        <v>1117</v>
      </c>
      <c r="M2524" s="4" t="s">
        <v>392</v>
      </c>
      <c r="N2524" s="4"/>
      <c r="O2524" s="4" t="s">
        <v>178</v>
      </c>
    </row>
    <row r="2525" spans="2:15">
      <c r="B2525" s="20">
        <v>45742</v>
      </c>
      <c r="C2525" s="20">
        <v>45742</v>
      </c>
      <c r="D2525" s="54">
        <v>50142330</v>
      </c>
      <c r="E2525" s="55" t="s">
        <v>195</v>
      </c>
      <c r="G2525" s="68">
        <v>4800</v>
      </c>
      <c r="H2525" s="56" t="s">
        <v>987</v>
      </c>
      <c r="J2525" s="56" t="s">
        <v>2216</v>
      </c>
      <c r="L2525" s="56" t="s">
        <v>2217</v>
      </c>
      <c r="M2525" s="4" t="s">
        <v>392</v>
      </c>
      <c r="N2525" s="4" t="s">
        <v>2218</v>
      </c>
      <c r="O2525" s="4" t="s">
        <v>178</v>
      </c>
    </row>
    <row r="2526" spans="2:15">
      <c r="B2526" s="20">
        <v>45743</v>
      </c>
      <c r="C2526" s="20">
        <v>45743</v>
      </c>
      <c r="D2526" s="54">
        <v>20016059</v>
      </c>
      <c r="E2526" s="55" t="s">
        <v>1498</v>
      </c>
      <c r="G2526" s="68">
        <v>200</v>
      </c>
      <c r="H2526" s="56" t="s">
        <v>92</v>
      </c>
      <c r="J2526" s="56">
        <v>18641</v>
      </c>
      <c r="L2526" s="56" t="s">
        <v>1499</v>
      </c>
      <c r="M2526" s="4" t="s">
        <v>1499</v>
      </c>
      <c r="N2526" s="4"/>
      <c r="O2526" s="4" t="s">
        <v>178</v>
      </c>
    </row>
    <row r="2527" spans="2:15">
      <c r="B2527" s="20">
        <v>45744</v>
      </c>
      <c r="C2527" s="20">
        <v>45744</v>
      </c>
      <c r="D2527" s="54">
        <v>50272278</v>
      </c>
      <c r="E2527" s="55" t="s">
        <v>21</v>
      </c>
      <c r="G2527" s="68">
        <v>13000</v>
      </c>
      <c r="H2527" s="56" t="s">
        <v>92</v>
      </c>
      <c r="J2527" s="56" t="s">
        <v>2219</v>
      </c>
      <c r="L2527" s="56" t="s">
        <v>262</v>
      </c>
      <c r="M2527" s="4" t="s">
        <v>262</v>
      </c>
      <c r="N2527" s="4" t="s">
        <v>1268</v>
      </c>
      <c r="O2527" s="4" t="s">
        <v>178</v>
      </c>
    </row>
    <row r="2528" spans="2:15">
      <c r="B2528" s="20">
        <v>45747</v>
      </c>
      <c r="C2528" s="20">
        <v>45747</v>
      </c>
      <c r="D2528" s="54">
        <v>50142327</v>
      </c>
      <c r="E2528" s="55" t="s">
        <v>256</v>
      </c>
      <c r="G2528" s="68">
        <v>20021.4</v>
      </c>
      <c r="H2528" s="56" t="s">
        <v>1942</v>
      </c>
      <c r="J2528" s="56">
        <v>8302192187</v>
      </c>
      <c r="L2528" s="56" t="s">
        <v>624</v>
      </c>
      <c r="M2528" s="4" t="s">
        <v>209</v>
      </c>
      <c r="N2528" s="4"/>
      <c r="O2528" s="4" t="s">
        <v>178</v>
      </c>
    </row>
    <row r="2529" spans="2:15">
      <c r="B2529" s="20">
        <v>45747</v>
      </c>
      <c r="C2529" s="20">
        <v>45747</v>
      </c>
      <c r="D2529" s="54">
        <v>50142334</v>
      </c>
      <c r="E2529" s="55" t="s">
        <v>257</v>
      </c>
      <c r="G2529" s="68">
        <v>20021.4</v>
      </c>
      <c r="H2529" s="56" t="s">
        <v>987</v>
      </c>
      <c r="J2529" s="56">
        <v>8302192186</v>
      </c>
      <c r="L2529" s="56" t="s">
        <v>624</v>
      </c>
      <c r="M2529" s="4" t="s">
        <v>209</v>
      </c>
      <c r="N2529" s="4"/>
      <c r="O2529" s="4" t="s">
        <v>178</v>
      </c>
    </row>
    <row r="2530" spans="2:15">
      <c r="B2530" s="20">
        <v>45747</v>
      </c>
      <c r="C2530" s="20">
        <v>45747</v>
      </c>
      <c r="D2530" s="54">
        <v>50842176</v>
      </c>
      <c r="E2530" s="55" t="s">
        <v>2207</v>
      </c>
      <c r="G2530" s="68">
        <v>4030.7</v>
      </c>
      <c r="H2530" s="56" t="s">
        <v>987</v>
      </c>
      <c r="J2530" s="56" t="s">
        <v>2220</v>
      </c>
      <c r="L2530" s="56" t="s">
        <v>1227</v>
      </c>
      <c r="M2530" s="4" t="s">
        <v>660</v>
      </c>
      <c r="N2530" s="4" t="s">
        <v>353</v>
      </c>
      <c r="O2530" s="4" t="s">
        <v>178</v>
      </c>
    </row>
    <row r="2531" spans="2:15">
      <c r="B2531" s="20">
        <v>45748</v>
      </c>
      <c r="C2531" s="20">
        <v>45748</v>
      </c>
      <c r="D2531" s="54">
        <v>50144376</v>
      </c>
      <c r="E2531" s="55" t="s">
        <v>19</v>
      </c>
      <c r="G2531" s="68">
        <v>13000</v>
      </c>
      <c r="H2531" s="56" t="s">
        <v>92</v>
      </c>
      <c r="J2531" s="56" t="s">
        <v>2221</v>
      </c>
      <c r="L2531" s="56" t="s">
        <v>262</v>
      </c>
      <c r="M2531" s="4" t="s">
        <v>262</v>
      </c>
      <c r="N2531" s="4" t="s">
        <v>1268</v>
      </c>
      <c r="O2531" s="4" t="s">
        <v>178</v>
      </c>
    </row>
    <row r="2532" spans="2:15">
      <c r="B2532" s="20">
        <v>45748</v>
      </c>
      <c r="C2532" s="20">
        <v>45748</v>
      </c>
      <c r="D2532" s="54">
        <v>50801001</v>
      </c>
      <c r="E2532" s="55" t="s">
        <v>2222</v>
      </c>
      <c r="G2532" s="68">
        <v>590.84</v>
      </c>
      <c r="H2532" s="56" t="s">
        <v>82</v>
      </c>
      <c r="J2532" s="56" t="s">
        <v>2223</v>
      </c>
      <c r="L2532" s="56" t="s">
        <v>1227</v>
      </c>
      <c r="M2532" s="4" t="s">
        <v>660</v>
      </c>
      <c r="N2532" s="4" t="s">
        <v>353</v>
      </c>
      <c r="O2532" s="4" t="s">
        <v>178</v>
      </c>
    </row>
    <row r="2533" spans="2:15">
      <c r="B2533" s="20">
        <v>45749</v>
      </c>
      <c r="C2533" s="20">
        <v>45749</v>
      </c>
      <c r="D2533" s="54">
        <v>50809353</v>
      </c>
      <c r="E2533" s="55" t="s">
        <v>905</v>
      </c>
      <c r="G2533" s="68">
        <v>10000</v>
      </c>
      <c r="H2533" s="56" t="s">
        <v>82</v>
      </c>
      <c r="J2533" s="56">
        <v>180826</v>
      </c>
      <c r="L2533" s="56" t="s">
        <v>1339</v>
      </c>
      <c r="M2533" s="4" t="s">
        <v>520</v>
      </c>
      <c r="N2533" s="4" t="s">
        <v>2224</v>
      </c>
      <c r="O2533" s="4" t="s">
        <v>178</v>
      </c>
    </row>
    <row r="2534" spans="2:15">
      <c r="B2534" s="20">
        <v>45749</v>
      </c>
      <c r="C2534" s="20">
        <v>45749</v>
      </c>
      <c r="D2534" s="54">
        <v>50272278</v>
      </c>
      <c r="E2534" s="55" t="s">
        <v>21</v>
      </c>
      <c r="G2534" s="68">
        <v>13000</v>
      </c>
      <c r="H2534" s="56" t="s">
        <v>92</v>
      </c>
      <c r="J2534" s="56" t="s">
        <v>2225</v>
      </c>
      <c r="L2534" s="56" t="s">
        <v>262</v>
      </c>
      <c r="M2534" s="4" t="s">
        <v>262</v>
      </c>
      <c r="N2534" s="4" t="s">
        <v>1268</v>
      </c>
      <c r="O2534" s="4" t="s">
        <v>178</v>
      </c>
    </row>
    <row r="2535" spans="2:15">
      <c r="B2535" s="20">
        <v>45751</v>
      </c>
      <c r="C2535" s="20">
        <v>45751</v>
      </c>
      <c r="D2535" s="54">
        <v>40014675</v>
      </c>
      <c r="E2535" s="55" t="s">
        <v>44</v>
      </c>
      <c r="G2535" s="68">
        <v>114</v>
      </c>
      <c r="H2535" s="56" t="s">
        <v>80</v>
      </c>
      <c r="J2535" s="56" t="s">
        <v>2226</v>
      </c>
      <c r="L2535" s="56" t="s">
        <v>1791</v>
      </c>
      <c r="M2535" s="4" t="s">
        <v>1792</v>
      </c>
      <c r="N2535" s="4" t="s">
        <v>2032</v>
      </c>
      <c r="O2535" s="4" t="s">
        <v>178</v>
      </c>
    </row>
    <row r="2536" spans="2:15">
      <c r="B2536" s="20">
        <v>45751</v>
      </c>
      <c r="C2536" s="20">
        <v>45751</v>
      </c>
      <c r="D2536" s="54">
        <v>50470190</v>
      </c>
      <c r="E2536" s="55" t="s">
        <v>12</v>
      </c>
      <c r="G2536" s="68">
        <v>9273600</v>
      </c>
      <c r="H2536" s="56" t="s">
        <v>962</v>
      </c>
      <c r="J2536" s="56" t="s">
        <v>2227</v>
      </c>
      <c r="L2536" s="56" t="s">
        <v>958</v>
      </c>
      <c r="M2536" s="4" t="s">
        <v>392</v>
      </c>
      <c r="N2536" s="4" t="s">
        <v>1275</v>
      </c>
      <c r="O2536" s="4" t="s">
        <v>1945</v>
      </c>
    </row>
    <row r="2537" spans="2:15">
      <c r="B2537" s="20">
        <v>45751</v>
      </c>
      <c r="C2537" s="20">
        <v>45751</v>
      </c>
      <c r="D2537" s="54">
        <v>40014675</v>
      </c>
      <c r="E2537" s="55" t="s">
        <v>44</v>
      </c>
      <c r="G2537" s="68">
        <v>114</v>
      </c>
      <c r="H2537" s="56" t="s">
        <v>80</v>
      </c>
      <c r="J2537" s="56" t="s">
        <v>2228</v>
      </c>
      <c r="L2537" s="56" t="s">
        <v>1791</v>
      </c>
      <c r="M2537" s="4" t="s">
        <v>1792</v>
      </c>
      <c r="N2537" s="4" t="s">
        <v>1793</v>
      </c>
      <c r="O2537" s="4" t="s">
        <v>178</v>
      </c>
    </row>
    <row r="2538" spans="2:15">
      <c r="B2538" s="20">
        <v>45751</v>
      </c>
      <c r="C2538" s="20">
        <v>45751</v>
      </c>
      <c r="D2538" s="54">
        <v>50272278</v>
      </c>
      <c r="E2538" s="55" t="s">
        <v>21</v>
      </c>
      <c r="G2538" s="68">
        <v>13000</v>
      </c>
      <c r="H2538" s="56" t="s">
        <v>92</v>
      </c>
      <c r="J2538" s="56" t="s">
        <v>2229</v>
      </c>
      <c r="L2538" s="56" t="s">
        <v>262</v>
      </c>
      <c r="M2538" s="4" t="s">
        <v>262</v>
      </c>
      <c r="N2538" s="4" t="s">
        <v>1268</v>
      </c>
      <c r="O2538" s="4" t="s">
        <v>178</v>
      </c>
    </row>
    <row r="2539" spans="2:15">
      <c r="B2539" s="20">
        <v>45752</v>
      </c>
      <c r="C2539" s="20">
        <v>45752</v>
      </c>
      <c r="D2539" s="54">
        <v>50804929</v>
      </c>
      <c r="E2539" s="55" t="s">
        <v>856</v>
      </c>
      <c r="G2539" s="68">
        <v>6320000</v>
      </c>
      <c r="H2539" s="56" t="s">
        <v>92</v>
      </c>
      <c r="J2539" s="56" t="s">
        <v>2230</v>
      </c>
      <c r="L2539" s="56" t="s">
        <v>2149</v>
      </c>
      <c r="M2539" s="4" t="s">
        <v>392</v>
      </c>
      <c r="N2539" s="4" t="s">
        <v>2231</v>
      </c>
      <c r="O2539" s="4" t="s">
        <v>178</v>
      </c>
    </row>
    <row r="2540" spans="2:15">
      <c r="B2540" s="20">
        <v>45752</v>
      </c>
      <c r="C2540" s="20">
        <v>45752</v>
      </c>
      <c r="D2540" s="54">
        <v>50804970</v>
      </c>
      <c r="E2540" s="55" t="s">
        <v>857</v>
      </c>
      <c r="G2540" s="68">
        <v>9101500</v>
      </c>
      <c r="H2540" s="56" t="s">
        <v>92</v>
      </c>
      <c r="J2540" s="56" t="s">
        <v>2232</v>
      </c>
      <c r="L2540" s="56" t="s">
        <v>2149</v>
      </c>
      <c r="M2540" s="4" t="s">
        <v>392</v>
      </c>
      <c r="N2540" s="4"/>
      <c r="O2540" s="4" t="s">
        <v>178</v>
      </c>
    </row>
    <row r="2541" spans="2:15">
      <c r="B2541" s="20">
        <v>45752</v>
      </c>
      <c r="C2541" s="20">
        <v>45752</v>
      </c>
      <c r="D2541" s="54">
        <v>50804971</v>
      </c>
      <c r="E2541" s="55" t="s">
        <v>855</v>
      </c>
      <c r="G2541" s="68">
        <v>8952000</v>
      </c>
      <c r="H2541" s="56" t="s">
        <v>92</v>
      </c>
      <c r="J2541" s="56" t="s">
        <v>2232</v>
      </c>
      <c r="L2541" s="56" t="s">
        <v>2149</v>
      </c>
      <c r="M2541" s="4" t="s">
        <v>392</v>
      </c>
      <c r="N2541" s="4"/>
      <c r="O2541" s="4" t="s">
        <v>178</v>
      </c>
    </row>
    <row r="2542" spans="2:15">
      <c r="B2542" s="20">
        <v>45752</v>
      </c>
      <c r="C2542" s="20">
        <v>45752</v>
      </c>
      <c r="D2542" s="54">
        <v>50804929</v>
      </c>
      <c r="E2542" s="55" t="s">
        <v>856</v>
      </c>
      <c r="G2542" s="68">
        <v>2400000</v>
      </c>
      <c r="H2542" s="56" t="s">
        <v>92</v>
      </c>
      <c r="J2542" s="56" t="s">
        <v>2232</v>
      </c>
      <c r="L2542" s="56" t="s">
        <v>2149</v>
      </c>
      <c r="M2542" s="4" t="s">
        <v>392</v>
      </c>
      <c r="N2542" s="4"/>
      <c r="O2542" s="4" t="s">
        <v>178</v>
      </c>
    </row>
    <row r="2543" spans="2:15">
      <c r="B2543" s="20">
        <v>45754</v>
      </c>
      <c r="C2543" s="20">
        <v>45754</v>
      </c>
      <c r="D2543" s="54">
        <v>40014675</v>
      </c>
      <c r="E2543" s="55" t="s">
        <v>44</v>
      </c>
      <c r="G2543" s="68">
        <v>114</v>
      </c>
      <c r="H2543" s="56" t="s">
        <v>80</v>
      </c>
      <c r="J2543" s="56" t="s">
        <v>2233</v>
      </c>
      <c r="L2543" s="56" t="s">
        <v>1791</v>
      </c>
      <c r="M2543" s="4" t="s">
        <v>1792</v>
      </c>
      <c r="N2543" s="4" t="s">
        <v>2032</v>
      </c>
      <c r="O2543" s="4" t="s">
        <v>178</v>
      </c>
    </row>
    <row r="2544" spans="2:15">
      <c r="B2544" s="20">
        <v>45754</v>
      </c>
      <c r="C2544" s="20">
        <v>45754</v>
      </c>
      <c r="D2544" s="54">
        <v>40014675</v>
      </c>
      <c r="E2544" s="55" t="s">
        <v>44</v>
      </c>
      <c r="G2544" s="68">
        <v>114</v>
      </c>
      <c r="H2544" s="56" t="s">
        <v>80</v>
      </c>
      <c r="J2544" s="56" t="s">
        <v>2234</v>
      </c>
      <c r="L2544" s="56" t="s">
        <v>1791</v>
      </c>
      <c r="M2544" s="4" t="s">
        <v>1792</v>
      </c>
      <c r="N2544" s="4" t="s">
        <v>1793</v>
      </c>
      <c r="O2544" s="4" t="s">
        <v>178</v>
      </c>
    </row>
    <row r="2545" spans="2:15">
      <c r="B2545" s="20">
        <v>45754</v>
      </c>
      <c r="C2545" s="20">
        <v>45754</v>
      </c>
      <c r="D2545" s="54">
        <v>40014675</v>
      </c>
      <c r="E2545" s="55" t="s">
        <v>44</v>
      </c>
      <c r="G2545" s="68">
        <v>114</v>
      </c>
      <c r="H2545" s="56" t="s">
        <v>80</v>
      </c>
      <c r="J2545" s="56" t="s">
        <v>2235</v>
      </c>
      <c r="L2545" s="56" t="s">
        <v>1791</v>
      </c>
      <c r="M2545" s="4" t="s">
        <v>1792</v>
      </c>
      <c r="N2545" s="4" t="s">
        <v>2032</v>
      </c>
      <c r="O2545" s="4" t="s">
        <v>178</v>
      </c>
    </row>
    <row r="2546" spans="2:15">
      <c r="B2546" s="20">
        <v>45754</v>
      </c>
      <c r="C2546" s="20">
        <v>45754</v>
      </c>
      <c r="D2546" s="54">
        <v>40014675</v>
      </c>
      <c r="E2546" s="55" t="s">
        <v>44</v>
      </c>
      <c r="G2546" s="68">
        <v>114</v>
      </c>
      <c r="H2546" s="56" t="s">
        <v>80</v>
      </c>
      <c r="J2546" s="56" t="s">
        <v>2236</v>
      </c>
      <c r="L2546" s="56" t="s">
        <v>1791</v>
      </c>
      <c r="M2546" s="4" t="s">
        <v>1792</v>
      </c>
      <c r="N2546" s="4" t="s">
        <v>1793</v>
      </c>
      <c r="O2546" s="4" t="s">
        <v>178</v>
      </c>
    </row>
    <row r="2547" spans="2:15">
      <c r="B2547" s="20">
        <v>45754</v>
      </c>
      <c r="C2547" s="20">
        <v>45754</v>
      </c>
      <c r="D2547" s="54">
        <v>40014675</v>
      </c>
      <c r="E2547" s="55" t="s">
        <v>44</v>
      </c>
      <c r="G2547" s="68">
        <v>114</v>
      </c>
      <c r="H2547" s="56" t="s">
        <v>80</v>
      </c>
      <c r="J2547" s="56" t="s">
        <v>2237</v>
      </c>
      <c r="L2547" s="56" t="s">
        <v>1791</v>
      </c>
      <c r="M2547" s="4" t="s">
        <v>1792</v>
      </c>
      <c r="N2547" s="4" t="s">
        <v>2032</v>
      </c>
      <c r="O2547" s="4" t="s">
        <v>178</v>
      </c>
    </row>
    <row r="2548" spans="2:15">
      <c r="B2548" s="20">
        <v>45754</v>
      </c>
      <c r="C2548" s="20">
        <v>45754</v>
      </c>
      <c r="D2548" s="54">
        <v>40014675</v>
      </c>
      <c r="E2548" s="55" t="s">
        <v>44</v>
      </c>
      <c r="G2548" s="68">
        <v>114</v>
      </c>
      <c r="H2548" s="56" t="s">
        <v>80</v>
      </c>
      <c r="J2548" s="56" t="s">
        <v>2238</v>
      </c>
      <c r="L2548" s="56" t="s">
        <v>1791</v>
      </c>
      <c r="M2548" s="4" t="s">
        <v>1792</v>
      </c>
      <c r="N2548" s="4" t="s">
        <v>1793</v>
      </c>
      <c r="O2548" s="4" t="s">
        <v>178</v>
      </c>
    </row>
    <row r="2549" spans="2:15">
      <c r="B2549" s="20">
        <v>45755</v>
      </c>
      <c r="C2549" s="20">
        <v>45755</v>
      </c>
      <c r="D2549" s="54">
        <v>50272278</v>
      </c>
      <c r="E2549" s="55" t="s">
        <v>21</v>
      </c>
      <c r="G2549" s="68">
        <v>13000</v>
      </c>
      <c r="H2549" s="56" t="s">
        <v>92</v>
      </c>
      <c r="J2549" s="56" t="s">
        <v>2239</v>
      </c>
      <c r="L2549" s="56" t="s">
        <v>262</v>
      </c>
      <c r="M2549" s="4" t="s">
        <v>262</v>
      </c>
      <c r="N2549" s="4" t="s">
        <v>1268</v>
      </c>
      <c r="O2549" s="4" t="s">
        <v>178</v>
      </c>
    </row>
    <row r="2550" spans="2:15">
      <c r="B2550" s="20">
        <v>45756</v>
      </c>
      <c r="C2550" s="20">
        <v>45756</v>
      </c>
      <c r="D2550" s="54">
        <v>50470190</v>
      </c>
      <c r="E2550" s="55" t="s">
        <v>12</v>
      </c>
      <c r="G2550" s="68">
        <v>1738800</v>
      </c>
      <c r="H2550" s="56" t="s">
        <v>92</v>
      </c>
      <c r="J2550" s="56" t="s">
        <v>2240</v>
      </c>
      <c r="L2550" s="56" t="s">
        <v>1117</v>
      </c>
      <c r="M2550" s="4" t="s">
        <v>392</v>
      </c>
      <c r="N2550" s="4"/>
      <c r="O2550" s="4" t="s">
        <v>178</v>
      </c>
    </row>
    <row r="2551" spans="2:15">
      <c r="B2551" s="20">
        <v>45756</v>
      </c>
      <c r="C2551" s="20">
        <v>45756</v>
      </c>
      <c r="D2551" s="54">
        <v>50842183</v>
      </c>
      <c r="E2551" s="55" t="s">
        <v>2202</v>
      </c>
      <c r="G2551" s="68">
        <v>7534800</v>
      </c>
      <c r="H2551" s="56" t="s">
        <v>92</v>
      </c>
      <c r="J2551" s="56" t="s">
        <v>2240</v>
      </c>
      <c r="L2551" s="56" t="s">
        <v>1117</v>
      </c>
      <c r="M2551" s="4" t="s">
        <v>392</v>
      </c>
      <c r="N2551" s="4"/>
      <c r="O2551" s="4" t="s">
        <v>178</v>
      </c>
    </row>
    <row r="2552" spans="2:15">
      <c r="B2552" s="20">
        <v>45756</v>
      </c>
      <c r="C2552" s="20">
        <v>45756</v>
      </c>
      <c r="D2552" s="54">
        <v>50142619</v>
      </c>
      <c r="E2552" s="55" t="s">
        <v>433</v>
      </c>
      <c r="G2552" s="68">
        <v>308</v>
      </c>
      <c r="H2552" s="56" t="s">
        <v>82</v>
      </c>
      <c r="J2552" s="56" t="s">
        <v>2241</v>
      </c>
      <c r="L2552" s="56" t="s">
        <v>2144</v>
      </c>
      <c r="M2552" s="4" t="s">
        <v>2144</v>
      </c>
      <c r="N2552" s="4"/>
      <c r="O2552" s="4" t="s">
        <v>178</v>
      </c>
    </row>
    <row r="2553" spans="2:15">
      <c r="B2553" s="20">
        <v>45756</v>
      </c>
      <c r="C2553" s="20">
        <v>45756</v>
      </c>
      <c r="D2553" s="54">
        <v>50142571</v>
      </c>
      <c r="E2553" s="55" t="s">
        <v>605</v>
      </c>
      <c r="G2553" s="68">
        <v>600</v>
      </c>
      <c r="H2553" s="56" t="s">
        <v>82</v>
      </c>
      <c r="J2553" s="56" t="s">
        <v>2242</v>
      </c>
      <c r="L2553" s="56" t="s">
        <v>2144</v>
      </c>
      <c r="M2553" s="4" t="s">
        <v>2144</v>
      </c>
      <c r="N2553" s="4"/>
      <c r="O2553" s="4" t="s">
        <v>178</v>
      </c>
    </row>
    <row r="2554" spans="2:15">
      <c r="B2554" s="20">
        <v>45756</v>
      </c>
      <c r="C2554" s="20">
        <v>45756</v>
      </c>
      <c r="D2554" s="54">
        <v>50272278</v>
      </c>
      <c r="E2554" s="55" t="s">
        <v>21</v>
      </c>
      <c r="G2554" s="68">
        <v>13000</v>
      </c>
      <c r="H2554" s="56" t="s">
        <v>92</v>
      </c>
      <c r="J2554" s="56" t="s">
        <v>2243</v>
      </c>
      <c r="L2554" s="56" t="s">
        <v>262</v>
      </c>
      <c r="M2554" s="4" t="s">
        <v>262</v>
      </c>
      <c r="N2554" s="4" t="s">
        <v>1268</v>
      </c>
      <c r="O2554" s="4" t="s">
        <v>178</v>
      </c>
    </row>
    <row r="2555" spans="2:15">
      <c r="B2555" s="20">
        <v>45758</v>
      </c>
      <c r="C2555" s="20">
        <v>45758</v>
      </c>
      <c r="D2555" s="54">
        <v>50141951</v>
      </c>
      <c r="E2555" s="55" t="s">
        <v>1386</v>
      </c>
      <c r="G2555" s="68">
        <v>800</v>
      </c>
      <c r="H2555" s="56" t="s">
        <v>753</v>
      </c>
      <c r="J2555" s="56" t="s">
        <v>2244</v>
      </c>
      <c r="L2555" s="56" t="s">
        <v>2217</v>
      </c>
      <c r="M2555" s="4" t="s">
        <v>1344</v>
      </c>
      <c r="N2555" s="4" t="s">
        <v>2245</v>
      </c>
      <c r="O2555" s="4" t="s">
        <v>178</v>
      </c>
    </row>
    <row r="2556" spans="2:15">
      <c r="B2556" s="20">
        <v>45758</v>
      </c>
      <c r="C2556" s="20">
        <v>45758</v>
      </c>
      <c r="D2556" s="54">
        <v>50515034</v>
      </c>
      <c r="E2556" s="55" t="s">
        <v>41</v>
      </c>
      <c r="G2556" s="68">
        <v>633.6</v>
      </c>
      <c r="H2556" s="56" t="s">
        <v>82</v>
      </c>
      <c r="J2556" s="56" t="s">
        <v>2246</v>
      </c>
      <c r="L2556" s="56" t="s">
        <v>1530</v>
      </c>
      <c r="M2556" s="4" t="s">
        <v>520</v>
      </c>
      <c r="N2556" s="4"/>
      <c r="O2556" s="4" t="s">
        <v>178</v>
      </c>
    </row>
    <row r="2557" spans="2:15">
      <c r="B2557" s="20">
        <v>45758</v>
      </c>
      <c r="C2557" s="20">
        <v>45758</v>
      </c>
      <c r="D2557" s="54">
        <v>50145028</v>
      </c>
      <c r="E2557" s="55" t="s">
        <v>23</v>
      </c>
      <c r="G2557" s="68">
        <v>1596</v>
      </c>
      <c r="H2557" s="56" t="s">
        <v>92</v>
      </c>
      <c r="J2557" s="56" t="s">
        <v>2247</v>
      </c>
      <c r="L2557" s="56" t="s">
        <v>838</v>
      </c>
      <c r="M2557" s="4" t="s">
        <v>2152</v>
      </c>
      <c r="N2557" s="4" t="s">
        <v>1905</v>
      </c>
      <c r="O2557" s="4" t="s">
        <v>178</v>
      </c>
    </row>
    <row r="2558" spans="2:15">
      <c r="B2558" s="20">
        <v>45758</v>
      </c>
      <c r="C2558" s="20">
        <v>45758</v>
      </c>
      <c r="D2558" s="54">
        <v>50143893</v>
      </c>
      <c r="E2558" s="55" t="s">
        <v>24</v>
      </c>
      <c r="G2558" s="68">
        <v>3960</v>
      </c>
      <c r="H2558" s="56" t="s">
        <v>82</v>
      </c>
      <c r="J2558" s="56" t="s">
        <v>2247</v>
      </c>
      <c r="L2558" s="56" t="s">
        <v>838</v>
      </c>
      <c r="M2558" s="4" t="s">
        <v>2152</v>
      </c>
      <c r="N2558" s="4" t="s">
        <v>1905</v>
      </c>
      <c r="O2558" s="4" t="s">
        <v>178</v>
      </c>
    </row>
    <row r="2559" spans="2:15">
      <c r="B2559" s="20">
        <v>45758</v>
      </c>
      <c r="C2559" s="20">
        <v>45758</v>
      </c>
      <c r="D2559" s="54">
        <v>50010080</v>
      </c>
      <c r="E2559" s="55" t="s">
        <v>1657</v>
      </c>
      <c r="G2559" s="68">
        <v>18000</v>
      </c>
      <c r="H2559" s="56" t="s">
        <v>82</v>
      </c>
      <c r="J2559" s="56" t="s">
        <v>2248</v>
      </c>
      <c r="L2559" s="56" t="s">
        <v>355</v>
      </c>
      <c r="M2559" s="4" t="s">
        <v>650</v>
      </c>
      <c r="N2559" s="4" t="s">
        <v>2249</v>
      </c>
      <c r="O2559" s="4" t="s">
        <v>178</v>
      </c>
    </row>
    <row r="2560" spans="2:15">
      <c r="B2560" s="20">
        <v>45758</v>
      </c>
      <c r="C2560" s="20">
        <v>45758</v>
      </c>
      <c r="D2560" s="54">
        <v>50141786</v>
      </c>
      <c r="E2560" s="55" t="s">
        <v>188</v>
      </c>
      <c r="G2560" s="68">
        <v>2240</v>
      </c>
      <c r="H2560" s="56" t="s">
        <v>987</v>
      </c>
      <c r="J2560" s="56" t="s">
        <v>2250</v>
      </c>
      <c r="L2560" s="56" t="s">
        <v>189</v>
      </c>
      <c r="M2560" s="4" t="s">
        <v>392</v>
      </c>
      <c r="N2560" s="4"/>
      <c r="O2560" s="4" t="s">
        <v>178</v>
      </c>
    </row>
    <row r="2561" spans="2:15">
      <c r="B2561" s="20">
        <v>45759</v>
      </c>
      <c r="C2561" s="20">
        <v>45759</v>
      </c>
      <c r="D2561" s="54">
        <v>50802401</v>
      </c>
      <c r="E2561" s="55" t="s">
        <v>13</v>
      </c>
      <c r="G2561" s="68">
        <v>9273600</v>
      </c>
      <c r="H2561" s="56" t="s">
        <v>92</v>
      </c>
      <c r="J2561" s="56" t="s">
        <v>2251</v>
      </c>
      <c r="L2561" s="56" t="s">
        <v>1117</v>
      </c>
      <c r="M2561" s="4" t="s">
        <v>392</v>
      </c>
      <c r="N2561" s="4"/>
      <c r="O2561" s="4" t="s">
        <v>178</v>
      </c>
    </row>
    <row r="2562" spans="2:15">
      <c r="B2562" s="20">
        <v>45759</v>
      </c>
      <c r="C2562" s="20">
        <v>45759</v>
      </c>
      <c r="D2562" s="54">
        <v>50819323</v>
      </c>
      <c r="E2562" s="55" t="s">
        <v>40</v>
      </c>
      <c r="G2562" s="68">
        <v>258420</v>
      </c>
      <c r="H2562" s="56" t="s">
        <v>92</v>
      </c>
      <c r="J2562" s="56" t="s">
        <v>2252</v>
      </c>
      <c r="L2562" s="56" t="s">
        <v>1530</v>
      </c>
      <c r="M2562" s="4" t="s">
        <v>564</v>
      </c>
      <c r="N2562" s="4"/>
      <c r="O2562" s="4" t="s">
        <v>178</v>
      </c>
    </row>
    <row r="2563" spans="2:15">
      <c r="B2563" s="20">
        <v>45761</v>
      </c>
      <c r="C2563" s="20">
        <v>45761</v>
      </c>
      <c r="D2563" s="54">
        <v>50470190</v>
      </c>
      <c r="E2563" s="55" t="s">
        <v>12</v>
      </c>
      <c r="G2563" s="68">
        <v>9273600</v>
      </c>
      <c r="H2563" s="56" t="s">
        <v>92</v>
      </c>
      <c r="J2563" s="56" t="s">
        <v>2253</v>
      </c>
      <c r="L2563" s="56" t="s">
        <v>958</v>
      </c>
      <c r="M2563" s="4" t="s">
        <v>392</v>
      </c>
      <c r="N2563" s="4" t="s">
        <v>2128</v>
      </c>
      <c r="O2563" s="4" t="s">
        <v>178</v>
      </c>
    </row>
    <row r="2564" spans="2:15">
      <c r="B2564" s="20">
        <v>45761</v>
      </c>
      <c r="C2564" s="20">
        <v>45761</v>
      </c>
      <c r="D2564" s="54">
        <v>50272278</v>
      </c>
      <c r="E2564" s="55" t="s">
        <v>21</v>
      </c>
      <c r="G2564" s="68">
        <v>13000</v>
      </c>
      <c r="H2564" s="56" t="s">
        <v>92</v>
      </c>
      <c r="J2564" s="56" t="s">
        <v>2254</v>
      </c>
      <c r="L2564" s="56" t="s">
        <v>262</v>
      </c>
      <c r="M2564" s="4" t="s">
        <v>262</v>
      </c>
      <c r="N2564" s="4" t="s">
        <v>1268</v>
      </c>
      <c r="O2564" s="4" t="s">
        <v>178</v>
      </c>
    </row>
    <row r="2565" spans="2:15">
      <c r="B2565" s="20">
        <v>45761</v>
      </c>
      <c r="C2565" s="20">
        <v>45761</v>
      </c>
      <c r="D2565" s="54">
        <v>40014675</v>
      </c>
      <c r="E2565" s="55" t="s">
        <v>44</v>
      </c>
      <c r="G2565" s="68">
        <v>114</v>
      </c>
      <c r="H2565" s="56" t="s">
        <v>80</v>
      </c>
      <c r="J2565" s="56" t="s">
        <v>2255</v>
      </c>
      <c r="L2565" s="56" t="s">
        <v>1791</v>
      </c>
      <c r="M2565" s="4" t="s">
        <v>1792</v>
      </c>
      <c r="N2565" s="4" t="s">
        <v>1793</v>
      </c>
      <c r="O2565" s="4" t="s">
        <v>178</v>
      </c>
    </row>
    <row r="2566" spans="2:15">
      <c r="B2566" s="20">
        <v>45761</v>
      </c>
      <c r="C2566" s="20">
        <v>45761</v>
      </c>
      <c r="D2566" s="54">
        <v>40014675</v>
      </c>
      <c r="E2566" s="55" t="s">
        <v>44</v>
      </c>
      <c r="G2566" s="68">
        <v>114</v>
      </c>
      <c r="H2566" s="56" t="s">
        <v>80</v>
      </c>
      <c r="J2566" s="56" t="s">
        <v>2256</v>
      </c>
      <c r="L2566" s="56" t="s">
        <v>1791</v>
      </c>
      <c r="M2566" s="4" t="s">
        <v>1792</v>
      </c>
      <c r="N2566" s="4" t="s">
        <v>2032</v>
      </c>
      <c r="O2566" s="4" t="s">
        <v>178</v>
      </c>
    </row>
    <row r="2567" spans="2:15">
      <c r="B2567" s="20">
        <v>45762</v>
      </c>
      <c r="C2567" s="20">
        <v>45762</v>
      </c>
      <c r="D2567" s="54">
        <v>50272278</v>
      </c>
      <c r="E2567" s="55" t="s">
        <v>21</v>
      </c>
      <c r="G2567" s="68">
        <v>13000</v>
      </c>
      <c r="H2567" s="56" t="s">
        <v>92</v>
      </c>
      <c r="J2567" s="56" t="s">
        <v>2257</v>
      </c>
      <c r="L2567" s="56" t="s">
        <v>262</v>
      </c>
      <c r="M2567" s="4" t="s">
        <v>262</v>
      </c>
      <c r="N2567" s="4" t="s">
        <v>1268</v>
      </c>
      <c r="O2567" s="4" t="s">
        <v>178</v>
      </c>
    </row>
    <row r="2568" spans="2:15">
      <c r="B2568" s="20">
        <v>45762</v>
      </c>
      <c r="C2568" s="20">
        <v>45762</v>
      </c>
      <c r="D2568" s="54">
        <v>40014675</v>
      </c>
      <c r="E2568" s="55" t="s">
        <v>44</v>
      </c>
      <c r="G2568" s="68">
        <v>114</v>
      </c>
      <c r="H2568" s="56" t="s">
        <v>80</v>
      </c>
      <c r="J2568" s="56" t="s">
        <v>2258</v>
      </c>
      <c r="L2568" s="56" t="s">
        <v>1791</v>
      </c>
      <c r="M2568" s="4" t="s">
        <v>1792</v>
      </c>
      <c r="N2568" s="4" t="s">
        <v>1793</v>
      </c>
      <c r="O2568" s="4" t="s">
        <v>178</v>
      </c>
    </row>
    <row r="2569" spans="2:15">
      <c r="B2569" s="20">
        <v>45762</v>
      </c>
      <c r="C2569" s="20">
        <v>45762</v>
      </c>
      <c r="D2569" s="54">
        <v>40014675</v>
      </c>
      <c r="E2569" s="55" t="s">
        <v>44</v>
      </c>
      <c r="G2569" s="68">
        <v>114</v>
      </c>
      <c r="H2569" s="56" t="s">
        <v>80</v>
      </c>
      <c r="J2569" s="56" t="s">
        <v>2259</v>
      </c>
      <c r="L2569" s="56" t="s">
        <v>1791</v>
      </c>
      <c r="M2569" s="4" t="s">
        <v>1792</v>
      </c>
      <c r="N2569" s="4" t="s">
        <v>2032</v>
      </c>
      <c r="O2569" s="4" t="s">
        <v>178</v>
      </c>
    </row>
    <row r="2570" spans="2:15">
      <c r="B2570" s="20">
        <v>45762</v>
      </c>
      <c r="C2570" s="20">
        <v>45762</v>
      </c>
      <c r="D2570" s="54">
        <v>40014675</v>
      </c>
      <c r="E2570" s="55" t="s">
        <v>44</v>
      </c>
      <c r="G2570" s="68">
        <v>114</v>
      </c>
      <c r="H2570" s="56" t="s">
        <v>80</v>
      </c>
      <c r="J2570" s="56" t="s">
        <v>2260</v>
      </c>
      <c r="L2570" s="56" t="s">
        <v>1791</v>
      </c>
      <c r="M2570" s="4" t="s">
        <v>1792</v>
      </c>
      <c r="N2570" s="4" t="s">
        <v>1793</v>
      </c>
      <c r="O2570" s="4" t="s">
        <v>178</v>
      </c>
    </row>
    <row r="2571" spans="2:15">
      <c r="B2571" s="20">
        <v>45762</v>
      </c>
      <c r="C2571" s="20">
        <v>45762</v>
      </c>
      <c r="D2571" s="54">
        <v>40014675</v>
      </c>
      <c r="E2571" s="55" t="s">
        <v>44</v>
      </c>
      <c r="G2571" s="68">
        <v>114</v>
      </c>
      <c r="H2571" s="56" t="s">
        <v>80</v>
      </c>
      <c r="J2571" s="56" t="s">
        <v>2261</v>
      </c>
      <c r="L2571" s="56" t="s">
        <v>1791</v>
      </c>
      <c r="M2571" s="4" t="s">
        <v>1792</v>
      </c>
      <c r="N2571" s="4" t="s">
        <v>2032</v>
      </c>
      <c r="O2571" s="4" t="s">
        <v>178</v>
      </c>
    </row>
    <row r="2572" spans="2:15">
      <c r="B2572" s="20">
        <v>45763</v>
      </c>
      <c r="C2572" s="20">
        <v>45763</v>
      </c>
      <c r="D2572" s="54">
        <v>50515034</v>
      </c>
      <c r="E2572" s="55" t="s">
        <v>41</v>
      </c>
      <c r="G2572" s="68">
        <v>591.75</v>
      </c>
      <c r="H2572" s="56" t="s">
        <v>80</v>
      </c>
      <c r="J2572" s="56" t="s">
        <v>2262</v>
      </c>
      <c r="L2572" s="56" t="s">
        <v>1530</v>
      </c>
      <c r="M2572" s="4" t="s">
        <v>564</v>
      </c>
      <c r="N2572" s="4" t="s">
        <v>2263</v>
      </c>
      <c r="O2572" s="4" t="s">
        <v>178</v>
      </c>
    </row>
    <row r="2573" spans="2:15">
      <c r="B2573" s="20">
        <v>45704</v>
      </c>
      <c r="C2573" s="20">
        <v>45704</v>
      </c>
      <c r="D2573" s="54">
        <v>40014675</v>
      </c>
      <c r="E2573" s="55" t="s">
        <v>44</v>
      </c>
      <c r="G2573" s="68">
        <v>114</v>
      </c>
      <c r="H2573" s="56" t="s">
        <v>80</v>
      </c>
      <c r="J2573" s="56" t="s">
        <v>2264</v>
      </c>
      <c r="L2573" s="56" t="s">
        <v>1791</v>
      </c>
      <c r="M2573" s="4" t="s">
        <v>1792</v>
      </c>
      <c r="N2573" s="4" t="s">
        <v>1793</v>
      </c>
      <c r="O2573" s="4" t="s">
        <v>178</v>
      </c>
    </row>
    <row r="2574" spans="2:15">
      <c r="B2574" s="20">
        <v>45704</v>
      </c>
      <c r="C2574" s="20">
        <v>45704</v>
      </c>
      <c r="D2574" s="54">
        <v>40014675</v>
      </c>
      <c r="E2574" s="55" t="s">
        <v>44</v>
      </c>
      <c r="G2574" s="68">
        <v>114</v>
      </c>
      <c r="H2574" s="56" t="s">
        <v>80</v>
      </c>
      <c r="J2574" s="56" t="s">
        <v>2265</v>
      </c>
      <c r="L2574" s="56" t="s">
        <v>1791</v>
      </c>
      <c r="M2574" s="4" t="s">
        <v>1792</v>
      </c>
      <c r="N2574" s="4" t="s">
        <v>2032</v>
      </c>
      <c r="O2574" s="4" t="s">
        <v>178</v>
      </c>
    </row>
    <row r="2575" spans="2:15">
      <c r="B2575" s="20">
        <v>45768</v>
      </c>
      <c r="C2575" s="20">
        <v>45768</v>
      </c>
      <c r="D2575" s="54">
        <v>50272278</v>
      </c>
      <c r="E2575" s="55" t="s">
        <v>21</v>
      </c>
      <c r="G2575" s="68">
        <v>13000</v>
      </c>
      <c r="H2575" s="56" t="s">
        <v>92</v>
      </c>
      <c r="J2575" s="56" t="s">
        <v>2266</v>
      </c>
      <c r="L2575" s="56" t="s">
        <v>262</v>
      </c>
      <c r="M2575" s="4" t="s">
        <v>262</v>
      </c>
      <c r="N2575" s="4" t="s">
        <v>1268</v>
      </c>
      <c r="O2575" s="4" t="s">
        <v>178</v>
      </c>
    </row>
    <row r="2576" spans="2:15">
      <c r="B2576" s="20">
        <v>45769</v>
      </c>
      <c r="C2576" s="20">
        <v>45769</v>
      </c>
      <c r="D2576" s="54">
        <v>50842177</v>
      </c>
      <c r="E2576" s="55" t="s">
        <v>2196</v>
      </c>
      <c r="G2576" s="68">
        <v>3055.7</v>
      </c>
      <c r="H2576" s="56" t="s">
        <v>753</v>
      </c>
      <c r="J2576" s="56" t="s">
        <v>2267</v>
      </c>
      <c r="L2576" s="56" t="s">
        <v>1227</v>
      </c>
      <c r="M2576" s="4" t="s">
        <v>660</v>
      </c>
      <c r="N2576" s="4" t="s">
        <v>353</v>
      </c>
      <c r="O2576" s="4" t="s">
        <v>178</v>
      </c>
    </row>
    <row r="2577" spans="2:15">
      <c r="B2577" s="20">
        <v>45770</v>
      </c>
      <c r="C2577" s="20">
        <v>45770</v>
      </c>
      <c r="D2577" s="54">
        <v>50842177</v>
      </c>
      <c r="E2577" s="55" t="s">
        <v>2196</v>
      </c>
      <c r="G2577" s="68">
        <v>1525.15</v>
      </c>
      <c r="H2577" s="56" t="s">
        <v>753</v>
      </c>
      <c r="J2577" s="56" t="s">
        <v>2268</v>
      </c>
      <c r="L2577" s="56" t="s">
        <v>1227</v>
      </c>
      <c r="M2577" s="4" t="s">
        <v>660</v>
      </c>
      <c r="N2577" s="4" t="s">
        <v>353</v>
      </c>
      <c r="O2577" s="4" t="s">
        <v>178</v>
      </c>
    </row>
    <row r="2578" spans="2:15">
      <c r="B2578" s="20">
        <v>45740</v>
      </c>
      <c r="C2578" s="20">
        <v>45740</v>
      </c>
      <c r="D2578" s="54">
        <v>40014675</v>
      </c>
      <c r="E2578" s="55" t="s">
        <v>44</v>
      </c>
      <c r="G2578" s="68">
        <v>114</v>
      </c>
      <c r="H2578" s="56" t="s">
        <v>80</v>
      </c>
      <c r="J2578" s="56" t="s">
        <v>2269</v>
      </c>
      <c r="L2578" s="56" t="s">
        <v>1791</v>
      </c>
      <c r="M2578" s="4" t="s">
        <v>1792</v>
      </c>
      <c r="N2578" s="4" t="s">
        <v>1793</v>
      </c>
      <c r="O2578" s="4" t="s">
        <v>178</v>
      </c>
    </row>
    <row r="2579" spans="2:15">
      <c r="B2579" s="20">
        <v>45740</v>
      </c>
      <c r="C2579" s="20">
        <v>45740</v>
      </c>
      <c r="D2579" s="54">
        <v>40014675</v>
      </c>
      <c r="E2579" s="55" t="s">
        <v>44</v>
      </c>
      <c r="G2579" s="68">
        <v>114</v>
      </c>
      <c r="H2579" s="56" t="s">
        <v>80</v>
      </c>
      <c r="J2579" s="56" t="s">
        <v>2270</v>
      </c>
      <c r="L2579" s="56" t="s">
        <v>1791</v>
      </c>
      <c r="M2579" s="4" t="s">
        <v>1792</v>
      </c>
      <c r="N2579" s="4" t="s">
        <v>2032</v>
      </c>
      <c r="O2579" s="4" t="s">
        <v>178</v>
      </c>
    </row>
    <row r="2580" spans="2:15">
      <c r="B2580" s="20">
        <v>45740</v>
      </c>
      <c r="C2580" s="20">
        <v>45740</v>
      </c>
      <c r="D2580" s="54">
        <v>40014675</v>
      </c>
      <c r="E2580" s="55" t="s">
        <v>44</v>
      </c>
      <c r="G2580" s="68">
        <v>114</v>
      </c>
      <c r="H2580" s="56" t="s">
        <v>80</v>
      </c>
      <c r="J2580" s="56" t="s">
        <v>2271</v>
      </c>
      <c r="L2580" s="56" t="s">
        <v>1791</v>
      </c>
      <c r="M2580" s="4" t="s">
        <v>1792</v>
      </c>
      <c r="N2580" s="4" t="s">
        <v>1793</v>
      </c>
      <c r="O2580" s="4" t="s">
        <v>178</v>
      </c>
    </row>
    <row r="2581" spans="2:15">
      <c r="B2581" s="20">
        <v>45740</v>
      </c>
      <c r="C2581" s="20">
        <v>45740</v>
      </c>
      <c r="D2581" s="54">
        <v>50144376</v>
      </c>
      <c r="E2581" s="55" t="s">
        <v>19</v>
      </c>
      <c r="G2581" s="68">
        <v>13000</v>
      </c>
      <c r="H2581" s="56" t="s">
        <v>92</v>
      </c>
      <c r="J2581" s="56" t="s">
        <v>2272</v>
      </c>
      <c r="L2581" s="56" t="s">
        <v>262</v>
      </c>
      <c r="M2581" s="4" t="s">
        <v>262</v>
      </c>
      <c r="N2581" s="4" t="s">
        <v>1268</v>
      </c>
      <c r="O2581" s="4" t="s">
        <v>178</v>
      </c>
    </row>
    <row r="2582" spans="2:15">
      <c r="B2582" s="20">
        <v>45740</v>
      </c>
      <c r="C2582" s="20">
        <v>45740</v>
      </c>
      <c r="D2582" s="54">
        <v>50502050</v>
      </c>
      <c r="E2582" s="55" t="s">
        <v>1500</v>
      </c>
      <c r="G2582" s="68">
        <v>3500</v>
      </c>
      <c r="H2582" s="56" t="s">
        <v>987</v>
      </c>
      <c r="J2582" s="56">
        <v>187691</v>
      </c>
      <c r="L2582" s="56" t="s">
        <v>2273</v>
      </c>
      <c r="M2582" s="4" t="s">
        <v>209</v>
      </c>
      <c r="N2582" s="4"/>
      <c r="O2582" s="4" t="s">
        <v>178</v>
      </c>
    </row>
    <row r="2583" spans="2:15">
      <c r="B2583" s="20">
        <v>45740</v>
      </c>
      <c r="C2583" s="20">
        <v>45740</v>
      </c>
      <c r="D2583" s="54">
        <v>50142055</v>
      </c>
      <c r="E2583" s="55" t="s">
        <v>206</v>
      </c>
      <c r="G2583" s="68">
        <v>6000</v>
      </c>
      <c r="H2583" s="56" t="s">
        <v>753</v>
      </c>
      <c r="J2583" s="56">
        <v>414647650</v>
      </c>
      <c r="L2583" s="56" t="s">
        <v>208</v>
      </c>
      <c r="M2583" s="4" t="s">
        <v>209</v>
      </c>
      <c r="N2583" s="4"/>
      <c r="O2583" s="4" t="s">
        <v>178</v>
      </c>
    </row>
    <row r="2584" spans="2:15">
      <c r="B2584" s="20">
        <v>45772</v>
      </c>
      <c r="C2584" s="20">
        <v>45772</v>
      </c>
      <c r="D2584" s="54">
        <v>50142237</v>
      </c>
      <c r="E2584" s="55" t="s">
        <v>617</v>
      </c>
      <c r="G2584" s="68">
        <v>30000</v>
      </c>
      <c r="H2584" s="56" t="s">
        <v>92</v>
      </c>
      <c r="J2584" s="56" t="s">
        <v>2274</v>
      </c>
      <c r="L2584" s="56" t="s">
        <v>2275</v>
      </c>
      <c r="M2584" s="4" t="s">
        <v>2275</v>
      </c>
      <c r="N2584" s="4"/>
      <c r="O2584" s="4" t="s">
        <v>178</v>
      </c>
    </row>
    <row r="2585" spans="2:15">
      <c r="B2585" s="20">
        <v>45776</v>
      </c>
      <c r="C2585" s="20">
        <v>45776</v>
      </c>
      <c r="D2585" s="54">
        <v>50144376</v>
      </c>
      <c r="E2585" s="55" t="s">
        <v>19</v>
      </c>
      <c r="G2585" s="68">
        <v>11000</v>
      </c>
      <c r="H2585" s="56" t="s">
        <v>92</v>
      </c>
      <c r="J2585" s="56" t="s">
        <v>2276</v>
      </c>
      <c r="L2585" s="56" t="s">
        <v>262</v>
      </c>
      <c r="M2585" s="4" t="s">
        <v>262</v>
      </c>
      <c r="N2585" s="4" t="s">
        <v>1268</v>
      </c>
      <c r="O2585" s="4" t="s">
        <v>178</v>
      </c>
    </row>
    <row r="2586" spans="2:15">
      <c r="B2586" s="20">
        <v>45779</v>
      </c>
      <c r="C2586" s="20">
        <v>45779</v>
      </c>
      <c r="D2586" s="54">
        <v>50272278</v>
      </c>
      <c r="E2586" s="55" t="s">
        <v>21</v>
      </c>
      <c r="G2586" s="68">
        <v>13000</v>
      </c>
      <c r="H2586" s="56" t="s">
        <v>92</v>
      </c>
      <c r="J2586" s="56" t="s">
        <v>2277</v>
      </c>
      <c r="L2586" s="56" t="s">
        <v>262</v>
      </c>
      <c r="M2586" s="4" t="s">
        <v>262</v>
      </c>
      <c r="N2586" s="4" t="s">
        <v>1268</v>
      </c>
      <c r="O2586" s="4" t="s">
        <v>178</v>
      </c>
    </row>
    <row r="2587" spans="2:15">
      <c r="B2587" s="20">
        <v>45779</v>
      </c>
      <c r="C2587" s="20">
        <v>45779</v>
      </c>
      <c r="D2587" s="54">
        <v>50802401</v>
      </c>
      <c r="E2587" s="55" t="s">
        <v>13</v>
      </c>
      <c r="G2587" s="68">
        <v>9273600</v>
      </c>
      <c r="H2587" s="56" t="s">
        <v>92</v>
      </c>
      <c r="J2587" s="56" t="s">
        <v>2278</v>
      </c>
      <c r="L2587" s="56" t="s">
        <v>1117</v>
      </c>
      <c r="M2587" s="4" t="s">
        <v>2279</v>
      </c>
      <c r="N2587" s="4"/>
      <c r="O2587" s="4" t="s">
        <v>178</v>
      </c>
    </row>
    <row r="2588" spans="2:15">
      <c r="B2588" s="20">
        <v>45779</v>
      </c>
      <c r="C2588" s="20">
        <v>45779</v>
      </c>
      <c r="D2588" s="54">
        <v>50802401</v>
      </c>
      <c r="E2588" s="55" t="s">
        <v>13</v>
      </c>
      <c r="G2588" s="68">
        <v>9273600</v>
      </c>
      <c r="H2588" s="56" t="s">
        <v>92</v>
      </c>
      <c r="J2588" s="56" t="s">
        <v>2280</v>
      </c>
      <c r="L2588" s="56" t="s">
        <v>1117</v>
      </c>
      <c r="M2588" s="4" t="s">
        <v>2279</v>
      </c>
      <c r="N2588" s="4"/>
      <c r="O2588" s="4" t="s">
        <v>178</v>
      </c>
    </row>
    <row r="2589" spans="2:15">
      <c r="B2589" s="20">
        <v>45782</v>
      </c>
      <c r="C2589" s="20">
        <v>45782</v>
      </c>
      <c r="D2589" s="54">
        <v>50470190</v>
      </c>
      <c r="E2589" s="55" t="s">
        <v>12</v>
      </c>
      <c r="G2589" s="68">
        <v>9273600</v>
      </c>
      <c r="H2589" s="56" t="s">
        <v>92</v>
      </c>
      <c r="J2589" s="56" t="s">
        <v>2281</v>
      </c>
      <c r="L2589" s="56" t="s">
        <v>1158</v>
      </c>
      <c r="M2589" s="4" t="s">
        <v>2004</v>
      </c>
      <c r="N2589" s="4" t="s">
        <v>1275</v>
      </c>
      <c r="O2589" s="4" t="s">
        <v>178</v>
      </c>
    </row>
    <row r="2590" spans="2:15">
      <c r="B2590" s="20">
        <v>45783</v>
      </c>
      <c r="C2590" s="20">
        <v>45783</v>
      </c>
      <c r="D2590" s="54">
        <v>50843042</v>
      </c>
      <c r="E2590" s="55" t="s">
        <v>2282</v>
      </c>
      <c r="G2590" s="68">
        <v>300.6</v>
      </c>
      <c r="H2590" s="56" t="s">
        <v>82</v>
      </c>
      <c r="J2590" s="56" t="s">
        <v>2283</v>
      </c>
      <c r="L2590" s="56" t="s">
        <v>1227</v>
      </c>
      <c r="M2590" s="4" t="s">
        <v>660</v>
      </c>
      <c r="N2590" s="4" t="s">
        <v>353</v>
      </c>
      <c r="O2590" s="4" t="s">
        <v>178</v>
      </c>
    </row>
    <row r="2591" spans="2:15">
      <c r="B2591" s="20">
        <v>45783</v>
      </c>
      <c r="C2591" s="20">
        <v>45783</v>
      </c>
      <c r="D2591" s="54">
        <v>50809353</v>
      </c>
      <c r="E2591" s="55" t="s">
        <v>905</v>
      </c>
      <c r="G2591" s="68">
        <v>10000</v>
      </c>
      <c r="H2591" s="56" t="s">
        <v>82</v>
      </c>
      <c r="J2591" s="56">
        <v>180850</v>
      </c>
      <c r="L2591" s="56" t="s">
        <v>906</v>
      </c>
      <c r="M2591" s="4" t="s">
        <v>1461</v>
      </c>
      <c r="N2591" s="4"/>
      <c r="O2591" s="4" t="s">
        <v>178</v>
      </c>
    </row>
    <row r="2592" spans="2:15">
      <c r="B2592" s="20">
        <v>45785</v>
      </c>
      <c r="C2592" s="20">
        <v>45785</v>
      </c>
      <c r="D2592" s="54">
        <v>50272278</v>
      </c>
      <c r="E2592" s="55" t="s">
        <v>21</v>
      </c>
      <c r="G2592" s="68">
        <v>13000</v>
      </c>
      <c r="H2592" s="56" t="s">
        <v>962</v>
      </c>
      <c r="J2592" s="56" t="s">
        <v>2284</v>
      </c>
      <c r="L2592" s="56" t="s">
        <v>262</v>
      </c>
      <c r="M2592" s="4" t="s">
        <v>262</v>
      </c>
      <c r="N2592" s="4" t="s">
        <v>1268</v>
      </c>
      <c r="O2592" s="4" t="s">
        <v>178</v>
      </c>
    </row>
    <row r="2593" spans="2:15">
      <c r="B2593" s="20">
        <v>45785</v>
      </c>
      <c r="C2593" s="20">
        <v>45785</v>
      </c>
      <c r="D2593" s="54">
        <v>40014900</v>
      </c>
      <c r="E2593" s="55" t="s">
        <v>153</v>
      </c>
      <c r="G2593" s="68">
        <v>114</v>
      </c>
      <c r="H2593" s="56" t="s">
        <v>80</v>
      </c>
      <c r="J2593" s="56" t="s">
        <v>2285</v>
      </c>
      <c r="L2593" s="56" t="s">
        <v>1791</v>
      </c>
      <c r="M2593" s="4" t="s">
        <v>1792</v>
      </c>
      <c r="N2593" s="4" t="s">
        <v>1793</v>
      </c>
      <c r="O2593" s="4" t="s">
        <v>178</v>
      </c>
    </row>
    <row r="2594" spans="2:15">
      <c r="B2594" s="20">
        <v>45785</v>
      </c>
      <c r="C2594" s="20">
        <v>45785</v>
      </c>
      <c r="D2594" s="54">
        <v>40014900</v>
      </c>
      <c r="E2594" s="55" t="s">
        <v>153</v>
      </c>
      <c r="G2594" s="68">
        <v>114</v>
      </c>
      <c r="H2594" s="56" t="s">
        <v>80</v>
      </c>
      <c r="J2594" s="56" t="s">
        <v>2286</v>
      </c>
      <c r="L2594" s="56" t="s">
        <v>1791</v>
      </c>
      <c r="M2594" s="4" t="s">
        <v>1792</v>
      </c>
      <c r="N2594" s="4" t="s">
        <v>2032</v>
      </c>
      <c r="O2594" s="4" t="s">
        <v>178</v>
      </c>
    </row>
    <row r="2595" spans="2:15">
      <c r="B2595" s="20">
        <v>45786</v>
      </c>
      <c r="C2595" s="20">
        <v>45786</v>
      </c>
      <c r="D2595" s="54">
        <v>40011780</v>
      </c>
      <c r="E2595" s="55" t="s">
        <v>584</v>
      </c>
      <c r="G2595" s="68">
        <v>6030</v>
      </c>
      <c r="H2595" s="56" t="s">
        <v>1248</v>
      </c>
      <c r="J2595" s="56" t="s">
        <v>2287</v>
      </c>
      <c r="L2595" s="56" t="s">
        <v>1031</v>
      </c>
      <c r="M2595" s="4" t="s">
        <v>750</v>
      </c>
      <c r="N2595" s="4"/>
      <c r="O2595" s="4" t="s">
        <v>178</v>
      </c>
    </row>
    <row r="2596" spans="2:15">
      <c r="B2596" s="20">
        <v>45786</v>
      </c>
      <c r="C2596" s="20">
        <v>45786</v>
      </c>
      <c r="D2596" s="54">
        <v>40014900</v>
      </c>
      <c r="E2596" s="55" t="s">
        <v>153</v>
      </c>
      <c r="G2596" s="68">
        <v>114</v>
      </c>
      <c r="H2596" s="56" t="s">
        <v>80</v>
      </c>
      <c r="J2596" s="56" t="s">
        <v>2288</v>
      </c>
      <c r="L2596" s="56" t="s">
        <v>1791</v>
      </c>
      <c r="M2596" s="4" t="s">
        <v>1792</v>
      </c>
      <c r="N2596" s="4" t="s">
        <v>1793</v>
      </c>
      <c r="O2596" s="4" t="s">
        <v>178</v>
      </c>
    </row>
    <row r="2597" spans="2:15">
      <c r="B2597" s="20">
        <v>45790</v>
      </c>
      <c r="C2597" s="20">
        <v>45790</v>
      </c>
      <c r="D2597" s="54">
        <v>50142328</v>
      </c>
      <c r="E2597" s="55" t="s">
        <v>1591</v>
      </c>
      <c r="G2597" s="68">
        <v>8000</v>
      </c>
      <c r="H2597" s="56" t="s">
        <v>987</v>
      </c>
      <c r="J2597" s="56" t="s">
        <v>2289</v>
      </c>
      <c r="L2597" s="56" t="s">
        <v>1981</v>
      </c>
      <c r="M2597" s="4" t="s">
        <v>1981</v>
      </c>
      <c r="N2597" s="4"/>
      <c r="O2597" s="4" t="s">
        <v>178</v>
      </c>
    </row>
    <row r="2598" spans="2:15">
      <c r="B2598" s="20">
        <v>45790</v>
      </c>
      <c r="C2598" s="20">
        <v>45790</v>
      </c>
      <c r="D2598" s="54">
        <v>50272278</v>
      </c>
      <c r="E2598" s="55" t="s">
        <v>21</v>
      </c>
      <c r="G2598" s="68">
        <v>13000</v>
      </c>
      <c r="H2598" s="56" t="s">
        <v>92</v>
      </c>
      <c r="J2598" s="56" t="s">
        <v>2290</v>
      </c>
      <c r="L2598" s="56" t="s">
        <v>262</v>
      </c>
      <c r="M2598" s="4" t="s">
        <v>262</v>
      </c>
      <c r="N2598" s="4" t="s">
        <v>1268</v>
      </c>
      <c r="O2598" s="4" t="s">
        <v>178</v>
      </c>
    </row>
    <row r="2599" spans="2:15">
      <c r="B2599" s="20">
        <v>45790</v>
      </c>
      <c r="C2599" s="20">
        <v>45790</v>
      </c>
      <c r="D2599" s="54">
        <v>50142237</v>
      </c>
      <c r="E2599" s="55" t="s">
        <v>617</v>
      </c>
      <c r="G2599" s="68">
        <v>20000</v>
      </c>
      <c r="H2599" s="56" t="s">
        <v>92</v>
      </c>
      <c r="J2599" s="56" t="s">
        <v>2291</v>
      </c>
      <c r="L2599" s="56" t="s">
        <v>2275</v>
      </c>
      <c r="M2599" s="4" t="s">
        <v>2275</v>
      </c>
      <c r="N2599" s="4"/>
      <c r="O2599" s="4" t="s">
        <v>1945</v>
      </c>
    </row>
    <row r="2600" spans="2:15">
      <c r="B2600" s="20">
        <v>45790</v>
      </c>
      <c r="C2600" s="20">
        <v>45790</v>
      </c>
      <c r="D2600" s="54">
        <v>50470190</v>
      </c>
      <c r="E2600" s="55" t="s">
        <v>12</v>
      </c>
      <c r="G2600" s="68">
        <v>9273600</v>
      </c>
      <c r="H2600" s="56" t="s">
        <v>92</v>
      </c>
      <c r="J2600" s="56" t="s">
        <v>2292</v>
      </c>
      <c r="L2600" s="56" t="s">
        <v>1158</v>
      </c>
      <c r="M2600" s="4" t="s">
        <v>392</v>
      </c>
      <c r="N2600" s="4" t="s">
        <v>2128</v>
      </c>
      <c r="O2600" s="4" t="s">
        <v>1945</v>
      </c>
    </row>
    <row r="2601" spans="2:15">
      <c r="B2601" s="20">
        <v>45790</v>
      </c>
      <c r="C2601" s="20">
        <v>45790</v>
      </c>
      <c r="D2601" s="54">
        <v>50142262</v>
      </c>
      <c r="E2601" s="55" t="s">
        <v>779</v>
      </c>
      <c r="G2601" s="68">
        <v>44</v>
      </c>
      <c r="H2601" s="56" t="s">
        <v>987</v>
      </c>
      <c r="J2601" s="56" t="s">
        <v>2293</v>
      </c>
      <c r="L2601" s="56" t="s">
        <v>780</v>
      </c>
      <c r="M2601" s="4" t="s">
        <v>780</v>
      </c>
      <c r="N2601" s="4" t="s">
        <v>1068</v>
      </c>
      <c r="O2601" s="4" t="s">
        <v>178</v>
      </c>
    </row>
    <row r="2602" spans="2:15">
      <c r="B2602" s="20">
        <v>45790</v>
      </c>
      <c r="C2602" s="20">
        <v>45790</v>
      </c>
      <c r="D2602" s="54">
        <v>40011588</v>
      </c>
      <c r="E2602" s="55" t="s">
        <v>585</v>
      </c>
      <c r="G2602" s="68">
        <v>11760</v>
      </c>
      <c r="H2602" s="56" t="s">
        <v>80</v>
      </c>
      <c r="J2602" s="56" t="s">
        <v>2294</v>
      </c>
      <c r="L2602" s="56" t="s">
        <v>1031</v>
      </c>
      <c r="M2602" s="4" t="s">
        <v>750</v>
      </c>
      <c r="N2602" s="4"/>
      <c r="O2602" s="4" t="s">
        <v>178</v>
      </c>
    </row>
    <row r="2603" spans="2:15">
      <c r="B2603" s="20">
        <v>45790</v>
      </c>
      <c r="C2603" s="20">
        <v>45790</v>
      </c>
      <c r="D2603" s="54">
        <v>40011148</v>
      </c>
      <c r="E2603" s="55" t="s">
        <v>86</v>
      </c>
      <c r="G2603" s="68">
        <v>50</v>
      </c>
      <c r="H2603" s="56" t="s">
        <v>80</v>
      </c>
      <c r="J2603" s="56" t="s">
        <v>2294</v>
      </c>
      <c r="L2603" s="56" t="s">
        <v>1031</v>
      </c>
      <c r="M2603" s="4" t="s">
        <v>750</v>
      </c>
      <c r="N2603" s="4"/>
      <c r="O2603" s="4" t="s">
        <v>178</v>
      </c>
    </row>
    <row r="2604" spans="2:15">
      <c r="B2604" s="20">
        <v>45793</v>
      </c>
      <c r="C2604" s="20">
        <v>45793</v>
      </c>
      <c r="D2604" s="54">
        <v>50145029</v>
      </c>
      <c r="E2604" s="55" t="s">
        <v>705</v>
      </c>
      <c r="G2604" s="68">
        <v>6</v>
      </c>
      <c r="H2604" s="56" t="s">
        <v>505</v>
      </c>
      <c r="J2604" s="56" t="s">
        <v>2295</v>
      </c>
      <c r="L2604" s="56" t="s">
        <v>1053</v>
      </c>
      <c r="M2604" s="4" t="s">
        <v>1053</v>
      </c>
      <c r="N2604" s="4"/>
      <c r="O2604" s="4" t="s">
        <v>178</v>
      </c>
    </row>
    <row r="2605" spans="2:15">
      <c r="B2605" s="20">
        <v>45793</v>
      </c>
      <c r="C2605" s="20">
        <v>45793</v>
      </c>
      <c r="D2605" s="54">
        <v>50392045</v>
      </c>
      <c r="E2605" s="55" t="s">
        <v>707</v>
      </c>
      <c r="G2605" s="68">
        <v>42</v>
      </c>
      <c r="H2605" s="56" t="s">
        <v>505</v>
      </c>
      <c r="J2605" s="56" t="s">
        <v>2295</v>
      </c>
      <c r="L2605" s="56" t="s">
        <v>1053</v>
      </c>
      <c r="M2605" s="4" t="s">
        <v>1053</v>
      </c>
      <c r="N2605" s="4"/>
      <c r="O2605" s="4" t="s">
        <v>178</v>
      </c>
    </row>
    <row r="2606" spans="2:15">
      <c r="B2606" s="20">
        <v>45793</v>
      </c>
      <c r="C2606" s="20">
        <v>45793</v>
      </c>
      <c r="D2606" s="54">
        <v>50392046</v>
      </c>
      <c r="E2606" s="55" t="s">
        <v>509</v>
      </c>
      <c r="G2606" s="68">
        <v>30</v>
      </c>
      <c r="H2606" s="56" t="s">
        <v>505</v>
      </c>
      <c r="J2606" s="56" t="s">
        <v>2295</v>
      </c>
      <c r="L2606" s="56" t="s">
        <v>1053</v>
      </c>
      <c r="M2606" s="4" t="s">
        <v>1053</v>
      </c>
      <c r="N2606" s="4"/>
      <c r="O2606" s="4" t="s">
        <v>178</v>
      </c>
    </row>
    <row r="2607" spans="2:15">
      <c r="B2607" s="20">
        <v>45793</v>
      </c>
      <c r="C2607" s="20">
        <v>45793</v>
      </c>
      <c r="D2607" s="54">
        <v>50142571</v>
      </c>
      <c r="E2607" s="55" t="s">
        <v>605</v>
      </c>
      <c r="G2607" s="68">
        <v>360</v>
      </c>
      <c r="H2607" s="56" t="s">
        <v>82</v>
      </c>
      <c r="J2607" s="56" t="s">
        <v>2296</v>
      </c>
      <c r="L2607" s="56" t="s">
        <v>2144</v>
      </c>
      <c r="M2607" s="4" t="s">
        <v>2144</v>
      </c>
      <c r="N2607" s="4"/>
      <c r="O2607" s="4" t="s">
        <v>178</v>
      </c>
    </row>
    <row r="2608" spans="2:15">
      <c r="B2608" s="20">
        <v>45794</v>
      </c>
      <c r="C2608" s="20">
        <v>45794</v>
      </c>
      <c r="D2608" s="54">
        <v>40010080</v>
      </c>
      <c r="E2608" s="55" t="s">
        <v>2297</v>
      </c>
      <c r="G2608" s="68">
        <v>2785</v>
      </c>
      <c r="H2608" s="56" t="s">
        <v>92</v>
      </c>
      <c r="J2608" s="56">
        <v>1005564993</v>
      </c>
      <c r="L2608" s="56" t="s">
        <v>175</v>
      </c>
      <c r="M2608" s="4" t="s">
        <v>520</v>
      </c>
      <c r="N2608" s="4" t="s">
        <v>2298</v>
      </c>
      <c r="O2608" s="4" t="s">
        <v>178</v>
      </c>
    </row>
    <row r="2609" spans="2:15">
      <c r="B2609" s="20">
        <v>45794</v>
      </c>
      <c r="C2609" s="20">
        <v>45794</v>
      </c>
      <c r="D2609" s="54">
        <v>40009546</v>
      </c>
      <c r="E2609" s="55" t="s">
        <v>174</v>
      </c>
      <c r="G2609" s="68">
        <v>10735</v>
      </c>
      <c r="H2609" s="56" t="s">
        <v>80</v>
      </c>
      <c r="J2609" s="56">
        <v>1005564993</v>
      </c>
      <c r="L2609" s="56" t="s">
        <v>175</v>
      </c>
      <c r="M2609" s="4" t="s">
        <v>520</v>
      </c>
      <c r="N2609" s="4" t="s">
        <v>2298</v>
      </c>
      <c r="O2609" s="4" t="s">
        <v>178</v>
      </c>
    </row>
    <row r="2610" spans="2:15">
      <c r="B2610" s="20">
        <v>45794</v>
      </c>
      <c r="C2610" s="20">
        <v>45794</v>
      </c>
      <c r="D2610" s="54">
        <v>40010084</v>
      </c>
      <c r="E2610" s="55" t="s">
        <v>81</v>
      </c>
      <c r="G2610" s="68">
        <v>3584</v>
      </c>
      <c r="H2610" s="56" t="s">
        <v>80</v>
      </c>
      <c r="J2610" s="56">
        <v>1005564993</v>
      </c>
      <c r="L2610" s="56" t="s">
        <v>175</v>
      </c>
      <c r="M2610" s="4" t="s">
        <v>520</v>
      </c>
      <c r="N2610" s="4" t="s">
        <v>2298</v>
      </c>
      <c r="O2610" s="4" t="s">
        <v>178</v>
      </c>
    </row>
    <row r="2611" spans="2:15">
      <c r="B2611" s="20">
        <v>45794</v>
      </c>
      <c r="C2611" s="20">
        <v>45794</v>
      </c>
      <c r="D2611" s="54">
        <v>40010083</v>
      </c>
      <c r="E2611" s="55" t="s">
        <v>85</v>
      </c>
      <c r="G2611" s="68">
        <v>3024</v>
      </c>
      <c r="H2611" s="56" t="s">
        <v>80</v>
      </c>
      <c r="J2611" s="56">
        <v>1005564993</v>
      </c>
      <c r="L2611" s="56" t="s">
        <v>175</v>
      </c>
      <c r="M2611" s="4" t="s">
        <v>520</v>
      </c>
      <c r="N2611" s="4" t="s">
        <v>2298</v>
      </c>
      <c r="O2611" s="4" t="s">
        <v>178</v>
      </c>
    </row>
    <row r="2612" spans="2:15">
      <c r="B2612" s="20">
        <v>45796</v>
      </c>
      <c r="C2612" s="20">
        <v>45796</v>
      </c>
      <c r="D2612" s="54">
        <v>40014900</v>
      </c>
      <c r="E2612" s="55" t="s">
        <v>153</v>
      </c>
      <c r="G2612" s="68">
        <v>114</v>
      </c>
      <c r="H2612" s="56" t="s">
        <v>80</v>
      </c>
      <c r="J2612" s="56" t="s">
        <v>2299</v>
      </c>
      <c r="L2612" s="56" t="s">
        <v>1791</v>
      </c>
      <c r="M2612" s="4" t="s">
        <v>1792</v>
      </c>
      <c r="N2612" s="4" t="s">
        <v>2300</v>
      </c>
      <c r="O2612" s="4" t="s">
        <v>178</v>
      </c>
    </row>
    <row r="2613" spans="2:15">
      <c r="B2613" s="20">
        <v>45796</v>
      </c>
      <c r="C2613" s="20">
        <v>45796</v>
      </c>
      <c r="D2613" s="54">
        <v>40014900</v>
      </c>
      <c r="E2613" s="55" t="s">
        <v>153</v>
      </c>
      <c r="G2613" s="68">
        <v>114</v>
      </c>
      <c r="H2613" s="56" t="s">
        <v>80</v>
      </c>
      <c r="J2613" s="56" t="s">
        <v>2301</v>
      </c>
      <c r="L2613" s="56" t="s">
        <v>1791</v>
      </c>
      <c r="M2613" s="4" t="s">
        <v>1792</v>
      </c>
      <c r="N2613" s="4" t="s">
        <v>1793</v>
      </c>
      <c r="O2613" s="4" t="s">
        <v>178</v>
      </c>
    </row>
    <row r="2614" spans="2:15">
      <c r="B2614" s="20">
        <v>45797</v>
      </c>
      <c r="C2614" s="20">
        <v>45797</v>
      </c>
      <c r="D2614" s="54">
        <v>50843042</v>
      </c>
      <c r="E2614" s="55" t="s">
        <v>2282</v>
      </c>
      <c r="G2614" s="68">
        <v>611.15</v>
      </c>
      <c r="H2614" s="56" t="s">
        <v>987</v>
      </c>
      <c r="J2614" s="56" t="s">
        <v>2302</v>
      </c>
      <c r="L2614" s="56" t="s">
        <v>1227</v>
      </c>
      <c r="M2614" s="4" t="s">
        <v>660</v>
      </c>
      <c r="N2614" s="4" t="s">
        <v>353</v>
      </c>
      <c r="O2614" s="4" t="s">
        <v>178</v>
      </c>
    </row>
    <row r="2615" spans="2:15">
      <c r="B2615" s="20">
        <v>45797</v>
      </c>
      <c r="C2615" s="20">
        <v>45797</v>
      </c>
      <c r="D2615" s="54">
        <v>50272278</v>
      </c>
      <c r="E2615" s="55" t="s">
        <v>21</v>
      </c>
      <c r="G2615" s="68">
        <v>13000</v>
      </c>
      <c r="H2615" s="56" t="s">
        <v>92</v>
      </c>
      <c r="J2615" s="56" t="s">
        <v>2303</v>
      </c>
      <c r="L2615" s="56" t="s">
        <v>262</v>
      </c>
      <c r="M2615" s="4" t="s">
        <v>262</v>
      </c>
      <c r="N2615" s="4" t="s">
        <v>1268</v>
      </c>
      <c r="O2615" s="4" t="s">
        <v>178</v>
      </c>
    </row>
    <row r="2616" spans="2:15">
      <c r="B2616" s="20">
        <v>45798</v>
      </c>
      <c r="C2616" s="20">
        <v>45798</v>
      </c>
      <c r="D2616" s="54">
        <v>50144376</v>
      </c>
      <c r="E2616" s="55" t="s">
        <v>19</v>
      </c>
      <c r="G2616" s="68">
        <v>13000</v>
      </c>
      <c r="H2616" s="56" t="s">
        <v>92</v>
      </c>
      <c r="J2616" s="56" t="s">
        <v>2304</v>
      </c>
      <c r="L2616" s="56" t="s">
        <v>262</v>
      </c>
      <c r="M2616" s="4" t="s">
        <v>262</v>
      </c>
      <c r="N2616" s="4" t="s">
        <v>1268</v>
      </c>
      <c r="O2616" s="4" t="s">
        <v>178</v>
      </c>
    </row>
    <row r="2617" spans="2:15">
      <c r="B2617" s="20">
        <v>45798</v>
      </c>
      <c r="C2617" s="20">
        <v>45798</v>
      </c>
      <c r="D2617" s="54">
        <v>50142519</v>
      </c>
      <c r="E2617" s="55" t="s">
        <v>1575</v>
      </c>
      <c r="G2617" s="68">
        <v>5000</v>
      </c>
      <c r="H2617" s="56" t="s">
        <v>92</v>
      </c>
      <c r="J2617" s="56" t="s">
        <v>2305</v>
      </c>
      <c r="L2617" s="56" t="s">
        <v>2210</v>
      </c>
      <c r="M2617" s="4" t="s">
        <v>2210</v>
      </c>
      <c r="N2617" s="4" t="s">
        <v>2306</v>
      </c>
      <c r="O2617" s="4" t="s">
        <v>178</v>
      </c>
    </row>
    <row r="2618" spans="2:15">
      <c r="B2618" s="20">
        <v>45799</v>
      </c>
      <c r="C2618" s="20">
        <v>45799</v>
      </c>
      <c r="D2618" s="54">
        <v>50142571</v>
      </c>
      <c r="E2618" s="55" t="s">
        <v>605</v>
      </c>
      <c r="G2618" s="68">
        <v>312</v>
      </c>
      <c r="H2618" s="56" t="s">
        <v>987</v>
      </c>
      <c r="J2618" s="56" t="s">
        <v>2307</v>
      </c>
      <c r="L2618" s="56" t="s">
        <v>2308</v>
      </c>
      <c r="M2618" s="4" t="s">
        <v>2308</v>
      </c>
      <c r="N2618" s="4"/>
      <c r="O2618" s="4" t="s">
        <v>178</v>
      </c>
    </row>
    <row r="2619" spans="2:15">
      <c r="B2619" s="20">
        <v>45799</v>
      </c>
      <c r="C2619" s="20">
        <v>45799</v>
      </c>
      <c r="D2619" s="54">
        <v>50837284</v>
      </c>
      <c r="E2619" s="55" t="s">
        <v>28</v>
      </c>
      <c r="G2619" s="68">
        <v>5208.9</v>
      </c>
      <c r="H2619" s="56" t="s">
        <v>1942</v>
      </c>
      <c r="J2619" s="56" t="s">
        <v>2309</v>
      </c>
      <c r="L2619" s="56" t="s">
        <v>1227</v>
      </c>
      <c r="M2619" s="4" t="s">
        <v>660</v>
      </c>
      <c r="N2619" s="4" t="s">
        <v>353</v>
      </c>
      <c r="O2619" s="4" t="s">
        <v>178</v>
      </c>
    </row>
    <row r="2620" spans="2:15">
      <c r="B2620" s="20">
        <v>45800</v>
      </c>
      <c r="C2620" s="20">
        <v>45800</v>
      </c>
      <c r="D2620" s="54">
        <v>20016059</v>
      </c>
      <c r="E2620" s="55" t="s">
        <v>1498</v>
      </c>
      <c r="G2620" s="68">
        <v>200</v>
      </c>
      <c r="H2620" s="56" t="s">
        <v>962</v>
      </c>
      <c r="J2620" s="56">
        <v>19133</v>
      </c>
      <c r="L2620" s="56" t="s">
        <v>2310</v>
      </c>
      <c r="M2620" s="4" t="s">
        <v>2310</v>
      </c>
      <c r="N2620" s="4"/>
      <c r="O2620" s="4" t="s">
        <v>178</v>
      </c>
    </row>
    <row r="2621" spans="2:15">
      <c r="B2621" s="20">
        <v>45803</v>
      </c>
      <c r="C2621" s="20">
        <v>45803</v>
      </c>
      <c r="D2621" s="54">
        <v>40011659</v>
      </c>
      <c r="E2621" s="55" t="s">
        <v>89</v>
      </c>
      <c r="G2621" s="68">
        <v>3240</v>
      </c>
      <c r="H2621" s="56" t="s">
        <v>1248</v>
      </c>
      <c r="J2621" s="56" t="s">
        <v>2311</v>
      </c>
      <c r="L2621" s="56" t="s">
        <v>2312</v>
      </c>
      <c r="N2621" s="4"/>
      <c r="O2621" s="4" t="s">
        <v>178</v>
      </c>
    </row>
    <row r="2622" spans="2:15">
      <c r="B2622" s="20">
        <v>45803</v>
      </c>
      <c r="C2622" s="20">
        <v>45803</v>
      </c>
      <c r="D2622" s="54">
        <v>50793278</v>
      </c>
      <c r="E2622" s="55" t="s">
        <v>1086</v>
      </c>
      <c r="G2622" s="68">
        <v>100</v>
      </c>
      <c r="H2622" s="56" t="s">
        <v>2313</v>
      </c>
      <c r="J2622" s="56">
        <v>1005717710</v>
      </c>
      <c r="L2622" s="56" t="s">
        <v>2314</v>
      </c>
      <c r="N2622" s="4"/>
    </row>
    <row r="2623" spans="2:15">
      <c r="B2623" s="20">
        <v>45804</v>
      </c>
      <c r="C2623" s="20">
        <v>45804</v>
      </c>
      <c r="D2623" s="54">
        <v>50271649</v>
      </c>
      <c r="E2623" s="55" t="s">
        <v>1435</v>
      </c>
      <c r="G2623" s="68">
        <f>1428*30</f>
        <v>42840</v>
      </c>
      <c r="H2623" s="56" t="s">
        <v>92</v>
      </c>
      <c r="J2623" s="56" t="s">
        <v>2315</v>
      </c>
      <c r="L2623" s="56" t="s">
        <v>1791</v>
      </c>
      <c r="M2623" s="4" t="s">
        <v>1792</v>
      </c>
      <c r="N2623" s="4" t="s">
        <v>2300</v>
      </c>
      <c r="O2623" s="4" t="s">
        <v>178</v>
      </c>
    </row>
    <row r="2624" spans="2:15">
      <c r="B2624" s="20">
        <v>45804</v>
      </c>
      <c r="C2624" s="20">
        <v>45804</v>
      </c>
      <c r="D2624" s="54">
        <v>50271649</v>
      </c>
      <c r="E2624" s="55" t="s">
        <v>1435</v>
      </c>
      <c r="G2624" s="68">
        <f>1428*30</f>
        <v>42840</v>
      </c>
      <c r="H2624" s="56" t="s">
        <v>92</v>
      </c>
      <c r="J2624" s="56" t="s">
        <v>1629</v>
      </c>
      <c r="L2624" s="56" t="s">
        <v>1791</v>
      </c>
      <c r="M2624" s="4" t="s">
        <v>1792</v>
      </c>
      <c r="N2624" s="4" t="s">
        <v>1793</v>
      </c>
      <c r="O2624" s="4" t="s">
        <v>178</v>
      </c>
    </row>
    <row r="2625" spans="2:15">
      <c r="B2625" s="20">
        <v>45804</v>
      </c>
      <c r="C2625" s="20">
        <v>45804</v>
      </c>
      <c r="D2625" s="54">
        <v>50271649</v>
      </c>
      <c r="E2625" s="55" t="s">
        <v>1435</v>
      </c>
      <c r="G2625" s="68">
        <f>1428*30</f>
        <v>42840</v>
      </c>
      <c r="H2625" s="56" t="s">
        <v>92</v>
      </c>
      <c r="J2625" s="56" t="s">
        <v>2316</v>
      </c>
      <c r="L2625" s="56" t="s">
        <v>1791</v>
      </c>
      <c r="M2625" s="4" t="s">
        <v>1792</v>
      </c>
      <c r="N2625" s="4" t="s">
        <v>2300</v>
      </c>
      <c r="O2625" s="4" t="s">
        <v>178</v>
      </c>
    </row>
    <row r="2626" spans="2:15">
      <c r="B2626" s="20">
        <v>45804</v>
      </c>
      <c r="C2626" s="20">
        <v>45804</v>
      </c>
      <c r="D2626" s="54">
        <v>50271649</v>
      </c>
      <c r="E2626" s="55" t="s">
        <v>1435</v>
      </c>
      <c r="G2626" s="68">
        <f>1428*30</f>
        <v>42840</v>
      </c>
      <c r="H2626" s="56" t="s">
        <v>92</v>
      </c>
      <c r="J2626" s="56" t="s">
        <v>2317</v>
      </c>
      <c r="L2626" s="56" t="s">
        <v>1791</v>
      </c>
      <c r="M2626" s="4" t="s">
        <v>1792</v>
      </c>
      <c r="N2626" s="4" t="s">
        <v>2300</v>
      </c>
      <c r="O2626" s="4" t="s">
        <v>178</v>
      </c>
    </row>
    <row r="2627" spans="2:15">
      <c r="B2627" s="20">
        <v>45807</v>
      </c>
      <c r="C2627" s="20">
        <v>45807</v>
      </c>
      <c r="D2627" s="54">
        <v>50144376</v>
      </c>
      <c r="E2627" s="55" t="s">
        <v>19</v>
      </c>
      <c r="G2627" s="68">
        <v>6000</v>
      </c>
      <c r="H2627" s="56" t="s">
        <v>92</v>
      </c>
      <c r="J2627" s="56" t="s">
        <v>2318</v>
      </c>
      <c r="L2627" s="56" t="s">
        <v>262</v>
      </c>
      <c r="M2627" s="4" t="s">
        <v>262</v>
      </c>
      <c r="N2627" s="4" t="s">
        <v>1268</v>
      </c>
      <c r="O2627" s="4" t="s">
        <v>178</v>
      </c>
    </row>
    <row r="2628" spans="2:15">
      <c r="B2628" s="20">
        <v>45807</v>
      </c>
      <c r="C2628" s="20">
        <v>45807</v>
      </c>
      <c r="D2628" s="54">
        <v>50272278</v>
      </c>
      <c r="E2628" s="55" t="s">
        <v>21</v>
      </c>
      <c r="G2628" s="68">
        <v>7000</v>
      </c>
      <c r="H2628" s="56" t="s">
        <v>92</v>
      </c>
      <c r="J2628" s="56" t="s">
        <v>2319</v>
      </c>
      <c r="L2628" s="56" t="s">
        <v>262</v>
      </c>
      <c r="M2628" s="4" t="s">
        <v>262</v>
      </c>
      <c r="N2628" s="4" t="s">
        <v>1268</v>
      </c>
      <c r="O2628" s="4" t="s">
        <v>178</v>
      </c>
    </row>
    <row r="2629" spans="2:15">
      <c r="B2629" s="20">
        <v>45808</v>
      </c>
      <c r="C2629" s="20">
        <v>45808</v>
      </c>
      <c r="D2629" s="54">
        <v>50397884</v>
      </c>
      <c r="E2629" s="55" t="s">
        <v>1296</v>
      </c>
      <c r="G2629" s="68">
        <v>2340</v>
      </c>
      <c r="H2629" s="56" t="s">
        <v>80</v>
      </c>
      <c r="J2629" s="56">
        <v>12500992</v>
      </c>
      <c r="L2629" s="56" t="s">
        <v>2320</v>
      </c>
      <c r="M2629" s="4" t="s">
        <v>392</v>
      </c>
      <c r="N2629" s="4" t="s">
        <v>2321</v>
      </c>
      <c r="O2629" s="4" t="s">
        <v>178</v>
      </c>
    </row>
    <row r="2630" spans="2:15">
      <c r="B2630" s="20">
        <v>45810</v>
      </c>
      <c r="C2630" s="20">
        <v>45810</v>
      </c>
      <c r="D2630" s="54">
        <v>40011780</v>
      </c>
      <c r="E2630" s="55" t="s">
        <v>584</v>
      </c>
      <c r="G2630" s="68">
        <v>1800</v>
      </c>
      <c r="H2630" s="56" t="s">
        <v>80</v>
      </c>
      <c r="J2630" s="56" t="s">
        <v>2322</v>
      </c>
      <c r="L2630" s="56" t="s">
        <v>838</v>
      </c>
      <c r="M2630" s="4" t="s">
        <v>838</v>
      </c>
      <c r="N2630" s="4" t="s">
        <v>1905</v>
      </c>
      <c r="O2630" s="4" t="s">
        <v>178</v>
      </c>
    </row>
    <row r="2631" spans="2:15">
      <c r="B2631" s="20">
        <v>45810</v>
      </c>
      <c r="C2631" s="20">
        <v>45810</v>
      </c>
      <c r="D2631" s="54">
        <v>50143893</v>
      </c>
      <c r="E2631" s="55" t="s">
        <v>24</v>
      </c>
      <c r="G2631" s="68">
        <f>660*4</f>
        <v>2640</v>
      </c>
      <c r="H2631" s="56" t="s">
        <v>80</v>
      </c>
      <c r="J2631" s="56" t="s">
        <v>2322</v>
      </c>
      <c r="L2631" s="56" t="s">
        <v>838</v>
      </c>
      <c r="M2631" s="4" t="s">
        <v>838</v>
      </c>
      <c r="N2631" s="4" t="s">
        <v>1905</v>
      </c>
      <c r="O2631" s="4" t="s">
        <v>178</v>
      </c>
    </row>
    <row r="2632" spans="2:15">
      <c r="B2632" s="20">
        <v>45811</v>
      </c>
      <c r="C2632" s="20">
        <v>45811</v>
      </c>
      <c r="D2632" s="54">
        <v>50837237</v>
      </c>
      <c r="E2632" s="55" t="s">
        <v>1747</v>
      </c>
      <c r="G2632" s="68">
        <v>5348.45</v>
      </c>
      <c r="H2632" s="56" t="s">
        <v>82</v>
      </c>
      <c r="J2632" s="56" t="s">
        <v>2323</v>
      </c>
      <c r="L2632" s="56" t="s">
        <v>1227</v>
      </c>
      <c r="M2632" s="4" t="s">
        <v>660</v>
      </c>
      <c r="N2632" s="4" t="s">
        <v>428</v>
      </c>
      <c r="O2632" s="4" t="s">
        <v>178</v>
      </c>
    </row>
    <row r="2633" spans="2:15">
      <c r="B2633" s="20">
        <v>45811</v>
      </c>
      <c r="C2633" s="20">
        <v>45811</v>
      </c>
      <c r="D2633" s="54">
        <v>50272278</v>
      </c>
      <c r="E2633" s="55" t="s">
        <v>21</v>
      </c>
      <c r="G2633" s="68">
        <v>9000</v>
      </c>
      <c r="H2633" s="56" t="s">
        <v>92</v>
      </c>
      <c r="J2633" s="56" t="s">
        <v>2324</v>
      </c>
      <c r="L2633" s="56" t="s">
        <v>262</v>
      </c>
      <c r="M2633" s="4" t="s">
        <v>262</v>
      </c>
      <c r="N2633" s="4" t="s">
        <v>1268</v>
      </c>
      <c r="O2633" s="4" t="s">
        <v>178</v>
      </c>
    </row>
    <row r="2634" spans="2:15">
      <c r="B2634" s="20">
        <v>45812</v>
      </c>
      <c r="C2634" s="20">
        <v>45812</v>
      </c>
      <c r="D2634" s="54">
        <v>40011149</v>
      </c>
      <c r="E2634" s="55" t="s">
        <v>37</v>
      </c>
      <c r="G2634" s="68">
        <v>6320</v>
      </c>
      <c r="H2634" s="56" t="s">
        <v>80</v>
      </c>
      <c r="J2634" s="56" t="s">
        <v>2325</v>
      </c>
      <c r="L2634" s="56" t="s">
        <v>1031</v>
      </c>
      <c r="M2634" s="4" t="s">
        <v>392</v>
      </c>
      <c r="N2634" s="4" t="s">
        <v>2326</v>
      </c>
      <c r="O2634" s="4" t="s">
        <v>178</v>
      </c>
    </row>
    <row r="2635" spans="2:15">
      <c r="B2635" s="20">
        <v>45812</v>
      </c>
      <c r="C2635" s="20">
        <v>45812</v>
      </c>
      <c r="D2635" s="54">
        <v>50142551</v>
      </c>
      <c r="E2635" s="55" t="s">
        <v>215</v>
      </c>
      <c r="G2635" s="68">
        <v>175</v>
      </c>
      <c r="H2635" s="56" t="s">
        <v>962</v>
      </c>
      <c r="J2635" s="56" t="s">
        <v>2327</v>
      </c>
      <c r="L2635" s="56" t="s">
        <v>2328</v>
      </c>
      <c r="M2635" s="4" t="s">
        <v>2328</v>
      </c>
      <c r="N2635" s="4"/>
      <c r="O2635" s="4" t="s">
        <v>178</v>
      </c>
    </row>
    <row r="2636" spans="2:15">
      <c r="B2636" s="20">
        <v>45812</v>
      </c>
      <c r="C2636" s="20">
        <v>45812</v>
      </c>
      <c r="D2636" s="54">
        <v>50142397</v>
      </c>
      <c r="E2636" s="55" t="s">
        <v>557</v>
      </c>
      <c r="G2636" s="68">
        <v>75</v>
      </c>
      <c r="H2636" s="56" t="s">
        <v>962</v>
      </c>
      <c r="J2636" s="56" t="s">
        <v>2329</v>
      </c>
      <c r="L2636" s="56" t="s">
        <v>558</v>
      </c>
      <c r="M2636" s="4" t="s">
        <v>558</v>
      </c>
      <c r="N2636" s="4"/>
      <c r="O2636" s="4" t="s">
        <v>178</v>
      </c>
    </row>
    <row r="2637" spans="2:15">
      <c r="B2637" s="20">
        <v>45813</v>
      </c>
      <c r="C2637" s="20">
        <v>45813</v>
      </c>
      <c r="D2637" s="54">
        <v>50328488</v>
      </c>
      <c r="E2637" s="55" t="s">
        <v>1853</v>
      </c>
      <c r="G2637" s="68">
        <v>200</v>
      </c>
      <c r="H2637" s="56" t="s">
        <v>82</v>
      </c>
      <c r="J2637" s="56" t="s">
        <v>2330</v>
      </c>
      <c r="L2637" s="56" t="s">
        <v>1852</v>
      </c>
      <c r="M2637" s="4" t="s">
        <v>1852</v>
      </c>
      <c r="N2637" s="4" t="s">
        <v>2331</v>
      </c>
      <c r="O2637" s="4" t="s">
        <v>178</v>
      </c>
    </row>
    <row r="2638" spans="2:15">
      <c r="B2638" s="20">
        <v>45813</v>
      </c>
      <c r="C2638" s="20">
        <v>45813</v>
      </c>
      <c r="D2638" s="54">
        <v>50328897</v>
      </c>
      <c r="E2638" s="55" t="s">
        <v>1850</v>
      </c>
      <c r="G2638" s="68">
        <v>176</v>
      </c>
      <c r="H2638" s="56" t="s">
        <v>82</v>
      </c>
      <c r="J2638" s="56" t="s">
        <v>2332</v>
      </c>
      <c r="L2638" s="56" t="s">
        <v>1852</v>
      </c>
      <c r="M2638" s="4" t="s">
        <v>1852</v>
      </c>
      <c r="N2638" s="4" t="s">
        <v>2331</v>
      </c>
      <c r="O2638" s="4" t="s">
        <v>178</v>
      </c>
    </row>
    <row r="2639" spans="2:15">
      <c r="B2639" s="20">
        <v>45813</v>
      </c>
      <c r="C2639" s="20">
        <v>45813</v>
      </c>
      <c r="D2639" s="54">
        <v>50851033</v>
      </c>
      <c r="E2639" s="55" t="s">
        <v>29</v>
      </c>
      <c r="G2639" s="68">
        <v>5031.3</v>
      </c>
      <c r="H2639" s="56" t="s">
        <v>82</v>
      </c>
      <c r="J2639" s="56" t="s">
        <v>2333</v>
      </c>
      <c r="L2639" s="56" t="s">
        <v>1227</v>
      </c>
      <c r="M2639" s="4" t="s">
        <v>660</v>
      </c>
      <c r="N2639" s="4" t="s">
        <v>428</v>
      </c>
      <c r="O2639" s="4" t="s">
        <v>178</v>
      </c>
    </row>
    <row r="2640" spans="2:15">
      <c r="B2640" s="20">
        <v>45813</v>
      </c>
      <c r="C2640" s="20">
        <v>45813</v>
      </c>
      <c r="D2640" s="54">
        <v>50837237</v>
      </c>
      <c r="E2640" s="55" t="s">
        <v>1747</v>
      </c>
      <c r="G2640" s="68">
        <v>4763.65</v>
      </c>
      <c r="H2640" s="56" t="s">
        <v>82</v>
      </c>
      <c r="J2640" s="56" t="s">
        <v>2334</v>
      </c>
      <c r="L2640" s="56" t="s">
        <v>1227</v>
      </c>
      <c r="M2640" s="4" t="s">
        <v>660</v>
      </c>
      <c r="N2640" s="4" t="s">
        <v>353</v>
      </c>
      <c r="O2640" s="4" t="s">
        <v>178</v>
      </c>
    </row>
    <row r="2641" spans="2:15">
      <c r="B2641" s="20">
        <v>45813</v>
      </c>
      <c r="C2641" s="20">
        <v>45813</v>
      </c>
      <c r="D2641" s="54">
        <v>50837284</v>
      </c>
      <c r="E2641" s="55" t="s">
        <v>28</v>
      </c>
      <c r="G2641" s="68">
        <v>4452.05</v>
      </c>
      <c r="H2641" s="56" t="s">
        <v>82</v>
      </c>
      <c r="J2641" s="56" t="s">
        <v>2335</v>
      </c>
      <c r="L2641" s="56" t="s">
        <v>1227</v>
      </c>
      <c r="M2641" s="4" t="s">
        <v>660</v>
      </c>
      <c r="N2641" s="4" t="s">
        <v>428</v>
      </c>
      <c r="O2641" s="4" t="s">
        <v>178</v>
      </c>
    </row>
    <row r="2642" spans="2:15">
      <c r="B2642" s="20">
        <v>45814</v>
      </c>
      <c r="C2642" s="20">
        <v>45814</v>
      </c>
      <c r="D2642" s="54">
        <v>50470190</v>
      </c>
      <c r="E2642" s="55" t="s">
        <v>12</v>
      </c>
      <c r="G2642" s="68">
        <v>9273600</v>
      </c>
      <c r="H2642" s="56" t="s">
        <v>92</v>
      </c>
      <c r="J2642" s="56" t="s">
        <v>2336</v>
      </c>
      <c r="L2642" s="56" t="s">
        <v>2337</v>
      </c>
      <c r="M2642" s="4" t="s">
        <v>2004</v>
      </c>
      <c r="N2642" s="4" t="s">
        <v>2338</v>
      </c>
      <c r="O2642" s="4" t="s">
        <v>178</v>
      </c>
    </row>
    <row r="2643" spans="2:15">
      <c r="B2643" s="20">
        <v>45814</v>
      </c>
      <c r="C2643" s="20">
        <v>45814</v>
      </c>
      <c r="D2643" s="54">
        <v>50145028</v>
      </c>
      <c r="E2643" s="55" t="s">
        <v>23</v>
      </c>
      <c r="G2643" s="68">
        <v>2880</v>
      </c>
      <c r="H2643" s="56" t="s">
        <v>962</v>
      </c>
      <c r="J2643" s="56" t="s">
        <v>2339</v>
      </c>
      <c r="L2643" s="56" t="s">
        <v>2340</v>
      </c>
      <c r="M2643" s="4" t="s">
        <v>2152</v>
      </c>
      <c r="N2643" s="4" t="s">
        <v>1905</v>
      </c>
      <c r="O2643" s="4" t="s">
        <v>178</v>
      </c>
    </row>
    <row r="2644" spans="2:15">
      <c r="B2644" s="20">
        <v>45817</v>
      </c>
      <c r="C2644" s="20">
        <v>45817</v>
      </c>
      <c r="D2644" s="54">
        <v>50272278</v>
      </c>
      <c r="E2644" s="55" t="s">
        <v>21</v>
      </c>
      <c r="G2644" s="68">
        <v>13000</v>
      </c>
      <c r="H2644" s="56" t="s">
        <v>92</v>
      </c>
      <c r="J2644" s="56" t="s">
        <v>2341</v>
      </c>
      <c r="L2644" s="56" t="s">
        <v>262</v>
      </c>
      <c r="M2644" s="4" t="s">
        <v>262</v>
      </c>
      <c r="N2644" s="4" t="s">
        <v>1268</v>
      </c>
      <c r="O2644" s="4" t="s">
        <v>178</v>
      </c>
    </row>
    <row r="2645" spans="2:15">
      <c r="B2645" s="20">
        <v>45818</v>
      </c>
      <c r="C2645" s="20">
        <v>45818</v>
      </c>
      <c r="D2645" s="54">
        <v>50824293</v>
      </c>
      <c r="E2645" s="55" t="s">
        <v>861</v>
      </c>
      <c r="G2645" s="68">
        <v>5890000</v>
      </c>
      <c r="H2645" s="56" t="s">
        <v>92</v>
      </c>
      <c r="J2645" s="56" t="s">
        <v>2342</v>
      </c>
      <c r="L2645" s="56" t="s">
        <v>838</v>
      </c>
      <c r="M2645" s="4" t="s">
        <v>2152</v>
      </c>
      <c r="N2645" s="4" t="s">
        <v>1905</v>
      </c>
      <c r="O2645" s="4" t="s">
        <v>178</v>
      </c>
    </row>
    <row r="2646" spans="2:15">
      <c r="B2646" s="20">
        <v>45818</v>
      </c>
      <c r="C2646" s="20">
        <v>45818</v>
      </c>
      <c r="D2646" s="54">
        <v>50142237</v>
      </c>
      <c r="E2646" s="55" t="s">
        <v>617</v>
      </c>
      <c r="G2646" s="68">
        <v>20000</v>
      </c>
      <c r="H2646" s="56" t="s">
        <v>92</v>
      </c>
      <c r="J2646" s="56" t="s">
        <v>2343</v>
      </c>
      <c r="L2646" s="56" t="s">
        <v>2344</v>
      </c>
      <c r="M2646" s="4" t="s">
        <v>2344</v>
      </c>
      <c r="N2646" s="4"/>
      <c r="O2646" s="4" t="s">
        <v>178</v>
      </c>
    </row>
    <row r="2647" spans="2:15">
      <c r="B2647" s="20">
        <v>45820</v>
      </c>
      <c r="C2647" s="20">
        <v>45820</v>
      </c>
      <c r="D2647" s="54">
        <v>50802401</v>
      </c>
      <c r="E2647" s="55" t="s">
        <v>13</v>
      </c>
      <c r="G2647" s="68">
        <v>9273600</v>
      </c>
      <c r="H2647" s="56" t="s">
        <v>92</v>
      </c>
      <c r="J2647" s="56" t="s">
        <v>2345</v>
      </c>
      <c r="L2647" s="56" t="s">
        <v>230</v>
      </c>
      <c r="M2647" s="4" t="s">
        <v>1494</v>
      </c>
      <c r="N2647" s="4" t="s">
        <v>2346</v>
      </c>
      <c r="O2647" s="4" t="s">
        <v>178</v>
      </c>
    </row>
    <row r="2648" spans="2:15">
      <c r="B2648" s="20">
        <v>45821</v>
      </c>
      <c r="C2648" s="20">
        <v>45821</v>
      </c>
      <c r="D2648" s="54">
        <v>50272278</v>
      </c>
      <c r="E2648" s="55" t="s">
        <v>21</v>
      </c>
      <c r="G2648" s="68">
        <v>13000</v>
      </c>
      <c r="H2648" s="56" t="s">
        <v>92</v>
      </c>
      <c r="J2648" s="56" t="s">
        <v>2347</v>
      </c>
      <c r="L2648" s="56" t="s">
        <v>262</v>
      </c>
      <c r="M2648" s="4" t="s">
        <v>262</v>
      </c>
      <c r="N2648" s="4" t="s">
        <v>1268</v>
      </c>
      <c r="O2648" s="4" t="s">
        <v>178</v>
      </c>
    </row>
    <row r="2649" spans="2:15">
      <c r="B2649" s="20">
        <v>45822</v>
      </c>
      <c r="C2649" s="20">
        <v>45822</v>
      </c>
      <c r="D2649" s="54">
        <v>50804929</v>
      </c>
      <c r="E2649" s="55" t="s">
        <v>856</v>
      </c>
      <c r="G2649" s="68">
        <v>5040000</v>
      </c>
      <c r="H2649" s="56" t="s">
        <v>92</v>
      </c>
      <c r="J2649" s="56" t="s">
        <v>2348</v>
      </c>
      <c r="L2649" s="56" t="s">
        <v>1621</v>
      </c>
      <c r="M2649" s="4" t="s">
        <v>392</v>
      </c>
      <c r="N2649" s="4"/>
      <c r="O2649" s="4" t="s">
        <v>178</v>
      </c>
    </row>
    <row r="2650" spans="2:15">
      <c r="B2650" s="20">
        <v>45825</v>
      </c>
      <c r="C2650" s="20">
        <v>45825</v>
      </c>
      <c r="D2650" s="54">
        <v>50272278</v>
      </c>
      <c r="E2650" s="55" t="s">
        <v>21</v>
      </c>
      <c r="G2650" s="68">
        <v>13000</v>
      </c>
      <c r="H2650" s="56" t="s">
        <v>92</v>
      </c>
      <c r="J2650" s="56" t="s">
        <v>2349</v>
      </c>
      <c r="L2650" s="56" t="s">
        <v>262</v>
      </c>
      <c r="M2650" s="4" t="s">
        <v>262</v>
      </c>
      <c r="N2650" s="4" t="s">
        <v>1268</v>
      </c>
      <c r="O2650" s="4" t="s">
        <v>178</v>
      </c>
    </row>
    <row r="2651" spans="2:15">
      <c r="B2651" s="20">
        <v>45826</v>
      </c>
      <c r="C2651" s="20">
        <v>45826</v>
      </c>
      <c r="D2651" s="54">
        <v>50507916</v>
      </c>
      <c r="E2651" s="55" t="s">
        <v>406</v>
      </c>
      <c r="G2651" s="68">
        <v>11088000</v>
      </c>
      <c r="H2651" s="56" t="s">
        <v>92</v>
      </c>
      <c r="J2651" s="56" t="s">
        <v>2350</v>
      </c>
      <c r="L2651" s="56" t="s">
        <v>877</v>
      </c>
      <c r="M2651" s="4" t="s">
        <v>392</v>
      </c>
      <c r="N2651" s="4"/>
      <c r="O2651" s="4" t="s">
        <v>178</v>
      </c>
    </row>
    <row r="2652" spans="2:15">
      <c r="B2652" s="20">
        <v>45826</v>
      </c>
      <c r="C2652" s="20">
        <v>45826</v>
      </c>
      <c r="D2652" s="54">
        <v>50509889</v>
      </c>
      <c r="E2652" s="55" t="s">
        <v>671</v>
      </c>
      <c r="G2652" s="68">
        <v>10965000</v>
      </c>
      <c r="H2652" s="56" t="s">
        <v>92</v>
      </c>
      <c r="J2652" s="56" t="s">
        <v>2350</v>
      </c>
      <c r="L2652" s="56" t="s">
        <v>877</v>
      </c>
      <c r="M2652" s="4" t="s">
        <v>392</v>
      </c>
      <c r="N2652" s="4"/>
      <c r="O2652" s="4" t="s">
        <v>178</v>
      </c>
    </row>
    <row r="2653" spans="2:15">
      <c r="B2653" s="20">
        <v>45826</v>
      </c>
      <c r="C2653" s="20">
        <v>45826</v>
      </c>
      <c r="D2653" s="54">
        <v>50507916</v>
      </c>
      <c r="E2653" s="55" t="s">
        <v>406</v>
      </c>
      <c r="G2653" s="68">
        <v>10989000</v>
      </c>
      <c r="H2653" s="56" t="s">
        <v>92</v>
      </c>
      <c r="J2653" s="56" t="s">
        <v>2350</v>
      </c>
      <c r="L2653" s="56" t="s">
        <v>877</v>
      </c>
      <c r="M2653" s="4" t="s">
        <v>392</v>
      </c>
      <c r="N2653" s="4"/>
      <c r="O2653" s="4" t="s">
        <v>178</v>
      </c>
    </row>
    <row r="2654" spans="2:15">
      <c r="B2654" s="20">
        <v>45826</v>
      </c>
      <c r="C2654" s="20">
        <v>45826</v>
      </c>
      <c r="D2654" s="54">
        <v>50837237</v>
      </c>
      <c r="E2654" s="55" t="s">
        <v>1747</v>
      </c>
      <c r="G2654" s="68">
        <v>4925.6</v>
      </c>
      <c r="H2654" s="56" t="s">
        <v>82</v>
      </c>
      <c r="J2654" s="56" t="s">
        <v>2351</v>
      </c>
      <c r="L2654" s="56" t="s">
        <v>1227</v>
      </c>
      <c r="M2654" s="4" t="s">
        <v>660</v>
      </c>
      <c r="N2654" s="4" t="s">
        <v>428</v>
      </c>
      <c r="O2654" s="4" t="s">
        <v>178</v>
      </c>
    </row>
    <row r="2655" spans="2:15">
      <c r="B2655" s="20">
        <v>45826</v>
      </c>
      <c r="C2655" s="20">
        <v>45826</v>
      </c>
      <c r="D2655" s="54">
        <v>50470190</v>
      </c>
      <c r="E2655" s="55" t="s">
        <v>12</v>
      </c>
      <c r="G2655" s="68">
        <v>9273600</v>
      </c>
      <c r="H2655" s="56" t="s">
        <v>92</v>
      </c>
      <c r="J2655" s="56" t="s">
        <v>2352</v>
      </c>
      <c r="L2655" s="56" t="s">
        <v>1158</v>
      </c>
      <c r="M2655" s="4" t="s">
        <v>392</v>
      </c>
      <c r="N2655" s="4" t="s">
        <v>1275</v>
      </c>
      <c r="O2655" s="4" t="s">
        <v>1945</v>
      </c>
    </row>
    <row r="2656" spans="2:15">
      <c r="B2656" s="20">
        <v>45826</v>
      </c>
      <c r="C2656" s="20">
        <v>45826</v>
      </c>
      <c r="D2656" s="54">
        <v>50144376</v>
      </c>
      <c r="E2656" s="55" t="s">
        <v>19</v>
      </c>
      <c r="G2656" s="68">
        <v>10000</v>
      </c>
      <c r="H2656" s="56" t="s">
        <v>962</v>
      </c>
      <c r="J2656" s="56" t="s">
        <v>2353</v>
      </c>
      <c r="L2656" s="56" t="s">
        <v>262</v>
      </c>
      <c r="M2656" s="4" t="s">
        <v>262</v>
      </c>
      <c r="N2656" s="4" t="s">
        <v>1268</v>
      </c>
    </row>
    <row r="2657" spans="2:15">
      <c r="B2657" s="20">
        <v>45827</v>
      </c>
      <c r="C2657" s="20">
        <v>45827</v>
      </c>
      <c r="D2657" s="54">
        <v>50804970</v>
      </c>
      <c r="E2657" s="55" t="s">
        <v>857</v>
      </c>
      <c r="G2657" s="68">
        <v>6180000</v>
      </c>
      <c r="H2657" s="56" t="s">
        <v>92</v>
      </c>
      <c r="J2657" s="56" t="s">
        <v>2354</v>
      </c>
      <c r="L2657" s="56" t="s">
        <v>1621</v>
      </c>
      <c r="M2657" s="4" t="s">
        <v>1249</v>
      </c>
      <c r="N2657" s="4"/>
      <c r="O2657" s="4" t="s">
        <v>178</v>
      </c>
    </row>
    <row r="2658" spans="2:15">
      <c r="B2658" s="20">
        <v>45827</v>
      </c>
      <c r="C2658" s="20">
        <v>45827</v>
      </c>
      <c r="D2658" s="54">
        <v>50804971</v>
      </c>
      <c r="E2658" s="55" t="s">
        <v>855</v>
      </c>
      <c r="G2658" s="68">
        <v>5880000</v>
      </c>
      <c r="H2658" s="56" t="s">
        <v>92</v>
      </c>
      <c r="J2658" s="56" t="s">
        <v>2354</v>
      </c>
      <c r="L2658" s="56" t="s">
        <v>1621</v>
      </c>
      <c r="M2658" s="4" t="s">
        <v>1249</v>
      </c>
      <c r="N2658" s="4"/>
      <c r="O2658" s="4" t="s">
        <v>178</v>
      </c>
    </row>
    <row r="2659" spans="2:15">
      <c r="B2659" s="20">
        <v>45827</v>
      </c>
      <c r="C2659" s="20">
        <v>45827</v>
      </c>
      <c r="D2659" s="54">
        <v>50804929</v>
      </c>
      <c r="E2659" s="55" t="s">
        <v>856</v>
      </c>
      <c r="G2659" s="68">
        <v>70000</v>
      </c>
      <c r="H2659" s="56" t="s">
        <v>92</v>
      </c>
      <c r="J2659" s="56" t="s">
        <v>2354</v>
      </c>
      <c r="L2659" s="56" t="s">
        <v>1621</v>
      </c>
      <c r="M2659" s="4" t="s">
        <v>1249</v>
      </c>
      <c r="N2659" s="4"/>
      <c r="O2659" s="4" t="s">
        <v>178</v>
      </c>
    </row>
    <row r="2660" spans="2:15">
      <c r="B2660" s="20">
        <v>45828</v>
      </c>
      <c r="C2660" s="20">
        <v>45828</v>
      </c>
      <c r="D2660" s="54">
        <v>50142237</v>
      </c>
      <c r="E2660" s="55" t="s">
        <v>617</v>
      </c>
      <c r="G2660" s="68">
        <v>30000</v>
      </c>
      <c r="H2660" s="56" t="s">
        <v>92</v>
      </c>
      <c r="J2660" s="56" t="s">
        <v>2355</v>
      </c>
      <c r="L2660" s="56" t="s">
        <v>1015</v>
      </c>
      <c r="M2660" s="4" t="s">
        <v>1015</v>
      </c>
      <c r="N2660" s="4"/>
      <c r="O2660" s="4" t="s">
        <v>178</v>
      </c>
    </row>
    <row r="2661" spans="2:15">
      <c r="B2661" s="20">
        <v>45828</v>
      </c>
      <c r="C2661" s="20">
        <v>45828</v>
      </c>
      <c r="D2661" s="54">
        <v>40011080</v>
      </c>
      <c r="E2661" s="55" t="s">
        <v>420</v>
      </c>
      <c r="G2661" s="68">
        <v>11910</v>
      </c>
      <c r="H2661" s="56" t="s">
        <v>92</v>
      </c>
      <c r="J2661" s="56" t="s">
        <v>2356</v>
      </c>
      <c r="L2661" s="56" t="s">
        <v>1031</v>
      </c>
      <c r="M2661" s="4" t="s">
        <v>392</v>
      </c>
      <c r="N2661" s="4"/>
      <c r="O2661" s="4" t="s">
        <v>178</v>
      </c>
    </row>
    <row r="2662" spans="2:15">
      <c r="B2662" s="20">
        <v>45828</v>
      </c>
      <c r="C2662" s="20">
        <v>45828</v>
      </c>
      <c r="D2662" s="54">
        <v>40014675</v>
      </c>
      <c r="E2662" s="55" t="s">
        <v>44</v>
      </c>
      <c r="G2662" s="68">
        <v>114</v>
      </c>
      <c r="H2662" s="56" t="s">
        <v>80</v>
      </c>
      <c r="J2662" s="56" t="s">
        <v>1674</v>
      </c>
      <c r="L2662" s="56" t="s">
        <v>1791</v>
      </c>
      <c r="M2662" s="4" t="s">
        <v>1792</v>
      </c>
      <c r="N2662" s="4" t="s">
        <v>2300</v>
      </c>
      <c r="O2662" s="4" t="s">
        <v>178</v>
      </c>
    </row>
    <row r="2663" spans="2:15">
      <c r="B2663" s="20">
        <v>45828</v>
      </c>
      <c r="C2663" s="20">
        <v>45828</v>
      </c>
      <c r="D2663" s="54">
        <v>40014675</v>
      </c>
      <c r="E2663" s="55" t="s">
        <v>44</v>
      </c>
      <c r="G2663" s="68">
        <v>114</v>
      </c>
      <c r="H2663" s="56" t="s">
        <v>80</v>
      </c>
      <c r="J2663" s="56" t="s">
        <v>2357</v>
      </c>
      <c r="L2663" s="56" t="s">
        <v>1791</v>
      </c>
      <c r="M2663" s="4" t="s">
        <v>1792</v>
      </c>
      <c r="N2663" s="4" t="s">
        <v>1793</v>
      </c>
      <c r="O2663" s="4" t="s">
        <v>178</v>
      </c>
    </row>
    <row r="2664" spans="2:15">
      <c r="B2664" s="20">
        <v>45828</v>
      </c>
      <c r="C2664" s="20">
        <v>45828</v>
      </c>
      <c r="D2664" s="54">
        <v>40014675</v>
      </c>
      <c r="E2664" s="55" t="s">
        <v>44</v>
      </c>
      <c r="G2664" s="68">
        <v>114</v>
      </c>
      <c r="H2664" s="56" t="s">
        <v>80</v>
      </c>
      <c r="J2664" s="56" t="s">
        <v>2358</v>
      </c>
      <c r="L2664" s="56" t="s">
        <v>1791</v>
      </c>
      <c r="M2664" s="4" t="s">
        <v>1792</v>
      </c>
      <c r="N2664" s="4" t="s">
        <v>2300</v>
      </c>
      <c r="O2664" s="4" t="s">
        <v>178</v>
      </c>
    </row>
    <row r="2665" spans="2:15">
      <c r="B2665" s="20">
        <v>45828</v>
      </c>
      <c r="C2665" s="20">
        <v>45828</v>
      </c>
      <c r="D2665" s="54">
        <v>40014675</v>
      </c>
      <c r="E2665" s="55" t="s">
        <v>44</v>
      </c>
      <c r="G2665" s="68">
        <v>114</v>
      </c>
      <c r="H2665" s="56" t="s">
        <v>80</v>
      </c>
      <c r="J2665" s="56" t="s">
        <v>2359</v>
      </c>
      <c r="L2665" s="56" t="s">
        <v>1791</v>
      </c>
      <c r="M2665" s="4" t="s">
        <v>1792</v>
      </c>
      <c r="N2665" s="4" t="s">
        <v>1793</v>
      </c>
      <c r="O2665" s="4" t="s">
        <v>178</v>
      </c>
    </row>
    <row r="2666" spans="2:15">
      <c r="B2666" s="20">
        <v>45828</v>
      </c>
      <c r="C2666" s="20">
        <v>45828</v>
      </c>
      <c r="D2666" s="54">
        <v>50142519</v>
      </c>
      <c r="E2666" s="55" t="s">
        <v>1575</v>
      </c>
      <c r="G2666" s="68">
        <v>5000</v>
      </c>
      <c r="H2666" s="56" t="s">
        <v>92</v>
      </c>
      <c r="J2666" s="56" t="s">
        <v>2360</v>
      </c>
      <c r="L2666" s="56" t="s">
        <v>286</v>
      </c>
      <c r="N2666" s="4"/>
      <c r="O2666" s="4" t="s">
        <v>178</v>
      </c>
    </row>
    <row r="2667" spans="2:15">
      <c r="B2667" s="20">
        <v>45829</v>
      </c>
      <c r="C2667" s="20">
        <v>45829</v>
      </c>
      <c r="D2667" s="54">
        <v>40014675</v>
      </c>
      <c r="E2667" s="55" t="s">
        <v>44</v>
      </c>
      <c r="G2667" s="68">
        <v>114</v>
      </c>
      <c r="H2667" s="56" t="s">
        <v>80</v>
      </c>
      <c r="J2667" s="56" t="s">
        <v>2361</v>
      </c>
      <c r="L2667" s="56" t="s">
        <v>1791</v>
      </c>
      <c r="M2667" s="4" t="s">
        <v>1792</v>
      </c>
      <c r="N2667" s="4" t="s">
        <v>1793</v>
      </c>
      <c r="O2667" s="4" t="s">
        <v>178</v>
      </c>
    </row>
    <row r="2668" spans="2:15">
      <c r="B2668" s="20">
        <v>45829</v>
      </c>
      <c r="C2668" s="20">
        <v>45829</v>
      </c>
      <c r="D2668" s="54">
        <v>40014675</v>
      </c>
      <c r="E2668" s="55" t="s">
        <v>44</v>
      </c>
      <c r="G2668" s="68">
        <v>114</v>
      </c>
      <c r="H2668" s="56" t="s">
        <v>80</v>
      </c>
      <c r="J2668" s="56" t="s">
        <v>2362</v>
      </c>
      <c r="L2668" s="56" t="s">
        <v>1791</v>
      </c>
      <c r="M2668" s="4" t="s">
        <v>1792</v>
      </c>
      <c r="N2668" s="4" t="s">
        <v>2300</v>
      </c>
      <c r="O2668" s="4" t="s">
        <v>178</v>
      </c>
    </row>
    <row r="2669" spans="2:15">
      <c r="B2669" s="20">
        <v>45829</v>
      </c>
      <c r="C2669" s="20">
        <v>45829</v>
      </c>
      <c r="D2669" s="54">
        <v>40011659</v>
      </c>
      <c r="E2669" s="55" t="s">
        <v>89</v>
      </c>
      <c r="G2669" s="68">
        <v>6320</v>
      </c>
      <c r="J2669" s="56" t="s">
        <v>2363</v>
      </c>
      <c r="L2669" s="56" t="s">
        <v>423</v>
      </c>
      <c r="M2669" s="4" t="s">
        <v>392</v>
      </c>
      <c r="N2669" s="4"/>
      <c r="O2669" s="4" t="s">
        <v>178</v>
      </c>
    </row>
    <row r="2670" spans="2:15">
      <c r="B2670" s="20">
        <v>45832</v>
      </c>
      <c r="C2670" s="20">
        <v>45832</v>
      </c>
      <c r="D2670" s="54">
        <v>40014675</v>
      </c>
      <c r="E2670" s="55" t="s">
        <v>44</v>
      </c>
      <c r="G2670" s="68">
        <v>114</v>
      </c>
      <c r="H2670" s="56" t="s">
        <v>80</v>
      </c>
      <c r="J2670" s="56" t="s">
        <v>2364</v>
      </c>
      <c r="L2670" s="56" t="s">
        <v>1791</v>
      </c>
      <c r="M2670" s="4" t="s">
        <v>1792</v>
      </c>
      <c r="N2670" s="4" t="s">
        <v>2300</v>
      </c>
      <c r="O2670" s="4" t="s">
        <v>178</v>
      </c>
    </row>
    <row r="2671" spans="2:15">
      <c r="B2671" s="20">
        <v>45832</v>
      </c>
      <c r="C2671" s="20">
        <v>45832</v>
      </c>
      <c r="D2671" s="54">
        <v>40014675</v>
      </c>
      <c r="E2671" s="55" t="s">
        <v>44</v>
      </c>
      <c r="G2671" s="68">
        <v>114</v>
      </c>
      <c r="H2671" s="56" t="s">
        <v>80</v>
      </c>
      <c r="J2671" s="56" t="s">
        <v>2365</v>
      </c>
      <c r="L2671" s="56" t="s">
        <v>1791</v>
      </c>
      <c r="M2671" s="4" t="s">
        <v>1792</v>
      </c>
      <c r="N2671" s="4" t="s">
        <v>1793</v>
      </c>
      <c r="O2671" s="4" t="s">
        <v>178</v>
      </c>
    </row>
    <row r="2672" spans="2:15">
      <c r="B2672" s="20">
        <v>45832</v>
      </c>
      <c r="C2672" s="20">
        <v>45832</v>
      </c>
      <c r="D2672" s="54">
        <v>40014675</v>
      </c>
      <c r="E2672" s="55" t="s">
        <v>44</v>
      </c>
      <c r="G2672" s="68">
        <v>114</v>
      </c>
      <c r="H2672" s="56" t="s">
        <v>80</v>
      </c>
      <c r="J2672" s="56" t="s">
        <v>2366</v>
      </c>
      <c r="L2672" s="56" t="s">
        <v>1791</v>
      </c>
      <c r="M2672" s="4" t="s">
        <v>1792</v>
      </c>
      <c r="N2672" s="4" t="s">
        <v>2300</v>
      </c>
      <c r="O2672" s="4" t="s">
        <v>178</v>
      </c>
    </row>
    <row r="2673" spans="2:15">
      <c r="B2673" s="20">
        <v>45832</v>
      </c>
      <c r="C2673" s="20">
        <v>45832</v>
      </c>
      <c r="D2673" s="54">
        <v>40014675</v>
      </c>
      <c r="E2673" s="55" t="s">
        <v>44</v>
      </c>
      <c r="G2673" s="68">
        <v>114</v>
      </c>
      <c r="H2673" s="56" t="s">
        <v>80</v>
      </c>
      <c r="J2673" s="56" t="s">
        <v>2367</v>
      </c>
      <c r="L2673" s="56" t="s">
        <v>1791</v>
      </c>
      <c r="M2673" s="4" t="s">
        <v>1792</v>
      </c>
      <c r="N2673" s="4" t="s">
        <v>1793</v>
      </c>
      <c r="O2673" s="4" t="s">
        <v>178</v>
      </c>
    </row>
    <row r="2674" spans="2:15">
      <c r="B2674" s="20">
        <v>45832</v>
      </c>
      <c r="C2674" s="20">
        <v>45832</v>
      </c>
      <c r="D2674" s="54">
        <v>50824293</v>
      </c>
      <c r="E2674" s="55" t="s">
        <v>861</v>
      </c>
      <c r="G2674" s="68">
        <v>6560000</v>
      </c>
      <c r="H2674" s="56" t="s">
        <v>92</v>
      </c>
      <c r="J2674" s="56" t="s">
        <v>2368</v>
      </c>
      <c r="L2674" s="56" t="s">
        <v>1257</v>
      </c>
      <c r="M2674" s="4" t="s">
        <v>2004</v>
      </c>
      <c r="N2674" s="4" t="s">
        <v>2369</v>
      </c>
      <c r="O2674" s="4" t="s">
        <v>178</v>
      </c>
    </row>
    <row r="2675" spans="2:15">
      <c r="B2675" s="20">
        <v>45833</v>
      </c>
      <c r="C2675" s="20">
        <v>45833</v>
      </c>
      <c r="D2675" s="54">
        <v>50837283</v>
      </c>
      <c r="E2675" s="55" t="s">
        <v>30</v>
      </c>
      <c r="G2675" s="68">
        <v>2342.5</v>
      </c>
      <c r="H2675" s="56" t="s">
        <v>753</v>
      </c>
      <c r="J2675" s="56" t="s">
        <v>2370</v>
      </c>
      <c r="L2675" s="56" t="s">
        <v>1227</v>
      </c>
      <c r="M2675" s="4" t="s">
        <v>660</v>
      </c>
      <c r="N2675" s="4" t="s">
        <v>428</v>
      </c>
      <c r="O2675" s="4" t="s">
        <v>178</v>
      </c>
    </row>
    <row r="2676" spans="2:15">
      <c r="B2676" s="20">
        <v>45833</v>
      </c>
      <c r="C2676" s="20">
        <v>45833</v>
      </c>
      <c r="D2676" s="54">
        <v>50272278</v>
      </c>
      <c r="E2676" s="55" t="s">
        <v>21</v>
      </c>
      <c r="F2676" s="56">
        <v>10000</v>
      </c>
      <c r="G2676" s="68">
        <v>10000</v>
      </c>
      <c r="H2676" s="56" t="s">
        <v>92</v>
      </c>
      <c r="J2676" s="56" t="s">
        <v>2371</v>
      </c>
      <c r="L2676" s="56" t="s">
        <v>262</v>
      </c>
      <c r="M2676" s="4" t="s">
        <v>262</v>
      </c>
      <c r="N2676" s="4" t="s">
        <v>1268</v>
      </c>
      <c r="O2676" s="4" t="s">
        <v>178</v>
      </c>
    </row>
    <row r="2677" spans="2:15">
      <c r="B2677" s="20">
        <v>45834</v>
      </c>
      <c r="C2677" s="20">
        <v>45834</v>
      </c>
      <c r="D2677" s="54">
        <v>40014675</v>
      </c>
      <c r="E2677" s="55" t="s">
        <v>44</v>
      </c>
      <c r="G2677" s="68">
        <v>114</v>
      </c>
      <c r="H2677" s="56" t="s">
        <v>80</v>
      </c>
      <c r="J2677" s="56" t="s">
        <v>2372</v>
      </c>
      <c r="L2677" s="56" t="s">
        <v>1791</v>
      </c>
      <c r="M2677" s="4" t="s">
        <v>1792</v>
      </c>
      <c r="N2677" s="4" t="s">
        <v>2300</v>
      </c>
      <c r="O2677" s="4" t="s">
        <v>178</v>
      </c>
    </row>
    <row r="2678" spans="2:15">
      <c r="B2678" s="20">
        <v>45834</v>
      </c>
      <c r="C2678" s="20">
        <v>45834</v>
      </c>
      <c r="D2678" s="54">
        <v>40014675</v>
      </c>
      <c r="E2678" s="55" t="s">
        <v>44</v>
      </c>
      <c r="G2678" s="68">
        <v>114</v>
      </c>
      <c r="H2678" s="56" t="s">
        <v>80</v>
      </c>
      <c r="J2678" s="56" t="s">
        <v>2373</v>
      </c>
      <c r="L2678" s="56" t="s">
        <v>1791</v>
      </c>
      <c r="M2678" s="4" t="s">
        <v>1792</v>
      </c>
      <c r="N2678" s="4" t="s">
        <v>1793</v>
      </c>
      <c r="O2678" s="4" t="s">
        <v>178</v>
      </c>
    </row>
    <row r="2679" spans="2:15">
      <c r="B2679" s="20">
        <v>45834</v>
      </c>
      <c r="C2679" s="20">
        <v>45834</v>
      </c>
      <c r="D2679" s="54">
        <v>40014675</v>
      </c>
      <c r="E2679" s="55" t="s">
        <v>44</v>
      </c>
      <c r="G2679" s="68">
        <v>114</v>
      </c>
      <c r="H2679" s="56" t="s">
        <v>80</v>
      </c>
      <c r="J2679" s="56" t="s">
        <v>2374</v>
      </c>
      <c r="L2679" s="56" t="s">
        <v>1791</v>
      </c>
      <c r="M2679" s="4" t="s">
        <v>1792</v>
      </c>
      <c r="N2679" s="4" t="s">
        <v>2300</v>
      </c>
      <c r="O2679" s="4" t="s">
        <v>178</v>
      </c>
    </row>
    <row r="2680" spans="2:15">
      <c r="B2680" s="20">
        <v>45834</v>
      </c>
      <c r="C2680" s="20">
        <v>45834</v>
      </c>
      <c r="D2680" s="54">
        <v>40014675</v>
      </c>
      <c r="E2680" s="55" t="s">
        <v>44</v>
      </c>
      <c r="G2680" s="68">
        <v>114</v>
      </c>
      <c r="H2680" s="56" t="s">
        <v>80</v>
      </c>
      <c r="J2680" s="56" t="s">
        <v>2375</v>
      </c>
      <c r="L2680" s="56" t="s">
        <v>1791</v>
      </c>
      <c r="M2680" s="4" t="s">
        <v>1792</v>
      </c>
      <c r="N2680" s="4" t="s">
        <v>1793</v>
      </c>
      <c r="O2680" s="4" t="s">
        <v>178</v>
      </c>
    </row>
    <row r="2681" spans="2:15">
      <c r="B2681" s="20">
        <v>45835</v>
      </c>
      <c r="C2681" s="20">
        <v>45835</v>
      </c>
      <c r="D2681" s="54">
        <v>50272278</v>
      </c>
      <c r="E2681" s="55" t="s">
        <v>21</v>
      </c>
      <c r="G2681" s="68">
        <v>13000</v>
      </c>
      <c r="H2681" s="56" t="s">
        <v>92</v>
      </c>
      <c r="J2681" s="56" t="s">
        <v>2376</v>
      </c>
      <c r="L2681" s="56" t="s">
        <v>262</v>
      </c>
      <c r="M2681" s="4" t="s">
        <v>262</v>
      </c>
      <c r="N2681" s="4" t="s">
        <v>1268</v>
      </c>
      <c r="O2681" s="4" t="s">
        <v>178</v>
      </c>
    </row>
    <row r="2682" spans="2:15">
      <c r="B2682" s="20">
        <v>45836</v>
      </c>
      <c r="C2682" s="20">
        <v>45836</v>
      </c>
      <c r="D2682" s="54">
        <v>50143646</v>
      </c>
      <c r="E2682" s="55" t="s">
        <v>191</v>
      </c>
      <c r="G2682" s="68">
        <v>5280</v>
      </c>
      <c r="H2682" s="56" t="s">
        <v>987</v>
      </c>
      <c r="J2682" s="56" t="s">
        <v>2377</v>
      </c>
      <c r="L2682" s="56" t="s">
        <v>2378</v>
      </c>
      <c r="M2682" s="4" t="s">
        <v>209</v>
      </c>
      <c r="N2682" s="4" t="s">
        <v>2379</v>
      </c>
      <c r="O2682" s="4" t="s">
        <v>178</v>
      </c>
    </row>
    <row r="2683" spans="2:15">
      <c r="B2683" s="20">
        <v>45836</v>
      </c>
      <c r="C2683" s="20">
        <v>45836</v>
      </c>
      <c r="D2683" s="54">
        <v>50142334</v>
      </c>
      <c r="E2683" s="55" t="s">
        <v>257</v>
      </c>
      <c r="G2683" s="68">
        <v>20021.4</v>
      </c>
      <c r="H2683" s="56" t="s">
        <v>753</v>
      </c>
      <c r="J2683" s="56">
        <v>832194008</v>
      </c>
      <c r="L2683" s="56" t="s">
        <v>624</v>
      </c>
      <c r="N2683" s="4"/>
    </row>
    <row r="2684" spans="2:15">
      <c r="B2684" s="20">
        <v>45836</v>
      </c>
      <c r="C2684" s="20">
        <v>45836</v>
      </c>
      <c r="D2684" s="54">
        <v>50142327</v>
      </c>
      <c r="E2684" s="55" t="s">
        <v>256</v>
      </c>
      <c r="G2684" s="68">
        <v>20021.4</v>
      </c>
      <c r="H2684" s="56" t="s">
        <v>753</v>
      </c>
      <c r="J2684" s="56">
        <v>8302194009</v>
      </c>
      <c r="L2684" s="56" t="s">
        <v>624</v>
      </c>
      <c r="N2684" s="4"/>
    </row>
    <row r="2685" spans="2:15">
      <c r="B2685" s="20">
        <v>45838</v>
      </c>
      <c r="C2685" s="20">
        <v>45838</v>
      </c>
      <c r="D2685" s="54">
        <v>50010080</v>
      </c>
      <c r="E2685" s="55" t="s">
        <v>1657</v>
      </c>
      <c r="G2685" s="68">
        <v>20000</v>
      </c>
      <c r="H2685" s="56" t="s">
        <v>82</v>
      </c>
      <c r="J2685" s="56" t="s">
        <v>2380</v>
      </c>
      <c r="L2685" s="56" t="s">
        <v>355</v>
      </c>
      <c r="M2685" s="4" t="s">
        <v>650</v>
      </c>
      <c r="N2685" s="4"/>
    </row>
    <row r="2686" spans="2:15">
      <c r="B2686" s="20">
        <v>45839</v>
      </c>
      <c r="C2686" s="20">
        <v>45839</v>
      </c>
      <c r="D2686" s="54">
        <v>50272278</v>
      </c>
      <c r="E2686" s="55" t="s">
        <v>21</v>
      </c>
      <c r="G2686" s="68">
        <v>8000</v>
      </c>
      <c r="H2686" s="56" t="s">
        <v>92</v>
      </c>
      <c r="J2686" s="56" t="s">
        <v>2381</v>
      </c>
      <c r="L2686" s="56" t="s">
        <v>262</v>
      </c>
      <c r="M2686" s="4" t="s">
        <v>262</v>
      </c>
      <c r="N2686" s="4" t="s">
        <v>1268</v>
      </c>
      <c r="O2686" s="4" t="s">
        <v>178</v>
      </c>
    </row>
    <row r="2687" spans="2:15">
      <c r="B2687" s="20">
        <v>45839</v>
      </c>
      <c r="C2687" s="20">
        <v>45839</v>
      </c>
      <c r="D2687" s="54">
        <v>50272278</v>
      </c>
      <c r="E2687" s="55" t="s">
        <v>21</v>
      </c>
      <c r="G2687" s="68">
        <v>5900</v>
      </c>
      <c r="H2687" s="56" t="s">
        <v>92</v>
      </c>
      <c r="J2687" s="56" t="s">
        <v>2382</v>
      </c>
      <c r="L2687" s="56" t="s">
        <v>262</v>
      </c>
      <c r="M2687" s="4" t="s">
        <v>262</v>
      </c>
      <c r="N2687" s="4" t="s">
        <v>1268</v>
      </c>
      <c r="O2687" s="4" t="s">
        <v>178</v>
      </c>
    </row>
    <row r="2688" spans="2:15">
      <c r="B2688" s="20">
        <v>45840</v>
      </c>
      <c r="C2688" s="20">
        <v>45840</v>
      </c>
      <c r="D2688" s="54">
        <v>40014900</v>
      </c>
      <c r="E2688" s="55" t="s">
        <v>153</v>
      </c>
      <c r="G2688" s="68">
        <v>114</v>
      </c>
      <c r="H2688" s="56" t="s">
        <v>80</v>
      </c>
      <c r="J2688" s="56" t="s">
        <v>2383</v>
      </c>
      <c r="L2688" s="56" t="s">
        <v>1791</v>
      </c>
      <c r="M2688" s="4" t="s">
        <v>1792</v>
      </c>
      <c r="N2688" s="4" t="s">
        <v>1793</v>
      </c>
      <c r="O2688" s="4" t="s">
        <v>178</v>
      </c>
    </row>
    <row r="2689" spans="2:15">
      <c r="B2689" s="20">
        <v>45840</v>
      </c>
      <c r="C2689" s="20">
        <v>45840</v>
      </c>
      <c r="D2689" s="54">
        <v>40014900</v>
      </c>
      <c r="E2689" s="55" t="s">
        <v>153</v>
      </c>
      <c r="G2689" s="68">
        <v>114</v>
      </c>
      <c r="H2689" s="56" t="s">
        <v>80</v>
      </c>
      <c r="J2689" s="56" t="s">
        <v>2384</v>
      </c>
      <c r="L2689" s="56" t="s">
        <v>1791</v>
      </c>
      <c r="M2689" s="4" t="s">
        <v>1792</v>
      </c>
      <c r="N2689" s="4" t="s">
        <v>2300</v>
      </c>
      <c r="O2689" s="4" t="s">
        <v>178</v>
      </c>
    </row>
    <row r="2690" spans="2:15">
      <c r="B2690" s="20">
        <v>45840</v>
      </c>
      <c r="C2690" s="20">
        <v>45840</v>
      </c>
      <c r="D2690" s="54">
        <v>40014900</v>
      </c>
      <c r="E2690" s="55" t="s">
        <v>153</v>
      </c>
      <c r="G2690" s="68">
        <v>114</v>
      </c>
      <c r="H2690" s="56" t="s">
        <v>80</v>
      </c>
      <c r="J2690" s="56" t="s">
        <v>2385</v>
      </c>
      <c r="L2690" s="56" t="s">
        <v>1791</v>
      </c>
      <c r="M2690" s="4" t="s">
        <v>1792</v>
      </c>
      <c r="N2690" s="4" t="s">
        <v>1793</v>
      </c>
      <c r="O2690" s="4" t="s">
        <v>178</v>
      </c>
    </row>
    <row r="2691" spans="2:15">
      <c r="B2691" s="20">
        <v>45840</v>
      </c>
      <c r="C2691" s="20">
        <v>45840</v>
      </c>
      <c r="D2691" s="54">
        <v>40014900</v>
      </c>
      <c r="E2691" s="55" t="s">
        <v>153</v>
      </c>
      <c r="G2691" s="68">
        <v>114</v>
      </c>
      <c r="H2691" s="56" t="s">
        <v>80</v>
      </c>
      <c r="J2691" s="56" t="s">
        <v>2386</v>
      </c>
      <c r="L2691" s="56" t="s">
        <v>1791</v>
      </c>
      <c r="M2691" s="4" t="s">
        <v>1792</v>
      </c>
      <c r="N2691" s="4" t="s">
        <v>2300</v>
      </c>
      <c r="O2691" s="4" t="s">
        <v>178</v>
      </c>
    </row>
    <row r="2692" spans="2:15">
      <c r="B2692" s="20">
        <v>45840</v>
      </c>
      <c r="C2692" s="20">
        <v>45840</v>
      </c>
      <c r="D2692" s="54">
        <v>50142631</v>
      </c>
      <c r="E2692" s="55" t="s">
        <v>566</v>
      </c>
      <c r="G2692" s="68">
        <v>3000</v>
      </c>
      <c r="H2692" s="56" t="s">
        <v>82</v>
      </c>
      <c r="J2692" s="56" t="s">
        <v>2387</v>
      </c>
      <c r="L2692" s="56" t="s">
        <v>2134</v>
      </c>
      <c r="M2692" s="4" t="s">
        <v>2134</v>
      </c>
      <c r="N2692" s="4"/>
      <c r="O2692" s="4" t="s">
        <v>178</v>
      </c>
    </row>
    <row r="2693" spans="2:15">
      <c r="B2693" s="20">
        <v>45840</v>
      </c>
      <c r="C2693" s="20">
        <v>45840</v>
      </c>
      <c r="D2693" s="54">
        <v>40014900</v>
      </c>
      <c r="E2693" s="55" t="s">
        <v>153</v>
      </c>
      <c r="G2693" s="68">
        <f>23*3.8</f>
        <v>87.4</v>
      </c>
      <c r="H2693" s="56" t="s">
        <v>80</v>
      </c>
      <c r="J2693" s="56" t="s">
        <v>2388</v>
      </c>
      <c r="L2693" s="56" t="s">
        <v>1791</v>
      </c>
      <c r="M2693" s="4" t="s">
        <v>1792</v>
      </c>
      <c r="N2693" s="4" t="s">
        <v>2300</v>
      </c>
      <c r="O2693" s="4" t="s">
        <v>178</v>
      </c>
    </row>
    <row r="2694" spans="2:15">
      <c r="B2694" s="20">
        <v>45841</v>
      </c>
      <c r="C2694" s="20">
        <v>45841</v>
      </c>
      <c r="D2694" s="54">
        <v>50397884</v>
      </c>
      <c r="E2694" s="55" t="s">
        <v>1296</v>
      </c>
      <c r="G2694" s="68">
        <v>5928.75</v>
      </c>
      <c r="H2694" s="56" t="s">
        <v>80</v>
      </c>
      <c r="J2694" s="56">
        <v>12500965</v>
      </c>
      <c r="L2694" s="56" t="s">
        <v>2320</v>
      </c>
      <c r="M2694" s="4" t="s">
        <v>392</v>
      </c>
      <c r="N2694" s="4"/>
      <c r="O2694" s="4" t="s">
        <v>178</v>
      </c>
    </row>
    <row r="2695" spans="2:15">
      <c r="B2695" s="20">
        <v>45841</v>
      </c>
      <c r="C2695" s="20">
        <v>45841</v>
      </c>
      <c r="D2695" s="54">
        <v>50272278</v>
      </c>
      <c r="E2695" s="55" t="s">
        <v>21</v>
      </c>
      <c r="G2695" s="68">
        <v>9600</v>
      </c>
      <c r="H2695" s="56" t="s">
        <v>92</v>
      </c>
      <c r="J2695" s="56" t="s">
        <v>2389</v>
      </c>
      <c r="L2695" s="56" t="s">
        <v>262</v>
      </c>
      <c r="M2695" s="4" t="s">
        <v>262</v>
      </c>
      <c r="N2695" s="4"/>
      <c r="O2695" s="4" t="s">
        <v>178</v>
      </c>
    </row>
    <row r="2696" spans="2:15">
      <c r="B2696" s="20">
        <v>45842</v>
      </c>
      <c r="C2696" s="20">
        <v>45842</v>
      </c>
      <c r="D2696" s="54">
        <v>50272278</v>
      </c>
      <c r="E2696" s="55" t="s">
        <v>21</v>
      </c>
      <c r="G2696" s="68">
        <v>15600</v>
      </c>
      <c r="H2696" s="56" t="s">
        <v>92</v>
      </c>
      <c r="J2696" s="56" t="s">
        <v>2390</v>
      </c>
      <c r="L2696" s="56" t="s">
        <v>262</v>
      </c>
      <c r="M2696" s="4" t="s">
        <v>262</v>
      </c>
      <c r="N2696" s="4" t="s">
        <v>1268</v>
      </c>
      <c r="O2696" s="4" t="s">
        <v>178</v>
      </c>
    </row>
    <row r="2697" spans="2:15">
      <c r="B2697" s="20">
        <v>45842</v>
      </c>
      <c r="C2697" s="20">
        <v>45842</v>
      </c>
      <c r="D2697" s="54">
        <v>50837237</v>
      </c>
      <c r="E2697" s="55" t="s">
        <v>1747</v>
      </c>
      <c r="G2697" s="68">
        <v>5126.6</v>
      </c>
      <c r="H2697" s="56" t="s">
        <v>987</v>
      </c>
      <c r="J2697" s="56" t="s">
        <v>2391</v>
      </c>
      <c r="L2697" s="56" t="s">
        <v>1227</v>
      </c>
      <c r="M2697" s="4" t="s">
        <v>660</v>
      </c>
      <c r="N2697" s="4" t="s">
        <v>428</v>
      </c>
      <c r="O2697" s="4" t="s">
        <v>178</v>
      </c>
    </row>
    <row r="2698" spans="2:15">
      <c r="B2698" s="20">
        <v>45842</v>
      </c>
      <c r="C2698" s="20">
        <v>45842</v>
      </c>
      <c r="D2698" s="54">
        <v>50837284</v>
      </c>
      <c r="E2698" s="55" t="s">
        <v>28</v>
      </c>
      <c r="G2698" s="68">
        <v>3536.7</v>
      </c>
      <c r="H2698" s="56" t="s">
        <v>987</v>
      </c>
      <c r="J2698" s="56" t="s">
        <v>2392</v>
      </c>
      <c r="L2698" s="56" t="s">
        <v>1227</v>
      </c>
      <c r="M2698" s="4" t="s">
        <v>660</v>
      </c>
      <c r="N2698" s="4" t="s">
        <v>428</v>
      </c>
      <c r="O2698" s="4" t="s">
        <v>178</v>
      </c>
    </row>
    <row r="2699" spans="2:15">
      <c r="B2699" s="20">
        <v>45842</v>
      </c>
      <c r="C2699" s="20">
        <v>45842</v>
      </c>
      <c r="D2699" s="54">
        <v>50793278</v>
      </c>
      <c r="E2699" s="55" t="s">
        <v>1086</v>
      </c>
      <c r="G2699" s="68">
        <v>100</v>
      </c>
      <c r="H2699" s="56" t="s">
        <v>1087</v>
      </c>
      <c r="J2699" s="56">
        <v>1007087252</v>
      </c>
      <c r="L2699" s="56" t="s">
        <v>175</v>
      </c>
      <c r="M2699" s="4" t="s">
        <v>392</v>
      </c>
      <c r="N2699" s="4"/>
      <c r="O2699" s="4" t="s">
        <v>178</v>
      </c>
    </row>
    <row r="2700" spans="2:15">
      <c r="B2700" s="20">
        <v>45845</v>
      </c>
      <c r="C2700" s="20">
        <v>45845</v>
      </c>
      <c r="D2700" s="54">
        <v>50144376</v>
      </c>
      <c r="E2700" s="55" t="s">
        <v>19</v>
      </c>
      <c r="G2700" s="68">
        <v>13000</v>
      </c>
      <c r="H2700" s="56" t="s">
        <v>92</v>
      </c>
      <c r="J2700" s="56" t="s">
        <v>2393</v>
      </c>
      <c r="L2700" s="56" t="s">
        <v>262</v>
      </c>
      <c r="M2700" s="4" t="s">
        <v>262</v>
      </c>
      <c r="N2700" s="4" t="s">
        <v>1268</v>
      </c>
      <c r="O2700" s="4" t="s">
        <v>178</v>
      </c>
    </row>
    <row r="2701" spans="2:15">
      <c r="B2701" s="20">
        <v>45845</v>
      </c>
      <c r="C2701" s="20">
        <v>45845</v>
      </c>
      <c r="D2701" s="54">
        <v>50802401</v>
      </c>
      <c r="E2701" s="55" t="s">
        <v>13</v>
      </c>
      <c r="G2701" s="68">
        <v>9273600</v>
      </c>
      <c r="H2701" s="56" t="s">
        <v>92</v>
      </c>
      <c r="J2701" s="56" t="s">
        <v>2394</v>
      </c>
      <c r="L2701" s="56" t="s">
        <v>789</v>
      </c>
      <c r="M2701" s="4" t="s">
        <v>2152</v>
      </c>
      <c r="N2701" s="4" t="s">
        <v>177</v>
      </c>
      <c r="O2701" s="4" t="s">
        <v>1945</v>
      </c>
    </row>
    <row r="2702" spans="2:15">
      <c r="B2702" s="20">
        <v>45846</v>
      </c>
      <c r="C2702" s="20">
        <v>45846</v>
      </c>
      <c r="D2702" s="54">
        <v>50470190</v>
      </c>
      <c r="E2702" s="55" t="s">
        <v>12</v>
      </c>
      <c r="G2702" s="68">
        <v>9273600</v>
      </c>
      <c r="H2702" s="56" t="s">
        <v>92</v>
      </c>
      <c r="J2702" s="56" t="s">
        <v>2395</v>
      </c>
      <c r="L2702" s="56" t="s">
        <v>958</v>
      </c>
      <c r="M2702" s="4" t="s">
        <v>2396</v>
      </c>
      <c r="N2702" s="4" t="s">
        <v>2397</v>
      </c>
      <c r="O2702" s="4" t="s">
        <v>178</v>
      </c>
    </row>
    <row r="2703" spans="2:15">
      <c r="B2703" s="20">
        <v>45846</v>
      </c>
      <c r="C2703" s="20">
        <v>45846</v>
      </c>
      <c r="D2703" s="54">
        <v>50141786</v>
      </c>
      <c r="E2703" s="55" t="s">
        <v>188</v>
      </c>
      <c r="G2703" s="68">
        <v>9135</v>
      </c>
      <c r="H2703" s="56" t="s">
        <v>82</v>
      </c>
      <c r="J2703" s="56">
        <v>310408</v>
      </c>
      <c r="L2703" s="56" t="s">
        <v>1060</v>
      </c>
      <c r="M2703" s="4" t="s">
        <v>209</v>
      </c>
      <c r="N2703" s="4"/>
      <c r="O2703" s="4" t="s">
        <v>178</v>
      </c>
    </row>
    <row r="2704" spans="2:15">
      <c r="B2704" s="20">
        <v>45846</v>
      </c>
      <c r="C2704" s="20">
        <v>45846</v>
      </c>
      <c r="D2704" s="54">
        <v>50142281</v>
      </c>
      <c r="E2704" s="55" t="s">
        <v>204</v>
      </c>
      <c r="G2704" s="68">
        <v>13500</v>
      </c>
      <c r="H2704" s="56" t="s">
        <v>82</v>
      </c>
      <c r="J2704" s="56">
        <v>97830874</v>
      </c>
      <c r="L2704" s="56" t="s">
        <v>2059</v>
      </c>
      <c r="M2704" s="4" t="s">
        <v>1358</v>
      </c>
      <c r="N2704" s="4"/>
      <c r="O2704" s="4" t="s">
        <v>178</v>
      </c>
    </row>
    <row r="2705" spans="2:15">
      <c r="B2705" s="20">
        <v>45846</v>
      </c>
      <c r="C2705" s="20">
        <v>45846</v>
      </c>
      <c r="D2705" s="54">
        <v>40009543</v>
      </c>
      <c r="E2705" s="55" t="s">
        <v>473</v>
      </c>
      <c r="G2705" s="68">
        <v>2944</v>
      </c>
      <c r="H2705" s="56" t="s">
        <v>80</v>
      </c>
      <c r="J2705" s="56">
        <v>1007344804</v>
      </c>
      <c r="L2705" s="56" t="s">
        <v>175</v>
      </c>
      <c r="M2705" s="4" t="s">
        <v>520</v>
      </c>
      <c r="N2705" s="4"/>
      <c r="O2705" s="4" t="s">
        <v>178</v>
      </c>
    </row>
    <row r="2706" spans="2:15">
      <c r="B2706" s="20">
        <v>45846</v>
      </c>
      <c r="C2706" s="20">
        <v>45846</v>
      </c>
      <c r="D2706" s="54">
        <v>40007939</v>
      </c>
      <c r="E2706" s="55" t="s">
        <v>476</v>
      </c>
      <c r="G2706" s="68">
        <v>702</v>
      </c>
      <c r="H2706" s="56" t="s">
        <v>80</v>
      </c>
      <c r="J2706" s="56">
        <v>1007344804</v>
      </c>
      <c r="L2706" s="56" t="s">
        <v>175</v>
      </c>
      <c r="M2706" s="4" t="s">
        <v>520</v>
      </c>
      <c r="N2706" s="4"/>
      <c r="O2706" s="4" t="s">
        <v>178</v>
      </c>
    </row>
    <row r="2707" spans="2:15">
      <c r="B2707" s="20">
        <v>45846</v>
      </c>
      <c r="C2707" s="20">
        <v>45846</v>
      </c>
      <c r="D2707" s="54">
        <v>400110376</v>
      </c>
      <c r="E2707" s="55" t="s">
        <v>84</v>
      </c>
      <c r="G2707" s="68">
        <v>4348</v>
      </c>
      <c r="H2707" s="56" t="s">
        <v>80</v>
      </c>
      <c r="J2707" s="56">
        <v>1007344804</v>
      </c>
      <c r="L2707" s="56" t="s">
        <v>175</v>
      </c>
      <c r="M2707" s="4" t="s">
        <v>520</v>
      </c>
      <c r="N2707" s="4"/>
      <c r="O2707" s="4" t="s">
        <v>178</v>
      </c>
    </row>
    <row r="2708" spans="2:15">
      <c r="B2708" s="20">
        <v>45846</v>
      </c>
      <c r="C2708" s="20">
        <v>45846</v>
      </c>
      <c r="D2708" s="54">
        <v>40009541</v>
      </c>
      <c r="E2708" s="55" t="s">
        <v>685</v>
      </c>
      <c r="G2708" s="68">
        <v>3830</v>
      </c>
      <c r="H2708" s="56" t="s">
        <v>80</v>
      </c>
      <c r="J2708" s="56">
        <v>1007344804</v>
      </c>
      <c r="L2708" s="56" t="s">
        <v>175</v>
      </c>
      <c r="M2708" s="4" t="s">
        <v>520</v>
      </c>
      <c r="N2708" s="4"/>
      <c r="O2708" s="4" t="s">
        <v>178</v>
      </c>
    </row>
    <row r="2709" spans="2:15">
      <c r="B2709" s="20">
        <v>45846</v>
      </c>
      <c r="C2709" s="20">
        <v>45846</v>
      </c>
      <c r="D2709" s="54">
        <v>40007940</v>
      </c>
      <c r="E2709" s="55" t="s">
        <v>477</v>
      </c>
      <c r="G2709" s="68">
        <v>392</v>
      </c>
      <c r="H2709" s="56" t="s">
        <v>80</v>
      </c>
      <c r="J2709" s="56">
        <v>1007344804</v>
      </c>
      <c r="L2709" s="56" t="s">
        <v>175</v>
      </c>
      <c r="M2709" s="4" t="s">
        <v>520</v>
      </c>
      <c r="N2709" s="4"/>
      <c r="O2709" s="4" t="s">
        <v>178</v>
      </c>
    </row>
    <row r="2710" spans="2:15">
      <c r="B2710" s="20">
        <v>45846</v>
      </c>
      <c r="C2710" s="20">
        <v>45846</v>
      </c>
      <c r="D2710" s="54">
        <v>50837238</v>
      </c>
      <c r="E2710" s="55" t="s">
        <v>1976</v>
      </c>
      <c r="G2710" s="68">
        <v>4240.65</v>
      </c>
      <c r="H2710" s="56" t="s">
        <v>987</v>
      </c>
      <c r="J2710" s="56" t="s">
        <v>2398</v>
      </c>
      <c r="L2710" s="56" t="s">
        <v>1227</v>
      </c>
      <c r="M2710" s="4" t="s">
        <v>660</v>
      </c>
      <c r="N2710" s="4" t="s">
        <v>428</v>
      </c>
      <c r="O2710" s="4" t="s">
        <v>178</v>
      </c>
    </row>
    <row r="2711" spans="2:15">
      <c r="B2711" s="20">
        <v>45846</v>
      </c>
      <c r="C2711" s="20">
        <v>45846</v>
      </c>
      <c r="D2711" s="54">
        <v>50272278</v>
      </c>
      <c r="E2711" s="55" t="s">
        <v>21</v>
      </c>
      <c r="G2711" s="68">
        <v>15600</v>
      </c>
      <c r="H2711" s="56" t="s">
        <v>92</v>
      </c>
      <c r="J2711" s="56" t="s">
        <v>2399</v>
      </c>
      <c r="L2711" s="56" t="s">
        <v>262</v>
      </c>
      <c r="M2711" s="4" t="s">
        <v>262</v>
      </c>
      <c r="N2711" s="4" t="s">
        <v>1268</v>
      </c>
      <c r="O2711" s="4" t="s">
        <v>178</v>
      </c>
    </row>
    <row r="2712" spans="2:15">
      <c r="B2712" s="20">
        <v>45847</v>
      </c>
      <c r="C2712" s="20">
        <v>45847</v>
      </c>
      <c r="D2712" s="54">
        <v>50837283</v>
      </c>
      <c r="E2712" s="55" t="s">
        <v>30</v>
      </c>
      <c r="G2712" s="68">
        <v>3582.85</v>
      </c>
      <c r="H2712" s="56" t="s">
        <v>987</v>
      </c>
      <c r="J2712" s="56" t="s">
        <v>2400</v>
      </c>
      <c r="L2712" s="56" t="s">
        <v>1227</v>
      </c>
      <c r="M2712" s="4" t="s">
        <v>660</v>
      </c>
      <c r="N2712" s="4" t="s">
        <v>353</v>
      </c>
      <c r="O2712" s="4" t="s">
        <v>178</v>
      </c>
    </row>
    <row r="2713" spans="2:15">
      <c r="B2713" s="20">
        <v>45847</v>
      </c>
      <c r="C2713" s="20">
        <v>45847</v>
      </c>
      <c r="D2713" s="54">
        <v>50837268</v>
      </c>
      <c r="E2713" s="55" t="s">
        <v>2401</v>
      </c>
      <c r="G2713" s="68">
        <v>2924</v>
      </c>
      <c r="H2713" s="56" t="s">
        <v>987</v>
      </c>
      <c r="J2713" s="56" t="s">
        <v>2400</v>
      </c>
      <c r="L2713" s="56" t="s">
        <v>1227</v>
      </c>
      <c r="M2713" s="4" t="s">
        <v>660</v>
      </c>
      <c r="N2713" s="4" t="s">
        <v>353</v>
      </c>
      <c r="O2713" s="4" t="s">
        <v>178</v>
      </c>
    </row>
    <row r="2714" spans="2:15">
      <c r="B2714" s="20">
        <v>45847</v>
      </c>
      <c r="C2714" s="20">
        <v>45847</v>
      </c>
      <c r="D2714" s="54">
        <v>50272278</v>
      </c>
      <c r="E2714" s="55" t="s">
        <v>21</v>
      </c>
      <c r="G2714" s="68">
        <v>15600</v>
      </c>
      <c r="H2714" s="56" t="s">
        <v>92</v>
      </c>
      <c r="J2714" s="56" t="s">
        <v>2402</v>
      </c>
      <c r="L2714" s="56" t="s">
        <v>262</v>
      </c>
      <c r="M2714" s="4" t="s">
        <v>262</v>
      </c>
      <c r="N2714" s="4" t="s">
        <v>1268</v>
      </c>
      <c r="O2714" s="4" t="s">
        <v>178</v>
      </c>
    </row>
    <row r="2715" spans="2:15">
      <c r="B2715" s="20">
        <v>45847</v>
      </c>
      <c r="C2715" s="20">
        <v>45847</v>
      </c>
      <c r="D2715" s="54">
        <v>50142619</v>
      </c>
      <c r="E2715" s="55" t="s">
        <v>433</v>
      </c>
      <c r="G2715" s="68">
        <v>616</v>
      </c>
      <c r="H2715" s="56" t="s">
        <v>987</v>
      </c>
      <c r="J2715" s="56" t="s">
        <v>2403</v>
      </c>
      <c r="L2715" s="56" t="s">
        <v>2308</v>
      </c>
      <c r="M2715" s="4" t="s">
        <v>2308</v>
      </c>
      <c r="N2715" s="4"/>
      <c r="O2715" s="4" t="s">
        <v>178</v>
      </c>
    </row>
    <row r="2716" spans="2:15">
      <c r="B2716" s="20">
        <v>45848</v>
      </c>
      <c r="C2716" s="20">
        <v>45848</v>
      </c>
      <c r="D2716" s="54">
        <v>40014675</v>
      </c>
      <c r="E2716" s="55" t="s">
        <v>44</v>
      </c>
      <c r="G2716" s="68">
        <v>114</v>
      </c>
      <c r="H2716" s="56" t="s">
        <v>1248</v>
      </c>
      <c r="J2716" s="56" t="s">
        <v>2404</v>
      </c>
      <c r="L2716" s="56" t="s">
        <v>1791</v>
      </c>
      <c r="M2716" s="4" t="s">
        <v>1792</v>
      </c>
      <c r="N2716" s="4" t="s">
        <v>1793</v>
      </c>
      <c r="O2716" s="4" t="s">
        <v>178</v>
      </c>
    </row>
    <row r="2717" spans="2:15">
      <c r="B2717" s="20">
        <v>45848</v>
      </c>
      <c r="C2717" s="20">
        <v>45848</v>
      </c>
      <c r="D2717" s="54">
        <v>40014675</v>
      </c>
      <c r="E2717" s="55" t="s">
        <v>44</v>
      </c>
      <c r="G2717" s="68">
        <v>114</v>
      </c>
      <c r="H2717" s="56" t="s">
        <v>1248</v>
      </c>
      <c r="J2717" s="56" t="s">
        <v>2405</v>
      </c>
      <c r="L2717" s="56" t="s">
        <v>1791</v>
      </c>
      <c r="M2717" s="4" t="s">
        <v>1792</v>
      </c>
      <c r="N2717" s="4" t="s">
        <v>2300</v>
      </c>
      <c r="O2717" s="4" t="s">
        <v>178</v>
      </c>
    </row>
    <row r="2718" spans="2:15">
      <c r="B2718" s="20">
        <v>45848</v>
      </c>
      <c r="C2718" s="20">
        <v>45848</v>
      </c>
      <c r="D2718" s="54">
        <v>50837268</v>
      </c>
      <c r="E2718" s="55" t="s">
        <v>2401</v>
      </c>
      <c r="G2718" s="68">
        <v>785</v>
      </c>
      <c r="H2718" s="56" t="s">
        <v>987</v>
      </c>
      <c r="J2718" s="56" t="s">
        <v>2406</v>
      </c>
      <c r="L2718" s="56" t="s">
        <v>1227</v>
      </c>
      <c r="M2718" s="4" t="s">
        <v>660</v>
      </c>
      <c r="N2718" s="4" t="s">
        <v>2407</v>
      </c>
      <c r="O2718" s="4" t="s">
        <v>178</v>
      </c>
    </row>
    <row r="2719" spans="2:15">
      <c r="B2719" s="20">
        <v>45848</v>
      </c>
      <c r="C2719" s="20">
        <v>45848</v>
      </c>
      <c r="D2719" s="54">
        <v>50837284</v>
      </c>
      <c r="E2719" s="55" t="s">
        <v>28</v>
      </c>
      <c r="G2719" s="68">
        <v>2008.5</v>
      </c>
      <c r="H2719" s="56" t="s">
        <v>987</v>
      </c>
      <c r="J2719" s="56" t="s">
        <v>2408</v>
      </c>
      <c r="L2719" s="56" t="s">
        <v>1227</v>
      </c>
      <c r="M2719" s="4" t="s">
        <v>660</v>
      </c>
      <c r="N2719" s="4" t="s">
        <v>2407</v>
      </c>
      <c r="O2719" s="4" t="s">
        <v>178</v>
      </c>
    </row>
    <row r="2720" spans="2:15">
      <c r="B2720" s="20">
        <v>45848</v>
      </c>
      <c r="C2720" s="20">
        <v>45848</v>
      </c>
      <c r="D2720" s="54">
        <v>40014675</v>
      </c>
      <c r="E2720" s="55" t="s">
        <v>44</v>
      </c>
      <c r="G2720" s="68">
        <v>114</v>
      </c>
      <c r="H2720" s="56" t="s">
        <v>1248</v>
      </c>
      <c r="J2720" s="56" t="s">
        <v>2409</v>
      </c>
      <c r="L2720" s="56" t="s">
        <v>1791</v>
      </c>
      <c r="M2720" s="4" t="s">
        <v>1792</v>
      </c>
      <c r="N2720" s="4" t="s">
        <v>1793</v>
      </c>
      <c r="O2720" s="4" t="s">
        <v>178</v>
      </c>
    </row>
    <row r="2721" spans="2:15">
      <c r="B2721" s="20">
        <v>45849</v>
      </c>
      <c r="C2721" s="20">
        <v>45849</v>
      </c>
      <c r="D2721" s="54">
        <v>40014675</v>
      </c>
      <c r="E2721" s="55" t="s">
        <v>44</v>
      </c>
      <c r="G2721" s="68">
        <v>98.8</v>
      </c>
      <c r="H2721" s="56" t="s">
        <v>1248</v>
      </c>
      <c r="J2721" s="56" t="s">
        <v>2410</v>
      </c>
      <c r="L2721" s="56" t="s">
        <v>1791</v>
      </c>
      <c r="M2721" s="4" t="s">
        <v>1792</v>
      </c>
      <c r="N2721" s="4" t="s">
        <v>2300</v>
      </c>
      <c r="O2721" s="4" t="s">
        <v>178</v>
      </c>
    </row>
    <row r="2722" spans="2:15">
      <c r="B2722" s="20">
        <v>45849</v>
      </c>
      <c r="C2722" s="20">
        <v>45849</v>
      </c>
      <c r="D2722" s="54">
        <v>50272278</v>
      </c>
      <c r="E2722" s="55" t="s">
        <v>21</v>
      </c>
      <c r="G2722" s="68">
        <v>15600</v>
      </c>
      <c r="H2722" s="56" t="s">
        <v>92</v>
      </c>
      <c r="J2722" s="56" t="s">
        <v>2411</v>
      </c>
      <c r="L2722" s="56" t="s">
        <v>262</v>
      </c>
      <c r="M2722" s="4" t="s">
        <v>262</v>
      </c>
      <c r="N2722" s="4" t="s">
        <v>1268</v>
      </c>
      <c r="O2722" s="4" t="s">
        <v>178</v>
      </c>
    </row>
    <row r="2723" spans="2:15">
      <c r="B2723" s="20">
        <v>45852</v>
      </c>
      <c r="C2723" s="20">
        <v>45852</v>
      </c>
      <c r="D2723" s="54">
        <v>50837239</v>
      </c>
      <c r="E2723" s="55" t="s">
        <v>27</v>
      </c>
      <c r="G2723" s="68">
        <v>2628.65</v>
      </c>
      <c r="H2723" s="56" t="s">
        <v>753</v>
      </c>
      <c r="J2723" s="56" t="s">
        <v>2412</v>
      </c>
      <c r="L2723" s="56" t="s">
        <v>1227</v>
      </c>
      <c r="M2723" s="4" t="s">
        <v>660</v>
      </c>
      <c r="N2723" s="4" t="s">
        <v>2407</v>
      </c>
      <c r="O2723" s="4" t="s">
        <v>178</v>
      </c>
    </row>
    <row r="2724" spans="2:15">
      <c r="B2724" s="20">
        <v>45852</v>
      </c>
      <c r="C2724" s="20">
        <v>45852</v>
      </c>
      <c r="D2724" s="54">
        <v>50144376</v>
      </c>
      <c r="E2724" s="55" t="s">
        <v>19</v>
      </c>
      <c r="G2724" s="68">
        <v>3600</v>
      </c>
      <c r="H2724" s="56" t="s">
        <v>92</v>
      </c>
      <c r="J2724" s="56" t="s">
        <v>2413</v>
      </c>
      <c r="L2724" s="56" t="s">
        <v>262</v>
      </c>
      <c r="M2724" s="4" t="s">
        <v>262</v>
      </c>
      <c r="N2724" s="4" t="s">
        <v>1268</v>
      </c>
      <c r="O2724" s="4" t="s">
        <v>178</v>
      </c>
    </row>
    <row r="2725" spans="2:15">
      <c r="B2725" s="20">
        <v>45852</v>
      </c>
      <c r="C2725" s="20">
        <v>45852</v>
      </c>
      <c r="D2725" s="54">
        <v>50272278</v>
      </c>
      <c r="E2725" s="55" t="s">
        <v>21</v>
      </c>
      <c r="G2725" s="68">
        <v>12000</v>
      </c>
      <c r="H2725" s="56" t="s">
        <v>92</v>
      </c>
      <c r="J2725" s="56" t="s">
        <v>2414</v>
      </c>
      <c r="L2725" s="56" t="s">
        <v>262</v>
      </c>
      <c r="M2725" s="4" t="s">
        <v>262</v>
      </c>
      <c r="N2725" s="4" t="s">
        <v>1268</v>
      </c>
      <c r="O2725" s="4" t="s">
        <v>178</v>
      </c>
    </row>
    <row r="2726" spans="2:15">
      <c r="B2726" s="20">
        <v>45853</v>
      </c>
      <c r="C2726" s="20">
        <v>45853</v>
      </c>
      <c r="D2726" s="54">
        <v>50142328</v>
      </c>
      <c r="E2726" s="55" t="s">
        <v>1591</v>
      </c>
      <c r="G2726" s="68">
        <v>6000</v>
      </c>
      <c r="H2726" s="56" t="s">
        <v>82</v>
      </c>
      <c r="J2726" s="56" t="s">
        <v>2415</v>
      </c>
      <c r="L2726" s="56" t="s">
        <v>2416</v>
      </c>
      <c r="M2726" s="4" t="s">
        <v>2416</v>
      </c>
      <c r="N2726" s="4" t="s">
        <v>262</v>
      </c>
      <c r="O2726" s="4" t="s">
        <v>178</v>
      </c>
    </row>
    <row r="2727" spans="2:15">
      <c r="B2727" s="20">
        <v>45853</v>
      </c>
      <c r="C2727" s="20">
        <v>45853</v>
      </c>
      <c r="D2727" s="54">
        <v>50837238</v>
      </c>
      <c r="E2727" s="55" t="s">
        <v>1976</v>
      </c>
      <c r="G2727" s="68">
        <v>4163.5</v>
      </c>
      <c r="H2727" s="56" t="s">
        <v>82</v>
      </c>
      <c r="J2727" s="56" t="s">
        <v>2417</v>
      </c>
      <c r="L2727" s="56" t="s">
        <v>1227</v>
      </c>
      <c r="M2727" s="4" t="s">
        <v>660</v>
      </c>
      <c r="N2727" s="4" t="s">
        <v>2407</v>
      </c>
      <c r="O2727" s="4" t="s">
        <v>178</v>
      </c>
    </row>
    <row r="2728" spans="2:15">
      <c r="B2728" s="20">
        <v>45853</v>
      </c>
      <c r="C2728" s="20">
        <v>45853</v>
      </c>
      <c r="D2728" s="54">
        <v>50837284</v>
      </c>
      <c r="E2728" s="55" t="s">
        <v>28</v>
      </c>
      <c r="G2728" s="68">
        <v>5110.05</v>
      </c>
      <c r="H2728" s="56" t="s">
        <v>82</v>
      </c>
      <c r="J2728" s="56" t="s">
        <v>2418</v>
      </c>
      <c r="L2728" s="56" t="s">
        <v>1227</v>
      </c>
      <c r="M2728" s="4" t="s">
        <v>660</v>
      </c>
      <c r="N2728" s="4" t="s">
        <v>2407</v>
      </c>
      <c r="O2728" s="4" t="s">
        <v>178</v>
      </c>
    </row>
    <row r="2729" spans="2:15">
      <c r="B2729" s="20">
        <v>45854</v>
      </c>
      <c r="C2729" s="20">
        <v>45854</v>
      </c>
      <c r="D2729" s="54">
        <v>50144376</v>
      </c>
      <c r="E2729" s="55" t="s">
        <v>19</v>
      </c>
      <c r="G2729" s="68">
        <f>12*600</f>
        <v>7200</v>
      </c>
      <c r="H2729" s="56" t="s">
        <v>92</v>
      </c>
      <c r="J2729" s="56" t="s">
        <v>2419</v>
      </c>
      <c r="L2729" s="56" t="s">
        <v>262</v>
      </c>
      <c r="M2729" s="4" t="s">
        <v>262</v>
      </c>
      <c r="N2729" s="4" t="s">
        <v>364</v>
      </c>
      <c r="O2729" s="4" t="s">
        <v>178</v>
      </c>
    </row>
    <row r="2730" spans="2:15">
      <c r="B2730" s="20">
        <v>45854</v>
      </c>
      <c r="C2730" s="20">
        <v>45854</v>
      </c>
      <c r="D2730" s="54">
        <v>50145028</v>
      </c>
      <c r="E2730" s="55" t="s">
        <v>23</v>
      </c>
      <c r="G2730" s="68">
        <v>500</v>
      </c>
      <c r="H2730" s="56" t="s">
        <v>92</v>
      </c>
      <c r="J2730" s="56" t="s">
        <v>2420</v>
      </c>
      <c r="L2730" s="56" t="s">
        <v>2421</v>
      </c>
      <c r="M2730" s="4" t="s">
        <v>2421</v>
      </c>
      <c r="N2730" s="4" t="s">
        <v>699</v>
      </c>
      <c r="O2730" s="4" t="s">
        <v>178</v>
      </c>
    </row>
    <row r="2731" spans="2:15">
      <c r="B2731" s="20">
        <v>45854</v>
      </c>
      <c r="C2731" s="20">
        <v>45854</v>
      </c>
      <c r="D2731" s="54">
        <v>50400554</v>
      </c>
      <c r="E2731" s="55" t="s">
        <v>1311</v>
      </c>
      <c r="G2731" s="68">
        <v>91.04</v>
      </c>
      <c r="H2731" s="56" t="s">
        <v>80</v>
      </c>
      <c r="J2731" s="56">
        <v>1002047755</v>
      </c>
      <c r="L2731" s="56" t="s">
        <v>175</v>
      </c>
      <c r="M2731" s="4" t="s">
        <v>392</v>
      </c>
      <c r="N2731" s="4" t="s">
        <v>2422</v>
      </c>
      <c r="O2731" s="4" t="s">
        <v>178</v>
      </c>
    </row>
    <row r="2732" spans="2:15">
      <c r="B2732" s="20">
        <v>45854</v>
      </c>
      <c r="C2732" s="20">
        <v>45854</v>
      </c>
      <c r="D2732" s="54">
        <v>50142237</v>
      </c>
      <c r="E2732" s="55" t="s">
        <v>617</v>
      </c>
      <c r="G2732" s="68">
        <v>50000</v>
      </c>
      <c r="H2732" s="56" t="s">
        <v>92</v>
      </c>
      <c r="J2732" s="56" t="s">
        <v>2423</v>
      </c>
      <c r="L2732" s="56" t="s">
        <v>1015</v>
      </c>
      <c r="M2732" s="4" t="s">
        <v>1015</v>
      </c>
      <c r="N2732" s="4" t="s">
        <v>2424</v>
      </c>
      <c r="O2732" s="4" t="s">
        <v>178</v>
      </c>
    </row>
    <row r="2733" spans="2:15">
      <c r="B2733" s="20">
        <v>45854</v>
      </c>
      <c r="C2733" s="20">
        <v>45854</v>
      </c>
      <c r="D2733" s="54">
        <v>50144376</v>
      </c>
      <c r="E2733" s="55" t="s">
        <v>19</v>
      </c>
      <c r="G2733" s="68">
        <v>12000</v>
      </c>
      <c r="H2733" s="56" t="s">
        <v>92</v>
      </c>
      <c r="J2733" s="56" t="s">
        <v>2425</v>
      </c>
      <c r="L2733" s="56" t="s">
        <v>262</v>
      </c>
      <c r="M2733" s="4" t="s">
        <v>262</v>
      </c>
      <c r="N2733" s="4" t="s">
        <v>1268</v>
      </c>
      <c r="O2733" s="4" t="s">
        <v>178</v>
      </c>
    </row>
    <row r="2734" spans="2:15">
      <c r="B2734" s="20">
        <v>45854</v>
      </c>
      <c r="C2734" s="20">
        <v>45854</v>
      </c>
      <c r="D2734" s="54">
        <v>50272278</v>
      </c>
      <c r="E2734" s="55" t="s">
        <v>21</v>
      </c>
      <c r="G2734" s="68">
        <v>3600</v>
      </c>
      <c r="H2734" s="56" t="s">
        <v>92</v>
      </c>
      <c r="J2734" s="56" t="s">
        <v>2426</v>
      </c>
      <c r="L2734" s="56" t="s">
        <v>262</v>
      </c>
      <c r="M2734" s="4" t="s">
        <v>262</v>
      </c>
      <c r="N2734" s="4" t="s">
        <v>1268</v>
      </c>
      <c r="O2734" s="4" t="s">
        <v>178</v>
      </c>
    </row>
    <row r="2735" spans="2:15">
      <c r="B2735" s="20">
        <v>45855</v>
      </c>
      <c r="C2735" s="20">
        <v>45855</v>
      </c>
      <c r="D2735" s="54">
        <v>50470190</v>
      </c>
      <c r="E2735" s="55" t="s">
        <v>12</v>
      </c>
      <c r="G2735" s="68">
        <v>9273600</v>
      </c>
      <c r="H2735" s="56" t="s">
        <v>962</v>
      </c>
      <c r="J2735" s="56" t="s">
        <v>2427</v>
      </c>
      <c r="L2735" s="56" t="s">
        <v>2000</v>
      </c>
      <c r="M2735" s="4" t="s">
        <v>2396</v>
      </c>
      <c r="N2735" s="4"/>
      <c r="O2735" s="4" t="s">
        <v>178</v>
      </c>
    </row>
    <row r="2736" spans="2:15">
      <c r="B2736" s="20">
        <v>45855</v>
      </c>
      <c r="C2736" s="20">
        <v>45855</v>
      </c>
      <c r="D2736" s="54">
        <v>50142350</v>
      </c>
      <c r="E2736" s="55" t="s">
        <v>212</v>
      </c>
      <c r="G2736" s="68">
        <v>2494.8</v>
      </c>
      <c r="H2736" s="56" t="s">
        <v>753</v>
      </c>
      <c r="J2736" s="56" t="s">
        <v>2428</v>
      </c>
      <c r="L2736" s="56" t="s">
        <v>1160</v>
      </c>
      <c r="N2736" s="4"/>
      <c r="O2736" s="4" t="s">
        <v>178</v>
      </c>
    </row>
    <row r="2737" spans="2:15">
      <c r="B2737" s="20">
        <v>45855</v>
      </c>
      <c r="C2737" s="20">
        <v>45855</v>
      </c>
      <c r="D2737" s="54">
        <v>40011148</v>
      </c>
      <c r="E2737" s="55" t="s">
        <v>86</v>
      </c>
      <c r="G2737" s="68">
        <v>4900</v>
      </c>
      <c r="H2737" s="56" t="s">
        <v>80</v>
      </c>
      <c r="J2737" s="56" t="s">
        <v>2429</v>
      </c>
      <c r="L2737" s="56" t="s">
        <v>2312</v>
      </c>
      <c r="M2737" s="4" t="s">
        <v>2004</v>
      </c>
      <c r="N2737" s="4"/>
      <c r="O2737" s="4" t="s">
        <v>178</v>
      </c>
    </row>
    <row r="2738" spans="2:15">
      <c r="B2738" s="20">
        <v>45856</v>
      </c>
      <c r="C2738" s="20">
        <v>45856</v>
      </c>
      <c r="D2738" s="54">
        <v>40014675</v>
      </c>
      <c r="E2738" s="55" t="s">
        <v>44</v>
      </c>
      <c r="G2738" s="68">
        <v>114</v>
      </c>
      <c r="H2738" s="56" t="s">
        <v>80</v>
      </c>
      <c r="J2738" s="56" t="s">
        <v>2430</v>
      </c>
      <c r="L2738" s="56" t="s">
        <v>1791</v>
      </c>
      <c r="M2738" s="4" t="s">
        <v>1792</v>
      </c>
      <c r="N2738" s="4" t="s">
        <v>2300</v>
      </c>
      <c r="O2738" s="4" t="s">
        <v>178</v>
      </c>
    </row>
    <row r="2739" spans="2:15">
      <c r="B2739" s="20">
        <v>45856</v>
      </c>
      <c r="C2739" s="20">
        <v>45856</v>
      </c>
      <c r="D2739" s="54">
        <v>40014675</v>
      </c>
      <c r="E2739" s="55" t="s">
        <v>44</v>
      </c>
      <c r="G2739" s="68">
        <v>114</v>
      </c>
      <c r="H2739" s="56" t="s">
        <v>80</v>
      </c>
      <c r="J2739" s="56" t="s">
        <v>1788</v>
      </c>
      <c r="L2739" s="56" t="s">
        <v>1791</v>
      </c>
      <c r="M2739" s="4" t="s">
        <v>1792</v>
      </c>
      <c r="N2739" s="4" t="s">
        <v>1793</v>
      </c>
      <c r="O2739" s="4" t="s">
        <v>178</v>
      </c>
    </row>
    <row r="2740" spans="2:15">
      <c r="B2740" s="20">
        <v>45856</v>
      </c>
      <c r="C2740" s="20">
        <v>45856</v>
      </c>
      <c r="D2740" s="54">
        <v>50837267</v>
      </c>
      <c r="E2740" s="55" t="s">
        <v>26</v>
      </c>
      <c r="G2740" s="68">
        <v>4610.85</v>
      </c>
      <c r="H2740" s="56" t="s">
        <v>987</v>
      </c>
      <c r="J2740" s="56" t="s">
        <v>2431</v>
      </c>
      <c r="L2740" s="56" t="s">
        <v>1227</v>
      </c>
      <c r="M2740" s="4" t="s">
        <v>660</v>
      </c>
      <c r="N2740" s="4" t="s">
        <v>2407</v>
      </c>
      <c r="O2740" s="4" t="s">
        <v>178</v>
      </c>
    </row>
    <row r="2741" spans="2:15">
      <c r="B2741" s="20">
        <v>45856</v>
      </c>
      <c r="C2741" s="20">
        <v>45856</v>
      </c>
      <c r="D2741" s="54">
        <v>50837268</v>
      </c>
      <c r="E2741" s="55" t="s">
        <v>2401</v>
      </c>
      <c r="G2741" s="68">
        <v>3446.1</v>
      </c>
      <c r="H2741" s="56" t="s">
        <v>753</v>
      </c>
      <c r="J2741" s="56" t="s">
        <v>2432</v>
      </c>
      <c r="L2741" s="56" t="s">
        <v>1227</v>
      </c>
      <c r="M2741" s="4" t="s">
        <v>660</v>
      </c>
      <c r="N2741" s="4" t="s">
        <v>2407</v>
      </c>
      <c r="O2741" s="4" t="s">
        <v>178</v>
      </c>
    </row>
    <row r="2742" spans="2:15">
      <c r="B2742" s="20">
        <v>45857</v>
      </c>
      <c r="C2742" s="20">
        <v>45857</v>
      </c>
      <c r="D2742" s="54">
        <v>40014675</v>
      </c>
      <c r="E2742" s="55" t="s">
        <v>44</v>
      </c>
      <c r="G2742" s="68">
        <v>114</v>
      </c>
      <c r="H2742" s="56" t="s">
        <v>80</v>
      </c>
      <c r="J2742" s="56" t="s">
        <v>2433</v>
      </c>
      <c r="L2742" s="56" t="s">
        <v>1791</v>
      </c>
      <c r="M2742" s="4" t="s">
        <v>1792</v>
      </c>
      <c r="N2742" s="4" t="s">
        <v>1793</v>
      </c>
      <c r="O2742" s="4" t="s">
        <v>178</v>
      </c>
    </row>
    <row r="2743" spans="2:15">
      <c r="B2743" s="20">
        <v>45857</v>
      </c>
      <c r="C2743" s="20">
        <v>45857</v>
      </c>
      <c r="D2743" s="54">
        <v>40014675</v>
      </c>
      <c r="E2743" s="55" t="s">
        <v>44</v>
      </c>
      <c r="G2743" s="68">
        <v>114</v>
      </c>
      <c r="H2743" s="56" t="s">
        <v>80</v>
      </c>
      <c r="J2743" s="56" t="s">
        <v>2434</v>
      </c>
      <c r="L2743" s="56" t="s">
        <v>1791</v>
      </c>
      <c r="M2743" s="4" t="s">
        <v>1792</v>
      </c>
      <c r="N2743" s="4" t="s">
        <v>2300</v>
      </c>
      <c r="O2743" s="4" t="s">
        <v>178</v>
      </c>
    </row>
    <row r="2744" spans="2:15">
      <c r="B2744" s="20">
        <v>45857</v>
      </c>
      <c r="C2744" s="20">
        <v>45857</v>
      </c>
      <c r="D2744" s="54">
        <v>40014675</v>
      </c>
      <c r="E2744" s="55" t="s">
        <v>44</v>
      </c>
      <c r="G2744" s="68">
        <v>114</v>
      </c>
      <c r="H2744" s="56" t="s">
        <v>80</v>
      </c>
      <c r="J2744" s="56" t="s">
        <v>2435</v>
      </c>
      <c r="L2744" s="56" t="s">
        <v>1791</v>
      </c>
      <c r="M2744" s="4" t="s">
        <v>1792</v>
      </c>
      <c r="N2744" s="4" t="s">
        <v>1793</v>
      </c>
      <c r="O2744" s="4" t="s">
        <v>178</v>
      </c>
    </row>
    <row r="2745" spans="2:15">
      <c r="B2745" s="20">
        <v>45857</v>
      </c>
      <c r="C2745" s="20">
        <v>45857</v>
      </c>
      <c r="D2745" s="54">
        <v>40014675</v>
      </c>
      <c r="E2745" s="55" t="s">
        <v>44</v>
      </c>
      <c r="G2745" s="68">
        <v>114</v>
      </c>
      <c r="H2745" s="56" t="s">
        <v>80</v>
      </c>
      <c r="J2745" s="56" t="s">
        <v>2436</v>
      </c>
      <c r="L2745" s="56" t="s">
        <v>1791</v>
      </c>
      <c r="M2745" s="4" t="s">
        <v>1792</v>
      </c>
      <c r="N2745" s="4" t="s">
        <v>2300</v>
      </c>
      <c r="O2745" s="4" t="s">
        <v>178</v>
      </c>
    </row>
    <row r="2746" spans="2:15">
      <c r="B2746" s="20">
        <v>45857</v>
      </c>
      <c r="C2746" s="20">
        <v>45857</v>
      </c>
      <c r="D2746" s="54">
        <v>40014675</v>
      </c>
      <c r="E2746" s="55" t="s">
        <v>44</v>
      </c>
      <c r="G2746" s="68">
        <v>114</v>
      </c>
      <c r="H2746" s="56" t="s">
        <v>80</v>
      </c>
      <c r="J2746" s="56" t="s">
        <v>2437</v>
      </c>
      <c r="L2746" s="56" t="s">
        <v>1791</v>
      </c>
      <c r="M2746" s="4" t="s">
        <v>1792</v>
      </c>
      <c r="N2746" s="4" t="s">
        <v>1793</v>
      </c>
      <c r="O2746" s="4" t="s">
        <v>178</v>
      </c>
    </row>
    <row r="2747" spans="2:15">
      <c r="B2747" s="20">
        <v>45857</v>
      </c>
      <c r="C2747" s="20">
        <v>45857</v>
      </c>
      <c r="D2747" s="54">
        <v>40014675</v>
      </c>
      <c r="E2747" s="55" t="s">
        <v>44</v>
      </c>
      <c r="G2747" s="68">
        <v>114</v>
      </c>
      <c r="H2747" s="56" t="s">
        <v>80</v>
      </c>
      <c r="J2747" s="56" t="s">
        <v>2438</v>
      </c>
      <c r="L2747" s="56" t="s">
        <v>1791</v>
      </c>
      <c r="M2747" s="4" t="s">
        <v>1792</v>
      </c>
      <c r="N2747" s="4" t="s">
        <v>2300</v>
      </c>
      <c r="O2747" s="4" t="s">
        <v>178</v>
      </c>
    </row>
    <row r="2748" spans="2:15">
      <c r="B2748" s="20">
        <v>45860</v>
      </c>
      <c r="C2748" s="20">
        <v>45860</v>
      </c>
      <c r="D2748" s="54">
        <v>50843042</v>
      </c>
      <c r="E2748" s="55" t="s">
        <v>2282</v>
      </c>
      <c r="G2748" s="68">
        <v>1193.25</v>
      </c>
      <c r="H2748" s="56" t="s">
        <v>82</v>
      </c>
      <c r="J2748" s="56" t="s">
        <v>2439</v>
      </c>
      <c r="L2748" s="56" t="s">
        <v>1227</v>
      </c>
      <c r="M2748" s="4" t="s">
        <v>660</v>
      </c>
      <c r="N2748" s="4" t="s">
        <v>2407</v>
      </c>
      <c r="O2748" s="4" t="s">
        <v>178</v>
      </c>
    </row>
    <row r="2749" spans="2:15">
      <c r="B2749" s="20">
        <v>45860</v>
      </c>
      <c r="C2749" s="20">
        <v>45860</v>
      </c>
      <c r="D2749" s="54">
        <v>50834329</v>
      </c>
      <c r="E2749" s="55" t="s">
        <v>1475</v>
      </c>
      <c r="G2749" s="68">
        <v>1621.65</v>
      </c>
      <c r="H2749" s="56" t="s">
        <v>82</v>
      </c>
      <c r="J2749" s="56" t="s">
        <v>2440</v>
      </c>
      <c r="L2749" s="56" t="s">
        <v>1227</v>
      </c>
      <c r="M2749" s="4" t="s">
        <v>660</v>
      </c>
      <c r="N2749" s="4" t="s">
        <v>2407</v>
      </c>
      <c r="O2749" s="4" t="s">
        <v>178</v>
      </c>
    </row>
    <row r="2750" spans="2:15">
      <c r="B2750" s="20">
        <v>45860</v>
      </c>
      <c r="C2750" s="20">
        <v>45860</v>
      </c>
      <c r="D2750" s="54">
        <v>50802401</v>
      </c>
      <c r="E2750" s="55" t="s">
        <v>13</v>
      </c>
      <c r="G2750" s="68">
        <v>9273600</v>
      </c>
      <c r="H2750" s="56" t="s">
        <v>92</v>
      </c>
      <c r="J2750" s="56" t="s">
        <v>2441</v>
      </c>
      <c r="L2750" s="56" t="s">
        <v>789</v>
      </c>
      <c r="M2750" s="4" t="s">
        <v>1446</v>
      </c>
      <c r="N2750" s="4"/>
      <c r="O2750" s="4" t="s">
        <v>178</v>
      </c>
    </row>
    <row r="2751" spans="2:15">
      <c r="B2751" s="20">
        <v>45860</v>
      </c>
      <c r="C2751" s="20">
        <v>45860</v>
      </c>
      <c r="D2751" s="54">
        <v>50802401</v>
      </c>
      <c r="E2751" s="55" t="s">
        <v>13</v>
      </c>
      <c r="G2751" s="68">
        <v>9273600</v>
      </c>
      <c r="H2751" s="56" t="s">
        <v>92</v>
      </c>
      <c r="J2751" s="56" t="s">
        <v>2442</v>
      </c>
      <c r="L2751" s="56" t="s">
        <v>789</v>
      </c>
      <c r="M2751" s="4" t="s">
        <v>1446</v>
      </c>
      <c r="N2751" s="4"/>
      <c r="O2751" s="4" t="s">
        <v>178</v>
      </c>
    </row>
    <row r="2752" spans="2:15">
      <c r="B2752" s="20">
        <v>45860</v>
      </c>
      <c r="C2752" s="20">
        <v>45860</v>
      </c>
      <c r="D2752" s="54">
        <v>40014675</v>
      </c>
      <c r="E2752" s="55" t="s">
        <v>44</v>
      </c>
      <c r="G2752" s="68">
        <v>114</v>
      </c>
      <c r="H2752" s="56" t="s">
        <v>80</v>
      </c>
      <c r="J2752" s="56" t="s">
        <v>2443</v>
      </c>
      <c r="L2752" s="56" t="s">
        <v>1791</v>
      </c>
      <c r="M2752" s="4" t="s">
        <v>1792</v>
      </c>
      <c r="N2752" s="4" t="s">
        <v>2300</v>
      </c>
      <c r="O2752" s="4" t="s">
        <v>178</v>
      </c>
    </row>
    <row r="2753" spans="2:15">
      <c r="B2753" s="20">
        <v>45860</v>
      </c>
      <c r="C2753" s="20">
        <v>45860</v>
      </c>
      <c r="D2753" s="54">
        <v>40014675</v>
      </c>
      <c r="E2753" s="55" t="s">
        <v>44</v>
      </c>
      <c r="G2753" s="68">
        <v>114</v>
      </c>
      <c r="H2753" s="56" t="s">
        <v>80</v>
      </c>
      <c r="J2753" s="56" t="s">
        <v>2444</v>
      </c>
      <c r="L2753" s="56" t="s">
        <v>1791</v>
      </c>
      <c r="M2753" s="4" t="s">
        <v>1792</v>
      </c>
      <c r="N2753" s="4" t="s">
        <v>1793</v>
      </c>
      <c r="O2753" s="4" t="s">
        <v>178</v>
      </c>
    </row>
    <row r="2754" spans="2:15">
      <c r="B2754" s="20">
        <v>45860</v>
      </c>
      <c r="C2754" s="20">
        <v>45860</v>
      </c>
      <c r="D2754" s="54">
        <v>40014675</v>
      </c>
      <c r="E2754" s="55" t="s">
        <v>44</v>
      </c>
      <c r="G2754" s="68">
        <f>96444/1000</f>
        <v>96.444</v>
      </c>
      <c r="H2754" s="56" t="s">
        <v>80</v>
      </c>
      <c r="J2754" s="56" t="s">
        <v>2445</v>
      </c>
      <c r="L2754" s="56" t="s">
        <v>1791</v>
      </c>
      <c r="M2754" s="4" t="s">
        <v>1792</v>
      </c>
      <c r="N2754" s="4" t="s">
        <v>2300</v>
      </c>
      <c r="O2754" s="4" t="s">
        <v>178</v>
      </c>
    </row>
    <row r="2755" spans="2:15">
      <c r="B2755" s="20">
        <v>45860</v>
      </c>
      <c r="C2755" s="20">
        <v>45860</v>
      </c>
      <c r="D2755" s="54">
        <v>50272278</v>
      </c>
      <c r="E2755" s="55" t="s">
        <v>21</v>
      </c>
      <c r="G2755" s="68">
        <v>15600</v>
      </c>
      <c r="H2755" s="56" t="s">
        <v>92</v>
      </c>
      <c r="J2755" s="56" t="s">
        <v>2446</v>
      </c>
      <c r="L2755" s="56" t="s">
        <v>262</v>
      </c>
      <c r="M2755" s="4" t="s">
        <v>262</v>
      </c>
      <c r="N2755" s="4" t="s">
        <v>1268</v>
      </c>
      <c r="O2755" s="4" t="s">
        <v>178</v>
      </c>
    </row>
    <row r="2756" spans="2:15">
      <c r="B2756" s="20">
        <v>45861</v>
      </c>
      <c r="C2756" s="20">
        <v>45861</v>
      </c>
      <c r="D2756" s="54">
        <v>50470190</v>
      </c>
      <c r="E2756" s="55" t="s">
        <v>12</v>
      </c>
      <c r="G2756" s="68">
        <v>9273600</v>
      </c>
      <c r="H2756" s="56" t="s">
        <v>92</v>
      </c>
      <c r="J2756" s="56" t="s">
        <v>2447</v>
      </c>
      <c r="L2756" s="56" t="s">
        <v>1158</v>
      </c>
      <c r="M2756" s="4" t="s">
        <v>2396</v>
      </c>
      <c r="N2756" s="4" t="s">
        <v>2448</v>
      </c>
      <c r="O2756" s="4" t="s">
        <v>1945</v>
      </c>
    </row>
    <row r="2757" spans="2:15">
      <c r="B2757" s="20">
        <v>45862</v>
      </c>
      <c r="C2757" s="20">
        <v>45862</v>
      </c>
      <c r="D2757" s="54">
        <v>40014900</v>
      </c>
      <c r="E2757" s="55" t="s">
        <v>153</v>
      </c>
      <c r="G2757" s="68">
        <v>114</v>
      </c>
      <c r="H2757" s="56" t="s">
        <v>80</v>
      </c>
      <c r="J2757" s="56" t="s">
        <v>2449</v>
      </c>
      <c r="L2757" s="56" t="s">
        <v>1791</v>
      </c>
      <c r="M2757" s="4" t="s">
        <v>1792</v>
      </c>
      <c r="N2757" s="4" t="s">
        <v>1793</v>
      </c>
      <c r="O2757" s="4" t="s">
        <v>178</v>
      </c>
    </row>
    <row r="2758" spans="2:15">
      <c r="B2758" s="20">
        <v>45862</v>
      </c>
      <c r="C2758" s="20">
        <v>45862</v>
      </c>
      <c r="D2758" s="54">
        <v>40014900</v>
      </c>
      <c r="E2758" s="55" t="s">
        <v>153</v>
      </c>
      <c r="G2758" s="68">
        <v>114</v>
      </c>
      <c r="H2758" s="56" t="s">
        <v>80</v>
      </c>
      <c r="J2758" s="56" t="s">
        <v>1846</v>
      </c>
      <c r="L2758" s="56" t="s">
        <v>1791</v>
      </c>
      <c r="M2758" s="4" t="s">
        <v>1792</v>
      </c>
      <c r="N2758" s="4" t="s">
        <v>2300</v>
      </c>
      <c r="O2758" s="4" t="s">
        <v>178</v>
      </c>
    </row>
    <row r="2759" spans="2:15">
      <c r="B2759" s="20">
        <v>45862</v>
      </c>
      <c r="C2759" s="20">
        <v>45862</v>
      </c>
      <c r="D2759" s="54">
        <v>40014900</v>
      </c>
      <c r="E2759" s="55" t="s">
        <v>153</v>
      </c>
      <c r="G2759" s="68">
        <v>114</v>
      </c>
      <c r="H2759" s="56" t="s">
        <v>80</v>
      </c>
      <c r="J2759" s="56" t="s">
        <v>2450</v>
      </c>
      <c r="L2759" s="56" t="s">
        <v>1791</v>
      </c>
      <c r="M2759" s="4" t="s">
        <v>1792</v>
      </c>
      <c r="N2759" s="4" t="s">
        <v>2300</v>
      </c>
      <c r="O2759" s="4" t="s">
        <v>178</v>
      </c>
    </row>
    <row r="2760" spans="2:15">
      <c r="B2760" s="20">
        <v>45863</v>
      </c>
      <c r="C2760" s="20">
        <v>45863</v>
      </c>
      <c r="D2760" s="54">
        <v>50144376</v>
      </c>
      <c r="E2760" s="55" t="s">
        <v>19</v>
      </c>
      <c r="G2760" s="68">
        <v>15600</v>
      </c>
      <c r="H2760" s="56" t="s">
        <v>92</v>
      </c>
      <c r="J2760" s="56" t="s">
        <v>2451</v>
      </c>
      <c r="L2760" s="56" t="s">
        <v>262</v>
      </c>
      <c r="M2760" s="4" t="s">
        <v>262</v>
      </c>
      <c r="N2760" s="4" t="s">
        <v>1268</v>
      </c>
      <c r="O2760" s="4" t="s">
        <v>178</v>
      </c>
    </row>
    <row r="2761" spans="2:15">
      <c r="B2761" s="20">
        <v>45863</v>
      </c>
      <c r="C2761" s="20">
        <v>45863</v>
      </c>
      <c r="D2761" s="54">
        <v>50271805</v>
      </c>
      <c r="E2761" s="55" t="s">
        <v>2452</v>
      </c>
      <c r="G2761" s="68">
        <v>27000</v>
      </c>
      <c r="H2761" s="56" t="s">
        <v>92</v>
      </c>
      <c r="J2761" s="56" t="s">
        <v>2453</v>
      </c>
      <c r="L2761" s="56" t="s">
        <v>342</v>
      </c>
      <c r="M2761" s="4" t="s">
        <v>326</v>
      </c>
      <c r="N2761" s="4" t="s">
        <v>2454</v>
      </c>
      <c r="O2761" s="4" t="s">
        <v>178</v>
      </c>
    </row>
    <row r="2762" spans="2:15">
      <c r="B2762" s="20">
        <v>45863</v>
      </c>
      <c r="C2762" s="20">
        <v>45863</v>
      </c>
      <c r="D2762" s="54">
        <v>50851661</v>
      </c>
      <c r="E2762" s="55" t="s">
        <v>2455</v>
      </c>
      <c r="G2762" s="68">
        <v>1120000</v>
      </c>
      <c r="H2762" s="56" t="s">
        <v>92</v>
      </c>
      <c r="J2762" s="56" t="s">
        <v>2456</v>
      </c>
      <c r="L2762" s="56" t="s">
        <v>1190</v>
      </c>
      <c r="M2762" s="4" t="s">
        <v>392</v>
      </c>
      <c r="N2762" s="4"/>
      <c r="O2762" s="4" t="s">
        <v>178</v>
      </c>
    </row>
    <row r="2763" spans="2:15">
      <c r="B2763" s="20">
        <v>45863</v>
      </c>
      <c r="C2763" s="20">
        <v>45863</v>
      </c>
      <c r="D2763" s="54">
        <v>50851662</v>
      </c>
      <c r="E2763" s="55" t="s">
        <v>2457</v>
      </c>
      <c r="G2763" s="68">
        <v>1120000</v>
      </c>
      <c r="H2763" s="56" t="s">
        <v>92</v>
      </c>
      <c r="J2763" s="56" t="s">
        <v>2456</v>
      </c>
      <c r="L2763" s="56" t="s">
        <v>1190</v>
      </c>
      <c r="M2763" s="4" t="s">
        <v>392</v>
      </c>
      <c r="N2763" s="4"/>
      <c r="O2763" s="4" t="s">
        <v>178</v>
      </c>
    </row>
    <row r="2764" spans="2:15">
      <c r="B2764" s="20">
        <v>45897</v>
      </c>
      <c r="C2764" s="20">
        <v>45897</v>
      </c>
      <c r="D2764" s="54">
        <v>50144376</v>
      </c>
      <c r="E2764" s="55" t="s">
        <v>19</v>
      </c>
      <c r="G2764" s="68">
        <v>15600</v>
      </c>
      <c r="H2764" s="56" t="s">
        <v>92</v>
      </c>
      <c r="J2764" s="56" t="s">
        <v>2458</v>
      </c>
      <c r="L2764" s="56" t="s">
        <v>262</v>
      </c>
      <c r="M2764" s="4" t="s">
        <v>262</v>
      </c>
      <c r="N2764" s="4" t="s">
        <v>1268</v>
      </c>
      <c r="O2764" s="4" t="s">
        <v>178</v>
      </c>
    </row>
    <row r="2765" spans="2:15">
      <c r="B2765" s="20">
        <v>45867</v>
      </c>
      <c r="C2765" s="20">
        <v>45867</v>
      </c>
      <c r="D2765" s="54">
        <v>50142551</v>
      </c>
      <c r="E2765" s="55" t="s">
        <v>215</v>
      </c>
      <c r="G2765" s="68">
        <v>200</v>
      </c>
      <c r="H2765" s="56" t="s">
        <v>92</v>
      </c>
      <c r="J2765" s="56" t="s">
        <v>2459</v>
      </c>
      <c r="L2765" s="56" t="s">
        <v>558</v>
      </c>
      <c r="M2765" s="4" t="s">
        <v>558</v>
      </c>
      <c r="N2765" s="4"/>
      <c r="O2765" s="4" t="s">
        <v>178</v>
      </c>
    </row>
    <row r="2766" spans="2:15">
      <c r="B2766" s="20">
        <v>45867</v>
      </c>
      <c r="C2766" s="20">
        <v>45867</v>
      </c>
      <c r="D2766" s="54">
        <v>50142397</v>
      </c>
      <c r="E2766" s="55" t="s">
        <v>557</v>
      </c>
      <c r="G2766" s="68">
        <v>200</v>
      </c>
      <c r="H2766" s="56" t="s">
        <v>92</v>
      </c>
      <c r="J2766" s="56" t="s">
        <v>2459</v>
      </c>
      <c r="L2766" s="56" t="s">
        <v>558</v>
      </c>
      <c r="M2766" s="4" t="s">
        <v>558</v>
      </c>
      <c r="N2766" s="4"/>
      <c r="O2766" s="4" t="s">
        <v>178</v>
      </c>
    </row>
    <row r="2767" spans="2:15">
      <c r="B2767" s="20">
        <v>45867</v>
      </c>
      <c r="C2767" s="20">
        <v>45867</v>
      </c>
      <c r="D2767" s="54">
        <v>50809353</v>
      </c>
      <c r="E2767" s="55" t="s">
        <v>905</v>
      </c>
      <c r="G2767" s="68">
        <v>10000</v>
      </c>
      <c r="H2767" s="56" t="s">
        <v>82</v>
      </c>
      <c r="J2767" s="56">
        <v>187269</v>
      </c>
      <c r="L2767" s="56" t="s">
        <v>906</v>
      </c>
      <c r="M2767" s="4" t="s">
        <v>1118</v>
      </c>
      <c r="N2767" s="4"/>
      <c r="O2767" s="4" t="s">
        <v>178</v>
      </c>
    </row>
    <row r="2768" spans="2:15">
      <c r="B2768" s="20">
        <v>45868</v>
      </c>
      <c r="C2768" s="20">
        <v>45868</v>
      </c>
      <c r="D2768" s="54">
        <v>50760042</v>
      </c>
      <c r="E2768" s="55" t="s">
        <v>2460</v>
      </c>
      <c r="G2768" s="68">
        <v>400</v>
      </c>
      <c r="H2768" s="56" t="s">
        <v>82</v>
      </c>
      <c r="J2768" s="56" t="s">
        <v>2461</v>
      </c>
      <c r="L2768" s="56" t="s">
        <v>2462</v>
      </c>
      <c r="M2768" s="4" t="s">
        <v>2462</v>
      </c>
      <c r="N2768" s="4"/>
      <c r="O2768" s="4" t="s">
        <v>178</v>
      </c>
    </row>
    <row r="2769" spans="2:15">
      <c r="B2769" s="20">
        <v>45868</v>
      </c>
      <c r="C2769" s="20">
        <v>45868</v>
      </c>
      <c r="D2769" s="54">
        <v>50272278</v>
      </c>
      <c r="E2769" s="55" t="s">
        <v>21</v>
      </c>
      <c r="G2769" s="68">
        <v>15600</v>
      </c>
      <c r="H2769" s="56" t="s">
        <v>92</v>
      </c>
      <c r="J2769" s="56" t="s">
        <v>2463</v>
      </c>
      <c r="L2769" s="56" t="s">
        <v>262</v>
      </c>
      <c r="M2769" s="4" t="s">
        <v>262</v>
      </c>
      <c r="N2769" s="4"/>
      <c r="O2769" s="4" t="s">
        <v>178</v>
      </c>
    </row>
    <row r="2770" spans="2:15">
      <c r="B2770" s="20">
        <v>45869</v>
      </c>
      <c r="C2770" s="20">
        <v>45869</v>
      </c>
      <c r="D2770" s="54">
        <v>50145028</v>
      </c>
      <c r="E2770" s="55" t="s">
        <v>23</v>
      </c>
      <c r="G2770" s="68">
        <v>500</v>
      </c>
      <c r="H2770" s="56" t="s">
        <v>92</v>
      </c>
      <c r="J2770" s="56" t="s">
        <v>2464</v>
      </c>
      <c r="L2770" s="56" t="s">
        <v>2421</v>
      </c>
      <c r="M2770" s="4" t="s">
        <v>2421</v>
      </c>
      <c r="N2770" s="4"/>
      <c r="O2770" s="4" t="s">
        <v>178</v>
      </c>
    </row>
    <row r="2771" spans="2:15">
      <c r="B2771" s="20">
        <v>45869</v>
      </c>
      <c r="C2771" s="20">
        <v>45869</v>
      </c>
      <c r="D2771" s="54">
        <v>50853828</v>
      </c>
      <c r="E2771" s="55" t="s">
        <v>2465</v>
      </c>
      <c r="G2771" s="68">
        <v>1682.05</v>
      </c>
      <c r="H2771" s="56" t="s">
        <v>753</v>
      </c>
      <c r="J2771" s="56" t="s">
        <v>2466</v>
      </c>
      <c r="L2771" s="56" t="s">
        <v>1227</v>
      </c>
      <c r="M2771" s="4" t="s">
        <v>660</v>
      </c>
      <c r="N2771" s="4" t="s">
        <v>2407</v>
      </c>
      <c r="O2771" s="4" t="s">
        <v>178</v>
      </c>
    </row>
    <row r="2772" spans="2:15">
      <c r="B2772" s="20">
        <v>45869</v>
      </c>
      <c r="C2772" s="20">
        <v>45869</v>
      </c>
      <c r="D2772" s="54">
        <v>50821962</v>
      </c>
      <c r="E2772" s="55" t="s">
        <v>2467</v>
      </c>
      <c r="G2772" s="68">
        <v>2209.75</v>
      </c>
      <c r="H2772" s="56" t="s">
        <v>753</v>
      </c>
      <c r="J2772" s="56" t="s">
        <v>2468</v>
      </c>
      <c r="L2772" s="56" t="s">
        <v>1227</v>
      </c>
      <c r="M2772" s="4" t="s">
        <v>660</v>
      </c>
      <c r="N2772" s="4" t="s">
        <v>2407</v>
      </c>
      <c r="O2772" s="4" t="s">
        <v>178</v>
      </c>
    </row>
    <row r="2773" spans="2:15">
      <c r="B2773" s="20">
        <v>45869</v>
      </c>
      <c r="C2773" s="20">
        <v>45869</v>
      </c>
      <c r="D2773" s="54">
        <v>50141533</v>
      </c>
      <c r="E2773" s="55" t="s">
        <v>494</v>
      </c>
      <c r="G2773" s="68">
        <v>5000</v>
      </c>
      <c r="H2773" s="56" t="s">
        <v>753</v>
      </c>
      <c r="J2773" s="56" t="s">
        <v>2469</v>
      </c>
      <c r="L2773" s="56" t="s">
        <v>2470</v>
      </c>
      <c r="M2773" s="4" t="s">
        <v>2471</v>
      </c>
      <c r="N2773" s="4"/>
      <c r="O2773" s="4" t="s">
        <v>178</v>
      </c>
    </row>
    <row r="2774" spans="2:15">
      <c r="B2774" s="20">
        <v>45870</v>
      </c>
      <c r="C2774" s="20">
        <v>45870</v>
      </c>
      <c r="D2774" s="54">
        <v>50843627</v>
      </c>
      <c r="E2774" s="55" t="s">
        <v>2472</v>
      </c>
      <c r="G2774" s="68">
        <v>145440</v>
      </c>
      <c r="H2774" s="56" t="s">
        <v>92</v>
      </c>
      <c r="J2774" s="56" t="s">
        <v>2473</v>
      </c>
      <c r="L2774" s="56" t="s">
        <v>2474</v>
      </c>
      <c r="M2774" s="4" t="s">
        <v>750</v>
      </c>
      <c r="N2774" s="4"/>
      <c r="O2774" s="4" t="s">
        <v>178</v>
      </c>
    </row>
    <row r="2775" spans="2:15">
      <c r="B2775" s="20">
        <v>45870</v>
      </c>
      <c r="C2775" s="20">
        <v>45870</v>
      </c>
      <c r="D2775" s="54">
        <v>50143646</v>
      </c>
      <c r="E2775" s="55" t="s">
        <v>191</v>
      </c>
      <c r="G2775" s="68">
        <v>6240</v>
      </c>
      <c r="H2775" s="56" t="s">
        <v>82</v>
      </c>
      <c r="J2775" s="56" t="s">
        <v>2475</v>
      </c>
      <c r="L2775" s="56" t="s">
        <v>2378</v>
      </c>
      <c r="M2775" s="4" t="s">
        <v>392</v>
      </c>
      <c r="N2775" s="4"/>
      <c r="O2775" s="4" t="s">
        <v>178</v>
      </c>
    </row>
    <row r="2776" spans="2:15">
      <c r="B2776" s="20">
        <v>45870</v>
      </c>
      <c r="C2776" s="20">
        <v>45870</v>
      </c>
      <c r="D2776" s="54">
        <v>50145028</v>
      </c>
      <c r="E2776" s="55" t="s">
        <v>23</v>
      </c>
      <c r="G2776" s="68">
        <v>1400</v>
      </c>
      <c r="H2776" s="56" t="s">
        <v>92</v>
      </c>
      <c r="J2776" s="56" t="s">
        <v>2476</v>
      </c>
      <c r="L2776" s="56" t="s">
        <v>2421</v>
      </c>
      <c r="M2776" s="4" t="s">
        <v>2421</v>
      </c>
      <c r="N2776" s="4"/>
      <c r="O2776" s="4" t="s">
        <v>178</v>
      </c>
    </row>
    <row r="2777" spans="2:15">
      <c r="B2777" s="20">
        <v>45871</v>
      </c>
      <c r="C2777" s="20">
        <v>45871</v>
      </c>
      <c r="D2777" s="54">
        <v>50819323</v>
      </c>
      <c r="E2777" s="55" t="s">
        <v>40</v>
      </c>
      <c r="G2777" s="68">
        <v>275.04</v>
      </c>
      <c r="H2777" s="56" t="s">
        <v>1248</v>
      </c>
      <c r="J2777" s="56" t="s">
        <v>2477</v>
      </c>
      <c r="L2777" s="56" t="s">
        <v>2478</v>
      </c>
      <c r="M2777" s="4" t="s">
        <v>2004</v>
      </c>
      <c r="N2777" s="4"/>
      <c r="O2777" s="4" t="s">
        <v>178</v>
      </c>
    </row>
    <row r="2778" spans="2:15">
      <c r="B2778" s="20">
        <v>45873</v>
      </c>
      <c r="C2778" s="20">
        <v>45873</v>
      </c>
      <c r="D2778" s="54">
        <v>50272278</v>
      </c>
      <c r="E2778" s="55" t="s">
        <v>21</v>
      </c>
      <c r="G2778" s="68">
        <v>15600</v>
      </c>
      <c r="H2778" s="56" t="s">
        <v>92</v>
      </c>
      <c r="J2778" s="56" t="s">
        <v>2479</v>
      </c>
      <c r="L2778" s="56" t="s">
        <v>262</v>
      </c>
      <c r="M2778" s="4" t="s">
        <v>262</v>
      </c>
      <c r="N2778" s="4"/>
      <c r="O2778" s="4" t="s">
        <v>178</v>
      </c>
    </row>
    <row r="2779" spans="2:15">
      <c r="B2779" s="20">
        <v>45873</v>
      </c>
      <c r="C2779" s="20">
        <v>45873</v>
      </c>
      <c r="D2779" s="54">
        <v>40014900</v>
      </c>
      <c r="E2779" s="55" t="s">
        <v>153</v>
      </c>
      <c r="G2779" s="68">
        <v>114</v>
      </c>
      <c r="H2779" s="56" t="s">
        <v>80</v>
      </c>
      <c r="J2779" s="56" t="s">
        <v>2480</v>
      </c>
      <c r="L2779" s="56" t="s">
        <v>1791</v>
      </c>
      <c r="M2779" s="4" t="s">
        <v>1792</v>
      </c>
      <c r="N2779" s="4" t="s">
        <v>1793</v>
      </c>
      <c r="O2779" s="4" t="s">
        <v>178</v>
      </c>
    </row>
    <row r="2780" spans="2:15">
      <c r="B2780" s="20">
        <v>45873</v>
      </c>
      <c r="C2780" s="20">
        <v>45873</v>
      </c>
      <c r="D2780" s="54">
        <v>40014900</v>
      </c>
      <c r="E2780" s="55" t="s">
        <v>153</v>
      </c>
      <c r="G2780" s="68">
        <v>114</v>
      </c>
      <c r="H2780" s="56" t="s">
        <v>1248</v>
      </c>
      <c r="J2780" s="56" t="s">
        <v>2481</v>
      </c>
      <c r="L2780" s="56" t="s">
        <v>1791</v>
      </c>
      <c r="M2780" s="4" t="s">
        <v>1792</v>
      </c>
      <c r="N2780" s="4" t="s">
        <v>2300</v>
      </c>
      <c r="O2780" s="4" t="s">
        <v>178</v>
      </c>
    </row>
    <row r="2781" spans="2:15">
      <c r="B2781" s="20">
        <v>45873</v>
      </c>
      <c r="C2781" s="20">
        <v>45873</v>
      </c>
      <c r="D2781" s="54">
        <v>40014900</v>
      </c>
      <c r="E2781" s="55" t="s">
        <v>153</v>
      </c>
      <c r="G2781" s="68">
        <v>114</v>
      </c>
      <c r="H2781" s="56" t="s">
        <v>1248</v>
      </c>
      <c r="J2781" s="56" t="s">
        <v>2482</v>
      </c>
      <c r="L2781" s="56" t="s">
        <v>1791</v>
      </c>
      <c r="M2781" s="4" t="s">
        <v>1792</v>
      </c>
      <c r="N2781" s="4" t="s">
        <v>1793</v>
      </c>
      <c r="O2781" s="4" t="s">
        <v>178</v>
      </c>
    </row>
    <row r="2782" spans="2:15">
      <c r="B2782" s="20">
        <v>45873</v>
      </c>
      <c r="C2782" s="20">
        <v>45873</v>
      </c>
      <c r="D2782" s="54">
        <v>40009544</v>
      </c>
      <c r="E2782" s="55" t="s">
        <v>179</v>
      </c>
      <c r="G2782" s="68">
        <v>5661</v>
      </c>
      <c r="H2782" s="56" t="s">
        <v>80</v>
      </c>
      <c r="J2782" s="56">
        <v>1008993336</v>
      </c>
      <c r="L2782" s="56" t="s">
        <v>175</v>
      </c>
      <c r="M2782" s="4" t="s">
        <v>564</v>
      </c>
      <c r="N2782" s="4"/>
      <c r="O2782" s="4" t="s">
        <v>178</v>
      </c>
    </row>
    <row r="2783" spans="2:15">
      <c r="B2783" s="20">
        <v>45873</v>
      </c>
      <c r="C2783" s="20">
        <v>45873</v>
      </c>
      <c r="D2783" s="54">
        <v>40009546</v>
      </c>
      <c r="E2783" s="55" t="s">
        <v>174</v>
      </c>
      <c r="G2783" s="68">
        <v>5706</v>
      </c>
      <c r="H2783" s="56" t="s">
        <v>80</v>
      </c>
      <c r="J2783" s="56">
        <v>1008993336</v>
      </c>
      <c r="L2783" s="56" t="s">
        <v>175</v>
      </c>
      <c r="M2783" s="4" t="s">
        <v>564</v>
      </c>
      <c r="N2783" s="4"/>
      <c r="O2783" s="4" t="s">
        <v>178</v>
      </c>
    </row>
    <row r="2784" spans="2:15">
      <c r="B2784" s="20">
        <v>45873</v>
      </c>
      <c r="C2784" s="20">
        <v>45873</v>
      </c>
      <c r="D2784" s="54">
        <v>40007939</v>
      </c>
      <c r="E2784" s="55" t="s">
        <v>476</v>
      </c>
      <c r="G2784" s="68">
        <v>684</v>
      </c>
      <c r="H2784" s="56" t="s">
        <v>80</v>
      </c>
      <c r="J2784" s="56">
        <v>1008993336</v>
      </c>
      <c r="L2784" s="56" t="s">
        <v>175</v>
      </c>
      <c r="M2784" s="4" t="s">
        <v>564</v>
      </c>
      <c r="N2784" s="4"/>
      <c r="O2784" s="4" t="s">
        <v>178</v>
      </c>
    </row>
    <row r="2785" spans="2:15">
      <c r="B2785" s="20">
        <v>45873</v>
      </c>
      <c r="C2785" s="20">
        <v>45873</v>
      </c>
      <c r="D2785" s="54">
        <v>40007940</v>
      </c>
      <c r="E2785" s="55" t="s">
        <v>477</v>
      </c>
      <c r="G2785" s="68">
        <v>676</v>
      </c>
      <c r="H2785" s="56" t="s">
        <v>80</v>
      </c>
      <c r="J2785" s="56">
        <v>1008993336</v>
      </c>
      <c r="L2785" s="56" t="s">
        <v>175</v>
      </c>
      <c r="M2785" s="4" t="s">
        <v>564</v>
      </c>
      <c r="N2785" s="4"/>
      <c r="O2785" s="4" t="s">
        <v>178</v>
      </c>
    </row>
    <row r="2786" spans="2:15">
      <c r="B2786" s="20">
        <v>45873</v>
      </c>
      <c r="C2786" s="20">
        <v>45873</v>
      </c>
      <c r="D2786" s="54">
        <v>50142298</v>
      </c>
      <c r="E2786" s="55" t="s">
        <v>2159</v>
      </c>
      <c r="G2786" s="68">
        <v>1685</v>
      </c>
      <c r="H2786" s="56" t="s">
        <v>82</v>
      </c>
      <c r="J2786" s="56" t="s">
        <v>2483</v>
      </c>
      <c r="L2786" s="56" t="s">
        <v>838</v>
      </c>
      <c r="M2786" s="4" t="s">
        <v>2152</v>
      </c>
      <c r="N2786" s="4" t="s">
        <v>177</v>
      </c>
      <c r="O2786" s="4" t="s">
        <v>178</v>
      </c>
    </row>
    <row r="2787" spans="2:15">
      <c r="B2787" s="20">
        <v>45873</v>
      </c>
      <c r="C2787" s="20">
        <v>45873</v>
      </c>
      <c r="D2787" s="54">
        <v>50142424</v>
      </c>
      <c r="E2787" s="55" t="s">
        <v>33</v>
      </c>
      <c r="G2787" s="68">
        <v>700</v>
      </c>
      <c r="H2787" s="56" t="s">
        <v>82</v>
      </c>
      <c r="J2787" s="56" t="s">
        <v>2483</v>
      </c>
      <c r="L2787" s="56" t="s">
        <v>838</v>
      </c>
      <c r="M2787" s="4" t="s">
        <v>2152</v>
      </c>
      <c r="N2787" s="4" t="s">
        <v>177</v>
      </c>
      <c r="O2787" s="4" t="s">
        <v>178</v>
      </c>
    </row>
    <row r="2788" spans="2:15">
      <c r="B2788" s="20">
        <v>45873</v>
      </c>
      <c r="C2788" s="20">
        <v>45873</v>
      </c>
      <c r="D2788" s="54">
        <v>50799770</v>
      </c>
      <c r="E2788" s="55" t="s">
        <v>17</v>
      </c>
      <c r="G2788" s="68">
        <v>3750</v>
      </c>
      <c r="H2788" s="56" t="s">
        <v>92</v>
      </c>
      <c r="J2788" s="56" t="s">
        <v>2483</v>
      </c>
      <c r="L2788" s="56" t="s">
        <v>838</v>
      </c>
      <c r="M2788" s="4" t="s">
        <v>2152</v>
      </c>
      <c r="N2788" s="4" t="s">
        <v>177</v>
      </c>
      <c r="O2788" s="4" t="s">
        <v>178</v>
      </c>
    </row>
    <row r="2789" spans="2:15">
      <c r="B2789" s="20">
        <v>45873</v>
      </c>
      <c r="C2789" s="20">
        <v>45873</v>
      </c>
      <c r="D2789" s="54">
        <v>50144376</v>
      </c>
      <c r="E2789" s="55" t="s">
        <v>19</v>
      </c>
      <c r="G2789" s="68">
        <v>500</v>
      </c>
      <c r="H2789" s="56" t="s">
        <v>92</v>
      </c>
      <c r="J2789" s="56" t="s">
        <v>2483</v>
      </c>
      <c r="L2789" s="56" t="s">
        <v>838</v>
      </c>
      <c r="M2789" s="4" t="s">
        <v>2152</v>
      </c>
      <c r="N2789" s="4" t="s">
        <v>177</v>
      </c>
      <c r="O2789" s="4" t="s">
        <v>178</v>
      </c>
    </row>
    <row r="2790" spans="2:15">
      <c r="B2790" s="20">
        <v>45873</v>
      </c>
      <c r="C2790" s="20">
        <v>45873</v>
      </c>
      <c r="D2790" s="54">
        <v>50756640</v>
      </c>
      <c r="E2790" s="55" t="s">
        <v>945</v>
      </c>
      <c r="G2790" s="68">
        <v>20000</v>
      </c>
      <c r="H2790" s="56" t="s">
        <v>92</v>
      </c>
      <c r="J2790" s="56" t="s">
        <v>2483</v>
      </c>
      <c r="L2790" s="56" t="s">
        <v>838</v>
      </c>
      <c r="M2790" s="4" t="s">
        <v>2152</v>
      </c>
      <c r="N2790" s="4" t="s">
        <v>177</v>
      </c>
      <c r="O2790" s="4" t="s">
        <v>178</v>
      </c>
    </row>
    <row r="2791" spans="2:15">
      <c r="B2791" s="20">
        <v>45874</v>
      </c>
      <c r="C2791" s="20">
        <v>45874</v>
      </c>
      <c r="D2791" s="54">
        <v>50142298</v>
      </c>
      <c r="E2791" s="55" t="s">
        <v>2159</v>
      </c>
      <c r="G2791" s="68">
        <v>3370</v>
      </c>
      <c r="H2791" s="56" t="s">
        <v>198</v>
      </c>
      <c r="J2791" s="56" t="s">
        <v>2484</v>
      </c>
      <c r="L2791" s="56" t="s">
        <v>838</v>
      </c>
      <c r="M2791" s="4" t="s">
        <v>2152</v>
      </c>
      <c r="N2791" s="4" t="s">
        <v>1905</v>
      </c>
      <c r="O2791" s="4" t="s">
        <v>178</v>
      </c>
    </row>
    <row r="2792" spans="2:15">
      <c r="B2792" s="20">
        <v>45874</v>
      </c>
      <c r="C2792" s="20">
        <v>45874</v>
      </c>
      <c r="D2792" s="54">
        <v>50328488</v>
      </c>
      <c r="E2792" s="55" t="s">
        <v>1853</v>
      </c>
      <c r="G2792" s="68">
        <v>200</v>
      </c>
      <c r="H2792" s="56" t="s">
        <v>82</v>
      </c>
      <c r="J2792" s="56" t="s">
        <v>2484</v>
      </c>
      <c r="L2792" s="56" t="s">
        <v>838</v>
      </c>
      <c r="M2792" s="4" t="s">
        <v>2152</v>
      </c>
      <c r="N2792" s="4" t="s">
        <v>1905</v>
      </c>
      <c r="O2792" s="4" t="s">
        <v>178</v>
      </c>
    </row>
    <row r="2793" spans="2:15">
      <c r="B2793" s="20">
        <v>45874</v>
      </c>
      <c r="C2793" s="20">
        <v>45874</v>
      </c>
      <c r="D2793" s="54">
        <v>50409120</v>
      </c>
      <c r="E2793" s="55" t="s">
        <v>2157</v>
      </c>
      <c r="G2793" s="68">
        <v>720</v>
      </c>
      <c r="H2793" s="56" t="s">
        <v>82</v>
      </c>
      <c r="J2793" s="56" t="s">
        <v>2484</v>
      </c>
      <c r="L2793" s="56" t="s">
        <v>838</v>
      </c>
      <c r="M2793" s="4" t="s">
        <v>2152</v>
      </c>
      <c r="N2793" s="4" t="s">
        <v>1905</v>
      </c>
      <c r="O2793" s="4" t="s">
        <v>178</v>
      </c>
    </row>
    <row r="2794" spans="2:15">
      <c r="B2794" s="20">
        <v>45874</v>
      </c>
      <c r="C2794" s="20">
        <v>45874</v>
      </c>
      <c r="D2794" s="54">
        <v>50142571</v>
      </c>
      <c r="E2794" s="55" t="s">
        <v>605</v>
      </c>
      <c r="G2794" s="68">
        <v>312</v>
      </c>
      <c r="H2794" s="56" t="s">
        <v>82</v>
      </c>
      <c r="J2794" s="56" t="s">
        <v>2484</v>
      </c>
      <c r="L2794" s="56" t="s">
        <v>838</v>
      </c>
      <c r="M2794" s="4" t="s">
        <v>2152</v>
      </c>
      <c r="N2794" s="4" t="s">
        <v>1905</v>
      </c>
      <c r="O2794" s="4" t="s">
        <v>178</v>
      </c>
    </row>
    <row r="2795" spans="2:15">
      <c r="B2795" s="20">
        <v>45874</v>
      </c>
      <c r="C2795" s="20">
        <v>45874</v>
      </c>
      <c r="D2795" s="54">
        <v>50328897</v>
      </c>
      <c r="E2795" s="55" t="s">
        <v>1850</v>
      </c>
      <c r="G2795" s="68">
        <v>176</v>
      </c>
      <c r="H2795" s="56" t="s">
        <v>82</v>
      </c>
      <c r="J2795" s="56" t="s">
        <v>2484</v>
      </c>
      <c r="L2795" s="56" t="s">
        <v>838</v>
      </c>
      <c r="M2795" s="4" t="s">
        <v>2152</v>
      </c>
      <c r="N2795" s="4" t="s">
        <v>1905</v>
      </c>
      <c r="O2795" s="4" t="s">
        <v>178</v>
      </c>
    </row>
    <row r="2796" spans="2:15">
      <c r="B2796" s="20">
        <v>45874</v>
      </c>
      <c r="C2796" s="20">
        <v>45874</v>
      </c>
      <c r="D2796" s="54">
        <v>50272278</v>
      </c>
      <c r="E2796" s="55" t="s">
        <v>21</v>
      </c>
      <c r="G2796" s="68">
        <v>800</v>
      </c>
      <c r="H2796" s="56" t="s">
        <v>92</v>
      </c>
      <c r="J2796" s="56" t="s">
        <v>2484</v>
      </c>
      <c r="L2796" s="56" t="s">
        <v>838</v>
      </c>
      <c r="M2796" s="4" t="s">
        <v>2152</v>
      </c>
      <c r="N2796" s="4" t="s">
        <v>1905</v>
      </c>
      <c r="O2796" s="4" t="s">
        <v>178</v>
      </c>
    </row>
    <row r="2797" spans="2:15">
      <c r="B2797" s="20">
        <v>45874</v>
      </c>
      <c r="C2797" s="20">
        <v>45874</v>
      </c>
      <c r="D2797" s="54">
        <v>50387529</v>
      </c>
      <c r="E2797" s="55" t="s">
        <v>610</v>
      </c>
      <c r="G2797" s="68">
        <v>400</v>
      </c>
      <c r="H2797" s="56" t="s">
        <v>82</v>
      </c>
      <c r="J2797" s="56" t="s">
        <v>2484</v>
      </c>
      <c r="L2797" s="56" t="s">
        <v>838</v>
      </c>
      <c r="M2797" s="4" t="s">
        <v>2152</v>
      </c>
      <c r="N2797" s="4" t="s">
        <v>1905</v>
      </c>
      <c r="O2797" s="4" t="s">
        <v>178</v>
      </c>
    </row>
    <row r="2798" spans="2:15">
      <c r="B2798" s="20">
        <v>45874</v>
      </c>
      <c r="C2798" s="20">
        <v>45874</v>
      </c>
      <c r="D2798" s="54">
        <v>20015988</v>
      </c>
      <c r="E2798" s="55" t="s">
        <v>2485</v>
      </c>
      <c r="G2798" s="68">
        <v>550</v>
      </c>
      <c r="H2798" s="56" t="s">
        <v>987</v>
      </c>
      <c r="J2798" s="56" t="s">
        <v>2484</v>
      </c>
      <c r="L2798" s="56" t="s">
        <v>838</v>
      </c>
      <c r="M2798" s="4" t="s">
        <v>2152</v>
      </c>
      <c r="N2798" s="4" t="s">
        <v>1905</v>
      </c>
      <c r="O2798" s="4" t="s">
        <v>178</v>
      </c>
    </row>
    <row r="2799" spans="2:15">
      <c r="B2799" s="20">
        <v>45874</v>
      </c>
      <c r="C2799" s="20">
        <v>45874</v>
      </c>
      <c r="D2799" s="54">
        <v>50409107</v>
      </c>
      <c r="E2799" s="55" t="s">
        <v>2486</v>
      </c>
      <c r="G2799" s="68">
        <v>480</v>
      </c>
      <c r="H2799" s="56" t="s">
        <v>987</v>
      </c>
      <c r="J2799" s="56" t="s">
        <v>2484</v>
      </c>
      <c r="L2799" s="56" t="s">
        <v>838</v>
      </c>
      <c r="M2799" s="4" t="s">
        <v>2152</v>
      </c>
      <c r="N2799" s="4" t="s">
        <v>1905</v>
      </c>
      <c r="O2799" s="4" t="s">
        <v>178</v>
      </c>
    </row>
    <row r="2800" spans="2:15">
      <c r="B2800" s="20">
        <v>45874</v>
      </c>
      <c r="C2800" s="20">
        <v>45874</v>
      </c>
      <c r="D2800" s="54">
        <v>50409111</v>
      </c>
      <c r="E2800" s="55" t="s">
        <v>2487</v>
      </c>
      <c r="G2800" s="68">
        <v>400</v>
      </c>
      <c r="H2800" s="56" t="s">
        <v>987</v>
      </c>
      <c r="J2800" s="56" t="s">
        <v>2484</v>
      </c>
      <c r="L2800" s="56" t="s">
        <v>838</v>
      </c>
      <c r="M2800" s="4" t="s">
        <v>2152</v>
      </c>
      <c r="N2800" s="4" t="s">
        <v>1905</v>
      </c>
      <c r="O2800" s="4" t="s">
        <v>178</v>
      </c>
    </row>
    <row r="2801" spans="2:15">
      <c r="B2801" s="20">
        <v>45874</v>
      </c>
      <c r="C2801" s="20">
        <v>45874</v>
      </c>
      <c r="D2801" s="54">
        <v>50773360</v>
      </c>
      <c r="E2801" s="55" t="s">
        <v>2488</v>
      </c>
      <c r="G2801" s="68">
        <v>1000</v>
      </c>
      <c r="H2801" s="56" t="s">
        <v>92</v>
      </c>
      <c r="J2801" s="56" t="s">
        <v>2484</v>
      </c>
      <c r="L2801" s="56" t="s">
        <v>838</v>
      </c>
      <c r="M2801" s="4" t="s">
        <v>2152</v>
      </c>
      <c r="N2801" s="4" t="s">
        <v>1905</v>
      </c>
      <c r="O2801" s="4" t="s">
        <v>178</v>
      </c>
    </row>
    <row r="2802" spans="2:15">
      <c r="B2802" s="20">
        <v>45874</v>
      </c>
      <c r="C2802" s="20">
        <v>45874</v>
      </c>
      <c r="D2802" s="54">
        <v>50346258</v>
      </c>
      <c r="E2802" s="55" t="s">
        <v>2489</v>
      </c>
      <c r="G2802" s="68">
        <v>500</v>
      </c>
      <c r="H2802" s="56" t="s">
        <v>987</v>
      </c>
      <c r="J2802" s="56" t="s">
        <v>2484</v>
      </c>
      <c r="L2802" s="56" t="s">
        <v>838</v>
      </c>
      <c r="M2802" s="4" t="s">
        <v>2152</v>
      </c>
      <c r="N2802" s="4" t="s">
        <v>1905</v>
      </c>
      <c r="O2802" s="4" t="s">
        <v>178</v>
      </c>
    </row>
    <row r="2803" spans="2:15">
      <c r="B2803" s="20">
        <v>45875</v>
      </c>
      <c r="C2803" s="20">
        <v>45875</v>
      </c>
      <c r="D2803" s="54">
        <v>50271805</v>
      </c>
      <c r="E2803" s="55" t="s">
        <v>2452</v>
      </c>
      <c r="G2803" s="68">
        <v>27000</v>
      </c>
      <c r="H2803" s="56" t="s">
        <v>92</v>
      </c>
      <c r="J2803" s="56" t="s">
        <v>2490</v>
      </c>
      <c r="L2803" s="56" t="s">
        <v>342</v>
      </c>
      <c r="M2803" s="4" t="s">
        <v>326</v>
      </c>
      <c r="N2803" s="4" t="s">
        <v>2491</v>
      </c>
      <c r="O2803" s="4" t="s">
        <v>1945</v>
      </c>
    </row>
    <row r="2804" spans="2:15">
      <c r="B2804" s="20">
        <v>45875</v>
      </c>
      <c r="C2804" s="20">
        <v>45875</v>
      </c>
      <c r="D2804" s="54">
        <v>40011149</v>
      </c>
      <c r="E2804" s="55" t="s">
        <v>37</v>
      </c>
      <c r="G2804" s="68">
        <v>6336</v>
      </c>
      <c r="H2804" s="56" t="s">
        <v>80</v>
      </c>
      <c r="J2804" s="56" t="s">
        <v>2492</v>
      </c>
      <c r="L2804" s="56" t="s">
        <v>1031</v>
      </c>
      <c r="M2804" s="4" t="s">
        <v>392</v>
      </c>
      <c r="N2804" s="4" t="s">
        <v>2493</v>
      </c>
      <c r="O2804" s="4" t="s">
        <v>178</v>
      </c>
    </row>
    <row r="2805" spans="2:15">
      <c r="B2805" s="20">
        <v>45875</v>
      </c>
      <c r="C2805" s="20">
        <v>45875</v>
      </c>
      <c r="D2805" s="54">
        <v>50481696</v>
      </c>
      <c r="E2805" s="55" t="s">
        <v>2494</v>
      </c>
      <c r="G2805" s="68">
        <v>3006.3</v>
      </c>
      <c r="H2805" s="56" t="s">
        <v>82</v>
      </c>
      <c r="J2805" s="56" t="s">
        <v>2495</v>
      </c>
      <c r="L2805" s="56" t="s">
        <v>1227</v>
      </c>
      <c r="M2805" s="4" t="s">
        <v>660</v>
      </c>
      <c r="N2805" s="4" t="s">
        <v>2407</v>
      </c>
      <c r="O2805" s="4" t="s">
        <v>178</v>
      </c>
    </row>
    <row r="2806" spans="2:15">
      <c r="B2806" s="20">
        <v>45875</v>
      </c>
      <c r="C2806" s="20">
        <v>45875</v>
      </c>
      <c r="D2806" s="54">
        <v>50793278</v>
      </c>
      <c r="E2806" s="55" t="s">
        <v>1086</v>
      </c>
      <c r="G2806" s="68">
        <v>150</v>
      </c>
      <c r="H2806" s="56" t="s">
        <v>1087</v>
      </c>
      <c r="J2806" s="56">
        <v>1008838947</v>
      </c>
      <c r="L2806" s="56" t="s">
        <v>175</v>
      </c>
      <c r="M2806" s="4" t="s">
        <v>392</v>
      </c>
      <c r="N2806" s="4" t="s">
        <v>2496</v>
      </c>
      <c r="O2806" s="4" t="s">
        <v>178</v>
      </c>
    </row>
    <row r="2807" spans="2:15">
      <c r="B2807" s="20">
        <v>45876</v>
      </c>
      <c r="C2807" s="20">
        <v>45876</v>
      </c>
      <c r="D2807" s="54">
        <v>50819321</v>
      </c>
      <c r="E2807" s="55" t="s">
        <v>1703</v>
      </c>
      <c r="G2807" s="68">
        <v>1800</v>
      </c>
      <c r="H2807" s="56" t="s">
        <v>80</v>
      </c>
      <c r="J2807" s="56" t="s">
        <v>2497</v>
      </c>
      <c r="L2807" s="56" t="s">
        <v>2498</v>
      </c>
      <c r="M2807" s="4" t="s">
        <v>2499</v>
      </c>
      <c r="N2807" s="4"/>
      <c r="O2807" s="4" t="s">
        <v>178</v>
      </c>
    </row>
    <row r="2808" spans="2:15">
      <c r="B2808" s="20">
        <v>45876</v>
      </c>
      <c r="C2808" s="20">
        <v>45876</v>
      </c>
      <c r="D2808" s="54">
        <v>50819320</v>
      </c>
      <c r="E2808" s="55" t="s">
        <v>1701</v>
      </c>
      <c r="G2808" s="68">
        <v>1800</v>
      </c>
      <c r="H2808" s="56" t="s">
        <v>80</v>
      </c>
      <c r="J2808" s="56" t="s">
        <v>2497</v>
      </c>
      <c r="L2808" s="56" t="s">
        <v>2498</v>
      </c>
      <c r="M2808" s="4" t="s">
        <v>2499</v>
      </c>
      <c r="N2808" s="4"/>
      <c r="O2808" s="4" t="s">
        <v>178</v>
      </c>
    </row>
    <row r="2809" spans="2:15">
      <c r="B2809" s="20">
        <v>45877</v>
      </c>
      <c r="C2809" s="20">
        <v>45877</v>
      </c>
      <c r="D2809" s="54">
        <v>50470190</v>
      </c>
      <c r="E2809" s="55" t="s">
        <v>12</v>
      </c>
      <c r="G2809" s="68">
        <v>9273600</v>
      </c>
      <c r="H2809" s="56" t="s">
        <v>92</v>
      </c>
      <c r="J2809" s="56" t="s">
        <v>2500</v>
      </c>
      <c r="L2809" s="56" t="s">
        <v>958</v>
      </c>
      <c r="M2809" s="4" t="s">
        <v>2396</v>
      </c>
      <c r="N2809" s="4" t="s">
        <v>2501</v>
      </c>
      <c r="O2809" s="4" t="s">
        <v>178</v>
      </c>
    </row>
    <row r="2810" spans="2:15">
      <c r="B2810" s="20">
        <v>45877</v>
      </c>
      <c r="C2810" s="20">
        <v>45877</v>
      </c>
      <c r="D2810" s="54">
        <v>50843627</v>
      </c>
      <c r="E2810" s="55" t="s">
        <v>2472</v>
      </c>
      <c r="G2810" s="68">
        <f>28*5760</f>
        <v>161280</v>
      </c>
      <c r="H2810" s="56" t="s">
        <v>92</v>
      </c>
      <c r="J2810" s="56" t="s">
        <v>2502</v>
      </c>
      <c r="L2810" s="56" t="s">
        <v>2474</v>
      </c>
      <c r="M2810" s="4" t="s">
        <v>750</v>
      </c>
      <c r="N2810" s="4" t="s">
        <v>2503</v>
      </c>
      <c r="O2810" s="4" t="s">
        <v>178</v>
      </c>
    </row>
    <row r="2811" spans="2:15">
      <c r="B2811" s="20">
        <v>45877</v>
      </c>
      <c r="C2811" s="20">
        <v>45877</v>
      </c>
      <c r="D2811" s="54">
        <v>50142298</v>
      </c>
      <c r="E2811" s="55" t="s">
        <v>2159</v>
      </c>
      <c r="G2811" s="68">
        <v>3370</v>
      </c>
      <c r="H2811" s="56" t="s">
        <v>987</v>
      </c>
      <c r="J2811" s="56" t="s">
        <v>1921</v>
      </c>
      <c r="L2811" s="56" t="s">
        <v>1981</v>
      </c>
      <c r="M2811" s="4" t="s">
        <v>1981</v>
      </c>
      <c r="N2811" s="4"/>
      <c r="O2811" s="4" t="s">
        <v>178</v>
      </c>
    </row>
    <row r="2812" spans="2:15">
      <c r="B2812" s="20">
        <v>45877</v>
      </c>
      <c r="C2812" s="20">
        <v>45877</v>
      </c>
      <c r="D2812" s="54">
        <v>50144376</v>
      </c>
      <c r="E2812" s="55" t="s">
        <v>19</v>
      </c>
      <c r="G2812" s="68">
        <v>14400</v>
      </c>
      <c r="H2812" s="56" t="s">
        <v>92</v>
      </c>
      <c r="J2812" s="56" t="s">
        <v>2504</v>
      </c>
      <c r="L2812" s="56" t="s">
        <v>262</v>
      </c>
      <c r="M2812" s="4" t="s">
        <v>262</v>
      </c>
      <c r="N2812" s="4" t="s">
        <v>1268</v>
      </c>
      <c r="O2812" s="4" t="s">
        <v>178</v>
      </c>
    </row>
    <row r="2813" spans="2:15">
      <c r="B2813" s="20">
        <v>45877</v>
      </c>
      <c r="C2813" s="20">
        <v>45877</v>
      </c>
      <c r="D2813" s="54">
        <v>50272278</v>
      </c>
      <c r="E2813" s="55" t="s">
        <v>21</v>
      </c>
      <c r="G2813" s="68">
        <v>1200</v>
      </c>
      <c r="H2813" s="56" t="s">
        <v>92</v>
      </c>
      <c r="J2813" s="56" t="s">
        <v>2505</v>
      </c>
      <c r="L2813" s="56" t="s">
        <v>262</v>
      </c>
      <c r="M2813" s="4" t="s">
        <v>262</v>
      </c>
      <c r="N2813" s="4" t="s">
        <v>1268</v>
      </c>
      <c r="O2813" s="4" t="s">
        <v>178</v>
      </c>
    </row>
    <row r="2814" spans="2:15">
      <c r="B2814" s="20">
        <v>45877</v>
      </c>
      <c r="C2814" s="20">
        <v>45877</v>
      </c>
      <c r="D2814" s="54">
        <v>40007678</v>
      </c>
      <c r="E2814" s="55" t="s">
        <v>2506</v>
      </c>
      <c r="G2814" s="68">
        <v>56160</v>
      </c>
      <c r="H2814" s="56" t="s">
        <v>92</v>
      </c>
      <c r="J2814" s="56" t="s">
        <v>2507</v>
      </c>
      <c r="L2814" s="56" t="s">
        <v>1791</v>
      </c>
      <c r="M2814" s="4" t="s">
        <v>1792</v>
      </c>
      <c r="N2814" s="4" t="s">
        <v>2300</v>
      </c>
      <c r="O2814" s="4" t="s">
        <v>178</v>
      </c>
    </row>
    <row r="2815" spans="2:15">
      <c r="B2815" s="20">
        <v>45877</v>
      </c>
      <c r="C2815" s="20">
        <v>45877</v>
      </c>
      <c r="D2815" s="54">
        <v>40007678</v>
      </c>
      <c r="E2815" s="55" t="s">
        <v>2506</v>
      </c>
      <c r="G2815" s="68">
        <v>56160</v>
      </c>
      <c r="H2815" s="56" t="s">
        <v>92</v>
      </c>
      <c r="J2815" s="56" t="s">
        <v>2508</v>
      </c>
      <c r="L2815" s="56" t="s">
        <v>1791</v>
      </c>
      <c r="M2815" s="4" t="s">
        <v>1792</v>
      </c>
      <c r="N2815" s="4" t="s">
        <v>1793</v>
      </c>
      <c r="O2815" s="4" t="s">
        <v>178</v>
      </c>
    </row>
    <row r="2816" spans="2:15">
      <c r="B2816" s="20">
        <v>45880</v>
      </c>
      <c r="C2816" s="20">
        <v>45880</v>
      </c>
      <c r="D2816" s="54">
        <v>50010080</v>
      </c>
      <c r="E2816" s="55" t="s">
        <v>1657</v>
      </c>
      <c r="G2816" s="68">
        <f>375*50</f>
        <v>18750</v>
      </c>
      <c r="H2816" s="56" t="s">
        <v>987</v>
      </c>
      <c r="J2816" s="56" t="s">
        <v>2509</v>
      </c>
      <c r="L2816" s="56" t="s">
        <v>2188</v>
      </c>
      <c r="M2816" s="4" t="s">
        <v>2188</v>
      </c>
      <c r="N2816" s="4"/>
      <c r="O2816" s="4" t="s">
        <v>178</v>
      </c>
    </row>
    <row r="2817" spans="2:15">
      <c r="B2817" s="20">
        <v>45880</v>
      </c>
      <c r="C2817" s="20">
        <v>45880</v>
      </c>
      <c r="D2817" s="54">
        <v>50272278</v>
      </c>
      <c r="E2817" s="55" t="s">
        <v>21</v>
      </c>
      <c r="G2817" s="68">
        <v>15600</v>
      </c>
      <c r="H2817" s="56" t="s">
        <v>92</v>
      </c>
      <c r="J2817" s="56" t="s">
        <v>2510</v>
      </c>
      <c r="L2817" s="56" t="s">
        <v>262</v>
      </c>
      <c r="M2817" s="4" t="s">
        <v>262</v>
      </c>
      <c r="N2817" s="4" t="s">
        <v>1268</v>
      </c>
      <c r="O2817" s="4" t="s">
        <v>178</v>
      </c>
    </row>
    <row r="2818" spans="2:15">
      <c r="B2818" s="20">
        <v>45882</v>
      </c>
      <c r="C2818" s="20">
        <v>45882</v>
      </c>
      <c r="D2818" s="54">
        <v>50837509</v>
      </c>
      <c r="E2818" s="55" t="s">
        <v>14</v>
      </c>
      <c r="G2818" s="68">
        <v>9273600</v>
      </c>
      <c r="H2818" s="56" t="s">
        <v>92</v>
      </c>
      <c r="J2818" s="56" t="s">
        <v>2511</v>
      </c>
      <c r="L2818" s="56" t="s">
        <v>1117</v>
      </c>
      <c r="M2818" s="4" t="s">
        <v>2204</v>
      </c>
      <c r="N2818" s="4"/>
      <c r="O2818" s="4" t="s">
        <v>178</v>
      </c>
    </row>
    <row r="2819" spans="2:15">
      <c r="B2819" s="20">
        <v>45882</v>
      </c>
      <c r="C2819" s="20">
        <v>45882</v>
      </c>
      <c r="D2819" s="54">
        <v>50837239</v>
      </c>
      <c r="E2819" s="55" t="s">
        <v>27</v>
      </c>
      <c r="G2819" s="68">
        <v>5639.1</v>
      </c>
      <c r="H2819" s="56" t="s">
        <v>987</v>
      </c>
      <c r="J2819" s="56" t="s">
        <v>2329</v>
      </c>
      <c r="L2819" s="56" t="s">
        <v>1227</v>
      </c>
      <c r="M2819" s="4" t="s">
        <v>660</v>
      </c>
      <c r="N2819" s="4" t="s">
        <v>2407</v>
      </c>
      <c r="O2819" s="4" t="s">
        <v>178</v>
      </c>
    </row>
    <row r="2820" spans="2:15">
      <c r="B2820" s="20">
        <v>45882</v>
      </c>
      <c r="C2820" s="20">
        <v>45882</v>
      </c>
      <c r="D2820" s="54">
        <v>50837239</v>
      </c>
      <c r="E2820" s="55" t="s">
        <v>27</v>
      </c>
      <c r="G2820" s="68">
        <v>606.7</v>
      </c>
      <c r="H2820" s="56" t="s">
        <v>82</v>
      </c>
      <c r="J2820" s="56" t="s">
        <v>2512</v>
      </c>
      <c r="L2820" s="56" t="s">
        <v>1227</v>
      </c>
      <c r="M2820" s="4" t="s">
        <v>660</v>
      </c>
      <c r="N2820" s="4" t="s">
        <v>2407</v>
      </c>
      <c r="O2820" s="4" t="s">
        <v>178</v>
      </c>
    </row>
    <row r="2821" spans="2:15">
      <c r="B2821" s="20">
        <v>45882</v>
      </c>
      <c r="C2821" s="20">
        <v>45882</v>
      </c>
      <c r="D2821" s="54">
        <v>50272278</v>
      </c>
      <c r="E2821" s="55" t="s">
        <v>21</v>
      </c>
      <c r="G2821" s="68">
        <v>15600</v>
      </c>
      <c r="H2821" s="56" t="s">
        <v>92</v>
      </c>
      <c r="J2821" s="56" t="s">
        <v>2513</v>
      </c>
      <c r="L2821" s="56" t="s">
        <v>262</v>
      </c>
      <c r="M2821" s="4" t="s">
        <v>262</v>
      </c>
      <c r="N2821" s="4" t="s">
        <v>1268</v>
      </c>
      <c r="O2821" s="4" t="s">
        <v>178</v>
      </c>
    </row>
    <row r="2822" spans="2:15">
      <c r="B2822" s="20">
        <v>45883</v>
      </c>
      <c r="C2822" s="20">
        <v>45883</v>
      </c>
      <c r="D2822" s="54">
        <v>40007678</v>
      </c>
      <c r="E2822" s="55" t="s">
        <v>2506</v>
      </c>
      <c r="G2822" s="68">
        <v>21292</v>
      </c>
      <c r="H2822" s="56" t="s">
        <v>92</v>
      </c>
      <c r="J2822" s="56" t="s">
        <v>2514</v>
      </c>
      <c r="L2822" s="56" t="s">
        <v>1791</v>
      </c>
      <c r="M2822" s="4" t="s">
        <v>1792</v>
      </c>
      <c r="N2822" s="4" t="s">
        <v>1793</v>
      </c>
      <c r="O2822" s="4" t="s">
        <v>178</v>
      </c>
    </row>
    <row r="2823" spans="2:15">
      <c r="B2823" s="20">
        <v>45883</v>
      </c>
      <c r="C2823" s="20">
        <v>45883</v>
      </c>
      <c r="D2823" s="54">
        <v>50470190</v>
      </c>
      <c r="E2823" s="55" t="s">
        <v>12</v>
      </c>
      <c r="G2823" s="68">
        <v>9273600</v>
      </c>
      <c r="H2823" s="56" t="s">
        <v>92</v>
      </c>
      <c r="J2823" s="56" t="s">
        <v>2515</v>
      </c>
      <c r="L2823" s="56" t="s">
        <v>958</v>
      </c>
      <c r="M2823" s="4" t="s">
        <v>2396</v>
      </c>
      <c r="N2823" s="4" t="s">
        <v>2516</v>
      </c>
      <c r="O2823" s="4" t="s">
        <v>178</v>
      </c>
    </row>
    <row r="2824" spans="2:15">
      <c r="B2824" s="20">
        <v>45883</v>
      </c>
      <c r="C2824" s="20">
        <v>45883</v>
      </c>
      <c r="D2824" s="54">
        <v>50142631</v>
      </c>
      <c r="E2824" s="55" t="s">
        <v>566</v>
      </c>
      <c r="G2824" s="68">
        <v>3000</v>
      </c>
      <c r="H2824" s="56" t="s">
        <v>92</v>
      </c>
      <c r="J2824" s="56" t="s">
        <v>2517</v>
      </c>
      <c r="L2824" s="56" t="s">
        <v>2134</v>
      </c>
      <c r="M2824" s="4" t="s">
        <v>2134</v>
      </c>
      <c r="N2824" s="4" t="s">
        <v>2518</v>
      </c>
      <c r="O2824" s="4" t="s">
        <v>178</v>
      </c>
    </row>
    <row r="2825" spans="2:15">
      <c r="B2825" s="20">
        <v>45883</v>
      </c>
      <c r="C2825" s="20">
        <v>45883</v>
      </c>
      <c r="D2825" s="54">
        <v>50272278</v>
      </c>
      <c r="E2825" s="55" t="s">
        <v>21</v>
      </c>
      <c r="G2825" s="68">
        <v>15600</v>
      </c>
      <c r="H2825" s="56" t="s">
        <v>92</v>
      </c>
      <c r="J2825" s="56" t="s">
        <v>2519</v>
      </c>
      <c r="L2825" s="56" t="s">
        <v>262</v>
      </c>
      <c r="M2825" s="4" t="s">
        <v>262</v>
      </c>
      <c r="N2825" s="4" t="s">
        <v>1268</v>
      </c>
      <c r="O2825" s="4" t="s">
        <v>178</v>
      </c>
    </row>
    <row r="2826" spans="2:15">
      <c r="B2826" s="20">
        <v>45885</v>
      </c>
      <c r="C2826" s="20">
        <v>45885</v>
      </c>
      <c r="D2826" s="54">
        <v>40010086</v>
      </c>
      <c r="E2826" s="55" t="s">
        <v>79</v>
      </c>
      <c r="G2826" s="68">
        <v>24806</v>
      </c>
      <c r="H2826" s="56" t="s">
        <v>80</v>
      </c>
      <c r="J2826" s="56">
        <v>1009735907</v>
      </c>
      <c r="L2826" s="56" t="s">
        <v>175</v>
      </c>
      <c r="M2826" s="4" t="s">
        <v>564</v>
      </c>
      <c r="N2826" s="4"/>
      <c r="O2826" s="4" t="s">
        <v>178</v>
      </c>
    </row>
    <row r="2827" spans="2:15">
      <c r="B2827" s="20">
        <v>45885</v>
      </c>
      <c r="C2827" s="20">
        <v>45885</v>
      </c>
      <c r="D2827" s="54">
        <v>40010084</v>
      </c>
      <c r="E2827" s="55" t="s">
        <v>81</v>
      </c>
      <c r="G2827" s="68">
        <v>3442</v>
      </c>
      <c r="H2827" s="56" t="s">
        <v>80</v>
      </c>
      <c r="J2827" s="56">
        <v>1009735907</v>
      </c>
      <c r="L2827" s="56" t="s">
        <v>175</v>
      </c>
      <c r="M2827" s="4" t="s">
        <v>564</v>
      </c>
      <c r="N2827" s="4"/>
      <c r="O2827" s="4" t="s">
        <v>178</v>
      </c>
    </row>
    <row r="2828" spans="2:15">
      <c r="B2828" s="20">
        <v>45885</v>
      </c>
      <c r="C2828" s="20">
        <v>45885</v>
      </c>
      <c r="D2828" s="54">
        <v>40010087</v>
      </c>
      <c r="E2828" s="55" t="s">
        <v>387</v>
      </c>
      <c r="G2828" s="68">
        <v>7125</v>
      </c>
      <c r="H2828" s="56" t="s">
        <v>80</v>
      </c>
      <c r="J2828" s="56">
        <v>1009735907</v>
      </c>
      <c r="L2828" s="56" t="s">
        <v>175</v>
      </c>
      <c r="M2828" s="4" t="s">
        <v>564</v>
      </c>
      <c r="N2828" s="4"/>
      <c r="O2828" s="4" t="s">
        <v>178</v>
      </c>
    </row>
    <row r="2829" spans="2:15">
      <c r="B2829" s="20">
        <v>45885</v>
      </c>
      <c r="C2829" s="20">
        <v>45885</v>
      </c>
      <c r="D2829" s="54">
        <v>40010083</v>
      </c>
      <c r="E2829" s="55" t="s">
        <v>85</v>
      </c>
      <c r="G2829" s="68">
        <v>3096</v>
      </c>
      <c r="H2829" s="56" t="s">
        <v>80</v>
      </c>
      <c r="J2829" s="56">
        <v>1009735907</v>
      </c>
      <c r="L2829" s="56" t="s">
        <v>175</v>
      </c>
      <c r="M2829" s="4" t="s">
        <v>564</v>
      </c>
      <c r="N2829" s="4"/>
      <c r="O2829" s="4" t="s">
        <v>178</v>
      </c>
    </row>
    <row r="2830" spans="2:15">
      <c r="B2830" s="20">
        <v>45885</v>
      </c>
      <c r="C2830" s="20">
        <v>45885</v>
      </c>
      <c r="D2830" s="54">
        <v>40010087</v>
      </c>
      <c r="E2830" s="55" t="s">
        <v>387</v>
      </c>
      <c r="G2830" s="68">
        <v>19008</v>
      </c>
      <c r="H2830" s="56" t="s">
        <v>80</v>
      </c>
      <c r="J2830" s="56">
        <v>1009692316</v>
      </c>
      <c r="L2830" s="56" t="s">
        <v>175</v>
      </c>
      <c r="M2830" s="4" t="s">
        <v>564</v>
      </c>
      <c r="N2830" s="4"/>
      <c r="O2830" s="4" t="s">
        <v>178</v>
      </c>
    </row>
    <row r="2831" spans="2:15">
      <c r="B2831" s="20">
        <v>45885</v>
      </c>
      <c r="C2831" s="20">
        <v>45885</v>
      </c>
      <c r="D2831" s="54">
        <v>88888881</v>
      </c>
      <c r="E2831" s="55" t="s">
        <v>2520</v>
      </c>
      <c r="G2831" s="68">
        <v>255000</v>
      </c>
      <c r="H2831" s="56" t="s">
        <v>92</v>
      </c>
      <c r="J2831" s="56" t="s">
        <v>2521</v>
      </c>
      <c r="L2831" s="56" t="s">
        <v>1190</v>
      </c>
      <c r="M2831" s="4" t="s">
        <v>750</v>
      </c>
      <c r="N2831" s="4"/>
      <c r="O2831" s="4" t="s">
        <v>178</v>
      </c>
    </row>
    <row r="2832" spans="2:15">
      <c r="B2832" s="20">
        <v>45885</v>
      </c>
      <c r="C2832" s="20">
        <v>45885</v>
      </c>
      <c r="D2832" s="54">
        <v>88888882</v>
      </c>
      <c r="E2832" s="55" t="s">
        <v>2522</v>
      </c>
      <c r="G2832" s="68">
        <v>255000</v>
      </c>
      <c r="H2832" s="56" t="s">
        <v>92</v>
      </c>
      <c r="J2832" s="56" t="s">
        <v>2521</v>
      </c>
      <c r="L2832" s="56" t="s">
        <v>1190</v>
      </c>
      <c r="M2832" s="4" t="s">
        <v>750</v>
      </c>
      <c r="N2832" s="4"/>
      <c r="O2832" s="4" t="s">
        <v>178</v>
      </c>
    </row>
    <row r="2833" spans="2:15">
      <c r="B2833" s="20">
        <v>45885</v>
      </c>
      <c r="C2833" s="20">
        <v>45885</v>
      </c>
      <c r="D2833" s="54">
        <v>88888883</v>
      </c>
      <c r="E2833" s="55" t="s">
        <v>2523</v>
      </c>
      <c r="G2833" s="68">
        <v>255000</v>
      </c>
      <c r="H2833" s="56" t="s">
        <v>92</v>
      </c>
      <c r="J2833" s="56" t="s">
        <v>2521</v>
      </c>
      <c r="L2833" s="56" t="s">
        <v>1190</v>
      </c>
      <c r="M2833" s="4" t="s">
        <v>750</v>
      </c>
      <c r="N2833" s="4"/>
      <c r="O2833" s="4" t="s">
        <v>178</v>
      </c>
    </row>
    <row r="2834" spans="2:15">
      <c r="B2834" s="20">
        <v>45885</v>
      </c>
      <c r="C2834" s="20">
        <v>45885</v>
      </c>
      <c r="D2834" s="54">
        <v>50851033</v>
      </c>
      <c r="E2834" s="55" t="s">
        <v>29</v>
      </c>
      <c r="G2834" s="68">
        <v>2203.45</v>
      </c>
      <c r="H2834" s="56" t="s">
        <v>753</v>
      </c>
      <c r="J2834" s="56" t="s">
        <v>2524</v>
      </c>
      <c r="L2834" s="56" t="s">
        <v>1227</v>
      </c>
      <c r="M2834" s="4" t="s">
        <v>660</v>
      </c>
      <c r="N2834" s="4" t="s">
        <v>1203</v>
      </c>
      <c r="O2834" s="4" t="s">
        <v>178</v>
      </c>
    </row>
    <row r="2835" spans="2:15">
      <c r="B2835" s="20">
        <v>45887</v>
      </c>
      <c r="C2835" s="20">
        <v>45887</v>
      </c>
      <c r="D2835" s="54">
        <v>40011588</v>
      </c>
      <c r="E2835" s="55" t="s">
        <v>585</v>
      </c>
      <c r="G2835" s="68">
        <v>8550</v>
      </c>
      <c r="H2835" s="56" t="s">
        <v>80</v>
      </c>
      <c r="J2835" s="56" t="s">
        <v>2525</v>
      </c>
      <c r="L2835" s="56" t="s">
        <v>1031</v>
      </c>
      <c r="M2835" s="4" t="s">
        <v>392</v>
      </c>
      <c r="N2835" s="4"/>
      <c r="O2835" s="4" t="s">
        <v>178</v>
      </c>
    </row>
    <row r="2836" spans="2:15">
      <c r="B2836" s="20">
        <v>45887</v>
      </c>
      <c r="C2836" s="20">
        <v>45887</v>
      </c>
      <c r="D2836" s="54">
        <v>40011660</v>
      </c>
      <c r="E2836" s="55" t="s">
        <v>528</v>
      </c>
      <c r="G2836" s="68">
        <v>1767.5</v>
      </c>
      <c r="H2836" s="56" t="s">
        <v>80</v>
      </c>
      <c r="J2836" s="56" t="s">
        <v>2525</v>
      </c>
      <c r="L2836" s="56" t="s">
        <v>1031</v>
      </c>
      <c r="M2836" s="4" t="s">
        <v>392</v>
      </c>
      <c r="N2836" s="4"/>
      <c r="O2836" s="4" t="s">
        <v>178</v>
      </c>
    </row>
    <row r="2837" spans="2:15">
      <c r="B2837" s="20">
        <v>45887</v>
      </c>
      <c r="C2837" s="20">
        <v>45887</v>
      </c>
      <c r="D2837" s="54">
        <v>50851663</v>
      </c>
      <c r="E2837" s="55" t="s">
        <v>2526</v>
      </c>
      <c r="G2837" s="68">
        <v>1800</v>
      </c>
      <c r="H2837" s="56" t="s">
        <v>80</v>
      </c>
      <c r="J2837" s="56" t="s">
        <v>2525</v>
      </c>
      <c r="L2837" s="56" t="s">
        <v>1031</v>
      </c>
      <c r="M2837" s="4" t="s">
        <v>392</v>
      </c>
      <c r="N2837" s="4"/>
      <c r="O2837" s="4" t="s">
        <v>178</v>
      </c>
    </row>
    <row r="2838" spans="2:15">
      <c r="B2838" s="20">
        <v>45887</v>
      </c>
      <c r="C2838" s="20">
        <v>45887</v>
      </c>
      <c r="D2838" s="54">
        <v>50272278</v>
      </c>
      <c r="E2838" s="55" t="s">
        <v>21</v>
      </c>
      <c r="G2838" s="68">
        <v>15000</v>
      </c>
      <c r="H2838" s="56" t="s">
        <v>92</v>
      </c>
      <c r="J2838" s="56" t="s">
        <v>2527</v>
      </c>
      <c r="L2838" s="56" t="s">
        <v>262</v>
      </c>
      <c r="M2838" s="4" t="s">
        <v>262</v>
      </c>
      <c r="N2838" s="4" t="s">
        <v>1268</v>
      </c>
      <c r="O2838" s="4" t="s">
        <v>178</v>
      </c>
    </row>
    <row r="2839" spans="2:15">
      <c r="B2839" s="20">
        <v>45887</v>
      </c>
      <c r="C2839" s="20">
        <v>45887</v>
      </c>
      <c r="D2839" s="54">
        <v>50142298</v>
      </c>
      <c r="E2839" s="55" t="s">
        <v>2159</v>
      </c>
      <c r="G2839" s="68">
        <v>3370</v>
      </c>
      <c r="H2839" s="56" t="s">
        <v>987</v>
      </c>
      <c r="J2839" s="56" t="s">
        <v>2528</v>
      </c>
      <c r="L2839" s="56" t="s">
        <v>769</v>
      </c>
      <c r="M2839" s="4" t="s">
        <v>769</v>
      </c>
      <c r="N2839" s="4"/>
      <c r="O2839" s="4" t="s">
        <v>178</v>
      </c>
    </row>
    <row r="2840" spans="2:15">
      <c r="B2840" s="20">
        <v>45888</v>
      </c>
      <c r="C2840" s="20">
        <v>45888</v>
      </c>
      <c r="D2840" s="54">
        <v>50272278</v>
      </c>
      <c r="E2840" s="55" t="s">
        <v>21</v>
      </c>
      <c r="G2840" s="68">
        <v>15600</v>
      </c>
      <c r="H2840" s="56" t="s">
        <v>92</v>
      </c>
      <c r="J2840" s="56" t="s">
        <v>2529</v>
      </c>
      <c r="L2840" s="56" t="s">
        <v>262</v>
      </c>
      <c r="M2840" s="4" t="s">
        <v>262</v>
      </c>
      <c r="N2840" s="4" t="s">
        <v>1268</v>
      </c>
      <c r="O2840" s="4" t="s">
        <v>178</v>
      </c>
    </row>
    <row r="2841" spans="2:15">
      <c r="B2841" s="20">
        <v>45889</v>
      </c>
      <c r="C2841" s="20">
        <v>45889</v>
      </c>
      <c r="D2841" s="54">
        <v>50470190</v>
      </c>
      <c r="E2841" s="55" t="s">
        <v>12</v>
      </c>
      <c r="G2841" s="68">
        <v>9273600</v>
      </c>
      <c r="H2841" s="56" t="s">
        <v>92</v>
      </c>
      <c r="J2841" s="56" t="s">
        <v>2530</v>
      </c>
      <c r="L2841" s="56" t="s">
        <v>958</v>
      </c>
      <c r="M2841" s="4" t="s">
        <v>2396</v>
      </c>
      <c r="N2841" s="4"/>
      <c r="O2841" s="4" t="s">
        <v>178</v>
      </c>
    </row>
    <row r="2842" spans="2:15">
      <c r="B2842" s="20">
        <v>45889</v>
      </c>
      <c r="C2842" s="20">
        <v>45889</v>
      </c>
      <c r="D2842" s="54">
        <v>50143646</v>
      </c>
      <c r="E2842" s="55" t="s">
        <v>191</v>
      </c>
      <c r="G2842" s="68">
        <v>10560</v>
      </c>
      <c r="H2842" s="56" t="s">
        <v>753</v>
      </c>
      <c r="J2842" s="56" t="s">
        <v>2531</v>
      </c>
      <c r="L2842" s="56" t="s">
        <v>750</v>
      </c>
      <c r="N2842" s="4"/>
      <c r="O2842" s="4" t="s">
        <v>178</v>
      </c>
    </row>
    <row r="2843" spans="2:15">
      <c r="B2843" s="20">
        <v>45891</v>
      </c>
      <c r="C2843" s="20">
        <v>45891</v>
      </c>
      <c r="D2843" s="54">
        <v>50272278</v>
      </c>
      <c r="E2843" s="55" t="s">
        <v>21</v>
      </c>
      <c r="G2843" s="68">
        <v>12600</v>
      </c>
      <c r="H2843" s="56" t="s">
        <v>92</v>
      </c>
      <c r="J2843" s="56" t="s">
        <v>2532</v>
      </c>
      <c r="L2843" s="56" t="s">
        <v>262</v>
      </c>
      <c r="M2843" s="4" t="s">
        <v>262</v>
      </c>
      <c r="N2843" s="4" t="s">
        <v>1268</v>
      </c>
      <c r="O2843" s="4" t="s">
        <v>178</v>
      </c>
    </row>
    <row r="2844" spans="2:15">
      <c r="B2844" s="20">
        <v>45894</v>
      </c>
      <c r="C2844" s="20">
        <v>45894</v>
      </c>
      <c r="D2844" s="54">
        <v>50272278</v>
      </c>
      <c r="E2844" s="55" t="s">
        <v>21</v>
      </c>
      <c r="G2844" s="68">
        <v>15600</v>
      </c>
      <c r="H2844" s="56" t="s">
        <v>92</v>
      </c>
      <c r="J2844" s="56" t="s">
        <v>2533</v>
      </c>
      <c r="L2844" s="56" t="s">
        <v>262</v>
      </c>
      <c r="M2844" s="4" t="s">
        <v>262</v>
      </c>
      <c r="N2844" s="4" t="s">
        <v>1268</v>
      </c>
      <c r="O2844" s="4" t="s">
        <v>178</v>
      </c>
    </row>
    <row r="2845" spans="2:15">
      <c r="B2845" s="20">
        <v>45895</v>
      </c>
      <c r="C2845" s="20">
        <v>45895</v>
      </c>
      <c r="D2845" s="54">
        <v>50809353</v>
      </c>
      <c r="E2845" s="55" t="s">
        <v>905</v>
      </c>
      <c r="G2845" s="68">
        <v>10000</v>
      </c>
      <c r="H2845" s="56" t="s">
        <v>987</v>
      </c>
      <c r="J2845" s="56">
        <v>187270</v>
      </c>
      <c r="L2845" s="56" t="s">
        <v>2534</v>
      </c>
      <c r="M2845" s="4" t="s">
        <v>1058</v>
      </c>
      <c r="N2845" s="4"/>
    </row>
    <row r="2846" spans="2:15">
      <c r="B2846" s="20">
        <v>45895</v>
      </c>
      <c r="C2846" s="20">
        <v>45895</v>
      </c>
      <c r="D2846" s="54">
        <v>40014675</v>
      </c>
      <c r="E2846" s="55" t="s">
        <v>44</v>
      </c>
      <c r="G2846" s="68">
        <v>114</v>
      </c>
      <c r="H2846" s="56" t="s">
        <v>80</v>
      </c>
      <c r="J2846" s="56" t="s">
        <v>2535</v>
      </c>
      <c r="L2846" s="56" t="s">
        <v>1791</v>
      </c>
      <c r="M2846" s="4" t="s">
        <v>1792</v>
      </c>
      <c r="N2846" s="4" t="s">
        <v>2300</v>
      </c>
      <c r="O2846" s="4" t="s">
        <v>178</v>
      </c>
    </row>
    <row r="2847" spans="2:15">
      <c r="B2847" s="20">
        <v>45895</v>
      </c>
      <c r="C2847" s="20">
        <v>45895</v>
      </c>
      <c r="D2847" s="54">
        <v>50145028</v>
      </c>
      <c r="E2847" s="55" t="s">
        <v>23</v>
      </c>
      <c r="G2847" s="68">
        <v>1134</v>
      </c>
      <c r="H2847" s="56" t="s">
        <v>92</v>
      </c>
      <c r="J2847" s="56" t="s">
        <v>2536</v>
      </c>
      <c r="L2847" s="56" t="s">
        <v>2340</v>
      </c>
      <c r="M2847" s="4" t="s">
        <v>673</v>
      </c>
      <c r="N2847" s="4"/>
    </row>
    <row r="2848" spans="2:15">
      <c r="B2848" s="20">
        <v>45895</v>
      </c>
      <c r="C2848" s="20">
        <v>45895</v>
      </c>
      <c r="D2848" s="54">
        <v>50470190</v>
      </c>
      <c r="E2848" s="55" t="s">
        <v>12</v>
      </c>
      <c r="G2848" s="68">
        <v>9273600</v>
      </c>
      <c r="H2848" s="56" t="s">
        <v>92</v>
      </c>
      <c r="J2848" s="56" t="s">
        <v>2537</v>
      </c>
      <c r="L2848" s="56" t="s">
        <v>2000</v>
      </c>
      <c r="M2848" s="4" t="s">
        <v>2396</v>
      </c>
      <c r="N2848" s="4"/>
    </row>
    <row r="2849" spans="2:15">
      <c r="B2849" s="20">
        <v>45895</v>
      </c>
      <c r="C2849" s="20">
        <v>45895</v>
      </c>
      <c r="D2849" s="54">
        <v>40014900</v>
      </c>
      <c r="E2849" s="55" t="s">
        <v>153</v>
      </c>
      <c r="G2849" s="68">
        <v>114</v>
      </c>
      <c r="H2849" s="56" t="s">
        <v>92</v>
      </c>
      <c r="J2849" s="56" t="s">
        <v>2538</v>
      </c>
      <c r="L2849" s="56" t="s">
        <v>1791</v>
      </c>
      <c r="M2849" s="4" t="s">
        <v>1792</v>
      </c>
      <c r="N2849" s="4" t="s">
        <v>2300</v>
      </c>
      <c r="O2849" s="4" t="s">
        <v>178</v>
      </c>
    </row>
    <row r="2850" spans="2:15">
      <c r="B2850" s="20">
        <v>45895</v>
      </c>
      <c r="C2850" s="20">
        <v>45895</v>
      </c>
      <c r="D2850" s="54">
        <v>50272278</v>
      </c>
      <c r="E2850" s="55" t="s">
        <v>21</v>
      </c>
      <c r="G2850" s="68">
        <v>15600</v>
      </c>
      <c r="H2850" s="56" t="s">
        <v>92</v>
      </c>
      <c r="J2850" s="56" t="s">
        <v>2539</v>
      </c>
      <c r="L2850" s="56" t="s">
        <v>262</v>
      </c>
      <c r="M2850" s="4" t="s">
        <v>262</v>
      </c>
      <c r="N2850" s="4" t="s">
        <v>1268</v>
      </c>
      <c r="O2850" s="4" t="s">
        <v>178</v>
      </c>
    </row>
    <row r="2851" spans="2:15">
      <c r="B2851" s="20">
        <v>45895</v>
      </c>
      <c r="C2851" s="20">
        <v>45895</v>
      </c>
      <c r="D2851" s="54">
        <v>40007938</v>
      </c>
      <c r="E2851" s="55" t="s">
        <v>202</v>
      </c>
      <c r="G2851" s="68">
        <v>2680</v>
      </c>
      <c r="H2851" s="56" t="s">
        <v>80</v>
      </c>
      <c r="J2851" s="56">
        <v>1010840822</v>
      </c>
      <c r="L2851" s="56" t="s">
        <v>175</v>
      </c>
      <c r="M2851" s="4" t="s">
        <v>564</v>
      </c>
      <c r="N2851" s="4"/>
      <c r="O2851" s="4" t="s">
        <v>178</v>
      </c>
    </row>
    <row r="2852" spans="2:15">
      <c r="B2852" s="20">
        <v>45896</v>
      </c>
      <c r="C2852" s="20">
        <v>45896</v>
      </c>
      <c r="D2852" s="54">
        <v>50145029</v>
      </c>
      <c r="E2852" s="55" t="s">
        <v>705</v>
      </c>
      <c r="G2852" s="68">
        <v>48</v>
      </c>
      <c r="H2852" s="56" t="s">
        <v>505</v>
      </c>
      <c r="J2852" s="56" t="s">
        <v>2540</v>
      </c>
      <c r="L2852" s="56" t="s">
        <v>1053</v>
      </c>
      <c r="M2852" s="4" t="s">
        <v>1053</v>
      </c>
      <c r="N2852" s="4"/>
      <c r="O2852" s="4" t="s">
        <v>178</v>
      </c>
    </row>
    <row r="2853" spans="2:15">
      <c r="B2853" s="20">
        <v>45896</v>
      </c>
      <c r="C2853" s="20">
        <v>45896</v>
      </c>
      <c r="D2853" s="54">
        <v>50392045</v>
      </c>
      <c r="E2853" s="55" t="s">
        <v>707</v>
      </c>
      <c r="G2853" s="68">
        <v>48</v>
      </c>
      <c r="H2853" s="56" t="s">
        <v>505</v>
      </c>
      <c r="J2853" s="56" t="s">
        <v>2540</v>
      </c>
      <c r="L2853" s="56" t="s">
        <v>1053</v>
      </c>
      <c r="M2853" s="4" t="s">
        <v>1053</v>
      </c>
      <c r="N2853" s="4"/>
      <c r="O2853" s="4" t="s">
        <v>178</v>
      </c>
    </row>
    <row r="2854" spans="2:15">
      <c r="B2854" s="20">
        <v>45896</v>
      </c>
      <c r="C2854" s="20">
        <v>45896</v>
      </c>
      <c r="D2854" s="54">
        <v>50145012</v>
      </c>
      <c r="E2854" s="55" t="s">
        <v>504</v>
      </c>
      <c r="G2854" s="68">
        <v>48</v>
      </c>
      <c r="H2854" s="56" t="s">
        <v>505</v>
      </c>
      <c r="J2854" s="56" t="s">
        <v>2540</v>
      </c>
      <c r="L2854" s="56" t="s">
        <v>1053</v>
      </c>
      <c r="M2854" s="4" t="s">
        <v>1053</v>
      </c>
      <c r="N2854" s="4"/>
      <c r="O2854" s="4" t="s">
        <v>178</v>
      </c>
    </row>
    <row r="2855" spans="2:15">
      <c r="B2855" s="20">
        <v>45896</v>
      </c>
      <c r="C2855" s="20">
        <v>45896</v>
      </c>
      <c r="D2855" s="54">
        <v>50392046</v>
      </c>
      <c r="E2855" s="55" t="s">
        <v>509</v>
      </c>
      <c r="G2855" s="68">
        <v>24</v>
      </c>
      <c r="H2855" s="56" t="s">
        <v>505</v>
      </c>
      <c r="J2855" s="56" t="s">
        <v>2540</v>
      </c>
      <c r="L2855" s="56" t="s">
        <v>1053</v>
      </c>
      <c r="M2855" s="4" t="s">
        <v>1053</v>
      </c>
      <c r="N2855" s="4"/>
      <c r="O2855" s="4" t="s">
        <v>178</v>
      </c>
    </row>
    <row r="2856" spans="2:15">
      <c r="B2856" s="20">
        <v>45896</v>
      </c>
      <c r="C2856" s="20">
        <v>45896</v>
      </c>
      <c r="D2856" s="54">
        <v>40014900</v>
      </c>
      <c r="E2856" s="55" t="s">
        <v>153</v>
      </c>
      <c r="G2856" s="68">
        <v>114</v>
      </c>
      <c r="H2856" s="56" t="s">
        <v>92</v>
      </c>
      <c r="J2856" s="56" t="s">
        <v>2541</v>
      </c>
      <c r="L2856" s="56" t="s">
        <v>1791</v>
      </c>
      <c r="M2856" s="4" t="s">
        <v>1792</v>
      </c>
      <c r="N2856" s="4" t="s">
        <v>2300</v>
      </c>
      <c r="O2856" s="4" t="s">
        <v>178</v>
      </c>
    </row>
    <row r="2857" spans="2:15">
      <c r="B2857" s="20">
        <v>45896</v>
      </c>
      <c r="C2857" s="20">
        <v>45896</v>
      </c>
      <c r="D2857" s="54">
        <v>40014900</v>
      </c>
      <c r="E2857" s="55" t="s">
        <v>153</v>
      </c>
      <c r="G2857" s="68">
        <v>114</v>
      </c>
      <c r="H2857" s="56" t="s">
        <v>92</v>
      </c>
      <c r="J2857" s="56" t="s">
        <v>2542</v>
      </c>
      <c r="L2857" s="56" t="s">
        <v>1791</v>
      </c>
      <c r="M2857" s="4" t="s">
        <v>1792</v>
      </c>
      <c r="N2857" s="4" t="s">
        <v>2300</v>
      </c>
      <c r="O2857" s="4" t="s">
        <v>178</v>
      </c>
    </row>
    <row r="2858" spans="2:15">
      <c r="B2858" s="20">
        <v>45896</v>
      </c>
      <c r="C2858" s="20">
        <v>45896</v>
      </c>
      <c r="D2858" s="54">
        <v>40014675</v>
      </c>
      <c r="E2858" s="55" t="s">
        <v>44</v>
      </c>
      <c r="G2858" s="68">
        <v>114</v>
      </c>
      <c r="H2858" s="56" t="s">
        <v>80</v>
      </c>
      <c r="J2858" s="56" t="s">
        <v>1917</v>
      </c>
      <c r="L2858" s="56" t="s">
        <v>1791</v>
      </c>
      <c r="M2858" s="4" t="s">
        <v>1792</v>
      </c>
      <c r="N2858" s="4" t="s">
        <v>2300</v>
      </c>
      <c r="O2858" s="4" t="s">
        <v>178</v>
      </c>
    </row>
    <row r="2859" spans="2:15">
      <c r="B2859" s="20">
        <v>45896</v>
      </c>
      <c r="C2859" s="20">
        <v>45896</v>
      </c>
      <c r="D2859" s="54">
        <v>40014675</v>
      </c>
      <c r="E2859" s="55" t="s">
        <v>44</v>
      </c>
      <c r="G2859" s="68">
        <v>114</v>
      </c>
      <c r="H2859" s="56" t="s">
        <v>80</v>
      </c>
      <c r="J2859" s="56" t="s">
        <v>2543</v>
      </c>
      <c r="L2859" s="56" t="s">
        <v>1791</v>
      </c>
      <c r="M2859" s="4" t="s">
        <v>1792</v>
      </c>
      <c r="N2859" s="4" t="s">
        <v>2300</v>
      </c>
      <c r="O2859" s="4" t="s">
        <v>178</v>
      </c>
    </row>
    <row r="2860" spans="2:15">
      <c r="B2860" s="20">
        <v>45896</v>
      </c>
      <c r="C2860" s="20">
        <v>45896</v>
      </c>
      <c r="D2860" s="54">
        <v>40014675</v>
      </c>
      <c r="E2860" s="55" t="s">
        <v>44</v>
      </c>
      <c r="G2860" s="68">
        <v>114</v>
      </c>
      <c r="H2860" s="56" t="s">
        <v>80</v>
      </c>
      <c r="J2860" s="56" t="s">
        <v>1921</v>
      </c>
      <c r="L2860" s="56" t="s">
        <v>1791</v>
      </c>
      <c r="M2860" s="4" t="s">
        <v>1792</v>
      </c>
      <c r="N2860" s="4" t="s">
        <v>2300</v>
      </c>
      <c r="O2860" s="4" t="s">
        <v>178</v>
      </c>
    </row>
    <row r="2861" spans="2:15">
      <c r="B2861" s="20">
        <v>45897</v>
      </c>
      <c r="C2861" s="20">
        <v>45897</v>
      </c>
      <c r="D2861" s="54">
        <v>50272278</v>
      </c>
      <c r="E2861" s="55" t="s">
        <v>21</v>
      </c>
      <c r="G2861" s="68">
        <v>15600</v>
      </c>
      <c r="H2861" s="56" t="s">
        <v>962</v>
      </c>
      <c r="J2861" s="56" t="s">
        <v>2544</v>
      </c>
      <c r="L2861" s="56" t="s">
        <v>262</v>
      </c>
      <c r="M2861" s="4" t="s">
        <v>262</v>
      </c>
      <c r="N2861" s="4"/>
      <c r="O2861" s="4" t="s">
        <v>178</v>
      </c>
    </row>
    <row r="2862" spans="2:15">
      <c r="B2862" s="20">
        <v>45897</v>
      </c>
      <c r="C2862" s="20">
        <v>45897</v>
      </c>
      <c r="D2862" s="54">
        <v>50142619</v>
      </c>
      <c r="E2862" s="55" t="s">
        <v>433</v>
      </c>
      <c r="G2862" s="68">
        <v>220</v>
      </c>
      <c r="H2862" s="56" t="s">
        <v>92</v>
      </c>
      <c r="J2862" s="56" t="s">
        <v>2545</v>
      </c>
      <c r="L2862" s="56" t="s">
        <v>2308</v>
      </c>
      <c r="M2862" s="4" t="s">
        <v>2546</v>
      </c>
      <c r="N2862" s="4"/>
      <c r="O2862" s="4" t="s">
        <v>178</v>
      </c>
    </row>
    <row r="2863" spans="2:15">
      <c r="B2863" s="20">
        <v>45898</v>
      </c>
      <c r="C2863" s="20">
        <v>45898</v>
      </c>
      <c r="D2863" s="54">
        <v>50010080</v>
      </c>
      <c r="E2863" s="55" t="s">
        <v>1657</v>
      </c>
      <c r="G2863" s="68">
        <v>18000</v>
      </c>
      <c r="H2863" s="56" t="s">
        <v>962</v>
      </c>
      <c r="J2863" s="56" t="s">
        <v>2547</v>
      </c>
      <c r="L2863" s="56" t="s">
        <v>2188</v>
      </c>
      <c r="M2863" s="4" t="s">
        <v>2188</v>
      </c>
      <c r="N2863" s="4"/>
      <c r="O2863" s="4" t="s">
        <v>178</v>
      </c>
    </row>
    <row r="2864" spans="2:15">
      <c r="B2864" s="20">
        <v>45898</v>
      </c>
      <c r="C2864" s="20">
        <v>45898</v>
      </c>
      <c r="D2864" s="54">
        <v>40014675</v>
      </c>
      <c r="E2864" s="55" t="s">
        <v>44</v>
      </c>
      <c r="G2864" s="68">
        <v>114</v>
      </c>
      <c r="H2864" s="56" t="s">
        <v>1248</v>
      </c>
      <c r="J2864" s="56" t="s">
        <v>2548</v>
      </c>
      <c r="L2864" s="56" t="s">
        <v>1791</v>
      </c>
      <c r="M2864" s="4" t="s">
        <v>1792</v>
      </c>
      <c r="N2864" s="4" t="s">
        <v>2300</v>
      </c>
      <c r="O2864" s="4" t="s">
        <v>178</v>
      </c>
    </row>
    <row r="2865" spans="2:15">
      <c r="B2865" s="20">
        <v>45898</v>
      </c>
      <c r="C2865" s="20">
        <v>45898</v>
      </c>
      <c r="D2865" s="54">
        <v>50272278</v>
      </c>
      <c r="E2865" s="55" t="s">
        <v>21</v>
      </c>
      <c r="G2865" s="68">
        <v>15600</v>
      </c>
      <c r="H2865" s="56" t="s">
        <v>962</v>
      </c>
      <c r="J2865" s="56" t="s">
        <v>2549</v>
      </c>
      <c r="L2865" s="56" t="s">
        <v>262</v>
      </c>
      <c r="M2865" s="4" t="s">
        <v>262</v>
      </c>
      <c r="N2865" s="4"/>
      <c r="O2865" s="4" t="s">
        <v>178</v>
      </c>
    </row>
    <row r="2866" spans="2:15">
      <c r="B2866" s="20">
        <v>45899</v>
      </c>
      <c r="C2866" s="20">
        <v>45899</v>
      </c>
      <c r="D2866" s="54">
        <v>40011780</v>
      </c>
      <c r="E2866" s="55" t="s">
        <v>584</v>
      </c>
      <c r="G2866" s="68">
        <v>6270</v>
      </c>
      <c r="H2866" s="56" t="s">
        <v>1248</v>
      </c>
      <c r="J2866" s="56" t="s">
        <v>2550</v>
      </c>
      <c r="L2866" s="56" t="s">
        <v>1031</v>
      </c>
      <c r="M2866" s="4" t="s">
        <v>1031</v>
      </c>
      <c r="N2866" s="4"/>
      <c r="O2866" s="4" t="s">
        <v>178</v>
      </c>
    </row>
    <row r="2867" spans="2:15">
      <c r="B2867" s="20">
        <v>45899</v>
      </c>
      <c r="C2867" s="20">
        <v>45899</v>
      </c>
      <c r="D2867" s="54">
        <v>40011588</v>
      </c>
      <c r="E2867" s="55" t="s">
        <v>585</v>
      </c>
      <c r="G2867" s="68">
        <v>3350</v>
      </c>
      <c r="H2867" s="56" t="s">
        <v>1248</v>
      </c>
      <c r="J2867" s="56" t="s">
        <v>2550</v>
      </c>
      <c r="L2867" s="56" t="s">
        <v>1031</v>
      </c>
      <c r="M2867" s="4" t="s">
        <v>1031</v>
      </c>
      <c r="N2867" s="4"/>
      <c r="O2867" s="4" t="s">
        <v>178</v>
      </c>
    </row>
    <row r="2868" spans="2:15">
      <c r="B2868" s="20">
        <v>45899</v>
      </c>
      <c r="C2868" s="20">
        <v>45899</v>
      </c>
      <c r="D2868" s="54">
        <v>36363636</v>
      </c>
      <c r="E2868" s="55" t="s">
        <v>2551</v>
      </c>
      <c r="G2868" s="68">
        <v>980</v>
      </c>
      <c r="H2868" s="56" t="s">
        <v>1248</v>
      </c>
      <c r="J2868" s="56" t="s">
        <v>2550</v>
      </c>
      <c r="L2868" s="56" t="s">
        <v>1031</v>
      </c>
      <c r="M2868" s="4" t="s">
        <v>1031</v>
      </c>
      <c r="N2868" s="4"/>
      <c r="O2868" s="4" t="s">
        <v>178</v>
      </c>
    </row>
    <row r="2869" spans="2:15">
      <c r="B2869" s="20">
        <v>45901</v>
      </c>
      <c r="C2869" s="20">
        <v>45901</v>
      </c>
      <c r="D2869" s="54">
        <v>40014675</v>
      </c>
      <c r="E2869" s="55" t="s">
        <v>44</v>
      </c>
      <c r="G2869" s="68">
        <v>114</v>
      </c>
      <c r="H2869" s="56" t="s">
        <v>1248</v>
      </c>
      <c r="J2869" s="56" t="s">
        <v>2552</v>
      </c>
      <c r="L2869" s="56" t="s">
        <v>1791</v>
      </c>
      <c r="M2869" s="4" t="s">
        <v>1792</v>
      </c>
      <c r="N2869" s="4" t="s">
        <v>178</v>
      </c>
      <c r="O2869" s="4" t="s">
        <v>178</v>
      </c>
    </row>
    <row r="2870" spans="2:15">
      <c r="B2870" s="20">
        <v>45901</v>
      </c>
      <c r="C2870" s="20">
        <v>45901</v>
      </c>
      <c r="D2870" s="54">
        <v>40014675</v>
      </c>
      <c r="E2870" s="55" t="s">
        <v>44</v>
      </c>
      <c r="G2870" s="68">
        <v>114</v>
      </c>
      <c r="H2870" s="56" t="s">
        <v>1248</v>
      </c>
      <c r="J2870" s="56" t="s">
        <v>2553</v>
      </c>
      <c r="L2870" s="56" t="s">
        <v>1791</v>
      </c>
      <c r="M2870" s="4" t="s">
        <v>1792</v>
      </c>
      <c r="N2870" s="4" t="s">
        <v>2300</v>
      </c>
      <c r="O2870" s="4" t="s">
        <v>178</v>
      </c>
    </row>
    <row r="2871" spans="2:15">
      <c r="B2871" s="20">
        <v>45902</v>
      </c>
      <c r="C2871" s="20">
        <v>45902</v>
      </c>
      <c r="D2871" s="54">
        <v>40014675</v>
      </c>
      <c r="E2871" s="55" t="s">
        <v>44</v>
      </c>
      <c r="G2871" s="68">
        <v>114</v>
      </c>
      <c r="H2871" s="56" t="s">
        <v>1248</v>
      </c>
      <c r="J2871" s="56" t="s">
        <v>2554</v>
      </c>
      <c r="L2871" s="56" t="s">
        <v>1791</v>
      </c>
      <c r="M2871" s="4" t="s">
        <v>1792</v>
      </c>
      <c r="N2871" s="4" t="s">
        <v>2300</v>
      </c>
      <c r="O2871" s="4" t="s">
        <v>178</v>
      </c>
    </row>
    <row r="2872" spans="2:15">
      <c r="B2872" s="20">
        <v>45902</v>
      </c>
      <c r="C2872" s="20">
        <v>45902</v>
      </c>
      <c r="D2872" s="54">
        <v>40014675</v>
      </c>
      <c r="E2872" s="55" t="s">
        <v>44</v>
      </c>
      <c r="G2872" s="68">
        <v>114</v>
      </c>
      <c r="H2872" s="56" t="s">
        <v>1248</v>
      </c>
      <c r="J2872" s="56" t="s">
        <v>2555</v>
      </c>
      <c r="L2872" s="56" t="s">
        <v>1791</v>
      </c>
      <c r="M2872" s="4" t="s">
        <v>1792</v>
      </c>
      <c r="N2872" s="4" t="s">
        <v>2300</v>
      </c>
      <c r="O2872" s="4" t="s">
        <v>178</v>
      </c>
    </row>
    <row r="2873" spans="2:15">
      <c r="B2873" s="20">
        <v>45902</v>
      </c>
      <c r="C2873" s="20">
        <v>45902</v>
      </c>
      <c r="D2873" s="54">
        <v>40014675</v>
      </c>
      <c r="E2873" s="55" t="s">
        <v>44</v>
      </c>
      <c r="G2873" s="68">
        <v>114</v>
      </c>
      <c r="H2873" s="56" t="s">
        <v>1248</v>
      </c>
      <c r="J2873" s="56" t="s">
        <v>2556</v>
      </c>
      <c r="L2873" s="56" t="s">
        <v>1791</v>
      </c>
      <c r="M2873" s="4" t="s">
        <v>1792</v>
      </c>
      <c r="N2873" s="4" t="s">
        <v>2300</v>
      </c>
      <c r="O2873" s="4" t="s">
        <v>178</v>
      </c>
    </row>
    <row r="2874" spans="2:15">
      <c r="B2874" s="20">
        <v>45903</v>
      </c>
      <c r="C2874" s="20">
        <v>45903</v>
      </c>
      <c r="D2874" s="54">
        <v>50144376</v>
      </c>
      <c r="E2874" s="55" t="s">
        <v>19</v>
      </c>
      <c r="G2874" s="68">
        <v>15600</v>
      </c>
      <c r="H2874" s="56" t="s">
        <v>92</v>
      </c>
      <c r="J2874" s="56" t="s">
        <v>2557</v>
      </c>
      <c r="L2874" s="56" t="s">
        <v>262</v>
      </c>
      <c r="M2874" s="4" t="s">
        <v>262</v>
      </c>
      <c r="N2874" s="4"/>
      <c r="O2874" s="4" t="s">
        <v>178</v>
      </c>
    </row>
    <row r="2875" spans="2:15">
      <c r="B2875" s="20">
        <v>45903</v>
      </c>
      <c r="C2875" s="20">
        <v>45903</v>
      </c>
      <c r="D2875" s="54">
        <v>50142373</v>
      </c>
      <c r="E2875" s="55" t="s">
        <v>1130</v>
      </c>
      <c r="G2875" s="68">
        <v>400</v>
      </c>
      <c r="H2875" s="56" t="s">
        <v>82</v>
      </c>
      <c r="J2875" s="56" t="s">
        <v>2558</v>
      </c>
      <c r="L2875" s="56" t="s">
        <v>2134</v>
      </c>
      <c r="M2875" s="4" t="s">
        <v>2134</v>
      </c>
      <c r="N2875" s="4" t="s">
        <v>2135</v>
      </c>
      <c r="O2875" s="4" t="s">
        <v>178</v>
      </c>
    </row>
    <row r="2876" spans="2:15">
      <c r="B2876" s="20">
        <v>45903</v>
      </c>
      <c r="C2876" s="20">
        <v>45903</v>
      </c>
      <c r="D2876" s="54">
        <v>50142631</v>
      </c>
      <c r="E2876" s="55" t="s">
        <v>566</v>
      </c>
      <c r="G2876" s="68">
        <v>3000</v>
      </c>
      <c r="H2876" s="56" t="s">
        <v>82</v>
      </c>
      <c r="J2876" s="56" t="s">
        <v>2559</v>
      </c>
      <c r="L2876" s="56" t="s">
        <v>2134</v>
      </c>
      <c r="M2876" s="4" t="s">
        <v>2134</v>
      </c>
      <c r="N2876" s="4" t="s">
        <v>2135</v>
      </c>
      <c r="O2876" s="4" t="s">
        <v>178</v>
      </c>
    </row>
    <row r="2877" spans="2:15">
      <c r="B2877" s="20">
        <v>45903</v>
      </c>
      <c r="C2877" s="20">
        <v>45903</v>
      </c>
      <c r="D2877" s="54">
        <v>50141533</v>
      </c>
      <c r="E2877" s="55" t="s">
        <v>494</v>
      </c>
      <c r="G2877" s="68">
        <v>1800</v>
      </c>
      <c r="H2877" s="56" t="s">
        <v>82</v>
      </c>
      <c r="J2877" s="56" t="s">
        <v>2560</v>
      </c>
      <c r="L2877" s="56" t="s">
        <v>2561</v>
      </c>
      <c r="M2877" s="4" t="s">
        <v>2562</v>
      </c>
      <c r="N2877" s="4" t="s">
        <v>2563</v>
      </c>
      <c r="O2877" s="4" t="s">
        <v>178</v>
      </c>
    </row>
    <row r="2878" spans="2:15">
      <c r="B2878" s="20">
        <v>45903</v>
      </c>
      <c r="C2878" s="20">
        <v>45903</v>
      </c>
      <c r="D2878" s="54">
        <v>50142551</v>
      </c>
      <c r="E2878" s="55" t="s">
        <v>215</v>
      </c>
      <c r="G2878" s="68">
        <v>300</v>
      </c>
      <c r="H2878" s="56" t="s">
        <v>92</v>
      </c>
      <c r="J2878" s="56" t="s">
        <v>2564</v>
      </c>
      <c r="L2878" s="56" t="s">
        <v>558</v>
      </c>
      <c r="M2878" s="4" t="s">
        <v>558</v>
      </c>
      <c r="N2878" s="4"/>
      <c r="O2878" s="4" t="s">
        <v>178</v>
      </c>
    </row>
    <row r="2879" spans="2:15">
      <c r="B2879" s="20">
        <v>45903</v>
      </c>
      <c r="C2879" s="20">
        <v>45903</v>
      </c>
      <c r="D2879" s="54">
        <v>50142397</v>
      </c>
      <c r="E2879" s="55" t="s">
        <v>557</v>
      </c>
      <c r="G2879" s="68">
        <v>72</v>
      </c>
      <c r="H2879" s="56" t="s">
        <v>92</v>
      </c>
      <c r="J2879" s="56" t="s">
        <v>2564</v>
      </c>
      <c r="L2879" s="56" t="s">
        <v>558</v>
      </c>
      <c r="M2879" s="4" t="s">
        <v>558</v>
      </c>
      <c r="N2879" s="4"/>
      <c r="O2879" s="4" t="s">
        <v>178</v>
      </c>
    </row>
    <row r="2880" spans="2:15">
      <c r="B2880" s="20">
        <v>45904</v>
      </c>
      <c r="C2880" s="20">
        <v>45904</v>
      </c>
      <c r="D2880" s="54">
        <v>50809353</v>
      </c>
      <c r="E2880" s="55" t="s">
        <v>905</v>
      </c>
      <c r="G2880" s="68">
        <v>10000</v>
      </c>
      <c r="H2880" s="56" t="s">
        <v>82</v>
      </c>
      <c r="J2880" s="56">
        <v>187271</v>
      </c>
      <c r="L2880" s="56" t="s">
        <v>1339</v>
      </c>
      <c r="N2880" s="4"/>
    </row>
    <row r="2881" spans="2:15">
      <c r="B2881" s="20">
        <v>45904</v>
      </c>
      <c r="C2881" s="20">
        <v>45904</v>
      </c>
      <c r="D2881" s="54" t="s">
        <v>38</v>
      </c>
      <c r="E2881" s="55" t="s">
        <v>2565</v>
      </c>
      <c r="G2881" s="68">
        <v>300000</v>
      </c>
      <c r="H2881" s="56" t="s">
        <v>92</v>
      </c>
      <c r="J2881" s="56" t="s">
        <v>2566</v>
      </c>
      <c r="L2881" s="56" t="s">
        <v>2567</v>
      </c>
      <c r="N2881" s="4"/>
    </row>
    <row r="2882" spans="2:15">
      <c r="B2882" s="20">
        <v>45904</v>
      </c>
      <c r="C2882" s="20">
        <v>45904</v>
      </c>
      <c r="D2882" s="54">
        <v>50837509</v>
      </c>
      <c r="E2882" s="55" t="s">
        <v>14</v>
      </c>
      <c r="G2882" s="68">
        <v>8694000</v>
      </c>
      <c r="H2882" s="56" t="s">
        <v>92</v>
      </c>
      <c r="J2882" s="56" t="s">
        <v>2568</v>
      </c>
      <c r="L2882" s="56" t="s">
        <v>789</v>
      </c>
      <c r="N2882" s="4"/>
    </row>
    <row r="2883" spans="2:15">
      <c r="B2883" s="20">
        <v>45904</v>
      </c>
      <c r="C2883" s="20">
        <v>45904</v>
      </c>
      <c r="D2883" s="54">
        <v>50470190</v>
      </c>
      <c r="E2883" s="55" t="s">
        <v>12</v>
      </c>
      <c r="G2883" s="68">
        <f>289800*2</f>
        <v>579600</v>
      </c>
      <c r="H2883" s="56" t="s">
        <v>92</v>
      </c>
      <c r="J2883" s="56" t="s">
        <v>2568</v>
      </c>
      <c r="L2883" s="56" t="s">
        <v>789</v>
      </c>
      <c r="N2883" s="4"/>
    </row>
    <row r="2884" spans="2:15">
      <c r="B2884" s="20">
        <v>45905</v>
      </c>
      <c r="C2884" s="20">
        <v>45905</v>
      </c>
      <c r="D2884" s="54">
        <v>40014675</v>
      </c>
      <c r="E2884" s="55" t="s">
        <v>44</v>
      </c>
      <c r="G2884" s="68">
        <v>114</v>
      </c>
      <c r="H2884" s="56" t="s">
        <v>1248</v>
      </c>
      <c r="J2884" s="56" t="s">
        <v>2569</v>
      </c>
      <c r="L2884" s="56" t="s">
        <v>1791</v>
      </c>
      <c r="M2884" s="4" t="s">
        <v>1792</v>
      </c>
      <c r="N2884" s="4" t="s">
        <v>2300</v>
      </c>
      <c r="O2884" s="4" t="s">
        <v>178</v>
      </c>
    </row>
    <row r="2885" spans="2:15">
      <c r="B2885" s="20">
        <v>45905</v>
      </c>
      <c r="C2885" s="20">
        <v>45905</v>
      </c>
      <c r="D2885" s="54">
        <v>40014675</v>
      </c>
      <c r="E2885" s="55" t="s">
        <v>44</v>
      </c>
      <c r="G2885" s="68">
        <v>114</v>
      </c>
      <c r="H2885" s="56" t="s">
        <v>1248</v>
      </c>
      <c r="J2885" s="56" t="s">
        <v>2570</v>
      </c>
      <c r="L2885" s="56" t="s">
        <v>1791</v>
      </c>
      <c r="M2885" s="4" t="s">
        <v>1792</v>
      </c>
      <c r="N2885" s="4" t="s">
        <v>2300</v>
      </c>
      <c r="O2885" s="4" t="s">
        <v>178</v>
      </c>
    </row>
    <row r="2886" spans="2:15">
      <c r="B2886" s="20">
        <v>45905</v>
      </c>
      <c r="C2886" s="20">
        <v>45905</v>
      </c>
      <c r="D2886" s="54">
        <v>40014675</v>
      </c>
      <c r="E2886" s="55" t="s">
        <v>44</v>
      </c>
      <c r="G2886" s="68">
        <v>114</v>
      </c>
      <c r="H2886" s="56" t="s">
        <v>1248</v>
      </c>
      <c r="J2886" s="56" t="s">
        <v>2571</v>
      </c>
      <c r="L2886" s="56" t="s">
        <v>1791</v>
      </c>
      <c r="M2886" s="4" t="s">
        <v>1792</v>
      </c>
      <c r="N2886" s="4" t="s">
        <v>2300</v>
      </c>
      <c r="O2886" s="4" t="s">
        <v>178</v>
      </c>
    </row>
    <row r="2887" spans="2:15">
      <c r="B2887" s="20">
        <v>45905</v>
      </c>
      <c r="C2887" s="20">
        <v>45905</v>
      </c>
      <c r="D2887" s="54">
        <v>40014675</v>
      </c>
      <c r="E2887" s="55" t="s">
        <v>44</v>
      </c>
      <c r="G2887" s="68">
        <v>114</v>
      </c>
      <c r="H2887" s="56" t="s">
        <v>1248</v>
      </c>
      <c r="J2887" s="56" t="s">
        <v>2572</v>
      </c>
      <c r="L2887" s="56" t="s">
        <v>1791</v>
      </c>
      <c r="M2887" s="4" t="s">
        <v>1792</v>
      </c>
      <c r="N2887" s="4" t="s">
        <v>2300</v>
      </c>
      <c r="O2887" s="4" t="s">
        <v>178</v>
      </c>
    </row>
    <row r="2888" spans="2:15">
      <c r="B2888" s="20">
        <v>45908</v>
      </c>
      <c r="C2888" s="20">
        <v>45908</v>
      </c>
      <c r="D2888" s="54">
        <v>50470190</v>
      </c>
      <c r="E2888" s="55" t="s">
        <v>12</v>
      </c>
      <c r="G2888" s="68">
        <v>9273600</v>
      </c>
      <c r="H2888" s="56" t="s">
        <v>92</v>
      </c>
      <c r="J2888" s="56" t="s">
        <v>2573</v>
      </c>
      <c r="L2888" s="56" t="s">
        <v>958</v>
      </c>
      <c r="M2888" s="4" t="s">
        <v>2396</v>
      </c>
      <c r="N2888" s="4"/>
      <c r="O2888" s="4" t="s">
        <v>178</v>
      </c>
    </row>
    <row r="2889" spans="2:15">
      <c r="B2889" s="20">
        <v>45908</v>
      </c>
      <c r="C2889" s="20">
        <v>45908</v>
      </c>
      <c r="D2889" s="54">
        <v>50272278</v>
      </c>
      <c r="E2889" s="55" t="s">
        <v>21</v>
      </c>
      <c r="G2889" s="68">
        <v>15600</v>
      </c>
      <c r="H2889" s="56" t="s">
        <v>92</v>
      </c>
      <c r="J2889" s="56" t="s">
        <v>2574</v>
      </c>
      <c r="L2889" s="56" t="s">
        <v>262</v>
      </c>
      <c r="M2889" s="4" t="s">
        <v>262</v>
      </c>
      <c r="N2889" s="4" t="s">
        <v>1268</v>
      </c>
      <c r="O2889" s="4" t="s">
        <v>178</v>
      </c>
    </row>
    <row r="2890" spans="2:15">
      <c r="B2890" s="20">
        <v>45908</v>
      </c>
      <c r="C2890" s="20">
        <v>45909</v>
      </c>
      <c r="D2890" s="54">
        <v>50142328</v>
      </c>
      <c r="E2890" s="55" t="s">
        <v>1591</v>
      </c>
      <c r="G2890" s="68">
        <v>3000</v>
      </c>
      <c r="H2890" s="56" t="s">
        <v>92</v>
      </c>
      <c r="J2890" s="56" t="s">
        <v>2575</v>
      </c>
      <c r="L2890" s="56" t="s">
        <v>1981</v>
      </c>
      <c r="M2890" s="4" t="s">
        <v>1981</v>
      </c>
      <c r="N2890" s="4"/>
      <c r="O2890" s="4" t="s">
        <v>178</v>
      </c>
    </row>
    <row r="2891" spans="2:15">
      <c r="B2891" s="20">
        <v>45909</v>
      </c>
      <c r="C2891" s="20">
        <v>45909</v>
      </c>
      <c r="D2891" s="54">
        <v>50272278</v>
      </c>
      <c r="E2891" s="55" t="s">
        <v>21</v>
      </c>
      <c r="G2891" s="68">
        <v>15600</v>
      </c>
      <c r="H2891" s="56" t="s">
        <v>92</v>
      </c>
      <c r="J2891" s="56" t="s">
        <v>2576</v>
      </c>
      <c r="L2891" s="56" t="s">
        <v>262</v>
      </c>
      <c r="M2891" s="4" t="s">
        <v>262</v>
      </c>
      <c r="N2891" s="4" t="s">
        <v>1268</v>
      </c>
      <c r="O2891" s="4" t="s">
        <v>178</v>
      </c>
    </row>
    <row r="2892" spans="2:15">
      <c r="B2892" s="20">
        <v>45909</v>
      </c>
      <c r="C2892" s="20">
        <v>45909</v>
      </c>
      <c r="D2892" s="54">
        <v>50272278</v>
      </c>
      <c r="E2892" s="55" t="s">
        <v>21</v>
      </c>
      <c r="G2892" s="68">
        <v>15600</v>
      </c>
      <c r="H2892" s="56" t="s">
        <v>92</v>
      </c>
      <c r="J2892" s="56" t="s">
        <v>2576</v>
      </c>
      <c r="L2892" s="56" t="s">
        <v>262</v>
      </c>
      <c r="M2892" s="4" t="s">
        <v>262</v>
      </c>
      <c r="N2892" s="4" t="s">
        <v>178</v>
      </c>
      <c r="O2892" s="4" t="s">
        <v>178</v>
      </c>
    </row>
    <row r="2893" spans="2:15">
      <c r="B2893" s="20">
        <v>45910</v>
      </c>
      <c r="C2893" s="20">
        <v>45910</v>
      </c>
      <c r="D2893" s="54">
        <v>40007941</v>
      </c>
      <c r="E2893" s="55" t="s">
        <v>211</v>
      </c>
      <c r="G2893" s="68">
        <v>9720</v>
      </c>
      <c r="H2893" s="56" t="s">
        <v>92</v>
      </c>
      <c r="J2893" s="56">
        <v>1012153107</v>
      </c>
      <c r="L2893" s="56" t="s">
        <v>2314</v>
      </c>
      <c r="M2893" s="4" t="s">
        <v>2004</v>
      </c>
      <c r="N2893" s="4"/>
      <c r="O2893" s="4" t="s">
        <v>178</v>
      </c>
    </row>
    <row r="2894" spans="2:15">
      <c r="B2894" s="20">
        <v>45910</v>
      </c>
      <c r="C2894" s="20">
        <v>45910</v>
      </c>
      <c r="D2894" s="54">
        <v>40007857</v>
      </c>
      <c r="E2894" s="55" t="s">
        <v>225</v>
      </c>
      <c r="G2894" s="68">
        <v>3920</v>
      </c>
      <c r="H2894" s="56" t="s">
        <v>92</v>
      </c>
      <c r="J2894" s="56">
        <v>1012153107</v>
      </c>
      <c r="L2894" s="56" t="s">
        <v>2314</v>
      </c>
      <c r="M2894" s="4" t="s">
        <v>2004</v>
      </c>
      <c r="N2894" s="4"/>
      <c r="O2894" s="4" t="s">
        <v>178</v>
      </c>
    </row>
    <row r="2895" spans="2:15">
      <c r="B2895" s="20">
        <v>45910</v>
      </c>
      <c r="C2895" s="20">
        <v>45910</v>
      </c>
      <c r="D2895" s="54">
        <v>40007942</v>
      </c>
      <c r="E2895" s="55" t="s">
        <v>219</v>
      </c>
      <c r="G2895" s="68">
        <v>9555</v>
      </c>
      <c r="H2895" s="56" t="s">
        <v>92</v>
      </c>
      <c r="J2895" s="56">
        <v>1012153107</v>
      </c>
      <c r="L2895" s="56" t="s">
        <v>2314</v>
      </c>
      <c r="M2895" s="4" t="s">
        <v>2004</v>
      </c>
      <c r="N2895" s="4"/>
      <c r="O2895" s="4" t="s">
        <v>178</v>
      </c>
    </row>
    <row r="2896" spans="2:15">
      <c r="B2896" s="20">
        <v>45911</v>
      </c>
      <c r="C2896" s="20">
        <v>45911</v>
      </c>
      <c r="D2896" s="54">
        <v>50272278</v>
      </c>
      <c r="E2896" s="55" t="s">
        <v>21</v>
      </c>
      <c r="G2896" s="68">
        <v>15600</v>
      </c>
      <c r="H2896" s="56" t="s">
        <v>92</v>
      </c>
      <c r="J2896" s="56" t="s">
        <v>2577</v>
      </c>
      <c r="L2896" s="56" t="s">
        <v>262</v>
      </c>
      <c r="M2896" s="4" t="s">
        <v>262</v>
      </c>
      <c r="N2896" s="4" t="s">
        <v>178</v>
      </c>
      <c r="O2896" s="4" t="s">
        <v>178</v>
      </c>
    </row>
    <row r="2897" spans="2:15">
      <c r="B2897" s="20">
        <v>45911</v>
      </c>
      <c r="C2897" s="20">
        <v>45911</v>
      </c>
      <c r="D2897" s="54">
        <v>50271805</v>
      </c>
      <c r="E2897" s="55" t="s">
        <v>2452</v>
      </c>
      <c r="G2897" s="68">
        <v>27000</v>
      </c>
      <c r="H2897" s="56" t="s">
        <v>92</v>
      </c>
      <c r="J2897" s="56" t="s">
        <v>2578</v>
      </c>
      <c r="L2897" s="56" t="s">
        <v>342</v>
      </c>
      <c r="M2897" s="4" t="s">
        <v>2152</v>
      </c>
      <c r="N2897" s="4"/>
      <c r="O2897" s="4" t="s">
        <v>178</v>
      </c>
    </row>
    <row r="2898" spans="2:15">
      <c r="B2898" s="20">
        <v>45912</v>
      </c>
      <c r="C2898" s="20">
        <v>45912</v>
      </c>
      <c r="D2898" s="54">
        <v>50804929</v>
      </c>
      <c r="E2898" s="55" t="s">
        <v>856</v>
      </c>
      <c r="G2898" s="68">
        <v>7200000</v>
      </c>
      <c r="H2898" s="56" t="s">
        <v>92</v>
      </c>
      <c r="J2898" s="56" t="s">
        <v>2579</v>
      </c>
      <c r="L2898" s="56" t="s">
        <v>1621</v>
      </c>
      <c r="M2898" s="4" t="s">
        <v>2580</v>
      </c>
      <c r="N2898" s="4"/>
      <c r="O2898" s="4" t="s">
        <v>530</v>
      </c>
    </row>
    <row r="2899" spans="2:15">
      <c r="B2899" s="20">
        <v>45912</v>
      </c>
      <c r="C2899" s="20">
        <v>45912</v>
      </c>
      <c r="D2899" s="54">
        <v>50804970</v>
      </c>
      <c r="E2899" s="55" t="s">
        <v>857</v>
      </c>
      <c r="G2899" s="68">
        <v>6038000</v>
      </c>
      <c r="H2899" s="56" t="s">
        <v>92</v>
      </c>
      <c r="J2899" s="56" t="s">
        <v>2581</v>
      </c>
      <c r="L2899" s="56" t="s">
        <v>1621</v>
      </c>
      <c r="M2899" s="4" t="s">
        <v>2580</v>
      </c>
      <c r="N2899" s="4" t="s">
        <v>530</v>
      </c>
      <c r="O2899" s="4" t="s">
        <v>530</v>
      </c>
    </row>
    <row r="2900" spans="2:15">
      <c r="B2900" s="20">
        <v>45912</v>
      </c>
      <c r="C2900" s="20">
        <v>45912</v>
      </c>
      <c r="D2900" s="54">
        <v>50804971</v>
      </c>
      <c r="E2900" s="55" t="s">
        <v>855</v>
      </c>
      <c r="G2900" s="68">
        <v>6030000</v>
      </c>
      <c r="H2900" s="56" t="s">
        <v>92</v>
      </c>
      <c r="J2900" s="56" t="s">
        <v>2581</v>
      </c>
      <c r="L2900" s="56" t="s">
        <v>1621</v>
      </c>
      <c r="M2900" s="4" t="s">
        <v>2580</v>
      </c>
      <c r="N2900" s="4" t="s">
        <v>530</v>
      </c>
      <c r="O2900" s="4" t="s">
        <v>530</v>
      </c>
    </row>
    <row r="2901" spans="2:15">
      <c r="B2901" s="20">
        <v>45912</v>
      </c>
      <c r="C2901" s="20">
        <v>45912</v>
      </c>
      <c r="D2901" s="54">
        <v>50804929</v>
      </c>
      <c r="E2901" s="55" t="s">
        <v>856</v>
      </c>
      <c r="G2901" s="68">
        <v>46000</v>
      </c>
      <c r="H2901" s="56" t="s">
        <v>92</v>
      </c>
      <c r="J2901" s="56" t="s">
        <v>2581</v>
      </c>
      <c r="L2901" s="56" t="s">
        <v>1621</v>
      </c>
      <c r="M2901" s="4" t="s">
        <v>2580</v>
      </c>
      <c r="N2901" s="4" t="s">
        <v>530</v>
      </c>
      <c r="O2901" s="4" t="s">
        <v>530</v>
      </c>
    </row>
    <row r="2902" spans="2:15">
      <c r="B2902" s="20">
        <v>45912</v>
      </c>
      <c r="C2902" s="20">
        <v>45912</v>
      </c>
      <c r="D2902" s="54">
        <v>50597773</v>
      </c>
      <c r="E2902" s="55" t="s">
        <v>1611</v>
      </c>
      <c r="G2902" s="68">
        <v>20000</v>
      </c>
      <c r="H2902" s="56" t="s">
        <v>92</v>
      </c>
      <c r="J2902" s="56" t="s">
        <v>2582</v>
      </c>
      <c r="L2902" s="56" t="s">
        <v>2583</v>
      </c>
      <c r="M2902" s="4" t="s">
        <v>326</v>
      </c>
      <c r="N2902" s="4"/>
      <c r="O2902" s="4" t="s">
        <v>530</v>
      </c>
    </row>
    <row r="2903" spans="2:15">
      <c r="B2903" s="20">
        <v>45912</v>
      </c>
      <c r="C2903" s="20">
        <v>45912</v>
      </c>
      <c r="D2903" s="54">
        <v>50837265</v>
      </c>
      <c r="E2903" s="55" t="s">
        <v>25</v>
      </c>
      <c r="G2903" s="68">
        <v>1756.65</v>
      </c>
      <c r="H2903" s="56" t="s">
        <v>82</v>
      </c>
      <c r="J2903" s="56" t="s">
        <v>2584</v>
      </c>
      <c r="L2903" s="56" t="s">
        <v>2585</v>
      </c>
      <c r="M2903" s="4" t="s">
        <v>470</v>
      </c>
      <c r="N2903" s="4"/>
      <c r="O2903" s="4" t="s">
        <v>530</v>
      </c>
    </row>
    <row r="2904" spans="2:15">
      <c r="B2904" s="20">
        <v>45913</v>
      </c>
      <c r="C2904" s="20">
        <v>45913</v>
      </c>
      <c r="D2904" s="54">
        <v>50272278</v>
      </c>
      <c r="E2904" s="55" t="s">
        <v>21</v>
      </c>
      <c r="G2904" s="68">
        <v>15600</v>
      </c>
      <c r="H2904" s="56" t="s">
        <v>962</v>
      </c>
      <c r="J2904" s="56" t="s">
        <v>2586</v>
      </c>
      <c r="L2904" s="56" t="s">
        <v>262</v>
      </c>
      <c r="M2904" s="4" t="s">
        <v>262</v>
      </c>
      <c r="N2904" s="4" t="s">
        <v>178</v>
      </c>
      <c r="O2904" s="4" t="s">
        <v>530</v>
      </c>
    </row>
    <row r="2905" spans="2:15">
      <c r="B2905" s="20">
        <v>45912</v>
      </c>
      <c r="C2905" s="20">
        <v>45912</v>
      </c>
      <c r="D2905" s="54">
        <v>50837265</v>
      </c>
      <c r="E2905" s="55" t="s">
        <v>25</v>
      </c>
      <c r="G2905" s="68">
        <v>1756.25</v>
      </c>
      <c r="H2905" s="56" t="s">
        <v>82</v>
      </c>
      <c r="J2905" s="56" t="s">
        <v>2587</v>
      </c>
      <c r="L2905" s="56" t="s">
        <v>2585</v>
      </c>
      <c r="M2905" s="4" t="s">
        <v>2588</v>
      </c>
      <c r="N2905" s="4"/>
      <c r="O2905" s="4" t="s">
        <v>530</v>
      </c>
    </row>
    <row r="2906" spans="2:15">
      <c r="B2906" s="20">
        <v>45915</v>
      </c>
      <c r="C2906" s="20">
        <v>45915</v>
      </c>
      <c r="D2906" s="54">
        <v>50272278</v>
      </c>
      <c r="E2906" s="55" t="s">
        <v>21</v>
      </c>
      <c r="G2906" s="68">
        <v>15600</v>
      </c>
      <c r="H2906" s="56" t="s">
        <v>92</v>
      </c>
      <c r="J2906" s="56" t="s">
        <v>2589</v>
      </c>
      <c r="L2906" s="56" t="s">
        <v>262</v>
      </c>
      <c r="M2906" s="4" t="s">
        <v>262</v>
      </c>
      <c r="N2906" s="4"/>
      <c r="O2906" s="4" t="s">
        <v>530</v>
      </c>
    </row>
    <row r="2907" spans="2:15">
      <c r="B2907" s="20">
        <v>45915</v>
      </c>
      <c r="C2907" s="20">
        <v>45915</v>
      </c>
      <c r="D2907" s="54">
        <v>50470190</v>
      </c>
      <c r="E2907" s="55" t="s">
        <v>12</v>
      </c>
      <c r="G2907" s="68">
        <v>9273600</v>
      </c>
      <c r="H2907" s="56" t="s">
        <v>92</v>
      </c>
      <c r="J2907" s="56" t="s">
        <v>2590</v>
      </c>
      <c r="L2907" s="56" t="s">
        <v>958</v>
      </c>
      <c r="M2907" s="4" t="s">
        <v>2396</v>
      </c>
      <c r="N2907" s="4"/>
      <c r="O2907" s="4" t="s">
        <v>178</v>
      </c>
    </row>
    <row r="2908" spans="2:15">
      <c r="B2908" s="20">
        <v>45916</v>
      </c>
      <c r="C2908" s="20">
        <v>45916</v>
      </c>
      <c r="D2908" s="54">
        <v>50837239</v>
      </c>
      <c r="E2908" s="55" t="s">
        <v>27</v>
      </c>
      <c r="G2908" s="68">
        <v>4209.65</v>
      </c>
      <c r="H2908" s="56" t="s">
        <v>82</v>
      </c>
      <c r="J2908" s="56" t="s">
        <v>2591</v>
      </c>
      <c r="L2908" s="56" t="s">
        <v>1227</v>
      </c>
      <c r="M2908" s="4" t="s">
        <v>660</v>
      </c>
      <c r="N2908" s="4"/>
      <c r="O2908" s="4" t="s">
        <v>178</v>
      </c>
    </row>
    <row r="2909" spans="2:15">
      <c r="B2909" s="20">
        <v>45916</v>
      </c>
      <c r="C2909" s="20">
        <v>45916</v>
      </c>
      <c r="D2909" s="54">
        <v>50144376</v>
      </c>
      <c r="E2909" s="55" t="s">
        <v>19</v>
      </c>
      <c r="G2909" s="68">
        <v>15600</v>
      </c>
      <c r="H2909" s="56" t="s">
        <v>962</v>
      </c>
      <c r="J2909" s="56" t="s">
        <v>2592</v>
      </c>
      <c r="L2909" s="56" t="s">
        <v>262</v>
      </c>
      <c r="M2909" s="4" t="s">
        <v>262</v>
      </c>
      <c r="N2909" s="4"/>
      <c r="O2909" s="4" t="s">
        <v>178</v>
      </c>
    </row>
    <row r="2910" spans="2:15">
      <c r="B2910" s="20">
        <v>45917</v>
      </c>
      <c r="C2910" s="20">
        <v>45917</v>
      </c>
      <c r="D2910" s="54">
        <v>50142330</v>
      </c>
      <c r="E2910" s="55" t="s">
        <v>195</v>
      </c>
      <c r="G2910" s="68">
        <v>3600</v>
      </c>
      <c r="H2910" s="56" t="s">
        <v>82</v>
      </c>
      <c r="J2910" s="56" t="s">
        <v>2593</v>
      </c>
      <c r="L2910" s="56" t="s">
        <v>2217</v>
      </c>
      <c r="M2910" s="4" t="s">
        <v>392</v>
      </c>
      <c r="N2910" s="4"/>
      <c r="O2910" s="4" t="s">
        <v>178</v>
      </c>
    </row>
    <row r="2911" spans="2:15">
      <c r="B2911" s="20">
        <v>45917</v>
      </c>
      <c r="C2911" s="20">
        <v>45917</v>
      </c>
      <c r="D2911" s="54">
        <v>50821962</v>
      </c>
      <c r="E2911" s="55" t="s">
        <v>2020</v>
      </c>
      <c r="G2911" s="68">
        <v>3143.2</v>
      </c>
      <c r="H2911" s="56" t="s">
        <v>82</v>
      </c>
      <c r="J2911" s="56" t="s">
        <v>2594</v>
      </c>
      <c r="L2911" s="56" t="s">
        <v>2585</v>
      </c>
      <c r="M2911" s="4" t="s">
        <v>2588</v>
      </c>
      <c r="N2911" s="4"/>
      <c r="O2911" s="4" t="s">
        <v>178</v>
      </c>
    </row>
    <row r="2912" spans="2:15">
      <c r="B2912" s="20">
        <v>45917</v>
      </c>
      <c r="C2912" s="20">
        <v>45917</v>
      </c>
      <c r="D2912" s="54">
        <v>50837239</v>
      </c>
      <c r="E2912" s="55" t="s">
        <v>27</v>
      </c>
      <c r="G2912" s="68">
        <v>2611.2</v>
      </c>
      <c r="H2912" s="56" t="s">
        <v>82</v>
      </c>
      <c r="J2912" s="56" t="s">
        <v>2595</v>
      </c>
      <c r="L2912" s="56" t="s">
        <v>1227</v>
      </c>
      <c r="M2912" s="4" t="s">
        <v>660</v>
      </c>
      <c r="N2912" s="4"/>
      <c r="O2912" s="4" t="s">
        <v>178</v>
      </c>
    </row>
    <row r="2913" spans="2:15">
      <c r="B2913" s="20">
        <v>45918</v>
      </c>
      <c r="C2913" s="20">
        <v>45918</v>
      </c>
      <c r="D2913" s="54">
        <v>50272278</v>
      </c>
      <c r="E2913" s="55" t="s">
        <v>21</v>
      </c>
      <c r="G2913" s="68">
        <v>14400</v>
      </c>
      <c r="H2913" s="56" t="s">
        <v>92</v>
      </c>
      <c r="J2913" s="56" t="s">
        <v>2596</v>
      </c>
      <c r="L2913" s="56" t="s">
        <v>262</v>
      </c>
      <c r="M2913" s="4" t="s">
        <v>262</v>
      </c>
      <c r="N2913" s="4"/>
      <c r="O2913" s="4" t="s">
        <v>178</v>
      </c>
    </row>
    <row r="2914" spans="2:15">
      <c r="B2914" s="20">
        <v>45919</v>
      </c>
      <c r="C2914" s="20">
        <v>45919</v>
      </c>
      <c r="D2914" s="54">
        <v>50272278</v>
      </c>
      <c r="E2914" s="55" t="s">
        <v>21</v>
      </c>
      <c r="G2914" s="68">
        <v>15600</v>
      </c>
      <c r="H2914" s="56" t="s">
        <v>92</v>
      </c>
      <c r="J2914" s="56" t="s">
        <v>2597</v>
      </c>
      <c r="L2914" s="56" t="s">
        <v>262</v>
      </c>
      <c r="M2914" s="4" t="s">
        <v>262</v>
      </c>
      <c r="N2914" s="4"/>
      <c r="O2914" s="4" t="s">
        <v>178</v>
      </c>
    </row>
    <row r="2915" spans="2:15">
      <c r="B2915" s="20">
        <v>45919</v>
      </c>
      <c r="C2915" s="20">
        <v>45919</v>
      </c>
      <c r="D2915" s="54">
        <v>50852311</v>
      </c>
      <c r="E2915" s="55" t="s">
        <v>2598</v>
      </c>
      <c r="G2915" s="68">
        <v>114</v>
      </c>
      <c r="H2915" s="56" t="s">
        <v>80</v>
      </c>
      <c r="J2915" s="56" t="s">
        <v>2599</v>
      </c>
      <c r="L2915" s="56" t="s">
        <v>2600</v>
      </c>
      <c r="M2915" s="4" t="s">
        <v>2601</v>
      </c>
      <c r="N2915" s="4"/>
      <c r="O2915" s="4" t="s">
        <v>178</v>
      </c>
    </row>
    <row r="2916" spans="2:15">
      <c r="B2916" s="20">
        <v>45919</v>
      </c>
      <c r="C2916" s="20">
        <v>45919</v>
      </c>
      <c r="D2916" s="54">
        <v>50852311</v>
      </c>
      <c r="E2916" s="55" t="s">
        <v>2598</v>
      </c>
      <c r="G2916" s="68">
        <v>114</v>
      </c>
      <c r="H2916" s="56" t="s">
        <v>80</v>
      </c>
      <c r="J2916" s="56" t="s">
        <v>2602</v>
      </c>
      <c r="L2916" s="56" t="s">
        <v>2600</v>
      </c>
      <c r="M2916" s="4" t="s">
        <v>2601</v>
      </c>
      <c r="N2916" s="4"/>
      <c r="O2916" s="4" t="s">
        <v>178</v>
      </c>
    </row>
    <row r="2917" spans="2:15">
      <c r="B2917" s="20">
        <v>45919</v>
      </c>
      <c r="C2917" s="20">
        <v>45919</v>
      </c>
      <c r="D2917" s="54">
        <v>50840366</v>
      </c>
      <c r="E2917" s="55" t="s">
        <v>1920</v>
      </c>
      <c r="G2917" s="68">
        <v>3249.35</v>
      </c>
      <c r="H2917" s="56" t="s">
        <v>82</v>
      </c>
      <c r="J2917" s="56" t="s">
        <v>2603</v>
      </c>
      <c r="L2917" s="56" t="s">
        <v>2585</v>
      </c>
      <c r="M2917" s="4" t="s">
        <v>2588</v>
      </c>
      <c r="N2917" s="4"/>
      <c r="O2917" s="4" t="s">
        <v>178</v>
      </c>
    </row>
    <row r="2918" spans="2:15">
      <c r="B2918" s="20">
        <v>45919</v>
      </c>
      <c r="C2918" s="20">
        <v>45919</v>
      </c>
      <c r="D2918" s="54">
        <v>50854127</v>
      </c>
      <c r="E2918" s="55" t="s">
        <v>30</v>
      </c>
      <c r="G2918" s="68">
        <v>3769.85</v>
      </c>
      <c r="H2918" s="56" t="s">
        <v>82</v>
      </c>
      <c r="J2918" s="56" t="s">
        <v>2604</v>
      </c>
      <c r="L2918" s="56" t="s">
        <v>2585</v>
      </c>
      <c r="M2918" s="4" t="s">
        <v>2588</v>
      </c>
      <c r="N2918" s="4"/>
      <c r="O2918" s="4" t="s">
        <v>178</v>
      </c>
    </row>
    <row r="2919" spans="2:15">
      <c r="B2919" s="20">
        <v>45920</v>
      </c>
      <c r="C2919" s="20">
        <v>45920</v>
      </c>
      <c r="D2919" s="54">
        <v>50793278</v>
      </c>
      <c r="E2919" s="55" t="s">
        <v>1086</v>
      </c>
      <c r="G2919" s="68">
        <v>130</v>
      </c>
      <c r="H2919" s="56" t="s">
        <v>2313</v>
      </c>
      <c r="J2919" s="56">
        <v>1012502418</v>
      </c>
      <c r="L2919" s="56" t="s">
        <v>2314</v>
      </c>
      <c r="M2919" s="4" t="s">
        <v>2004</v>
      </c>
      <c r="N2919" s="4"/>
      <c r="O2919" s="4" t="s">
        <v>178</v>
      </c>
    </row>
    <row r="2920" spans="2:15">
      <c r="B2920" s="20">
        <v>45920</v>
      </c>
      <c r="C2920" s="20">
        <v>45920</v>
      </c>
      <c r="D2920" s="54">
        <v>50142327</v>
      </c>
      <c r="E2920" s="55" t="s">
        <v>256</v>
      </c>
      <c r="G2920" s="68">
        <f>42*476.7</f>
        <v>20021.4</v>
      </c>
      <c r="H2920" s="56" t="s">
        <v>82</v>
      </c>
      <c r="J2920" s="56">
        <v>1000446141</v>
      </c>
      <c r="L2920" s="56" t="s">
        <v>624</v>
      </c>
      <c r="M2920" s="4" t="s">
        <v>2004</v>
      </c>
      <c r="N2920" s="4"/>
      <c r="O2920" s="4" t="s">
        <v>178</v>
      </c>
    </row>
    <row r="2921" spans="2:15">
      <c r="B2921" s="20">
        <v>45920</v>
      </c>
      <c r="C2921" s="20">
        <v>45920</v>
      </c>
      <c r="D2921" s="54">
        <v>50142334</v>
      </c>
      <c r="E2921" s="55" t="s">
        <v>257</v>
      </c>
      <c r="G2921" s="68">
        <f>42*476.7</f>
        <v>20021.4</v>
      </c>
      <c r="H2921" s="56" t="s">
        <v>82</v>
      </c>
      <c r="J2921" s="56">
        <v>1000446140</v>
      </c>
      <c r="L2921" s="56" t="s">
        <v>624</v>
      </c>
      <c r="M2921" s="4" t="s">
        <v>2004</v>
      </c>
      <c r="N2921" s="4"/>
      <c r="O2921" s="4" t="s">
        <v>178</v>
      </c>
    </row>
    <row r="2922" spans="2:15">
      <c r="B2922" s="20">
        <v>45919</v>
      </c>
      <c r="C2922" s="20">
        <v>45919</v>
      </c>
      <c r="D2922" s="54">
        <v>50852311</v>
      </c>
      <c r="E2922" s="55" t="s">
        <v>2598</v>
      </c>
      <c r="G2922" s="68">
        <v>114</v>
      </c>
      <c r="H2922" s="56" t="s">
        <v>80</v>
      </c>
      <c r="J2922" s="56" t="s">
        <v>2605</v>
      </c>
      <c r="K2922" s="56" t="s">
        <v>2600</v>
      </c>
      <c r="L2922" s="56" t="s">
        <v>2600</v>
      </c>
      <c r="M2922" s="4" t="s">
        <v>2601</v>
      </c>
      <c r="N2922" s="4" t="s">
        <v>178</v>
      </c>
      <c r="O2922" s="4" t="s">
        <v>178</v>
      </c>
    </row>
    <row r="2923" spans="2:15">
      <c r="B2923" s="20">
        <v>45920</v>
      </c>
      <c r="C2923" s="20">
        <v>45920</v>
      </c>
      <c r="D2923" s="54">
        <v>50852311</v>
      </c>
      <c r="E2923" s="55" t="s">
        <v>2598</v>
      </c>
      <c r="G2923" s="68">
        <v>114</v>
      </c>
      <c r="H2923" s="56" t="s">
        <v>80</v>
      </c>
      <c r="J2923" s="56" t="s">
        <v>1970</v>
      </c>
      <c r="L2923" s="56" t="s">
        <v>2600</v>
      </c>
      <c r="M2923" s="4" t="s">
        <v>2601</v>
      </c>
      <c r="N2923" s="4" t="s">
        <v>178</v>
      </c>
      <c r="O2923" s="4" t="s">
        <v>178</v>
      </c>
    </row>
    <row r="2924" spans="2:15">
      <c r="B2924" s="20">
        <v>45920</v>
      </c>
      <c r="C2924" s="20">
        <v>45920</v>
      </c>
      <c r="D2924" s="54">
        <v>50852311</v>
      </c>
      <c r="E2924" s="55" t="s">
        <v>2598</v>
      </c>
      <c r="G2924" s="68">
        <v>114</v>
      </c>
      <c r="H2924" s="56" t="s">
        <v>80</v>
      </c>
      <c r="J2924" s="56" t="s">
        <v>2606</v>
      </c>
      <c r="L2924" s="56" t="s">
        <v>2600</v>
      </c>
      <c r="M2924" s="4" t="s">
        <v>2601</v>
      </c>
      <c r="N2924" s="4" t="s">
        <v>178</v>
      </c>
      <c r="O2924" s="4" t="s">
        <v>178</v>
      </c>
    </row>
    <row r="2925" spans="2:15">
      <c r="B2925" s="20">
        <v>45920</v>
      </c>
      <c r="C2925" s="20">
        <v>45920</v>
      </c>
      <c r="D2925" s="54">
        <v>50852311</v>
      </c>
      <c r="E2925" s="55" t="s">
        <v>2598</v>
      </c>
      <c r="G2925" s="68">
        <v>114</v>
      </c>
      <c r="H2925" s="56" t="s">
        <v>80</v>
      </c>
      <c r="J2925" s="56" t="s">
        <v>2607</v>
      </c>
      <c r="L2925" s="56" t="s">
        <v>2600</v>
      </c>
      <c r="M2925" s="4" t="s">
        <v>2601</v>
      </c>
      <c r="N2925" s="4" t="s">
        <v>178</v>
      </c>
      <c r="O2925" s="4" t="s">
        <v>178</v>
      </c>
    </row>
    <row r="2926" spans="2:15">
      <c r="B2926" s="20">
        <v>45922</v>
      </c>
      <c r="C2926" s="20">
        <v>45922</v>
      </c>
      <c r="D2926" s="54">
        <v>50852311</v>
      </c>
      <c r="E2926" s="55" t="s">
        <v>2598</v>
      </c>
      <c r="G2926" s="68">
        <v>114</v>
      </c>
      <c r="H2926" s="56" t="s">
        <v>80</v>
      </c>
      <c r="J2926" s="56" t="s">
        <v>2608</v>
      </c>
      <c r="L2926" s="56" t="s">
        <v>2600</v>
      </c>
      <c r="M2926" s="4" t="s">
        <v>2601</v>
      </c>
      <c r="N2926" s="4" t="s">
        <v>178</v>
      </c>
      <c r="O2926" s="4" t="s">
        <v>178</v>
      </c>
    </row>
    <row r="2927" spans="2:15">
      <c r="B2927" s="20">
        <v>45922</v>
      </c>
      <c r="C2927" s="20">
        <v>45922</v>
      </c>
      <c r="D2927" s="54">
        <v>50852311</v>
      </c>
      <c r="E2927" s="55" t="s">
        <v>2598</v>
      </c>
      <c r="G2927" s="68">
        <v>114</v>
      </c>
      <c r="H2927" s="56" t="s">
        <v>80</v>
      </c>
      <c r="J2927" s="56" t="s">
        <v>2609</v>
      </c>
      <c r="L2927" s="56" t="s">
        <v>2600</v>
      </c>
      <c r="M2927" s="4" t="s">
        <v>2601</v>
      </c>
      <c r="N2927" s="4" t="s">
        <v>178</v>
      </c>
      <c r="O2927" s="4" t="s">
        <v>178</v>
      </c>
    </row>
    <row r="2928" spans="2:15">
      <c r="B2928" s="20">
        <v>45922</v>
      </c>
      <c r="C2928" s="20">
        <v>45922</v>
      </c>
      <c r="D2928" s="54">
        <v>50272278</v>
      </c>
      <c r="E2928" s="55" t="s">
        <v>21</v>
      </c>
      <c r="G2928" s="68">
        <v>14400</v>
      </c>
      <c r="H2928" s="56" t="s">
        <v>962</v>
      </c>
      <c r="J2928" s="56" t="s">
        <v>2610</v>
      </c>
      <c r="L2928" s="56" t="s">
        <v>262</v>
      </c>
      <c r="M2928" s="4" t="s">
        <v>262</v>
      </c>
      <c r="N2928" s="4" t="s">
        <v>178</v>
      </c>
      <c r="O2928" s="4" t="s">
        <v>178</v>
      </c>
    </row>
    <row r="2929" spans="2:15">
      <c r="B2929" s="20">
        <v>45923</v>
      </c>
      <c r="C2929" s="20">
        <v>45923</v>
      </c>
      <c r="D2929" s="54">
        <v>50145028</v>
      </c>
      <c r="E2929" s="55" t="s">
        <v>23</v>
      </c>
      <c r="G2929" s="68">
        <v>1620</v>
      </c>
      <c r="H2929" s="56" t="s">
        <v>962</v>
      </c>
      <c r="J2929" s="56" t="s">
        <v>2611</v>
      </c>
      <c r="L2929" s="56" t="s">
        <v>2612</v>
      </c>
      <c r="M2929" s="4" t="s">
        <v>2613</v>
      </c>
      <c r="N2929" s="4"/>
      <c r="O2929" s="4" t="s">
        <v>178</v>
      </c>
    </row>
    <row r="2930" spans="2:15">
      <c r="B2930" s="20">
        <v>45923</v>
      </c>
      <c r="C2930" s="20">
        <v>45923</v>
      </c>
      <c r="D2930" s="54">
        <v>50010080</v>
      </c>
      <c r="E2930" s="55" t="s">
        <v>1657</v>
      </c>
      <c r="G2930" s="68">
        <v>4000</v>
      </c>
      <c r="H2930" s="56" t="s">
        <v>82</v>
      </c>
      <c r="J2930" s="56" t="s">
        <v>2614</v>
      </c>
      <c r="L2930" s="56" t="s">
        <v>355</v>
      </c>
      <c r="M2930" s="4" t="s">
        <v>355</v>
      </c>
      <c r="N2930" s="4"/>
      <c r="O2930" s="4" t="s">
        <v>178</v>
      </c>
    </row>
    <row r="2931" spans="2:15">
      <c r="B2931" s="20">
        <v>45923</v>
      </c>
      <c r="C2931" s="20">
        <v>45923</v>
      </c>
      <c r="D2931" s="54">
        <v>50449101</v>
      </c>
      <c r="E2931" s="55" t="s">
        <v>237</v>
      </c>
      <c r="G2931" s="68">
        <v>9273600</v>
      </c>
      <c r="H2931" s="56" t="s">
        <v>962</v>
      </c>
      <c r="J2931" s="56" t="s">
        <v>2615</v>
      </c>
      <c r="L2931" s="56" t="s">
        <v>1805</v>
      </c>
      <c r="M2931" s="4" t="s">
        <v>2396</v>
      </c>
      <c r="N2931" s="4"/>
      <c r="O2931" s="4" t="s">
        <v>178</v>
      </c>
    </row>
    <row r="2932" spans="2:15">
      <c r="B2932" s="20">
        <v>45924</v>
      </c>
      <c r="C2932" s="20">
        <v>45924</v>
      </c>
      <c r="D2932" s="54">
        <v>40011149</v>
      </c>
      <c r="E2932" s="55" t="s">
        <v>37</v>
      </c>
      <c r="G2932" s="68">
        <v>6336</v>
      </c>
      <c r="H2932" s="56" t="s">
        <v>962</v>
      </c>
      <c r="J2932" s="56" t="s">
        <v>2616</v>
      </c>
      <c r="L2932" s="56" t="s">
        <v>1031</v>
      </c>
      <c r="M2932" s="4" t="s">
        <v>392</v>
      </c>
      <c r="N2932" s="4"/>
      <c r="O2932" s="4" t="s">
        <v>178</v>
      </c>
    </row>
    <row r="2933" spans="2:15">
      <c r="B2933" s="20">
        <v>45924</v>
      </c>
      <c r="C2933" s="20">
        <v>45924</v>
      </c>
      <c r="D2933" s="54">
        <v>50852310</v>
      </c>
      <c r="E2933" s="55" t="s">
        <v>2617</v>
      </c>
      <c r="G2933" s="68">
        <v>4270000</v>
      </c>
      <c r="H2933" s="56" t="s">
        <v>92</v>
      </c>
      <c r="J2933" s="56" t="s">
        <v>2616</v>
      </c>
      <c r="L2933" s="56" t="s">
        <v>1031</v>
      </c>
      <c r="M2933" s="4" t="s">
        <v>392</v>
      </c>
      <c r="N2933" s="4"/>
      <c r="O2933" s="4" t="s">
        <v>178</v>
      </c>
    </row>
    <row r="2934" spans="2:15">
      <c r="B2934" s="20">
        <v>45924</v>
      </c>
      <c r="C2934" s="20">
        <v>45924</v>
      </c>
      <c r="D2934" s="54">
        <v>40014900</v>
      </c>
      <c r="E2934" s="55" t="s">
        <v>153</v>
      </c>
      <c r="G2934" s="68">
        <v>114</v>
      </c>
      <c r="H2934" s="56" t="s">
        <v>80</v>
      </c>
      <c r="J2934" s="56" t="s">
        <v>2618</v>
      </c>
      <c r="L2934" s="56" t="s">
        <v>2600</v>
      </c>
      <c r="M2934" s="4" t="s">
        <v>1792</v>
      </c>
      <c r="N2934" s="4"/>
      <c r="O2934" s="4" t="s">
        <v>178</v>
      </c>
    </row>
    <row r="2935" spans="2:15">
      <c r="B2935" s="20">
        <v>45924</v>
      </c>
      <c r="C2935" s="20">
        <v>45924</v>
      </c>
      <c r="D2935" s="54">
        <v>40014900</v>
      </c>
      <c r="E2935" s="55" t="s">
        <v>153</v>
      </c>
      <c r="G2935" s="68">
        <v>114</v>
      </c>
      <c r="H2935" s="56" t="s">
        <v>80</v>
      </c>
      <c r="J2935" s="56" t="s">
        <v>2619</v>
      </c>
      <c r="L2935" s="56" t="s">
        <v>2600</v>
      </c>
      <c r="M2935" s="4" t="s">
        <v>1792</v>
      </c>
      <c r="N2935" s="4"/>
      <c r="O2935" s="4" t="s">
        <v>178</v>
      </c>
    </row>
    <row r="2936" spans="2:15">
      <c r="B2936" s="20">
        <v>45924</v>
      </c>
      <c r="C2936" s="20">
        <v>45924</v>
      </c>
      <c r="D2936" s="54">
        <v>40014900</v>
      </c>
      <c r="E2936" s="55" t="s">
        <v>153</v>
      </c>
      <c r="G2936" s="68">
        <v>114</v>
      </c>
      <c r="H2936" s="56" t="s">
        <v>80</v>
      </c>
      <c r="J2936" s="56" t="s">
        <v>2620</v>
      </c>
      <c r="K2936" s="4" t="s">
        <v>2600</v>
      </c>
      <c r="L2936" s="56" t="s">
        <v>2600</v>
      </c>
      <c r="M2936" s="4" t="s">
        <v>1792</v>
      </c>
      <c r="N2936" s="4" t="s">
        <v>178</v>
      </c>
      <c r="O2936" s="4" t="s">
        <v>178</v>
      </c>
    </row>
    <row r="2937" spans="2:15">
      <c r="B2937" s="20">
        <v>45925</v>
      </c>
      <c r="C2937" s="20">
        <v>45925</v>
      </c>
      <c r="D2937" s="54">
        <v>50142298</v>
      </c>
      <c r="E2937" s="55" t="s">
        <v>2159</v>
      </c>
      <c r="G2937" s="68">
        <v>5055</v>
      </c>
      <c r="H2937" s="56" t="s">
        <v>2621</v>
      </c>
      <c r="J2937" s="56" t="s">
        <v>2622</v>
      </c>
      <c r="L2937" s="56" t="s">
        <v>1981</v>
      </c>
      <c r="M2937" s="4" t="s">
        <v>1981</v>
      </c>
      <c r="N2937" s="4"/>
      <c r="O2937" s="4" t="s">
        <v>178</v>
      </c>
    </row>
    <row r="2938" spans="2:15">
      <c r="B2938" s="20">
        <v>45925</v>
      </c>
      <c r="C2938" s="20">
        <v>45925</v>
      </c>
      <c r="D2938" s="54">
        <v>50142328</v>
      </c>
      <c r="E2938" s="55" t="s">
        <v>1591</v>
      </c>
      <c r="G2938" s="68">
        <v>5500</v>
      </c>
      <c r="H2938" s="56" t="s">
        <v>987</v>
      </c>
      <c r="J2938" s="56" t="s">
        <v>2622</v>
      </c>
      <c r="L2938" s="56" t="s">
        <v>1981</v>
      </c>
      <c r="M2938" s="4" t="s">
        <v>1981</v>
      </c>
      <c r="N2938" s="4"/>
      <c r="O2938" s="4" t="s">
        <v>178</v>
      </c>
    </row>
    <row r="2939" spans="2:15">
      <c r="B2939" s="20">
        <v>45925</v>
      </c>
      <c r="C2939" s="20">
        <v>45925</v>
      </c>
      <c r="D2939" s="54">
        <v>50470190</v>
      </c>
      <c r="E2939" s="55" t="s">
        <v>12</v>
      </c>
      <c r="G2939" s="68">
        <v>9273600</v>
      </c>
      <c r="H2939" s="56" t="s">
        <v>962</v>
      </c>
      <c r="J2939" s="56" t="s">
        <v>2623</v>
      </c>
      <c r="L2939" s="56" t="s">
        <v>1805</v>
      </c>
      <c r="M2939" s="4" t="s">
        <v>2396</v>
      </c>
      <c r="N2939" s="4"/>
      <c r="O2939" s="4" t="s">
        <v>178</v>
      </c>
    </row>
    <row r="2940" spans="2:15">
      <c r="B2940" s="20">
        <v>45925</v>
      </c>
      <c r="C2940" s="20">
        <v>45925</v>
      </c>
      <c r="D2940" s="54">
        <v>50141533</v>
      </c>
      <c r="E2940" s="55" t="s">
        <v>494</v>
      </c>
      <c r="G2940" s="68">
        <v>5000</v>
      </c>
      <c r="H2940" s="56" t="s">
        <v>82</v>
      </c>
      <c r="J2940" s="56" t="s">
        <v>2624</v>
      </c>
      <c r="L2940" s="56" t="s">
        <v>2470</v>
      </c>
      <c r="M2940" s="4" t="s">
        <v>2470</v>
      </c>
      <c r="N2940" s="4"/>
      <c r="O2940" s="4" t="s">
        <v>178</v>
      </c>
    </row>
    <row r="2941" spans="2:15">
      <c r="B2941" s="20">
        <v>45925</v>
      </c>
      <c r="C2941" s="20">
        <v>45925</v>
      </c>
      <c r="D2941" s="54">
        <v>50142631</v>
      </c>
      <c r="E2941" s="55" t="s">
        <v>566</v>
      </c>
      <c r="G2941" s="68">
        <v>3000</v>
      </c>
      <c r="H2941" s="56" t="s">
        <v>82</v>
      </c>
      <c r="J2941" s="56" t="s">
        <v>2625</v>
      </c>
      <c r="L2941" s="56" t="s">
        <v>2626</v>
      </c>
      <c r="N2941" s="4"/>
      <c r="O2941" s="4" t="s">
        <v>178</v>
      </c>
    </row>
    <row r="2942" spans="2:15">
      <c r="B2942" s="20">
        <v>45925</v>
      </c>
      <c r="C2942" s="20">
        <v>45925</v>
      </c>
      <c r="D2942" s="54">
        <v>40014675</v>
      </c>
      <c r="E2942" s="55" t="s">
        <v>44</v>
      </c>
      <c r="G2942" s="68">
        <v>114</v>
      </c>
      <c r="H2942" s="56" t="s">
        <v>80</v>
      </c>
      <c r="J2942" s="56" t="s">
        <v>2627</v>
      </c>
      <c r="L2942" s="56" t="s">
        <v>2600</v>
      </c>
      <c r="M2942" s="4" t="s">
        <v>1792</v>
      </c>
      <c r="N2942" s="4"/>
      <c r="O2942" s="4" t="s">
        <v>178</v>
      </c>
    </row>
    <row r="2943" spans="2:15">
      <c r="B2943" s="20">
        <v>45925</v>
      </c>
      <c r="C2943" s="20">
        <v>45925</v>
      </c>
      <c r="D2943" s="54">
        <v>40014675</v>
      </c>
      <c r="E2943" s="55" t="s">
        <v>44</v>
      </c>
      <c r="G2943" s="68">
        <v>114</v>
      </c>
      <c r="H2943" s="56" t="s">
        <v>80</v>
      </c>
      <c r="J2943" s="56" t="s">
        <v>2628</v>
      </c>
      <c r="L2943" s="56" t="s">
        <v>2600</v>
      </c>
      <c r="M2943" s="4" t="s">
        <v>1792</v>
      </c>
      <c r="N2943" s="4"/>
      <c r="O2943" s="4" t="s">
        <v>178</v>
      </c>
    </row>
    <row r="2944" spans="2:15">
      <c r="B2944" s="20">
        <v>45925</v>
      </c>
      <c r="C2944" s="20">
        <v>45925</v>
      </c>
      <c r="D2944" s="54">
        <v>50272278</v>
      </c>
      <c r="E2944" s="55" t="s">
        <v>21</v>
      </c>
      <c r="G2944" s="68">
        <v>15600</v>
      </c>
      <c r="H2944" s="56" t="s">
        <v>962</v>
      </c>
      <c r="J2944" s="56" t="s">
        <v>2629</v>
      </c>
      <c r="L2944" s="56" t="s">
        <v>262</v>
      </c>
      <c r="M2944" s="4" t="s">
        <v>262</v>
      </c>
      <c r="N2944" s="4"/>
      <c r="O2944" s="4" t="s">
        <v>178</v>
      </c>
    </row>
    <row r="2945" spans="2:15">
      <c r="B2945" s="20">
        <v>45926</v>
      </c>
      <c r="C2945" s="20">
        <v>45926</v>
      </c>
      <c r="D2945" s="54">
        <v>40014675</v>
      </c>
      <c r="E2945" s="55" t="s">
        <v>44</v>
      </c>
      <c r="G2945" s="68">
        <v>114</v>
      </c>
      <c r="H2945" s="56" t="s">
        <v>80</v>
      </c>
      <c r="J2945" s="56" t="s">
        <v>2630</v>
      </c>
      <c r="L2945" s="56" t="s">
        <v>2600</v>
      </c>
      <c r="M2945" s="4" t="s">
        <v>1792</v>
      </c>
      <c r="N2945" s="4" t="s">
        <v>178</v>
      </c>
      <c r="O2945" s="4" t="s">
        <v>178</v>
      </c>
    </row>
    <row r="2946" spans="2:15">
      <c r="B2946" s="20">
        <v>45926</v>
      </c>
      <c r="C2946" s="20">
        <v>45926</v>
      </c>
      <c r="D2946" s="54">
        <v>40014675</v>
      </c>
      <c r="E2946" s="55" t="s">
        <v>44</v>
      </c>
      <c r="G2946" s="68">
        <v>114</v>
      </c>
      <c r="H2946" s="56" t="s">
        <v>80</v>
      </c>
      <c r="J2946" s="56" t="s">
        <v>2631</v>
      </c>
      <c r="L2946" s="56" t="s">
        <v>2600</v>
      </c>
      <c r="M2946" s="4" t="s">
        <v>1792</v>
      </c>
      <c r="N2946" s="4" t="s">
        <v>178</v>
      </c>
      <c r="O2946" s="4" t="s">
        <v>178</v>
      </c>
    </row>
    <row r="2947" spans="2:15">
      <c r="B2947" s="20">
        <v>45926</v>
      </c>
      <c r="C2947" s="20">
        <v>45926</v>
      </c>
      <c r="D2947" s="54">
        <v>20016059</v>
      </c>
      <c r="E2947" s="55" t="s">
        <v>1498</v>
      </c>
      <c r="G2947" s="68">
        <v>200</v>
      </c>
      <c r="H2947" s="56" t="s">
        <v>962</v>
      </c>
      <c r="J2947" s="56">
        <v>1579</v>
      </c>
      <c r="L2947" s="56" t="s">
        <v>2310</v>
      </c>
      <c r="N2947" s="4"/>
      <c r="O2947" s="4" t="s">
        <v>178</v>
      </c>
    </row>
    <row r="2948" spans="2:15">
      <c r="B2948" s="20">
        <v>45926</v>
      </c>
      <c r="C2948" s="20">
        <v>45926</v>
      </c>
      <c r="D2948" s="54">
        <v>50501117</v>
      </c>
      <c r="E2948" s="55" t="s">
        <v>1541</v>
      </c>
      <c r="G2948" s="122">
        <v>44.928</v>
      </c>
      <c r="H2948" s="56" t="s">
        <v>80</v>
      </c>
      <c r="J2948" s="56" t="s">
        <v>2632</v>
      </c>
      <c r="L2948" s="56" t="s">
        <v>2004</v>
      </c>
      <c r="M2948" s="4" t="s">
        <v>2004</v>
      </c>
      <c r="N2948" s="4"/>
      <c r="O2948" s="4" t="s">
        <v>178</v>
      </c>
    </row>
    <row r="2949" spans="2:15">
      <c r="B2949" s="20">
        <v>45926</v>
      </c>
      <c r="C2949" s="20">
        <v>45926</v>
      </c>
      <c r="D2949" s="54">
        <v>50501117</v>
      </c>
      <c r="E2949" s="55" t="s">
        <v>1541</v>
      </c>
      <c r="G2949" s="122">
        <v>44.928</v>
      </c>
      <c r="H2949" s="56" t="s">
        <v>80</v>
      </c>
      <c r="J2949" s="56" t="s">
        <v>2632</v>
      </c>
      <c r="L2949" s="56" t="s">
        <v>2004</v>
      </c>
      <c r="M2949" s="4" t="s">
        <v>2004</v>
      </c>
      <c r="N2949" s="4"/>
      <c r="O2949" s="4" t="s">
        <v>178</v>
      </c>
    </row>
    <row r="2950" spans="2:15">
      <c r="B2950" s="20">
        <v>45926</v>
      </c>
      <c r="C2950" s="20">
        <v>45926</v>
      </c>
      <c r="D2950" s="54">
        <v>50272278</v>
      </c>
      <c r="E2950" s="55" t="s">
        <v>21</v>
      </c>
      <c r="G2950" s="68">
        <v>15600</v>
      </c>
      <c r="H2950" s="56" t="s">
        <v>962</v>
      </c>
      <c r="J2950" s="56" t="s">
        <v>2633</v>
      </c>
      <c r="L2950" s="56" t="s">
        <v>262</v>
      </c>
      <c r="M2950" s="4" t="s">
        <v>262</v>
      </c>
      <c r="N2950" s="4" t="s">
        <v>178</v>
      </c>
      <c r="O2950" s="4" t="s">
        <v>178</v>
      </c>
    </row>
    <row r="2951" spans="2:15">
      <c r="B2951" s="20">
        <v>45927</v>
      </c>
      <c r="C2951" s="20">
        <v>45927</v>
      </c>
      <c r="D2951" s="54">
        <v>40011588</v>
      </c>
      <c r="E2951" s="55" t="s">
        <v>585</v>
      </c>
      <c r="G2951" s="68">
        <v>10890</v>
      </c>
      <c r="H2951" s="56" t="s">
        <v>1248</v>
      </c>
      <c r="J2951" s="56" t="s">
        <v>2634</v>
      </c>
      <c r="L2951" s="56" t="s">
        <v>2200</v>
      </c>
      <c r="M2951" s="4" t="s">
        <v>392</v>
      </c>
      <c r="N2951" s="4"/>
      <c r="O2951" s="4" t="s">
        <v>178</v>
      </c>
    </row>
    <row r="2952" spans="2:15">
      <c r="B2952" s="20">
        <v>45927</v>
      </c>
      <c r="C2952" s="20">
        <v>45927</v>
      </c>
      <c r="D2952" s="54">
        <v>40008023</v>
      </c>
      <c r="E2952" s="55" t="s">
        <v>2551</v>
      </c>
      <c r="G2952" s="68">
        <v>900</v>
      </c>
      <c r="H2952" s="56" t="s">
        <v>80</v>
      </c>
      <c r="J2952" s="56" t="s">
        <v>2634</v>
      </c>
      <c r="L2952" s="56" t="s">
        <v>2200</v>
      </c>
      <c r="M2952" s="4" t="s">
        <v>392</v>
      </c>
      <c r="N2952" s="4"/>
      <c r="O2952" s="4" t="s">
        <v>178</v>
      </c>
    </row>
    <row r="2953" spans="2:15">
      <c r="B2953" s="20">
        <v>45930</v>
      </c>
      <c r="C2953" s="20">
        <v>45930</v>
      </c>
      <c r="D2953" s="54">
        <v>40014675</v>
      </c>
      <c r="E2953" s="55" t="s">
        <v>44</v>
      </c>
      <c r="G2953" s="68">
        <v>114</v>
      </c>
      <c r="H2953" s="56" t="s">
        <v>80</v>
      </c>
      <c r="J2953" s="56" t="s">
        <v>1973</v>
      </c>
      <c r="L2953" s="56" t="s">
        <v>2600</v>
      </c>
      <c r="M2953" s="4" t="s">
        <v>1792</v>
      </c>
      <c r="N2953" s="4" t="s">
        <v>178</v>
      </c>
      <c r="O2953" s="4" t="s">
        <v>178</v>
      </c>
    </row>
    <row r="2954" spans="2:15">
      <c r="B2954" s="20">
        <v>45930</v>
      </c>
      <c r="C2954" s="20">
        <v>45930</v>
      </c>
      <c r="D2954" s="54">
        <v>40014675</v>
      </c>
      <c r="E2954" s="55" t="s">
        <v>44</v>
      </c>
      <c r="G2954" s="68">
        <v>114</v>
      </c>
      <c r="H2954" s="56" t="s">
        <v>80</v>
      </c>
      <c r="J2954" s="56" t="s">
        <v>2635</v>
      </c>
      <c r="L2954" s="56" t="s">
        <v>2600</v>
      </c>
      <c r="M2954" s="4" t="s">
        <v>1792</v>
      </c>
      <c r="N2954" s="4" t="s">
        <v>178</v>
      </c>
      <c r="O2954" s="4" t="s">
        <v>178</v>
      </c>
    </row>
    <row r="2955" spans="2:15">
      <c r="B2955" s="20">
        <v>45930</v>
      </c>
      <c r="C2955" s="20">
        <v>45930</v>
      </c>
      <c r="D2955" s="54">
        <v>40014675</v>
      </c>
      <c r="E2955" s="55" t="s">
        <v>44</v>
      </c>
      <c r="G2955" s="68">
        <v>114</v>
      </c>
      <c r="H2955" s="56" t="s">
        <v>80</v>
      </c>
      <c r="J2955" s="56" t="s">
        <v>2636</v>
      </c>
      <c r="L2955" s="56" t="s">
        <v>2600</v>
      </c>
      <c r="M2955" s="4" t="s">
        <v>1792</v>
      </c>
      <c r="N2955" s="4" t="s">
        <v>178</v>
      </c>
      <c r="O2955" s="4" t="s">
        <v>178</v>
      </c>
    </row>
    <row r="2956" spans="2:15">
      <c r="B2956" s="20">
        <v>45930</v>
      </c>
      <c r="C2956" s="20">
        <v>45930</v>
      </c>
      <c r="D2956" s="54">
        <v>40014675</v>
      </c>
      <c r="E2956" s="55" t="s">
        <v>44</v>
      </c>
      <c r="G2956" s="68">
        <v>114</v>
      </c>
      <c r="H2956" s="56" t="s">
        <v>80</v>
      </c>
      <c r="J2956" s="56" t="s">
        <v>2637</v>
      </c>
      <c r="L2956" s="56" t="s">
        <v>2600</v>
      </c>
      <c r="M2956" s="4" t="s">
        <v>1792</v>
      </c>
      <c r="N2956" s="4" t="s">
        <v>178</v>
      </c>
      <c r="O2956" s="4" t="s">
        <v>178</v>
      </c>
    </row>
    <row r="2957" spans="2:15">
      <c r="B2957" s="20">
        <v>45930</v>
      </c>
      <c r="C2957" s="20">
        <v>45930</v>
      </c>
      <c r="D2957" s="54">
        <v>50470190</v>
      </c>
      <c r="E2957" s="55" t="s">
        <v>12</v>
      </c>
      <c r="G2957" s="68">
        <v>9273600</v>
      </c>
      <c r="H2957" s="56" t="s">
        <v>92</v>
      </c>
      <c r="J2957" s="56" t="s">
        <v>2638</v>
      </c>
      <c r="L2957" s="56" t="s">
        <v>1805</v>
      </c>
      <c r="M2957" s="4" t="s">
        <v>2396</v>
      </c>
      <c r="N2957" s="4"/>
      <c r="O2957" s="4" t="s">
        <v>178</v>
      </c>
    </row>
    <row r="2958" spans="2:15">
      <c r="B2958" s="20">
        <v>45931</v>
      </c>
      <c r="C2958" s="20">
        <v>45931</v>
      </c>
      <c r="D2958" s="54">
        <v>50837267</v>
      </c>
      <c r="E2958" s="55" t="s">
        <v>26</v>
      </c>
      <c r="G2958" s="68">
        <v>5099.2</v>
      </c>
      <c r="H2958" s="56" t="s">
        <v>987</v>
      </c>
      <c r="J2958" s="56" t="s">
        <v>2639</v>
      </c>
      <c r="L2958" s="56" t="s">
        <v>2585</v>
      </c>
      <c r="M2958" s="4" t="s">
        <v>2588</v>
      </c>
      <c r="N2958" s="4" t="s">
        <v>178</v>
      </c>
      <c r="O2958" s="4" t="s">
        <v>178</v>
      </c>
    </row>
    <row r="2959" spans="2:15">
      <c r="B2959" s="20">
        <v>45931</v>
      </c>
      <c r="C2959" s="20">
        <v>45931</v>
      </c>
      <c r="D2959" s="54">
        <v>50271805</v>
      </c>
      <c r="E2959" s="55" t="s">
        <v>2452</v>
      </c>
      <c r="G2959" s="68">
        <v>27000</v>
      </c>
      <c r="H2959" s="56" t="s">
        <v>962</v>
      </c>
      <c r="J2959" s="56" t="s">
        <v>2640</v>
      </c>
      <c r="L2959" s="56" t="s">
        <v>342</v>
      </c>
      <c r="M2959" s="4" t="s">
        <v>342</v>
      </c>
      <c r="N2959" s="4"/>
      <c r="O2959" s="4" t="s">
        <v>178</v>
      </c>
    </row>
    <row r="2960" spans="2:15">
      <c r="B2960" s="20">
        <v>45931</v>
      </c>
      <c r="C2960" s="20">
        <v>45931</v>
      </c>
      <c r="D2960" s="54">
        <v>50142397</v>
      </c>
      <c r="E2960" s="55" t="s">
        <v>557</v>
      </c>
      <c r="G2960" s="68">
        <v>228</v>
      </c>
      <c r="H2960" s="56" t="s">
        <v>92</v>
      </c>
      <c r="J2960" s="56" t="s">
        <v>2641</v>
      </c>
      <c r="L2960" s="56" t="s">
        <v>558</v>
      </c>
      <c r="M2960" s="4" t="s">
        <v>558</v>
      </c>
      <c r="N2960" s="4"/>
      <c r="O2960" s="4" t="s">
        <v>178</v>
      </c>
    </row>
    <row r="2961" spans="2:15">
      <c r="B2961" s="20">
        <v>45932</v>
      </c>
      <c r="C2961" s="20">
        <v>45932</v>
      </c>
      <c r="D2961" s="54">
        <v>50854127</v>
      </c>
      <c r="E2961" s="55" t="s">
        <v>30</v>
      </c>
      <c r="G2961" s="68">
        <v>4332</v>
      </c>
      <c r="H2961" s="56" t="s">
        <v>82</v>
      </c>
      <c r="J2961" s="56" t="s">
        <v>2642</v>
      </c>
      <c r="L2961" s="56" t="s">
        <v>2585</v>
      </c>
      <c r="M2961" s="4" t="s">
        <v>2588</v>
      </c>
      <c r="N2961" s="4" t="s">
        <v>178</v>
      </c>
      <c r="O2961" s="4" t="s">
        <v>178</v>
      </c>
    </row>
    <row r="2962" spans="2:15">
      <c r="B2962" s="20">
        <v>45932</v>
      </c>
      <c r="C2962" s="20">
        <v>45932</v>
      </c>
      <c r="D2962" s="54">
        <v>50837284</v>
      </c>
      <c r="E2962" s="55" t="s">
        <v>28</v>
      </c>
      <c r="G2962" s="68">
        <v>5257</v>
      </c>
      <c r="H2962" s="56" t="s">
        <v>987</v>
      </c>
      <c r="J2962" s="56" t="s">
        <v>2643</v>
      </c>
      <c r="L2962" s="56" t="s">
        <v>2585</v>
      </c>
      <c r="M2962" s="4" t="s">
        <v>2588</v>
      </c>
      <c r="N2962" s="4" t="s">
        <v>178</v>
      </c>
      <c r="O2962" s="4" t="s">
        <v>178</v>
      </c>
    </row>
    <row r="2963" spans="2:15">
      <c r="B2963" s="20">
        <v>45932</v>
      </c>
      <c r="C2963" s="20">
        <v>45932</v>
      </c>
      <c r="D2963" s="54">
        <v>50144376</v>
      </c>
      <c r="E2963" s="55" t="s">
        <v>19</v>
      </c>
      <c r="G2963" s="68">
        <v>15600</v>
      </c>
      <c r="H2963" s="56" t="s">
        <v>92</v>
      </c>
      <c r="J2963" s="56" t="s">
        <v>2644</v>
      </c>
      <c r="L2963" s="56" t="s">
        <v>262</v>
      </c>
      <c r="M2963" s="4" t="s">
        <v>262</v>
      </c>
      <c r="N2963" s="4" t="s">
        <v>178</v>
      </c>
      <c r="O2963" s="4" t="s">
        <v>178</v>
      </c>
    </row>
    <row r="2964" spans="2:15">
      <c r="B2964" s="20">
        <v>45933</v>
      </c>
      <c r="C2964" s="20">
        <v>45933</v>
      </c>
      <c r="D2964" s="54">
        <v>50272278</v>
      </c>
      <c r="E2964" s="55" t="s">
        <v>21</v>
      </c>
      <c r="G2964" s="68">
        <v>15600</v>
      </c>
      <c r="H2964" s="56" t="s">
        <v>92</v>
      </c>
      <c r="J2964" s="56" t="s">
        <v>2645</v>
      </c>
      <c r="L2964" s="56" t="s">
        <v>262</v>
      </c>
      <c r="M2964" s="4" t="s">
        <v>262</v>
      </c>
      <c r="N2964" s="4"/>
      <c r="O2964" s="4" t="s">
        <v>533</v>
      </c>
    </row>
    <row r="2965" spans="2:15">
      <c r="B2965" s="20">
        <v>45933</v>
      </c>
      <c r="C2965" s="20">
        <v>45933</v>
      </c>
      <c r="D2965" s="54">
        <v>50852311</v>
      </c>
      <c r="E2965" s="55" t="s">
        <v>2598</v>
      </c>
      <c r="G2965" s="68">
        <f>15*3.8</f>
        <v>57</v>
      </c>
      <c r="H2965" s="56" t="s">
        <v>80</v>
      </c>
      <c r="J2965" s="56" t="s">
        <v>2646</v>
      </c>
      <c r="L2965" s="56" t="s">
        <v>2600</v>
      </c>
      <c r="M2965" s="4" t="s">
        <v>2601</v>
      </c>
      <c r="N2965" s="4" t="s">
        <v>178</v>
      </c>
      <c r="O2965" s="4" t="s">
        <v>533</v>
      </c>
    </row>
    <row r="2966" spans="2:15">
      <c r="B2966" s="20">
        <v>45933</v>
      </c>
      <c r="C2966" s="20">
        <v>45933</v>
      </c>
      <c r="D2966" s="54">
        <v>50819321</v>
      </c>
      <c r="E2966" s="55" t="s">
        <v>2647</v>
      </c>
      <c r="G2966" s="68">
        <v>2050</v>
      </c>
      <c r="H2966" s="56" t="s">
        <v>80</v>
      </c>
      <c r="J2966" s="136" t="s">
        <v>2648</v>
      </c>
      <c r="L2966" s="56" t="s">
        <v>2186</v>
      </c>
      <c r="M2966" s="4" t="s">
        <v>392</v>
      </c>
      <c r="N2966" s="4"/>
      <c r="O2966" s="4" t="s">
        <v>533</v>
      </c>
    </row>
    <row r="2967" spans="2:15">
      <c r="B2967" s="20">
        <v>45933</v>
      </c>
      <c r="C2967" s="20">
        <v>45933</v>
      </c>
      <c r="D2967" s="54">
        <v>50819320</v>
      </c>
      <c r="E2967" s="55" t="s">
        <v>2649</v>
      </c>
      <c r="G2967" s="68">
        <v>1970</v>
      </c>
      <c r="H2967" s="56" t="s">
        <v>80</v>
      </c>
      <c r="J2967" s="136" t="s">
        <v>2648</v>
      </c>
      <c r="L2967" s="56" t="s">
        <v>2186</v>
      </c>
      <c r="M2967" s="4" t="s">
        <v>392</v>
      </c>
      <c r="N2967" s="4"/>
      <c r="O2967" s="4" t="s">
        <v>533</v>
      </c>
    </row>
    <row r="2968" spans="2:15">
      <c r="B2968" s="20">
        <v>45933</v>
      </c>
      <c r="C2968" s="20">
        <v>45933</v>
      </c>
      <c r="D2968" s="54">
        <v>40014675</v>
      </c>
      <c r="E2968" s="55" t="s">
        <v>44</v>
      </c>
      <c r="G2968" s="68">
        <v>114</v>
      </c>
      <c r="H2968" s="56" t="s">
        <v>80</v>
      </c>
      <c r="J2968" s="137" t="s">
        <v>2650</v>
      </c>
      <c r="L2968" s="56" t="s">
        <v>2600</v>
      </c>
      <c r="M2968" s="4" t="s">
        <v>1792</v>
      </c>
      <c r="N2968" s="4" t="s">
        <v>178</v>
      </c>
      <c r="O2968" s="4" t="s">
        <v>533</v>
      </c>
    </row>
    <row r="2969" spans="2:15">
      <c r="B2969" s="20">
        <v>45933</v>
      </c>
      <c r="C2969" s="20">
        <v>45933</v>
      </c>
      <c r="D2969" s="54">
        <v>40014675</v>
      </c>
      <c r="E2969" s="55" t="s">
        <v>44</v>
      </c>
      <c r="G2969" s="68">
        <v>114</v>
      </c>
      <c r="H2969" s="56" t="s">
        <v>80</v>
      </c>
      <c r="J2969" s="137" t="s">
        <v>2651</v>
      </c>
      <c r="L2969" s="56" t="s">
        <v>2600</v>
      </c>
      <c r="M2969" s="4" t="s">
        <v>1792</v>
      </c>
      <c r="N2969" s="4" t="s">
        <v>178</v>
      </c>
      <c r="O2969" s="4" t="s">
        <v>533</v>
      </c>
    </row>
    <row r="2970" spans="2:15">
      <c r="B2970" s="20">
        <v>45933</v>
      </c>
      <c r="C2970" s="20">
        <v>45933</v>
      </c>
      <c r="D2970" s="54">
        <v>50145028</v>
      </c>
      <c r="E2970" s="55" t="s">
        <v>23</v>
      </c>
      <c r="G2970" s="68">
        <v>1620</v>
      </c>
      <c r="H2970" s="56" t="s">
        <v>92</v>
      </c>
      <c r="J2970" s="56">
        <v>428</v>
      </c>
      <c r="L2970" s="56" t="s">
        <v>673</v>
      </c>
      <c r="M2970" s="4" t="s">
        <v>673</v>
      </c>
      <c r="N2970" s="4"/>
      <c r="O2970" s="4" t="s">
        <v>533</v>
      </c>
    </row>
    <row r="2971" spans="2:15">
      <c r="B2971" s="20">
        <v>45933</v>
      </c>
      <c r="C2971" s="20">
        <v>45933</v>
      </c>
      <c r="D2971" s="54">
        <v>50470190</v>
      </c>
      <c r="E2971" s="55" t="s">
        <v>12</v>
      </c>
      <c r="G2971" s="68">
        <v>9273600</v>
      </c>
      <c r="H2971" s="56" t="s">
        <v>92</v>
      </c>
      <c r="J2971" s="56" t="s">
        <v>2652</v>
      </c>
      <c r="L2971" s="56" t="s">
        <v>230</v>
      </c>
      <c r="M2971" s="4" t="s">
        <v>2396</v>
      </c>
      <c r="N2971" s="4"/>
      <c r="O2971" s="4" t="s">
        <v>533</v>
      </c>
    </row>
    <row r="2972" spans="2:15">
      <c r="B2972" s="20">
        <v>45934</v>
      </c>
      <c r="C2972" s="20">
        <v>45934</v>
      </c>
      <c r="D2972" s="54">
        <v>40014675</v>
      </c>
      <c r="E2972" s="55" t="s">
        <v>44</v>
      </c>
      <c r="G2972" s="68">
        <v>114</v>
      </c>
      <c r="H2972" s="56" t="s">
        <v>80</v>
      </c>
      <c r="J2972" s="137" t="s">
        <v>2653</v>
      </c>
      <c r="L2972" s="56" t="s">
        <v>2600</v>
      </c>
      <c r="M2972" s="4" t="s">
        <v>1792</v>
      </c>
      <c r="N2972" s="4" t="s">
        <v>178</v>
      </c>
      <c r="O2972" s="4" t="s">
        <v>533</v>
      </c>
    </row>
    <row r="2973" spans="2:15">
      <c r="B2973" s="20">
        <v>45934</v>
      </c>
      <c r="C2973" s="20">
        <v>45934</v>
      </c>
      <c r="D2973" s="54">
        <v>50142262</v>
      </c>
      <c r="E2973" s="55" t="s">
        <v>2654</v>
      </c>
      <c r="G2973" s="68">
        <v>400</v>
      </c>
      <c r="H2973" s="56" t="s">
        <v>82</v>
      </c>
      <c r="J2973" s="136" t="s">
        <v>2655</v>
      </c>
      <c r="L2973" s="56" t="s">
        <v>2656</v>
      </c>
      <c r="M2973" s="4" t="s">
        <v>2601</v>
      </c>
      <c r="N2973" s="4" t="s">
        <v>178</v>
      </c>
      <c r="O2973" s="4" t="s">
        <v>533</v>
      </c>
    </row>
    <row r="2974" spans="2:15">
      <c r="B2974" s="20">
        <v>45934</v>
      </c>
      <c r="C2974" s="20">
        <v>45934</v>
      </c>
      <c r="D2974" s="54">
        <v>50793278</v>
      </c>
      <c r="E2974" s="55" t="s">
        <v>1086</v>
      </c>
      <c r="G2974" s="68">
        <v>120</v>
      </c>
      <c r="H2974" s="56" t="s">
        <v>1087</v>
      </c>
      <c r="J2974" s="136">
        <v>1013894923</v>
      </c>
      <c r="L2974" s="56" t="s">
        <v>175</v>
      </c>
      <c r="M2974" s="4" t="s">
        <v>392</v>
      </c>
      <c r="O2974" s="4" t="s">
        <v>533</v>
      </c>
    </row>
    <row r="2975" spans="2:15">
      <c r="B2975" s="20">
        <v>45936</v>
      </c>
      <c r="C2975" s="20">
        <v>45936</v>
      </c>
      <c r="D2975" s="54">
        <v>50272278</v>
      </c>
      <c r="E2975" s="55" t="s">
        <v>21</v>
      </c>
      <c r="F2975" s="56">
        <v>26</v>
      </c>
      <c r="G2975" s="68">
        <v>15600</v>
      </c>
      <c r="H2975" s="56" t="s">
        <v>92</v>
      </c>
      <c r="J2975" s="56" t="s">
        <v>2657</v>
      </c>
      <c r="L2975" s="56" t="s">
        <v>262</v>
      </c>
      <c r="M2975" s="4" t="s">
        <v>262</v>
      </c>
      <c r="N2975" s="4"/>
      <c r="O2975" s="4" t="s">
        <v>533</v>
      </c>
    </row>
    <row r="2976" spans="2:15">
      <c r="B2976" s="20">
        <v>45937</v>
      </c>
      <c r="C2976" s="20">
        <v>45937</v>
      </c>
      <c r="D2976" s="54">
        <v>50272278</v>
      </c>
      <c r="E2976" s="55" t="s">
        <v>21</v>
      </c>
      <c r="F2976" s="56">
        <v>26</v>
      </c>
      <c r="G2976" s="68">
        <v>15600</v>
      </c>
      <c r="H2976" s="56" t="s">
        <v>92</v>
      </c>
      <c r="J2976" s="56" t="s">
        <v>2658</v>
      </c>
      <c r="L2976" s="56" t="s">
        <v>262</v>
      </c>
      <c r="M2976" s="4" t="s">
        <v>262</v>
      </c>
      <c r="N2976" s="4"/>
      <c r="O2976" s="4" t="s">
        <v>533</v>
      </c>
    </row>
    <row r="2977" spans="2:15">
      <c r="B2977" s="20">
        <v>45937</v>
      </c>
      <c r="C2977" s="20">
        <v>45937</v>
      </c>
      <c r="D2977" s="54">
        <v>50756639</v>
      </c>
      <c r="E2977" s="55" t="s">
        <v>2659</v>
      </c>
      <c r="G2977" s="68">
        <v>3000</v>
      </c>
      <c r="H2977" s="56" t="s">
        <v>92</v>
      </c>
      <c r="J2977" s="56" t="s">
        <v>2660</v>
      </c>
      <c r="L2977" s="56" t="s">
        <v>2661</v>
      </c>
      <c r="M2977" s="4" t="s">
        <v>2661</v>
      </c>
      <c r="O2977" s="4" t="s">
        <v>533</v>
      </c>
    </row>
    <row r="2978" spans="2:15">
      <c r="B2978" s="20">
        <v>45937</v>
      </c>
      <c r="C2978" s="20">
        <v>45937</v>
      </c>
      <c r="D2978" s="54">
        <v>50144135</v>
      </c>
      <c r="E2978" s="55" t="s">
        <v>2662</v>
      </c>
      <c r="G2978" s="68">
        <v>5000</v>
      </c>
      <c r="H2978" s="56" t="s">
        <v>92</v>
      </c>
      <c r="J2978" s="56" t="s">
        <v>2660</v>
      </c>
      <c r="L2978" s="56" t="s">
        <v>2661</v>
      </c>
      <c r="M2978" s="4" t="s">
        <v>2661</v>
      </c>
      <c r="O2978" s="4" t="s">
        <v>533</v>
      </c>
    </row>
    <row r="2979" spans="2:15">
      <c r="B2979" s="20">
        <v>45938</v>
      </c>
      <c r="C2979" s="20">
        <v>45938</v>
      </c>
      <c r="D2979" s="54">
        <v>50501117</v>
      </c>
      <c r="E2979" s="55" t="s">
        <v>1541</v>
      </c>
      <c r="F2979" s="56">
        <v>24</v>
      </c>
      <c r="G2979" s="122">
        <v>44.928</v>
      </c>
      <c r="H2979" s="56" t="s">
        <v>80</v>
      </c>
      <c r="J2979" s="56" t="s">
        <v>2663</v>
      </c>
      <c r="L2979" s="56" t="s">
        <v>392</v>
      </c>
      <c r="M2979" s="4" t="s">
        <v>392</v>
      </c>
      <c r="N2979" s="4"/>
      <c r="O2979" s="4" t="s">
        <v>533</v>
      </c>
    </row>
    <row r="2980" spans="2:15">
      <c r="B2980" s="20">
        <v>45938</v>
      </c>
      <c r="C2980" s="20">
        <v>45938</v>
      </c>
      <c r="D2980" s="54">
        <v>50470190</v>
      </c>
      <c r="E2980" s="55" t="s">
        <v>12</v>
      </c>
      <c r="G2980" s="68">
        <v>9273600</v>
      </c>
      <c r="H2980" s="56" t="s">
        <v>92</v>
      </c>
      <c r="J2980" s="56" t="s">
        <v>2664</v>
      </c>
      <c r="L2980" s="56" t="s">
        <v>230</v>
      </c>
      <c r="M2980" s="4" t="s">
        <v>2396</v>
      </c>
      <c r="N2980" s="4"/>
      <c r="O2980" s="4" t="s">
        <v>533</v>
      </c>
    </row>
    <row r="2981" spans="2:15">
      <c r="B2981" s="20">
        <v>45938</v>
      </c>
      <c r="C2981" s="20">
        <v>45938</v>
      </c>
      <c r="D2981" s="54">
        <v>40011080</v>
      </c>
      <c r="E2981" s="55" t="s">
        <v>420</v>
      </c>
      <c r="G2981" s="68">
        <v>11820</v>
      </c>
      <c r="H2981" s="56" t="s">
        <v>80</v>
      </c>
      <c r="J2981" s="136" t="s">
        <v>2665</v>
      </c>
      <c r="L2981" s="56" t="s">
        <v>1031</v>
      </c>
      <c r="M2981" s="4" t="s">
        <v>2004</v>
      </c>
      <c r="O2981" s="4" t="s">
        <v>533</v>
      </c>
    </row>
    <row r="2982" spans="2:15">
      <c r="B2982" s="20">
        <v>45938</v>
      </c>
      <c r="C2982" s="20">
        <v>45938</v>
      </c>
      <c r="D2982" s="54">
        <v>50145028</v>
      </c>
      <c r="E2982" s="55" t="s">
        <v>23</v>
      </c>
      <c r="G2982" s="68">
        <v>972</v>
      </c>
      <c r="H2982" s="56" t="s">
        <v>92</v>
      </c>
      <c r="J2982" s="56" t="s">
        <v>2666</v>
      </c>
      <c r="L2982" s="56" t="s">
        <v>2667</v>
      </c>
      <c r="M2982" s="4" t="s">
        <v>2152</v>
      </c>
      <c r="N2982" s="4"/>
      <c r="O2982" s="4" t="s">
        <v>533</v>
      </c>
    </row>
    <row r="2983" spans="2:15">
      <c r="B2983" s="20">
        <v>45938</v>
      </c>
      <c r="C2983" s="20">
        <v>45938</v>
      </c>
      <c r="D2983" s="54">
        <v>50501117</v>
      </c>
      <c r="E2983" s="55" t="s">
        <v>1541</v>
      </c>
      <c r="F2983" s="56">
        <v>24</v>
      </c>
      <c r="G2983" s="122">
        <v>44.928</v>
      </c>
      <c r="H2983" s="56" t="s">
        <v>80</v>
      </c>
      <c r="J2983" s="56" t="s">
        <v>2668</v>
      </c>
      <c r="L2983" s="56" t="s">
        <v>392</v>
      </c>
      <c r="M2983" s="4" t="s">
        <v>392</v>
      </c>
      <c r="N2983" s="4"/>
      <c r="O2983" s="4" t="s">
        <v>533</v>
      </c>
    </row>
    <row r="2984" spans="2:15">
      <c r="B2984" s="20">
        <v>45939</v>
      </c>
      <c r="C2984" s="20">
        <v>45939</v>
      </c>
      <c r="D2984" s="54">
        <v>50272278</v>
      </c>
      <c r="E2984" s="55" t="s">
        <v>21</v>
      </c>
      <c r="F2984" s="56">
        <v>26</v>
      </c>
      <c r="G2984" s="68">
        <v>15600</v>
      </c>
      <c r="H2984" s="56" t="s">
        <v>92</v>
      </c>
      <c r="J2984" s="56" t="s">
        <v>2669</v>
      </c>
      <c r="L2984" s="56" t="s">
        <v>262</v>
      </c>
      <c r="M2984" s="4" t="s">
        <v>262</v>
      </c>
      <c r="N2984" s="4"/>
      <c r="O2984" s="4" t="s">
        <v>533</v>
      </c>
    </row>
    <row r="2985" spans="2:15">
      <c r="B2985" s="20">
        <v>45939</v>
      </c>
      <c r="C2985" s="20">
        <v>45939</v>
      </c>
      <c r="D2985" s="54">
        <v>50501117</v>
      </c>
      <c r="E2985" s="55" t="s">
        <v>1541</v>
      </c>
      <c r="F2985" s="56">
        <v>24</v>
      </c>
      <c r="G2985" s="122">
        <v>44.928</v>
      </c>
      <c r="H2985" s="56" t="s">
        <v>80</v>
      </c>
      <c r="J2985" s="56" t="s">
        <v>2670</v>
      </c>
      <c r="L2985" s="56" t="s">
        <v>392</v>
      </c>
      <c r="M2985" s="4" t="s">
        <v>392</v>
      </c>
      <c r="N2985" s="4"/>
      <c r="O2985" s="4" t="s">
        <v>533</v>
      </c>
    </row>
    <row r="2986" spans="2:15">
      <c r="B2986" s="20">
        <v>45939</v>
      </c>
      <c r="C2986" s="20">
        <v>45939</v>
      </c>
      <c r="D2986" s="54">
        <v>50501117</v>
      </c>
      <c r="E2986" s="55" t="s">
        <v>1541</v>
      </c>
      <c r="F2986" s="56">
        <v>24</v>
      </c>
      <c r="G2986" s="122">
        <v>44.928</v>
      </c>
      <c r="H2986" s="56" t="s">
        <v>80</v>
      </c>
      <c r="J2986" s="56" t="s">
        <v>2671</v>
      </c>
      <c r="L2986" s="56" t="s">
        <v>392</v>
      </c>
      <c r="M2986" s="4" t="s">
        <v>392</v>
      </c>
      <c r="N2986" s="4"/>
      <c r="O2986" s="4" t="s">
        <v>533</v>
      </c>
    </row>
    <row r="2987" spans="2:15">
      <c r="B2987" s="20">
        <v>45939</v>
      </c>
      <c r="C2987" s="20">
        <v>45939</v>
      </c>
      <c r="D2987" s="54">
        <v>50837265</v>
      </c>
      <c r="E2987" s="55" t="s">
        <v>25</v>
      </c>
      <c r="G2987" s="68">
        <v>3176.2</v>
      </c>
      <c r="H2987" s="56" t="s">
        <v>82</v>
      </c>
      <c r="J2987" s="56" t="s">
        <v>2672</v>
      </c>
      <c r="L2987" s="56" t="s">
        <v>1227</v>
      </c>
      <c r="M2987" s="4" t="s">
        <v>2588</v>
      </c>
      <c r="O2987" s="4" t="s">
        <v>533</v>
      </c>
    </row>
    <row r="2988" spans="2:15">
      <c r="B2988" s="20">
        <v>45939</v>
      </c>
      <c r="C2988" s="20">
        <v>45939</v>
      </c>
      <c r="D2988" s="54">
        <v>50804970</v>
      </c>
      <c r="E2988" s="55" t="s">
        <v>857</v>
      </c>
      <c r="G2988" s="68">
        <f>1544.5*1000</f>
        <v>1544500</v>
      </c>
      <c r="H2988" s="56" t="s">
        <v>92</v>
      </c>
      <c r="J2988" s="56" t="s">
        <v>2673</v>
      </c>
      <c r="L2988" s="56" t="s">
        <v>1621</v>
      </c>
      <c r="M2988" s="4" t="s">
        <v>2004</v>
      </c>
      <c r="O2988" s="4" t="s">
        <v>533</v>
      </c>
    </row>
    <row r="2989" spans="2:15">
      <c r="B2989" s="20">
        <v>45939</v>
      </c>
      <c r="C2989" s="20">
        <v>45939</v>
      </c>
      <c r="D2989" s="54">
        <v>50804971</v>
      </c>
      <c r="E2989" s="55" t="s">
        <v>855</v>
      </c>
      <c r="G2989" s="68">
        <f>1402*1000</f>
        <v>1402000</v>
      </c>
      <c r="H2989" s="56" t="s">
        <v>92</v>
      </c>
      <c r="J2989" s="56" t="s">
        <v>2673</v>
      </c>
      <c r="L2989" s="56" t="s">
        <v>1621</v>
      </c>
      <c r="M2989" s="4" t="s">
        <v>2004</v>
      </c>
      <c r="O2989" s="4" t="s">
        <v>533</v>
      </c>
    </row>
    <row r="2990" spans="2:15">
      <c r="B2990" s="20">
        <v>45939</v>
      </c>
      <c r="C2990" s="20">
        <v>45939</v>
      </c>
      <c r="D2990" s="54">
        <v>50804929</v>
      </c>
      <c r="E2990" s="55" t="s">
        <v>856</v>
      </c>
      <c r="G2990" s="68">
        <f>1360*1000</f>
        <v>1360000</v>
      </c>
      <c r="H2990" s="56" t="s">
        <v>92</v>
      </c>
      <c r="J2990" s="56" t="s">
        <v>2673</v>
      </c>
      <c r="L2990" s="56" t="s">
        <v>1621</v>
      </c>
      <c r="M2990" s="4" t="s">
        <v>2004</v>
      </c>
      <c r="O2990" s="4" t="s">
        <v>533</v>
      </c>
    </row>
    <row r="2991" spans="2:15">
      <c r="B2991" s="20">
        <v>45939</v>
      </c>
      <c r="C2991" s="20">
        <v>45939</v>
      </c>
      <c r="D2991" s="54">
        <v>40011659</v>
      </c>
      <c r="E2991" s="55" t="s">
        <v>89</v>
      </c>
      <c r="G2991" s="68">
        <v>264</v>
      </c>
      <c r="H2991" s="56" t="s">
        <v>80</v>
      </c>
      <c r="J2991" s="56" t="s">
        <v>90</v>
      </c>
      <c r="L2991" s="56" t="s">
        <v>2674</v>
      </c>
      <c r="M2991" s="4" t="s">
        <v>2004</v>
      </c>
      <c r="O2991" s="4" t="s">
        <v>533</v>
      </c>
    </row>
    <row r="2992" spans="2:15">
      <c r="B2992" s="20">
        <v>45939</v>
      </c>
      <c r="C2992" s="20">
        <v>45939</v>
      </c>
      <c r="D2992" s="54">
        <v>40011659</v>
      </c>
      <c r="E2992" s="55" t="s">
        <v>89</v>
      </c>
      <c r="G2992" s="68">
        <v>5160</v>
      </c>
      <c r="H2992" s="56" t="s">
        <v>80</v>
      </c>
      <c r="J2992" s="56" t="s">
        <v>87</v>
      </c>
      <c r="L2992" s="56" t="s">
        <v>2674</v>
      </c>
      <c r="M2992" s="4" t="s">
        <v>2004</v>
      </c>
      <c r="O2992" s="4" t="s">
        <v>533</v>
      </c>
    </row>
    <row r="2993" spans="2:15">
      <c r="B2993" s="20">
        <v>45939</v>
      </c>
      <c r="C2993" s="20">
        <v>45939</v>
      </c>
      <c r="D2993" s="54">
        <v>40011148</v>
      </c>
      <c r="E2993" s="55" t="s">
        <v>86</v>
      </c>
      <c r="G2993" s="68">
        <v>4560</v>
      </c>
      <c r="H2993" s="56" t="s">
        <v>80</v>
      </c>
      <c r="J2993" s="56" t="s">
        <v>87</v>
      </c>
      <c r="L2993" s="56" t="s">
        <v>2674</v>
      </c>
      <c r="M2993" s="4" t="s">
        <v>2004</v>
      </c>
      <c r="O2993" s="4" t="s">
        <v>533</v>
      </c>
    </row>
    <row r="2994" spans="2:15">
      <c r="B2994" s="20">
        <v>45940</v>
      </c>
      <c r="C2994" s="20">
        <v>45940</v>
      </c>
      <c r="D2994" s="54">
        <v>50501117</v>
      </c>
      <c r="E2994" s="55" t="s">
        <v>1541</v>
      </c>
      <c r="F2994" s="56">
        <v>17</v>
      </c>
      <c r="G2994" s="122">
        <v>31.824</v>
      </c>
      <c r="H2994" s="56" t="s">
        <v>80</v>
      </c>
      <c r="J2994" s="56" t="s">
        <v>2675</v>
      </c>
      <c r="L2994" s="56" t="s">
        <v>392</v>
      </c>
      <c r="M2994" s="4" t="s">
        <v>392</v>
      </c>
      <c r="N2994" s="4"/>
      <c r="O2994" s="4" t="s">
        <v>533</v>
      </c>
    </row>
    <row r="2995" spans="2:15">
      <c r="B2995" s="20">
        <v>45940</v>
      </c>
      <c r="C2995" s="20">
        <v>45940</v>
      </c>
      <c r="D2995" s="54">
        <v>50144376</v>
      </c>
      <c r="E2995" s="55" t="s">
        <v>19</v>
      </c>
      <c r="G2995" s="68">
        <v>15600</v>
      </c>
      <c r="H2995" s="56" t="s">
        <v>92</v>
      </c>
      <c r="J2995" s="56" t="s">
        <v>2676</v>
      </c>
      <c r="L2995" s="56" t="s">
        <v>262</v>
      </c>
      <c r="M2995" s="4" t="s">
        <v>262</v>
      </c>
      <c r="N2995" s="4" t="s">
        <v>178</v>
      </c>
      <c r="O2995" s="4" t="s">
        <v>533</v>
      </c>
    </row>
    <row r="2996" spans="2:15">
      <c r="B2996" s="20">
        <v>45940</v>
      </c>
      <c r="C2996" s="20">
        <v>45940</v>
      </c>
      <c r="D2996" s="54">
        <v>50802401</v>
      </c>
      <c r="E2996" s="55" t="s">
        <v>13</v>
      </c>
      <c r="G2996" s="68">
        <v>9273600</v>
      </c>
      <c r="H2996" s="56" t="s">
        <v>92</v>
      </c>
      <c r="J2996" s="56" t="s">
        <v>2677</v>
      </c>
      <c r="L2996" s="56" t="s">
        <v>789</v>
      </c>
      <c r="M2996" s="4" t="s">
        <v>2004</v>
      </c>
      <c r="O2996" s="4" t="s">
        <v>533</v>
      </c>
    </row>
    <row r="2997" spans="2:15">
      <c r="B2997" s="20">
        <v>45940</v>
      </c>
      <c r="C2997" s="20">
        <v>45940</v>
      </c>
      <c r="D2997" s="54">
        <v>50837239</v>
      </c>
      <c r="E2997" s="55" t="s">
        <v>27</v>
      </c>
      <c r="G2997" s="68">
        <v>3575.1</v>
      </c>
      <c r="H2997" s="56" t="s">
        <v>82</v>
      </c>
      <c r="J2997" s="56" t="s">
        <v>2678</v>
      </c>
      <c r="L2997" s="56" t="s">
        <v>1227</v>
      </c>
      <c r="M2997" s="4" t="s">
        <v>2588</v>
      </c>
      <c r="O2997" s="4" t="s">
        <v>533</v>
      </c>
    </row>
    <row r="2998" spans="2:15">
      <c r="B2998" s="20">
        <v>45941</v>
      </c>
      <c r="C2998" s="20">
        <v>45941</v>
      </c>
      <c r="D2998" s="54">
        <v>50802401</v>
      </c>
      <c r="E2998" s="55" t="s">
        <v>13</v>
      </c>
      <c r="G2998" s="68">
        <f>20*289800</f>
        <v>5796000</v>
      </c>
      <c r="H2998" s="56" t="s">
        <v>92</v>
      </c>
      <c r="J2998" s="56" t="s">
        <v>2679</v>
      </c>
      <c r="L2998" s="56" t="s">
        <v>789</v>
      </c>
      <c r="M2998" s="4" t="s">
        <v>2680</v>
      </c>
      <c r="O2998" s="4" t="s">
        <v>533</v>
      </c>
    </row>
    <row r="2999" spans="2:15">
      <c r="B2999" s="20">
        <v>45941</v>
      </c>
      <c r="C2999" s="20">
        <v>45941</v>
      </c>
      <c r="D2999" s="54">
        <v>50802401</v>
      </c>
      <c r="E2999" s="55" t="s">
        <v>13</v>
      </c>
      <c r="G2999" s="68">
        <f>12*289800</f>
        <v>3477600</v>
      </c>
      <c r="H2999" s="56" t="s">
        <v>92</v>
      </c>
      <c r="J2999" s="56" t="s">
        <v>2681</v>
      </c>
      <c r="L2999" s="56" t="s">
        <v>789</v>
      </c>
      <c r="M2999" s="4" t="s">
        <v>2004</v>
      </c>
      <c r="O2999" s="4" t="s">
        <v>533</v>
      </c>
    </row>
    <row r="3000" spans="2:15">
      <c r="B3000" s="20">
        <v>45943</v>
      </c>
      <c r="C3000" s="20">
        <v>45943</v>
      </c>
      <c r="D3000" s="54">
        <v>50851033</v>
      </c>
      <c r="E3000" s="55" t="s">
        <v>29</v>
      </c>
      <c r="G3000" s="68">
        <v>3017.15</v>
      </c>
      <c r="H3000" s="56" t="s">
        <v>987</v>
      </c>
      <c r="J3000" s="56" t="s">
        <v>2682</v>
      </c>
      <c r="L3000" s="56" t="s">
        <v>1227</v>
      </c>
      <c r="M3000" s="4" t="s">
        <v>2588</v>
      </c>
      <c r="O3000" s="4" t="s">
        <v>178</v>
      </c>
    </row>
    <row r="3001" spans="2:15">
      <c r="B3001" s="20">
        <v>45943</v>
      </c>
      <c r="C3001" s="20">
        <v>45943</v>
      </c>
      <c r="D3001" s="54">
        <v>50470190</v>
      </c>
      <c r="E3001" s="66" t="s">
        <v>12</v>
      </c>
      <c r="G3001" s="68">
        <v>5506200</v>
      </c>
      <c r="H3001" s="56" t="s">
        <v>92</v>
      </c>
      <c r="J3001" s="56" t="s">
        <v>2683</v>
      </c>
      <c r="L3001" s="56" t="s">
        <v>2684</v>
      </c>
      <c r="M3001" s="4" t="s">
        <v>2152</v>
      </c>
      <c r="N3001" s="4"/>
      <c r="O3001" s="4" t="s">
        <v>178</v>
      </c>
    </row>
    <row r="3002" spans="2:15">
      <c r="B3002" s="20">
        <v>45943</v>
      </c>
      <c r="C3002" s="20">
        <v>45943</v>
      </c>
      <c r="D3002" s="54">
        <v>50272278</v>
      </c>
      <c r="E3002" s="55" t="s">
        <v>21</v>
      </c>
      <c r="G3002" s="68">
        <v>15600</v>
      </c>
      <c r="H3002" s="56" t="s">
        <v>92</v>
      </c>
      <c r="J3002" s="56" t="s">
        <v>2685</v>
      </c>
      <c r="L3002" s="56" t="s">
        <v>262</v>
      </c>
      <c r="M3002" s="4" t="s">
        <v>262</v>
      </c>
      <c r="N3002" s="4"/>
      <c r="O3002" s="4" t="s">
        <v>178</v>
      </c>
    </row>
    <row r="3003" spans="2:15">
      <c r="B3003" s="20">
        <v>45944</v>
      </c>
      <c r="C3003" s="20">
        <v>45944</v>
      </c>
      <c r="D3003" s="54">
        <v>50272278</v>
      </c>
      <c r="E3003" s="55" t="s">
        <v>21</v>
      </c>
      <c r="G3003" s="68">
        <v>15600</v>
      </c>
      <c r="H3003" s="56" t="s">
        <v>92</v>
      </c>
      <c r="J3003" s="56" t="s">
        <v>2686</v>
      </c>
      <c r="L3003" s="56" t="s">
        <v>262</v>
      </c>
      <c r="M3003" s="4" t="s">
        <v>262</v>
      </c>
      <c r="N3003" s="4"/>
      <c r="O3003" s="4" t="s">
        <v>178</v>
      </c>
    </row>
    <row r="3004" spans="2:15">
      <c r="B3004" s="20">
        <v>45944</v>
      </c>
      <c r="C3004" s="20">
        <v>45944</v>
      </c>
      <c r="D3004" s="54">
        <v>40014675</v>
      </c>
      <c r="E3004" s="55" t="s">
        <v>44</v>
      </c>
      <c r="G3004" s="68">
        <v>114</v>
      </c>
      <c r="H3004" s="56" t="s">
        <v>80</v>
      </c>
      <c r="J3004" s="137" t="s">
        <v>2687</v>
      </c>
      <c r="L3004" s="56" t="s">
        <v>2600</v>
      </c>
      <c r="M3004" s="4" t="s">
        <v>2601</v>
      </c>
      <c r="O3004" s="4" t="s">
        <v>178</v>
      </c>
    </row>
    <row r="3005" spans="2:15">
      <c r="B3005" s="20">
        <v>45944</v>
      </c>
      <c r="C3005" s="20">
        <v>45944</v>
      </c>
      <c r="D3005" s="54">
        <v>40014675</v>
      </c>
      <c r="E3005" s="55" t="s">
        <v>44</v>
      </c>
      <c r="G3005" s="68">
        <v>114</v>
      </c>
      <c r="H3005" s="56" t="s">
        <v>80</v>
      </c>
      <c r="J3005" s="137" t="s">
        <v>2660</v>
      </c>
      <c r="L3005" s="56" t="s">
        <v>1791</v>
      </c>
      <c r="M3005" s="4" t="s">
        <v>1792</v>
      </c>
      <c r="O3005" s="4" t="s">
        <v>178</v>
      </c>
    </row>
    <row r="3006" spans="2:15">
      <c r="B3006" s="20">
        <v>45945</v>
      </c>
      <c r="C3006" s="20">
        <v>45945</v>
      </c>
      <c r="D3006" s="54">
        <v>50010080</v>
      </c>
      <c r="E3006" s="55" t="s">
        <v>1657</v>
      </c>
      <c r="G3006" s="68">
        <v>19000</v>
      </c>
      <c r="H3006" s="56" t="s">
        <v>82</v>
      </c>
      <c r="J3006" s="56" t="s">
        <v>2688</v>
      </c>
      <c r="L3006" s="56" t="s">
        <v>355</v>
      </c>
      <c r="M3006" s="4" t="s">
        <v>355</v>
      </c>
      <c r="O3006" s="4" t="s">
        <v>178</v>
      </c>
    </row>
    <row r="3007" spans="2:15">
      <c r="B3007" s="20">
        <v>45945</v>
      </c>
      <c r="C3007" s="20">
        <v>45945</v>
      </c>
      <c r="D3007" s="54">
        <v>40010086</v>
      </c>
      <c r="E3007" s="55" t="s">
        <v>79</v>
      </c>
      <c r="G3007" s="68">
        <v>4730</v>
      </c>
      <c r="H3007" s="56" t="s">
        <v>80</v>
      </c>
      <c r="J3007" s="56">
        <v>1014902186</v>
      </c>
      <c r="L3007" s="56" t="s">
        <v>2314</v>
      </c>
      <c r="M3007" s="56" t="s">
        <v>564</v>
      </c>
      <c r="O3007" s="4" t="s">
        <v>178</v>
      </c>
    </row>
    <row r="3008" spans="2:15">
      <c r="B3008" s="20">
        <v>45945</v>
      </c>
      <c r="C3008" s="20">
        <v>45945</v>
      </c>
      <c r="D3008" s="54">
        <v>40010084</v>
      </c>
      <c r="E3008" s="55" t="s">
        <v>81</v>
      </c>
      <c r="G3008" s="68">
        <v>6191</v>
      </c>
      <c r="H3008" s="56" t="s">
        <v>80</v>
      </c>
      <c r="J3008" s="56">
        <v>1014902186</v>
      </c>
      <c r="L3008" s="56" t="s">
        <v>2314</v>
      </c>
      <c r="M3008" s="56" t="s">
        <v>564</v>
      </c>
      <c r="O3008" s="4" t="s">
        <v>178</v>
      </c>
    </row>
    <row r="3009" spans="2:15">
      <c r="B3009" s="20">
        <v>45945</v>
      </c>
      <c r="C3009" s="20">
        <v>45945</v>
      </c>
      <c r="D3009" s="54">
        <v>40007939</v>
      </c>
      <c r="E3009" s="55" t="s">
        <v>1873</v>
      </c>
      <c r="G3009" s="68">
        <v>1469</v>
      </c>
      <c r="H3009" s="56" t="s">
        <v>80</v>
      </c>
      <c r="J3009" s="56">
        <v>1014902186</v>
      </c>
      <c r="L3009" s="56" t="s">
        <v>2314</v>
      </c>
      <c r="M3009" s="56" t="s">
        <v>564</v>
      </c>
      <c r="O3009" s="4" t="s">
        <v>178</v>
      </c>
    </row>
    <row r="3010" spans="2:15">
      <c r="B3010" s="20">
        <v>45945</v>
      </c>
      <c r="C3010" s="20">
        <v>45945</v>
      </c>
      <c r="D3010" s="54">
        <v>40010376</v>
      </c>
      <c r="E3010" s="55" t="s">
        <v>84</v>
      </c>
      <c r="G3010" s="68">
        <v>2681</v>
      </c>
      <c r="H3010" s="56" t="s">
        <v>80</v>
      </c>
      <c r="J3010" s="56">
        <v>1014902186</v>
      </c>
      <c r="L3010" s="56" t="s">
        <v>2314</v>
      </c>
      <c r="M3010" s="56" t="s">
        <v>564</v>
      </c>
      <c r="O3010" s="4" t="s">
        <v>178</v>
      </c>
    </row>
    <row r="3011" spans="2:15">
      <c r="B3011" s="20">
        <v>45945</v>
      </c>
      <c r="C3011" s="20">
        <v>45945</v>
      </c>
      <c r="D3011" s="54">
        <v>40010083</v>
      </c>
      <c r="E3011" s="55" t="s">
        <v>85</v>
      </c>
      <c r="G3011" s="68">
        <v>5824</v>
      </c>
      <c r="H3011" s="56" t="s">
        <v>80</v>
      </c>
      <c r="J3011" s="56">
        <v>1014902186</v>
      </c>
      <c r="L3011" s="56" t="s">
        <v>2314</v>
      </c>
      <c r="M3011" s="56" t="s">
        <v>564</v>
      </c>
      <c r="O3011" s="4" t="s">
        <v>178</v>
      </c>
    </row>
    <row r="3012" spans="2:15">
      <c r="B3012" s="20">
        <v>45945</v>
      </c>
      <c r="C3012" s="20">
        <v>45945</v>
      </c>
      <c r="D3012" s="54">
        <v>40007940</v>
      </c>
      <c r="E3012" s="55" t="s">
        <v>477</v>
      </c>
      <c r="G3012" s="68">
        <v>1396</v>
      </c>
      <c r="H3012" s="56" t="s">
        <v>80</v>
      </c>
      <c r="J3012" s="56">
        <v>1014902186</v>
      </c>
      <c r="L3012" s="56" t="s">
        <v>2314</v>
      </c>
      <c r="M3012" s="56" t="s">
        <v>564</v>
      </c>
      <c r="O3012" s="4" t="s">
        <v>178</v>
      </c>
    </row>
    <row r="3013" spans="2:15">
      <c r="B3013" s="20">
        <v>45945</v>
      </c>
      <c r="C3013" s="20">
        <v>45945</v>
      </c>
      <c r="D3013" s="54">
        <v>40014675</v>
      </c>
      <c r="E3013" s="55" t="s">
        <v>44</v>
      </c>
      <c r="G3013" s="68">
        <v>114</v>
      </c>
      <c r="H3013" s="56" t="s">
        <v>80</v>
      </c>
      <c r="J3013" s="137" t="s">
        <v>2689</v>
      </c>
      <c r="L3013" s="56" t="s">
        <v>2600</v>
      </c>
      <c r="M3013" s="4" t="s">
        <v>2601</v>
      </c>
      <c r="O3013" s="4" t="s">
        <v>178</v>
      </c>
    </row>
    <row r="3014" spans="2:15">
      <c r="B3014" s="20">
        <v>45945</v>
      </c>
      <c r="C3014" s="20">
        <v>45945</v>
      </c>
      <c r="D3014" s="54">
        <v>40014675</v>
      </c>
      <c r="E3014" s="55" t="s">
        <v>44</v>
      </c>
      <c r="G3014" s="68">
        <v>114</v>
      </c>
      <c r="H3014" s="56" t="s">
        <v>80</v>
      </c>
      <c r="J3014" s="137" t="s">
        <v>2690</v>
      </c>
      <c r="L3014" s="56" t="s">
        <v>2600</v>
      </c>
      <c r="M3014" s="4" t="s">
        <v>2601</v>
      </c>
      <c r="O3014" s="4" t="s">
        <v>178</v>
      </c>
    </row>
    <row r="3015" spans="2:15">
      <c r="B3015" s="20">
        <v>45945</v>
      </c>
      <c r="C3015" s="20">
        <v>45945</v>
      </c>
      <c r="D3015" s="54">
        <v>40014675</v>
      </c>
      <c r="E3015" s="55" t="s">
        <v>44</v>
      </c>
      <c r="G3015" s="68">
        <v>114</v>
      </c>
      <c r="H3015" s="56" t="s">
        <v>80</v>
      </c>
      <c r="J3015" s="137" t="s">
        <v>2691</v>
      </c>
      <c r="L3015" s="56" t="s">
        <v>2600</v>
      </c>
      <c r="M3015" s="4" t="s">
        <v>2601</v>
      </c>
      <c r="O3015" s="4" t="s">
        <v>178</v>
      </c>
    </row>
    <row r="3016" spans="2:15">
      <c r="B3016" s="20">
        <v>45946</v>
      </c>
      <c r="C3016" s="20">
        <v>45946</v>
      </c>
      <c r="D3016" s="54">
        <v>50470190</v>
      </c>
      <c r="E3016" s="55" t="s">
        <v>12</v>
      </c>
      <c r="G3016" s="68">
        <v>9273600</v>
      </c>
      <c r="H3016" s="56" t="s">
        <v>962</v>
      </c>
      <c r="J3016" s="56" t="s">
        <v>2692</v>
      </c>
      <c r="L3016" s="56" t="s">
        <v>1166</v>
      </c>
      <c r="M3016" s="4" t="s">
        <v>2693</v>
      </c>
      <c r="O3016" s="4" t="s">
        <v>1945</v>
      </c>
    </row>
    <row r="3017" spans="2:15">
      <c r="B3017" s="20">
        <v>45947</v>
      </c>
      <c r="C3017" s="20">
        <v>45946</v>
      </c>
      <c r="D3017" s="54">
        <v>50272278</v>
      </c>
      <c r="E3017" s="55" t="s">
        <v>21</v>
      </c>
      <c r="G3017" s="68">
        <v>15600</v>
      </c>
      <c r="H3017" s="56" t="s">
        <v>92</v>
      </c>
      <c r="J3017" s="56" t="s">
        <v>2694</v>
      </c>
      <c r="L3017" s="56" t="s">
        <v>262</v>
      </c>
      <c r="M3017" s="4" t="s">
        <v>262</v>
      </c>
      <c r="N3017" s="4"/>
      <c r="O3017" s="4" t="s">
        <v>178</v>
      </c>
    </row>
    <row r="3018" spans="2:15">
      <c r="B3018" s="20">
        <v>45947</v>
      </c>
      <c r="C3018" s="20">
        <v>45947</v>
      </c>
      <c r="D3018" s="54">
        <v>40014675</v>
      </c>
      <c r="E3018" s="55" t="s">
        <v>44</v>
      </c>
      <c r="G3018" s="68">
        <v>114</v>
      </c>
      <c r="H3018" s="56" t="s">
        <v>80</v>
      </c>
      <c r="J3018" s="137" t="s">
        <v>2695</v>
      </c>
      <c r="L3018" s="56" t="s">
        <v>2600</v>
      </c>
      <c r="M3018" s="4" t="s">
        <v>2601</v>
      </c>
      <c r="O3018" s="4" t="s">
        <v>178</v>
      </c>
    </row>
    <row r="3019" spans="2:15">
      <c r="B3019" s="20">
        <v>45947</v>
      </c>
      <c r="C3019" s="20">
        <v>45947</v>
      </c>
      <c r="D3019" s="54">
        <v>40014675</v>
      </c>
      <c r="E3019" s="55" t="s">
        <v>44</v>
      </c>
      <c r="G3019" s="68">
        <v>114</v>
      </c>
      <c r="H3019" s="56" t="s">
        <v>80</v>
      </c>
      <c r="J3019" s="137" t="s">
        <v>2696</v>
      </c>
      <c r="L3019" s="56" t="s">
        <v>2600</v>
      </c>
      <c r="M3019" s="4" t="s">
        <v>2601</v>
      </c>
      <c r="O3019" s="4" t="s">
        <v>178</v>
      </c>
    </row>
    <row r="3020" spans="2:15">
      <c r="B3020" s="20">
        <v>45947</v>
      </c>
      <c r="C3020" s="20">
        <v>45946</v>
      </c>
      <c r="D3020" s="54">
        <v>50272278</v>
      </c>
      <c r="E3020" s="55" t="s">
        <v>21</v>
      </c>
      <c r="G3020" s="68">
        <v>15600</v>
      </c>
      <c r="H3020" s="56" t="s">
        <v>92</v>
      </c>
      <c r="J3020" s="56" t="s">
        <v>2697</v>
      </c>
      <c r="L3020" s="56" t="s">
        <v>262</v>
      </c>
      <c r="M3020" s="4" t="s">
        <v>262</v>
      </c>
      <c r="N3020" s="4"/>
      <c r="O3020" s="4" t="s">
        <v>178</v>
      </c>
    </row>
    <row r="3021" spans="2:15">
      <c r="B3021" s="20">
        <v>45948</v>
      </c>
      <c r="C3021" s="20">
        <v>45948</v>
      </c>
      <c r="D3021" s="54">
        <v>40014675</v>
      </c>
      <c r="E3021" s="55" t="s">
        <v>44</v>
      </c>
      <c r="G3021" s="68">
        <v>114</v>
      </c>
      <c r="H3021" s="56" t="s">
        <v>80</v>
      </c>
      <c r="J3021" s="137" t="s">
        <v>2698</v>
      </c>
      <c r="L3021" s="56" t="s">
        <v>2600</v>
      </c>
      <c r="M3021" s="4" t="s">
        <v>2601</v>
      </c>
      <c r="O3021" s="4" t="s">
        <v>178</v>
      </c>
    </row>
    <row r="3022" spans="2:15">
      <c r="B3022" s="20">
        <v>45948</v>
      </c>
      <c r="C3022" s="20">
        <v>45948</v>
      </c>
      <c r="D3022" s="54">
        <v>40014675</v>
      </c>
      <c r="E3022" s="55" t="s">
        <v>44</v>
      </c>
      <c r="G3022" s="68">
        <v>114</v>
      </c>
      <c r="H3022" s="56" t="s">
        <v>80</v>
      </c>
      <c r="J3022" s="137" t="s">
        <v>1993</v>
      </c>
      <c r="L3022" s="56" t="s">
        <v>2600</v>
      </c>
      <c r="M3022" s="4" t="s">
        <v>2601</v>
      </c>
      <c r="O3022" s="4" t="s">
        <v>178</v>
      </c>
    </row>
    <row r="3023" spans="2:15">
      <c r="B3023" s="20">
        <v>45948</v>
      </c>
      <c r="C3023" s="20">
        <v>45948</v>
      </c>
      <c r="D3023" s="54">
        <v>40004808</v>
      </c>
      <c r="E3023" s="69" t="s">
        <v>91</v>
      </c>
      <c r="G3023" s="68">
        <v>3240</v>
      </c>
      <c r="H3023" s="56" t="s">
        <v>80</v>
      </c>
      <c r="J3023" s="56">
        <v>1014543166</v>
      </c>
      <c r="L3023" s="56" t="s">
        <v>175</v>
      </c>
      <c r="M3023" s="4" t="s">
        <v>392</v>
      </c>
      <c r="O3023" s="4" t="s">
        <v>178</v>
      </c>
    </row>
    <row r="3024" spans="2:15">
      <c r="B3024" s="20">
        <v>45950</v>
      </c>
      <c r="C3024" s="20">
        <v>45950</v>
      </c>
      <c r="D3024" s="54">
        <v>50837239</v>
      </c>
      <c r="E3024" s="55" t="s">
        <v>27</v>
      </c>
      <c r="G3024" s="68">
        <v>2185.65</v>
      </c>
      <c r="H3024" s="56" t="s">
        <v>82</v>
      </c>
      <c r="J3024" s="56" t="s">
        <v>83</v>
      </c>
      <c r="L3024" s="56" t="s">
        <v>1227</v>
      </c>
      <c r="M3024" s="4" t="s">
        <v>2588</v>
      </c>
      <c r="O3024" s="4" t="s">
        <v>178</v>
      </c>
    </row>
    <row r="3025" spans="2:15">
      <c r="B3025" s="20">
        <v>45950</v>
      </c>
      <c r="C3025" s="20">
        <v>45950</v>
      </c>
      <c r="D3025" s="54">
        <v>50851033</v>
      </c>
      <c r="E3025" s="55" t="s">
        <v>29</v>
      </c>
      <c r="G3025" s="68">
        <v>2219.95</v>
      </c>
      <c r="H3025" s="56" t="s">
        <v>82</v>
      </c>
      <c r="J3025" s="56" t="s">
        <v>88</v>
      </c>
      <c r="L3025" s="56" t="s">
        <v>1227</v>
      </c>
      <c r="M3025" s="4" t="s">
        <v>2588</v>
      </c>
      <c r="O3025" s="4" t="s">
        <v>178</v>
      </c>
    </row>
    <row r="3026" spans="2:15">
      <c r="B3026" s="20">
        <v>45950</v>
      </c>
      <c r="C3026" s="20">
        <v>45950</v>
      </c>
      <c r="D3026" s="54">
        <v>50802401</v>
      </c>
      <c r="E3026" s="55" t="s">
        <v>13</v>
      </c>
      <c r="G3026" s="68">
        <v>9273600</v>
      </c>
      <c r="H3026" s="56" t="s">
        <v>962</v>
      </c>
      <c r="J3026" s="56" t="s">
        <v>93</v>
      </c>
      <c r="L3026" s="56" t="s">
        <v>789</v>
      </c>
      <c r="M3026" s="4" t="s">
        <v>2004</v>
      </c>
      <c r="O3026" s="4" t="s">
        <v>178</v>
      </c>
    </row>
    <row r="3027" spans="2:15">
      <c r="B3027" s="20">
        <v>45950</v>
      </c>
      <c r="C3027" s="20">
        <v>45950</v>
      </c>
      <c r="D3027" s="54">
        <v>50802401</v>
      </c>
      <c r="E3027" s="55" t="s">
        <v>13</v>
      </c>
      <c r="G3027" s="68">
        <v>9273600</v>
      </c>
      <c r="H3027" s="56" t="s">
        <v>962</v>
      </c>
      <c r="J3027" s="56" t="s">
        <v>94</v>
      </c>
      <c r="L3027" s="56" t="s">
        <v>789</v>
      </c>
      <c r="M3027" s="4" t="s">
        <v>2004</v>
      </c>
      <c r="O3027" s="4" t="s">
        <v>178</v>
      </c>
    </row>
    <row r="3028" spans="2:15">
      <c r="B3028" s="20">
        <v>45951</v>
      </c>
      <c r="C3028" s="20">
        <v>45951</v>
      </c>
      <c r="D3028" s="54">
        <v>50470190</v>
      </c>
      <c r="E3028" s="66" t="s">
        <v>12</v>
      </c>
      <c r="G3028" s="68">
        <v>9273600</v>
      </c>
      <c r="H3028" s="56" t="s">
        <v>962</v>
      </c>
      <c r="J3028" s="56" t="s">
        <v>2699</v>
      </c>
      <c r="L3028" s="56" t="s">
        <v>1166</v>
      </c>
      <c r="M3028" s="4" t="s">
        <v>2693</v>
      </c>
      <c r="O3028" s="4" t="s">
        <v>1945</v>
      </c>
    </row>
    <row r="3029" spans="2:15">
      <c r="B3029" s="20">
        <v>45951</v>
      </c>
      <c r="C3029" s="20">
        <v>45951</v>
      </c>
      <c r="D3029" s="54">
        <v>40014675</v>
      </c>
      <c r="E3029" s="55" t="s">
        <v>44</v>
      </c>
      <c r="G3029" s="68">
        <v>114</v>
      </c>
      <c r="H3029" s="56" t="s">
        <v>1248</v>
      </c>
      <c r="J3029" s="137" t="s">
        <v>2700</v>
      </c>
      <c r="L3029" s="56" t="s">
        <v>2600</v>
      </c>
      <c r="M3029" s="4" t="s">
        <v>2601</v>
      </c>
      <c r="O3029" s="4" t="s">
        <v>178</v>
      </c>
    </row>
    <row r="3030" spans="2:15">
      <c r="B3030" s="20">
        <v>45951</v>
      </c>
      <c r="C3030" s="20">
        <v>45951</v>
      </c>
      <c r="D3030" s="54">
        <v>40014675</v>
      </c>
      <c r="E3030" s="55" t="s">
        <v>44</v>
      </c>
      <c r="G3030" s="68">
        <v>114</v>
      </c>
      <c r="H3030" s="56" t="s">
        <v>1248</v>
      </c>
      <c r="J3030" s="137" t="s">
        <v>2701</v>
      </c>
      <c r="L3030" s="56" t="s">
        <v>2600</v>
      </c>
      <c r="M3030" s="4" t="s">
        <v>2601</v>
      </c>
      <c r="O3030" s="4" t="s">
        <v>178</v>
      </c>
    </row>
    <row r="3031" spans="2:15">
      <c r="B3031" s="20">
        <v>45951</v>
      </c>
      <c r="C3031" s="20">
        <v>45951</v>
      </c>
      <c r="D3031" s="54">
        <v>50142350</v>
      </c>
      <c r="E3031" s="55" t="s">
        <v>212</v>
      </c>
      <c r="G3031" s="68">
        <v>2494.8</v>
      </c>
      <c r="H3031" s="56" t="s">
        <v>987</v>
      </c>
      <c r="J3031" s="56" t="s">
        <v>2702</v>
      </c>
      <c r="L3031" s="56" t="s">
        <v>1160</v>
      </c>
      <c r="M3031" s="4" t="s">
        <v>392</v>
      </c>
      <c r="O3031" s="4" t="s">
        <v>1945</v>
      </c>
    </row>
    <row r="3032" spans="2:15">
      <c r="B3032" s="20">
        <v>45951</v>
      </c>
      <c r="C3032" s="20">
        <v>45951</v>
      </c>
      <c r="D3032" s="54">
        <v>50852597</v>
      </c>
      <c r="E3032" s="55" t="s">
        <v>2703</v>
      </c>
      <c r="G3032" s="68">
        <v>115.2</v>
      </c>
      <c r="H3032" s="56" t="s">
        <v>80</v>
      </c>
      <c r="J3032" s="56" t="s">
        <v>2704</v>
      </c>
      <c r="L3032" s="56" t="s">
        <v>2705</v>
      </c>
      <c r="M3032" s="4" t="s">
        <v>392</v>
      </c>
      <c r="O3032" s="4" t="s">
        <v>1945</v>
      </c>
    </row>
    <row r="3033" spans="2:15">
      <c r="B3033" s="20">
        <v>45952</v>
      </c>
      <c r="C3033" s="20">
        <v>45952</v>
      </c>
      <c r="D3033" s="54">
        <v>40014675</v>
      </c>
      <c r="E3033" s="55" t="s">
        <v>44</v>
      </c>
      <c r="G3033" s="68">
        <v>114</v>
      </c>
      <c r="H3033" s="56" t="s">
        <v>80</v>
      </c>
      <c r="J3033" s="137" t="s">
        <v>2706</v>
      </c>
      <c r="L3033" s="56" t="s">
        <v>2600</v>
      </c>
      <c r="M3033" s="4" t="s">
        <v>2601</v>
      </c>
      <c r="O3033" s="4" t="s">
        <v>178</v>
      </c>
    </row>
    <row r="3034" spans="2:15">
      <c r="B3034" s="20">
        <v>45952</v>
      </c>
      <c r="C3034" s="20">
        <v>45952</v>
      </c>
      <c r="D3034" s="54">
        <v>40014675</v>
      </c>
      <c r="E3034" s="55" t="s">
        <v>44</v>
      </c>
      <c r="G3034" s="68">
        <v>114</v>
      </c>
      <c r="H3034" s="56" t="s">
        <v>80</v>
      </c>
      <c r="J3034" s="137" t="s">
        <v>2707</v>
      </c>
      <c r="L3034" s="56" t="s">
        <v>2600</v>
      </c>
      <c r="M3034" s="4" t="s">
        <v>2601</v>
      </c>
      <c r="O3034" s="4" t="s">
        <v>178</v>
      </c>
    </row>
    <row r="3035" spans="2:15">
      <c r="B3035" s="20">
        <v>45952</v>
      </c>
      <c r="C3035" s="20">
        <v>45952</v>
      </c>
      <c r="D3035" s="59">
        <v>50851661</v>
      </c>
      <c r="E3035" s="55" t="s">
        <v>2455</v>
      </c>
      <c r="G3035" s="68">
        <v>3440</v>
      </c>
      <c r="H3035" s="56" t="s">
        <v>80</v>
      </c>
      <c r="J3035" s="56" t="s">
        <v>2708</v>
      </c>
      <c r="L3035" s="56" t="s">
        <v>1190</v>
      </c>
      <c r="M3035" s="4" t="s">
        <v>750</v>
      </c>
      <c r="O3035" s="4" t="s">
        <v>178</v>
      </c>
    </row>
    <row r="3036" spans="2:15">
      <c r="B3036" s="20">
        <v>45952</v>
      </c>
      <c r="C3036" s="20">
        <v>45952</v>
      </c>
      <c r="D3036" s="59">
        <v>50851662</v>
      </c>
      <c r="E3036" s="55" t="s">
        <v>2457</v>
      </c>
      <c r="G3036" s="68">
        <v>3440</v>
      </c>
      <c r="H3036" s="56" t="s">
        <v>80</v>
      </c>
      <c r="J3036" s="56" t="s">
        <v>2708</v>
      </c>
      <c r="L3036" s="56" t="s">
        <v>1190</v>
      </c>
      <c r="M3036" s="4" t="s">
        <v>750</v>
      </c>
      <c r="O3036" s="4" t="s">
        <v>178</v>
      </c>
    </row>
    <row r="3037" spans="2:15">
      <c r="B3037" s="20">
        <v>45953</v>
      </c>
      <c r="C3037" s="20">
        <v>45953</v>
      </c>
      <c r="D3037" s="54">
        <v>50852311</v>
      </c>
      <c r="E3037" s="55" t="s">
        <v>2598</v>
      </c>
      <c r="G3037" s="68">
        <v>114000</v>
      </c>
      <c r="H3037" s="56" t="s">
        <v>962</v>
      </c>
      <c r="J3037" s="56" t="s">
        <v>1994</v>
      </c>
      <c r="L3037" s="56" t="s">
        <v>2600</v>
      </c>
      <c r="M3037" s="4" t="s">
        <v>2601</v>
      </c>
      <c r="O3037" s="4" t="s">
        <v>178</v>
      </c>
    </row>
    <row r="3038" spans="2:15">
      <c r="B3038" s="20">
        <v>45953</v>
      </c>
      <c r="C3038" s="20">
        <v>45953</v>
      </c>
      <c r="D3038" s="54">
        <v>50852311</v>
      </c>
      <c r="E3038" s="55" t="s">
        <v>2598</v>
      </c>
      <c r="G3038" s="68">
        <v>114000</v>
      </c>
      <c r="H3038" s="56" t="s">
        <v>962</v>
      </c>
      <c r="J3038" s="56" t="s">
        <v>1997</v>
      </c>
      <c r="L3038" s="56" t="s">
        <v>2600</v>
      </c>
      <c r="M3038" s="4" t="s">
        <v>2601</v>
      </c>
      <c r="O3038" s="4" t="s">
        <v>178</v>
      </c>
    </row>
    <row r="3039" spans="2:15">
      <c r="B3039" s="20">
        <v>45953</v>
      </c>
      <c r="C3039" s="20">
        <v>45953</v>
      </c>
      <c r="D3039" s="54">
        <v>50328488</v>
      </c>
      <c r="E3039" s="55" t="s">
        <v>1853</v>
      </c>
      <c r="G3039" s="68">
        <v>110</v>
      </c>
      <c r="H3039" s="56" t="s">
        <v>82</v>
      </c>
      <c r="J3039" s="56" t="s">
        <v>2709</v>
      </c>
      <c r="L3039" s="56" t="s">
        <v>2710</v>
      </c>
      <c r="M3039" s="56" t="s">
        <v>2710</v>
      </c>
      <c r="O3039" s="4" t="s">
        <v>178</v>
      </c>
    </row>
    <row r="3040" spans="2:15">
      <c r="B3040" s="20">
        <v>45953</v>
      </c>
      <c r="C3040" s="20">
        <v>45953</v>
      </c>
      <c r="D3040" s="54">
        <v>50328897</v>
      </c>
      <c r="E3040" s="55" t="s">
        <v>1850</v>
      </c>
      <c r="G3040" s="68">
        <v>125</v>
      </c>
      <c r="H3040" s="56" t="s">
        <v>82</v>
      </c>
      <c r="J3040" s="56" t="s">
        <v>2711</v>
      </c>
      <c r="L3040" s="56" t="s">
        <v>2710</v>
      </c>
      <c r="M3040" s="56" t="s">
        <v>2710</v>
      </c>
      <c r="O3040" s="4" t="s">
        <v>178</v>
      </c>
    </row>
    <row r="3041" spans="2:15">
      <c r="B3041" s="20">
        <v>45953</v>
      </c>
      <c r="C3041" s="20">
        <v>45953</v>
      </c>
      <c r="D3041" s="54">
        <v>50142237</v>
      </c>
      <c r="E3041" s="69" t="s">
        <v>617</v>
      </c>
      <c r="G3041" s="68">
        <v>100000</v>
      </c>
      <c r="H3041" s="56" t="s">
        <v>962</v>
      </c>
      <c r="J3041" s="56" t="s">
        <v>2712</v>
      </c>
      <c r="L3041" s="56" t="s">
        <v>1015</v>
      </c>
      <c r="M3041" s="4" t="s">
        <v>1015</v>
      </c>
      <c r="O3041" s="4" t="s">
        <v>178</v>
      </c>
    </row>
    <row r="3042" spans="2:15">
      <c r="B3042" s="20">
        <v>45953</v>
      </c>
      <c r="C3042" s="20">
        <v>45953</v>
      </c>
      <c r="D3042" s="54">
        <v>50144376</v>
      </c>
      <c r="E3042" s="55" t="s">
        <v>19</v>
      </c>
      <c r="G3042" s="68">
        <v>12600</v>
      </c>
      <c r="H3042" s="56" t="s">
        <v>962</v>
      </c>
      <c r="J3042" s="56" t="s">
        <v>2713</v>
      </c>
      <c r="L3042" s="56" t="s">
        <v>262</v>
      </c>
      <c r="M3042" s="4" t="s">
        <v>262</v>
      </c>
      <c r="N3042" s="4"/>
      <c r="O3042" s="4" t="s">
        <v>178</v>
      </c>
    </row>
    <row r="3043" spans="2:15">
      <c r="B3043" s="20">
        <v>45953</v>
      </c>
      <c r="C3043" s="20">
        <v>45953</v>
      </c>
      <c r="D3043" s="54">
        <v>50272278</v>
      </c>
      <c r="E3043" s="69" t="s">
        <v>21</v>
      </c>
      <c r="G3043" s="68">
        <v>3000</v>
      </c>
      <c r="H3043" s="56" t="s">
        <v>962</v>
      </c>
      <c r="J3043" s="56" t="s">
        <v>2714</v>
      </c>
      <c r="L3043" s="56" t="s">
        <v>262</v>
      </c>
      <c r="M3043" s="4" t="s">
        <v>262</v>
      </c>
      <c r="N3043" s="4"/>
      <c r="O3043" s="4" t="s">
        <v>178</v>
      </c>
    </row>
    <row r="3044" spans="2:15">
      <c r="B3044" s="20">
        <v>45954</v>
      </c>
      <c r="C3044" s="20">
        <v>45954</v>
      </c>
      <c r="D3044" s="54">
        <v>50852311</v>
      </c>
      <c r="E3044" s="55" t="s">
        <v>2598</v>
      </c>
      <c r="G3044" s="68">
        <v>114000</v>
      </c>
      <c r="H3044" s="56" t="s">
        <v>962</v>
      </c>
      <c r="J3044" s="56" t="s">
        <v>2715</v>
      </c>
      <c r="L3044" s="56" t="s">
        <v>2600</v>
      </c>
      <c r="M3044" s="4" t="s">
        <v>2601</v>
      </c>
      <c r="O3044" s="4" t="s">
        <v>178</v>
      </c>
    </row>
    <row r="3045" spans="2:15">
      <c r="B3045" s="20">
        <v>45954</v>
      </c>
      <c r="C3045" s="20">
        <v>45954</v>
      </c>
      <c r="D3045" s="54">
        <v>50852311</v>
      </c>
      <c r="E3045" s="55" t="s">
        <v>2598</v>
      </c>
      <c r="G3045" s="68">
        <v>114000</v>
      </c>
      <c r="H3045" s="56" t="s">
        <v>962</v>
      </c>
      <c r="J3045" s="56" t="s">
        <v>2622</v>
      </c>
      <c r="L3045" s="56" t="s">
        <v>2600</v>
      </c>
      <c r="M3045" s="4" t="s">
        <v>2601</v>
      </c>
      <c r="O3045" s="4" t="s">
        <v>178</v>
      </c>
    </row>
    <row r="3046" spans="2:15">
      <c r="B3046" s="20">
        <v>45954</v>
      </c>
      <c r="C3046" s="20">
        <v>45954</v>
      </c>
      <c r="D3046" s="54">
        <v>50470190</v>
      </c>
      <c r="E3046" s="66" t="s">
        <v>12</v>
      </c>
      <c r="G3046" s="68">
        <v>9273600</v>
      </c>
      <c r="H3046" s="56" t="s">
        <v>962</v>
      </c>
      <c r="J3046" s="56" t="s">
        <v>2716</v>
      </c>
      <c r="L3046" s="56" t="s">
        <v>1166</v>
      </c>
      <c r="M3046" s="4" t="s">
        <v>2693</v>
      </c>
      <c r="O3046" s="4" t="s">
        <v>1945</v>
      </c>
    </row>
    <row r="3047" spans="2:15">
      <c r="B3047" s="20">
        <v>45954</v>
      </c>
      <c r="C3047" s="20">
        <v>45954</v>
      </c>
      <c r="D3047" s="54" t="s">
        <v>34</v>
      </c>
      <c r="E3047" s="130" t="s">
        <v>2717</v>
      </c>
      <c r="G3047" s="58">
        <v>18144</v>
      </c>
      <c r="H3047" s="56" t="s">
        <v>962</v>
      </c>
      <c r="J3047" s="56">
        <v>1015462518</v>
      </c>
      <c r="L3047" s="56" t="s">
        <v>175</v>
      </c>
      <c r="M3047" s="4" t="s">
        <v>564</v>
      </c>
      <c r="O3047" s="4" t="s">
        <v>178</v>
      </c>
    </row>
    <row r="3048" spans="2:15">
      <c r="B3048" s="20">
        <v>45954</v>
      </c>
      <c r="C3048" s="20">
        <v>45954</v>
      </c>
      <c r="D3048" s="54" t="s">
        <v>34</v>
      </c>
      <c r="E3048" s="130" t="s">
        <v>2718</v>
      </c>
      <c r="G3048" s="58">
        <v>16800</v>
      </c>
      <c r="H3048" s="56" t="s">
        <v>962</v>
      </c>
      <c r="J3048" s="56">
        <v>1015462518</v>
      </c>
      <c r="L3048" s="56" t="s">
        <v>175</v>
      </c>
      <c r="M3048" s="4" t="s">
        <v>564</v>
      </c>
      <c r="O3048" s="4" t="s">
        <v>178</v>
      </c>
    </row>
    <row r="3049" spans="2:15">
      <c r="B3049" s="20">
        <v>45954</v>
      </c>
      <c r="C3049" s="20">
        <v>45954</v>
      </c>
      <c r="D3049" s="54">
        <v>50852311</v>
      </c>
      <c r="E3049" s="55" t="s">
        <v>2598</v>
      </c>
      <c r="G3049" s="68">
        <v>114000</v>
      </c>
      <c r="H3049" s="56" t="s">
        <v>962</v>
      </c>
      <c r="J3049" s="56" t="s">
        <v>2719</v>
      </c>
      <c r="L3049" s="56" t="s">
        <v>2600</v>
      </c>
      <c r="M3049" s="4" t="s">
        <v>2601</v>
      </c>
      <c r="O3049" s="4" t="s">
        <v>178</v>
      </c>
    </row>
    <row r="3050" spans="2:15">
      <c r="B3050" s="20">
        <v>45954</v>
      </c>
      <c r="C3050" s="20">
        <v>45954</v>
      </c>
      <c r="D3050" s="54">
        <v>50852311</v>
      </c>
      <c r="E3050" s="55" t="s">
        <v>2598</v>
      </c>
      <c r="G3050" s="68">
        <v>114000</v>
      </c>
      <c r="H3050" s="56" t="s">
        <v>962</v>
      </c>
      <c r="J3050" s="56" t="s">
        <v>2720</v>
      </c>
      <c r="L3050" s="56" t="s">
        <v>2600</v>
      </c>
      <c r="M3050" s="4" t="s">
        <v>2601</v>
      </c>
      <c r="O3050" s="4" t="s">
        <v>178</v>
      </c>
    </row>
    <row r="3051" spans="2:15">
      <c r="B3051" s="20">
        <v>45957</v>
      </c>
      <c r="C3051" s="20">
        <v>45957</v>
      </c>
      <c r="D3051" s="54">
        <v>20016059</v>
      </c>
      <c r="E3051" s="55" t="s">
        <v>1498</v>
      </c>
      <c r="G3051" s="68">
        <v>200</v>
      </c>
      <c r="H3051" s="56" t="s">
        <v>962</v>
      </c>
      <c r="J3051" s="56">
        <v>20971</v>
      </c>
      <c r="L3051" s="56" t="s">
        <v>2310</v>
      </c>
      <c r="M3051" s="56" t="s">
        <v>2310</v>
      </c>
      <c r="O3051" s="4" t="s">
        <v>1945</v>
      </c>
    </row>
    <row r="3052" spans="2:15">
      <c r="B3052" s="20">
        <v>45957</v>
      </c>
      <c r="C3052" s="20">
        <v>45957</v>
      </c>
      <c r="D3052" s="54">
        <v>50852311</v>
      </c>
      <c r="E3052" s="55" t="s">
        <v>2598</v>
      </c>
      <c r="G3052" s="68">
        <v>114000</v>
      </c>
      <c r="H3052" s="56" t="s">
        <v>962</v>
      </c>
      <c r="J3052" s="56" t="s">
        <v>2721</v>
      </c>
      <c r="L3052" s="56" t="s">
        <v>2600</v>
      </c>
      <c r="M3052" s="4" t="s">
        <v>2601</v>
      </c>
      <c r="O3052" s="4" t="s">
        <v>178</v>
      </c>
    </row>
    <row r="3053" spans="2:15">
      <c r="B3053" s="20">
        <v>45957</v>
      </c>
      <c r="C3053" s="20">
        <v>45957</v>
      </c>
      <c r="D3053" s="54">
        <v>50852311</v>
      </c>
      <c r="E3053" s="55" t="s">
        <v>2598</v>
      </c>
      <c r="G3053" s="68">
        <v>114000</v>
      </c>
      <c r="H3053" s="56" t="s">
        <v>962</v>
      </c>
      <c r="J3053" s="56" t="s">
        <v>2722</v>
      </c>
      <c r="L3053" s="56" t="s">
        <v>2600</v>
      </c>
      <c r="M3053" s="4" t="s">
        <v>2601</v>
      </c>
      <c r="O3053" s="4" t="s">
        <v>178</v>
      </c>
    </row>
    <row r="3054" spans="2:15">
      <c r="B3054" s="20">
        <v>45957</v>
      </c>
      <c r="C3054" s="20">
        <v>45957</v>
      </c>
      <c r="D3054" s="54">
        <v>50145029</v>
      </c>
      <c r="E3054" s="55" t="s">
        <v>705</v>
      </c>
      <c r="G3054" s="58">
        <v>48</v>
      </c>
      <c r="H3054" s="56" t="s">
        <v>505</v>
      </c>
      <c r="J3054" s="56" t="s">
        <v>2723</v>
      </c>
      <c r="L3054" s="56" t="s">
        <v>1053</v>
      </c>
      <c r="M3054" s="56" t="s">
        <v>1053</v>
      </c>
      <c r="O3054" s="4" t="s">
        <v>178</v>
      </c>
    </row>
    <row r="3055" spans="2:15">
      <c r="B3055" s="20">
        <v>45957</v>
      </c>
      <c r="C3055" s="20">
        <v>45957</v>
      </c>
      <c r="D3055" s="54">
        <v>50392045</v>
      </c>
      <c r="E3055" s="55" t="s">
        <v>707</v>
      </c>
      <c r="G3055" s="58">
        <v>48</v>
      </c>
      <c r="H3055" s="56" t="s">
        <v>505</v>
      </c>
      <c r="J3055" s="56" t="s">
        <v>2723</v>
      </c>
      <c r="L3055" s="56" t="s">
        <v>1053</v>
      </c>
      <c r="M3055" s="56" t="s">
        <v>1053</v>
      </c>
      <c r="O3055" s="4" t="s">
        <v>178</v>
      </c>
    </row>
    <row r="3056" spans="2:15">
      <c r="B3056" s="20">
        <v>45957</v>
      </c>
      <c r="C3056" s="20">
        <v>45957</v>
      </c>
      <c r="D3056" s="54">
        <v>50145012</v>
      </c>
      <c r="E3056" s="55" t="s">
        <v>504</v>
      </c>
      <c r="G3056" s="58">
        <v>6</v>
      </c>
      <c r="H3056" s="56" t="s">
        <v>505</v>
      </c>
      <c r="J3056" s="56" t="s">
        <v>2723</v>
      </c>
      <c r="L3056" s="56" t="s">
        <v>1053</v>
      </c>
      <c r="M3056" s="56" t="s">
        <v>1053</v>
      </c>
      <c r="O3056" s="4" t="s">
        <v>178</v>
      </c>
    </row>
    <row r="3057" spans="2:15">
      <c r="B3057" s="20">
        <v>45957</v>
      </c>
      <c r="C3057" s="20">
        <v>45957</v>
      </c>
      <c r="D3057" s="54">
        <v>50392046</v>
      </c>
      <c r="E3057" s="55" t="s">
        <v>509</v>
      </c>
      <c r="G3057" s="58">
        <v>24</v>
      </c>
      <c r="H3057" s="56" t="s">
        <v>505</v>
      </c>
      <c r="J3057" s="56" t="s">
        <v>2723</v>
      </c>
      <c r="L3057" s="56" t="s">
        <v>1053</v>
      </c>
      <c r="M3057" s="56" t="s">
        <v>1053</v>
      </c>
      <c r="O3057" s="4" t="s">
        <v>178</v>
      </c>
    </row>
    <row r="3058" spans="2:15">
      <c r="B3058" s="20">
        <v>45957</v>
      </c>
      <c r="C3058" s="20">
        <v>45957</v>
      </c>
      <c r="D3058" s="54">
        <v>50858259</v>
      </c>
      <c r="E3058" s="55" t="s">
        <v>2724</v>
      </c>
      <c r="G3058" s="58">
        <v>9</v>
      </c>
      <c r="H3058" s="56" t="s">
        <v>505</v>
      </c>
      <c r="J3058" s="56" t="s">
        <v>2725</v>
      </c>
      <c r="L3058" s="56" t="s">
        <v>1053</v>
      </c>
      <c r="M3058" s="56" t="s">
        <v>1053</v>
      </c>
      <c r="O3058" s="4" t="s">
        <v>178</v>
      </c>
    </row>
    <row r="3059" spans="2:15">
      <c r="B3059" s="20">
        <v>45957</v>
      </c>
      <c r="C3059" s="20">
        <v>45957</v>
      </c>
      <c r="D3059" s="54">
        <v>50858280</v>
      </c>
      <c r="E3059" s="55" t="s">
        <v>2726</v>
      </c>
      <c r="G3059" s="58">
        <v>38</v>
      </c>
      <c r="H3059" s="56" t="s">
        <v>505</v>
      </c>
      <c r="J3059" s="56" t="s">
        <v>2725</v>
      </c>
      <c r="L3059" s="56" t="s">
        <v>1053</v>
      </c>
      <c r="M3059" s="56" t="s">
        <v>1053</v>
      </c>
      <c r="O3059" s="4" t="s">
        <v>178</v>
      </c>
    </row>
    <row r="3060" spans="2:15">
      <c r="B3060" s="20">
        <v>45957</v>
      </c>
      <c r="C3060" s="20">
        <v>45957</v>
      </c>
      <c r="D3060" s="54">
        <v>50858281</v>
      </c>
      <c r="E3060" s="55" t="s">
        <v>2727</v>
      </c>
      <c r="G3060" s="58">
        <v>59</v>
      </c>
      <c r="H3060" s="56" t="s">
        <v>505</v>
      </c>
      <c r="J3060" s="56" t="s">
        <v>2725</v>
      </c>
      <c r="L3060" s="56" t="s">
        <v>1053</v>
      </c>
      <c r="M3060" s="56" t="s">
        <v>1053</v>
      </c>
      <c r="O3060" s="4" t="s">
        <v>178</v>
      </c>
    </row>
    <row r="3061" spans="2:15">
      <c r="B3061" s="20">
        <v>45958</v>
      </c>
      <c r="C3061" s="20">
        <v>45958</v>
      </c>
      <c r="D3061" s="54">
        <v>40014900</v>
      </c>
      <c r="E3061" s="55" t="s">
        <v>153</v>
      </c>
      <c r="G3061" s="68">
        <v>114</v>
      </c>
      <c r="H3061" s="56" t="s">
        <v>80</v>
      </c>
      <c r="J3061" s="56" t="s">
        <v>2728</v>
      </c>
      <c r="L3061" s="56" t="s">
        <v>2600</v>
      </c>
      <c r="M3061" s="4" t="s">
        <v>2601</v>
      </c>
      <c r="O3061" s="4" t="s">
        <v>178</v>
      </c>
    </row>
    <row r="3062" spans="2:15">
      <c r="B3062" s="20">
        <v>45958</v>
      </c>
      <c r="C3062" s="20">
        <v>45958</v>
      </c>
      <c r="D3062" s="54">
        <v>40014900</v>
      </c>
      <c r="E3062" s="55" t="s">
        <v>153</v>
      </c>
      <c r="G3062" s="68">
        <v>114</v>
      </c>
      <c r="H3062" s="56" t="s">
        <v>80</v>
      </c>
      <c r="J3062" s="56" t="s">
        <v>2729</v>
      </c>
      <c r="L3062" s="56" t="s">
        <v>2600</v>
      </c>
      <c r="M3062" s="4" t="s">
        <v>2601</v>
      </c>
      <c r="O3062" s="4" t="s">
        <v>178</v>
      </c>
    </row>
    <row r="3063" spans="2:15">
      <c r="B3063" s="20">
        <v>45958</v>
      </c>
      <c r="C3063" s="20">
        <v>45958</v>
      </c>
      <c r="D3063" s="54">
        <v>50799770</v>
      </c>
      <c r="E3063" s="55" t="s">
        <v>17</v>
      </c>
      <c r="G3063" s="68">
        <v>9600</v>
      </c>
      <c r="H3063" s="56" t="s">
        <v>92</v>
      </c>
      <c r="J3063" s="56" t="s">
        <v>2730</v>
      </c>
      <c r="L3063" s="56" t="s">
        <v>262</v>
      </c>
      <c r="M3063" s="4" t="s">
        <v>262</v>
      </c>
      <c r="N3063" s="4"/>
      <c r="O3063" s="4" t="s">
        <v>178</v>
      </c>
    </row>
    <row r="3064" spans="2:15">
      <c r="B3064" s="20">
        <v>45958</v>
      </c>
      <c r="C3064" s="20">
        <v>45958</v>
      </c>
      <c r="D3064" s="54">
        <v>50272278</v>
      </c>
      <c r="E3064" s="69" t="s">
        <v>21</v>
      </c>
      <c r="G3064" s="68">
        <v>6000</v>
      </c>
      <c r="H3064" s="56" t="s">
        <v>92</v>
      </c>
      <c r="J3064" s="56" t="s">
        <v>2731</v>
      </c>
      <c r="L3064" s="56" t="s">
        <v>262</v>
      </c>
      <c r="M3064" s="4" t="s">
        <v>262</v>
      </c>
      <c r="N3064" s="4"/>
      <c r="O3064" s="4" t="s">
        <v>178</v>
      </c>
    </row>
    <row r="3065" spans="2:15">
      <c r="B3065" s="20">
        <v>45958</v>
      </c>
      <c r="C3065" s="20">
        <v>45958</v>
      </c>
      <c r="D3065" s="54">
        <v>50272278</v>
      </c>
      <c r="E3065" s="69" t="s">
        <v>21</v>
      </c>
      <c r="G3065" s="68">
        <v>15600</v>
      </c>
      <c r="H3065" s="56" t="s">
        <v>92</v>
      </c>
      <c r="J3065" s="56" t="s">
        <v>2732</v>
      </c>
      <c r="L3065" s="56" t="s">
        <v>262</v>
      </c>
      <c r="M3065" s="4" t="s">
        <v>262</v>
      </c>
      <c r="N3065" s="4"/>
      <c r="O3065" s="4" t="s">
        <v>178</v>
      </c>
    </row>
    <row r="3066" spans="2:15">
      <c r="B3066" s="20">
        <v>45960</v>
      </c>
      <c r="C3066" s="20">
        <v>45960</v>
      </c>
      <c r="D3066" s="54">
        <v>50815262</v>
      </c>
      <c r="E3066" s="55" t="s">
        <v>2733</v>
      </c>
      <c r="G3066" s="68">
        <v>33180</v>
      </c>
      <c r="H3066" s="56" t="s">
        <v>92</v>
      </c>
      <c r="J3066" s="56" t="s">
        <v>2734</v>
      </c>
      <c r="L3066" s="56" t="s">
        <v>2600</v>
      </c>
      <c r="M3066" s="4" t="s">
        <v>2601</v>
      </c>
      <c r="O3066" s="4" t="s">
        <v>178</v>
      </c>
    </row>
    <row r="3067" spans="2:15">
      <c r="B3067" s="20">
        <v>45960</v>
      </c>
      <c r="C3067" s="20">
        <v>45960</v>
      </c>
      <c r="D3067" s="54">
        <v>50815262</v>
      </c>
      <c r="E3067" s="55" t="s">
        <v>2733</v>
      </c>
      <c r="G3067" s="68">
        <v>33180</v>
      </c>
      <c r="H3067" s="56" t="s">
        <v>92</v>
      </c>
      <c r="J3067" s="56" t="s">
        <v>2735</v>
      </c>
      <c r="L3067" s="56" t="s">
        <v>2600</v>
      </c>
      <c r="M3067" s="4" t="s">
        <v>2601</v>
      </c>
      <c r="O3067" s="4" t="s">
        <v>178</v>
      </c>
    </row>
    <row r="3068" spans="2:15">
      <c r="B3068" s="20">
        <v>45960</v>
      </c>
      <c r="C3068" s="20">
        <v>45960</v>
      </c>
      <c r="D3068" s="54">
        <v>50815262</v>
      </c>
      <c r="E3068" s="55" t="s">
        <v>2733</v>
      </c>
      <c r="G3068" s="68">
        <v>33180</v>
      </c>
      <c r="H3068" s="56" t="s">
        <v>92</v>
      </c>
      <c r="J3068" s="56" t="s">
        <v>2736</v>
      </c>
      <c r="L3068" s="56" t="s">
        <v>2600</v>
      </c>
      <c r="M3068" s="4" t="s">
        <v>2601</v>
      </c>
      <c r="O3068" s="4" t="s">
        <v>178</v>
      </c>
    </row>
    <row r="3069" spans="2:15">
      <c r="B3069" s="20">
        <v>45960</v>
      </c>
      <c r="C3069" s="20">
        <v>45960</v>
      </c>
      <c r="D3069" s="54">
        <v>50815262</v>
      </c>
      <c r="E3069" s="55" t="s">
        <v>2733</v>
      </c>
      <c r="G3069" s="68">
        <v>33180</v>
      </c>
      <c r="H3069" s="56" t="s">
        <v>92</v>
      </c>
      <c r="J3069" s="56" t="s">
        <v>2737</v>
      </c>
      <c r="L3069" s="56" t="s">
        <v>2600</v>
      </c>
      <c r="M3069" s="4" t="s">
        <v>2601</v>
      </c>
      <c r="O3069" s="4" t="s">
        <v>178</v>
      </c>
    </row>
    <row r="3070" spans="2:15">
      <c r="B3070" s="20">
        <v>45960</v>
      </c>
      <c r="C3070" s="20">
        <v>45960</v>
      </c>
      <c r="D3070" s="54">
        <v>50815262</v>
      </c>
      <c r="E3070" s="55" t="s">
        <v>2733</v>
      </c>
      <c r="G3070" s="68">
        <v>33180</v>
      </c>
      <c r="H3070" s="56" t="s">
        <v>92</v>
      </c>
      <c r="J3070" s="56" t="s">
        <v>2738</v>
      </c>
      <c r="L3070" s="56" t="s">
        <v>2600</v>
      </c>
      <c r="M3070" s="4" t="s">
        <v>2601</v>
      </c>
      <c r="O3070" s="4" t="s">
        <v>178</v>
      </c>
    </row>
    <row r="3071" spans="2:15">
      <c r="B3071" s="20">
        <v>45960</v>
      </c>
      <c r="C3071" s="20">
        <v>45960</v>
      </c>
      <c r="D3071" s="54">
        <v>50815262</v>
      </c>
      <c r="E3071" s="55" t="s">
        <v>2733</v>
      </c>
      <c r="G3071" s="68">
        <v>33180</v>
      </c>
      <c r="H3071" s="56" t="s">
        <v>92</v>
      </c>
      <c r="J3071" s="56" t="s">
        <v>2739</v>
      </c>
      <c r="L3071" s="56" t="s">
        <v>2600</v>
      </c>
      <c r="M3071" s="4" t="s">
        <v>2601</v>
      </c>
      <c r="O3071" s="4" t="s">
        <v>178</v>
      </c>
    </row>
    <row r="3072" spans="2:15">
      <c r="B3072" s="20">
        <v>45960</v>
      </c>
      <c r="C3072" s="20">
        <v>45960</v>
      </c>
      <c r="D3072" s="54">
        <v>50815262</v>
      </c>
      <c r="E3072" s="55" t="s">
        <v>2733</v>
      </c>
      <c r="G3072" s="68">
        <v>33180</v>
      </c>
      <c r="H3072" s="56" t="s">
        <v>92</v>
      </c>
      <c r="J3072" s="56" t="s">
        <v>2740</v>
      </c>
      <c r="L3072" s="56" t="s">
        <v>2600</v>
      </c>
      <c r="M3072" s="4" t="s">
        <v>2601</v>
      </c>
      <c r="O3072" s="4" t="s">
        <v>178</v>
      </c>
    </row>
    <row r="3073" spans="2:15">
      <c r="B3073" s="20">
        <v>45961</v>
      </c>
      <c r="C3073" s="20">
        <v>45961</v>
      </c>
      <c r="D3073" s="54">
        <v>50272278</v>
      </c>
      <c r="E3073" s="69" t="s">
        <v>21</v>
      </c>
      <c r="G3073" s="68">
        <v>15600</v>
      </c>
      <c r="H3073" s="56" t="s">
        <v>92</v>
      </c>
      <c r="J3073" s="56" t="s">
        <v>2741</v>
      </c>
      <c r="L3073" s="56" t="s">
        <v>262</v>
      </c>
      <c r="M3073" s="4" t="s">
        <v>262</v>
      </c>
      <c r="N3073" s="4"/>
      <c r="O3073" s="4" t="s">
        <v>178</v>
      </c>
    </row>
    <row r="3074" spans="2:15">
      <c r="B3074" s="20">
        <v>45962</v>
      </c>
      <c r="C3074" s="20">
        <v>45962</v>
      </c>
      <c r="D3074" s="54">
        <v>50142055</v>
      </c>
      <c r="E3074" s="55" t="s">
        <v>206</v>
      </c>
      <c r="G3074" s="68">
        <v>12000</v>
      </c>
      <c r="H3074" s="56" t="s">
        <v>82</v>
      </c>
      <c r="J3074" s="56">
        <v>414570172</v>
      </c>
      <c r="L3074" s="56" t="s">
        <v>208</v>
      </c>
      <c r="M3074" s="4" t="s">
        <v>2742</v>
      </c>
      <c r="O3074" s="4" t="s">
        <v>1945</v>
      </c>
    </row>
    <row r="3075" spans="2:15">
      <c r="B3075" s="20">
        <v>45962</v>
      </c>
      <c r="C3075" s="20">
        <v>45962</v>
      </c>
      <c r="D3075" s="54">
        <v>50793278</v>
      </c>
      <c r="E3075" s="55" t="s">
        <v>1086</v>
      </c>
      <c r="G3075" s="68">
        <v>130</v>
      </c>
      <c r="H3075" s="56" t="s">
        <v>2313</v>
      </c>
      <c r="J3075" s="56">
        <v>101640363</v>
      </c>
      <c r="L3075" s="56" t="s">
        <v>2743</v>
      </c>
      <c r="M3075" s="4" t="s">
        <v>1058</v>
      </c>
      <c r="O3075" s="4" t="s">
        <v>178</v>
      </c>
    </row>
    <row r="3076" spans="2:15">
      <c r="B3076" s="20">
        <v>45962</v>
      </c>
      <c r="C3076" s="20">
        <v>45962</v>
      </c>
      <c r="D3076" s="54">
        <v>40015052</v>
      </c>
      <c r="E3076" s="130" t="s">
        <v>2744</v>
      </c>
      <c r="G3076" s="58">
        <v>5950</v>
      </c>
      <c r="H3076" s="56" t="s">
        <v>80</v>
      </c>
      <c r="J3076" s="56">
        <v>1015894711</v>
      </c>
      <c r="L3076" s="56" t="s">
        <v>175</v>
      </c>
      <c r="M3076" s="4" t="s">
        <v>392</v>
      </c>
      <c r="O3076" s="4" t="s">
        <v>178</v>
      </c>
    </row>
    <row r="3077" spans="2:15">
      <c r="B3077" s="20">
        <v>45962</v>
      </c>
      <c r="C3077" s="20">
        <v>45962</v>
      </c>
      <c r="D3077" s="54">
        <v>40015055</v>
      </c>
      <c r="E3077" s="130" t="s">
        <v>2745</v>
      </c>
      <c r="G3077" s="58">
        <v>5868</v>
      </c>
      <c r="H3077" s="56" t="s">
        <v>80</v>
      </c>
      <c r="J3077" s="56">
        <v>1015894711</v>
      </c>
      <c r="L3077" s="56" t="s">
        <v>175</v>
      </c>
      <c r="M3077" s="4" t="s">
        <v>392</v>
      </c>
      <c r="O3077" s="4" t="s">
        <v>178</v>
      </c>
    </row>
    <row r="3078" spans="2:15">
      <c r="B3078" s="20">
        <v>45962</v>
      </c>
      <c r="C3078" s="20">
        <v>45962</v>
      </c>
      <c r="D3078" s="54" t="s">
        <v>34</v>
      </c>
      <c r="E3078" s="55" t="s">
        <v>35</v>
      </c>
      <c r="G3078" s="58">
        <v>3270</v>
      </c>
      <c r="H3078" s="56" t="s">
        <v>80</v>
      </c>
      <c r="J3078" s="56">
        <v>1015894711</v>
      </c>
      <c r="L3078" s="56" t="s">
        <v>175</v>
      </c>
      <c r="M3078" s="4" t="s">
        <v>392</v>
      </c>
      <c r="O3078" s="4" t="s">
        <v>178</v>
      </c>
    </row>
    <row r="3079" spans="2:15">
      <c r="B3079" s="20">
        <v>45962</v>
      </c>
      <c r="C3079" s="20">
        <v>45962</v>
      </c>
      <c r="D3079" s="54" t="s">
        <v>34</v>
      </c>
      <c r="E3079" s="55" t="s">
        <v>36</v>
      </c>
      <c r="G3079" s="58">
        <v>3000</v>
      </c>
      <c r="H3079" s="56" t="s">
        <v>80</v>
      </c>
      <c r="J3079" s="56">
        <v>1015894711</v>
      </c>
      <c r="L3079" s="56" t="s">
        <v>175</v>
      </c>
      <c r="M3079" s="4" t="s">
        <v>392</v>
      </c>
      <c r="O3079" s="4" t="s">
        <v>178</v>
      </c>
    </row>
    <row r="3080" spans="2:15">
      <c r="B3080" s="20">
        <v>45962</v>
      </c>
      <c r="C3080" s="20">
        <v>45962</v>
      </c>
      <c r="D3080" s="54">
        <v>50852597</v>
      </c>
      <c r="E3080" s="55" t="s">
        <v>2703</v>
      </c>
      <c r="G3080" s="68">
        <v>405000</v>
      </c>
      <c r="H3080" s="56" t="s">
        <v>92</v>
      </c>
      <c r="J3080" s="56" t="s">
        <v>2746</v>
      </c>
      <c r="L3080" s="56" t="s">
        <v>1530</v>
      </c>
      <c r="M3080" s="4" t="s">
        <v>392</v>
      </c>
      <c r="O3080" s="4" t="s">
        <v>178</v>
      </c>
    </row>
    <row r="3081" spans="2:15">
      <c r="B3081" s="20">
        <v>45964</v>
      </c>
      <c r="C3081" s="20">
        <v>45964</v>
      </c>
      <c r="D3081" s="54">
        <v>50837237</v>
      </c>
      <c r="E3081" s="55" t="s">
        <v>1747</v>
      </c>
      <c r="G3081" s="68">
        <v>1009.95</v>
      </c>
      <c r="H3081" s="56" t="s">
        <v>82</v>
      </c>
      <c r="J3081" s="56" t="s">
        <v>2747</v>
      </c>
      <c r="L3081" s="56" t="s">
        <v>2588</v>
      </c>
      <c r="M3081" s="56" t="s">
        <v>2588</v>
      </c>
      <c r="O3081" s="4" t="s">
        <v>178</v>
      </c>
    </row>
    <row r="3082" spans="2:15">
      <c r="B3082" s="20">
        <v>45964</v>
      </c>
      <c r="C3082" s="20">
        <v>45964</v>
      </c>
      <c r="D3082" s="54">
        <v>50486294</v>
      </c>
      <c r="E3082" s="55" t="s">
        <v>752</v>
      </c>
      <c r="G3082" s="68">
        <v>3179.1</v>
      </c>
      <c r="H3082" s="56" t="s">
        <v>753</v>
      </c>
      <c r="J3082" s="56" t="s">
        <v>2748</v>
      </c>
      <c r="L3082" s="56" t="s">
        <v>2588</v>
      </c>
      <c r="M3082" s="56" t="s">
        <v>2588</v>
      </c>
      <c r="O3082" s="4" t="s">
        <v>178</v>
      </c>
    </row>
    <row r="3083" spans="2:15">
      <c r="B3083" s="20">
        <v>45964</v>
      </c>
      <c r="C3083" s="20">
        <v>45964</v>
      </c>
      <c r="D3083" s="54">
        <v>40004808</v>
      </c>
      <c r="E3083" s="69" t="s">
        <v>91</v>
      </c>
      <c r="G3083" s="68">
        <v>13500</v>
      </c>
      <c r="H3083" s="56" t="s">
        <v>92</v>
      </c>
      <c r="J3083" s="56">
        <v>1015281020</v>
      </c>
      <c r="L3083" s="56" t="s">
        <v>175</v>
      </c>
      <c r="M3083" s="4" t="s">
        <v>392</v>
      </c>
      <c r="O3083" s="4" t="s">
        <v>178</v>
      </c>
    </row>
    <row r="3084" spans="2:15">
      <c r="B3084" s="20">
        <v>45965</v>
      </c>
      <c r="C3084" s="20">
        <v>45965</v>
      </c>
      <c r="D3084" s="54">
        <v>40014900</v>
      </c>
      <c r="E3084" s="55" t="s">
        <v>153</v>
      </c>
      <c r="G3084" s="68">
        <v>114</v>
      </c>
      <c r="H3084" s="56" t="s">
        <v>92</v>
      </c>
      <c r="J3084" s="56" t="s">
        <v>2749</v>
      </c>
      <c r="L3084" s="56" t="s">
        <v>2600</v>
      </c>
      <c r="M3084" s="4" t="s">
        <v>2601</v>
      </c>
      <c r="O3084" s="4" t="s">
        <v>178</v>
      </c>
    </row>
    <row r="3085" spans="2:15">
      <c r="B3085" s="20">
        <v>45965</v>
      </c>
      <c r="C3085" s="20">
        <v>45965</v>
      </c>
      <c r="D3085" s="54">
        <v>40014900</v>
      </c>
      <c r="E3085" s="55" t="s">
        <v>153</v>
      </c>
      <c r="G3085" s="68">
        <v>114</v>
      </c>
      <c r="H3085" s="56" t="s">
        <v>92</v>
      </c>
      <c r="J3085" s="56" t="s">
        <v>2750</v>
      </c>
      <c r="L3085" s="56" t="s">
        <v>2600</v>
      </c>
      <c r="M3085" s="4" t="s">
        <v>2601</v>
      </c>
      <c r="O3085" s="4" t="s">
        <v>178</v>
      </c>
    </row>
    <row r="3086" spans="2:15">
      <c r="B3086" s="20">
        <v>45965</v>
      </c>
      <c r="C3086" s="20">
        <v>45965</v>
      </c>
      <c r="D3086" s="54">
        <v>50400554</v>
      </c>
      <c r="E3086" s="55" t="s">
        <v>1311</v>
      </c>
      <c r="G3086" s="68">
        <v>89552</v>
      </c>
      <c r="H3086" s="56" t="s">
        <v>92</v>
      </c>
      <c r="J3086" s="56">
        <v>1015931201</v>
      </c>
      <c r="L3086" s="56" t="s">
        <v>175</v>
      </c>
      <c r="M3086" s="4" t="s">
        <v>392</v>
      </c>
      <c r="O3086" s="4" t="s">
        <v>178</v>
      </c>
    </row>
    <row r="3087" spans="2:15">
      <c r="B3087" s="20">
        <v>45965</v>
      </c>
      <c r="C3087" s="20">
        <v>45965</v>
      </c>
      <c r="D3087" s="54">
        <v>50272278</v>
      </c>
      <c r="E3087" s="69" t="s">
        <v>21</v>
      </c>
      <c r="G3087" s="68">
        <v>15600</v>
      </c>
      <c r="H3087" s="56" t="s">
        <v>92</v>
      </c>
      <c r="J3087" s="56" t="s">
        <v>2751</v>
      </c>
      <c r="L3087" s="56" t="s">
        <v>262</v>
      </c>
      <c r="M3087" s="4" t="s">
        <v>262</v>
      </c>
      <c r="N3087" s="4"/>
      <c r="O3087" s="4" t="s">
        <v>178</v>
      </c>
    </row>
    <row r="3088" spans="2:15">
      <c r="B3088" s="20">
        <v>45965</v>
      </c>
      <c r="C3088" s="20">
        <v>45965</v>
      </c>
      <c r="D3088" s="54">
        <v>50143876</v>
      </c>
      <c r="E3088" s="55" t="s">
        <v>2752</v>
      </c>
      <c r="G3088" s="68">
        <v>20000</v>
      </c>
      <c r="H3088" s="56" t="s">
        <v>92</v>
      </c>
      <c r="J3088" s="56" t="s">
        <v>2753</v>
      </c>
      <c r="L3088" s="56" t="s">
        <v>2754</v>
      </c>
      <c r="M3088" s="56" t="s">
        <v>2754</v>
      </c>
      <c r="O3088" s="4" t="s">
        <v>178</v>
      </c>
    </row>
    <row r="3089" spans="2:15">
      <c r="B3089" s="20">
        <v>45965</v>
      </c>
      <c r="C3089" s="20">
        <v>45965</v>
      </c>
      <c r="D3089" s="54">
        <v>50756639</v>
      </c>
      <c r="E3089" s="55" t="s">
        <v>2659</v>
      </c>
      <c r="G3089" s="68">
        <v>3000</v>
      </c>
      <c r="H3089" s="56" t="s">
        <v>92</v>
      </c>
      <c r="J3089" s="56" t="s">
        <v>2753</v>
      </c>
      <c r="L3089" s="56" t="s">
        <v>2754</v>
      </c>
      <c r="M3089" s="56" t="s">
        <v>2754</v>
      </c>
      <c r="O3089" s="4" t="s">
        <v>178</v>
      </c>
    </row>
    <row r="3090" spans="2:15">
      <c r="B3090" s="20">
        <v>45965</v>
      </c>
      <c r="C3090" s="20">
        <v>45965</v>
      </c>
      <c r="D3090" s="54">
        <v>50144135</v>
      </c>
      <c r="E3090" s="55" t="s">
        <v>2662</v>
      </c>
      <c r="G3090" s="68">
        <v>5000</v>
      </c>
      <c r="H3090" s="56" t="s">
        <v>92</v>
      </c>
      <c r="J3090" s="56" t="s">
        <v>2753</v>
      </c>
      <c r="L3090" s="56" t="s">
        <v>2754</v>
      </c>
      <c r="M3090" s="56" t="s">
        <v>2754</v>
      </c>
      <c r="O3090" s="4" t="s">
        <v>178</v>
      </c>
    </row>
    <row r="3091" spans="2:15">
      <c r="B3091" s="20">
        <v>45965</v>
      </c>
      <c r="C3091" s="20">
        <v>45965</v>
      </c>
      <c r="D3091" s="54">
        <v>40014900</v>
      </c>
      <c r="E3091" s="55" t="s">
        <v>153</v>
      </c>
      <c r="G3091" s="68">
        <v>114</v>
      </c>
      <c r="H3091" s="56" t="s">
        <v>92</v>
      </c>
      <c r="J3091" s="56" t="s">
        <v>2029</v>
      </c>
      <c r="L3091" s="56" t="s">
        <v>2600</v>
      </c>
      <c r="M3091" s="4" t="s">
        <v>2601</v>
      </c>
      <c r="O3091" s="4" t="s">
        <v>178</v>
      </c>
    </row>
    <row r="3092" spans="2:15">
      <c r="B3092" s="20">
        <v>45965</v>
      </c>
      <c r="C3092" s="20">
        <v>45965</v>
      </c>
      <c r="D3092" s="54">
        <v>40014900</v>
      </c>
      <c r="E3092" s="55" t="s">
        <v>153</v>
      </c>
      <c r="G3092" s="68">
        <v>114</v>
      </c>
      <c r="H3092" s="56" t="s">
        <v>92</v>
      </c>
      <c r="J3092" s="56" t="s">
        <v>2755</v>
      </c>
      <c r="L3092" s="56" t="s">
        <v>2600</v>
      </c>
      <c r="M3092" s="4" t="s">
        <v>2601</v>
      </c>
      <c r="O3092" s="4" t="s">
        <v>178</v>
      </c>
    </row>
    <row r="3093" spans="2:15">
      <c r="B3093" s="20">
        <v>45966</v>
      </c>
      <c r="C3093" s="20">
        <v>45966</v>
      </c>
      <c r="D3093" s="54">
        <v>50272278</v>
      </c>
      <c r="E3093" s="55" t="s">
        <v>21</v>
      </c>
      <c r="G3093" s="68">
        <v>15600</v>
      </c>
      <c r="H3093" s="56" t="s">
        <v>92</v>
      </c>
      <c r="J3093" s="56" t="s">
        <v>2756</v>
      </c>
      <c r="L3093" s="56" t="s">
        <v>262</v>
      </c>
      <c r="M3093" s="4" t="s">
        <v>262</v>
      </c>
      <c r="N3093" s="4"/>
      <c r="O3093" s="4" t="s">
        <v>178</v>
      </c>
    </row>
    <row r="3094" spans="2:15">
      <c r="B3094" s="20">
        <v>45966</v>
      </c>
      <c r="C3094" s="20">
        <v>45966</v>
      </c>
      <c r="D3094" s="54">
        <v>50837284</v>
      </c>
      <c r="E3094" s="69" t="s">
        <v>28</v>
      </c>
      <c r="G3094" s="68">
        <v>2490.9</v>
      </c>
      <c r="H3094" s="56" t="s">
        <v>82</v>
      </c>
      <c r="J3094" s="56" t="s">
        <v>2757</v>
      </c>
      <c r="L3094" s="56" t="s">
        <v>2588</v>
      </c>
      <c r="M3094" s="56" t="s">
        <v>2588</v>
      </c>
      <c r="O3094" s="4" t="s">
        <v>178</v>
      </c>
    </row>
    <row r="3095" spans="2:15">
      <c r="B3095" s="20">
        <v>45966</v>
      </c>
      <c r="C3095" s="20">
        <v>45966</v>
      </c>
      <c r="D3095" s="54">
        <v>50821962</v>
      </c>
      <c r="E3095" s="55" t="s">
        <v>2020</v>
      </c>
      <c r="G3095" s="68">
        <v>3359.3</v>
      </c>
      <c r="H3095" s="56" t="s">
        <v>82</v>
      </c>
      <c r="J3095" s="56" t="s">
        <v>2758</v>
      </c>
      <c r="L3095" s="56" t="s">
        <v>2588</v>
      </c>
      <c r="M3095" s="56" t="s">
        <v>2588</v>
      </c>
      <c r="O3095" s="4" t="s">
        <v>178</v>
      </c>
    </row>
    <row r="3096" spans="2:15">
      <c r="B3096" s="20">
        <v>45966</v>
      </c>
      <c r="C3096" s="20">
        <v>45966</v>
      </c>
      <c r="D3096" s="54">
        <v>40011780</v>
      </c>
      <c r="E3096" s="55" t="s">
        <v>584</v>
      </c>
      <c r="G3096" s="58">
        <v>3580</v>
      </c>
      <c r="H3096" s="56" t="s">
        <v>80</v>
      </c>
      <c r="J3096" s="56">
        <v>32870003051</v>
      </c>
      <c r="L3096" s="56" t="s">
        <v>1031</v>
      </c>
      <c r="M3096" s="4" t="s">
        <v>2004</v>
      </c>
      <c r="O3096" s="4" t="s">
        <v>178</v>
      </c>
    </row>
    <row r="3097" spans="2:15">
      <c r="B3097" s="20">
        <v>45966</v>
      </c>
      <c r="C3097" s="20">
        <v>45966</v>
      </c>
      <c r="D3097" s="54">
        <v>40011659</v>
      </c>
      <c r="E3097" s="55" t="s">
        <v>89</v>
      </c>
      <c r="G3097" s="58">
        <v>4568</v>
      </c>
      <c r="H3097" s="56" t="s">
        <v>80</v>
      </c>
      <c r="J3097" s="56">
        <v>32870003051</v>
      </c>
      <c r="L3097" s="56" t="s">
        <v>1031</v>
      </c>
      <c r="M3097" s="4" t="s">
        <v>2004</v>
      </c>
      <c r="O3097" s="4" t="s">
        <v>178</v>
      </c>
    </row>
    <row r="3098" spans="2:15">
      <c r="B3098" s="20">
        <v>45966</v>
      </c>
      <c r="C3098" s="20">
        <v>45966</v>
      </c>
      <c r="D3098" s="54">
        <v>40014900</v>
      </c>
      <c r="E3098" s="55" t="s">
        <v>153</v>
      </c>
      <c r="G3098" s="68">
        <v>114</v>
      </c>
      <c r="H3098" s="56" t="s">
        <v>80</v>
      </c>
      <c r="J3098" s="56" t="s">
        <v>2759</v>
      </c>
      <c r="L3098" s="56" t="s">
        <v>2600</v>
      </c>
      <c r="M3098" s="4" t="s">
        <v>2601</v>
      </c>
      <c r="O3098" s="4" t="s">
        <v>178</v>
      </c>
    </row>
    <row r="3099" spans="2:15">
      <c r="B3099" s="20">
        <v>45966</v>
      </c>
      <c r="C3099" s="20">
        <v>45966</v>
      </c>
      <c r="D3099" s="54">
        <v>40014900</v>
      </c>
      <c r="E3099" s="55" t="s">
        <v>153</v>
      </c>
      <c r="G3099" s="68">
        <v>114</v>
      </c>
      <c r="H3099" s="56" t="s">
        <v>80</v>
      </c>
      <c r="J3099" s="56" t="s">
        <v>2760</v>
      </c>
      <c r="L3099" s="56" t="s">
        <v>2600</v>
      </c>
      <c r="M3099" s="4" t="s">
        <v>2601</v>
      </c>
      <c r="O3099" s="4" t="s">
        <v>178</v>
      </c>
    </row>
    <row r="3100" spans="2:15">
      <c r="B3100" s="20">
        <v>45967</v>
      </c>
      <c r="C3100" s="20">
        <v>45967</v>
      </c>
      <c r="D3100" s="54">
        <v>50272278</v>
      </c>
      <c r="E3100" s="69" t="s">
        <v>21</v>
      </c>
      <c r="G3100" s="68">
        <v>15600</v>
      </c>
      <c r="H3100" s="56" t="s">
        <v>92</v>
      </c>
      <c r="J3100" s="56" t="s">
        <v>2761</v>
      </c>
      <c r="L3100" s="56" t="s">
        <v>262</v>
      </c>
      <c r="M3100" s="4" t="s">
        <v>262</v>
      </c>
      <c r="N3100" s="4"/>
      <c r="O3100" s="4" t="s">
        <v>178</v>
      </c>
    </row>
    <row r="3101" spans="2:15">
      <c r="B3101" s="20">
        <v>45968</v>
      </c>
      <c r="C3101" s="20">
        <v>45968</v>
      </c>
      <c r="D3101" s="54">
        <v>50851663</v>
      </c>
      <c r="E3101" s="55" t="s">
        <v>2526</v>
      </c>
      <c r="G3101" s="68">
        <v>3650</v>
      </c>
      <c r="H3101" s="56" t="s">
        <v>80</v>
      </c>
      <c r="J3101" s="56" t="s">
        <v>2762</v>
      </c>
      <c r="L3101" s="56" t="s">
        <v>1031</v>
      </c>
      <c r="M3101" s="4" t="s">
        <v>2004</v>
      </c>
      <c r="O3101" s="4" t="s">
        <v>178</v>
      </c>
    </row>
    <row r="3102" spans="2:15">
      <c r="B3102" s="20">
        <v>45968</v>
      </c>
      <c r="C3102" s="20">
        <v>45968</v>
      </c>
      <c r="D3102" s="54">
        <v>40011149</v>
      </c>
      <c r="E3102" s="55" t="s">
        <v>37</v>
      </c>
      <c r="G3102" s="68">
        <v>3960</v>
      </c>
      <c r="H3102" s="56" t="s">
        <v>80</v>
      </c>
      <c r="J3102" s="56" t="s">
        <v>2762</v>
      </c>
      <c r="L3102" s="56" t="s">
        <v>1031</v>
      </c>
      <c r="M3102" s="4" t="s">
        <v>2004</v>
      </c>
      <c r="O3102" s="4" t="s">
        <v>178</v>
      </c>
    </row>
    <row r="3103" spans="2:15">
      <c r="B3103" s="20">
        <v>45968</v>
      </c>
      <c r="C3103" s="20">
        <v>45968</v>
      </c>
      <c r="D3103" s="54" t="s">
        <v>38</v>
      </c>
      <c r="E3103" s="55" t="s">
        <v>39</v>
      </c>
      <c r="G3103" s="68">
        <v>9000</v>
      </c>
      <c r="H3103" s="56" t="s">
        <v>80</v>
      </c>
      <c r="J3103" s="56">
        <v>1016042055</v>
      </c>
      <c r="L3103" s="56" t="s">
        <v>175</v>
      </c>
      <c r="M3103" s="4" t="s">
        <v>175</v>
      </c>
      <c r="O3103" s="4" t="s">
        <v>178</v>
      </c>
    </row>
    <row r="3104" spans="2:15">
      <c r="B3104" s="20">
        <v>45968</v>
      </c>
      <c r="C3104" s="20">
        <v>45968</v>
      </c>
      <c r="D3104" s="54">
        <v>50819323</v>
      </c>
      <c r="E3104" s="55" t="s">
        <v>40</v>
      </c>
      <c r="G3104" s="58">
        <v>268.2</v>
      </c>
      <c r="H3104" s="56" t="s">
        <v>80</v>
      </c>
      <c r="J3104" s="56" t="s">
        <v>2763</v>
      </c>
      <c r="L3104" s="56" t="s">
        <v>1530</v>
      </c>
      <c r="M3104" s="4" t="s">
        <v>2004</v>
      </c>
      <c r="O3104" s="4" t="s">
        <v>178</v>
      </c>
    </row>
    <row r="3105" spans="2:15">
      <c r="B3105" s="20">
        <v>45968</v>
      </c>
      <c r="C3105" s="20">
        <v>45968</v>
      </c>
      <c r="D3105" s="54">
        <v>50515034</v>
      </c>
      <c r="E3105" s="55" t="s">
        <v>41</v>
      </c>
      <c r="G3105" s="58">
        <v>342</v>
      </c>
      <c r="H3105" s="56" t="s">
        <v>80</v>
      </c>
      <c r="J3105" s="56" t="s">
        <v>2763</v>
      </c>
      <c r="L3105" s="56" t="s">
        <v>1530</v>
      </c>
      <c r="M3105" s="4" t="s">
        <v>2004</v>
      </c>
      <c r="O3105" s="4" t="s">
        <v>178</v>
      </c>
    </row>
    <row r="3106" spans="2:15">
      <c r="B3106" s="20">
        <v>45968</v>
      </c>
      <c r="C3106" s="20">
        <v>45968</v>
      </c>
      <c r="D3106" s="54">
        <v>50802401</v>
      </c>
      <c r="E3106" s="55" t="s">
        <v>13</v>
      </c>
      <c r="G3106" s="68">
        <v>9273600</v>
      </c>
      <c r="H3106" s="56" t="s">
        <v>962</v>
      </c>
      <c r="J3106" s="56" t="s">
        <v>2764</v>
      </c>
      <c r="L3106" s="56" t="s">
        <v>789</v>
      </c>
      <c r="M3106" s="4" t="s">
        <v>2004</v>
      </c>
      <c r="O3106" s="4" t="s">
        <v>178</v>
      </c>
    </row>
    <row r="3107" spans="2:15">
      <c r="B3107" s="20">
        <v>45971</v>
      </c>
      <c r="C3107" s="20">
        <v>45971</v>
      </c>
      <c r="D3107" s="54">
        <v>50272278</v>
      </c>
      <c r="E3107" s="69" t="s">
        <v>21</v>
      </c>
      <c r="G3107" s="68">
        <v>15600</v>
      </c>
      <c r="H3107" s="56" t="s">
        <v>962</v>
      </c>
      <c r="J3107" s="56" t="s">
        <v>2765</v>
      </c>
      <c r="L3107" s="56" t="s">
        <v>262</v>
      </c>
      <c r="M3107" s="4" t="s">
        <v>262</v>
      </c>
      <c r="N3107" s="4"/>
      <c r="O3107" s="4" t="s">
        <v>178</v>
      </c>
    </row>
    <row r="3108" spans="2:15">
      <c r="B3108" s="20">
        <v>45971</v>
      </c>
      <c r="C3108" s="20">
        <v>45971</v>
      </c>
      <c r="D3108" s="54">
        <v>50470190</v>
      </c>
      <c r="E3108" s="66" t="s">
        <v>12</v>
      </c>
      <c r="G3108" s="68">
        <v>9273600</v>
      </c>
      <c r="H3108" s="56" t="s">
        <v>962</v>
      </c>
      <c r="J3108" s="56" t="s">
        <v>2766</v>
      </c>
      <c r="L3108" s="56" t="s">
        <v>2337</v>
      </c>
      <c r="M3108" s="4" t="s">
        <v>2693</v>
      </c>
      <c r="O3108" s="4" t="s">
        <v>178</v>
      </c>
    </row>
    <row r="3109" spans="2:15">
      <c r="B3109" s="20">
        <v>45972</v>
      </c>
      <c r="C3109" s="138">
        <v>45972</v>
      </c>
      <c r="D3109" s="54">
        <v>50804970</v>
      </c>
      <c r="E3109" s="55" t="s">
        <v>857</v>
      </c>
      <c r="G3109" s="139">
        <v>6760000</v>
      </c>
      <c r="H3109" s="56" t="s">
        <v>962</v>
      </c>
      <c r="J3109" s="56" t="s">
        <v>2767</v>
      </c>
      <c r="L3109" s="56" t="s">
        <v>1621</v>
      </c>
      <c r="M3109" s="4" t="s">
        <v>2004</v>
      </c>
      <c r="O3109" s="4" t="s">
        <v>1945</v>
      </c>
    </row>
    <row r="3110" spans="2:15">
      <c r="B3110" s="20">
        <v>45972</v>
      </c>
      <c r="C3110" s="138">
        <v>45972</v>
      </c>
      <c r="D3110" s="54">
        <v>50804971</v>
      </c>
      <c r="E3110" s="55" t="s">
        <v>855</v>
      </c>
      <c r="G3110" s="139">
        <v>6435000</v>
      </c>
      <c r="H3110" s="56" t="s">
        <v>962</v>
      </c>
      <c r="J3110" s="56" t="s">
        <v>2767</v>
      </c>
      <c r="L3110" s="56" t="s">
        <v>1621</v>
      </c>
      <c r="M3110" s="4" t="s">
        <v>2004</v>
      </c>
      <c r="O3110" s="4" t="s">
        <v>1945</v>
      </c>
    </row>
    <row r="3111" spans="2:15">
      <c r="B3111" s="20">
        <v>45972</v>
      </c>
      <c r="C3111" s="20">
        <v>45972</v>
      </c>
      <c r="D3111" s="54">
        <v>50272278</v>
      </c>
      <c r="E3111" s="69" t="s">
        <v>21</v>
      </c>
      <c r="G3111" s="68">
        <v>15600</v>
      </c>
      <c r="H3111" s="56" t="s">
        <v>962</v>
      </c>
      <c r="J3111" s="56" t="s">
        <v>2768</v>
      </c>
      <c r="L3111" s="56" t="s">
        <v>262</v>
      </c>
      <c r="M3111" s="4" t="s">
        <v>262</v>
      </c>
      <c r="N3111" s="4"/>
      <c r="O3111" s="4" t="s">
        <v>178</v>
      </c>
    </row>
    <row r="3112" spans="2:15">
      <c r="B3112" s="20">
        <v>45973</v>
      </c>
      <c r="C3112" s="20">
        <v>45973</v>
      </c>
      <c r="D3112" s="54">
        <v>50799770</v>
      </c>
      <c r="E3112" s="55" t="s">
        <v>17</v>
      </c>
      <c r="G3112" s="68">
        <v>15600</v>
      </c>
      <c r="H3112" s="56" t="s">
        <v>962</v>
      </c>
      <c r="J3112" s="56" t="s">
        <v>2769</v>
      </c>
      <c r="L3112" s="56" t="s">
        <v>262</v>
      </c>
      <c r="M3112" s="4" t="s">
        <v>262</v>
      </c>
      <c r="N3112" s="4"/>
      <c r="O3112" s="4" t="s">
        <v>178</v>
      </c>
    </row>
    <row r="3113" spans="2:15">
      <c r="B3113" s="20">
        <v>45973</v>
      </c>
      <c r="C3113" s="20">
        <v>45973</v>
      </c>
      <c r="D3113" s="54">
        <v>50397884</v>
      </c>
      <c r="E3113" s="55" t="s">
        <v>1296</v>
      </c>
      <c r="G3113" s="68">
        <v>1620</v>
      </c>
      <c r="H3113" s="56" t="s">
        <v>1248</v>
      </c>
      <c r="J3113" s="56">
        <v>12502378</v>
      </c>
      <c r="L3113" s="56" t="s">
        <v>2320</v>
      </c>
      <c r="M3113" s="4" t="s">
        <v>392</v>
      </c>
      <c r="O3113" s="4" t="s">
        <v>178</v>
      </c>
    </row>
    <row r="3114" spans="2:15">
      <c r="B3114" s="20">
        <v>45973</v>
      </c>
      <c r="C3114" s="140">
        <v>45973</v>
      </c>
      <c r="D3114" s="54">
        <v>50804929</v>
      </c>
      <c r="E3114" s="55" t="s">
        <v>856</v>
      </c>
      <c r="G3114" s="139">
        <v>6745000</v>
      </c>
      <c r="H3114" s="56" t="s">
        <v>962</v>
      </c>
      <c r="J3114" s="56" t="s">
        <v>2770</v>
      </c>
      <c r="L3114" s="56" t="s">
        <v>1621</v>
      </c>
      <c r="M3114" s="4" t="s">
        <v>2004</v>
      </c>
      <c r="O3114" s="4" t="s">
        <v>1945</v>
      </c>
    </row>
    <row r="3115" spans="2:15">
      <c r="B3115" s="20">
        <v>45973</v>
      </c>
      <c r="C3115" s="20">
        <v>45973</v>
      </c>
      <c r="D3115" s="54">
        <v>50144376</v>
      </c>
      <c r="E3115" s="55" t="s">
        <v>19</v>
      </c>
      <c r="G3115" s="68">
        <v>15600</v>
      </c>
      <c r="H3115" s="56" t="s">
        <v>962</v>
      </c>
      <c r="J3115" s="56" t="s">
        <v>2771</v>
      </c>
      <c r="L3115" s="56" t="s">
        <v>262</v>
      </c>
      <c r="M3115" s="4" t="s">
        <v>262</v>
      </c>
      <c r="N3115" s="4"/>
      <c r="O3115" s="4" t="s">
        <v>178</v>
      </c>
    </row>
    <row r="3116" spans="2:15">
      <c r="B3116" s="20">
        <v>45974</v>
      </c>
      <c r="C3116" s="20">
        <v>45974</v>
      </c>
      <c r="D3116" s="54">
        <v>50142055</v>
      </c>
      <c r="E3116" s="55" t="s">
        <v>206</v>
      </c>
      <c r="G3116" s="68">
        <v>12000</v>
      </c>
      <c r="H3116" s="56" t="s">
        <v>987</v>
      </c>
      <c r="J3116" s="56">
        <v>414999420</v>
      </c>
      <c r="L3116" s="56" t="s">
        <v>208</v>
      </c>
      <c r="M3116" s="4" t="s">
        <v>2004</v>
      </c>
      <c r="O3116" s="4" t="s">
        <v>1945</v>
      </c>
    </row>
    <row r="3117" spans="2:15">
      <c r="B3117" s="20">
        <v>45975</v>
      </c>
      <c r="C3117" s="20">
        <v>45975</v>
      </c>
      <c r="D3117" s="54">
        <v>40014676</v>
      </c>
      <c r="E3117" s="55" t="s">
        <v>1435</v>
      </c>
      <c r="G3117" s="68">
        <v>34272</v>
      </c>
      <c r="H3117" s="56" t="s">
        <v>962</v>
      </c>
      <c r="J3117" s="56" t="s">
        <v>2772</v>
      </c>
      <c r="L3117" s="56" t="s">
        <v>1791</v>
      </c>
      <c r="M3117" s="4" t="s">
        <v>392</v>
      </c>
      <c r="O3117" s="4" t="s">
        <v>178</v>
      </c>
    </row>
    <row r="3118" spans="2:15">
      <c r="B3118" s="20">
        <v>45975</v>
      </c>
      <c r="C3118" s="20">
        <v>45975</v>
      </c>
      <c r="D3118" s="54">
        <v>40014676</v>
      </c>
      <c r="E3118" s="55" t="s">
        <v>1435</v>
      </c>
      <c r="G3118" s="68">
        <v>34272</v>
      </c>
      <c r="H3118" s="56" t="s">
        <v>962</v>
      </c>
      <c r="J3118" s="56" t="s">
        <v>2773</v>
      </c>
      <c r="L3118" s="56" t="s">
        <v>1791</v>
      </c>
      <c r="M3118" s="4" t="s">
        <v>392</v>
      </c>
      <c r="O3118" s="4" t="s">
        <v>178</v>
      </c>
    </row>
    <row r="3119" spans="2:15">
      <c r="B3119" s="20">
        <v>45975</v>
      </c>
      <c r="C3119" s="20">
        <v>45975</v>
      </c>
      <c r="D3119" s="59">
        <v>50272278</v>
      </c>
      <c r="E3119" s="55" t="s">
        <v>21</v>
      </c>
      <c r="G3119" s="68">
        <v>15600</v>
      </c>
      <c r="H3119" s="56" t="s">
        <v>92</v>
      </c>
      <c r="J3119" s="56" t="s">
        <v>2774</v>
      </c>
      <c r="L3119" s="56" t="s">
        <v>262</v>
      </c>
      <c r="M3119" s="4" t="s">
        <v>262</v>
      </c>
      <c r="N3119" s="4"/>
      <c r="O3119" s="4" t="s">
        <v>178</v>
      </c>
    </row>
    <row r="3120" spans="2:15">
      <c r="B3120" s="20">
        <v>45978</v>
      </c>
      <c r="C3120" s="20">
        <v>45978</v>
      </c>
      <c r="D3120" s="59">
        <v>50142328</v>
      </c>
      <c r="E3120" s="55" t="s">
        <v>1591</v>
      </c>
      <c r="G3120" s="58">
        <v>4000</v>
      </c>
      <c r="H3120" s="56" t="s">
        <v>82</v>
      </c>
      <c r="J3120" s="56" t="s">
        <v>2775</v>
      </c>
      <c r="L3120" s="56" t="s">
        <v>838</v>
      </c>
      <c r="M3120" s="56" t="s">
        <v>838</v>
      </c>
      <c r="O3120" s="4" t="s">
        <v>178</v>
      </c>
    </row>
    <row r="3121" spans="2:15">
      <c r="B3121" s="20">
        <v>45978</v>
      </c>
      <c r="C3121" s="20">
        <v>45978</v>
      </c>
      <c r="D3121" s="59">
        <v>50837265</v>
      </c>
      <c r="E3121" s="55" t="s">
        <v>25</v>
      </c>
      <c r="G3121" s="58">
        <v>972</v>
      </c>
      <c r="H3121" s="56" t="s">
        <v>82</v>
      </c>
      <c r="J3121" s="56" t="s">
        <v>2775</v>
      </c>
      <c r="L3121" s="56" t="s">
        <v>838</v>
      </c>
      <c r="M3121" s="56" t="s">
        <v>838</v>
      </c>
      <c r="O3121" s="4" t="s">
        <v>178</v>
      </c>
    </row>
    <row r="3122" spans="2:15">
      <c r="B3122" s="20">
        <v>45978</v>
      </c>
      <c r="C3122" s="20">
        <v>45978</v>
      </c>
      <c r="D3122" s="59">
        <v>50145028</v>
      </c>
      <c r="E3122" s="55" t="s">
        <v>23</v>
      </c>
      <c r="G3122" s="65">
        <v>2073.85</v>
      </c>
      <c r="H3122" s="56" t="s">
        <v>92</v>
      </c>
      <c r="J3122" s="56" t="s">
        <v>2775</v>
      </c>
      <c r="L3122" s="56" t="s">
        <v>838</v>
      </c>
      <c r="M3122" s="56" t="s">
        <v>838</v>
      </c>
      <c r="O3122" s="4" t="s">
        <v>178</v>
      </c>
    </row>
    <row r="3123" spans="2:15">
      <c r="B3123" s="20">
        <v>45978</v>
      </c>
      <c r="C3123" s="20">
        <v>45978</v>
      </c>
      <c r="D3123" s="59">
        <v>50799770</v>
      </c>
      <c r="E3123" s="55" t="s">
        <v>17</v>
      </c>
      <c r="G3123" s="65">
        <v>1500</v>
      </c>
      <c r="H3123" s="56" t="s">
        <v>92</v>
      </c>
      <c r="J3123" s="56" t="s">
        <v>2775</v>
      </c>
      <c r="L3123" s="56" t="s">
        <v>838</v>
      </c>
      <c r="M3123" s="56" t="s">
        <v>838</v>
      </c>
      <c r="O3123" s="4" t="s">
        <v>178</v>
      </c>
    </row>
    <row r="3124" spans="2:15">
      <c r="B3124" s="20">
        <v>45978</v>
      </c>
      <c r="C3124" s="20">
        <v>45978</v>
      </c>
      <c r="D3124" s="59">
        <v>50397884</v>
      </c>
      <c r="E3124" s="55" t="s">
        <v>1296</v>
      </c>
      <c r="G3124" s="58">
        <v>720</v>
      </c>
      <c r="H3124" s="56" t="s">
        <v>80</v>
      </c>
      <c r="J3124" s="56" t="s">
        <v>2775</v>
      </c>
      <c r="L3124" s="56" t="s">
        <v>838</v>
      </c>
      <c r="M3124" s="56" t="s">
        <v>838</v>
      </c>
      <c r="O3124" s="4" t="s">
        <v>178</v>
      </c>
    </row>
    <row r="3125" spans="2:15">
      <c r="B3125" s="20">
        <v>45978</v>
      </c>
      <c r="C3125" s="20">
        <v>45978</v>
      </c>
      <c r="D3125" s="59">
        <v>40010087</v>
      </c>
      <c r="E3125" s="55" t="s">
        <v>387</v>
      </c>
      <c r="G3125" s="68">
        <v>843</v>
      </c>
      <c r="H3125" s="56" t="s">
        <v>1248</v>
      </c>
      <c r="J3125" s="56" t="s">
        <v>2775</v>
      </c>
      <c r="L3125" s="56" t="s">
        <v>838</v>
      </c>
      <c r="M3125" s="56" t="s">
        <v>838</v>
      </c>
      <c r="O3125" s="4" t="s">
        <v>178</v>
      </c>
    </row>
    <row r="3126" spans="2:15">
      <c r="B3126" s="20">
        <v>45979</v>
      </c>
      <c r="C3126" s="20">
        <v>45979</v>
      </c>
      <c r="D3126" s="54">
        <v>40014676</v>
      </c>
      <c r="E3126" s="55" t="s">
        <v>1435</v>
      </c>
      <c r="G3126" s="68">
        <v>34272</v>
      </c>
      <c r="H3126" s="56" t="s">
        <v>962</v>
      </c>
      <c r="J3126" s="56" t="s">
        <v>2776</v>
      </c>
      <c r="L3126" s="56" t="s">
        <v>1791</v>
      </c>
      <c r="M3126" s="4" t="s">
        <v>392</v>
      </c>
      <c r="O3126" s="4" t="s">
        <v>178</v>
      </c>
    </row>
    <row r="3127" spans="2:15">
      <c r="B3127" s="20">
        <v>45979</v>
      </c>
      <c r="C3127" s="20">
        <v>45979</v>
      </c>
      <c r="D3127" s="54">
        <v>40014676</v>
      </c>
      <c r="E3127" s="55" t="s">
        <v>1435</v>
      </c>
      <c r="G3127" s="68">
        <v>34272</v>
      </c>
      <c r="H3127" s="56" t="s">
        <v>962</v>
      </c>
      <c r="J3127" s="56" t="s">
        <v>2776</v>
      </c>
      <c r="L3127" s="56" t="s">
        <v>1791</v>
      </c>
      <c r="M3127" s="4" t="s">
        <v>392</v>
      </c>
      <c r="O3127" s="4" t="s">
        <v>178</v>
      </c>
    </row>
    <row r="3128" spans="2:15">
      <c r="B3128" s="20">
        <v>45979</v>
      </c>
      <c r="C3128" s="20">
        <v>45979</v>
      </c>
      <c r="D3128" s="54">
        <v>50272278</v>
      </c>
      <c r="E3128" s="69" t="s">
        <v>21</v>
      </c>
      <c r="G3128" s="68">
        <v>15600</v>
      </c>
      <c r="H3128" s="56" t="s">
        <v>962</v>
      </c>
      <c r="J3128" s="56" t="s">
        <v>2777</v>
      </c>
      <c r="L3128" s="56" t="s">
        <v>262</v>
      </c>
      <c r="M3128" s="4" t="s">
        <v>262</v>
      </c>
      <c r="N3128" s="4"/>
      <c r="O3128" s="4" t="s">
        <v>178</v>
      </c>
    </row>
    <row r="3129" spans="2:15">
      <c r="B3129" s="20">
        <v>45979</v>
      </c>
      <c r="C3129" s="20">
        <v>45979</v>
      </c>
      <c r="D3129" s="54">
        <v>40011149</v>
      </c>
      <c r="E3129" s="55" t="s">
        <v>37</v>
      </c>
      <c r="G3129" s="68">
        <v>8760</v>
      </c>
      <c r="H3129" s="56" t="s">
        <v>1248</v>
      </c>
      <c r="J3129" s="56" t="s">
        <v>2778</v>
      </c>
      <c r="L3129" s="56" t="s">
        <v>2312</v>
      </c>
      <c r="M3129" s="4" t="s">
        <v>2004</v>
      </c>
      <c r="O3129" s="4" t="s">
        <v>1945</v>
      </c>
    </row>
    <row r="3130" spans="2:15">
      <c r="B3130" s="20">
        <v>45980</v>
      </c>
      <c r="C3130" s="20">
        <v>45980</v>
      </c>
      <c r="D3130" s="54">
        <v>50144376</v>
      </c>
      <c r="E3130" s="55" t="s">
        <v>19</v>
      </c>
      <c r="G3130" s="68">
        <v>15600</v>
      </c>
      <c r="H3130" s="56" t="s">
        <v>962</v>
      </c>
      <c r="J3130" s="56" t="s">
        <v>2779</v>
      </c>
      <c r="L3130" s="56" t="s">
        <v>262</v>
      </c>
      <c r="M3130" s="4" t="s">
        <v>262</v>
      </c>
      <c r="N3130" s="4"/>
      <c r="O3130" s="4" t="s">
        <v>178</v>
      </c>
    </row>
    <row r="3131" spans="2:15">
      <c r="B3131" s="20">
        <v>45980</v>
      </c>
      <c r="C3131" s="20">
        <v>45980</v>
      </c>
      <c r="D3131" s="54">
        <v>50141533</v>
      </c>
      <c r="E3131" s="55" t="s">
        <v>494</v>
      </c>
      <c r="G3131" s="68">
        <v>8000</v>
      </c>
      <c r="H3131" s="56" t="s">
        <v>987</v>
      </c>
      <c r="J3131" s="56" t="s">
        <v>2780</v>
      </c>
      <c r="L3131" s="56" t="s">
        <v>2470</v>
      </c>
      <c r="O3131" s="4" t="s">
        <v>178</v>
      </c>
    </row>
    <row r="3132" spans="2:15">
      <c r="B3132" s="20">
        <v>45981</v>
      </c>
      <c r="C3132" s="20">
        <v>45981</v>
      </c>
      <c r="D3132" s="54">
        <v>50449101</v>
      </c>
      <c r="E3132" s="55" t="s">
        <v>15</v>
      </c>
      <c r="G3132" s="68">
        <v>9273600</v>
      </c>
      <c r="H3132" s="56" t="s">
        <v>962</v>
      </c>
      <c r="J3132" s="56" t="s">
        <v>2781</v>
      </c>
      <c r="L3132" s="56" t="s">
        <v>1158</v>
      </c>
      <c r="O3132" s="4" t="s">
        <v>178</v>
      </c>
    </row>
    <row r="3133" spans="2:15">
      <c r="B3133" s="20">
        <v>45981</v>
      </c>
      <c r="C3133" s="20">
        <v>45981</v>
      </c>
      <c r="D3133" s="54">
        <v>40014675</v>
      </c>
      <c r="E3133" s="55" t="s">
        <v>44</v>
      </c>
      <c r="G3133" s="68">
        <v>114</v>
      </c>
      <c r="H3133" s="56" t="s">
        <v>80</v>
      </c>
      <c r="J3133" s="56" t="s">
        <v>2782</v>
      </c>
      <c r="L3133" s="56" t="s">
        <v>2600</v>
      </c>
      <c r="M3133" s="4" t="s">
        <v>2601</v>
      </c>
      <c r="O3133" s="4" t="s">
        <v>178</v>
      </c>
    </row>
    <row r="3134" spans="2:15">
      <c r="B3134" s="20">
        <v>45981</v>
      </c>
      <c r="C3134" s="20">
        <v>45981</v>
      </c>
      <c r="D3134" s="54">
        <v>40014675</v>
      </c>
      <c r="E3134" s="55" t="s">
        <v>44</v>
      </c>
      <c r="G3134" s="68">
        <v>114</v>
      </c>
      <c r="H3134" s="56" t="s">
        <v>80</v>
      </c>
      <c r="J3134" s="56" t="s">
        <v>2783</v>
      </c>
      <c r="L3134" s="56" t="s">
        <v>2600</v>
      </c>
      <c r="M3134" s="4" t="s">
        <v>2601</v>
      </c>
      <c r="O3134" s="4" t="s">
        <v>178</v>
      </c>
    </row>
    <row r="3135" spans="2:15">
      <c r="B3135" s="20">
        <v>45981</v>
      </c>
      <c r="C3135" s="20">
        <v>45981</v>
      </c>
      <c r="D3135" s="54">
        <v>50837268</v>
      </c>
      <c r="E3135" s="55" t="s">
        <v>2401</v>
      </c>
      <c r="G3135" s="68">
        <v>4042.9</v>
      </c>
      <c r="H3135" s="56" t="s">
        <v>82</v>
      </c>
      <c r="J3135" s="56" t="s">
        <v>1290</v>
      </c>
      <c r="L3135" s="56" t="s">
        <v>2588</v>
      </c>
      <c r="M3135" s="56" t="s">
        <v>2588</v>
      </c>
      <c r="O3135" s="4" t="s">
        <v>178</v>
      </c>
    </row>
    <row r="3136" spans="2:15">
      <c r="B3136" s="20">
        <v>45981</v>
      </c>
      <c r="C3136" s="20">
        <v>45981</v>
      </c>
      <c r="D3136" s="54">
        <v>50272278</v>
      </c>
      <c r="E3136" s="69" t="s">
        <v>21</v>
      </c>
      <c r="G3136" s="68">
        <v>15600</v>
      </c>
      <c r="H3136" s="56" t="s">
        <v>962</v>
      </c>
      <c r="J3136" s="56" t="s">
        <v>2784</v>
      </c>
      <c r="L3136" s="56" t="s">
        <v>262</v>
      </c>
      <c r="M3136" s="4" t="s">
        <v>262</v>
      </c>
      <c r="N3136" s="4"/>
      <c r="O3136" s="4" t="s">
        <v>178</v>
      </c>
    </row>
    <row r="3137" spans="2:15">
      <c r="B3137" s="20">
        <v>45981</v>
      </c>
      <c r="C3137" s="20">
        <v>45981</v>
      </c>
      <c r="D3137" s="54">
        <v>40014675</v>
      </c>
      <c r="E3137" s="55" t="s">
        <v>44</v>
      </c>
      <c r="G3137" s="68">
        <v>114</v>
      </c>
      <c r="H3137" s="56" t="s">
        <v>80</v>
      </c>
      <c r="J3137" s="56" t="s">
        <v>2785</v>
      </c>
      <c r="L3137" s="56" t="s">
        <v>2600</v>
      </c>
      <c r="M3137" s="4" t="s">
        <v>2601</v>
      </c>
      <c r="O3137" s="4" t="s">
        <v>178</v>
      </c>
    </row>
    <row r="3138" spans="2:15">
      <c r="B3138" s="20">
        <v>45981</v>
      </c>
      <c r="C3138" s="20">
        <v>45981</v>
      </c>
      <c r="D3138" s="54">
        <v>40014675</v>
      </c>
      <c r="E3138" s="55" t="s">
        <v>44</v>
      </c>
      <c r="G3138" s="68">
        <v>114</v>
      </c>
      <c r="H3138" s="56" t="s">
        <v>80</v>
      </c>
      <c r="J3138" s="56" t="s">
        <v>2786</v>
      </c>
      <c r="L3138" s="56" t="s">
        <v>2600</v>
      </c>
      <c r="M3138" s="4" t="s">
        <v>2601</v>
      </c>
      <c r="O3138" s="4" t="s">
        <v>178</v>
      </c>
    </row>
    <row r="3139" spans="2:15">
      <c r="B3139" s="20">
        <v>45982</v>
      </c>
      <c r="C3139" s="20">
        <v>45982</v>
      </c>
      <c r="D3139" s="54">
        <v>50142327</v>
      </c>
      <c r="E3139" s="69" t="s">
        <v>256</v>
      </c>
      <c r="G3139" s="58">
        <f>42*476.7</f>
        <v>20021.4</v>
      </c>
      <c r="H3139" s="56" t="s">
        <v>82</v>
      </c>
      <c r="J3139" s="56">
        <v>1000469970</v>
      </c>
      <c r="L3139" s="56" t="s">
        <v>2787</v>
      </c>
    </row>
    <row r="3140" spans="2:15">
      <c r="B3140" s="20">
        <v>45982</v>
      </c>
      <c r="C3140" s="20">
        <v>45982</v>
      </c>
      <c r="D3140" s="54">
        <v>50142334</v>
      </c>
      <c r="E3140" s="69" t="s">
        <v>257</v>
      </c>
      <c r="G3140" s="58">
        <f>42*476.7</f>
        <v>20021.4</v>
      </c>
      <c r="H3140" s="56" t="s">
        <v>82</v>
      </c>
      <c r="J3140" s="56">
        <v>1000469968</v>
      </c>
      <c r="L3140" s="56" t="s">
        <v>2787</v>
      </c>
      <c r="O3140" s="4" t="s">
        <v>178</v>
      </c>
    </row>
    <row r="3141" spans="2:15">
      <c r="B3141" s="20">
        <v>45982</v>
      </c>
      <c r="C3141" s="20">
        <v>45982</v>
      </c>
      <c r="D3141" s="54">
        <v>40014676</v>
      </c>
      <c r="E3141" s="55" t="s">
        <v>1435</v>
      </c>
      <c r="G3141" s="68">
        <v>18564</v>
      </c>
      <c r="H3141" s="56" t="s">
        <v>1248</v>
      </c>
      <c r="J3141" s="56" t="s">
        <v>2788</v>
      </c>
      <c r="L3141" s="56" t="s">
        <v>1791</v>
      </c>
      <c r="M3141" s="4" t="s">
        <v>392</v>
      </c>
      <c r="O3141" s="4" t="s">
        <v>178</v>
      </c>
    </row>
    <row r="3142" spans="2:15">
      <c r="B3142" s="20">
        <v>45982</v>
      </c>
      <c r="C3142" s="20">
        <v>45982</v>
      </c>
      <c r="D3142" s="54">
        <v>40014675</v>
      </c>
      <c r="E3142" s="55" t="s">
        <v>44</v>
      </c>
      <c r="G3142" s="68">
        <f>41800/1000</f>
        <v>41.8</v>
      </c>
      <c r="H3142" s="56" t="s">
        <v>80</v>
      </c>
      <c r="J3142" s="56" t="s">
        <v>2789</v>
      </c>
      <c r="L3142" s="56" t="s">
        <v>2600</v>
      </c>
      <c r="M3142" s="4" t="s">
        <v>2601</v>
      </c>
      <c r="O3142" s="4" t="s">
        <v>178</v>
      </c>
    </row>
    <row r="3143" spans="2:15">
      <c r="B3143" s="20">
        <v>45982</v>
      </c>
      <c r="C3143" s="20">
        <v>45982</v>
      </c>
      <c r="D3143" s="54">
        <v>50142330</v>
      </c>
      <c r="E3143" s="55" t="s">
        <v>195</v>
      </c>
      <c r="G3143" s="68">
        <v>2400</v>
      </c>
      <c r="H3143" s="56" t="s">
        <v>82</v>
      </c>
      <c r="J3143" s="56" t="s">
        <v>2790</v>
      </c>
      <c r="L3143" s="56" t="s">
        <v>2217</v>
      </c>
      <c r="M3143" s="4" t="s">
        <v>392</v>
      </c>
      <c r="O3143" s="4" t="s">
        <v>178</v>
      </c>
    </row>
    <row r="3144" spans="2:15">
      <c r="B3144" s="20">
        <v>45982</v>
      </c>
      <c r="C3144" s="20">
        <v>45982</v>
      </c>
      <c r="D3144" s="54">
        <v>50470190</v>
      </c>
      <c r="E3144" s="66" t="s">
        <v>12</v>
      </c>
      <c r="G3144" s="68">
        <v>9273600</v>
      </c>
      <c r="H3144" s="56" t="s">
        <v>962</v>
      </c>
      <c r="J3144" s="56" t="s">
        <v>2791</v>
      </c>
      <c r="L3144" s="56" t="s">
        <v>1158</v>
      </c>
      <c r="M3144" s="4" t="s">
        <v>2396</v>
      </c>
      <c r="O3144" s="4" t="s">
        <v>178</v>
      </c>
    </row>
    <row r="3145" spans="2:15">
      <c r="B3145" s="20">
        <v>45982</v>
      </c>
      <c r="C3145" s="20">
        <v>45982</v>
      </c>
      <c r="D3145" s="54">
        <v>50144376</v>
      </c>
      <c r="E3145" s="55" t="s">
        <v>19</v>
      </c>
      <c r="G3145" s="68">
        <v>15600</v>
      </c>
      <c r="H3145" s="56" t="s">
        <v>962</v>
      </c>
      <c r="J3145" s="56" t="s">
        <v>2792</v>
      </c>
      <c r="L3145" s="56" t="s">
        <v>262</v>
      </c>
      <c r="M3145" s="4" t="s">
        <v>262</v>
      </c>
      <c r="N3145" s="4"/>
      <c r="O3145" s="4" t="s">
        <v>178</v>
      </c>
    </row>
    <row r="3146" spans="2:15">
      <c r="B3146" s="20">
        <v>45983</v>
      </c>
      <c r="C3146" s="20">
        <v>45982</v>
      </c>
      <c r="D3146" s="54">
        <v>40011588</v>
      </c>
      <c r="E3146" s="69" t="s">
        <v>585</v>
      </c>
      <c r="G3146" s="68">
        <v>11920</v>
      </c>
      <c r="H3146" s="56" t="s">
        <v>962</v>
      </c>
      <c r="J3146" s="56" t="s">
        <v>2793</v>
      </c>
      <c r="L3146" s="56" t="s">
        <v>2312</v>
      </c>
      <c r="M3146" s="4" t="s">
        <v>2004</v>
      </c>
      <c r="O3146" s="4" t="s">
        <v>1945</v>
      </c>
    </row>
    <row r="3147" spans="2:15">
      <c r="B3147" s="20">
        <v>45985</v>
      </c>
      <c r="C3147" s="20">
        <v>45985</v>
      </c>
      <c r="D3147" s="54">
        <v>50793278</v>
      </c>
      <c r="E3147" s="55" t="s">
        <v>1086</v>
      </c>
      <c r="G3147" s="68">
        <v>160</v>
      </c>
      <c r="H3147" s="56" t="s">
        <v>2313</v>
      </c>
      <c r="J3147" s="56">
        <v>1017582816</v>
      </c>
      <c r="L3147" s="56" t="s">
        <v>175</v>
      </c>
      <c r="M3147" s="4" t="s">
        <v>2004</v>
      </c>
      <c r="O3147" s="4" t="s">
        <v>1945</v>
      </c>
    </row>
    <row r="3148" spans="2:15">
      <c r="B3148" s="20">
        <v>45986</v>
      </c>
      <c r="C3148" s="20">
        <v>45986</v>
      </c>
      <c r="D3148" s="54">
        <v>50272278</v>
      </c>
      <c r="E3148" s="69" t="s">
        <v>21</v>
      </c>
      <c r="G3148" s="68">
        <v>15600</v>
      </c>
      <c r="H3148" s="56" t="s">
        <v>962</v>
      </c>
      <c r="J3148" s="56" t="s">
        <v>2794</v>
      </c>
      <c r="L3148" s="56" t="s">
        <v>262</v>
      </c>
      <c r="M3148" s="4" t="s">
        <v>262</v>
      </c>
      <c r="O3148" s="4" t="s">
        <v>178</v>
      </c>
    </row>
    <row r="3149" spans="2:15">
      <c r="B3149" s="20">
        <v>45986</v>
      </c>
      <c r="C3149" s="20">
        <v>45986</v>
      </c>
      <c r="D3149" s="54" t="s">
        <v>38</v>
      </c>
      <c r="E3149" s="55" t="s">
        <v>2795</v>
      </c>
      <c r="G3149" s="58">
        <v>4750000</v>
      </c>
      <c r="H3149" s="56" t="s">
        <v>962</v>
      </c>
      <c r="J3149" s="56" t="s">
        <v>2796</v>
      </c>
      <c r="L3149" s="56" t="s">
        <v>2797</v>
      </c>
      <c r="M3149" s="4" t="s">
        <v>392</v>
      </c>
      <c r="O3149" s="4" t="s">
        <v>178</v>
      </c>
    </row>
    <row r="3150" spans="2:15">
      <c r="B3150" s="20">
        <v>45986</v>
      </c>
      <c r="C3150" s="20">
        <v>45986</v>
      </c>
      <c r="D3150" s="54" t="s">
        <v>38</v>
      </c>
      <c r="E3150" s="55" t="s">
        <v>2798</v>
      </c>
      <c r="G3150" s="58">
        <v>5135000</v>
      </c>
      <c r="H3150" s="56" t="s">
        <v>962</v>
      </c>
      <c r="J3150" s="56" t="s">
        <v>2796</v>
      </c>
      <c r="L3150" s="56" t="s">
        <v>2797</v>
      </c>
      <c r="M3150" s="4" t="s">
        <v>392</v>
      </c>
      <c r="O3150" s="4" t="s">
        <v>178</v>
      </c>
    </row>
    <row r="3151" spans="2:15">
      <c r="B3151" s="20">
        <v>45986</v>
      </c>
      <c r="C3151" s="20">
        <v>45986</v>
      </c>
      <c r="D3151" s="54">
        <v>50814629</v>
      </c>
      <c r="E3151" s="55" t="s">
        <v>1226</v>
      </c>
      <c r="G3151" s="68">
        <v>1496.65</v>
      </c>
      <c r="H3151" s="56" t="s">
        <v>987</v>
      </c>
      <c r="J3151" s="56" t="s">
        <v>2799</v>
      </c>
      <c r="L3151" s="56" t="s">
        <v>2588</v>
      </c>
      <c r="M3151" s="56" t="s">
        <v>2588</v>
      </c>
      <c r="O3151" s="4" t="s">
        <v>178</v>
      </c>
    </row>
    <row r="3152" spans="2:15">
      <c r="B3152" s="20">
        <v>45987</v>
      </c>
      <c r="C3152" s="20">
        <v>45987</v>
      </c>
      <c r="D3152" s="54">
        <v>50655374</v>
      </c>
      <c r="E3152" s="55" t="s">
        <v>456</v>
      </c>
      <c r="G3152" s="68">
        <v>1999.9</v>
      </c>
      <c r="H3152" s="56" t="s">
        <v>82</v>
      </c>
      <c r="J3152" s="56" t="s">
        <v>2800</v>
      </c>
      <c r="L3152" s="56" t="s">
        <v>2588</v>
      </c>
      <c r="M3152" s="56" t="s">
        <v>2588</v>
      </c>
      <c r="O3152" s="4" t="s">
        <v>178</v>
      </c>
    </row>
    <row r="3153" spans="2:15">
      <c r="B3153" s="20">
        <v>45987</v>
      </c>
      <c r="C3153" s="20">
        <v>45987</v>
      </c>
      <c r="D3153" s="54">
        <v>50272278</v>
      </c>
      <c r="E3153" s="69" t="s">
        <v>21</v>
      </c>
      <c r="G3153" s="68">
        <v>15600</v>
      </c>
      <c r="H3153" s="56" t="s">
        <v>962</v>
      </c>
      <c r="J3153" s="56" t="s">
        <v>2801</v>
      </c>
      <c r="L3153" s="56" t="s">
        <v>262</v>
      </c>
      <c r="M3153" s="4" t="s">
        <v>262</v>
      </c>
      <c r="O3153" s="4" t="s">
        <v>178</v>
      </c>
    </row>
    <row r="3154" spans="2:15">
      <c r="B3154" s="20">
        <v>45988</v>
      </c>
      <c r="C3154" s="20">
        <v>45988</v>
      </c>
      <c r="D3154" s="54">
        <v>50824293</v>
      </c>
      <c r="E3154" s="55" t="s">
        <v>861</v>
      </c>
      <c r="G3154" s="68">
        <v>6460000</v>
      </c>
      <c r="H3154" s="56" t="s">
        <v>962</v>
      </c>
      <c r="J3154" s="56" t="s">
        <v>2802</v>
      </c>
      <c r="L3154" s="56" t="s">
        <v>1257</v>
      </c>
      <c r="M3154" s="4" t="s">
        <v>2803</v>
      </c>
      <c r="O3154" s="4" t="s">
        <v>178</v>
      </c>
    </row>
    <row r="3155" spans="2:15">
      <c r="B3155" s="20">
        <v>45988</v>
      </c>
      <c r="C3155" s="20">
        <v>45988</v>
      </c>
      <c r="D3155" s="54">
        <v>50144376</v>
      </c>
      <c r="E3155" s="55" t="s">
        <v>19</v>
      </c>
      <c r="G3155" s="68">
        <v>15600</v>
      </c>
      <c r="H3155" s="56" t="s">
        <v>92</v>
      </c>
      <c r="J3155" s="56" t="s">
        <v>2804</v>
      </c>
      <c r="L3155" s="56" t="s">
        <v>262</v>
      </c>
      <c r="M3155" s="4" t="s">
        <v>262</v>
      </c>
      <c r="O3155" s="4" t="s">
        <v>178</v>
      </c>
    </row>
    <row r="3156" spans="2:15">
      <c r="B3156" s="20">
        <v>45988</v>
      </c>
      <c r="C3156" s="20">
        <v>45988</v>
      </c>
      <c r="D3156" s="54">
        <v>40014675</v>
      </c>
      <c r="E3156" s="55" t="s">
        <v>44</v>
      </c>
      <c r="G3156" s="68">
        <v>114</v>
      </c>
      <c r="H3156" s="56" t="s">
        <v>92</v>
      </c>
      <c r="J3156" s="56" t="s">
        <v>2081</v>
      </c>
      <c r="L3156" s="56" t="s">
        <v>2600</v>
      </c>
      <c r="M3156" s="4" t="s">
        <v>2601</v>
      </c>
      <c r="O3156" s="4" t="s">
        <v>178</v>
      </c>
    </row>
    <row r="3157" spans="2:15">
      <c r="B3157" s="20">
        <v>45988</v>
      </c>
      <c r="C3157" s="20">
        <v>45988</v>
      </c>
      <c r="D3157" s="54">
        <v>40014675</v>
      </c>
      <c r="E3157" s="55" t="s">
        <v>44</v>
      </c>
      <c r="G3157" s="68">
        <v>114</v>
      </c>
      <c r="H3157" s="56" t="s">
        <v>92</v>
      </c>
      <c r="J3157" s="56" t="s">
        <v>2805</v>
      </c>
      <c r="L3157" s="56" t="s">
        <v>2600</v>
      </c>
      <c r="M3157" s="4" t="s">
        <v>2601</v>
      </c>
      <c r="O3157" s="4" t="s">
        <v>178</v>
      </c>
    </row>
    <row r="3158" spans="2:15">
      <c r="B3158" s="20">
        <v>45989</v>
      </c>
      <c r="C3158" s="20">
        <v>45989</v>
      </c>
      <c r="D3158" s="54">
        <v>40014675</v>
      </c>
      <c r="E3158" s="55" t="s">
        <v>44</v>
      </c>
      <c r="G3158" s="68">
        <v>114</v>
      </c>
      <c r="H3158" s="56" t="s">
        <v>92</v>
      </c>
      <c r="J3158" s="56" t="s">
        <v>2806</v>
      </c>
      <c r="L3158" s="56" t="s">
        <v>2600</v>
      </c>
      <c r="M3158" s="4" t="s">
        <v>2601</v>
      </c>
      <c r="O3158" s="4" t="s">
        <v>178</v>
      </c>
    </row>
    <row r="3159" spans="2:15">
      <c r="B3159" s="20">
        <v>45989</v>
      </c>
      <c r="C3159" s="20">
        <v>45989</v>
      </c>
      <c r="D3159" s="54">
        <v>50470190</v>
      </c>
      <c r="E3159" s="66" t="s">
        <v>12</v>
      </c>
      <c r="G3159" s="68">
        <v>9273600</v>
      </c>
      <c r="H3159" s="56" t="s">
        <v>92</v>
      </c>
      <c r="J3159" s="56" t="s">
        <v>2807</v>
      </c>
      <c r="L3159" s="56" t="s">
        <v>1158</v>
      </c>
      <c r="M3159" s="4" t="s">
        <v>2396</v>
      </c>
      <c r="O3159" s="4" t="s">
        <v>178</v>
      </c>
    </row>
    <row r="3160" spans="2:15">
      <c r="B3160" s="20">
        <v>45989</v>
      </c>
      <c r="C3160" s="20">
        <v>45989</v>
      </c>
      <c r="D3160" s="54">
        <v>50449101</v>
      </c>
      <c r="E3160" s="55" t="s">
        <v>15</v>
      </c>
      <c r="G3160" s="68">
        <v>9273600</v>
      </c>
      <c r="H3160" s="56" t="s">
        <v>92</v>
      </c>
      <c r="J3160" s="56" t="s">
        <v>2808</v>
      </c>
      <c r="L3160" s="56" t="s">
        <v>1158</v>
      </c>
      <c r="M3160" s="4" t="s">
        <v>2396</v>
      </c>
      <c r="O3160" s="4" t="s">
        <v>178</v>
      </c>
    </row>
    <row r="3161" spans="2:15">
      <c r="B3161" s="20">
        <v>45989</v>
      </c>
      <c r="C3161" s="20">
        <v>45989</v>
      </c>
      <c r="D3161" s="54">
        <v>50272278</v>
      </c>
      <c r="E3161" s="69" t="s">
        <v>21</v>
      </c>
      <c r="G3161" s="68">
        <v>9600</v>
      </c>
      <c r="H3161" s="56" t="s">
        <v>92</v>
      </c>
      <c r="J3161" s="56" t="s">
        <v>2809</v>
      </c>
      <c r="L3161" s="56" t="s">
        <v>262</v>
      </c>
      <c r="M3161" s="4" t="s">
        <v>262</v>
      </c>
      <c r="O3161" s="4" t="s">
        <v>178</v>
      </c>
    </row>
    <row r="3162" spans="2:15">
      <c r="B3162" s="20">
        <v>45989</v>
      </c>
      <c r="C3162" s="20">
        <v>45989</v>
      </c>
      <c r="D3162" s="54">
        <v>50272278</v>
      </c>
      <c r="E3162" s="69" t="s">
        <v>21</v>
      </c>
      <c r="G3162" s="68">
        <v>9600</v>
      </c>
      <c r="H3162" s="56" t="s">
        <v>92</v>
      </c>
      <c r="J3162" s="56" t="s">
        <v>2810</v>
      </c>
      <c r="L3162" s="56" t="s">
        <v>262</v>
      </c>
      <c r="M3162" s="4" t="s">
        <v>262</v>
      </c>
      <c r="O3162" s="4" t="s">
        <v>178</v>
      </c>
    </row>
    <row r="3163" spans="2:15">
      <c r="B3163" s="20">
        <v>45993</v>
      </c>
      <c r="C3163" s="20">
        <v>45993</v>
      </c>
      <c r="D3163" s="54">
        <v>50142055</v>
      </c>
      <c r="E3163" s="55" t="s">
        <v>206</v>
      </c>
      <c r="G3163" s="68">
        <v>12000</v>
      </c>
      <c r="H3163" s="56" t="s">
        <v>82</v>
      </c>
      <c r="J3163" s="56">
        <v>415023372</v>
      </c>
      <c r="L3163" s="56" t="s">
        <v>208</v>
      </c>
      <c r="M3163" s="4" t="s">
        <v>392</v>
      </c>
      <c r="O3163" s="4" t="s">
        <v>178</v>
      </c>
    </row>
    <row r="3164" spans="2:15">
      <c r="B3164" s="20">
        <v>45993</v>
      </c>
      <c r="C3164" s="20">
        <v>45993</v>
      </c>
      <c r="D3164" s="54">
        <v>50799770</v>
      </c>
      <c r="E3164" s="55" t="s">
        <v>17</v>
      </c>
      <c r="G3164" s="68">
        <v>15600</v>
      </c>
      <c r="H3164" s="56" t="s">
        <v>92</v>
      </c>
      <c r="J3164" s="56" t="s">
        <v>2811</v>
      </c>
      <c r="L3164" s="56" t="s">
        <v>262</v>
      </c>
      <c r="M3164" s="4" t="s">
        <v>262</v>
      </c>
      <c r="O3164" s="4" t="s">
        <v>178</v>
      </c>
    </row>
    <row r="3165" spans="2:15">
      <c r="B3165" s="20">
        <v>45993</v>
      </c>
      <c r="C3165" s="20">
        <v>45993</v>
      </c>
      <c r="D3165" s="54">
        <v>50470190</v>
      </c>
      <c r="E3165" s="55" t="s">
        <v>12</v>
      </c>
      <c r="G3165" s="68">
        <v>9273600</v>
      </c>
      <c r="H3165" s="56" t="s">
        <v>92</v>
      </c>
      <c r="J3165" s="56" t="s">
        <v>2812</v>
      </c>
      <c r="L3165" s="56" t="s">
        <v>230</v>
      </c>
      <c r="M3165" s="4" t="s">
        <v>2396</v>
      </c>
      <c r="O3165" s="4" t="s">
        <v>178</v>
      </c>
    </row>
    <row r="3166" spans="2:15">
      <c r="B3166" s="20">
        <v>45993</v>
      </c>
      <c r="C3166" s="20">
        <v>45993</v>
      </c>
      <c r="D3166" s="54">
        <v>50373636</v>
      </c>
      <c r="E3166" s="55" t="s">
        <v>2813</v>
      </c>
      <c r="G3166" s="68">
        <v>75</v>
      </c>
      <c r="H3166" s="56" t="s">
        <v>82</v>
      </c>
      <c r="J3166" s="56" t="s">
        <v>2814</v>
      </c>
      <c r="L3166" s="56" t="s">
        <v>838</v>
      </c>
      <c r="M3166" s="4" t="s">
        <v>2152</v>
      </c>
      <c r="O3166" s="4" t="s">
        <v>178</v>
      </c>
    </row>
  </sheetData>
  <autoFilter xmlns:etc="http://www.wps.cn/officeDocument/2017/etCustomData" ref="A6:S3166" etc:filterBottomFollowUsedRange="0">
    <extLst/>
  </autoFilter>
  <sortState ref="B7:O2090">
    <sortCondition ref="C7:C2090"/>
  </sortState>
  <mergeCells count="1">
    <mergeCell ref="B1:P4"/>
  </mergeCells>
  <conditionalFormatting sqref="D2974">
    <cfRule type="duplicateValues" dxfId="1" priority="211"/>
  </conditionalFormatting>
  <conditionalFormatting sqref="D2974:E2974">
    <cfRule type="expression" dxfId="0" priority="209">
      <formula>FILA()=CELDA("fila")</formula>
    </cfRule>
  </conditionalFormatting>
  <conditionalFormatting sqref="D2980">
    <cfRule type="duplicateValues" dxfId="1" priority="206"/>
  </conditionalFormatting>
  <conditionalFormatting sqref="D2980:E2980">
    <cfRule type="expression" dxfId="0" priority="205">
      <formula>FILA()=CELDA("fila")</formula>
    </cfRule>
  </conditionalFormatting>
  <conditionalFormatting sqref="D2982">
    <cfRule type="duplicateValues" dxfId="1" priority="204"/>
  </conditionalFormatting>
  <conditionalFormatting sqref="D2982:E2982">
    <cfRule type="expression" dxfId="0" priority="203">
      <formula>FILA()=CELDA("fila")</formula>
    </cfRule>
  </conditionalFormatting>
  <conditionalFormatting sqref="D2987">
    <cfRule type="duplicateValues" dxfId="1" priority="202"/>
    <cfRule type="duplicateValues" dxfId="1" priority="201"/>
  </conditionalFormatting>
  <conditionalFormatting sqref="D2988">
    <cfRule type="duplicateValues" dxfId="1" priority="198"/>
    <cfRule type="duplicateValues" dxfId="1" priority="199"/>
  </conditionalFormatting>
  <conditionalFormatting sqref="D2989">
    <cfRule type="duplicateValues" dxfId="1" priority="196"/>
    <cfRule type="duplicateValues" dxfId="1" priority="195"/>
  </conditionalFormatting>
  <conditionalFormatting sqref="D2990">
    <cfRule type="duplicateValues" dxfId="1" priority="192"/>
    <cfRule type="duplicateValues" dxfId="1" priority="193"/>
  </conditionalFormatting>
  <conditionalFormatting sqref="D2993">
    <cfRule type="duplicateValues" dxfId="1" priority="189"/>
  </conditionalFormatting>
  <conditionalFormatting sqref="D2996">
    <cfRule type="duplicateValues" dxfId="1" priority="188"/>
  </conditionalFormatting>
  <conditionalFormatting sqref="D3001">
    <cfRule type="duplicateValues" dxfId="1" priority="186"/>
  </conditionalFormatting>
  <conditionalFormatting sqref="D3006">
    <cfRule type="duplicateValues" dxfId="1" priority="181"/>
    <cfRule type="duplicateValues" dxfId="1" priority="182"/>
  </conditionalFormatting>
  <conditionalFormatting sqref="D3023">
    <cfRule type="duplicateValues" dxfId="1" priority="169"/>
  </conditionalFormatting>
  <conditionalFormatting sqref="D3028">
    <cfRule type="duplicateValues" dxfId="1" priority="168"/>
  </conditionalFormatting>
  <conditionalFormatting sqref="D3031">
    <cfRule type="duplicateValues" dxfId="1" priority="164"/>
  </conditionalFormatting>
  <conditionalFormatting sqref="D3041">
    <cfRule type="duplicateValues" dxfId="1" priority="159"/>
  </conditionalFormatting>
  <conditionalFormatting sqref="D3042">
    <cfRule type="duplicateValues" dxfId="1" priority="157"/>
  </conditionalFormatting>
  <conditionalFormatting sqref="D3043">
    <cfRule type="duplicateValues" dxfId="1" priority="154"/>
  </conditionalFormatting>
  <conditionalFormatting sqref="D3046">
    <cfRule type="duplicateValues" dxfId="1" priority="150"/>
  </conditionalFormatting>
  <conditionalFormatting sqref="D3051">
    <cfRule type="duplicateValues" dxfId="1" priority="148"/>
  </conditionalFormatting>
  <conditionalFormatting sqref="D3063">
    <cfRule type="duplicateValues" dxfId="1" priority="142"/>
  </conditionalFormatting>
  <conditionalFormatting sqref="D3064">
    <cfRule type="duplicateValues" dxfId="1" priority="140"/>
  </conditionalFormatting>
  <conditionalFormatting sqref="D3065">
    <cfRule type="duplicateValues" dxfId="1" priority="137"/>
  </conditionalFormatting>
  <conditionalFormatting sqref="D3073">
    <cfRule type="duplicateValues" dxfId="1" priority="133"/>
  </conditionalFormatting>
  <conditionalFormatting sqref="D3074">
    <cfRule type="duplicateValues" dxfId="1" priority="130"/>
    <cfRule type="duplicateValues" dxfId="1" priority="129"/>
  </conditionalFormatting>
  <conditionalFormatting sqref="D3075">
    <cfRule type="duplicateValues" dxfId="1" priority="127"/>
  </conditionalFormatting>
  <conditionalFormatting sqref="D3081">
    <cfRule type="duplicateValues" dxfId="1" priority="123"/>
  </conditionalFormatting>
  <conditionalFormatting sqref="D3082">
    <cfRule type="duplicateValues" dxfId="1" priority="121"/>
    <cfRule type="duplicateValues" dxfId="1" priority="120"/>
  </conditionalFormatting>
  <conditionalFormatting sqref="D3083">
    <cfRule type="duplicateValues" dxfId="1" priority="118"/>
  </conditionalFormatting>
  <conditionalFormatting sqref="D3084">
    <cfRule type="duplicateValues" dxfId="1" priority="117"/>
    <cfRule type="duplicateValues" dxfId="1" priority="116"/>
  </conditionalFormatting>
  <conditionalFormatting sqref="D3085">
    <cfRule type="duplicateValues" dxfId="1" priority="114"/>
    <cfRule type="duplicateValues" dxfId="1" priority="113"/>
  </conditionalFormatting>
  <conditionalFormatting sqref="D3086">
    <cfRule type="duplicateValues" dxfId="1" priority="111"/>
  </conditionalFormatting>
  <conditionalFormatting sqref="D3087">
    <cfRule type="duplicateValues" dxfId="1" priority="109"/>
  </conditionalFormatting>
  <conditionalFormatting sqref="D3094">
    <cfRule type="duplicateValues" dxfId="1" priority="103"/>
  </conditionalFormatting>
  <conditionalFormatting sqref="D3095">
    <cfRule type="duplicateValues" dxfId="1" priority="101"/>
    <cfRule type="duplicateValues" dxfId="1" priority="100"/>
  </conditionalFormatting>
  <conditionalFormatting sqref="D3100">
    <cfRule type="duplicateValues" dxfId="1" priority="95"/>
  </conditionalFormatting>
  <conditionalFormatting sqref="D3101">
    <cfRule type="duplicateValues" dxfId="1" priority="92"/>
  </conditionalFormatting>
  <conditionalFormatting sqref="D3102">
    <cfRule type="expression" dxfId="0" priority="89">
      <formula>FILA()=CELDA("fila")</formula>
    </cfRule>
    <cfRule type="duplicateValues" dxfId="1" priority="90"/>
    <cfRule type="duplicateValues" dxfId="1" priority="91"/>
  </conditionalFormatting>
  <conditionalFormatting sqref="D3103">
    <cfRule type="duplicateValues" dxfId="1" priority="88"/>
  </conditionalFormatting>
  <conditionalFormatting sqref="D3106">
    <cfRule type="duplicateValues" dxfId="1" priority="83"/>
  </conditionalFormatting>
  <conditionalFormatting sqref="D3107">
    <cfRule type="duplicateValues" dxfId="1" priority="82"/>
  </conditionalFormatting>
  <conditionalFormatting sqref="D3107:E3107">
    <cfRule type="expression" dxfId="0" priority="80">
      <formula>FILA()=CELDA("fila")</formula>
    </cfRule>
  </conditionalFormatting>
  <conditionalFormatting sqref="D3108">
    <cfRule type="duplicateValues" dxfId="1" priority="79"/>
  </conditionalFormatting>
  <conditionalFormatting sqref="D3111">
    <cfRule type="duplicateValues" dxfId="1" priority="78"/>
  </conditionalFormatting>
  <conditionalFormatting sqref="D3112">
    <cfRule type="duplicateValues" dxfId="1" priority="77"/>
  </conditionalFormatting>
  <conditionalFormatting sqref="D3113">
    <cfRule type="duplicateValues" dxfId="1" priority="76"/>
  </conditionalFormatting>
  <conditionalFormatting sqref="D3114">
    <cfRule type="duplicateValues" dxfId="1" priority="75"/>
    <cfRule type="duplicateValues" dxfId="1" priority="74"/>
  </conditionalFormatting>
  <conditionalFormatting sqref="D3114:E3114">
    <cfRule type="expression" dxfId="0" priority="73">
      <formula>FILA()=CELDA("fila")</formula>
    </cfRule>
  </conditionalFormatting>
  <conditionalFormatting sqref="D3115">
    <cfRule type="duplicateValues" dxfId="1" priority="72"/>
  </conditionalFormatting>
  <conditionalFormatting sqref="D3116">
    <cfRule type="duplicateValues" dxfId="1" priority="70"/>
    <cfRule type="duplicateValues" dxfId="1" priority="71"/>
  </conditionalFormatting>
  <conditionalFormatting sqref="D3117">
    <cfRule type="duplicateValues" dxfId="1" priority="67"/>
    <cfRule type="duplicateValues" dxfId="1" priority="68"/>
  </conditionalFormatting>
  <conditionalFormatting sqref="D3118">
    <cfRule type="duplicateValues" dxfId="1" priority="64"/>
    <cfRule type="duplicateValues" dxfId="1" priority="65"/>
  </conditionalFormatting>
  <conditionalFormatting sqref="D3128">
    <cfRule type="duplicateValues" dxfId="1" priority="55"/>
  </conditionalFormatting>
  <conditionalFormatting sqref="D3129">
    <cfRule type="duplicateValues" dxfId="1" priority="54"/>
  </conditionalFormatting>
  <conditionalFormatting sqref="D3130">
    <cfRule type="duplicateValues" dxfId="1" priority="53"/>
  </conditionalFormatting>
  <conditionalFormatting sqref="D3131">
    <cfRule type="duplicateValues" dxfId="1" priority="52"/>
  </conditionalFormatting>
  <conditionalFormatting sqref="D3132">
    <cfRule type="duplicateValues" dxfId="1" priority="47"/>
  </conditionalFormatting>
  <conditionalFormatting sqref="D3135">
    <cfRule type="duplicateValues" dxfId="1" priority="46"/>
  </conditionalFormatting>
  <conditionalFormatting sqref="D3136">
    <cfRule type="duplicateValues" dxfId="1" priority="43"/>
  </conditionalFormatting>
  <conditionalFormatting sqref="D3140">
    <cfRule type="duplicateValues" dxfId="1" priority="39"/>
  </conditionalFormatting>
  <conditionalFormatting sqref="D3141">
    <cfRule type="duplicateValues" dxfId="1" priority="37"/>
    <cfRule type="duplicateValues" dxfId="1" priority="38"/>
  </conditionalFormatting>
  <conditionalFormatting sqref="D3142">
    <cfRule type="duplicateValues" dxfId="1" priority="34"/>
    <cfRule type="duplicateValues" dxfId="1" priority="35"/>
  </conditionalFormatting>
  <conditionalFormatting sqref="D3143">
    <cfRule type="duplicateValues" dxfId="1" priority="31"/>
    <cfRule type="duplicateValues" dxfId="1" priority="32"/>
  </conditionalFormatting>
  <conditionalFormatting sqref="D3144">
    <cfRule type="duplicateValues" dxfId="1" priority="29"/>
  </conditionalFormatting>
  <conditionalFormatting sqref="D3145">
    <cfRule type="duplicateValues" dxfId="1" priority="28"/>
  </conditionalFormatting>
  <conditionalFormatting sqref="D3146">
    <cfRule type="duplicateValues" dxfId="1" priority="27"/>
  </conditionalFormatting>
  <conditionalFormatting sqref="D3147">
    <cfRule type="duplicateValues" dxfId="1" priority="26"/>
  </conditionalFormatting>
  <conditionalFormatting sqref="D3147:E3147">
    <cfRule type="expression" dxfId="0" priority="25">
      <formula>FILA()=CELDA("fila")</formula>
    </cfRule>
  </conditionalFormatting>
  <conditionalFormatting sqref="D3148">
    <cfRule type="duplicateValues" dxfId="1" priority="24"/>
  </conditionalFormatting>
  <conditionalFormatting sqref="D3151">
    <cfRule type="duplicateValues" dxfId="1" priority="22"/>
  </conditionalFormatting>
  <conditionalFormatting sqref="D3152">
    <cfRule type="duplicateValues" dxfId="1" priority="19"/>
    <cfRule type="duplicateValues" dxfId="1" priority="20"/>
  </conditionalFormatting>
  <conditionalFormatting sqref="D3153">
    <cfRule type="duplicateValues" dxfId="1" priority="17"/>
  </conditionalFormatting>
  <conditionalFormatting sqref="D3154">
    <cfRule type="duplicateValues" dxfId="1" priority="16"/>
  </conditionalFormatting>
  <conditionalFormatting sqref="D3154:E3154">
    <cfRule type="expression" dxfId="0" priority="14">
      <formula>FILA()=CELDA("fila")</formula>
    </cfRule>
  </conditionalFormatting>
  <conditionalFormatting sqref="D3155">
    <cfRule type="duplicateValues" dxfId="1" priority="13"/>
  </conditionalFormatting>
  <conditionalFormatting sqref="D3159">
    <cfRule type="duplicateValues" dxfId="1" priority="7"/>
  </conditionalFormatting>
  <conditionalFormatting sqref="D3160">
    <cfRule type="duplicateValues" dxfId="1" priority="6"/>
  </conditionalFormatting>
  <conditionalFormatting sqref="D3163">
    <cfRule type="duplicateValues" dxfId="1" priority="3"/>
    <cfRule type="duplicateValues" dxfId="1" priority="4"/>
  </conditionalFormatting>
  <conditionalFormatting sqref="D3163:E3163">
    <cfRule type="expression" dxfId="0" priority="2">
      <formula>FILA()=CELDA("fila")</formula>
    </cfRule>
  </conditionalFormatting>
  <conditionalFormatting sqref="D3164">
    <cfRule type="duplicateValues" dxfId="1" priority="1"/>
  </conditionalFormatting>
  <conditionalFormatting sqref="D2970:D2971">
    <cfRule type="duplicateValues" dxfId="1" priority="208"/>
  </conditionalFormatting>
  <conditionalFormatting sqref="D2991:D2992">
    <cfRule type="duplicateValues" dxfId="1" priority="190"/>
  </conditionalFormatting>
  <conditionalFormatting sqref="D2998:D2999">
    <cfRule type="duplicateValues" dxfId="1" priority="187"/>
  </conditionalFormatting>
  <conditionalFormatting sqref="D3004:D3005">
    <cfRule type="duplicateValues" dxfId="1" priority="184"/>
    <cfRule type="duplicateValues" dxfId="1" priority="185"/>
  </conditionalFormatting>
  <conditionalFormatting sqref="D3013:D3015">
    <cfRule type="duplicateValues" dxfId="1" priority="178"/>
    <cfRule type="duplicateValues" dxfId="1" priority="179"/>
  </conditionalFormatting>
  <conditionalFormatting sqref="D3018:D3019">
    <cfRule type="duplicateValues" dxfId="1" priority="175"/>
    <cfRule type="duplicateValues" dxfId="1" priority="174"/>
  </conditionalFormatting>
  <conditionalFormatting sqref="D3021:D3022">
    <cfRule type="duplicateValues" dxfId="1" priority="172"/>
    <cfRule type="duplicateValues" dxfId="1" priority="171"/>
  </conditionalFormatting>
  <conditionalFormatting sqref="D3029:D3030">
    <cfRule type="duplicateValues" dxfId="1" priority="166"/>
    <cfRule type="duplicateValues" dxfId="1" priority="167"/>
  </conditionalFormatting>
  <conditionalFormatting sqref="D3033:D3034">
    <cfRule type="duplicateValues" dxfId="1" priority="163"/>
    <cfRule type="duplicateValues" dxfId="1" priority="162"/>
  </conditionalFormatting>
  <conditionalFormatting sqref="D3037:D3038">
    <cfRule type="duplicateValues" dxfId="1" priority="158"/>
  </conditionalFormatting>
  <conditionalFormatting sqref="D3044:D3045">
    <cfRule type="duplicateValues" dxfId="1" priority="151"/>
  </conditionalFormatting>
  <conditionalFormatting sqref="D3049:D3050">
    <cfRule type="duplicateValues" dxfId="1" priority="149"/>
  </conditionalFormatting>
  <conditionalFormatting sqref="D3052:D3053">
    <cfRule type="duplicateValues" dxfId="1" priority="147"/>
  </conditionalFormatting>
  <conditionalFormatting sqref="D3058:D3060">
    <cfRule type="duplicateValues" dxfId="1" priority="146"/>
  </conditionalFormatting>
  <conditionalFormatting sqref="D3061:D3062">
    <cfRule type="duplicateValues" dxfId="1" priority="145"/>
    <cfRule type="duplicateValues" dxfId="1" priority="144"/>
  </conditionalFormatting>
  <conditionalFormatting sqref="D3066:D3072">
    <cfRule type="duplicateValues" dxfId="1" priority="134"/>
  </conditionalFormatting>
  <conditionalFormatting sqref="D3091:D3092">
    <cfRule type="duplicateValues" dxfId="1" priority="105"/>
    <cfRule type="duplicateValues" dxfId="1" priority="106"/>
  </conditionalFormatting>
  <conditionalFormatting sqref="D3098:D3099">
    <cfRule type="duplicateValues" dxfId="1" priority="98"/>
    <cfRule type="duplicateValues" dxfId="1" priority="97"/>
  </conditionalFormatting>
  <conditionalFormatting sqref="D3104:D3105">
    <cfRule type="duplicateValues" dxfId="1" priority="86"/>
    <cfRule type="duplicateValues" dxfId="1" priority="87"/>
  </conditionalFormatting>
  <conditionalFormatting sqref="D3126:D3127">
    <cfRule type="duplicateValues" dxfId="1" priority="57"/>
    <cfRule type="duplicateValues" dxfId="1" priority="58"/>
  </conditionalFormatting>
  <conditionalFormatting sqref="D3133:D3134">
    <cfRule type="duplicateValues" dxfId="1" priority="49"/>
    <cfRule type="duplicateValues" dxfId="1" priority="50"/>
  </conditionalFormatting>
  <conditionalFormatting sqref="D3137:D3138">
    <cfRule type="duplicateValues" dxfId="1" priority="42"/>
    <cfRule type="duplicateValues" dxfId="1" priority="41"/>
  </conditionalFormatting>
  <conditionalFormatting sqref="D3149:D3150">
    <cfRule type="duplicateValues" dxfId="1" priority="23"/>
  </conditionalFormatting>
  <conditionalFormatting sqref="D3156:D3158">
    <cfRule type="duplicateValues" dxfId="1" priority="11"/>
    <cfRule type="duplicateValues" dxfId="1" priority="12"/>
  </conditionalFormatting>
  <conditionalFormatting sqref="D3161:D3162">
    <cfRule type="duplicateValues" dxfId="1" priority="5"/>
  </conditionalFormatting>
  <conditionalFormatting sqref="G3104:G3105">
    <cfRule type="expression" dxfId="0" priority="84">
      <formula>FILA()=CELDA("fila")</formula>
    </cfRule>
  </conditionalFormatting>
  <conditionalFormatting sqref="G3120:G3121">
    <cfRule type="expression" dxfId="0" priority="61">
      <formula>FILA()=CELDA("fila")</formula>
    </cfRule>
  </conditionalFormatting>
  <conditionalFormatting sqref="H3076:H3079">
    <cfRule type="expression" dxfId="0" priority="124">
      <formula>FILA()=CELDA("fila")</formula>
    </cfRule>
  </conditionalFormatting>
  <conditionalFormatting sqref="H3120:H3123">
    <cfRule type="expression" dxfId="0" priority="59">
      <formula>FILA()=CELDA("fila")</formula>
    </cfRule>
  </conditionalFormatting>
  <conditionalFormatting sqref="D2970:E2971">
    <cfRule type="expression" dxfId="0" priority="207">
      <formula>FILA()=CELDA("fila")</formula>
    </cfRule>
  </conditionalFormatting>
  <conditionalFormatting sqref="D2987:E2990">
    <cfRule type="expression" dxfId="0" priority="191">
      <formula>FILA()=CELDA("fila")</formula>
    </cfRule>
  </conditionalFormatting>
  <conditionalFormatting sqref="D3004:E3006">
    <cfRule type="expression" dxfId="0" priority="180">
      <formula>FILA()=CELDA("fila")</formula>
    </cfRule>
  </conditionalFormatting>
  <conditionalFormatting sqref="D3013:E3015">
    <cfRule type="expression" dxfId="0" priority="176">
      <formula>FILA()=CELDA("fila")</formula>
    </cfRule>
  </conditionalFormatting>
  <conditionalFormatting sqref="D3018:E3019">
    <cfRule type="expression" dxfId="0" priority="173">
      <formula>FILA()=CELDA("fila")</formula>
    </cfRule>
  </conditionalFormatting>
  <conditionalFormatting sqref="D3021:E3022">
    <cfRule type="expression" dxfId="0" priority="170">
      <formula>FILA()=CELDA("fila")</formula>
    </cfRule>
  </conditionalFormatting>
  <conditionalFormatting sqref="D3029:E3030">
    <cfRule type="expression" dxfId="0" priority="165">
      <formula>FILA()=CELDA("fila")</formula>
    </cfRule>
  </conditionalFormatting>
  <conditionalFormatting sqref="D3033:E3034">
    <cfRule type="expression" dxfId="0" priority="161">
      <formula>FILA()=CELDA("fila")</formula>
    </cfRule>
  </conditionalFormatting>
  <conditionalFormatting sqref="D3042:E3043">
    <cfRule type="expression" dxfId="0" priority="152">
      <formula>FILA()=CELDA("fila")</formula>
    </cfRule>
  </conditionalFormatting>
  <conditionalFormatting sqref="D3061:E3065">
    <cfRule type="expression" dxfId="0" priority="135">
      <formula>FILA()=CELDA("fila")</formula>
    </cfRule>
  </conditionalFormatting>
  <conditionalFormatting sqref="D3073:E3075">
    <cfRule type="expression" dxfId="0" priority="125">
      <formula>FILA()=CELDA("fila")</formula>
    </cfRule>
  </conditionalFormatting>
  <conditionalFormatting sqref="D3081:E3082">
    <cfRule type="expression" dxfId="0" priority="119">
      <formula>FILA()=CELDA("fila")</formula>
    </cfRule>
  </conditionalFormatting>
  <conditionalFormatting sqref="D3084:E3087">
    <cfRule type="expression" dxfId="0" priority="107">
      <formula>FILA()=CELDA("fila")</formula>
    </cfRule>
  </conditionalFormatting>
  <conditionalFormatting sqref="D3091:E3092">
    <cfRule type="expression" dxfId="0" priority="104">
      <formula>FILA()=CELDA("fila")</formula>
    </cfRule>
  </conditionalFormatting>
  <conditionalFormatting sqref="D3094:E3095">
    <cfRule type="expression" dxfId="0" priority="99">
      <formula>FILA()=CELDA("fila")</formula>
    </cfRule>
  </conditionalFormatting>
  <conditionalFormatting sqref="D3098:E3100">
    <cfRule type="expression" dxfId="0" priority="93">
      <formula>FILA()=CELDA("fila")</formula>
    </cfRule>
  </conditionalFormatting>
  <conditionalFormatting sqref="D3104:E3105">
    <cfRule type="expression" dxfId="0" priority="85">
      <formula>FILA()=CELDA("fila")</formula>
    </cfRule>
  </conditionalFormatting>
  <conditionalFormatting sqref="D3116:E3118">
    <cfRule type="expression" dxfId="0" priority="63">
      <formula>FILA()=CELDA("fila")</formula>
    </cfRule>
  </conditionalFormatting>
  <conditionalFormatting sqref="D3126:E3127">
    <cfRule type="expression" dxfId="0" priority="56">
      <formula>FILA()=CELDA("fila")</formula>
    </cfRule>
  </conditionalFormatting>
  <conditionalFormatting sqref="D3133:E3135">
    <cfRule type="expression" dxfId="0" priority="44">
      <formula>FILA()=CELDA("fila")</formula>
    </cfRule>
  </conditionalFormatting>
  <conditionalFormatting sqref="D3137:E3138">
    <cfRule type="expression" dxfId="0" priority="40">
      <formula>FILA()=CELDA("fila")</formula>
    </cfRule>
  </conditionalFormatting>
  <conditionalFormatting sqref="D3141:E3143">
    <cfRule type="expression" dxfId="0" priority="30">
      <formula>FILA()=CELDA("fila")</formula>
    </cfRule>
  </conditionalFormatting>
  <conditionalFormatting sqref="D3151:E3152">
    <cfRule type="expression" dxfId="0" priority="18">
      <formula>FILA()=CELDA("fila")</formula>
    </cfRule>
  </conditionalFormatting>
  <conditionalFormatting sqref="D3156:E3158">
    <cfRule type="expression" dxfId="0" priority="8">
      <formula>FILA()=CELDA("fila")</formula>
    </cfRule>
  </conditionalFormatting>
  <pageMargins left="0.7" right="0.7" top="0.75" bottom="0.75" header="0.3" footer="0.3"/>
  <pageSetup paperSize="9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6">
    <tabColor rgb="FFFF0000"/>
  </sheetPr>
  <dimension ref="A1:XFD7041"/>
  <sheetViews>
    <sheetView showGridLines="0" zoomScale="70" zoomScaleNormal="70" workbookViewId="0">
      <pane ySplit="6" topLeftCell="A7023" activePane="bottomLeft" state="frozen"/>
      <selection/>
      <selection pane="bottomLeft" activeCell="G7" sqref="G7"/>
    </sheetView>
  </sheetViews>
  <sheetFormatPr defaultColWidth="0" defaultRowHeight="15"/>
  <cols>
    <col min="1" max="1" width="4.7047619047619" style="40" customWidth="1"/>
    <col min="2" max="2" width="15.4666666666667" style="56" customWidth="1"/>
    <col min="3" max="3" width="21.3904761904762" style="59" customWidth="1"/>
    <col min="4" max="4" width="52.3238095238095" style="55" customWidth="1"/>
    <col min="5" max="5" width="9.81904761904762" style="67" customWidth="1"/>
    <col min="6" max="6" width="17.4857142857143" style="67" customWidth="1"/>
    <col min="7" max="7" width="20.447619047619" style="65" customWidth="1"/>
    <col min="8" max="8" width="12.647619047619" style="56" customWidth="1"/>
    <col min="9" max="9" width="22.4666666666667" style="54" customWidth="1"/>
    <col min="10" max="10" width="37.9333333333333" style="56" customWidth="1"/>
    <col min="11" max="11" width="18.5619047619048" style="56" customWidth="1"/>
    <col min="12" max="13" width="18.9619047619048" style="55" customWidth="1"/>
    <col min="14" max="14" width="18.6952380952381" style="4" customWidth="1"/>
    <col min="15" max="15" width="25.4190476190476" style="55" customWidth="1"/>
    <col min="16" max="16" width="25.4190476190476" style="4" customWidth="1"/>
    <col min="17" max="17" width="11.5619047619048" customWidth="1"/>
  </cols>
  <sheetData>
    <row r="1" s="80" customFormat="1" ht="14.45" customHeight="1" spans="1:17">
      <c r="A1" s="82" t="s">
        <v>2815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Q1" s="83"/>
    </row>
    <row r="2" s="80" customFormat="1" ht="14.45" customHeight="1" spans="1:17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Q2" s="83"/>
    </row>
    <row r="3" s="80" customFormat="1" ht="21" customHeight="1" spans="1:17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Q3" s="83"/>
    </row>
    <row r="4" s="80" customFormat="1" ht="14.45" customHeight="1" spans="1:17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Q4" s="83"/>
    </row>
    <row r="5" spans="1:17">
      <c r="B5" s="84"/>
      <c r="C5" s="85"/>
      <c r="D5" s="86"/>
      <c r="E5" s="87"/>
      <c r="F5" s="87"/>
      <c r="G5" s="88"/>
      <c r="H5" s="89"/>
      <c r="I5" s="90"/>
      <c r="J5" s="89"/>
      <c r="K5" s="89"/>
      <c r="L5" s="86"/>
      <c r="M5" s="86"/>
      <c r="N5" s="91"/>
      <c r="O5" s="92"/>
      <c r="P5" s="93"/>
    </row>
    <row r="6" s="81" customFormat="1" ht="36.75" customHeight="1" spans="1:17">
      <c r="B6" s="94" t="s">
        <v>2816</v>
      </c>
      <c r="C6" s="94" t="s">
        <v>2817</v>
      </c>
      <c r="D6" s="95" t="s">
        <v>162</v>
      </c>
      <c r="E6" s="96" t="s">
        <v>2818</v>
      </c>
      <c r="F6" s="96" t="s">
        <v>163</v>
      </c>
      <c r="G6" s="97" t="s">
        <v>164</v>
      </c>
      <c r="H6" s="94" t="s">
        <v>165</v>
      </c>
      <c r="I6" s="94" t="s">
        <v>2819</v>
      </c>
      <c r="J6" s="94" t="s">
        <v>2820</v>
      </c>
      <c r="K6" s="94" t="s">
        <v>167</v>
      </c>
      <c r="L6" s="94" t="s">
        <v>170</v>
      </c>
      <c r="M6" s="94" t="s">
        <v>2821</v>
      </c>
      <c r="N6" s="94" t="s">
        <v>171</v>
      </c>
      <c r="O6" s="94" t="s">
        <v>2822</v>
      </c>
      <c r="P6" s="94" t="s">
        <v>2823</v>
      </c>
    </row>
    <row r="7" spans="1:17">
      <c r="A7" s="98"/>
      <c r="B7" s="99">
        <v>44659</v>
      </c>
      <c r="C7" s="59">
        <v>40008024</v>
      </c>
      <c r="D7" s="100" t="s">
        <v>182</v>
      </c>
      <c r="E7" s="101">
        <v>441</v>
      </c>
      <c r="F7" s="101">
        <v>6</v>
      </c>
      <c r="G7" s="102">
        <v>2646</v>
      </c>
      <c r="H7" s="103" t="s">
        <v>80</v>
      </c>
      <c r="I7" s="104"/>
      <c r="K7" s="105">
        <v>1</v>
      </c>
      <c r="L7" s="55" t="s">
        <v>176</v>
      </c>
      <c r="M7" s="55" t="s">
        <v>2824</v>
      </c>
      <c r="N7" s="4" t="s">
        <v>193</v>
      </c>
      <c r="O7" s="55" t="s">
        <v>178</v>
      </c>
    </row>
    <row r="8" spans="1:17">
      <c r="B8" s="99">
        <v>44659</v>
      </c>
      <c r="C8" s="59">
        <v>40009151</v>
      </c>
      <c r="D8" s="100" t="s">
        <v>180</v>
      </c>
      <c r="E8" s="101">
        <v>441</v>
      </c>
      <c r="F8" s="101">
        <v>6</v>
      </c>
      <c r="G8" s="102">
        <v>2646</v>
      </c>
      <c r="H8" s="105" t="s">
        <v>80</v>
      </c>
      <c r="I8" s="106"/>
      <c r="K8" s="105">
        <v>1</v>
      </c>
      <c r="L8" s="55" t="s">
        <v>176</v>
      </c>
      <c r="M8" s="55" t="s">
        <v>2824</v>
      </c>
      <c r="N8" s="4" t="s">
        <v>193</v>
      </c>
      <c r="O8" s="55" t="s">
        <v>178</v>
      </c>
    </row>
    <row r="9" spans="1:17">
      <c r="B9" s="99">
        <v>44663</v>
      </c>
      <c r="C9" s="59">
        <v>50144376</v>
      </c>
      <c r="D9" s="55" t="s">
        <v>19</v>
      </c>
      <c r="E9" s="101">
        <v>500</v>
      </c>
      <c r="F9" s="101">
        <v>20</v>
      </c>
      <c r="G9" s="102">
        <v>10000</v>
      </c>
      <c r="H9" s="105" t="s">
        <v>92</v>
      </c>
      <c r="I9" s="106"/>
      <c r="K9" s="105">
        <v>2</v>
      </c>
      <c r="L9" s="55" t="s">
        <v>176</v>
      </c>
      <c r="M9" s="55" t="s">
        <v>2824</v>
      </c>
      <c r="N9" s="4" t="s">
        <v>239</v>
      </c>
      <c r="O9" s="55" t="s">
        <v>178</v>
      </c>
    </row>
    <row r="10" spans="1:17">
      <c r="B10" s="99">
        <v>44663</v>
      </c>
      <c r="C10" s="59">
        <v>50449101</v>
      </c>
      <c r="D10" s="55" t="s">
        <v>237</v>
      </c>
      <c r="E10" s="67">
        <v>289800</v>
      </c>
      <c r="F10" s="67">
        <v>6</v>
      </c>
      <c r="G10" s="65">
        <v>1738800</v>
      </c>
      <c r="H10" s="56" t="s">
        <v>92</v>
      </c>
      <c r="I10" s="106"/>
      <c r="K10" s="56">
        <v>3</v>
      </c>
      <c r="L10" s="55" t="s">
        <v>176</v>
      </c>
      <c r="M10" s="55" t="s">
        <v>2824</v>
      </c>
      <c r="N10" s="4" t="s">
        <v>193</v>
      </c>
      <c r="O10" s="55" t="s">
        <v>178</v>
      </c>
    </row>
    <row r="11" spans="1:17">
      <c r="B11" s="99">
        <v>44663</v>
      </c>
      <c r="C11" s="59">
        <v>50522171</v>
      </c>
      <c r="D11" s="55" t="s">
        <v>203</v>
      </c>
      <c r="E11" s="67">
        <v>411</v>
      </c>
      <c r="F11" s="67">
        <v>3</v>
      </c>
      <c r="G11" s="65">
        <v>1244.1</v>
      </c>
      <c r="H11" s="56" t="s">
        <v>82</v>
      </c>
      <c r="I11" s="106"/>
      <c r="K11" s="56">
        <v>3</v>
      </c>
      <c r="L11" s="55" t="s">
        <v>176</v>
      </c>
      <c r="M11" s="55" t="s">
        <v>2824</v>
      </c>
      <c r="N11" s="4" t="s">
        <v>193</v>
      </c>
      <c r="O11" s="55" t="s">
        <v>178</v>
      </c>
    </row>
    <row r="12" spans="1:17">
      <c r="B12" s="99">
        <v>44663</v>
      </c>
      <c r="C12" s="59">
        <v>50551883</v>
      </c>
      <c r="D12" s="55" t="s">
        <v>223</v>
      </c>
      <c r="E12" s="67">
        <v>360000</v>
      </c>
      <c r="F12" s="67">
        <v>2</v>
      </c>
      <c r="G12" s="65">
        <v>720000</v>
      </c>
      <c r="H12" s="56" t="s">
        <v>92</v>
      </c>
      <c r="I12" s="106"/>
      <c r="K12" s="56">
        <v>3</v>
      </c>
      <c r="L12" s="55" t="s">
        <v>176</v>
      </c>
      <c r="M12" s="55" t="s">
        <v>2824</v>
      </c>
      <c r="N12" s="4" t="s">
        <v>193</v>
      </c>
      <c r="O12" s="55" t="s">
        <v>178</v>
      </c>
    </row>
    <row r="13" spans="1:17">
      <c r="B13" s="20">
        <v>44670</v>
      </c>
      <c r="C13" s="59">
        <v>50144376</v>
      </c>
      <c r="D13" s="55" t="s">
        <v>19</v>
      </c>
      <c r="E13" s="67">
        <v>500</v>
      </c>
      <c r="F13" s="67">
        <v>12</v>
      </c>
      <c r="G13" s="102">
        <v>6500</v>
      </c>
      <c r="H13" s="105" t="s">
        <v>92</v>
      </c>
      <c r="I13" s="106"/>
      <c r="K13" s="56">
        <v>4</v>
      </c>
      <c r="L13" s="55" t="s">
        <v>176</v>
      </c>
      <c r="M13" s="55" t="s">
        <v>2824</v>
      </c>
      <c r="N13" s="4" t="s">
        <v>193</v>
      </c>
      <c r="O13" s="55" t="s">
        <v>178</v>
      </c>
    </row>
    <row r="14" spans="1:17">
      <c r="B14" s="20">
        <v>44670</v>
      </c>
      <c r="C14" s="59">
        <v>50486293</v>
      </c>
      <c r="D14" s="55" t="s">
        <v>249</v>
      </c>
      <c r="E14" s="101">
        <v>199</v>
      </c>
      <c r="F14" s="101">
        <v>1</v>
      </c>
      <c r="G14" s="102">
        <v>199</v>
      </c>
      <c r="H14" s="103" t="s">
        <v>82</v>
      </c>
      <c r="I14" s="106"/>
      <c r="K14" s="56">
        <v>4</v>
      </c>
      <c r="L14" s="55" t="s">
        <v>176</v>
      </c>
      <c r="M14" s="55" t="s">
        <v>2824</v>
      </c>
      <c r="N14" s="4" t="s">
        <v>193</v>
      </c>
      <c r="O14" s="55" t="s">
        <v>178</v>
      </c>
    </row>
    <row r="15" spans="1:17">
      <c r="B15" s="20">
        <v>44673</v>
      </c>
      <c r="C15" s="59">
        <v>50141786</v>
      </c>
      <c r="D15" s="55" t="s">
        <v>188</v>
      </c>
      <c r="E15" s="67">
        <v>560</v>
      </c>
      <c r="F15" s="67">
        <v>3</v>
      </c>
      <c r="G15" s="102">
        <v>1680</v>
      </c>
      <c r="H15" s="56" t="s">
        <v>82</v>
      </c>
      <c r="I15" s="106"/>
      <c r="K15" s="56">
        <v>5</v>
      </c>
      <c r="L15" s="55" t="s">
        <v>176</v>
      </c>
      <c r="M15" s="55" t="s">
        <v>2824</v>
      </c>
      <c r="N15" s="4" t="s">
        <v>193</v>
      </c>
      <c r="O15" s="55" t="s">
        <v>178</v>
      </c>
    </row>
    <row r="16" spans="1:17">
      <c r="B16" s="20">
        <v>44673</v>
      </c>
      <c r="C16" s="59">
        <v>50142327</v>
      </c>
      <c r="D16" s="55" t="s">
        <v>256</v>
      </c>
      <c r="E16" s="67">
        <v>681</v>
      </c>
      <c r="F16" s="67">
        <v>2</v>
      </c>
      <c r="G16" s="102">
        <v>1362</v>
      </c>
      <c r="H16" s="56" t="s">
        <v>82</v>
      </c>
      <c r="I16" s="106"/>
      <c r="K16" s="56">
        <v>5</v>
      </c>
      <c r="L16" s="55" t="s">
        <v>176</v>
      </c>
      <c r="M16" s="55" t="s">
        <v>2824</v>
      </c>
      <c r="N16" s="4" t="s">
        <v>193</v>
      </c>
      <c r="O16" s="55" t="s">
        <v>178</v>
      </c>
    </row>
    <row r="17" spans="2:15">
      <c r="B17" s="20">
        <v>44673</v>
      </c>
      <c r="C17" s="59">
        <v>50142334</v>
      </c>
      <c r="D17" s="55" t="s">
        <v>257</v>
      </c>
      <c r="E17" s="67">
        <v>681</v>
      </c>
      <c r="F17" s="67">
        <v>3</v>
      </c>
      <c r="G17" s="102">
        <v>2043</v>
      </c>
      <c r="H17" s="56" t="s">
        <v>82</v>
      </c>
      <c r="I17" s="106"/>
      <c r="K17" s="56">
        <v>5</v>
      </c>
      <c r="L17" s="55" t="s">
        <v>176</v>
      </c>
      <c r="M17" s="55" t="s">
        <v>2824</v>
      </c>
      <c r="N17" s="4" t="s">
        <v>193</v>
      </c>
      <c r="O17" s="55" t="s">
        <v>178</v>
      </c>
    </row>
    <row r="18" spans="2:15">
      <c r="B18" s="20">
        <v>44673</v>
      </c>
      <c r="C18" s="59">
        <v>40009148</v>
      </c>
      <c r="D18" s="55" t="s">
        <v>218</v>
      </c>
      <c r="E18" s="67">
        <v>756</v>
      </c>
      <c r="F18" s="67">
        <v>3</v>
      </c>
      <c r="G18" s="102">
        <v>2268</v>
      </c>
      <c r="H18" s="56" t="s">
        <v>80</v>
      </c>
      <c r="I18" s="106"/>
      <c r="K18" s="56">
        <v>5</v>
      </c>
      <c r="L18" s="55" t="s">
        <v>176</v>
      </c>
      <c r="M18" s="55" t="s">
        <v>2824</v>
      </c>
      <c r="N18" s="4" t="s">
        <v>193</v>
      </c>
      <c r="O18" s="55" t="s">
        <v>178</v>
      </c>
    </row>
    <row r="19" spans="2:15">
      <c r="B19" s="20">
        <v>44673</v>
      </c>
      <c r="C19" s="59">
        <v>40009149</v>
      </c>
      <c r="D19" s="55" t="s">
        <v>221</v>
      </c>
      <c r="E19" s="67">
        <v>2592</v>
      </c>
      <c r="F19" s="67">
        <v>1</v>
      </c>
      <c r="G19" s="102">
        <v>2592</v>
      </c>
      <c r="H19" s="56" t="s">
        <v>80</v>
      </c>
      <c r="I19" s="106"/>
      <c r="K19" s="56">
        <v>5</v>
      </c>
      <c r="L19" s="55" t="s">
        <v>176</v>
      </c>
      <c r="M19" s="55" t="s">
        <v>2824</v>
      </c>
      <c r="N19" s="4" t="s">
        <v>193</v>
      </c>
      <c r="O19" s="55" t="s">
        <v>178</v>
      </c>
    </row>
    <row r="20" spans="2:15">
      <c r="B20" s="20">
        <v>44673</v>
      </c>
      <c r="C20" s="59">
        <v>40008022</v>
      </c>
      <c r="D20" s="55" t="s">
        <v>190</v>
      </c>
      <c r="E20" s="67">
        <v>441</v>
      </c>
      <c r="F20" s="67">
        <v>3</v>
      </c>
      <c r="G20" s="102">
        <v>1323</v>
      </c>
      <c r="H20" s="56" t="s">
        <v>80</v>
      </c>
      <c r="I20" s="106"/>
      <c r="K20" s="56">
        <v>5</v>
      </c>
      <c r="L20" s="55" t="s">
        <v>176</v>
      </c>
      <c r="M20" s="55" t="s">
        <v>2824</v>
      </c>
      <c r="N20" s="4" t="s">
        <v>193</v>
      </c>
      <c r="O20" s="55" t="s">
        <v>178</v>
      </c>
    </row>
    <row r="21" spans="2:15">
      <c r="B21" s="20">
        <v>44673</v>
      </c>
      <c r="C21" s="59">
        <v>40009151</v>
      </c>
      <c r="D21" s="55" t="s">
        <v>180</v>
      </c>
      <c r="E21" s="67">
        <v>441</v>
      </c>
      <c r="F21" s="67">
        <v>2</v>
      </c>
      <c r="G21" s="102">
        <v>882</v>
      </c>
      <c r="H21" s="56" t="s">
        <v>80</v>
      </c>
      <c r="I21" s="106"/>
      <c r="K21" s="56">
        <v>5</v>
      </c>
      <c r="L21" s="55" t="s">
        <v>176</v>
      </c>
      <c r="M21" s="55" t="s">
        <v>2824</v>
      </c>
      <c r="N21" s="4" t="s">
        <v>193</v>
      </c>
      <c r="O21" s="55" t="s">
        <v>178</v>
      </c>
    </row>
    <row r="22" spans="2:15">
      <c r="B22" s="20">
        <v>44673</v>
      </c>
      <c r="C22" s="59">
        <v>50455995</v>
      </c>
      <c r="D22" s="55" t="s">
        <v>284</v>
      </c>
      <c r="E22" s="67">
        <v>446</v>
      </c>
      <c r="F22" s="67">
        <v>1</v>
      </c>
      <c r="G22" s="102">
        <v>446</v>
      </c>
      <c r="H22" s="56" t="s">
        <v>82</v>
      </c>
      <c r="I22" s="106"/>
      <c r="K22" s="56">
        <v>5</v>
      </c>
      <c r="L22" s="55" t="s">
        <v>176</v>
      </c>
      <c r="M22" s="55" t="s">
        <v>2824</v>
      </c>
      <c r="N22" s="4" t="s">
        <v>193</v>
      </c>
      <c r="O22" s="55" t="s">
        <v>178</v>
      </c>
    </row>
    <row r="23" spans="2:15">
      <c r="B23" s="20">
        <v>44673</v>
      </c>
      <c r="C23" s="59">
        <v>50143646</v>
      </c>
      <c r="D23" s="55" t="s">
        <v>191</v>
      </c>
      <c r="E23" s="67">
        <v>480</v>
      </c>
      <c r="F23" s="67">
        <v>2</v>
      </c>
      <c r="G23" s="102">
        <v>960</v>
      </c>
      <c r="H23" s="56" t="s">
        <v>82</v>
      </c>
      <c r="I23" s="106"/>
      <c r="K23" s="56">
        <v>6</v>
      </c>
      <c r="L23" s="55" t="s">
        <v>176</v>
      </c>
      <c r="M23" s="55" t="s">
        <v>2824</v>
      </c>
      <c r="N23" s="4" t="s">
        <v>193</v>
      </c>
      <c r="O23" s="55" t="s">
        <v>178</v>
      </c>
    </row>
    <row r="24" spans="2:15">
      <c r="B24" s="20">
        <v>44676</v>
      </c>
      <c r="C24" s="59">
        <v>50143646</v>
      </c>
      <c r="D24" s="55" t="s">
        <v>191</v>
      </c>
      <c r="E24" s="67">
        <v>480</v>
      </c>
      <c r="F24" s="67">
        <v>10</v>
      </c>
      <c r="G24" s="102">
        <v>4800</v>
      </c>
      <c r="H24" s="56" t="s">
        <v>82</v>
      </c>
      <c r="I24" s="106"/>
      <c r="K24" s="56">
        <v>7</v>
      </c>
      <c r="L24" s="55" t="s">
        <v>176</v>
      </c>
      <c r="M24" s="55" t="s">
        <v>2824</v>
      </c>
      <c r="N24" s="4" t="s">
        <v>181</v>
      </c>
      <c r="O24" s="55" t="s">
        <v>178</v>
      </c>
    </row>
    <row r="25" spans="2:15">
      <c r="B25" s="20">
        <v>44676</v>
      </c>
      <c r="C25" s="59">
        <v>40009546</v>
      </c>
      <c r="D25" s="55" t="s">
        <v>174</v>
      </c>
      <c r="E25" s="67">
        <v>756</v>
      </c>
      <c r="F25" s="67">
        <v>5</v>
      </c>
      <c r="G25" s="102">
        <v>3780</v>
      </c>
      <c r="H25" s="56" t="s">
        <v>80</v>
      </c>
      <c r="I25" s="106"/>
      <c r="K25" s="56">
        <v>7</v>
      </c>
      <c r="L25" s="55" t="s">
        <v>176</v>
      </c>
      <c r="M25" s="55" t="s">
        <v>2824</v>
      </c>
      <c r="N25" s="4" t="s">
        <v>181</v>
      </c>
      <c r="O25" s="55" t="s">
        <v>178</v>
      </c>
    </row>
    <row r="26" spans="2:15">
      <c r="B26" s="20">
        <v>44676</v>
      </c>
      <c r="C26" s="59">
        <v>40009544</v>
      </c>
      <c r="D26" s="55" t="s">
        <v>179</v>
      </c>
      <c r="E26" s="67">
        <v>2940</v>
      </c>
      <c r="F26" s="67">
        <v>3</v>
      </c>
      <c r="G26" s="102">
        <v>8820</v>
      </c>
      <c r="H26" s="56" t="s">
        <v>80</v>
      </c>
      <c r="I26" s="106"/>
      <c r="K26" s="56">
        <v>7</v>
      </c>
      <c r="L26" s="55" t="s">
        <v>176</v>
      </c>
      <c r="M26" s="55" t="s">
        <v>2824</v>
      </c>
      <c r="N26" s="4" t="s">
        <v>181</v>
      </c>
      <c r="O26" s="55" t="s">
        <v>178</v>
      </c>
    </row>
    <row r="27" spans="2:15">
      <c r="B27" s="20">
        <v>44676</v>
      </c>
      <c r="C27" s="59">
        <v>40009148</v>
      </c>
      <c r="D27" s="55" t="s">
        <v>218</v>
      </c>
      <c r="E27" s="67">
        <v>756</v>
      </c>
      <c r="F27" s="67">
        <v>2</v>
      </c>
      <c r="G27" s="102">
        <v>1512</v>
      </c>
      <c r="H27" s="56" t="s">
        <v>80</v>
      </c>
      <c r="I27" s="106"/>
      <c r="K27" s="56">
        <v>7</v>
      </c>
      <c r="L27" s="55" t="s">
        <v>176</v>
      </c>
      <c r="M27" s="55" t="s">
        <v>2824</v>
      </c>
      <c r="N27" s="4" t="s">
        <v>181</v>
      </c>
      <c r="O27" s="55" t="s">
        <v>178</v>
      </c>
    </row>
    <row r="28" spans="2:15">
      <c r="B28" s="20">
        <v>44676</v>
      </c>
      <c r="C28" s="59">
        <v>20016185</v>
      </c>
      <c r="D28" s="55" t="s">
        <v>285</v>
      </c>
      <c r="E28" s="67">
        <v>1000</v>
      </c>
      <c r="F28" s="67">
        <v>0</v>
      </c>
      <c r="G28" s="102">
        <v>10000</v>
      </c>
      <c r="H28" s="56" t="s">
        <v>92</v>
      </c>
      <c r="I28" s="106"/>
      <c r="K28" s="56">
        <v>7</v>
      </c>
      <c r="L28" s="55" t="s">
        <v>176</v>
      </c>
      <c r="M28" s="55" t="s">
        <v>2824</v>
      </c>
      <c r="N28" s="4" t="s">
        <v>181</v>
      </c>
      <c r="O28" s="55" t="s">
        <v>178</v>
      </c>
    </row>
    <row r="29" spans="2:15">
      <c r="B29" s="20">
        <v>44678</v>
      </c>
      <c r="C29" s="59">
        <v>40009544</v>
      </c>
      <c r="D29" s="55" t="s">
        <v>179</v>
      </c>
      <c r="E29" s="67">
        <v>2940</v>
      </c>
      <c r="F29" s="67">
        <v>2</v>
      </c>
      <c r="G29" s="102">
        <v>5880</v>
      </c>
      <c r="H29" s="56" t="s">
        <v>80</v>
      </c>
      <c r="I29" s="106"/>
      <c r="K29" s="56">
        <v>8</v>
      </c>
      <c r="L29" s="55" t="s">
        <v>176</v>
      </c>
      <c r="M29" s="55" t="s">
        <v>2824</v>
      </c>
      <c r="N29" s="4" t="s">
        <v>193</v>
      </c>
      <c r="O29" s="55" t="s">
        <v>178</v>
      </c>
    </row>
    <row r="30" spans="2:15">
      <c r="B30" s="20">
        <v>44678</v>
      </c>
      <c r="C30" s="59">
        <v>40009151</v>
      </c>
      <c r="D30" s="55" t="s">
        <v>180</v>
      </c>
      <c r="E30" s="67">
        <v>441</v>
      </c>
      <c r="F30" s="67">
        <v>2</v>
      </c>
      <c r="G30" s="102">
        <v>882</v>
      </c>
      <c r="H30" s="56" t="s">
        <v>80</v>
      </c>
      <c r="I30" s="106"/>
      <c r="K30" s="56">
        <v>8</v>
      </c>
      <c r="L30" s="55" t="s">
        <v>176</v>
      </c>
      <c r="M30" s="55" t="s">
        <v>2824</v>
      </c>
      <c r="N30" s="4" t="s">
        <v>193</v>
      </c>
      <c r="O30" s="55" t="s">
        <v>178</v>
      </c>
    </row>
    <row r="31" spans="2:15">
      <c r="B31" s="20">
        <v>44678</v>
      </c>
      <c r="C31" s="59">
        <v>50144200</v>
      </c>
      <c r="D31" s="55" t="s">
        <v>184</v>
      </c>
      <c r="E31" s="67">
        <v>264</v>
      </c>
      <c r="F31" s="67">
        <v>6</v>
      </c>
      <c r="G31" s="102">
        <v>1584000</v>
      </c>
      <c r="H31" s="56" t="s">
        <v>92</v>
      </c>
      <c r="I31" s="106"/>
      <c r="K31" s="56">
        <v>8</v>
      </c>
      <c r="L31" s="55" t="s">
        <v>176</v>
      </c>
      <c r="M31" s="55" t="s">
        <v>2824</v>
      </c>
      <c r="N31" s="4" t="s">
        <v>193</v>
      </c>
      <c r="O31" s="55" t="s">
        <v>178</v>
      </c>
    </row>
    <row r="32" spans="2:15">
      <c r="B32" s="20">
        <v>44678</v>
      </c>
      <c r="C32" s="59">
        <v>50141786</v>
      </c>
      <c r="D32" s="55" t="s">
        <v>188</v>
      </c>
      <c r="E32" s="67">
        <v>560</v>
      </c>
      <c r="F32" s="67">
        <v>3</v>
      </c>
      <c r="G32" s="102">
        <v>1680</v>
      </c>
      <c r="H32" s="56" t="s">
        <v>82</v>
      </c>
      <c r="I32" s="106"/>
      <c r="K32" s="56">
        <v>8</v>
      </c>
      <c r="L32" s="55" t="s">
        <v>176</v>
      </c>
      <c r="M32" s="55" t="s">
        <v>2824</v>
      </c>
      <c r="N32" s="4" t="s">
        <v>193</v>
      </c>
      <c r="O32" s="55" t="s">
        <v>178</v>
      </c>
    </row>
    <row r="33" spans="2:15">
      <c r="B33" s="20">
        <v>44678</v>
      </c>
      <c r="C33" s="59">
        <v>40007942</v>
      </c>
      <c r="D33" s="55" t="s">
        <v>219</v>
      </c>
      <c r="E33" s="67">
        <v>2307</v>
      </c>
      <c r="F33" s="67">
        <v>1</v>
      </c>
      <c r="G33" s="102">
        <v>2307</v>
      </c>
      <c r="H33" s="56" t="s">
        <v>80</v>
      </c>
      <c r="I33" s="106"/>
      <c r="K33" s="56">
        <v>8</v>
      </c>
      <c r="L33" s="55" t="s">
        <v>176</v>
      </c>
      <c r="M33" s="55" t="s">
        <v>2824</v>
      </c>
      <c r="N33" s="4" t="s">
        <v>193</v>
      </c>
      <c r="O33" s="55" t="s">
        <v>178</v>
      </c>
    </row>
    <row r="34" spans="2:15">
      <c r="B34" s="20">
        <v>44678</v>
      </c>
      <c r="C34" s="59">
        <v>50142327</v>
      </c>
      <c r="D34" s="55" t="s">
        <v>256</v>
      </c>
      <c r="E34" s="67">
        <v>681</v>
      </c>
      <c r="F34" s="67">
        <v>3</v>
      </c>
      <c r="G34" s="102">
        <v>2043</v>
      </c>
      <c r="H34" s="56" t="s">
        <v>82</v>
      </c>
      <c r="I34" s="106"/>
      <c r="K34" s="56">
        <v>8</v>
      </c>
      <c r="L34" s="55" t="s">
        <v>176</v>
      </c>
      <c r="M34" s="55" t="s">
        <v>2824</v>
      </c>
      <c r="N34" s="4" t="s">
        <v>193</v>
      </c>
      <c r="O34" s="55" t="s">
        <v>178</v>
      </c>
    </row>
    <row r="35" spans="2:15">
      <c r="B35" s="20">
        <v>44678</v>
      </c>
      <c r="C35" s="59">
        <v>50142334</v>
      </c>
      <c r="D35" s="55" t="s">
        <v>257</v>
      </c>
      <c r="E35" s="67">
        <v>681</v>
      </c>
      <c r="F35" s="67">
        <v>3</v>
      </c>
      <c r="G35" s="102">
        <v>2043</v>
      </c>
      <c r="H35" s="56" t="s">
        <v>82</v>
      </c>
      <c r="I35" s="106"/>
      <c r="K35" s="56">
        <v>8</v>
      </c>
      <c r="L35" s="55" t="s">
        <v>176</v>
      </c>
      <c r="M35" s="55" t="s">
        <v>2824</v>
      </c>
      <c r="N35" s="4" t="s">
        <v>193</v>
      </c>
      <c r="O35" s="55" t="s">
        <v>178</v>
      </c>
    </row>
    <row r="36" spans="2:15">
      <c r="B36" s="20">
        <v>44680</v>
      </c>
      <c r="C36" s="59">
        <v>50141786</v>
      </c>
      <c r="D36" s="55" t="s">
        <v>188</v>
      </c>
      <c r="E36" s="67">
        <v>560</v>
      </c>
      <c r="F36" s="67">
        <v>3</v>
      </c>
      <c r="G36" s="102">
        <v>1680</v>
      </c>
      <c r="H36" s="56" t="s">
        <v>82</v>
      </c>
      <c r="I36" s="106"/>
      <c r="K36" s="56">
        <v>9</v>
      </c>
      <c r="L36" s="55" t="s">
        <v>176</v>
      </c>
      <c r="M36" s="55" t="s">
        <v>2824</v>
      </c>
      <c r="N36" s="4" t="s">
        <v>193</v>
      </c>
      <c r="O36" s="55" t="s">
        <v>178</v>
      </c>
    </row>
    <row r="37" spans="2:15">
      <c r="B37" s="20">
        <v>44680</v>
      </c>
      <c r="C37" s="59">
        <v>40009151</v>
      </c>
      <c r="D37" s="55" t="s">
        <v>180</v>
      </c>
      <c r="E37" s="67">
        <v>441</v>
      </c>
      <c r="F37" s="67">
        <v>3</v>
      </c>
      <c r="G37" s="102">
        <v>1323</v>
      </c>
      <c r="H37" s="56" t="s">
        <v>80</v>
      </c>
      <c r="I37" s="106"/>
      <c r="K37" s="56">
        <v>9</v>
      </c>
      <c r="L37" s="55" t="s">
        <v>176</v>
      </c>
      <c r="M37" s="55" t="s">
        <v>2824</v>
      </c>
      <c r="N37" s="4" t="s">
        <v>193</v>
      </c>
      <c r="O37" s="55" t="s">
        <v>178</v>
      </c>
    </row>
    <row r="38" spans="2:15">
      <c r="B38" s="20">
        <v>44680</v>
      </c>
      <c r="C38" s="59">
        <v>50272278</v>
      </c>
      <c r="D38" s="55" t="s">
        <v>21</v>
      </c>
      <c r="E38" s="67">
        <v>500</v>
      </c>
      <c r="F38" s="67">
        <v>12</v>
      </c>
      <c r="G38" s="102">
        <v>6000</v>
      </c>
      <c r="H38" s="56" t="s">
        <v>92</v>
      </c>
      <c r="I38" s="106"/>
      <c r="K38" s="56">
        <v>9</v>
      </c>
      <c r="L38" s="55" t="s">
        <v>176</v>
      </c>
      <c r="M38" s="55" t="s">
        <v>2824</v>
      </c>
      <c r="N38" s="4" t="s">
        <v>193</v>
      </c>
      <c r="O38" s="55" t="s">
        <v>178</v>
      </c>
    </row>
    <row r="39" spans="2:15">
      <c r="B39" s="20">
        <v>44680</v>
      </c>
      <c r="C39" s="59">
        <v>50142281</v>
      </c>
      <c r="D39" s="55" t="s">
        <v>204</v>
      </c>
      <c r="E39" s="67">
        <v>450</v>
      </c>
      <c r="F39" s="67">
        <v>2</v>
      </c>
      <c r="G39" s="102">
        <v>900</v>
      </c>
      <c r="H39" s="56" t="s">
        <v>82</v>
      </c>
      <c r="I39" s="106"/>
      <c r="K39" s="56">
        <v>9</v>
      </c>
      <c r="L39" s="55" t="s">
        <v>176</v>
      </c>
      <c r="M39" s="55" t="s">
        <v>2824</v>
      </c>
      <c r="N39" s="4" t="s">
        <v>193</v>
      </c>
      <c r="O39" s="55" t="s">
        <v>178</v>
      </c>
    </row>
    <row r="40" spans="2:15">
      <c r="B40" s="20">
        <v>44684</v>
      </c>
      <c r="C40" s="59">
        <v>50551883</v>
      </c>
      <c r="D40" s="55" t="s">
        <v>223</v>
      </c>
      <c r="E40" s="67">
        <v>360000</v>
      </c>
      <c r="F40" s="67">
        <v>2</v>
      </c>
      <c r="G40" s="102">
        <v>576000</v>
      </c>
      <c r="H40" s="56" t="s">
        <v>92</v>
      </c>
      <c r="I40" s="106"/>
      <c r="K40" s="56">
        <v>10</v>
      </c>
      <c r="L40" s="55" t="s">
        <v>176</v>
      </c>
      <c r="M40" s="55" t="s">
        <v>2824</v>
      </c>
      <c r="N40" s="4" t="s">
        <v>193</v>
      </c>
      <c r="O40" s="55" t="s">
        <v>178</v>
      </c>
    </row>
    <row r="41" spans="2:15">
      <c r="B41" s="20">
        <v>44684</v>
      </c>
      <c r="C41" s="59">
        <v>50271801</v>
      </c>
      <c r="D41" s="55" t="s">
        <v>222</v>
      </c>
      <c r="E41" s="67">
        <v>1950000</v>
      </c>
      <c r="F41" s="67">
        <v>1</v>
      </c>
      <c r="G41" s="102">
        <v>195000</v>
      </c>
      <c r="H41" s="56" t="s">
        <v>92</v>
      </c>
      <c r="I41" s="106"/>
      <c r="K41" s="56">
        <v>10</v>
      </c>
      <c r="L41" s="55" t="s">
        <v>176</v>
      </c>
      <c r="M41" s="55" t="s">
        <v>2824</v>
      </c>
      <c r="N41" s="4" t="s">
        <v>193</v>
      </c>
      <c r="O41" s="55" t="s">
        <v>178</v>
      </c>
    </row>
    <row r="42" spans="2:15">
      <c r="B42" s="20">
        <v>44684</v>
      </c>
      <c r="C42" s="59">
        <v>50141786</v>
      </c>
      <c r="D42" s="55" t="s">
        <v>188</v>
      </c>
      <c r="E42" s="67">
        <v>560</v>
      </c>
      <c r="F42" s="67">
        <v>10</v>
      </c>
      <c r="G42" s="102">
        <v>5600</v>
      </c>
      <c r="H42" s="56" t="s">
        <v>82</v>
      </c>
      <c r="I42" s="106"/>
      <c r="K42" s="56">
        <v>10</v>
      </c>
      <c r="L42" s="55" t="s">
        <v>176</v>
      </c>
      <c r="M42" s="55" t="s">
        <v>2824</v>
      </c>
      <c r="N42" s="4" t="s">
        <v>193</v>
      </c>
      <c r="O42" s="55" t="s">
        <v>178</v>
      </c>
    </row>
    <row r="43" spans="2:15">
      <c r="B43" s="20">
        <v>44684</v>
      </c>
      <c r="C43" s="59">
        <v>40004478</v>
      </c>
      <c r="D43" s="55" t="s">
        <v>183</v>
      </c>
      <c r="E43" s="67">
        <v>220.5</v>
      </c>
      <c r="F43" s="67">
        <v>5</v>
      </c>
      <c r="G43" s="102">
        <v>1102.5</v>
      </c>
      <c r="H43" s="56" t="s">
        <v>80</v>
      </c>
      <c r="I43" s="106"/>
      <c r="K43" s="56">
        <v>10</v>
      </c>
      <c r="L43" s="55" t="s">
        <v>176</v>
      </c>
      <c r="M43" s="55" t="s">
        <v>2824</v>
      </c>
      <c r="N43" s="4" t="s">
        <v>193</v>
      </c>
      <c r="O43" s="55" t="s">
        <v>178</v>
      </c>
    </row>
    <row r="44" spans="2:15">
      <c r="B44" s="99">
        <v>44684</v>
      </c>
      <c r="C44" s="59">
        <v>50143893</v>
      </c>
      <c r="D44" s="55" t="s">
        <v>24</v>
      </c>
      <c r="E44" s="101">
        <v>1044</v>
      </c>
      <c r="F44" s="101">
        <v>0</v>
      </c>
      <c r="G44" s="102">
        <v>17.4</v>
      </c>
      <c r="H44" s="56" t="s">
        <v>92</v>
      </c>
      <c r="I44" s="106"/>
      <c r="K44" s="56">
        <v>11</v>
      </c>
      <c r="L44" s="55" t="s">
        <v>286</v>
      </c>
      <c r="M44" s="55" t="s">
        <v>286</v>
      </c>
      <c r="N44" s="4" t="s">
        <v>2825</v>
      </c>
      <c r="O44" s="55" t="s">
        <v>178</v>
      </c>
    </row>
    <row r="45" spans="2:15">
      <c r="B45" s="99">
        <v>44684</v>
      </c>
      <c r="C45" s="59">
        <v>50145028</v>
      </c>
      <c r="D45" s="55" t="s">
        <v>23</v>
      </c>
      <c r="E45" s="67">
        <v>216</v>
      </c>
      <c r="G45" s="102">
        <v>1</v>
      </c>
      <c r="H45" s="56" t="s">
        <v>92</v>
      </c>
      <c r="I45" s="106"/>
      <c r="K45" s="56">
        <v>11</v>
      </c>
      <c r="L45" s="55" t="s">
        <v>286</v>
      </c>
      <c r="M45" s="55" t="s">
        <v>286</v>
      </c>
      <c r="N45" s="4" t="s">
        <v>2825</v>
      </c>
      <c r="O45" s="55" t="s">
        <v>178</v>
      </c>
    </row>
    <row r="46" spans="2:15">
      <c r="B46" s="99">
        <v>44685</v>
      </c>
      <c r="C46" s="59">
        <v>50142327</v>
      </c>
      <c r="D46" s="55" t="s">
        <v>256</v>
      </c>
      <c r="E46" s="67">
        <v>681</v>
      </c>
      <c r="F46" s="67">
        <v>2</v>
      </c>
      <c r="G46" s="102">
        <v>1362</v>
      </c>
      <c r="H46" s="56" t="s">
        <v>82</v>
      </c>
      <c r="I46" s="106"/>
      <c r="K46" s="56">
        <v>12</v>
      </c>
      <c r="L46" s="55" t="s">
        <v>176</v>
      </c>
      <c r="M46" s="55" t="s">
        <v>2824</v>
      </c>
      <c r="N46" s="4" t="s">
        <v>193</v>
      </c>
      <c r="O46" s="55" t="s">
        <v>178</v>
      </c>
    </row>
    <row r="47" spans="2:15">
      <c r="B47" s="99">
        <v>44685</v>
      </c>
      <c r="C47" s="59">
        <v>50142055</v>
      </c>
      <c r="D47" s="55" t="s">
        <v>206</v>
      </c>
      <c r="E47" s="67">
        <v>600</v>
      </c>
      <c r="F47" s="67">
        <v>5</v>
      </c>
      <c r="G47" s="102">
        <v>3000</v>
      </c>
      <c r="H47" s="56" t="s">
        <v>82</v>
      </c>
      <c r="I47" s="106"/>
      <c r="K47" s="56">
        <v>12</v>
      </c>
      <c r="L47" s="55" t="s">
        <v>176</v>
      </c>
      <c r="M47" s="55" t="s">
        <v>2824</v>
      </c>
      <c r="N47" s="4" t="s">
        <v>193</v>
      </c>
      <c r="O47" s="55" t="s">
        <v>178</v>
      </c>
    </row>
    <row r="48" spans="2:15">
      <c r="B48" s="99">
        <v>44685</v>
      </c>
      <c r="C48" s="59">
        <v>50144200</v>
      </c>
      <c r="D48" s="55" t="s">
        <v>184</v>
      </c>
      <c r="E48" s="67">
        <v>264000</v>
      </c>
      <c r="F48" s="67">
        <v>5</v>
      </c>
      <c r="G48" s="102">
        <f>1320000+900000</f>
        <v>2220000</v>
      </c>
      <c r="H48" s="56" t="s">
        <v>92</v>
      </c>
      <c r="I48" s="106"/>
      <c r="K48" s="56">
        <v>12</v>
      </c>
      <c r="L48" s="55" t="s">
        <v>176</v>
      </c>
      <c r="M48" s="55" t="s">
        <v>2824</v>
      </c>
      <c r="N48" s="4" t="s">
        <v>193</v>
      </c>
      <c r="O48" s="55" t="s">
        <v>178</v>
      </c>
    </row>
    <row r="49" spans="2:15">
      <c r="B49" s="99">
        <v>44685</v>
      </c>
      <c r="C49" s="59">
        <v>50142327</v>
      </c>
      <c r="D49" s="55" t="s">
        <v>256</v>
      </c>
      <c r="E49" s="67">
        <v>681</v>
      </c>
      <c r="F49" s="67">
        <v>3</v>
      </c>
      <c r="G49" s="107">
        <v>1089.6</v>
      </c>
      <c r="H49" s="56" t="s">
        <v>82</v>
      </c>
      <c r="I49" s="106"/>
      <c r="K49" s="56">
        <v>12</v>
      </c>
      <c r="L49" s="55" t="s">
        <v>176</v>
      </c>
      <c r="M49" s="55" t="s">
        <v>2824</v>
      </c>
      <c r="N49" s="4" t="s">
        <v>193</v>
      </c>
      <c r="O49" s="55" t="s">
        <v>178</v>
      </c>
    </row>
    <row r="50" spans="2:15">
      <c r="B50" s="99">
        <v>44685</v>
      </c>
      <c r="C50" s="59">
        <v>50142334</v>
      </c>
      <c r="D50" s="55" t="s">
        <v>257</v>
      </c>
      <c r="E50" s="67">
        <v>681</v>
      </c>
      <c r="F50" s="67">
        <v>2</v>
      </c>
      <c r="G50" s="102">
        <v>499.4</v>
      </c>
      <c r="H50" s="56" t="s">
        <v>82</v>
      </c>
      <c r="I50" s="106"/>
      <c r="K50" s="56">
        <v>12</v>
      </c>
      <c r="L50" s="55" t="s">
        <v>176</v>
      </c>
      <c r="M50" s="55" t="s">
        <v>2824</v>
      </c>
      <c r="N50" s="4" t="s">
        <v>193</v>
      </c>
      <c r="O50" s="55" t="s">
        <v>178</v>
      </c>
    </row>
    <row r="51" spans="2:15">
      <c r="B51" s="99">
        <v>44685</v>
      </c>
      <c r="C51" s="59">
        <v>50417410</v>
      </c>
      <c r="D51" s="55" t="s">
        <v>302</v>
      </c>
      <c r="E51" s="67">
        <v>30000</v>
      </c>
      <c r="G51" s="102">
        <v>270000</v>
      </c>
      <c r="H51" s="56" t="s">
        <v>92</v>
      </c>
      <c r="I51" s="106"/>
      <c r="K51" s="56">
        <v>12</v>
      </c>
      <c r="L51" s="55" t="s">
        <v>176</v>
      </c>
      <c r="M51" s="55" t="s">
        <v>2824</v>
      </c>
      <c r="N51" s="4" t="s">
        <v>193</v>
      </c>
      <c r="O51" s="55" t="s">
        <v>178</v>
      </c>
    </row>
    <row r="52" spans="2:15">
      <c r="B52" s="99">
        <v>44685</v>
      </c>
      <c r="C52" s="59">
        <v>40499</v>
      </c>
      <c r="D52" s="55" t="s">
        <v>316</v>
      </c>
      <c r="E52" s="67">
        <v>67</v>
      </c>
      <c r="F52" s="67">
        <v>67</v>
      </c>
      <c r="G52" s="102">
        <v>67</v>
      </c>
      <c r="H52" s="56" t="s">
        <v>92</v>
      </c>
      <c r="I52" s="106"/>
      <c r="K52" s="56">
        <v>13</v>
      </c>
      <c r="L52" s="55" t="s">
        <v>176</v>
      </c>
      <c r="M52" s="55" t="s">
        <v>2824</v>
      </c>
      <c r="N52" s="4" t="s">
        <v>193</v>
      </c>
      <c r="O52" s="55" t="s">
        <v>178</v>
      </c>
    </row>
    <row r="53" spans="2:15">
      <c r="B53" s="99">
        <v>44690</v>
      </c>
      <c r="C53" s="59">
        <v>50470190</v>
      </c>
      <c r="D53" s="55" t="s">
        <v>12</v>
      </c>
      <c r="E53" s="67">
        <v>289800</v>
      </c>
      <c r="F53" s="67">
        <v>9</v>
      </c>
      <c r="G53" s="102">
        <f>2898000-289800</f>
        <v>2608200</v>
      </c>
      <c r="H53" s="56" t="s">
        <v>92</v>
      </c>
      <c r="I53" s="106"/>
      <c r="K53" s="56">
        <v>13</v>
      </c>
      <c r="L53" s="55" t="s">
        <v>176</v>
      </c>
      <c r="M53" s="55" t="s">
        <v>2824</v>
      </c>
      <c r="N53" s="4" t="s">
        <v>193</v>
      </c>
      <c r="O53" s="55" t="s">
        <v>178</v>
      </c>
    </row>
    <row r="54" spans="2:15">
      <c r="B54" s="99">
        <v>44690</v>
      </c>
      <c r="C54" s="108">
        <v>50522168</v>
      </c>
      <c r="D54" s="55" t="s">
        <v>252</v>
      </c>
      <c r="E54" s="67">
        <v>665.7</v>
      </c>
      <c r="F54" s="67">
        <v>6</v>
      </c>
      <c r="G54" s="102">
        <v>3731.1</v>
      </c>
      <c r="H54" s="56" t="s">
        <v>82</v>
      </c>
      <c r="I54" s="106"/>
      <c r="K54" s="56">
        <v>13</v>
      </c>
      <c r="L54" s="55" t="s">
        <v>176</v>
      </c>
      <c r="M54" s="55" t="s">
        <v>2824</v>
      </c>
      <c r="N54" s="4" t="s">
        <v>193</v>
      </c>
      <c r="O54" s="55" t="s">
        <v>178</v>
      </c>
    </row>
    <row r="55" spans="2:15">
      <c r="B55" s="99">
        <v>44690</v>
      </c>
      <c r="C55" s="59">
        <v>40008024</v>
      </c>
      <c r="D55" s="55" t="s">
        <v>182</v>
      </c>
      <c r="E55" s="67">
        <v>441</v>
      </c>
      <c r="F55" s="67">
        <v>4</v>
      </c>
      <c r="G55" s="102">
        <v>1764</v>
      </c>
      <c r="H55" s="56" t="s">
        <v>80</v>
      </c>
      <c r="I55" s="106"/>
      <c r="K55" s="56">
        <v>13</v>
      </c>
      <c r="L55" s="55" t="s">
        <v>176</v>
      </c>
      <c r="M55" s="55" t="s">
        <v>2824</v>
      </c>
      <c r="N55" s="4" t="s">
        <v>193</v>
      </c>
      <c r="O55" s="55" t="s">
        <v>178</v>
      </c>
    </row>
    <row r="56" spans="2:15">
      <c r="B56" s="99">
        <v>44690</v>
      </c>
      <c r="C56" s="59">
        <v>50142055</v>
      </c>
      <c r="D56" s="55" t="s">
        <v>206</v>
      </c>
      <c r="E56" s="67">
        <v>25</v>
      </c>
      <c r="G56" s="102">
        <v>25</v>
      </c>
      <c r="H56" s="56" t="s">
        <v>82</v>
      </c>
      <c r="I56" s="106"/>
      <c r="K56" s="56">
        <v>13</v>
      </c>
      <c r="L56" s="55" t="s">
        <v>176</v>
      </c>
      <c r="M56" s="55" t="s">
        <v>2824</v>
      </c>
      <c r="N56" s="4" t="s">
        <v>193</v>
      </c>
      <c r="O56" s="55" t="s">
        <v>178</v>
      </c>
    </row>
    <row r="57" spans="2:15">
      <c r="B57" s="99">
        <v>44690</v>
      </c>
      <c r="C57" s="59">
        <v>50272278</v>
      </c>
      <c r="D57" s="55" t="s">
        <v>21</v>
      </c>
      <c r="E57" s="101">
        <v>500</v>
      </c>
      <c r="F57" s="101">
        <v>1</v>
      </c>
      <c r="G57" s="102">
        <v>3550</v>
      </c>
      <c r="H57" s="56" t="s">
        <v>92</v>
      </c>
      <c r="I57" s="106"/>
      <c r="K57" s="56">
        <v>14</v>
      </c>
      <c r="L57" s="55" t="s">
        <v>2826</v>
      </c>
      <c r="M57" s="55" t="s">
        <v>326</v>
      </c>
      <c r="O57" s="55" t="s">
        <v>178</v>
      </c>
    </row>
    <row r="58" spans="2:15">
      <c r="B58" s="99">
        <v>44694</v>
      </c>
      <c r="C58" s="59">
        <v>50142327</v>
      </c>
      <c r="D58" s="55" t="s">
        <v>256</v>
      </c>
      <c r="E58" s="67">
        <v>681</v>
      </c>
      <c r="F58" s="67">
        <v>2</v>
      </c>
      <c r="G58" s="102">
        <v>1362</v>
      </c>
      <c r="H58" s="56" t="s">
        <v>82</v>
      </c>
      <c r="I58" s="106"/>
      <c r="K58" s="56">
        <v>15</v>
      </c>
      <c r="L58" s="55" t="s">
        <v>176</v>
      </c>
      <c r="M58" s="55" t="s">
        <v>2824</v>
      </c>
      <c r="N58" s="4" t="s">
        <v>193</v>
      </c>
      <c r="O58" s="55" t="s">
        <v>178</v>
      </c>
    </row>
    <row r="59" spans="2:15">
      <c r="B59" s="99">
        <v>44694</v>
      </c>
      <c r="C59" s="59">
        <v>50142334</v>
      </c>
      <c r="D59" s="55" t="s">
        <v>257</v>
      </c>
      <c r="E59" s="67">
        <v>681</v>
      </c>
      <c r="F59" s="67">
        <v>3</v>
      </c>
      <c r="G59" s="102">
        <v>2043</v>
      </c>
      <c r="H59" s="56" t="s">
        <v>82</v>
      </c>
      <c r="I59" s="106"/>
      <c r="K59" s="56">
        <v>15</v>
      </c>
      <c r="L59" s="55" t="s">
        <v>176</v>
      </c>
      <c r="M59" s="55" t="s">
        <v>2824</v>
      </c>
      <c r="N59" s="4" t="s">
        <v>193</v>
      </c>
      <c r="O59" s="55" t="s">
        <v>178</v>
      </c>
    </row>
    <row r="60" spans="2:15">
      <c r="B60" s="99">
        <v>44694</v>
      </c>
      <c r="C60" s="59">
        <v>50144200</v>
      </c>
      <c r="D60" s="55" t="s">
        <v>184</v>
      </c>
      <c r="E60" s="67">
        <v>264000</v>
      </c>
      <c r="F60" s="67">
        <v>7</v>
      </c>
      <c r="G60" s="102">
        <v>1848000</v>
      </c>
      <c r="H60" s="56" t="s">
        <v>92</v>
      </c>
      <c r="I60" s="106"/>
      <c r="K60" s="56">
        <v>15</v>
      </c>
      <c r="L60" s="55" t="s">
        <v>176</v>
      </c>
      <c r="M60" s="55" t="s">
        <v>2824</v>
      </c>
      <c r="N60" s="4" t="s">
        <v>193</v>
      </c>
      <c r="O60" s="55" t="s">
        <v>178</v>
      </c>
    </row>
    <row r="61" spans="2:15">
      <c r="B61" s="99">
        <v>44694</v>
      </c>
      <c r="C61" s="59">
        <v>50522171</v>
      </c>
      <c r="D61" s="55" t="s">
        <v>203</v>
      </c>
      <c r="E61" s="67">
        <v>112</v>
      </c>
      <c r="F61" s="67">
        <v>2</v>
      </c>
      <c r="G61" s="102">
        <v>535.5</v>
      </c>
      <c r="H61" s="56" t="s">
        <v>82</v>
      </c>
      <c r="I61" s="106"/>
      <c r="K61" s="56">
        <v>15</v>
      </c>
      <c r="L61" s="55" t="s">
        <v>176</v>
      </c>
      <c r="M61" s="55" t="s">
        <v>2824</v>
      </c>
      <c r="N61" s="4" t="s">
        <v>193</v>
      </c>
      <c r="O61" s="55" t="s">
        <v>178</v>
      </c>
    </row>
    <row r="62" spans="2:15">
      <c r="B62" s="99">
        <v>44694</v>
      </c>
      <c r="C62" s="59">
        <v>50143646</v>
      </c>
      <c r="D62" s="55" t="s">
        <v>191</v>
      </c>
      <c r="E62" s="67">
        <v>480</v>
      </c>
      <c r="F62" s="67">
        <v>6</v>
      </c>
      <c r="G62" s="102">
        <v>2880</v>
      </c>
      <c r="H62" s="56" t="s">
        <v>82</v>
      </c>
      <c r="I62" s="106"/>
      <c r="K62" s="56">
        <v>15</v>
      </c>
      <c r="L62" s="55" t="s">
        <v>176</v>
      </c>
      <c r="M62" s="55" t="s">
        <v>2824</v>
      </c>
      <c r="N62" s="4" t="s">
        <v>193</v>
      </c>
      <c r="O62" s="55" t="s">
        <v>178</v>
      </c>
    </row>
    <row r="63" spans="2:15">
      <c r="B63" s="99">
        <v>44694</v>
      </c>
      <c r="C63" s="59">
        <v>50145031</v>
      </c>
      <c r="D63" s="55" t="s">
        <v>282</v>
      </c>
      <c r="E63" s="67">
        <v>741.95</v>
      </c>
      <c r="F63" s="67">
        <v>2</v>
      </c>
      <c r="G63" s="102">
        <v>1010</v>
      </c>
      <c r="H63" s="56" t="s">
        <v>82</v>
      </c>
      <c r="I63" s="106"/>
      <c r="K63" s="56">
        <v>16</v>
      </c>
      <c r="L63" s="55" t="s">
        <v>176</v>
      </c>
      <c r="M63" s="55" t="s">
        <v>2824</v>
      </c>
      <c r="N63" s="4" t="s">
        <v>193</v>
      </c>
      <c r="O63" s="55" t="s">
        <v>178</v>
      </c>
    </row>
    <row r="64" spans="2:15">
      <c r="B64" s="99">
        <v>44698</v>
      </c>
      <c r="C64" s="59">
        <v>50522169</v>
      </c>
      <c r="D64" s="55" t="s">
        <v>250</v>
      </c>
      <c r="E64" s="67">
        <v>101</v>
      </c>
      <c r="F64" s="67">
        <v>4</v>
      </c>
      <c r="G64" s="102">
        <v>2208.75</v>
      </c>
      <c r="H64" s="56" t="s">
        <v>82</v>
      </c>
      <c r="I64" s="106"/>
      <c r="K64" s="56">
        <v>17</v>
      </c>
      <c r="L64" s="55" t="s">
        <v>176</v>
      </c>
      <c r="M64" s="55" t="s">
        <v>2824</v>
      </c>
      <c r="N64" s="4" t="s">
        <v>193</v>
      </c>
      <c r="O64" s="55" t="s">
        <v>178</v>
      </c>
    </row>
    <row r="65" spans="2:15">
      <c r="B65" s="99">
        <v>44698</v>
      </c>
      <c r="C65" s="59">
        <v>50141786</v>
      </c>
      <c r="D65" s="55" t="s">
        <v>188</v>
      </c>
      <c r="E65" s="67">
        <v>560</v>
      </c>
      <c r="F65" s="67">
        <v>7</v>
      </c>
      <c r="G65" s="102">
        <v>3920</v>
      </c>
      <c r="H65" s="56" t="s">
        <v>82</v>
      </c>
      <c r="I65" s="106"/>
      <c r="K65" s="56">
        <v>17</v>
      </c>
      <c r="L65" s="55" t="s">
        <v>176</v>
      </c>
      <c r="M65" s="55" t="s">
        <v>2824</v>
      </c>
      <c r="N65" s="4" t="s">
        <v>193</v>
      </c>
      <c r="O65" s="55" t="s">
        <v>178</v>
      </c>
    </row>
    <row r="66" spans="2:15">
      <c r="B66" s="99">
        <v>44698</v>
      </c>
      <c r="C66" s="59">
        <v>50142327</v>
      </c>
      <c r="D66" s="55" t="s">
        <v>256</v>
      </c>
      <c r="E66" s="67">
        <v>681</v>
      </c>
      <c r="F66" s="67">
        <v>1</v>
      </c>
      <c r="G66" s="102">
        <v>681</v>
      </c>
      <c r="H66" s="56" t="s">
        <v>82</v>
      </c>
      <c r="I66" s="106"/>
      <c r="K66" s="56">
        <v>17</v>
      </c>
      <c r="L66" s="55" t="s">
        <v>176</v>
      </c>
      <c r="M66" s="55" t="s">
        <v>2824</v>
      </c>
      <c r="N66" s="4" t="s">
        <v>193</v>
      </c>
      <c r="O66" s="55" t="s">
        <v>178</v>
      </c>
    </row>
    <row r="67" spans="2:15">
      <c r="B67" s="99">
        <v>44698</v>
      </c>
      <c r="C67" s="59">
        <v>50142334</v>
      </c>
      <c r="D67" s="55" t="s">
        <v>257</v>
      </c>
      <c r="E67" s="67">
        <v>681</v>
      </c>
      <c r="F67" s="67">
        <v>2</v>
      </c>
      <c r="G67" s="102">
        <v>1362</v>
      </c>
      <c r="H67" s="56" t="s">
        <v>82</v>
      </c>
      <c r="I67" s="106"/>
      <c r="K67" s="56">
        <v>17</v>
      </c>
      <c r="L67" s="55" t="s">
        <v>176</v>
      </c>
      <c r="M67" s="55" t="s">
        <v>2824</v>
      </c>
      <c r="N67" s="4" t="s">
        <v>193</v>
      </c>
      <c r="O67" s="55" t="s">
        <v>178</v>
      </c>
    </row>
    <row r="68" spans="2:15">
      <c r="B68" s="99">
        <v>44698</v>
      </c>
      <c r="C68" s="59">
        <v>50486295</v>
      </c>
      <c r="D68" s="55" t="s">
        <v>232</v>
      </c>
      <c r="E68" s="67">
        <v>467.4</v>
      </c>
      <c r="F68" s="67">
        <v>1</v>
      </c>
      <c r="G68" s="102">
        <v>467.4</v>
      </c>
      <c r="H68" s="56" t="s">
        <v>82</v>
      </c>
      <c r="I68" s="106"/>
      <c r="K68" s="56">
        <v>17</v>
      </c>
      <c r="L68" s="55" t="s">
        <v>176</v>
      </c>
      <c r="M68" s="55" t="s">
        <v>2824</v>
      </c>
      <c r="N68" s="4" t="s">
        <v>193</v>
      </c>
      <c r="O68" s="55" t="s">
        <v>178</v>
      </c>
    </row>
    <row r="69" spans="2:15">
      <c r="B69" s="99">
        <v>44698</v>
      </c>
      <c r="C69" s="59">
        <v>50455863</v>
      </c>
      <c r="D69" s="55" t="s">
        <v>265</v>
      </c>
      <c r="E69" s="67">
        <v>286000</v>
      </c>
      <c r="F69" s="67">
        <v>3</v>
      </c>
      <c r="G69" s="102">
        <v>739000</v>
      </c>
      <c r="H69" s="56" t="s">
        <v>92</v>
      </c>
      <c r="I69" s="106"/>
      <c r="K69" s="56">
        <v>18</v>
      </c>
      <c r="L69" s="55" t="s">
        <v>326</v>
      </c>
      <c r="M69" s="55" t="s">
        <v>2824</v>
      </c>
      <c r="N69" s="4" t="s">
        <v>327</v>
      </c>
      <c r="O69" s="55" t="s">
        <v>178</v>
      </c>
    </row>
    <row r="70" spans="2:15">
      <c r="B70" s="99">
        <v>44698</v>
      </c>
      <c r="C70" s="59">
        <v>50340253</v>
      </c>
      <c r="D70" s="55" t="s">
        <v>298</v>
      </c>
      <c r="E70" s="67">
        <v>24000</v>
      </c>
      <c r="F70" s="67">
        <v>2</v>
      </c>
      <c r="G70" s="102">
        <v>871500</v>
      </c>
      <c r="H70" s="56" t="s">
        <v>92</v>
      </c>
      <c r="I70" s="106"/>
      <c r="K70" s="56">
        <v>18</v>
      </c>
      <c r="L70" s="55" t="s">
        <v>326</v>
      </c>
      <c r="M70" s="55" t="s">
        <v>2824</v>
      </c>
      <c r="N70" s="4" t="s">
        <v>327</v>
      </c>
      <c r="O70" s="55" t="s">
        <v>178</v>
      </c>
    </row>
    <row r="71" spans="2:15">
      <c r="B71" s="99">
        <v>44698</v>
      </c>
      <c r="C71" s="59">
        <v>50417410</v>
      </c>
      <c r="D71" s="55" t="s">
        <v>302</v>
      </c>
      <c r="E71" s="67">
        <v>30000</v>
      </c>
      <c r="G71" s="102">
        <v>537000</v>
      </c>
      <c r="H71" s="56" t="s">
        <v>92</v>
      </c>
      <c r="I71" s="106"/>
      <c r="K71" s="56">
        <v>18</v>
      </c>
      <c r="L71" s="55" t="s">
        <v>326</v>
      </c>
      <c r="M71" s="55" t="s">
        <v>2824</v>
      </c>
      <c r="N71" s="4" t="s">
        <v>327</v>
      </c>
      <c r="O71" s="55" t="s">
        <v>178</v>
      </c>
    </row>
    <row r="72" spans="2:15">
      <c r="B72" s="99">
        <v>44698</v>
      </c>
      <c r="C72" s="59">
        <v>50417411</v>
      </c>
      <c r="D72" s="55" t="s">
        <v>300</v>
      </c>
      <c r="E72" s="67">
        <v>48000</v>
      </c>
      <c r="F72" s="67">
        <v>2</v>
      </c>
      <c r="G72" s="102">
        <v>1085000</v>
      </c>
      <c r="H72" s="56" t="s">
        <v>92</v>
      </c>
      <c r="I72" s="106"/>
      <c r="K72" s="56">
        <v>18</v>
      </c>
      <c r="L72" s="55" t="s">
        <v>326</v>
      </c>
      <c r="M72" s="55" t="s">
        <v>2824</v>
      </c>
      <c r="N72" s="4" t="s">
        <v>327</v>
      </c>
      <c r="O72" s="55" t="s">
        <v>178</v>
      </c>
    </row>
    <row r="73" spans="2:15">
      <c r="B73" s="99">
        <v>44698</v>
      </c>
      <c r="C73" s="59">
        <v>50455985</v>
      </c>
      <c r="D73" s="55" t="s">
        <v>299</v>
      </c>
      <c r="E73" s="67">
        <v>30000</v>
      </c>
      <c r="F73" s="67">
        <v>2</v>
      </c>
      <c r="G73" s="102">
        <v>575000</v>
      </c>
      <c r="H73" s="56" t="s">
        <v>92</v>
      </c>
      <c r="I73" s="106"/>
      <c r="K73" s="56">
        <v>18</v>
      </c>
      <c r="L73" s="55" t="s">
        <v>326</v>
      </c>
      <c r="M73" s="55" t="s">
        <v>2824</v>
      </c>
      <c r="N73" s="4" t="s">
        <v>327</v>
      </c>
      <c r="O73" s="55" t="s">
        <v>178</v>
      </c>
    </row>
    <row r="74" spans="2:15">
      <c r="B74" s="99">
        <v>44698</v>
      </c>
      <c r="C74" s="59">
        <v>50417412</v>
      </c>
      <c r="D74" s="55" t="s">
        <v>301</v>
      </c>
      <c r="E74" s="67">
        <v>64000</v>
      </c>
      <c r="F74" s="67">
        <v>2</v>
      </c>
      <c r="G74" s="102">
        <v>1125000</v>
      </c>
      <c r="H74" s="56" t="s">
        <v>92</v>
      </c>
      <c r="I74" s="106"/>
      <c r="K74" s="56">
        <v>18</v>
      </c>
      <c r="L74" s="55" t="s">
        <v>326</v>
      </c>
      <c r="M74" s="55" t="s">
        <v>2824</v>
      </c>
      <c r="N74" s="4" t="s">
        <v>327</v>
      </c>
      <c r="O74" s="55" t="s">
        <v>178</v>
      </c>
    </row>
    <row r="75" spans="2:15">
      <c r="B75" s="99">
        <v>44698</v>
      </c>
      <c r="C75" s="59">
        <v>50455589</v>
      </c>
      <c r="D75" s="55" t="s">
        <v>310</v>
      </c>
      <c r="E75" s="67">
        <v>64000</v>
      </c>
      <c r="F75" s="67">
        <v>1</v>
      </c>
      <c r="G75" s="102">
        <v>122000</v>
      </c>
      <c r="H75" s="56" t="s">
        <v>92</v>
      </c>
      <c r="I75" s="106"/>
      <c r="K75" s="56">
        <v>18</v>
      </c>
      <c r="L75" s="55" t="s">
        <v>326</v>
      </c>
      <c r="M75" s="55" t="s">
        <v>2824</v>
      </c>
      <c r="N75" s="4" t="s">
        <v>327</v>
      </c>
      <c r="O75" s="55" t="s">
        <v>178</v>
      </c>
    </row>
    <row r="76" spans="2:15">
      <c r="B76" s="99">
        <v>44698</v>
      </c>
      <c r="C76" s="59">
        <v>50455987</v>
      </c>
      <c r="D76" s="55" t="s">
        <v>307</v>
      </c>
      <c r="E76" s="67">
        <v>48000</v>
      </c>
      <c r="F76" s="67">
        <v>1</v>
      </c>
      <c r="G76" s="102">
        <v>48000</v>
      </c>
      <c r="H76" s="56" t="s">
        <v>92</v>
      </c>
      <c r="I76" s="106"/>
      <c r="K76" s="56">
        <v>18</v>
      </c>
      <c r="L76" s="55" t="s">
        <v>326</v>
      </c>
      <c r="M76" s="55" t="s">
        <v>2824</v>
      </c>
      <c r="N76" s="4" t="s">
        <v>327</v>
      </c>
      <c r="O76" s="55" t="s">
        <v>178</v>
      </c>
    </row>
    <row r="77" spans="2:15">
      <c r="B77" s="99">
        <v>44698</v>
      </c>
      <c r="C77" s="59">
        <v>50409393</v>
      </c>
      <c r="D77" s="55" t="s">
        <v>278</v>
      </c>
      <c r="E77" s="67">
        <v>402</v>
      </c>
      <c r="F77" s="67">
        <v>2</v>
      </c>
      <c r="G77" s="102">
        <v>940.05</v>
      </c>
      <c r="H77" s="56" t="s">
        <v>82</v>
      </c>
      <c r="I77" s="106"/>
      <c r="K77" s="56">
        <v>18</v>
      </c>
      <c r="L77" s="55" t="s">
        <v>326</v>
      </c>
      <c r="M77" s="55" t="s">
        <v>2824</v>
      </c>
      <c r="N77" s="4" t="s">
        <v>327</v>
      </c>
      <c r="O77" s="55" t="s">
        <v>178</v>
      </c>
    </row>
    <row r="78" spans="2:15">
      <c r="B78" s="99">
        <v>44698</v>
      </c>
      <c r="C78" s="59">
        <v>50340257</v>
      </c>
      <c r="D78" s="55" t="s">
        <v>297</v>
      </c>
      <c r="E78" s="67">
        <v>110000</v>
      </c>
      <c r="F78" s="67">
        <v>2</v>
      </c>
      <c r="G78" s="102">
        <v>865000</v>
      </c>
      <c r="H78" s="56" t="s">
        <v>92</v>
      </c>
      <c r="I78" s="106"/>
      <c r="K78" s="56">
        <v>18</v>
      </c>
      <c r="L78" s="55" t="s">
        <v>326</v>
      </c>
      <c r="M78" s="55" t="s">
        <v>2824</v>
      </c>
      <c r="N78" s="4" t="s">
        <v>327</v>
      </c>
      <c r="O78" s="55" t="s">
        <v>178</v>
      </c>
    </row>
    <row r="79" spans="2:15">
      <c r="B79" s="99">
        <v>44698</v>
      </c>
      <c r="C79" s="59">
        <v>50455770</v>
      </c>
      <c r="D79" s="55" t="s">
        <v>308</v>
      </c>
      <c r="E79" s="67">
        <v>30000</v>
      </c>
      <c r="F79" s="67">
        <v>1</v>
      </c>
      <c r="G79" s="102">
        <v>109000</v>
      </c>
      <c r="H79" s="56" t="s">
        <v>92</v>
      </c>
      <c r="I79" s="106"/>
      <c r="K79" s="56">
        <v>18</v>
      </c>
      <c r="L79" s="55" t="s">
        <v>326</v>
      </c>
      <c r="M79" s="55" t="s">
        <v>2824</v>
      </c>
      <c r="N79" s="4" t="s">
        <v>327</v>
      </c>
      <c r="O79" s="55" t="s">
        <v>178</v>
      </c>
    </row>
    <row r="80" spans="2:15">
      <c r="B80" s="99">
        <v>44698</v>
      </c>
      <c r="C80" s="59">
        <v>50455993</v>
      </c>
      <c r="D80" s="55" t="s">
        <v>281</v>
      </c>
      <c r="E80" s="67">
        <v>461.02</v>
      </c>
      <c r="F80" s="67">
        <v>1</v>
      </c>
      <c r="G80" s="102">
        <v>461.02</v>
      </c>
      <c r="H80" s="56" t="s">
        <v>82</v>
      </c>
      <c r="I80" s="106"/>
      <c r="K80" s="56">
        <v>18</v>
      </c>
      <c r="L80" s="55" t="s">
        <v>326</v>
      </c>
      <c r="M80" s="55" t="s">
        <v>2824</v>
      </c>
      <c r="N80" s="4" t="s">
        <v>327</v>
      </c>
      <c r="O80" s="55" t="s">
        <v>178</v>
      </c>
    </row>
    <row r="81" spans="2:15">
      <c r="B81" s="99">
        <v>44698</v>
      </c>
      <c r="C81" s="59">
        <v>50455996</v>
      </c>
      <c r="D81" s="55" t="s">
        <v>279</v>
      </c>
      <c r="E81" s="67">
        <v>351.49</v>
      </c>
      <c r="F81" s="67">
        <v>1</v>
      </c>
      <c r="G81" s="102">
        <v>351.49</v>
      </c>
      <c r="H81" s="56" t="s">
        <v>82</v>
      </c>
      <c r="I81" s="106"/>
      <c r="K81" s="56">
        <v>18</v>
      </c>
      <c r="L81" s="55" t="s">
        <v>326</v>
      </c>
      <c r="M81" s="55" t="s">
        <v>2824</v>
      </c>
      <c r="N81" s="4" t="s">
        <v>327</v>
      </c>
      <c r="O81" s="55" t="s">
        <v>178</v>
      </c>
    </row>
    <row r="82" spans="2:15">
      <c r="B82" s="99">
        <v>44698</v>
      </c>
      <c r="C82" s="59">
        <v>50455587</v>
      </c>
      <c r="D82" s="55" t="s">
        <v>309</v>
      </c>
      <c r="E82" s="67">
        <v>48000</v>
      </c>
      <c r="F82" s="67">
        <v>1</v>
      </c>
      <c r="G82" s="102">
        <v>84000</v>
      </c>
      <c r="H82" s="56" t="s">
        <v>92</v>
      </c>
      <c r="I82" s="106"/>
      <c r="K82" s="56">
        <v>18</v>
      </c>
      <c r="L82" s="55" t="s">
        <v>326</v>
      </c>
      <c r="M82" s="55" t="s">
        <v>2824</v>
      </c>
      <c r="N82" s="4" t="s">
        <v>327</v>
      </c>
      <c r="O82" s="55" t="s">
        <v>178</v>
      </c>
    </row>
    <row r="83" spans="2:15">
      <c r="B83" s="99">
        <v>44698</v>
      </c>
      <c r="C83" s="59">
        <v>50455986</v>
      </c>
      <c r="D83" s="55" t="s">
        <v>306</v>
      </c>
      <c r="E83" s="67">
        <v>25000</v>
      </c>
      <c r="F83" s="67">
        <v>1</v>
      </c>
      <c r="G83" s="102">
        <v>63000</v>
      </c>
      <c r="H83" s="56" t="s">
        <v>92</v>
      </c>
      <c r="I83" s="106"/>
      <c r="K83" s="56">
        <v>18</v>
      </c>
      <c r="L83" s="55" t="s">
        <v>326</v>
      </c>
      <c r="M83" s="55" t="s">
        <v>2824</v>
      </c>
      <c r="N83" s="4" t="s">
        <v>327</v>
      </c>
      <c r="O83" s="55" t="s">
        <v>178</v>
      </c>
    </row>
    <row r="84" spans="2:15">
      <c r="B84" s="99">
        <v>44698</v>
      </c>
      <c r="C84" s="59">
        <v>50409392</v>
      </c>
      <c r="D84" s="55" t="s">
        <v>277</v>
      </c>
      <c r="E84" s="67">
        <v>136.75</v>
      </c>
      <c r="F84" s="67">
        <v>1</v>
      </c>
      <c r="G84" s="102">
        <v>136.75</v>
      </c>
      <c r="H84" s="56" t="s">
        <v>82</v>
      </c>
      <c r="I84" s="106"/>
      <c r="K84" s="56">
        <v>18</v>
      </c>
      <c r="L84" s="55" t="s">
        <v>326</v>
      </c>
      <c r="M84" s="55" t="s">
        <v>2824</v>
      </c>
      <c r="N84" s="4" t="s">
        <v>327</v>
      </c>
      <c r="O84" s="55" t="s">
        <v>178</v>
      </c>
    </row>
    <row r="85" spans="2:15">
      <c r="B85" s="99">
        <v>44698</v>
      </c>
      <c r="C85" s="59">
        <v>50455865</v>
      </c>
      <c r="D85" s="55" t="s">
        <v>329</v>
      </c>
      <c r="E85" s="67">
        <v>440</v>
      </c>
      <c r="G85" s="102">
        <v>440</v>
      </c>
      <c r="H85" s="56" t="s">
        <v>82</v>
      </c>
      <c r="I85" s="106"/>
      <c r="K85" s="56">
        <v>18</v>
      </c>
      <c r="L85" s="55" t="s">
        <v>326</v>
      </c>
      <c r="M85" s="55" t="s">
        <v>2824</v>
      </c>
      <c r="N85" s="4" t="s">
        <v>327</v>
      </c>
      <c r="O85" s="55" t="s">
        <v>178</v>
      </c>
    </row>
    <row r="86" spans="2:15">
      <c r="B86" s="99">
        <v>44698</v>
      </c>
      <c r="C86" s="59">
        <v>50417619</v>
      </c>
      <c r="D86" s="55" t="s">
        <v>328</v>
      </c>
      <c r="E86" s="67">
        <v>500</v>
      </c>
      <c r="G86" s="102">
        <v>500</v>
      </c>
      <c r="H86" s="56" t="s">
        <v>82</v>
      </c>
      <c r="I86" s="106"/>
      <c r="K86" s="56">
        <v>18</v>
      </c>
      <c r="L86" s="55" t="s">
        <v>326</v>
      </c>
      <c r="M86" s="55" t="s">
        <v>2824</v>
      </c>
      <c r="N86" s="4" t="s">
        <v>327</v>
      </c>
      <c r="O86" s="55" t="s">
        <v>178</v>
      </c>
    </row>
    <row r="87" spans="2:15">
      <c r="B87" s="99">
        <v>44698</v>
      </c>
      <c r="C87" s="59">
        <v>50340254</v>
      </c>
      <c r="D87" s="55" t="s">
        <v>347</v>
      </c>
      <c r="E87" s="67">
        <v>750</v>
      </c>
      <c r="F87" s="67">
        <v>1</v>
      </c>
      <c r="G87" s="102">
        <v>750</v>
      </c>
      <c r="H87" s="56" t="s">
        <v>92</v>
      </c>
      <c r="I87" s="106"/>
      <c r="K87" s="56">
        <v>18</v>
      </c>
      <c r="L87" s="55" t="s">
        <v>326</v>
      </c>
      <c r="M87" s="55" t="s">
        <v>2824</v>
      </c>
      <c r="N87" s="4" t="s">
        <v>327</v>
      </c>
      <c r="O87" s="55" t="s">
        <v>178</v>
      </c>
    </row>
    <row r="88" spans="2:15">
      <c r="B88" s="99">
        <v>44698</v>
      </c>
      <c r="C88" s="59">
        <v>50493261</v>
      </c>
      <c r="D88" s="55" t="s">
        <v>276</v>
      </c>
      <c r="E88" s="67">
        <v>168.6</v>
      </c>
      <c r="F88" s="67">
        <v>4</v>
      </c>
      <c r="G88" s="102">
        <v>1825.7</v>
      </c>
      <c r="H88" s="56" t="s">
        <v>92</v>
      </c>
      <c r="I88" s="106"/>
      <c r="K88" s="56">
        <v>18</v>
      </c>
      <c r="L88" s="55" t="s">
        <v>326</v>
      </c>
      <c r="M88" s="55" t="s">
        <v>2824</v>
      </c>
      <c r="N88" s="4" t="s">
        <v>327</v>
      </c>
      <c r="O88" s="55" t="s">
        <v>178</v>
      </c>
    </row>
    <row r="89" spans="2:15">
      <c r="B89" s="99">
        <v>44698</v>
      </c>
      <c r="C89" s="59">
        <v>50455861</v>
      </c>
      <c r="D89" s="55" t="s">
        <v>266</v>
      </c>
      <c r="E89" s="67">
        <v>253000</v>
      </c>
      <c r="F89" s="67">
        <v>6</v>
      </c>
      <c r="G89" s="102">
        <v>1004000</v>
      </c>
      <c r="H89" s="56" t="s">
        <v>92</v>
      </c>
      <c r="I89" s="106"/>
      <c r="K89" s="56">
        <v>19</v>
      </c>
      <c r="L89" s="55" t="s">
        <v>176</v>
      </c>
      <c r="M89" s="55" t="s">
        <v>2824</v>
      </c>
      <c r="N89" s="4" t="s">
        <v>193</v>
      </c>
      <c r="O89" s="55" t="s">
        <v>178</v>
      </c>
    </row>
    <row r="90" spans="2:15">
      <c r="B90" s="99">
        <v>44698</v>
      </c>
      <c r="C90" s="59">
        <v>50340256</v>
      </c>
      <c r="D90" s="55" t="s">
        <v>271</v>
      </c>
      <c r="E90" s="67">
        <v>21825</v>
      </c>
      <c r="F90" s="67">
        <v>9</v>
      </c>
      <c r="G90" s="102">
        <v>162575</v>
      </c>
      <c r="H90" s="56" t="s">
        <v>92</v>
      </c>
      <c r="I90" s="106"/>
      <c r="K90" s="56">
        <v>19</v>
      </c>
      <c r="L90" s="55" t="s">
        <v>176</v>
      </c>
      <c r="M90" s="55" t="s">
        <v>2824</v>
      </c>
      <c r="N90" s="4" t="s">
        <v>193</v>
      </c>
      <c r="O90" s="55" t="s">
        <v>178</v>
      </c>
    </row>
    <row r="91" spans="2:15">
      <c r="B91" s="99">
        <v>44698</v>
      </c>
      <c r="C91" s="59">
        <v>50280361</v>
      </c>
      <c r="D91" s="55" t="s">
        <v>340</v>
      </c>
      <c r="E91" s="67">
        <v>1500</v>
      </c>
      <c r="F91" s="67">
        <v>8</v>
      </c>
      <c r="G91" s="102">
        <v>12000</v>
      </c>
      <c r="H91" s="56" t="s">
        <v>92</v>
      </c>
      <c r="I91" s="106"/>
      <c r="K91" s="56">
        <v>19</v>
      </c>
      <c r="L91" s="55" t="s">
        <v>176</v>
      </c>
      <c r="M91" s="55" t="s">
        <v>2824</v>
      </c>
      <c r="N91" s="4" t="s">
        <v>193</v>
      </c>
      <c r="O91" s="55" t="s">
        <v>178</v>
      </c>
    </row>
    <row r="92" spans="2:15">
      <c r="B92" s="99">
        <v>44700</v>
      </c>
      <c r="C92" s="59">
        <v>50455863</v>
      </c>
      <c r="D92" s="55" t="s">
        <v>265</v>
      </c>
      <c r="E92" s="67">
        <v>286000</v>
      </c>
      <c r="F92" s="67">
        <v>3</v>
      </c>
      <c r="G92" s="102">
        <v>739000</v>
      </c>
      <c r="H92" s="56" t="s">
        <v>92</v>
      </c>
      <c r="I92" s="106"/>
      <c r="K92" s="56">
        <v>21</v>
      </c>
      <c r="L92" s="55" t="s">
        <v>176</v>
      </c>
      <c r="M92" s="55" t="s">
        <v>2824</v>
      </c>
      <c r="N92" s="4" t="s">
        <v>193</v>
      </c>
      <c r="O92" s="55" t="s">
        <v>178</v>
      </c>
    </row>
    <row r="93" spans="2:15">
      <c r="B93" s="99">
        <v>44700</v>
      </c>
      <c r="C93" s="59">
        <v>50340253</v>
      </c>
      <c r="D93" s="55" t="s">
        <v>298</v>
      </c>
      <c r="E93" s="67">
        <v>24000</v>
      </c>
      <c r="F93" s="67">
        <v>2</v>
      </c>
      <c r="G93" s="102">
        <v>871500</v>
      </c>
      <c r="H93" s="56" t="s">
        <v>92</v>
      </c>
      <c r="I93" s="106"/>
      <c r="K93" s="56">
        <v>21</v>
      </c>
      <c r="L93" s="55" t="s">
        <v>176</v>
      </c>
      <c r="M93" s="55" t="s">
        <v>2824</v>
      </c>
      <c r="N93" s="4" t="s">
        <v>193</v>
      </c>
      <c r="O93" s="55" t="s">
        <v>178</v>
      </c>
    </row>
    <row r="94" spans="2:15">
      <c r="B94" s="99">
        <v>44700</v>
      </c>
      <c r="C94" s="59">
        <v>50417410</v>
      </c>
      <c r="D94" s="55" t="s">
        <v>302</v>
      </c>
      <c r="E94" s="67">
        <v>30000</v>
      </c>
      <c r="G94" s="102">
        <v>537000</v>
      </c>
      <c r="H94" s="56" t="s">
        <v>92</v>
      </c>
      <c r="I94" s="106"/>
      <c r="K94" s="56">
        <v>21</v>
      </c>
      <c r="L94" s="55" t="s">
        <v>176</v>
      </c>
      <c r="M94" s="55" t="s">
        <v>2824</v>
      </c>
      <c r="N94" s="4" t="s">
        <v>193</v>
      </c>
      <c r="O94" s="55" t="s">
        <v>178</v>
      </c>
    </row>
    <row r="95" spans="2:15">
      <c r="B95" s="99">
        <v>44700</v>
      </c>
      <c r="C95" s="59">
        <v>50417411</v>
      </c>
      <c r="D95" s="55" t="s">
        <v>300</v>
      </c>
      <c r="E95" s="67">
        <v>48000</v>
      </c>
      <c r="F95" s="67">
        <v>2</v>
      </c>
      <c r="G95" s="102">
        <v>1085000</v>
      </c>
      <c r="H95" s="56" t="s">
        <v>92</v>
      </c>
      <c r="I95" s="106"/>
      <c r="K95" s="56">
        <v>21</v>
      </c>
      <c r="L95" s="55" t="s">
        <v>176</v>
      </c>
      <c r="M95" s="55" t="s">
        <v>2824</v>
      </c>
      <c r="N95" s="4" t="s">
        <v>193</v>
      </c>
      <c r="O95" s="55" t="s">
        <v>178</v>
      </c>
    </row>
    <row r="96" spans="2:15">
      <c r="B96" s="99">
        <v>44700</v>
      </c>
      <c r="C96" s="59">
        <v>50455985</v>
      </c>
      <c r="D96" s="55" t="s">
        <v>299</v>
      </c>
      <c r="E96" s="67">
        <v>30000</v>
      </c>
      <c r="F96" s="67">
        <v>2</v>
      </c>
      <c r="G96" s="102">
        <v>575000</v>
      </c>
      <c r="H96" s="56" t="s">
        <v>92</v>
      </c>
      <c r="I96" s="106"/>
      <c r="K96" s="56">
        <v>21</v>
      </c>
      <c r="L96" s="55" t="s">
        <v>176</v>
      </c>
      <c r="M96" s="55" t="s">
        <v>2824</v>
      </c>
      <c r="N96" s="4" t="s">
        <v>193</v>
      </c>
      <c r="O96" s="55" t="s">
        <v>178</v>
      </c>
    </row>
    <row r="97" spans="2:15">
      <c r="B97" s="99">
        <v>44700</v>
      </c>
      <c r="C97" s="59">
        <v>50417412</v>
      </c>
      <c r="D97" s="55" t="s">
        <v>301</v>
      </c>
      <c r="E97" s="67">
        <v>64000</v>
      </c>
      <c r="F97" s="67">
        <v>2</v>
      </c>
      <c r="G97" s="102">
        <v>1125000</v>
      </c>
      <c r="H97" s="56" t="s">
        <v>92</v>
      </c>
      <c r="I97" s="106"/>
      <c r="K97" s="56">
        <v>21</v>
      </c>
      <c r="L97" s="55" t="s">
        <v>176</v>
      </c>
      <c r="M97" s="55" t="s">
        <v>2824</v>
      </c>
      <c r="N97" s="4" t="s">
        <v>193</v>
      </c>
      <c r="O97" s="55" t="s">
        <v>178</v>
      </c>
    </row>
    <row r="98" spans="2:15">
      <c r="B98" s="99">
        <v>44700</v>
      </c>
      <c r="C98" s="59">
        <v>50455589</v>
      </c>
      <c r="D98" s="55" t="s">
        <v>310</v>
      </c>
      <c r="E98" s="67">
        <v>64000</v>
      </c>
      <c r="F98" s="67">
        <v>1</v>
      </c>
      <c r="G98" s="102">
        <v>122000</v>
      </c>
      <c r="H98" s="56" t="s">
        <v>92</v>
      </c>
      <c r="I98" s="106"/>
      <c r="K98" s="56">
        <v>21</v>
      </c>
      <c r="L98" s="55" t="s">
        <v>176</v>
      </c>
      <c r="M98" s="55" t="s">
        <v>2824</v>
      </c>
      <c r="N98" s="4" t="s">
        <v>193</v>
      </c>
      <c r="O98" s="55" t="s">
        <v>178</v>
      </c>
    </row>
    <row r="99" spans="2:15">
      <c r="B99" s="99">
        <v>44700</v>
      </c>
      <c r="C99" s="59">
        <v>50455987</v>
      </c>
      <c r="D99" s="55" t="s">
        <v>307</v>
      </c>
      <c r="E99" s="67">
        <v>48000</v>
      </c>
      <c r="F99" s="67">
        <v>1</v>
      </c>
      <c r="G99" s="102">
        <v>48000</v>
      </c>
      <c r="H99" s="56" t="s">
        <v>92</v>
      </c>
      <c r="I99" s="106"/>
      <c r="K99" s="56">
        <v>21</v>
      </c>
      <c r="L99" s="55" t="s">
        <v>176</v>
      </c>
      <c r="M99" s="55" t="s">
        <v>2824</v>
      </c>
      <c r="N99" s="4" t="s">
        <v>193</v>
      </c>
      <c r="O99" s="55" t="s">
        <v>178</v>
      </c>
    </row>
    <row r="100" spans="2:15">
      <c r="B100" s="99">
        <v>44700</v>
      </c>
      <c r="C100" s="59">
        <v>50409393</v>
      </c>
      <c r="D100" s="55" t="s">
        <v>278</v>
      </c>
      <c r="E100" s="67">
        <v>402</v>
      </c>
      <c r="F100" s="67">
        <v>2</v>
      </c>
      <c r="G100" s="102">
        <v>940.05</v>
      </c>
      <c r="H100" s="56" t="s">
        <v>82</v>
      </c>
      <c r="I100" s="106"/>
      <c r="K100" s="56">
        <v>21</v>
      </c>
      <c r="L100" s="55" t="s">
        <v>176</v>
      </c>
      <c r="M100" s="55" t="s">
        <v>2824</v>
      </c>
      <c r="N100" s="4" t="s">
        <v>193</v>
      </c>
      <c r="O100" s="55" t="s">
        <v>178</v>
      </c>
    </row>
    <row r="101" spans="2:15">
      <c r="B101" s="99">
        <v>44700</v>
      </c>
      <c r="C101" s="59">
        <v>50340257</v>
      </c>
      <c r="D101" s="55" t="s">
        <v>297</v>
      </c>
      <c r="E101" s="67">
        <v>110000</v>
      </c>
      <c r="F101" s="67">
        <v>2</v>
      </c>
      <c r="G101" s="102">
        <v>865000</v>
      </c>
      <c r="H101" s="56" t="s">
        <v>92</v>
      </c>
      <c r="I101" s="106"/>
      <c r="K101" s="56">
        <v>21</v>
      </c>
      <c r="L101" s="55" t="s">
        <v>176</v>
      </c>
      <c r="M101" s="55" t="s">
        <v>2824</v>
      </c>
      <c r="N101" s="4" t="s">
        <v>193</v>
      </c>
      <c r="O101" s="55" t="s">
        <v>178</v>
      </c>
    </row>
    <row r="102" spans="2:15">
      <c r="B102" s="99">
        <v>44700</v>
      </c>
      <c r="C102" s="59">
        <v>50455770</v>
      </c>
      <c r="D102" s="55" t="s">
        <v>308</v>
      </c>
      <c r="E102" s="67">
        <v>30000</v>
      </c>
      <c r="F102" s="67">
        <v>1</v>
      </c>
      <c r="G102" s="102">
        <v>109000</v>
      </c>
      <c r="H102" s="56" t="s">
        <v>92</v>
      </c>
      <c r="I102" s="106"/>
      <c r="K102" s="56">
        <v>21</v>
      </c>
      <c r="L102" s="55" t="s">
        <v>176</v>
      </c>
      <c r="M102" s="55" t="s">
        <v>2824</v>
      </c>
      <c r="N102" s="4" t="s">
        <v>193</v>
      </c>
      <c r="O102" s="55" t="s">
        <v>178</v>
      </c>
    </row>
    <row r="103" spans="2:15">
      <c r="B103" s="99">
        <v>44700</v>
      </c>
      <c r="C103" s="59">
        <v>50455993</v>
      </c>
      <c r="D103" s="55" t="s">
        <v>281</v>
      </c>
      <c r="E103" s="67">
        <v>461.02</v>
      </c>
      <c r="F103" s="67">
        <v>1</v>
      </c>
      <c r="G103" s="102">
        <v>461.02</v>
      </c>
      <c r="H103" s="56" t="s">
        <v>82</v>
      </c>
      <c r="I103" s="106"/>
      <c r="K103" s="56">
        <v>21</v>
      </c>
      <c r="L103" s="55" t="s">
        <v>176</v>
      </c>
      <c r="M103" s="55" t="s">
        <v>2824</v>
      </c>
      <c r="N103" s="4" t="s">
        <v>193</v>
      </c>
      <c r="O103" s="55" t="s">
        <v>178</v>
      </c>
    </row>
    <row r="104" spans="2:15">
      <c r="B104" s="99">
        <v>44700</v>
      </c>
      <c r="C104" s="59">
        <v>50455996</v>
      </c>
      <c r="D104" s="55" t="s">
        <v>279</v>
      </c>
      <c r="E104" s="67">
        <v>351.49</v>
      </c>
      <c r="F104" s="67">
        <v>1</v>
      </c>
      <c r="G104" s="102">
        <v>351.49</v>
      </c>
      <c r="H104" s="56" t="s">
        <v>82</v>
      </c>
      <c r="I104" s="106"/>
      <c r="K104" s="56">
        <v>21</v>
      </c>
      <c r="L104" s="55" t="s">
        <v>176</v>
      </c>
      <c r="M104" s="55" t="s">
        <v>2824</v>
      </c>
      <c r="N104" s="4" t="s">
        <v>193</v>
      </c>
      <c r="O104" s="55" t="s">
        <v>178</v>
      </c>
    </row>
    <row r="105" spans="2:15">
      <c r="B105" s="99">
        <v>44700</v>
      </c>
      <c r="C105" s="59">
        <v>50455587</v>
      </c>
      <c r="D105" s="55" t="s">
        <v>309</v>
      </c>
      <c r="E105" s="67">
        <v>48000</v>
      </c>
      <c r="F105" s="67">
        <v>1</v>
      </c>
      <c r="G105" s="102">
        <v>84000</v>
      </c>
      <c r="H105" s="56" t="s">
        <v>92</v>
      </c>
      <c r="I105" s="106"/>
      <c r="K105" s="56">
        <v>21</v>
      </c>
      <c r="L105" s="55" t="s">
        <v>176</v>
      </c>
      <c r="M105" s="55" t="s">
        <v>2824</v>
      </c>
      <c r="N105" s="4" t="s">
        <v>193</v>
      </c>
      <c r="O105" s="55" t="s">
        <v>178</v>
      </c>
    </row>
    <row r="106" spans="2:15">
      <c r="B106" s="99">
        <v>44700</v>
      </c>
      <c r="C106" s="59">
        <v>50455986</v>
      </c>
      <c r="D106" s="55" t="s">
        <v>306</v>
      </c>
      <c r="E106" s="67">
        <v>25000</v>
      </c>
      <c r="F106" s="67">
        <v>1</v>
      </c>
      <c r="G106" s="102">
        <v>63000</v>
      </c>
      <c r="H106" s="56" t="s">
        <v>92</v>
      </c>
      <c r="I106" s="106"/>
      <c r="K106" s="56">
        <v>21</v>
      </c>
      <c r="L106" s="55" t="s">
        <v>176</v>
      </c>
      <c r="M106" s="55" t="s">
        <v>2824</v>
      </c>
      <c r="N106" s="4" t="s">
        <v>193</v>
      </c>
      <c r="O106" s="55" t="s">
        <v>178</v>
      </c>
    </row>
    <row r="107" spans="2:15">
      <c r="B107" s="99">
        <v>44700</v>
      </c>
      <c r="C107" s="59">
        <v>50409392</v>
      </c>
      <c r="D107" s="55" t="s">
        <v>277</v>
      </c>
      <c r="E107" s="67">
        <v>136.75</v>
      </c>
      <c r="F107" s="67">
        <v>1</v>
      </c>
      <c r="G107" s="102">
        <v>136.75</v>
      </c>
      <c r="H107" s="56" t="s">
        <v>82</v>
      </c>
      <c r="I107" s="106"/>
      <c r="K107" s="56">
        <v>21</v>
      </c>
      <c r="L107" s="55" t="s">
        <v>176</v>
      </c>
      <c r="M107" s="55" t="s">
        <v>2824</v>
      </c>
      <c r="N107" s="4" t="s">
        <v>193</v>
      </c>
      <c r="O107" s="55" t="s">
        <v>178</v>
      </c>
    </row>
    <row r="108" spans="2:15">
      <c r="B108" s="99">
        <v>44700</v>
      </c>
      <c r="C108" s="59">
        <v>50455865</v>
      </c>
      <c r="D108" s="55" t="s">
        <v>329</v>
      </c>
      <c r="E108" s="67">
        <v>440</v>
      </c>
      <c r="G108" s="102">
        <v>440</v>
      </c>
      <c r="H108" s="56" t="s">
        <v>82</v>
      </c>
      <c r="I108" s="106"/>
      <c r="K108" s="56">
        <v>21</v>
      </c>
      <c r="L108" s="55" t="s">
        <v>176</v>
      </c>
      <c r="M108" s="55" t="s">
        <v>2824</v>
      </c>
      <c r="N108" s="4" t="s">
        <v>193</v>
      </c>
      <c r="O108" s="55" t="s">
        <v>178</v>
      </c>
    </row>
    <row r="109" spans="2:15">
      <c r="B109" s="99">
        <v>44700</v>
      </c>
      <c r="C109" s="59">
        <v>50417619</v>
      </c>
      <c r="D109" s="55" t="s">
        <v>328</v>
      </c>
      <c r="E109" s="67">
        <v>500</v>
      </c>
      <c r="G109" s="102">
        <v>500</v>
      </c>
      <c r="H109" s="56" t="s">
        <v>82</v>
      </c>
      <c r="I109" s="106"/>
      <c r="K109" s="56">
        <v>21</v>
      </c>
      <c r="L109" s="55" t="s">
        <v>176</v>
      </c>
      <c r="M109" s="55" t="s">
        <v>2824</v>
      </c>
      <c r="N109" s="4" t="s">
        <v>193</v>
      </c>
      <c r="O109" s="55" t="s">
        <v>178</v>
      </c>
    </row>
    <row r="110" spans="2:15">
      <c r="B110" s="99">
        <v>44700</v>
      </c>
      <c r="C110" s="59">
        <v>50340254</v>
      </c>
      <c r="D110" s="55" t="s">
        <v>347</v>
      </c>
      <c r="E110" s="67">
        <v>750</v>
      </c>
      <c r="F110" s="67">
        <v>1</v>
      </c>
      <c r="G110" s="102">
        <v>750</v>
      </c>
      <c r="H110" s="56" t="s">
        <v>92</v>
      </c>
      <c r="I110" s="106"/>
      <c r="K110" s="56">
        <v>21</v>
      </c>
      <c r="L110" s="55" t="s">
        <v>176</v>
      </c>
      <c r="M110" s="55" t="s">
        <v>2824</v>
      </c>
      <c r="N110" s="4" t="s">
        <v>193</v>
      </c>
      <c r="O110" s="55" t="s">
        <v>178</v>
      </c>
    </row>
    <row r="111" spans="2:15">
      <c r="B111" s="99">
        <v>44700</v>
      </c>
      <c r="C111" s="59">
        <v>50493261</v>
      </c>
      <c r="D111" s="55" t="s">
        <v>276</v>
      </c>
      <c r="E111" s="67">
        <v>168.6</v>
      </c>
      <c r="F111" s="67">
        <v>4</v>
      </c>
      <c r="G111" s="102">
        <v>1825.7</v>
      </c>
      <c r="H111" s="56" t="s">
        <v>92</v>
      </c>
      <c r="I111" s="106"/>
      <c r="K111" s="56">
        <v>21</v>
      </c>
      <c r="L111" s="55" t="s">
        <v>176</v>
      </c>
      <c r="M111" s="55" t="s">
        <v>2824</v>
      </c>
      <c r="N111" s="4" t="s">
        <v>193</v>
      </c>
      <c r="O111" s="55" t="s">
        <v>178</v>
      </c>
    </row>
    <row r="112" spans="2:15">
      <c r="B112" s="99">
        <v>44701</v>
      </c>
      <c r="C112" s="59">
        <v>50143646</v>
      </c>
      <c r="D112" s="55" t="s">
        <v>191</v>
      </c>
      <c r="E112" s="67">
        <v>480</v>
      </c>
      <c r="F112" s="67">
        <v>2</v>
      </c>
      <c r="G112" s="102">
        <v>960</v>
      </c>
      <c r="H112" s="56" t="s">
        <v>82</v>
      </c>
      <c r="I112" s="106"/>
      <c r="K112" s="56">
        <v>22</v>
      </c>
      <c r="L112" s="55" t="s">
        <v>176</v>
      </c>
      <c r="M112" s="55" t="s">
        <v>2824</v>
      </c>
      <c r="N112" s="4" t="s">
        <v>177</v>
      </c>
      <c r="O112" s="55" t="s">
        <v>178</v>
      </c>
    </row>
    <row r="113" spans="2:15">
      <c r="B113" s="99">
        <v>44701</v>
      </c>
      <c r="C113" s="59">
        <v>50141786</v>
      </c>
      <c r="D113" s="55" t="s">
        <v>188</v>
      </c>
      <c r="E113" s="67">
        <v>560</v>
      </c>
      <c r="F113" s="67">
        <v>2</v>
      </c>
      <c r="G113" s="102">
        <v>1120</v>
      </c>
      <c r="H113" s="56" t="s">
        <v>82</v>
      </c>
      <c r="I113" s="106"/>
      <c r="K113" s="56">
        <v>22</v>
      </c>
      <c r="L113" s="55" t="s">
        <v>176</v>
      </c>
      <c r="M113" s="55" t="s">
        <v>2824</v>
      </c>
      <c r="N113" s="4" t="s">
        <v>177</v>
      </c>
      <c r="O113" s="55" t="s">
        <v>178</v>
      </c>
    </row>
    <row r="114" spans="2:15">
      <c r="B114" s="99">
        <v>44701</v>
      </c>
      <c r="C114" s="59">
        <v>50144200</v>
      </c>
      <c r="D114" s="55" t="s">
        <v>184</v>
      </c>
      <c r="E114" s="67">
        <v>264000</v>
      </c>
      <c r="F114" s="67">
        <v>6</v>
      </c>
      <c r="G114" s="102">
        <v>1584000</v>
      </c>
      <c r="H114" s="56" t="s">
        <v>92</v>
      </c>
      <c r="I114" s="106"/>
      <c r="K114" s="56">
        <v>22</v>
      </c>
      <c r="L114" s="55" t="s">
        <v>176</v>
      </c>
      <c r="M114" s="55" t="s">
        <v>2824</v>
      </c>
      <c r="N114" s="4" t="s">
        <v>177</v>
      </c>
      <c r="O114" s="55" t="s">
        <v>178</v>
      </c>
    </row>
    <row r="115" spans="2:15">
      <c r="B115" s="99">
        <v>44701</v>
      </c>
      <c r="C115" s="59">
        <v>40004808</v>
      </c>
      <c r="D115" s="55" t="s">
        <v>187</v>
      </c>
      <c r="E115" s="67">
        <v>441</v>
      </c>
      <c r="F115" s="67">
        <v>8</v>
      </c>
      <c r="G115" s="102">
        <v>3528</v>
      </c>
      <c r="H115" s="56" t="s">
        <v>80</v>
      </c>
      <c r="I115" s="106"/>
      <c r="K115" s="56">
        <v>22</v>
      </c>
      <c r="L115" s="55" t="s">
        <v>176</v>
      </c>
      <c r="M115" s="55" t="s">
        <v>2824</v>
      </c>
      <c r="N115" s="4" t="s">
        <v>177</v>
      </c>
      <c r="O115" s="55" t="s">
        <v>178</v>
      </c>
    </row>
    <row r="116" spans="2:15">
      <c r="B116" s="99">
        <v>44704</v>
      </c>
      <c r="C116" s="59">
        <v>50280361</v>
      </c>
      <c r="D116" s="55" t="s">
        <v>340</v>
      </c>
      <c r="E116" s="67">
        <v>1500</v>
      </c>
      <c r="F116" s="67">
        <v>14</v>
      </c>
      <c r="G116" s="102">
        <v>19840</v>
      </c>
      <c r="H116" s="56" t="s">
        <v>92</v>
      </c>
      <c r="I116" s="106"/>
      <c r="K116" s="56">
        <v>23</v>
      </c>
      <c r="L116" s="55" t="s">
        <v>326</v>
      </c>
      <c r="M116" s="55" t="s">
        <v>2824</v>
      </c>
      <c r="N116" s="4" t="s">
        <v>332</v>
      </c>
      <c r="O116" s="55" t="s">
        <v>178</v>
      </c>
    </row>
    <row r="117" spans="2:15">
      <c r="B117" s="99">
        <v>44705</v>
      </c>
      <c r="C117" s="59">
        <v>50141786</v>
      </c>
      <c r="D117" s="55" t="s">
        <v>188</v>
      </c>
      <c r="E117" s="67">
        <v>525</v>
      </c>
      <c r="F117" s="67">
        <v>5</v>
      </c>
      <c r="G117" s="102">
        <v>2625</v>
      </c>
      <c r="H117" s="56" t="s">
        <v>82</v>
      </c>
      <c r="I117" s="106"/>
      <c r="K117" s="56">
        <v>24</v>
      </c>
      <c r="L117" s="55" t="s">
        <v>176</v>
      </c>
      <c r="M117" s="55" t="s">
        <v>2824</v>
      </c>
      <c r="N117" s="4" t="s">
        <v>193</v>
      </c>
      <c r="O117" s="55" t="s">
        <v>178</v>
      </c>
    </row>
    <row r="118" spans="2:15">
      <c r="B118" s="99">
        <v>44705</v>
      </c>
      <c r="C118" s="59">
        <v>50272278</v>
      </c>
      <c r="D118" s="55" t="s">
        <v>21</v>
      </c>
      <c r="E118" s="67">
        <v>500</v>
      </c>
      <c r="F118" s="67">
        <v>14</v>
      </c>
      <c r="G118" s="102">
        <v>7000</v>
      </c>
      <c r="H118" s="56" t="s">
        <v>92</v>
      </c>
      <c r="I118" s="106"/>
      <c r="K118" s="56">
        <v>24</v>
      </c>
      <c r="L118" s="55" t="s">
        <v>176</v>
      </c>
      <c r="M118" s="55" t="s">
        <v>2824</v>
      </c>
      <c r="N118" s="4" t="s">
        <v>193</v>
      </c>
      <c r="O118" s="55" t="s">
        <v>178</v>
      </c>
    </row>
    <row r="119" spans="2:15">
      <c r="B119" s="99">
        <v>44707</v>
      </c>
      <c r="C119" s="59">
        <v>50143646</v>
      </c>
      <c r="D119" s="55" t="s">
        <v>191</v>
      </c>
      <c r="E119" s="67">
        <v>480</v>
      </c>
      <c r="F119" s="67">
        <v>2</v>
      </c>
      <c r="G119" s="102">
        <v>960</v>
      </c>
      <c r="H119" s="56" t="s">
        <v>82</v>
      </c>
      <c r="I119" s="106"/>
      <c r="K119" s="56">
        <v>26</v>
      </c>
      <c r="L119" s="55" t="s">
        <v>176</v>
      </c>
      <c r="M119" s="55" t="s">
        <v>2824</v>
      </c>
      <c r="N119" s="4" t="s">
        <v>193</v>
      </c>
      <c r="O119" s="55" t="s">
        <v>178</v>
      </c>
    </row>
    <row r="120" spans="2:15">
      <c r="B120" s="99">
        <v>44707</v>
      </c>
      <c r="C120" s="59">
        <v>50010080</v>
      </c>
      <c r="D120" s="55" t="s">
        <v>354</v>
      </c>
      <c r="E120" s="67">
        <v>1500</v>
      </c>
      <c r="F120" s="67">
        <v>3</v>
      </c>
      <c r="G120" s="102">
        <v>4500</v>
      </c>
      <c r="H120" s="56" t="s">
        <v>82</v>
      </c>
      <c r="I120" s="106"/>
      <c r="K120" s="56">
        <v>26</v>
      </c>
      <c r="L120" s="55" t="s">
        <v>176</v>
      </c>
      <c r="M120" s="55" t="s">
        <v>2824</v>
      </c>
      <c r="N120" s="4" t="s">
        <v>193</v>
      </c>
      <c r="O120" s="55" t="s">
        <v>178</v>
      </c>
    </row>
    <row r="121" spans="2:15">
      <c r="B121" s="99">
        <v>44707</v>
      </c>
      <c r="C121" s="59">
        <v>40007857</v>
      </c>
      <c r="D121" s="55" t="s">
        <v>225</v>
      </c>
      <c r="E121" s="67">
        <v>4704</v>
      </c>
      <c r="F121" s="67">
        <v>2</v>
      </c>
      <c r="G121" s="102">
        <v>6549</v>
      </c>
      <c r="H121" s="56" t="s">
        <v>80</v>
      </c>
      <c r="I121" s="106"/>
      <c r="K121" s="56">
        <v>26</v>
      </c>
      <c r="L121" s="55" t="s">
        <v>176</v>
      </c>
      <c r="M121" s="55" t="s">
        <v>2824</v>
      </c>
      <c r="N121" s="4" t="s">
        <v>193</v>
      </c>
      <c r="O121" s="55" t="s">
        <v>178</v>
      </c>
    </row>
    <row r="122" spans="2:15">
      <c r="B122" s="99">
        <v>44707</v>
      </c>
      <c r="C122" s="59">
        <v>40007855</v>
      </c>
      <c r="D122" s="55" t="s">
        <v>84</v>
      </c>
      <c r="E122" s="67">
        <v>1344</v>
      </c>
      <c r="F122" s="67">
        <v>2</v>
      </c>
      <c r="G122" s="102">
        <v>2688</v>
      </c>
      <c r="H122" s="56" t="s">
        <v>80</v>
      </c>
      <c r="I122" s="106"/>
      <c r="K122" s="56">
        <v>26</v>
      </c>
      <c r="L122" s="55" t="s">
        <v>176</v>
      </c>
      <c r="M122" s="55" t="s">
        <v>2824</v>
      </c>
      <c r="N122" s="4" t="s">
        <v>193</v>
      </c>
      <c r="O122" s="55" t="s">
        <v>178</v>
      </c>
    </row>
    <row r="123" spans="2:15">
      <c r="B123" s="99">
        <v>44707</v>
      </c>
      <c r="C123" s="59">
        <v>40007941</v>
      </c>
      <c r="D123" s="55" t="s">
        <v>211</v>
      </c>
      <c r="E123" s="67">
        <v>756</v>
      </c>
      <c r="F123" s="67">
        <v>3</v>
      </c>
      <c r="G123" s="102">
        <v>2268</v>
      </c>
      <c r="H123" s="56" t="s">
        <v>80</v>
      </c>
      <c r="I123" s="106"/>
      <c r="K123" s="56">
        <v>26</v>
      </c>
      <c r="L123" s="55" t="s">
        <v>176</v>
      </c>
      <c r="M123" s="55" t="s">
        <v>2824</v>
      </c>
      <c r="N123" s="4" t="s">
        <v>193</v>
      </c>
      <c r="O123" s="55" t="s">
        <v>178</v>
      </c>
    </row>
    <row r="124" spans="2:15">
      <c r="B124" s="99">
        <v>44707</v>
      </c>
      <c r="C124" s="59">
        <v>40009150</v>
      </c>
      <c r="D124" s="55" t="s">
        <v>220</v>
      </c>
      <c r="E124" s="67">
        <v>2940</v>
      </c>
      <c r="F124" s="67">
        <v>1</v>
      </c>
      <c r="G124" s="102">
        <v>2940</v>
      </c>
      <c r="H124" s="56" t="s">
        <v>80</v>
      </c>
      <c r="I124" s="106"/>
      <c r="K124" s="56">
        <v>26</v>
      </c>
      <c r="L124" s="55" t="s">
        <v>176</v>
      </c>
      <c r="M124" s="55" t="s">
        <v>2824</v>
      </c>
      <c r="N124" s="4" t="s">
        <v>193</v>
      </c>
      <c r="O124" s="55" t="s">
        <v>178</v>
      </c>
    </row>
    <row r="125" spans="2:15">
      <c r="B125" s="99">
        <v>44707</v>
      </c>
      <c r="C125" s="59">
        <v>50272278</v>
      </c>
      <c r="D125" s="55" t="s">
        <v>21</v>
      </c>
      <c r="E125" s="67">
        <v>500</v>
      </c>
      <c r="F125" s="67">
        <v>4</v>
      </c>
      <c r="G125" s="102">
        <v>2000</v>
      </c>
      <c r="H125" s="56" t="s">
        <v>92</v>
      </c>
      <c r="I125" s="106"/>
      <c r="K125" s="56">
        <v>26</v>
      </c>
      <c r="L125" s="55" t="s">
        <v>176</v>
      </c>
      <c r="M125" s="55" t="s">
        <v>2824</v>
      </c>
      <c r="N125" s="4" t="s">
        <v>193</v>
      </c>
      <c r="O125" s="55" t="s">
        <v>178</v>
      </c>
    </row>
    <row r="126" spans="2:15">
      <c r="B126" s="99">
        <v>44707</v>
      </c>
      <c r="C126" s="59">
        <v>40007938</v>
      </c>
      <c r="D126" s="55" t="s">
        <v>202</v>
      </c>
      <c r="E126" s="67">
        <v>3024</v>
      </c>
      <c r="F126" s="67">
        <v>3</v>
      </c>
      <c r="G126" s="102">
        <v>9072</v>
      </c>
      <c r="H126" s="56" t="s">
        <v>80</v>
      </c>
      <c r="I126" s="106"/>
      <c r="K126" s="56">
        <v>26</v>
      </c>
      <c r="L126" s="55" t="s">
        <v>176</v>
      </c>
      <c r="M126" s="55" t="s">
        <v>2824</v>
      </c>
      <c r="N126" s="4" t="s">
        <v>193</v>
      </c>
      <c r="O126" s="55" t="s">
        <v>178</v>
      </c>
    </row>
    <row r="127" spans="2:15">
      <c r="B127" s="99">
        <v>44708</v>
      </c>
      <c r="C127" s="59">
        <v>50142327</v>
      </c>
      <c r="D127" s="55" t="s">
        <v>256</v>
      </c>
      <c r="E127" s="67">
        <v>681</v>
      </c>
      <c r="F127" s="67">
        <v>2</v>
      </c>
      <c r="G127" s="102">
        <v>1362</v>
      </c>
      <c r="H127" s="56" t="s">
        <v>82</v>
      </c>
      <c r="I127" s="106"/>
      <c r="K127" s="56">
        <v>27</v>
      </c>
      <c r="L127" s="55" t="s">
        <v>176</v>
      </c>
      <c r="M127" s="55" t="s">
        <v>2824</v>
      </c>
      <c r="N127" s="4" t="s">
        <v>177</v>
      </c>
      <c r="O127" s="55" t="s">
        <v>178</v>
      </c>
    </row>
    <row r="128" spans="2:15">
      <c r="B128" s="99">
        <v>44708</v>
      </c>
      <c r="C128" s="59">
        <v>50142334</v>
      </c>
      <c r="D128" s="55" t="s">
        <v>257</v>
      </c>
      <c r="E128" s="67">
        <v>681</v>
      </c>
      <c r="F128" s="67">
        <v>2</v>
      </c>
      <c r="G128" s="102">
        <v>1362</v>
      </c>
      <c r="H128" s="56" t="s">
        <v>82</v>
      </c>
      <c r="I128" s="106"/>
      <c r="K128" s="56">
        <v>27</v>
      </c>
      <c r="L128" s="55" t="s">
        <v>176</v>
      </c>
      <c r="M128" s="55" t="s">
        <v>2824</v>
      </c>
      <c r="N128" s="4" t="s">
        <v>177</v>
      </c>
      <c r="O128" s="55" t="s">
        <v>178</v>
      </c>
    </row>
    <row r="129" spans="2:15">
      <c r="B129" s="99">
        <v>44708</v>
      </c>
      <c r="C129" s="59">
        <v>50272278</v>
      </c>
      <c r="D129" s="55" t="s">
        <v>21</v>
      </c>
      <c r="E129" s="67">
        <v>500</v>
      </c>
      <c r="F129" s="67">
        <v>10</v>
      </c>
      <c r="G129" s="102">
        <v>5000</v>
      </c>
      <c r="H129" s="56" t="s">
        <v>92</v>
      </c>
      <c r="I129" s="106"/>
      <c r="K129" s="56">
        <v>27</v>
      </c>
      <c r="L129" s="55" t="s">
        <v>176</v>
      </c>
      <c r="M129" s="55" t="s">
        <v>2824</v>
      </c>
      <c r="N129" s="4" t="s">
        <v>177</v>
      </c>
      <c r="O129" s="55" t="s">
        <v>178</v>
      </c>
    </row>
    <row r="130" spans="2:15">
      <c r="B130" s="99">
        <v>44712</v>
      </c>
      <c r="C130" s="59">
        <v>50272278</v>
      </c>
      <c r="D130" s="55" t="s">
        <v>21</v>
      </c>
      <c r="E130" s="67">
        <v>500</v>
      </c>
      <c r="F130" s="67">
        <v>20</v>
      </c>
      <c r="G130" s="102">
        <v>10000</v>
      </c>
      <c r="H130" s="56" t="s">
        <v>92</v>
      </c>
      <c r="I130" s="106"/>
      <c r="K130" s="56">
        <v>28</v>
      </c>
      <c r="L130" s="55" t="s">
        <v>176</v>
      </c>
      <c r="M130" s="55" t="s">
        <v>2824</v>
      </c>
      <c r="N130" s="4" t="s">
        <v>177</v>
      </c>
      <c r="O130" s="55" t="s">
        <v>178</v>
      </c>
    </row>
    <row r="131" spans="2:15">
      <c r="B131" s="99">
        <v>44712</v>
      </c>
      <c r="C131" s="59">
        <v>40004808</v>
      </c>
      <c r="D131" s="55" t="s">
        <v>187</v>
      </c>
      <c r="E131" s="67">
        <v>441</v>
      </c>
      <c r="F131" s="67">
        <v>5</v>
      </c>
      <c r="G131" s="102">
        <v>2205</v>
      </c>
      <c r="H131" s="56" t="s">
        <v>80</v>
      </c>
      <c r="I131" s="106"/>
      <c r="K131" s="56">
        <v>29</v>
      </c>
      <c r="L131" s="55" t="s">
        <v>176</v>
      </c>
      <c r="M131" s="55" t="s">
        <v>2824</v>
      </c>
      <c r="N131" s="4" t="s">
        <v>177</v>
      </c>
      <c r="O131" s="55" t="s">
        <v>178</v>
      </c>
    </row>
    <row r="132" spans="2:15">
      <c r="B132" s="99">
        <v>44712</v>
      </c>
      <c r="C132" s="59">
        <v>50551883</v>
      </c>
      <c r="D132" s="55" t="s">
        <v>223</v>
      </c>
      <c r="E132" s="67">
        <v>360000</v>
      </c>
      <c r="F132" s="67">
        <v>3</v>
      </c>
      <c r="G132" s="102">
        <v>1080000</v>
      </c>
      <c r="H132" s="56" t="s">
        <v>92</v>
      </c>
      <c r="I132" s="106"/>
      <c r="K132" s="56">
        <v>29</v>
      </c>
      <c r="L132" s="55" t="s">
        <v>176</v>
      </c>
      <c r="M132" s="55" t="s">
        <v>2824</v>
      </c>
      <c r="N132" s="4" t="s">
        <v>177</v>
      </c>
      <c r="O132" s="55" t="s">
        <v>178</v>
      </c>
    </row>
    <row r="133" spans="2:15">
      <c r="B133" s="99">
        <v>44712</v>
      </c>
      <c r="C133" s="59">
        <v>50551884</v>
      </c>
      <c r="D133" s="55" t="s">
        <v>360</v>
      </c>
      <c r="E133" s="109">
        <v>1122000</v>
      </c>
      <c r="F133" s="67">
        <v>1</v>
      </c>
      <c r="G133" s="102">
        <v>1122000</v>
      </c>
      <c r="H133" s="56" t="s">
        <v>92</v>
      </c>
      <c r="I133" s="106"/>
      <c r="K133" s="56">
        <v>29</v>
      </c>
      <c r="L133" s="55" t="s">
        <v>176</v>
      </c>
      <c r="M133" s="55" t="s">
        <v>2824</v>
      </c>
      <c r="N133" s="4" t="s">
        <v>177</v>
      </c>
      <c r="O133" s="55" t="s">
        <v>178</v>
      </c>
    </row>
    <row r="134" spans="2:15">
      <c r="B134" s="99">
        <v>44712</v>
      </c>
      <c r="C134" s="59">
        <v>50141786</v>
      </c>
      <c r="D134" s="55" t="s">
        <v>188</v>
      </c>
      <c r="E134" s="67">
        <v>560</v>
      </c>
      <c r="F134" s="67">
        <v>4</v>
      </c>
      <c r="G134" s="102">
        <v>2240</v>
      </c>
      <c r="H134" s="56" t="s">
        <v>82</v>
      </c>
      <c r="I134" s="106"/>
      <c r="K134" s="56">
        <v>29</v>
      </c>
      <c r="L134" s="55" t="s">
        <v>176</v>
      </c>
      <c r="M134" s="55" t="s">
        <v>2824</v>
      </c>
      <c r="N134" s="4" t="s">
        <v>177</v>
      </c>
      <c r="O134" s="55" t="s">
        <v>178</v>
      </c>
    </row>
    <row r="135" spans="2:15">
      <c r="B135" s="99">
        <v>44712</v>
      </c>
      <c r="C135" s="59">
        <v>50470190</v>
      </c>
      <c r="D135" s="55" t="s">
        <v>12</v>
      </c>
      <c r="E135" s="67">
        <v>289800</v>
      </c>
      <c r="F135" s="67">
        <v>3</v>
      </c>
      <c r="G135" s="102">
        <v>869400</v>
      </c>
      <c r="H135" s="56" t="s">
        <v>92</v>
      </c>
      <c r="I135" s="106"/>
      <c r="K135" s="56">
        <v>29</v>
      </c>
      <c r="L135" s="55" t="s">
        <v>176</v>
      </c>
      <c r="M135" s="55" t="s">
        <v>2824</v>
      </c>
      <c r="N135" s="4" t="s">
        <v>177</v>
      </c>
      <c r="O135" s="55" t="s">
        <v>178</v>
      </c>
    </row>
    <row r="136" spans="2:15">
      <c r="B136" s="99">
        <v>44712</v>
      </c>
      <c r="C136" s="59">
        <v>50395897</v>
      </c>
      <c r="D136" s="55" t="s">
        <v>359</v>
      </c>
      <c r="E136" s="67">
        <v>720000</v>
      </c>
      <c r="F136" s="67">
        <v>2</v>
      </c>
      <c r="G136" s="102">
        <v>1440000</v>
      </c>
      <c r="H136" s="56" t="s">
        <v>92</v>
      </c>
      <c r="I136" s="106"/>
      <c r="K136" s="56">
        <v>29</v>
      </c>
      <c r="L136" s="55" t="s">
        <v>176</v>
      </c>
      <c r="M136" s="55" t="s">
        <v>2824</v>
      </c>
      <c r="N136" s="4" t="s">
        <v>177</v>
      </c>
      <c r="O136" s="55" t="s">
        <v>178</v>
      </c>
    </row>
    <row r="137" spans="2:15">
      <c r="B137" s="99">
        <v>44715</v>
      </c>
      <c r="C137" s="59">
        <v>40004478</v>
      </c>
      <c r="D137" s="55" t="s">
        <v>183</v>
      </c>
      <c r="E137" s="67">
        <v>220.5</v>
      </c>
      <c r="F137" s="67">
        <v>4</v>
      </c>
      <c r="G137" s="102">
        <v>882</v>
      </c>
      <c r="H137" s="56" t="s">
        <v>80</v>
      </c>
      <c r="I137" s="106"/>
      <c r="K137" s="56">
        <v>30</v>
      </c>
      <c r="L137" s="55" t="s">
        <v>176</v>
      </c>
      <c r="M137" s="55" t="s">
        <v>2824</v>
      </c>
      <c r="N137" s="4" t="s">
        <v>177</v>
      </c>
      <c r="O137" s="55" t="s">
        <v>178</v>
      </c>
    </row>
    <row r="138" spans="2:15">
      <c r="B138" s="99">
        <v>44715</v>
      </c>
      <c r="C138" s="59">
        <v>50142281</v>
      </c>
      <c r="D138" s="55" t="s">
        <v>204</v>
      </c>
      <c r="E138" s="67">
        <v>450</v>
      </c>
      <c r="F138" s="67">
        <v>4</v>
      </c>
      <c r="G138" s="102">
        <v>1800</v>
      </c>
      <c r="H138" s="56" t="s">
        <v>82</v>
      </c>
      <c r="I138" s="106"/>
      <c r="K138" s="56">
        <v>30</v>
      </c>
      <c r="L138" s="55" t="s">
        <v>176</v>
      </c>
      <c r="M138" s="55" t="s">
        <v>2824</v>
      </c>
      <c r="N138" s="4" t="s">
        <v>177</v>
      </c>
      <c r="O138" s="55" t="s">
        <v>178</v>
      </c>
    </row>
    <row r="139" spans="2:15">
      <c r="B139" s="99">
        <v>44715</v>
      </c>
      <c r="C139" s="59">
        <v>50142055</v>
      </c>
      <c r="D139" s="55" t="s">
        <v>206</v>
      </c>
      <c r="E139" s="67">
        <v>600</v>
      </c>
      <c r="F139" s="67">
        <v>2</v>
      </c>
      <c r="G139" s="102">
        <v>1200</v>
      </c>
      <c r="H139" s="56" t="s">
        <v>82</v>
      </c>
      <c r="I139" s="106"/>
      <c r="K139" s="56">
        <v>30</v>
      </c>
      <c r="L139" s="55" t="s">
        <v>176</v>
      </c>
      <c r="M139" s="55" t="s">
        <v>2824</v>
      </c>
      <c r="N139" s="4" t="s">
        <v>177</v>
      </c>
      <c r="O139" s="55" t="s">
        <v>178</v>
      </c>
    </row>
    <row r="140" spans="2:15">
      <c r="B140" s="99">
        <v>44715</v>
      </c>
      <c r="C140" s="59">
        <v>50142334</v>
      </c>
      <c r="D140" s="55" t="s">
        <v>257</v>
      </c>
      <c r="E140" s="67">
        <v>681</v>
      </c>
      <c r="F140" s="67">
        <v>2</v>
      </c>
      <c r="G140" s="102">
        <v>1362</v>
      </c>
      <c r="H140" s="56" t="s">
        <v>82</v>
      </c>
      <c r="I140" s="106"/>
      <c r="K140" s="56">
        <v>30</v>
      </c>
      <c r="L140" s="55" t="s">
        <v>176</v>
      </c>
      <c r="M140" s="55" t="s">
        <v>2824</v>
      </c>
      <c r="N140" s="4" t="s">
        <v>177</v>
      </c>
      <c r="O140" s="55" t="s">
        <v>178</v>
      </c>
    </row>
    <row r="141" spans="2:15">
      <c r="B141" s="99">
        <v>44715</v>
      </c>
      <c r="C141" s="59">
        <v>50141786</v>
      </c>
      <c r="D141" s="55" t="s">
        <v>188</v>
      </c>
      <c r="E141" s="67">
        <v>560</v>
      </c>
      <c r="F141" s="67">
        <v>2</v>
      </c>
      <c r="G141" s="102">
        <v>1120</v>
      </c>
      <c r="H141" s="56" t="s">
        <v>82</v>
      </c>
      <c r="I141" s="106"/>
      <c r="K141" s="56">
        <v>30</v>
      </c>
      <c r="L141" s="55" t="s">
        <v>176</v>
      </c>
      <c r="M141" s="55" t="s">
        <v>2824</v>
      </c>
      <c r="N141" s="4" t="s">
        <v>177</v>
      </c>
      <c r="O141" s="55" t="s">
        <v>178</v>
      </c>
    </row>
    <row r="142" spans="2:15">
      <c r="B142" s="99">
        <v>44715</v>
      </c>
      <c r="C142" s="59">
        <v>50142327</v>
      </c>
      <c r="D142" s="55" t="s">
        <v>256</v>
      </c>
      <c r="E142" s="67">
        <v>681</v>
      </c>
      <c r="F142" s="67">
        <v>2</v>
      </c>
      <c r="G142" s="102">
        <v>1362</v>
      </c>
      <c r="H142" s="56" t="s">
        <v>82</v>
      </c>
      <c r="I142" s="106"/>
      <c r="K142" s="56">
        <v>30</v>
      </c>
      <c r="L142" s="55" t="s">
        <v>176</v>
      </c>
      <c r="M142" s="55" t="s">
        <v>2824</v>
      </c>
      <c r="N142" s="4" t="s">
        <v>177</v>
      </c>
      <c r="O142" s="55" t="s">
        <v>178</v>
      </c>
    </row>
    <row r="143" spans="2:15">
      <c r="B143" s="99">
        <v>44715</v>
      </c>
      <c r="C143" s="59">
        <v>50510331</v>
      </c>
      <c r="D143" s="55" t="s">
        <v>242</v>
      </c>
      <c r="E143" s="67">
        <v>818.6</v>
      </c>
      <c r="F143" s="67">
        <v>4</v>
      </c>
      <c r="G143" s="102">
        <v>3276.25</v>
      </c>
      <c r="H143" s="56" t="s">
        <v>82</v>
      </c>
      <c r="I143" s="106"/>
      <c r="K143" s="56">
        <v>30</v>
      </c>
      <c r="L143" s="55" t="s">
        <v>176</v>
      </c>
      <c r="M143" s="55" t="s">
        <v>2824</v>
      </c>
      <c r="N143" s="4" t="s">
        <v>177</v>
      </c>
      <c r="O143" s="55" t="s">
        <v>178</v>
      </c>
    </row>
    <row r="144" spans="2:15">
      <c r="B144" s="99">
        <v>44715</v>
      </c>
      <c r="C144" s="59">
        <v>40499</v>
      </c>
      <c r="D144" s="55" t="s">
        <v>316</v>
      </c>
      <c r="E144" s="67">
        <v>2</v>
      </c>
      <c r="F144" s="67">
        <v>2</v>
      </c>
      <c r="G144" s="102">
        <v>2</v>
      </c>
      <c r="H144" s="56" t="s">
        <v>92</v>
      </c>
      <c r="I144" s="106"/>
      <c r="K144" s="56">
        <v>30</v>
      </c>
      <c r="L144" s="55" t="s">
        <v>176</v>
      </c>
      <c r="M144" s="55" t="s">
        <v>2824</v>
      </c>
      <c r="N144" s="4" t="s">
        <v>177</v>
      </c>
      <c r="O144" s="55" t="s">
        <v>178</v>
      </c>
    </row>
    <row r="145" spans="2:15">
      <c r="B145" s="99">
        <v>44718</v>
      </c>
      <c r="C145" s="59">
        <v>40004478</v>
      </c>
      <c r="D145" s="55" t="s">
        <v>183</v>
      </c>
      <c r="E145" s="67">
        <v>220.5</v>
      </c>
      <c r="F145" s="67">
        <v>2</v>
      </c>
      <c r="G145" s="102">
        <v>554.289</v>
      </c>
      <c r="H145" s="56" t="s">
        <v>80</v>
      </c>
      <c r="I145" s="106"/>
      <c r="K145" s="56">
        <v>31</v>
      </c>
      <c r="L145" s="55" t="s">
        <v>176</v>
      </c>
      <c r="M145" s="55" t="s">
        <v>2824</v>
      </c>
      <c r="N145" s="4" t="s">
        <v>177</v>
      </c>
      <c r="O145" s="55" t="s">
        <v>178</v>
      </c>
    </row>
    <row r="146" spans="2:15">
      <c r="B146" s="99">
        <v>44718</v>
      </c>
      <c r="C146" s="59">
        <v>50470190</v>
      </c>
      <c r="D146" s="55" t="s">
        <v>12</v>
      </c>
      <c r="E146" s="67">
        <v>289800</v>
      </c>
      <c r="F146" s="67">
        <v>12</v>
      </c>
      <c r="G146" s="102">
        <v>3477600</v>
      </c>
      <c r="H146" s="56" t="s">
        <v>92</v>
      </c>
      <c r="I146" s="106"/>
      <c r="K146" s="56">
        <v>31</v>
      </c>
      <c r="L146" s="55" t="s">
        <v>176</v>
      </c>
      <c r="M146" s="55" t="s">
        <v>2824</v>
      </c>
      <c r="N146" s="4" t="s">
        <v>177</v>
      </c>
      <c r="O146" s="55" t="s">
        <v>178</v>
      </c>
    </row>
    <row r="147" spans="2:15">
      <c r="B147" s="99">
        <v>44718</v>
      </c>
      <c r="C147" s="59">
        <v>40004808</v>
      </c>
      <c r="D147" s="55" t="s">
        <v>187</v>
      </c>
      <c r="E147" s="67">
        <v>441</v>
      </c>
      <c r="F147" s="67">
        <v>4</v>
      </c>
      <c r="G147" s="102">
        <v>1764</v>
      </c>
      <c r="H147" s="56" t="s">
        <v>80</v>
      </c>
      <c r="I147" s="106"/>
      <c r="K147" s="56">
        <v>31</v>
      </c>
      <c r="L147" s="55" t="s">
        <v>176</v>
      </c>
      <c r="M147" s="55" t="s">
        <v>2824</v>
      </c>
      <c r="N147" s="4" t="s">
        <v>177</v>
      </c>
      <c r="O147" s="55" t="s">
        <v>178</v>
      </c>
    </row>
    <row r="148" spans="2:15">
      <c r="B148" s="99">
        <v>44718</v>
      </c>
      <c r="C148" s="59">
        <v>50501722</v>
      </c>
      <c r="D148" s="55" t="s">
        <v>253</v>
      </c>
      <c r="E148" s="67">
        <v>699.85</v>
      </c>
      <c r="F148" s="67">
        <v>1</v>
      </c>
      <c r="G148" s="102">
        <f>699.85+0.01</f>
        <v>699.86</v>
      </c>
      <c r="H148" s="56" t="s">
        <v>82</v>
      </c>
      <c r="I148" s="106"/>
      <c r="K148" s="56">
        <v>31</v>
      </c>
      <c r="L148" s="55" t="s">
        <v>176</v>
      </c>
      <c r="M148" s="55" t="s">
        <v>2824</v>
      </c>
      <c r="N148" s="4" t="s">
        <v>177</v>
      </c>
      <c r="O148" s="55" t="s">
        <v>178</v>
      </c>
    </row>
    <row r="149" spans="2:15">
      <c r="B149" s="99">
        <v>44719</v>
      </c>
      <c r="C149" s="59">
        <v>50501722</v>
      </c>
      <c r="D149" s="55" t="s">
        <v>253</v>
      </c>
      <c r="E149" s="67">
        <v>450</v>
      </c>
      <c r="F149" s="67">
        <v>7</v>
      </c>
      <c r="G149" s="102">
        <f>4643.4</f>
        <v>4643.4</v>
      </c>
      <c r="H149" s="56" t="s">
        <v>82</v>
      </c>
      <c r="I149" s="106"/>
      <c r="K149" s="56">
        <v>32</v>
      </c>
      <c r="L149" s="55" t="s">
        <v>176</v>
      </c>
      <c r="M149" s="55" t="s">
        <v>2824</v>
      </c>
      <c r="N149" s="4" t="s">
        <v>193</v>
      </c>
      <c r="O149" s="55" t="s">
        <v>178</v>
      </c>
    </row>
    <row r="150" spans="2:15">
      <c r="B150" s="99">
        <v>44719</v>
      </c>
      <c r="C150" s="59">
        <v>50272278</v>
      </c>
      <c r="D150" s="55" t="s">
        <v>21</v>
      </c>
      <c r="E150" s="67">
        <v>500</v>
      </c>
      <c r="F150" s="67">
        <v>8</v>
      </c>
      <c r="G150" s="102">
        <v>4000</v>
      </c>
      <c r="H150" s="56" t="s">
        <v>92</v>
      </c>
      <c r="I150" s="106"/>
      <c r="K150" s="56">
        <v>32</v>
      </c>
      <c r="L150" s="55" t="s">
        <v>176</v>
      </c>
      <c r="M150" s="55" t="s">
        <v>2824</v>
      </c>
      <c r="N150" s="4" t="s">
        <v>193</v>
      </c>
      <c r="O150" s="55" t="s">
        <v>178</v>
      </c>
    </row>
    <row r="151" spans="2:15">
      <c r="B151" s="99">
        <v>44719</v>
      </c>
      <c r="C151" s="59">
        <v>50141786</v>
      </c>
      <c r="D151" s="55" t="s">
        <v>188</v>
      </c>
      <c r="E151" s="67">
        <v>560</v>
      </c>
      <c r="F151" s="67">
        <v>4</v>
      </c>
      <c r="G151" s="102">
        <v>2240</v>
      </c>
      <c r="H151" s="56" t="s">
        <v>82</v>
      </c>
      <c r="I151" s="106"/>
      <c r="K151" s="56">
        <v>33</v>
      </c>
      <c r="L151" s="55" t="s">
        <v>176</v>
      </c>
      <c r="M151" s="55" t="s">
        <v>2824</v>
      </c>
      <c r="N151" s="4" t="s">
        <v>193</v>
      </c>
      <c r="O151" s="55" t="s">
        <v>178</v>
      </c>
    </row>
    <row r="152" spans="2:15">
      <c r="B152" s="99">
        <v>44719</v>
      </c>
      <c r="C152" s="59">
        <v>50142330</v>
      </c>
      <c r="D152" s="55" t="s">
        <v>195</v>
      </c>
      <c r="E152" s="67">
        <v>359.28</v>
      </c>
      <c r="F152" s="67">
        <v>6</v>
      </c>
      <c r="G152" s="102">
        <v>2155.68</v>
      </c>
      <c r="H152" s="56" t="s">
        <v>82</v>
      </c>
      <c r="I152" s="106"/>
      <c r="K152" s="56">
        <v>33</v>
      </c>
      <c r="L152" s="55" t="s">
        <v>176</v>
      </c>
      <c r="M152" s="55" t="s">
        <v>2824</v>
      </c>
      <c r="N152" s="4" t="s">
        <v>193</v>
      </c>
      <c r="O152" s="55" t="s">
        <v>178</v>
      </c>
    </row>
    <row r="153" spans="2:15">
      <c r="B153" s="99">
        <v>44719</v>
      </c>
      <c r="C153" s="59">
        <v>50010080</v>
      </c>
      <c r="D153" s="55" t="s">
        <v>354</v>
      </c>
      <c r="E153" s="67">
        <v>1500</v>
      </c>
      <c r="F153" s="67">
        <v>7</v>
      </c>
      <c r="G153" s="102">
        <v>10500</v>
      </c>
      <c r="H153" s="56" t="s">
        <v>82</v>
      </c>
      <c r="I153" s="106"/>
      <c r="K153" s="56">
        <v>33</v>
      </c>
      <c r="L153" s="55" t="s">
        <v>176</v>
      </c>
      <c r="M153" s="55" t="s">
        <v>2824</v>
      </c>
      <c r="N153" s="4" t="s">
        <v>193</v>
      </c>
      <c r="O153" s="55" t="s">
        <v>178</v>
      </c>
    </row>
    <row r="154" spans="2:15">
      <c r="B154" s="99">
        <v>44719</v>
      </c>
      <c r="C154" s="59">
        <v>50272278</v>
      </c>
      <c r="D154" s="55" t="s">
        <v>21</v>
      </c>
      <c r="E154" s="67">
        <v>500</v>
      </c>
      <c r="F154" s="67">
        <v>10</v>
      </c>
      <c r="G154" s="102">
        <v>5000</v>
      </c>
      <c r="H154" s="56" t="s">
        <v>92</v>
      </c>
      <c r="I154" s="106"/>
      <c r="K154" s="56">
        <v>34</v>
      </c>
      <c r="L154" s="55" t="s">
        <v>2826</v>
      </c>
      <c r="M154" s="55" t="s">
        <v>326</v>
      </c>
      <c r="O154" s="55" t="s">
        <v>178</v>
      </c>
    </row>
    <row r="155" spans="2:15">
      <c r="B155" s="99">
        <v>44720</v>
      </c>
      <c r="C155" s="59">
        <v>11111</v>
      </c>
      <c r="D155" s="55" t="s">
        <v>217</v>
      </c>
      <c r="E155" s="67">
        <v>31</v>
      </c>
      <c r="F155" s="67">
        <v>1</v>
      </c>
      <c r="G155" s="102">
        <v>31</v>
      </c>
      <c r="H155" s="56" t="s">
        <v>92</v>
      </c>
      <c r="I155" s="106"/>
      <c r="K155" s="56">
        <v>35</v>
      </c>
      <c r="L155" s="55" t="s">
        <v>262</v>
      </c>
      <c r="M155" s="55" t="s">
        <v>262</v>
      </c>
      <c r="N155" s="4" t="s">
        <v>364</v>
      </c>
      <c r="O155" s="55" t="s">
        <v>178</v>
      </c>
    </row>
    <row r="156" spans="2:15">
      <c r="B156" s="99">
        <v>44720</v>
      </c>
      <c r="C156" s="59">
        <v>50272278</v>
      </c>
      <c r="D156" s="55" t="s">
        <v>21</v>
      </c>
      <c r="E156" s="67">
        <v>500</v>
      </c>
      <c r="F156" s="67">
        <v>11</v>
      </c>
      <c r="G156" s="102">
        <v>5500</v>
      </c>
      <c r="H156" s="56" t="s">
        <v>92</v>
      </c>
      <c r="I156" s="106"/>
      <c r="K156" s="56">
        <v>36</v>
      </c>
      <c r="L156" s="55" t="s">
        <v>176</v>
      </c>
      <c r="M156" s="55" t="s">
        <v>2824</v>
      </c>
      <c r="N156" s="4" t="s">
        <v>177</v>
      </c>
      <c r="O156" s="55" t="s">
        <v>178</v>
      </c>
    </row>
    <row r="157" spans="2:15">
      <c r="B157" s="99">
        <v>44720</v>
      </c>
      <c r="C157" s="59">
        <v>40010086</v>
      </c>
      <c r="D157" s="55" t="s">
        <v>79</v>
      </c>
      <c r="E157" s="101">
        <v>3528</v>
      </c>
      <c r="F157" s="101">
        <v>2</v>
      </c>
      <c r="G157" s="102">
        <v>4610</v>
      </c>
      <c r="H157" s="103" t="s">
        <v>80</v>
      </c>
      <c r="I157" s="106"/>
      <c r="K157" s="56">
        <v>36</v>
      </c>
      <c r="L157" s="55" t="s">
        <v>176</v>
      </c>
      <c r="M157" s="55" t="s">
        <v>2824</v>
      </c>
      <c r="N157" s="4" t="s">
        <v>177</v>
      </c>
      <c r="O157" s="55" t="s">
        <v>178</v>
      </c>
    </row>
    <row r="158" spans="2:15">
      <c r="B158" s="99">
        <v>44720</v>
      </c>
      <c r="C158" s="59">
        <v>40010087</v>
      </c>
      <c r="D158" s="55" t="s">
        <v>387</v>
      </c>
      <c r="E158" s="101">
        <v>756</v>
      </c>
      <c r="F158" s="101">
        <v>7</v>
      </c>
      <c r="G158" s="102">
        <v>4760</v>
      </c>
      <c r="H158" s="103" t="s">
        <v>80</v>
      </c>
      <c r="I158" s="106"/>
      <c r="K158" s="56">
        <v>36</v>
      </c>
      <c r="L158" s="55" t="s">
        <v>176</v>
      </c>
      <c r="M158" s="55" t="s">
        <v>2824</v>
      </c>
      <c r="N158" s="4" t="s">
        <v>177</v>
      </c>
      <c r="O158" s="55" t="s">
        <v>178</v>
      </c>
    </row>
    <row r="159" spans="2:15">
      <c r="B159" s="99">
        <v>44722</v>
      </c>
      <c r="C159" s="59">
        <v>50272278</v>
      </c>
      <c r="D159" s="55" t="s">
        <v>21</v>
      </c>
      <c r="E159" s="67">
        <v>500</v>
      </c>
      <c r="F159" s="67">
        <v>16</v>
      </c>
      <c r="G159" s="102">
        <f>8000</f>
        <v>8000</v>
      </c>
      <c r="H159" s="56" t="s">
        <v>92</v>
      </c>
      <c r="I159" s="106"/>
      <c r="K159" s="56">
        <v>37</v>
      </c>
      <c r="L159" s="55" t="s">
        <v>176</v>
      </c>
      <c r="M159" s="55" t="s">
        <v>2824</v>
      </c>
      <c r="N159" s="4" t="s">
        <v>177</v>
      </c>
      <c r="O159" s="55" t="s">
        <v>178</v>
      </c>
    </row>
    <row r="160" spans="2:15">
      <c r="B160" s="99">
        <v>44722</v>
      </c>
      <c r="C160" s="59">
        <v>50272278</v>
      </c>
      <c r="D160" s="55" t="s">
        <v>21</v>
      </c>
      <c r="E160" s="67">
        <v>500</v>
      </c>
      <c r="F160" s="67">
        <v>9</v>
      </c>
      <c r="G160" s="102">
        <v>4500</v>
      </c>
      <c r="H160" s="56" t="s">
        <v>92</v>
      </c>
      <c r="I160" s="106"/>
      <c r="K160" s="56">
        <v>38</v>
      </c>
      <c r="L160" s="55" t="s">
        <v>416</v>
      </c>
      <c r="M160" s="55" t="s">
        <v>416</v>
      </c>
      <c r="N160" s="4" t="s">
        <v>2827</v>
      </c>
      <c r="O160" s="55" t="s">
        <v>178</v>
      </c>
    </row>
    <row r="161" spans="2:15">
      <c r="B161" s="99">
        <v>44722</v>
      </c>
      <c r="C161" s="59">
        <v>50280269</v>
      </c>
      <c r="D161" s="55" t="s">
        <v>352</v>
      </c>
      <c r="E161" s="67">
        <v>111.3</v>
      </c>
      <c r="F161" s="67">
        <v>2</v>
      </c>
      <c r="G161" s="102">
        <v>232.43</v>
      </c>
      <c r="H161" s="56" t="s">
        <v>82</v>
      </c>
      <c r="I161" s="106"/>
      <c r="K161" s="56">
        <v>38</v>
      </c>
      <c r="L161" s="55" t="s">
        <v>416</v>
      </c>
      <c r="M161" s="55" t="s">
        <v>416</v>
      </c>
      <c r="N161" s="4" t="s">
        <v>2827</v>
      </c>
      <c r="O161" s="55" t="s">
        <v>178</v>
      </c>
    </row>
    <row r="162" spans="2:15">
      <c r="B162" s="99">
        <v>44722</v>
      </c>
      <c r="C162" s="59">
        <v>50501722</v>
      </c>
      <c r="D162" s="55" t="s">
        <v>253</v>
      </c>
      <c r="E162" s="67">
        <v>705.15</v>
      </c>
      <c r="F162" s="67">
        <v>3</v>
      </c>
      <c r="G162" s="102">
        <v>2118.35</v>
      </c>
      <c r="H162" s="56" t="s">
        <v>82</v>
      </c>
      <c r="I162" s="106"/>
      <c r="K162" s="56">
        <v>38</v>
      </c>
      <c r="L162" s="55" t="s">
        <v>416</v>
      </c>
      <c r="M162" s="55" t="s">
        <v>416</v>
      </c>
      <c r="N162" s="4" t="s">
        <v>2827</v>
      </c>
      <c r="O162" s="55" t="s">
        <v>178</v>
      </c>
    </row>
    <row r="163" spans="2:15">
      <c r="B163" s="99">
        <v>44722</v>
      </c>
      <c r="C163" s="59">
        <v>50145028</v>
      </c>
      <c r="D163" s="55" t="s">
        <v>23</v>
      </c>
      <c r="E163" s="67">
        <v>192</v>
      </c>
      <c r="F163" s="67">
        <v>6</v>
      </c>
      <c r="G163" s="102">
        <v>1000</v>
      </c>
      <c r="H163" s="56" t="s">
        <v>92</v>
      </c>
      <c r="I163" s="106"/>
      <c r="K163" s="56">
        <v>38</v>
      </c>
      <c r="L163" s="55" t="s">
        <v>416</v>
      </c>
      <c r="M163" s="55" t="s">
        <v>416</v>
      </c>
      <c r="N163" s="4" t="s">
        <v>2827</v>
      </c>
      <c r="O163" s="55" t="s">
        <v>178</v>
      </c>
    </row>
    <row r="164" spans="2:15">
      <c r="B164" s="99">
        <v>44728</v>
      </c>
      <c r="C164" s="59">
        <v>50272278</v>
      </c>
      <c r="D164" s="55" t="s">
        <v>21</v>
      </c>
      <c r="E164" s="67">
        <v>500</v>
      </c>
      <c r="F164" s="67">
        <v>10</v>
      </c>
      <c r="G164" s="102">
        <v>5000</v>
      </c>
      <c r="H164" s="56" t="s">
        <v>92</v>
      </c>
      <c r="I164" s="106"/>
      <c r="K164" s="56">
        <v>39</v>
      </c>
      <c r="L164" s="55" t="s">
        <v>176</v>
      </c>
      <c r="M164" s="55" t="s">
        <v>2824</v>
      </c>
      <c r="N164" s="4" t="s">
        <v>193</v>
      </c>
      <c r="O164" s="55" t="s">
        <v>178</v>
      </c>
    </row>
    <row r="165" spans="2:15">
      <c r="B165" s="99">
        <v>44728</v>
      </c>
      <c r="C165" s="59">
        <v>50143646</v>
      </c>
      <c r="D165" s="55" t="s">
        <v>191</v>
      </c>
      <c r="E165" s="67">
        <v>480</v>
      </c>
      <c r="F165" s="67">
        <v>10</v>
      </c>
      <c r="G165" s="102">
        <v>4800</v>
      </c>
      <c r="H165" s="56" t="s">
        <v>82</v>
      </c>
      <c r="I165" s="106"/>
      <c r="K165" s="56">
        <v>39</v>
      </c>
      <c r="L165" s="55" t="s">
        <v>176</v>
      </c>
      <c r="M165" s="55" t="s">
        <v>2824</v>
      </c>
      <c r="N165" s="4" t="s">
        <v>193</v>
      </c>
      <c r="O165" s="55" t="s">
        <v>178</v>
      </c>
    </row>
    <row r="166" spans="2:15">
      <c r="B166" s="99">
        <v>44729</v>
      </c>
      <c r="C166" s="59">
        <v>50272278</v>
      </c>
      <c r="D166" s="55" t="s">
        <v>21</v>
      </c>
      <c r="E166" s="67">
        <v>500</v>
      </c>
      <c r="F166" s="67">
        <v>20</v>
      </c>
      <c r="G166" s="102">
        <v>10000</v>
      </c>
      <c r="H166" s="56" t="s">
        <v>92</v>
      </c>
      <c r="I166" s="106"/>
      <c r="K166" s="56">
        <v>40</v>
      </c>
      <c r="L166" s="55" t="s">
        <v>176</v>
      </c>
      <c r="M166" s="55" t="s">
        <v>2824</v>
      </c>
      <c r="N166" s="4" t="s">
        <v>193</v>
      </c>
      <c r="O166" s="55" t="s">
        <v>178</v>
      </c>
    </row>
    <row r="167" spans="2:15">
      <c r="B167" s="99">
        <v>44729</v>
      </c>
      <c r="C167" s="59">
        <v>50141786</v>
      </c>
      <c r="D167" s="55" t="s">
        <v>188</v>
      </c>
      <c r="E167" s="67">
        <v>560</v>
      </c>
      <c r="F167" s="67">
        <v>4</v>
      </c>
      <c r="G167" s="102">
        <v>2240</v>
      </c>
      <c r="H167" s="56" t="s">
        <v>82</v>
      </c>
      <c r="I167" s="106"/>
      <c r="K167" s="56">
        <v>41</v>
      </c>
      <c r="L167" s="55" t="s">
        <v>176</v>
      </c>
      <c r="M167" s="55" t="s">
        <v>2824</v>
      </c>
      <c r="N167" s="4" t="s">
        <v>193</v>
      </c>
      <c r="O167" s="55" t="s">
        <v>178</v>
      </c>
    </row>
    <row r="168" spans="2:15">
      <c r="B168" s="99">
        <v>44729</v>
      </c>
      <c r="C168" s="59">
        <v>50513699</v>
      </c>
      <c r="D168" s="55" t="s">
        <v>338</v>
      </c>
      <c r="E168" s="67">
        <v>725.29</v>
      </c>
      <c r="F168" s="67">
        <v>6</v>
      </c>
      <c r="G168" s="102">
        <v>4312.94</v>
      </c>
      <c r="H168" s="56" t="s">
        <v>82</v>
      </c>
      <c r="I168" s="106"/>
      <c r="K168" s="56">
        <v>41</v>
      </c>
      <c r="L168" s="55" t="s">
        <v>176</v>
      </c>
      <c r="M168" s="55" t="s">
        <v>2824</v>
      </c>
      <c r="N168" s="4" t="s">
        <v>193</v>
      </c>
      <c r="O168" s="55" t="s">
        <v>178</v>
      </c>
    </row>
    <row r="169" spans="2:15">
      <c r="B169" s="99">
        <v>44732</v>
      </c>
      <c r="C169" s="59">
        <v>50144376</v>
      </c>
      <c r="D169" s="55" t="s">
        <v>19</v>
      </c>
      <c r="E169" s="67">
        <v>500</v>
      </c>
      <c r="F169" s="67">
        <v>16</v>
      </c>
      <c r="G169" s="102">
        <v>8000</v>
      </c>
      <c r="H169" s="105" t="s">
        <v>92</v>
      </c>
      <c r="I169" s="106"/>
      <c r="K169" s="56">
        <v>42</v>
      </c>
      <c r="L169" s="55" t="s">
        <v>176</v>
      </c>
      <c r="M169" s="55" t="s">
        <v>2824</v>
      </c>
      <c r="N169" s="4" t="s">
        <v>193</v>
      </c>
      <c r="O169" s="55" t="s">
        <v>178</v>
      </c>
    </row>
    <row r="170" spans="2:15">
      <c r="B170" s="99">
        <v>44732</v>
      </c>
      <c r="C170" s="59">
        <v>50395897</v>
      </c>
      <c r="D170" s="55" t="s">
        <v>359</v>
      </c>
      <c r="E170" s="67">
        <v>720000</v>
      </c>
      <c r="F170" s="67">
        <v>1</v>
      </c>
      <c r="G170" s="102">
        <v>720000</v>
      </c>
      <c r="H170" s="56" t="s">
        <v>92</v>
      </c>
      <c r="I170" s="106"/>
      <c r="K170" s="56">
        <v>42</v>
      </c>
      <c r="L170" s="55" t="s">
        <v>176</v>
      </c>
      <c r="M170" s="55" t="s">
        <v>2824</v>
      </c>
      <c r="N170" s="4" t="s">
        <v>193</v>
      </c>
      <c r="O170" s="55" t="s">
        <v>178</v>
      </c>
    </row>
    <row r="171" spans="2:15">
      <c r="B171" s="99">
        <v>44732</v>
      </c>
      <c r="C171" s="59">
        <v>50551883</v>
      </c>
      <c r="D171" s="55" t="s">
        <v>223</v>
      </c>
      <c r="E171" s="67">
        <v>360000</v>
      </c>
      <c r="F171" s="67">
        <v>2</v>
      </c>
      <c r="G171" s="102">
        <v>720000</v>
      </c>
      <c r="H171" s="56" t="s">
        <v>92</v>
      </c>
      <c r="I171" s="106"/>
      <c r="K171" s="56">
        <v>42</v>
      </c>
      <c r="L171" s="55" t="s">
        <v>176</v>
      </c>
      <c r="M171" s="55" t="s">
        <v>2824</v>
      </c>
      <c r="N171" s="4" t="s">
        <v>193</v>
      </c>
      <c r="O171" s="55" t="s">
        <v>178</v>
      </c>
    </row>
    <row r="172" spans="2:15">
      <c r="B172" s="99">
        <v>44734</v>
      </c>
      <c r="C172" s="59">
        <v>40499</v>
      </c>
      <c r="D172" s="55" t="s">
        <v>316</v>
      </c>
      <c r="E172" s="67">
        <v>6</v>
      </c>
      <c r="F172" s="67">
        <v>6</v>
      </c>
      <c r="G172" s="102">
        <v>6</v>
      </c>
      <c r="H172" s="56" t="s">
        <v>92</v>
      </c>
      <c r="I172" s="106"/>
      <c r="K172" s="56">
        <v>43</v>
      </c>
      <c r="L172" s="55" t="s">
        <v>176</v>
      </c>
      <c r="M172" s="55" t="s">
        <v>2824</v>
      </c>
      <c r="N172" s="4" t="s">
        <v>193</v>
      </c>
      <c r="O172" s="55" t="s">
        <v>178</v>
      </c>
    </row>
    <row r="173" spans="2:15">
      <c r="B173" s="99">
        <v>44734</v>
      </c>
      <c r="C173" s="59">
        <v>50142327</v>
      </c>
      <c r="D173" s="55" t="s">
        <v>256</v>
      </c>
      <c r="E173" s="67">
        <v>681</v>
      </c>
      <c r="F173" s="67">
        <v>3</v>
      </c>
      <c r="G173" s="102">
        <v>2043</v>
      </c>
      <c r="H173" s="56" t="s">
        <v>82</v>
      </c>
      <c r="I173" s="106"/>
      <c r="K173" s="56">
        <v>43</v>
      </c>
      <c r="L173" s="55" t="s">
        <v>176</v>
      </c>
      <c r="M173" s="55" t="s">
        <v>2824</v>
      </c>
      <c r="N173" s="4" t="s">
        <v>193</v>
      </c>
      <c r="O173" s="55" t="s">
        <v>178</v>
      </c>
    </row>
    <row r="174" spans="2:15">
      <c r="B174" s="99">
        <v>44734</v>
      </c>
      <c r="C174" s="59">
        <v>50142334</v>
      </c>
      <c r="D174" s="55" t="s">
        <v>257</v>
      </c>
      <c r="E174" s="67">
        <v>681</v>
      </c>
      <c r="F174" s="67">
        <v>3</v>
      </c>
      <c r="G174" s="102">
        <v>2043</v>
      </c>
      <c r="H174" s="56" t="s">
        <v>82</v>
      </c>
      <c r="I174" s="106"/>
      <c r="K174" s="56">
        <v>43</v>
      </c>
      <c r="L174" s="55" t="s">
        <v>176</v>
      </c>
      <c r="M174" s="55" t="s">
        <v>2824</v>
      </c>
      <c r="N174" s="4" t="s">
        <v>193</v>
      </c>
      <c r="O174" s="55" t="s">
        <v>178</v>
      </c>
    </row>
    <row r="175" spans="2:15">
      <c r="B175" s="99">
        <v>44734</v>
      </c>
      <c r="C175" s="59">
        <v>40009544</v>
      </c>
      <c r="D175" s="55" t="s">
        <v>179</v>
      </c>
      <c r="E175" s="67">
        <v>2940</v>
      </c>
      <c r="F175" s="67">
        <v>4</v>
      </c>
      <c r="G175" s="102">
        <v>11760</v>
      </c>
      <c r="H175" s="56" t="s">
        <v>80</v>
      </c>
      <c r="I175" s="106"/>
      <c r="K175" s="56">
        <v>43</v>
      </c>
      <c r="L175" s="55" t="s">
        <v>176</v>
      </c>
      <c r="M175" s="55" t="s">
        <v>2824</v>
      </c>
      <c r="N175" s="4" t="s">
        <v>193</v>
      </c>
      <c r="O175" s="55" t="s">
        <v>178</v>
      </c>
    </row>
    <row r="176" spans="2:15">
      <c r="B176" s="99">
        <v>44734</v>
      </c>
      <c r="C176" s="59">
        <v>50272278</v>
      </c>
      <c r="D176" s="55" t="s">
        <v>21</v>
      </c>
      <c r="E176" s="67">
        <v>500</v>
      </c>
      <c r="F176" s="67">
        <v>10</v>
      </c>
      <c r="G176" s="102">
        <v>5000</v>
      </c>
      <c r="H176" s="56" t="s">
        <v>92</v>
      </c>
      <c r="I176" s="106"/>
      <c r="K176" s="56">
        <v>43</v>
      </c>
      <c r="L176" s="55" t="s">
        <v>176</v>
      </c>
      <c r="M176" s="55" t="s">
        <v>2824</v>
      </c>
      <c r="N176" s="4" t="s">
        <v>193</v>
      </c>
      <c r="O176" s="55" t="s">
        <v>178</v>
      </c>
    </row>
    <row r="177" spans="2:15">
      <c r="B177" s="99">
        <v>44735</v>
      </c>
      <c r="C177" s="59">
        <v>50272278</v>
      </c>
      <c r="D177" s="55" t="s">
        <v>21</v>
      </c>
      <c r="E177" s="67">
        <v>500</v>
      </c>
      <c r="F177" s="67">
        <v>20</v>
      </c>
      <c r="G177" s="102">
        <v>10000</v>
      </c>
      <c r="H177" s="56" t="s">
        <v>92</v>
      </c>
      <c r="I177" s="106"/>
      <c r="K177" s="56">
        <v>44</v>
      </c>
      <c r="L177" s="55" t="s">
        <v>176</v>
      </c>
      <c r="M177" s="55" t="s">
        <v>2824</v>
      </c>
      <c r="N177" s="4" t="s">
        <v>193</v>
      </c>
      <c r="O177" s="55" t="s">
        <v>178</v>
      </c>
    </row>
    <row r="178" spans="2:15">
      <c r="B178" s="99">
        <v>44735</v>
      </c>
      <c r="C178" s="59">
        <v>50486295</v>
      </c>
      <c r="D178" s="55" t="s">
        <v>232</v>
      </c>
      <c r="E178" s="67">
        <v>85.9</v>
      </c>
      <c r="F178" s="67">
        <v>4</v>
      </c>
      <c r="G178" s="102">
        <v>1099.004</v>
      </c>
      <c r="H178" s="56" t="s">
        <v>82</v>
      </c>
      <c r="I178" s="106"/>
      <c r="K178" s="56">
        <v>45</v>
      </c>
      <c r="L178" s="55" t="s">
        <v>176</v>
      </c>
      <c r="M178" s="55" t="s">
        <v>2824</v>
      </c>
      <c r="N178" s="4" t="s">
        <v>193</v>
      </c>
      <c r="O178" s="55" t="s">
        <v>178</v>
      </c>
    </row>
    <row r="179" spans="2:15">
      <c r="B179" s="99">
        <v>44735</v>
      </c>
      <c r="C179" s="59">
        <v>50272278</v>
      </c>
      <c r="D179" s="55" t="s">
        <v>21</v>
      </c>
      <c r="E179" s="67">
        <v>500</v>
      </c>
      <c r="F179" s="67">
        <v>16</v>
      </c>
      <c r="G179" s="102">
        <v>8000</v>
      </c>
      <c r="H179" s="56" t="s">
        <v>92</v>
      </c>
      <c r="I179" s="106"/>
      <c r="K179" s="56">
        <v>45</v>
      </c>
      <c r="L179" s="55" t="s">
        <v>176</v>
      </c>
      <c r="M179" s="55" t="s">
        <v>2824</v>
      </c>
      <c r="N179" s="4" t="s">
        <v>193</v>
      </c>
      <c r="O179" s="55" t="s">
        <v>178</v>
      </c>
    </row>
    <row r="180" spans="2:15">
      <c r="B180" s="99">
        <v>44736</v>
      </c>
      <c r="C180" s="59">
        <v>50272278</v>
      </c>
      <c r="D180" s="55" t="s">
        <v>21</v>
      </c>
      <c r="E180" s="67">
        <v>500</v>
      </c>
      <c r="F180" s="67">
        <v>19</v>
      </c>
      <c r="G180" s="102">
        <v>9500</v>
      </c>
      <c r="H180" s="56" t="s">
        <v>92</v>
      </c>
      <c r="I180" s="106"/>
      <c r="K180" s="56">
        <v>46</v>
      </c>
      <c r="L180" s="55" t="s">
        <v>176</v>
      </c>
      <c r="M180" s="55" t="s">
        <v>2824</v>
      </c>
      <c r="N180" s="4" t="s">
        <v>193</v>
      </c>
      <c r="O180" s="55" t="s">
        <v>178</v>
      </c>
    </row>
    <row r="181" spans="2:15">
      <c r="B181" s="99">
        <v>44736</v>
      </c>
      <c r="C181" s="59">
        <v>40007941</v>
      </c>
      <c r="D181" s="55" t="s">
        <v>211</v>
      </c>
      <c r="E181" s="67">
        <v>756</v>
      </c>
      <c r="F181" s="67">
        <v>3</v>
      </c>
      <c r="G181" s="102">
        <v>2268</v>
      </c>
      <c r="H181" s="56" t="s">
        <v>80</v>
      </c>
      <c r="I181" s="106"/>
      <c r="K181" s="56">
        <v>46</v>
      </c>
      <c r="L181" s="55" t="s">
        <v>176</v>
      </c>
      <c r="M181" s="55" t="s">
        <v>2824</v>
      </c>
      <c r="N181" s="4" t="s">
        <v>193</v>
      </c>
      <c r="O181" s="55" t="s">
        <v>178</v>
      </c>
    </row>
    <row r="182" spans="2:15">
      <c r="B182" s="99">
        <v>44739</v>
      </c>
      <c r="C182" s="59">
        <v>50272278</v>
      </c>
      <c r="D182" s="55" t="s">
        <v>21</v>
      </c>
      <c r="E182" s="67">
        <v>500</v>
      </c>
      <c r="F182" s="67">
        <v>10</v>
      </c>
      <c r="G182" s="102">
        <v>5500</v>
      </c>
      <c r="H182" s="56" t="s">
        <v>92</v>
      </c>
      <c r="I182" s="106"/>
      <c r="K182" s="56">
        <v>47</v>
      </c>
      <c r="L182" s="55" t="s">
        <v>176</v>
      </c>
      <c r="M182" s="55" t="s">
        <v>2824</v>
      </c>
      <c r="N182" s="4" t="s">
        <v>193</v>
      </c>
      <c r="O182" s="55" t="s">
        <v>178</v>
      </c>
    </row>
    <row r="183" spans="2:15">
      <c r="B183" s="99">
        <v>44739</v>
      </c>
      <c r="C183" s="59">
        <v>50144376</v>
      </c>
      <c r="D183" s="55" t="s">
        <v>19</v>
      </c>
      <c r="E183" s="67">
        <v>500</v>
      </c>
      <c r="F183" s="67">
        <v>10</v>
      </c>
      <c r="G183" s="102">
        <v>4000</v>
      </c>
      <c r="H183" s="105" t="s">
        <v>92</v>
      </c>
      <c r="I183" s="106"/>
      <c r="K183" s="56">
        <v>47</v>
      </c>
      <c r="L183" s="55" t="s">
        <v>176</v>
      </c>
      <c r="M183" s="55" t="s">
        <v>2824</v>
      </c>
      <c r="N183" s="4" t="s">
        <v>193</v>
      </c>
      <c r="O183" s="55" t="s">
        <v>178</v>
      </c>
    </row>
    <row r="184" spans="2:15">
      <c r="B184" s="99">
        <v>44740</v>
      </c>
      <c r="C184" s="59">
        <v>50142334</v>
      </c>
      <c r="D184" s="55" t="s">
        <v>257</v>
      </c>
      <c r="E184" s="67">
        <v>681</v>
      </c>
      <c r="F184" s="67">
        <v>20</v>
      </c>
      <c r="G184" s="102">
        <v>13620</v>
      </c>
      <c r="H184" s="56" t="s">
        <v>82</v>
      </c>
      <c r="I184" s="106"/>
      <c r="K184" s="56">
        <v>51</v>
      </c>
      <c r="L184" s="55" t="s">
        <v>2828</v>
      </c>
      <c r="M184" s="55" t="s">
        <v>2829</v>
      </c>
      <c r="N184" s="4" t="s">
        <v>798</v>
      </c>
      <c r="O184" s="55" t="s">
        <v>178</v>
      </c>
    </row>
    <row r="185" spans="2:15">
      <c r="B185" s="99">
        <v>44740</v>
      </c>
      <c r="C185" s="59">
        <v>50142334</v>
      </c>
      <c r="D185" s="55" t="s">
        <v>257</v>
      </c>
      <c r="E185" s="67">
        <v>681</v>
      </c>
      <c r="F185" s="67">
        <v>20</v>
      </c>
      <c r="G185" s="102">
        <v>13620</v>
      </c>
      <c r="H185" s="56" t="s">
        <v>82</v>
      </c>
      <c r="I185" s="106"/>
      <c r="K185" s="56">
        <v>52</v>
      </c>
      <c r="L185" s="55" t="s">
        <v>2828</v>
      </c>
      <c r="M185" s="55" t="s">
        <v>2829</v>
      </c>
      <c r="N185" s="4" t="s">
        <v>1090</v>
      </c>
      <c r="O185" s="55" t="s">
        <v>178</v>
      </c>
    </row>
    <row r="186" spans="2:15">
      <c r="B186" s="99">
        <v>44741</v>
      </c>
      <c r="C186" s="59">
        <v>40499</v>
      </c>
      <c r="D186" s="55" t="s">
        <v>316</v>
      </c>
      <c r="E186" s="67">
        <v>2</v>
      </c>
      <c r="F186" s="67">
        <v>2</v>
      </c>
      <c r="G186" s="102">
        <v>2</v>
      </c>
      <c r="H186" s="56" t="s">
        <v>92</v>
      </c>
      <c r="I186" s="106"/>
      <c r="K186" s="56">
        <v>48</v>
      </c>
      <c r="L186" s="55" t="s">
        <v>176</v>
      </c>
      <c r="M186" s="55" t="s">
        <v>2824</v>
      </c>
      <c r="N186" s="4" t="s">
        <v>177</v>
      </c>
      <c r="O186" s="55" t="s">
        <v>178</v>
      </c>
    </row>
    <row r="187" spans="2:15">
      <c r="B187" s="99">
        <v>44741</v>
      </c>
      <c r="C187" s="59">
        <v>50142334</v>
      </c>
      <c r="D187" s="55" t="s">
        <v>257</v>
      </c>
      <c r="E187" s="67">
        <v>681</v>
      </c>
      <c r="F187" s="67">
        <v>2</v>
      </c>
      <c r="G187" s="102">
        <v>1362</v>
      </c>
      <c r="H187" s="56" t="s">
        <v>82</v>
      </c>
      <c r="K187" s="56">
        <v>48</v>
      </c>
      <c r="L187" s="55" t="s">
        <v>176</v>
      </c>
      <c r="M187" s="55" t="s">
        <v>2824</v>
      </c>
      <c r="N187" s="4" t="s">
        <v>177</v>
      </c>
      <c r="O187" s="55" t="s">
        <v>178</v>
      </c>
    </row>
    <row r="188" spans="2:15">
      <c r="B188" s="99">
        <v>44741</v>
      </c>
      <c r="C188" s="59">
        <v>50142327</v>
      </c>
      <c r="D188" s="55" t="s">
        <v>256</v>
      </c>
      <c r="E188" s="67">
        <v>681</v>
      </c>
      <c r="F188" s="67">
        <v>1</v>
      </c>
      <c r="G188" s="102">
        <v>681</v>
      </c>
      <c r="H188" s="56" t="s">
        <v>82</v>
      </c>
      <c r="I188" s="106"/>
      <c r="K188" s="56">
        <v>48</v>
      </c>
      <c r="L188" s="55" t="s">
        <v>176</v>
      </c>
      <c r="M188" s="55" t="s">
        <v>2824</v>
      </c>
      <c r="N188" s="4" t="s">
        <v>177</v>
      </c>
      <c r="O188" s="55" t="s">
        <v>178</v>
      </c>
    </row>
    <row r="189" spans="2:15">
      <c r="B189" s="99">
        <v>44741</v>
      </c>
      <c r="C189" s="59">
        <v>40004808</v>
      </c>
      <c r="D189" s="55" t="s">
        <v>187</v>
      </c>
      <c r="E189" s="67">
        <v>441</v>
      </c>
      <c r="F189" s="67">
        <v>4</v>
      </c>
      <c r="G189" s="102">
        <v>1764</v>
      </c>
      <c r="H189" s="56" t="s">
        <v>80</v>
      </c>
      <c r="I189" s="106"/>
      <c r="K189" s="56">
        <v>48</v>
      </c>
      <c r="L189" s="55" t="s">
        <v>176</v>
      </c>
      <c r="M189" s="55" t="s">
        <v>2824</v>
      </c>
      <c r="N189" s="4" t="s">
        <v>177</v>
      </c>
      <c r="O189" s="55" t="s">
        <v>178</v>
      </c>
    </row>
    <row r="190" spans="2:15">
      <c r="B190" s="99">
        <v>44741</v>
      </c>
      <c r="C190" s="59">
        <v>40008022</v>
      </c>
      <c r="D190" s="55" t="s">
        <v>190</v>
      </c>
      <c r="E190" s="67">
        <v>441</v>
      </c>
      <c r="F190" s="67">
        <v>4</v>
      </c>
      <c r="G190" s="102">
        <v>1764</v>
      </c>
      <c r="H190" s="56" t="s">
        <v>80</v>
      </c>
      <c r="I190" s="106"/>
      <c r="K190" s="56">
        <v>48</v>
      </c>
      <c r="L190" s="55" t="s">
        <v>176</v>
      </c>
      <c r="M190" s="55" t="s">
        <v>2824</v>
      </c>
      <c r="N190" s="4" t="s">
        <v>177</v>
      </c>
      <c r="O190" s="55" t="s">
        <v>178</v>
      </c>
    </row>
    <row r="191" spans="2:15">
      <c r="B191" s="99">
        <v>44741</v>
      </c>
      <c r="C191" s="59">
        <v>50143646</v>
      </c>
      <c r="D191" s="55" t="s">
        <v>191</v>
      </c>
      <c r="E191" s="67">
        <v>480</v>
      </c>
      <c r="F191" s="67">
        <v>3</v>
      </c>
      <c r="G191" s="102">
        <v>1440</v>
      </c>
      <c r="H191" s="56" t="s">
        <v>82</v>
      </c>
      <c r="I191" s="106"/>
      <c r="K191" s="56">
        <v>48</v>
      </c>
      <c r="L191" s="55" t="s">
        <v>176</v>
      </c>
      <c r="M191" s="55" t="s">
        <v>2824</v>
      </c>
      <c r="N191" s="4" t="s">
        <v>177</v>
      </c>
      <c r="O191" s="55" t="s">
        <v>178</v>
      </c>
    </row>
    <row r="192" spans="2:15">
      <c r="B192" s="99">
        <v>44741</v>
      </c>
      <c r="C192" s="59">
        <v>50010080</v>
      </c>
      <c r="D192" s="55" t="s">
        <v>354</v>
      </c>
      <c r="E192" s="67">
        <v>1500</v>
      </c>
      <c r="F192" s="67">
        <v>5</v>
      </c>
      <c r="G192" s="102">
        <v>7500</v>
      </c>
      <c r="H192" s="56" t="s">
        <v>82</v>
      </c>
      <c r="I192" s="106"/>
      <c r="K192" s="56">
        <v>48</v>
      </c>
      <c r="L192" s="55" t="s">
        <v>176</v>
      </c>
      <c r="M192" s="55" t="s">
        <v>2824</v>
      </c>
      <c r="N192" s="4" t="s">
        <v>177</v>
      </c>
      <c r="O192" s="55" t="s">
        <v>178</v>
      </c>
    </row>
    <row r="193" spans="2:15">
      <c r="B193" s="99">
        <v>44741</v>
      </c>
      <c r="C193" s="59">
        <v>50142334</v>
      </c>
      <c r="D193" s="55" t="s">
        <v>257</v>
      </c>
      <c r="E193" s="67">
        <v>681</v>
      </c>
      <c r="F193" s="67">
        <v>14</v>
      </c>
      <c r="G193" s="102">
        <v>9148.1</v>
      </c>
      <c r="H193" s="56" t="s">
        <v>82</v>
      </c>
      <c r="I193" s="106"/>
      <c r="K193" s="56">
        <v>53</v>
      </c>
      <c r="L193" s="55" t="s">
        <v>2830</v>
      </c>
      <c r="M193" s="55" t="s">
        <v>2829</v>
      </c>
      <c r="N193" s="4" t="s">
        <v>2831</v>
      </c>
      <c r="O193" s="55" t="s">
        <v>178</v>
      </c>
    </row>
    <row r="194" spans="2:15">
      <c r="B194" s="99">
        <v>44741</v>
      </c>
      <c r="C194" s="59">
        <v>50142334</v>
      </c>
      <c r="D194" s="55" t="s">
        <v>257</v>
      </c>
      <c r="E194" s="67">
        <v>681</v>
      </c>
      <c r="F194" s="67">
        <v>20</v>
      </c>
      <c r="G194" s="102">
        <v>13620</v>
      </c>
      <c r="H194" s="56" t="s">
        <v>82</v>
      </c>
      <c r="I194" s="106"/>
      <c r="K194" s="56">
        <v>54</v>
      </c>
      <c r="L194" s="55" t="s">
        <v>2830</v>
      </c>
      <c r="M194" s="55" t="s">
        <v>2829</v>
      </c>
      <c r="N194" s="4" t="s">
        <v>2832</v>
      </c>
      <c r="O194" s="55" t="s">
        <v>178</v>
      </c>
    </row>
    <row r="195" spans="2:15">
      <c r="B195" s="99">
        <v>44772</v>
      </c>
      <c r="C195" s="59">
        <v>50534881</v>
      </c>
      <c r="D195" s="55" t="s">
        <v>227</v>
      </c>
      <c r="E195" s="67">
        <v>9000</v>
      </c>
      <c r="F195" s="67">
        <v>16</v>
      </c>
      <c r="G195" s="102">
        <v>119400</v>
      </c>
      <c r="H195" s="56" t="s">
        <v>92</v>
      </c>
      <c r="I195" s="106"/>
      <c r="K195" s="56">
        <v>49</v>
      </c>
      <c r="L195" s="55" t="s">
        <v>176</v>
      </c>
      <c r="M195" s="55" t="s">
        <v>2824</v>
      </c>
      <c r="N195" s="4" t="s">
        <v>193</v>
      </c>
      <c r="O195" s="55" t="s">
        <v>178</v>
      </c>
    </row>
    <row r="196" spans="2:15">
      <c r="B196" s="99">
        <v>44772</v>
      </c>
      <c r="C196" s="59">
        <v>50550701</v>
      </c>
      <c r="D196" s="55" t="s">
        <v>244</v>
      </c>
      <c r="E196" s="67">
        <v>715.2</v>
      </c>
      <c r="F196" s="67">
        <v>2</v>
      </c>
      <c r="G196" s="102">
        <v>1432.55</v>
      </c>
      <c r="H196" s="56" t="s">
        <v>82</v>
      </c>
      <c r="I196" s="106"/>
      <c r="K196" s="56">
        <v>49</v>
      </c>
      <c r="L196" s="55" t="s">
        <v>176</v>
      </c>
      <c r="M196" s="55" t="s">
        <v>2824</v>
      </c>
      <c r="N196" s="4" t="s">
        <v>193</v>
      </c>
      <c r="O196" s="55" t="s">
        <v>178</v>
      </c>
    </row>
    <row r="197" spans="2:15">
      <c r="B197" s="99">
        <v>44772</v>
      </c>
      <c r="C197" s="59">
        <v>50486295</v>
      </c>
      <c r="D197" s="55" t="s">
        <v>232</v>
      </c>
      <c r="E197" s="67">
        <v>343.9</v>
      </c>
      <c r="F197" s="67">
        <v>3</v>
      </c>
      <c r="G197" s="102">
        <v>1029.4</v>
      </c>
      <c r="H197" s="56" t="s">
        <v>82</v>
      </c>
      <c r="I197" s="106"/>
      <c r="K197" s="56">
        <v>49</v>
      </c>
      <c r="L197" s="55" t="s">
        <v>176</v>
      </c>
      <c r="M197" s="55" t="s">
        <v>2824</v>
      </c>
      <c r="N197" s="4" t="s">
        <v>193</v>
      </c>
      <c r="O197" s="55" t="s">
        <v>178</v>
      </c>
    </row>
    <row r="198" spans="2:15">
      <c r="B198" s="99">
        <v>44743</v>
      </c>
      <c r="C198" s="59">
        <v>50534881</v>
      </c>
      <c r="D198" s="55" t="s">
        <v>227</v>
      </c>
      <c r="E198" s="67">
        <v>9000</v>
      </c>
      <c r="F198" s="67">
        <v>21</v>
      </c>
      <c r="G198" s="102">
        <v>180000</v>
      </c>
      <c r="H198" s="56" t="s">
        <v>92</v>
      </c>
      <c r="I198" s="106"/>
      <c r="K198" s="56">
        <v>50</v>
      </c>
      <c r="L198" s="55" t="s">
        <v>176</v>
      </c>
      <c r="M198" s="55" t="s">
        <v>2824</v>
      </c>
      <c r="N198" s="4" t="s">
        <v>193</v>
      </c>
      <c r="O198" s="55" t="s">
        <v>178</v>
      </c>
    </row>
    <row r="199" spans="2:15">
      <c r="B199" s="99">
        <v>44747</v>
      </c>
      <c r="C199" s="59">
        <v>50144376</v>
      </c>
      <c r="D199" s="55" t="s">
        <v>19</v>
      </c>
      <c r="E199" s="67">
        <v>500</v>
      </c>
      <c r="F199" s="67">
        <v>15</v>
      </c>
      <c r="G199" s="102">
        <v>7500</v>
      </c>
      <c r="H199" s="105" t="s">
        <v>92</v>
      </c>
      <c r="I199" s="106"/>
      <c r="K199" s="56">
        <v>51</v>
      </c>
      <c r="L199" s="55" t="s">
        <v>176</v>
      </c>
      <c r="M199" s="55" t="s">
        <v>2824</v>
      </c>
      <c r="N199" s="4" t="s">
        <v>177</v>
      </c>
      <c r="O199" s="55" t="s">
        <v>178</v>
      </c>
    </row>
    <row r="200" spans="2:15">
      <c r="B200" s="99">
        <v>44747</v>
      </c>
      <c r="C200" s="59">
        <v>50522171</v>
      </c>
      <c r="D200" s="55" t="s">
        <v>203</v>
      </c>
      <c r="E200" s="67">
        <v>402</v>
      </c>
      <c r="F200" s="67">
        <v>3</v>
      </c>
      <c r="G200" s="102">
        <v>1206.7</v>
      </c>
      <c r="H200" s="56" t="s">
        <v>82</v>
      </c>
      <c r="I200" s="106"/>
      <c r="K200" s="56">
        <v>51</v>
      </c>
      <c r="L200" s="55" t="s">
        <v>176</v>
      </c>
      <c r="M200" s="55" t="s">
        <v>2824</v>
      </c>
      <c r="N200" s="4" t="s">
        <v>177</v>
      </c>
      <c r="O200" s="55" t="s">
        <v>178</v>
      </c>
    </row>
    <row r="201" spans="2:15">
      <c r="B201" s="99">
        <v>44747</v>
      </c>
      <c r="C201" s="59">
        <v>40499</v>
      </c>
      <c r="D201" s="55" t="s">
        <v>316</v>
      </c>
      <c r="E201" s="67">
        <v>4</v>
      </c>
      <c r="F201" s="67">
        <v>4</v>
      </c>
      <c r="G201" s="102">
        <v>4</v>
      </c>
      <c r="H201" s="56" t="s">
        <v>92</v>
      </c>
      <c r="I201" s="106"/>
      <c r="K201" s="56">
        <v>52</v>
      </c>
      <c r="L201" s="55" t="s">
        <v>176</v>
      </c>
      <c r="M201" s="55" t="s">
        <v>2824</v>
      </c>
      <c r="N201" s="4" t="s">
        <v>177</v>
      </c>
      <c r="O201" s="55" t="s">
        <v>178</v>
      </c>
    </row>
    <row r="202" spans="2:15">
      <c r="B202" s="99">
        <v>44747</v>
      </c>
      <c r="C202" s="59">
        <v>50142334</v>
      </c>
      <c r="D202" s="55" t="s">
        <v>257</v>
      </c>
      <c r="E202" s="67">
        <v>681</v>
      </c>
      <c r="F202" s="67">
        <v>2</v>
      </c>
      <c r="G202" s="102">
        <v>1362</v>
      </c>
      <c r="H202" s="56" t="s">
        <v>82</v>
      </c>
      <c r="I202" s="106"/>
      <c r="K202" s="56">
        <v>52</v>
      </c>
      <c r="L202" s="55" t="s">
        <v>176</v>
      </c>
      <c r="M202" s="55" t="s">
        <v>2824</v>
      </c>
      <c r="N202" s="4" t="s">
        <v>177</v>
      </c>
      <c r="O202" s="55" t="s">
        <v>178</v>
      </c>
    </row>
    <row r="203" spans="2:15">
      <c r="B203" s="99">
        <v>44747</v>
      </c>
      <c r="C203" s="59">
        <v>50142327</v>
      </c>
      <c r="D203" s="55" t="s">
        <v>256</v>
      </c>
      <c r="E203" s="67">
        <v>681</v>
      </c>
      <c r="F203" s="67">
        <v>2</v>
      </c>
      <c r="G203" s="102">
        <v>1362</v>
      </c>
      <c r="H203" s="56" t="s">
        <v>82</v>
      </c>
      <c r="I203" s="106"/>
      <c r="K203" s="56">
        <v>52</v>
      </c>
      <c r="L203" s="55" t="s">
        <v>176</v>
      </c>
      <c r="M203" s="55" t="s">
        <v>2824</v>
      </c>
      <c r="N203" s="4" t="s">
        <v>177</v>
      </c>
      <c r="O203" s="55" t="s">
        <v>178</v>
      </c>
    </row>
    <row r="204" spans="2:15">
      <c r="B204" s="99">
        <v>44747</v>
      </c>
      <c r="C204" s="59">
        <v>50141786</v>
      </c>
      <c r="D204" s="55" t="s">
        <v>188</v>
      </c>
      <c r="E204" s="67">
        <v>560</v>
      </c>
      <c r="F204" s="67">
        <v>10</v>
      </c>
      <c r="G204" s="102">
        <v>5600</v>
      </c>
      <c r="H204" s="56" t="s">
        <v>82</v>
      </c>
      <c r="I204" s="106"/>
      <c r="K204" s="56">
        <v>52</v>
      </c>
      <c r="L204" s="55" t="s">
        <v>176</v>
      </c>
      <c r="M204" s="55" t="s">
        <v>2824</v>
      </c>
      <c r="N204" s="4" t="s">
        <v>177</v>
      </c>
      <c r="O204" s="55" t="s">
        <v>178</v>
      </c>
    </row>
    <row r="205" spans="2:15">
      <c r="B205" s="99">
        <v>44748</v>
      </c>
      <c r="C205" s="59">
        <v>50144376</v>
      </c>
      <c r="D205" s="55" t="s">
        <v>19</v>
      </c>
      <c r="E205" s="67">
        <v>500</v>
      </c>
      <c r="F205" s="67">
        <v>12</v>
      </c>
      <c r="G205" s="102">
        <v>6000</v>
      </c>
      <c r="H205" s="105" t="s">
        <v>92</v>
      </c>
      <c r="I205" s="106"/>
      <c r="K205" s="56">
        <v>53</v>
      </c>
      <c r="L205" s="55" t="s">
        <v>176</v>
      </c>
      <c r="M205" s="55" t="s">
        <v>2824</v>
      </c>
      <c r="N205" s="4" t="s">
        <v>177</v>
      </c>
      <c r="O205" s="55" t="s">
        <v>178</v>
      </c>
    </row>
    <row r="206" spans="2:15">
      <c r="B206" s="99">
        <v>44748</v>
      </c>
      <c r="C206" s="59">
        <v>50142551</v>
      </c>
      <c r="D206" s="55" t="s">
        <v>215</v>
      </c>
      <c r="E206" s="67">
        <v>294</v>
      </c>
      <c r="F206" s="67">
        <v>1</v>
      </c>
      <c r="G206" s="102">
        <v>294</v>
      </c>
      <c r="H206" s="56" t="s">
        <v>92</v>
      </c>
      <c r="I206" s="106"/>
      <c r="K206" s="56">
        <v>53</v>
      </c>
      <c r="L206" s="55" t="s">
        <v>176</v>
      </c>
      <c r="M206" s="55" t="s">
        <v>2824</v>
      </c>
      <c r="N206" s="4" t="s">
        <v>177</v>
      </c>
      <c r="O206" s="55" t="s">
        <v>178</v>
      </c>
    </row>
    <row r="207" spans="2:15">
      <c r="B207" s="99">
        <v>44748</v>
      </c>
      <c r="C207" s="59">
        <v>50507916</v>
      </c>
      <c r="D207" s="55" t="s">
        <v>406</v>
      </c>
      <c r="E207" s="67">
        <v>264000</v>
      </c>
      <c r="F207" s="67">
        <v>6</v>
      </c>
      <c r="G207" s="102">
        <v>1584000</v>
      </c>
      <c r="H207" s="56" t="s">
        <v>92</v>
      </c>
      <c r="I207" s="106"/>
      <c r="K207" s="56">
        <v>53</v>
      </c>
      <c r="L207" s="55" t="s">
        <v>176</v>
      </c>
      <c r="M207" s="55" t="s">
        <v>2824</v>
      </c>
      <c r="N207" s="4" t="s">
        <v>177</v>
      </c>
      <c r="O207" s="55" t="s">
        <v>178</v>
      </c>
    </row>
    <row r="208" spans="2:15">
      <c r="B208" s="99">
        <v>44748</v>
      </c>
      <c r="C208" s="59">
        <v>50507913</v>
      </c>
      <c r="D208" s="55" t="s">
        <v>407</v>
      </c>
      <c r="E208" s="67">
        <v>264000</v>
      </c>
      <c r="F208" s="67">
        <v>1</v>
      </c>
      <c r="G208" s="102">
        <v>264</v>
      </c>
      <c r="H208" s="56" t="s">
        <v>80</v>
      </c>
      <c r="I208" s="106"/>
      <c r="K208" s="56">
        <v>53</v>
      </c>
      <c r="L208" s="55" t="s">
        <v>176</v>
      </c>
      <c r="M208" s="55" t="s">
        <v>2824</v>
      </c>
      <c r="N208" s="4" t="s">
        <v>177</v>
      </c>
      <c r="O208" s="55" t="s">
        <v>178</v>
      </c>
    </row>
    <row r="209" spans="2:15">
      <c r="B209" s="99">
        <v>44749</v>
      </c>
      <c r="C209" s="59">
        <v>50144376</v>
      </c>
      <c r="D209" s="55" t="s">
        <v>19</v>
      </c>
      <c r="E209" s="67">
        <v>500</v>
      </c>
      <c r="F209" s="67">
        <v>10</v>
      </c>
      <c r="G209" s="102">
        <v>5000</v>
      </c>
      <c r="H209" s="105" t="s">
        <v>92</v>
      </c>
      <c r="I209" s="106"/>
      <c r="K209" s="56">
        <v>54</v>
      </c>
      <c r="L209" s="55" t="s">
        <v>176</v>
      </c>
      <c r="M209" s="55" t="s">
        <v>2824</v>
      </c>
      <c r="N209" s="4" t="s">
        <v>177</v>
      </c>
      <c r="O209" s="55" t="s">
        <v>178</v>
      </c>
    </row>
    <row r="210" spans="2:15">
      <c r="B210" s="99">
        <v>44749</v>
      </c>
      <c r="C210" s="59">
        <v>50142619</v>
      </c>
      <c r="D210" s="55" t="s">
        <v>433</v>
      </c>
      <c r="E210" s="67">
        <v>660</v>
      </c>
      <c r="F210" s="67">
        <v>2</v>
      </c>
      <c r="G210" s="102">
        <v>1320</v>
      </c>
      <c r="H210" s="56" t="s">
        <v>82</v>
      </c>
      <c r="I210" s="106"/>
      <c r="K210" s="56">
        <v>54</v>
      </c>
      <c r="L210" s="55" t="s">
        <v>176</v>
      </c>
      <c r="M210" s="55" t="s">
        <v>2824</v>
      </c>
      <c r="N210" s="4" t="s">
        <v>177</v>
      </c>
      <c r="O210" s="55" t="s">
        <v>178</v>
      </c>
    </row>
    <row r="211" spans="2:15">
      <c r="B211" s="99">
        <v>44749</v>
      </c>
      <c r="C211" s="59">
        <v>50272278</v>
      </c>
      <c r="D211" s="55" t="s">
        <v>21</v>
      </c>
      <c r="E211" s="67">
        <v>500</v>
      </c>
      <c r="F211" s="67">
        <v>10</v>
      </c>
      <c r="G211" s="102">
        <v>5000</v>
      </c>
      <c r="H211" s="56" t="s">
        <v>92</v>
      </c>
      <c r="I211" s="106"/>
      <c r="K211" s="56">
        <v>55</v>
      </c>
      <c r="L211" s="55" t="s">
        <v>2826</v>
      </c>
      <c r="M211" s="55" t="s">
        <v>326</v>
      </c>
      <c r="O211" s="55" t="s">
        <v>178</v>
      </c>
    </row>
    <row r="212" spans="2:15">
      <c r="B212" s="99">
        <v>44749</v>
      </c>
      <c r="C212" s="59">
        <v>50145028</v>
      </c>
      <c r="D212" s="55" t="s">
        <v>23</v>
      </c>
      <c r="E212" s="67">
        <v>192</v>
      </c>
      <c r="F212" s="67">
        <v>2</v>
      </c>
      <c r="G212" s="102">
        <v>384</v>
      </c>
      <c r="H212" s="56" t="s">
        <v>92</v>
      </c>
      <c r="I212" s="106"/>
      <c r="K212" s="56">
        <v>55</v>
      </c>
      <c r="L212" s="55" t="s">
        <v>2826</v>
      </c>
      <c r="M212" s="55" t="s">
        <v>326</v>
      </c>
      <c r="O212" s="55" t="s">
        <v>178</v>
      </c>
    </row>
    <row r="213" spans="2:15">
      <c r="B213" s="99">
        <v>44749</v>
      </c>
      <c r="C213" s="59">
        <v>50144334</v>
      </c>
      <c r="D213" s="55" t="s">
        <v>426</v>
      </c>
      <c r="E213" s="67">
        <v>500</v>
      </c>
      <c r="F213" s="67">
        <v>1</v>
      </c>
      <c r="G213" s="102">
        <v>500</v>
      </c>
      <c r="H213" s="56" t="s">
        <v>82</v>
      </c>
      <c r="I213" s="106"/>
      <c r="K213" s="56">
        <v>55</v>
      </c>
      <c r="L213" s="55" t="s">
        <v>2826</v>
      </c>
      <c r="M213" s="55" t="s">
        <v>326</v>
      </c>
      <c r="O213" s="55" t="s">
        <v>178</v>
      </c>
    </row>
    <row r="214" spans="2:15">
      <c r="B214" s="99">
        <v>44749</v>
      </c>
      <c r="C214" s="59">
        <v>50145521</v>
      </c>
      <c r="D214" s="55" t="s">
        <v>436</v>
      </c>
      <c r="E214" s="67">
        <v>10000</v>
      </c>
      <c r="G214" s="102">
        <v>150000</v>
      </c>
      <c r="H214" s="56" t="s">
        <v>92</v>
      </c>
      <c r="I214" s="106"/>
      <c r="K214" s="56">
        <v>55</v>
      </c>
      <c r="L214" s="55" t="s">
        <v>2826</v>
      </c>
      <c r="M214" s="55" t="s">
        <v>326</v>
      </c>
      <c r="O214" s="55" t="s">
        <v>178</v>
      </c>
    </row>
    <row r="215" spans="2:15">
      <c r="B215" s="99">
        <v>44749</v>
      </c>
      <c r="C215" s="59">
        <v>11111</v>
      </c>
      <c r="D215" s="55" t="s">
        <v>217</v>
      </c>
      <c r="E215" s="67">
        <v>38</v>
      </c>
      <c r="F215" s="67">
        <v>1</v>
      </c>
      <c r="G215" s="102">
        <v>38</v>
      </c>
      <c r="H215" s="56" t="s">
        <v>92</v>
      </c>
      <c r="I215" s="106"/>
      <c r="K215" s="56">
        <v>16881</v>
      </c>
      <c r="L215" s="55" t="s">
        <v>262</v>
      </c>
      <c r="M215" s="55" t="s">
        <v>262</v>
      </c>
      <c r="N215" s="4" t="s">
        <v>364</v>
      </c>
      <c r="O215" s="55" t="s">
        <v>178</v>
      </c>
    </row>
    <row r="216" spans="2:15">
      <c r="B216" s="99">
        <v>44753</v>
      </c>
      <c r="C216" s="59">
        <v>50144376</v>
      </c>
      <c r="D216" s="55" t="s">
        <v>19</v>
      </c>
      <c r="E216" s="67">
        <v>500</v>
      </c>
      <c r="F216" s="67">
        <v>15</v>
      </c>
      <c r="G216" s="102">
        <v>7500</v>
      </c>
      <c r="H216" s="105" t="s">
        <v>92</v>
      </c>
      <c r="I216" s="106"/>
      <c r="K216" s="56">
        <v>56</v>
      </c>
      <c r="L216" s="55" t="s">
        <v>176</v>
      </c>
      <c r="M216" s="55" t="s">
        <v>2824</v>
      </c>
      <c r="N216" s="4" t="s">
        <v>177</v>
      </c>
      <c r="O216" s="55" t="s">
        <v>178</v>
      </c>
    </row>
    <row r="217" spans="2:15">
      <c r="B217" s="99">
        <v>44753</v>
      </c>
      <c r="C217" s="59">
        <v>50470190</v>
      </c>
      <c r="D217" s="55" t="s">
        <v>12</v>
      </c>
      <c r="E217" s="67">
        <v>289800</v>
      </c>
      <c r="F217" s="67">
        <v>16</v>
      </c>
      <c r="G217" s="102">
        <v>4636800</v>
      </c>
      <c r="H217" s="56" t="s">
        <v>92</v>
      </c>
      <c r="I217" s="106"/>
      <c r="K217" s="56">
        <v>57</v>
      </c>
      <c r="L217" s="55" t="s">
        <v>176</v>
      </c>
      <c r="M217" s="55" t="s">
        <v>2824</v>
      </c>
      <c r="N217" s="4" t="s">
        <v>177</v>
      </c>
      <c r="O217" s="55" t="s">
        <v>178</v>
      </c>
    </row>
    <row r="218" spans="2:15">
      <c r="B218" s="99">
        <v>44754</v>
      </c>
      <c r="C218" s="59">
        <v>40011132</v>
      </c>
      <c r="D218" s="55" t="s">
        <v>445</v>
      </c>
      <c r="E218" s="67">
        <v>756</v>
      </c>
      <c r="F218" s="67">
        <v>3</v>
      </c>
      <c r="G218" s="102">
        <v>2268</v>
      </c>
      <c r="H218" s="56" t="s">
        <v>80</v>
      </c>
      <c r="I218" s="106"/>
      <c r="K218" s="56">
        <v>58</v>
      </c>
      <c r="L218" s="55" t="s">
        <v>176</v>
      </c>
      <c r="M218" s="55" t="s">
        <v>2824</v>
      </c>
      <c r="N218" s="4" t="s">
        <v>177</v>
      </c>
      <c r="O218" s="55" t="s">
        <v>178</v>
      </c>
    </row>
    <row r="219" spans="2:15">
      <c r="B219" s="99">
        <v>44754</v>
      </c>
      <c r="C219" s="59">
        <v>40011229</v>
      </c>
      <c r="D219" s="55" t="s">
        <v>446</v>
      </c>
      <c r="E219" s="67">
        <v>1680</v>
      </c>
      <c r="F219" s="67">
        <v>3</v>
      </c>
      <c r="G219" s="102">
        <v>4951</v>
      </c>
      <c r="H219" s="56" t="s">
        <v>80</v>
      </c>
      <c r="I219" s="106"/>
      <c r="K219" s="56">
        <v>58</v>
      </c>
      <c r="L219" s="55" t="s">
        <v>176</v>
      </c>
      <c r="M219" s="55" t="s">
        <v>2824</v>
      </c>
      <c r="N219" s="4" t="s">
        <v>177</v>
      </c>
      <c r="O219" s="55" t="s">
        <v>178</v>
      </c>
    </row>
    <row r="220" spans="2:15">
      <c r="B220" s="99">
        <v>44754</v>
      </c>
      <c r="C220" s="59">
        <v>50522171</v>
      </c>
      <c r="D220" s="55" t="s">
        <v>203</v>
      </c>
      <c r="E220" s="67">
        <v>490.75</v>
      </c>
      <c r="F220" s="67">
        <v>4</v>
      </c>
      <c r="G220" s="102">
        <v>1608.05</v>
      </c>
      <c r="H220" s="56" t="s">
        <v>82</v>
      </c>
      <c r="I220" s="106"/>
      <c r="K220" s="56">
        <v>58</v>
      </c>
      <c r="L220" s="55" t="s">
        <v>176</v>
      </c>
      <c r="M220" s="55" t="s">
        <v>2824</v>
      </c>
      <c r="N220" s="4" t="s">
        <v>177</v>
      </c>
      <c r="O220" s="55" t="s">
        <v>178</v>
      </c>
    </row>
    <row r="221" spans="2:15">
      <c r="B221" s="99">
        <v>44754</v>
      </c>
      <c r="C221" s="59">
        <v>50551883</v>
      </c>
      <c r="D221" s="55" t="s">
        <v>223</v>
      </c>
      <c r="E221" s="67">
        <v>360000</v>
      </c>
      <c r="F221" s="67">
        <v>3</v>
      </c>
      <c r="G221" s="102">
        <v>1080000</v>
      </c>
      <c r="H221" s="56" t="s">
        <v>92</v>
      </c>
      <c r="I221" s="106"/>
      <c r="K221" s="56">
        <v>58</v>
      </c>
      <c r="L221" s="55" t="s">
        <v>176</v>
      </c>
      <c r="M221" s="55" t="s">
        <v>2824</v>
      </c>
      <c r="N221" s="4" t="s">
        <v>177</v>
      </c>
      <c r="O221" s="55" t="s">
        <v>178</v>
      </c>
    </row>
    <row r="222" spans="2:15">
      <c r="B222" s="99">
        <v>44754</v>
      </c>
      <c r="C222" s="59">
        <v>50551884</v>
      </c>
      <c r="D222" s="55" t="s">
        <v>360</v>
      </c>
      <c r="E222" s="109">
        <v>1900000</v>
      </c>
      <c r="F222" s="67">
        <v>1</v>
      </c>
      <c r="G222" s="102">
        <v>1900000</v>
      </c>
      <c r="H222" s="56" t="s">
        <v>92</v>
      </c>
      <c r="I222" s="106"/>
      <c r="K222" s="56">
        <v>58</v>
      </c>
      <c r="L222" s="55" t="s">
        <v>176</v>
      </c>
      <c r="M222" s="55" t="s">
        <v>2824</v>
      </c>
      <c r="N222" s="4" t="s">
        <v>177</v>
      </c>
      <c r="O222" s="55" t="s">
        <v>178</v>
      </c>
    </row>
    <row r="223" spans="2:15">
      <c r="B223" s="99">
        <v>44754</v>
      </c>
      <c r="C223" s="59">
        <v>50395897</v>
      </c>
      <c r="D223" s="55" t="s">
        <v>359</v>
      </c>
      <c r="E223" s="67">
        <v>720000</v>
      </c>
      <c r="F223" s="67">
        <v>2</v>
      </c>
      <c r="G223" s="102">
        <v>1440000</v>
      </c>
      <c r="H223" s="56" t="s">
        <v>92</v>
      </c>
      <c r="I223" s="106"/>
      <c r="K223" s="56">
        <v>58</v>
      </c>
      <c r="L223" s="55" t="s">
        <v>176</v>
      </c>
      <c r="M223" s="55" t="s">
        <v>2824</v>
      </c>
      <c r="N223" s="4" t="s">
        <v>177</v>
      </c>
      <c r="O223" s="55" t="s">
        <v>178</v>
      </c>
    </row>
    <row r="224" spans="2:15">
      <c r="B224" s="99">
        <v>44754</v>
      </c>
      <c r="C224" s="59">
        <v>40011149</v>
      </c>
      <c r="D224" s="55" t="s">
        <v>37</v>
      </c>
      <c r="E224" s="67">
        <v>360</v>
      </c>
      <c r="F224" s="67">
        <v>3</v>
      </c>
      <c r="G224" s="102">
        <v>1080</v>
      </c>
      <c r="H224" s="56" t="s">
        <v>80</v>
      </c>
      <c r="I224" s="106"/>
      <c r="K224" s="56">
        <v>58</v>
      </c>
      <c r="L224" s="55" t="s">
        <v>176</v>
      </c>
      <c r="M224" s="55" t="s">
        <v>2824</v>
      </c>
      <c r="N224" s="4" t="s">
        <v>177</v>
      </c>
      <c r="O224" s="55" t="s">
        <v>178</v>
      </c>
    </row>
    <row r="225" spans="2:15">
      <c r="B225" s="99">
        <v>44754</v>
      </c>
      <c r="C225" s="59">
        <v>50145521</v>
      </c>
      <c r="D225" s="55" t="s">
        <v>436</v>
      </c>
      <c r="E225" s="67">
        <v>10000</v>
      </c>
      <c r="G225" s="102">
        <v>300000</v>
      </c>
      <c r="H225" s="56" t="s">
        <v>92</v>
      </c>
      <c r="I225" s="106"/>
      <c r="K225" s="56">
        <v>59</v>
      </c>
      <c r="L225" s="55" t="s">
        <v>2826</v>
      </c>
      <c r="M225" s="55" t="s">
        <v>326</v>
      </c>
      <c r="O225" s="55" t="s">
        <v>178</v>
      </c>
    </row>
    <row r="226" spans="2:15">
      <c r="B226" s="99">
        <v>44755</v>
      </c>
      <c r="C226" s="59">
        <v>50272278</v>
      </c>
      <c r="D226" s="55" t="s">
        <v>21</v>
      </c>
      <c r="E226" s="67">
        <v>500</v>
      </c>
      <c r="F226" s="67">
        <v>12</v>
      </c>
      <c r="G226" s="102">
        <v>6000</v>
      </c>
      <c r="H226" s="56" t="s">
        <v>92</v>
      </c>
      <c r="I226" s="106"/>
      <c r="K226" s="56">
        <v>55</v>
      </c>
      <c r="L226" s="55" t="s">
        <v>262</v>
      </c>
      <c r="M226" s="55" t="s">
        <v>262</v>
      </c>
      <c r="N226" s="4" t="s">
        <v>364</v>
      </c>
      <c r="O226" s="55" t="s">
        <v>178</v>
      </c>
    </row>
    <row r="227" spans="2:15">
      <c r="B227" s="99">
        <v>44756</v>
      </c>
      <c r="C227" s="59">
        <v>50551883</v>
      </c>
      <c r="D227" s="55" t="s">
        <v>223</v>
      </c>
      <c r="E227" s="67">
        <v>8700</v>
      </c>
      <c r="G227" s="102">
        <v>8700</v>
      </c>
      <c r="H227" s="56" t="s">
        <v>92</v>
      </c>
      <c r="I227" s="106"/>
      <c r="K227" s="56">
        <v>60</v>
      </c>
      <c r="L227" s="55" t="s">
        <v>2826</v>
      </c>
      <c r="M227" s="55" t="s">
        <v>326</v>
      </c>
      <c r="O227" s="55" t="s">
        <v>178</v>
      </c>
    </row>
    <row r="228" spans="2:15">
      <c r="B228" s="99">
        <v>44757</v>
      </c>
      <c r="C228" s="59">
        <v>50141786</v>
      </c>
      <c r="D228" s="55" t="s">
        <v>188</v>
      </c>
      <c r="E228" s="67">
        <v>560</v>
      </c>
      <c r="F228" s="67">
        <v>4</v>
      </c>
      <c r="G228" s="102">
        <v>2240</v>
      </c>
      <c r="H228" s="56" t="s">
        <v>82</v>
      </c>
      <c r="I228" s="106"/>
      <c r="K228" s="56">
        <v>61</v>
      </c>
      <c r="L228" s="55" t="s">
        <v>176</v>
      </c>
      <c r="M228" s="55" t="s">
        <v>2824</v>
      </c>
      <c r="N228" s="4" t="s">
        <v>177</v>
      </c>
      <c r="O228" s="55" t="s">
        <v>178</v>
      </c>
    </row>
    <row r="229" spans="2:15">
      <c r="B229" s="99">
        <v>44757</v>
      </c>
      <c r="C229" s="59">
        <v>40003932</v>
      </c>
      <c r="D229" s="55" t="s">
        <v>361</v>
      </c>
      <c r="E229" s="67">
        <v>441</v>
      </c>
      <c r="F229" s="67">
        <v>4</v>
      </c>
      <c r="G229" s="102">
        <v>1764</v>
      </c>
      <c r="H229" s="56" t="s">
        <v>80</v>
      </c>
      <c r="I229" s="106"/>
      <c r="K229" s="56">
        <v>61</v>
      </c>
      <c r="L229" s="55" t="s">
        <v>176</v>
      </c>
      <c r="M229" s="55" t="s">
        <v>2824</v>
      </c>
      <c r="N229" s="4" t="s">
        <v>177</v>
      </c>
      <c r="O229" s="55" t="s">
        <v>178</v>
      </c>
    </row>
    <row r="230" spans="2:15">
      <c r="B230" s="99">
        <v>44757</v>
      </c>
      <c r="C230" s="59">
        <v>20016185</v>
      </c>
      <c r="D230" s="55" t="s">
        <v>285</v>
      </c>
      <c r="E230" s="67">
        <v>1000</v>
      </c>
      <c r="G230" s="102">
        <v>10000</v>
      </c>
      <c r="H230" s="56" t="s">
        <v>92</v>
      </c>
      <c r="I230" s="106"/>
      <c r="K230" s="56">
        <v>61</v>
      </c>
      <c r="L230" s="55" t="s">
        <v>176</v>
      </c>
      <c r="M230" s="55" t="s">
        <v>2824</v>
      </c>
      <c r="N230" s="4" t="s">
        <v>177</v>
      </c>
      <c r="O230" s="55" t="s">
        <v>178</v>
      </c>
    </row>
    <row r="231" spans="2:15">
      <c r="B231" s="99">
        <v>44757</v>
      </c>
      <c r="C231" s="59">
        <v>50510331</v>
      </c>
      <c r="D231" s="55" t="s">
        <v>242</v>
      </c>
      <c r="E231" s="67">
        <v>280</v>
      </c>
      <c r="F231" s="67">
        <v>2</v>
      </c>
      <c r="G231" s="102">
        <v>785.8</v>
      </c>
      <c r="H231" s="56" t="s">
        <v>82</v>
      </c>
      <c r="I231" s="106"/>
      <c r="K231" s="56">
        <v>61</v>
      </c>
      <c r="L231" s="55" t="s">
        <v>176</v>
      </c>
      <c r="M231" s="55" t="s">
        <v>2824</v>
      </c>
      <c r="N231" s="4" t="s">
        <v>177</v>
      </c>
      <c r="O231" s="55" t="s">
        <v>178</v>
      </c>
    </row>
    <row r="232" spans="2:15">
      <c r="B232" s="99">
        <v>44757</v>
      </c>
      <c r="C232" s="59">
        <v>50142327</v>
      </c>
      <c r="D232" s="55" t="s">
        <v>256</v>
      </c>
      <c r="E232" s="67">
        <v>681</v>
      </c>
      <c r="F232" s="67">
        <v>2</v>
      </c>
      <c r="G232" s="102">
        <v>1362</v>
      </c>
      <c r="H232" s="56" t="s">
        <v>82</v>
      </c>
      <c r="I232" s="106"/>
      <c r="K232" s="56">
        <v>61</v>
      </c>
      <c r="L232" s="55" t="s">
        <v>176</v>
      </c>
      <c r="M232" s="55" t="s">
        <v>2824</v>
      </c>
      <c r="N232" s="4" t="s">
        <v>177</v>
      </c>
      <c r="O232" s="55" t="s">
        <v>178</v>
      </c>
    </row>
    <row r="233" spans="2:15">
      <c r="B233" s="99">
        <v>44757</v>
      </c>
      <c r="C233" s="59">
        <v>50142334</v>
      </c>
      <c r="D233" s="55" t="s">
        <v>257</v>
      </c>
      <c r="E233" s="67">
        <v>681</v>
      </c>
      <c r="F233" s="67">
        <v>2</v>
      </c>
      <c r="G233" s="102">
        <v>1362</v>
      </c>
      <c r="H233" s="56" t="s">
        <v>82</v>
      </c>
      <c r="I233" s="106"/>
      <c r="K233" s="56">
        <v>61</v>
      </c>
      <c r="L233" s="55" t="s">
        <v>176</v>
      </c>
      <c r="M233" s="55" t="s">
        <v>2824</v>
      </c>
      <c r="N233" s="4" t="s">
        <v>177</v>
      </c>
      <c r="O233" s="55" t="s">
        <v>178</v>
      </c>
    </row>
    <row r="234" spans="2:15">
      <c r="B234" s="99">
        <v>44757</v>
      </c>
      <c r="C234" s="59">
        <v>50010080</v>
      </c>
      <c r="D234" s="55" t="s">
        <v>354</v>
      </c>
      <c r="E234" s="67">
        <v>1500</v>
      </c>
      <c r="F234" s="67">
        <v>5</v>
      </c>
      <c r="G234" s="102">
        <v>7500</v>
      </c>
      <c r="H234" s="56" t="s">
        <v>82</v>
      </c>
      <c r="I234" s="106"/>
      <c r="K234" s="56">
        <v>61</v>
      </c>
      <c r="L234" s="55" t="s">
        <v>176</v>
      </c>
      <c r="M234" s="55" t="s">
        <v>2824</v>
      </c>
      <c r="N234" s="4" t="s">
        <v>177</v>
      </c>
      <c r="O234" s="55" t="s">
        <v>178</v>
      </c>
    </row>
    <row r="235" spans="2:15">
      <c r="B235" s="99">
        <v>44757</v>
      </c>
      <c r="C235" s="59">
        <v>40499</v>
      </c>
      <c r="D235" s="55" t="s">
        <v>316</v>
      </c>
      <c r="E235" s="67">
        <v>4</v>
      </c>
      <c r="F235" s="67">
        <v>4</v>
      </c>
      <c r="G235" s="102">
        <v>4</v>
      </c>
      <c r="H235" s="56" t="s">
        <v>92</v>
      </c>
      <c r="I235" s="106"/>
      <c r="K235" s="56">
        <v>61</v>
      </c>
      <c r="L235" s="55" t="s">
        <v>176</v>
      </c>
      <c r="M235" s="55" t="s">
        <v>2824</v>
      </c>
      <c r="N235" s="4" t="s">
        <v>177</v>
      </c>
      <c r="O235" s="55" t="s">
        <v>178</v>
      </c>
    </row>
    <row r="236" spans="2:15">
      <c r="B236" s="99">
        <v>44760</v>
      </c>
      <c r="C236" s="59">
        <v>50272278</v>
      </c>
      <c r="D236" s="55" t="s">
        <v>21</v>
      </c>
      <c r="E236" s="67">
        <v>500</v>
      </c>
      <c r="F236" s="67">
        <v>16</v>
      </c>
      <c r="G236" s="102">
        <v>8000</v>
      </c>
      <c r="H236" s="56" t="s">
        <v>92</v>
      </c>
      <c r="I236" s="106"/>
      <c r="K236" s="56">
        <v>62</v>
      </c>
      <c r="L236" s="55" t="s">
        <v>176</v>
      </c>
      <c r="M236" s="55" t="s">
        <v>2824</v>
      </c>
      <c r="N236" s="4" t="s">
        <v>177</v>
      </c>
      <c r="O236" s="55" t="s">
        <v>178</v>
      </c>
    </row>
    <row r="237" spans="2:15">
      <c r="B237" s="99">
        <v>44760</v>
      </c>
      <c r="C237" s="59">
        <v>50142281</v>
      </c>
      <c r="D237" s="55" t="s">
        <v>204</v>
      </c>
      <c r="E237" s="67">
        <v>450</v>
      </c>
      <c r="F237" s="67">
        <v>2</v>
      </c>
      <c r="G237" s="102">
        <v>900</v>
      </c>
      <c r="H237" s="56" t="s">
        <v>82</v>
      </c>
      <c r="I237" s="106"/>
      <c r="K237" s="56">
        <v>62</v>
      </c>
      <c r="L237" s="55" t="s">
        <v>176</v>
      </c>
      <c r="M237" s="55" t="s">
        <v>2824</v>
      </c>
      <c r="N237" s="4" t="s">
        <v>177</v>
      </c>
      <c r="O237" s="55" t="s">
        <v>178</v>
      </c>
    </row>
    <row r="238" spans="2:15">
      <c r="B238" s="99">
        <v>44760</v>
      </c>
      <c r="C238" s="59">
        <v>50142350</v>
      </c>
      <c r="D238" s="55" t="s">
        <v>212</v>
      </c>
      <c r="E238" s="67">
        <v>734.5</v>
      </c>
      <c r="F238" s="67">
        <v>2</v>
      </c>
      <c r="G238" s="102">
        <v>1469</v>
      </c>
      <c r="H238" s="56" t="s">
        <v>82</v>
      </c>
      <c r="I238" s="106"/>
      <c r="K238" s="56">
        <v>62</v>
      </c>
      <c r="L238" s="55" t="s">
        <v>176</v>
      </c>
      <c r="M238" s="55" t="s">
        <v>2824</v>
      </c>
      <c r="N238" s="4" t="s">
        <v>177</v>
      </c>
      <c r="O238" s="55" t="s">
        <v>178</v>
      </c>
    </row>
    <row r="239" spans="2:15">
      <c r="B239" s="99">
        <v>44761</v>
      </c>
      <c r="C239" s="59">
        <v>50144376</v>
      </c>
      <c r="D239" s="55" t="s">
        <v>19</v>
      </c>
      <c r="E239" s="67">
        <v>500</v>
      </c>
      <c r="F239" s="67">
        <v>21</v>
      </c>
      <c r="G239" s="102">
        <f>10500+6622</f>
        <v>17122</v>
      </c>
      <c r="H239" s="105" t="s">
        <v>92</v>
      </c>
      <c r="I239" s="106"/>
      <c r="K239" s="56">
        <v>63</v>
      </c>
      <c r="L239" s="55" t="s">
        <v>176</v>
      </c>
      <c r="M239" s="55" t="s">
        <v>2824</v>
      </c>
      <c r="N239" s="4" t="s">
        <v>177</v>
      </c>
      <c r="O239" s="55" t="s">
        <v>178</v>
      </c>
    </row>
    <row r="240" spans="2:15">
      <c r="B240" s="99">
        <v>44761</v>
      </c>
      <c r="C240" s="59">
        <v>50143646</v>
      </c>
      <c r="D240" s="55" t="s">
        <v>191</v>
      </c>
      <c r="E240" s="67">
        <v>480</v>
      </c>
      <c r="F240" s="67">
        <v>3</v>
      </c>
      <c r="G240" s="102">
        <v>1440</v>
      </c>
      <c r="H240" s="56" t="s">
        <v>82</v>
      </c>
      <c r="I240" s="106"/>
      <c r="K240" s="56">
        <v>64</v>
      </c>
      <c r="L240" s="55" t="s">
        <v>176</v>
      </c>
      <c r="M240" s="55" t="s">
        <v>2824</v>
      </c>
      <c r="N240" s="4" t="s">
        <v>177</v>
      </c>
      <c r="O240" s="55" t="s">
        <v>178</v>
      </c>
    </row>
    <row r="241" spans="2:15">
      <c r="B241" s="99">
        <v>44761</v>
      </c>
      <c r="C241" s="59">
        <v>50141786</v>
      </c>
      <c r="D241" s="55" t="s">
        <v>188</v>
      </c>
      <c r="E241" s="67">
        <v>560</v>
      </c>
      <c r="F241" s="67">
        <v>10</v>
      </c>
      <c r="G241" s="102">
        <v>5600</v>
      </c>
      <c r="H241" s="56" t="s">
        <v>82</v>
      </c>
      <c r="I241" s="106"/>
      <c r="K241" s="56">
        <v>64</v>
      </c>
      <c r="L241" s="55" t="s">
        <v>176</v>
      </c>
      <c r="M241" s="55" t="s">
        <v>2824</v>
      </c>
      <c r="N241" s="4" t="s">
        <v>177</v>
      </c>
      <c r="O241" s="55" t="s">
        <v>178</v>
      </c>
    </row>
    <row r="242" spans="2:15">
      <c r="B242" s="99">
        <v>44761</v>
      </c>
      <c r="C242" s="59">
        <v>40011132</v>
      </c>
      <c r="D242" s="55" t="s">
        <v>445</v>
      </c>
      <c r="E242" s="67">
        <v>756</v>
      </c>
      <c r="F242" s="67">
        <v>4</v>
      </c>
      <c r="G242" s="102">
        <v>3024</v>
      </c>
      <c r="H242" s="56" t="s">
        <v>80</v>
      </c>
      <c r="I242" s="106"/>
      <c r="K242" s="56">
        <v>64</v>
      </c>
      <c r="L242" s="55" t="s">
        <v>176</v>
      </c>
      <c r="M242" s="55" t="s">
        <v>2824</v>
      </c>
      <c r="N242" s="4" t="s">
        <v>177</v>
      </c>
      <c r="O242" s="55" t="s">
        <v>178</v>
      </c>
    </row>
    <row r="243" spans="2:15">
      <c r="B243" s="99">
        <v>44763</v>
      </c>
      <c r="C243" s="59">
        <v>50501722</v>
      </c>
      <c r="D243" s="55" t="s">
        <v>253</v>
      </c>
      <c r="E243" s="67">
        <v>702</v>
      </c>
      <c r="F243" s="67">
        <v>2</v>
      </c>
      <c r="G243" s="102">
        <v>1405.4</v>
      </c>
      <c r="H243" s="56" t="s">
        <v>82</v>
      </c>
      <c r="I243" s="106"/>
      <c r="K243" s="56">
        <v>65</v>
      </c>
      <c r="L243" s="55" t="s">
        <v>176</v>
      </c>
      <c r="M243" s="55" t="s">
        <v>2824</v>
      </c>
      <c r="N243" s="4" t="s">
        <v>177</v>
      </c>
      <c r="O243" s="55" t="s">
        <v>178</v>
      </c>
    </row>
    <row r="244" spans="2:15">
      <c r="B244" s="99">
        <v>44763</v>
      </c>
      <c r="C244" s="59">
        <v>50272278</v>
      </c>
      <c r="D244" s="55" t="s">
        <v>21</v>
      </c>
      <c r="E244" s="67">
        <v>500</v>
      </c>
      <c r="F244" s="67">
        <v>14</v>
      </c>
      <c r="G244" s="102">
        <v>7000</v>
      </c>
      <c r="H244" s="56" t="s">
        <v>92</v>
      </c>
      <c r="I244" s="106"/>
      <c r="K244" s="56">
        <v>65</v>
      </c>
      <c r="L244" s="55" t="s">
        <v>176</v>
      </c>
      <c r="M244" s="55" t="s">
        <v>2824</v>
      </c>
      <c r="N244" s="4" t="s">
        <v>177</v>
      </c>
      <c r="O244" s="55" t="s">
        <v>178</v>
      </c>
    </row>
    <row r="245" spans="2:15">
      <c r="B245" s="99">
        <v>44764</v>
      </c>
      <c r="C245" s="59">
        <v>50145521</v>
      </c>
      <c r="D245" s="55" t="s">
        <v>436</v>
      </c>
      <c r="E245" s="67">
        <v>10000</v>
      </c>
      <c r="G245" s="102">
        <v>140000</v>
      </c>
      <c r="H245" s="56" t="s">
        <v>92</v>
      </c>
      <c r="I245" s="106"/>
      <c r="K245" s="56">
        <v>66</v>
      </c>
      <c r="L245" s="55" t="s">
        <v>416</v>
      </c>
      <c r="M245" s="55" t="s">
        <v>416</v>
      </c>
      <c r="N245" s="4" t="s">
        <v>2833</v>
      </c>
      <c r="O245" s="55" t="s">
        <v>178</v>
      </c>
    </row>
    <row r="246" spans="2:15">
      <c r="B246" s="99">
        <v>44764</v>
      </c>
      <c r="C246" s="59">
        <v>50142327</v>
      </c>
      <c r="D246" s="55" t="s">
        <v>256</v>
      </c>
      <c r="E246" s="67">
        <v>681</v>
      </c>
      <c r="F246" s="67">
        <v>3</v>
      </c>
      <c r="G246" s="102">
        <v>2043</v>
      </c>
      <c r="H246" s="56" t="s">
        <v>82</v>
      </c>
      <c r="I246" s="106"/>
      <c r="K246" s="56">
        <v>67</v>
      </c>
      <c r="L246" s="55" t="s">
        <v>176</v>
      </c>
      <c r="M246" s="55" t="s">
        <v>2824</v>
      </c>
      <c r="N246" s="4" t="s">
        <v>193</v>
      </c>
      <c r="O246" s="55" t="s">
        <v>178</v>
      </c>
    </row>
    <row r="247" spans="2:15">
      <c r="B247" s="99">
        <v>44764</v>
      </c>
      <c r="C247" s="59">
        <v>50142334</v>
      </c>
      <c r="D247" s="55" t="s">
        <v>257</v>
      </c>
      <c r="E247" s="67">
        <v>681</v>
      </c>
      <c r="F247" s="67">
        <v>3</v>
      </c>
      <c r="G247" s="102">
        <v>2043</v>
      </c>
      <c r="H247" s="56" t="s">
        <v>82</v>
      </c>
      <c r="I247" s="106"/>
      <c r="K247" s="56">
        <v>67</v>
      </c>
      <c r="L247" s="55" t="s">
        <v>176</v>
      </c>
      <c r="M247" s="55" t="s">
        <v>2824</v>
      </c>
      <c r="N247" s="4" t="s">
        <v>193</v>
      </c>
      <c r="O247" s="55" t="s">
        <v>178</v>
      </c>
    </row>
    <row r="248" spans="2:15">
      <c r="B248" s="99">
        <v>44764</v>
      </c>
      <c r="C248" s="59">
        <v>40499</v>
      </c>
      <c r="D248" s="55" t="s">
        <v>316</v>
      </c>
      <c r="E248" s="67">
        <v>6</v>
      </c>
      <c r="F248" s="67">
        <v>6</v>
      </c>
      <c r="G248" s="102">
        <v>6</v>
      </c>
      <c r="H248" s="56" t="s">
        <v>92</v>
      </c>
      <c r="I248" s="106"/>
      <c r="K248" s="56">
        <v>67</v>
      </c>
      <c r="L248" s="55" t="s">
        <v>176</v>
      </c>
      <c r="M248" s="55" t="s">
        <v>2824</v>
      </c>
      <c r="N248" s="4" t="s">
        <v>193</v>
      </c>
      <c r="O248" s="55" t="s">
        <v>178</v>
      </c>
    </row>
    <row r="249" spans="2:15">
      <c r="B249" s="99">
        <v>44764</v>
      </c>
      <c r="C249" s="59">
        <v>50272278</v>
      </c>
      <c r="D249" s="55" t="s">
        <v>21</v>
      </c>
      <c r="E249" s="67">
        <v>500</v>
      </c>
      <c r="F249" s="67">
        <v>10</v>
      </c>
      <c r="G249" s="102">
        <v>5000</v>
      </c>
      <c r="H249" s="56" t="s">
        <v>92</v>
      </c>
      <c r="I249" s="106"/>
      <c r="K249" s="56">
        <v>67</v>
      </c>
      <c r="L249" s="55" t="s">
        <v>176</v>
      </c>
      <c r="M249" s="55" t="s">
        <v>2824</v>
      </c>
      <c r="N249" s="4" t="s">
        <v>193</v>
      </c>
      <c r="O249" s="55" t="s">
        <v>178</v>
      </c>
    </row>
    <row r="250" spans="2:15">
      <c r="B250" s="99">
        <v>44764</v>
      </c>
      <c r="C250" s="59">
        <v>40004808</v>
      </c>
      <c r="D250" s="55" t="s">
        <v>187</v>
      </c>
      <c r="E250" s="67">
        <v>441</v>
      </c>
      <c r="F250" s="67">
        <v>4</v>
      </c>
      <c r="G250" s="102">
        <v>1764</v>
      </c>
      <c r="H250" s="56" t="s">
        <v>80</v>
      </c>
      <c r="I250" s="106"/>
      <c r="K250" s="56">
        <v>67</v>
      </c>
      <c r="L250" s="55" t="s">
        <v>176</v>
      </c>
      <c r="M250" s="55" t="s">
        <v>2824</v>
      </c>
      <c r="N250" s="4" t="s">
        <v>193</v>
      </c>
      <c r="O250" s="55" t="s">
        <v>178</v>
      </c>
    </row>
    <row r="251" spans="2:15">
      <c r="B251" s="99">
        <v>44764</v>
      </c>
      <c r="C251" s="59">
        <v>40011132</v>
      </c>
      <c r="D251" s="55" t="s">
        <v>445</v>
      </c>
      <c r="E251" s="67">
        <v>756</v>
      </c>
      <c r="F251" s="67">
        <v>2</v>
      </c>
      <c r="G251" s="102">
        <v>1512</v>
      </c>
      <c r="H251" s="56" t="s">
        <v>80</v>
      </c>
      <c r="I251" s="106"/>
      <c r="K251" s="56">
        <v>68</v>
      </c>
      <c r="L251" s="55" t="s">
        <v>176</v>
      </c>
      <c r="M251" s="55" t="s">
        <v>2824</v>
      </c>
      <c r="N251" s="4" t="s">
        <v>193</v>
      </c>
      <c r="O251" s="55" t="s">
        <v>178</v>
      </c>
    </row>
    <row r="252" spans="2:15">
      <c r="B252" s="99">
        <v>44764</v>
      </c>
      <c r="C252" s="59">
        <v>50470190</v>
      </c>
      <c r="D252" s="55" t="s">
        <v>12</v>
      </c>
      <c r="E252" s="67">
        <v>289800</v>
      </c>
      <c r="F252" s="67">
        <v>6</v>
      </c>
      <c r="G252" s="102">
        <v>1738800</v>
      </c>
      <c r="H252" s="56" t="s">
        <v>92</v>
      </c>
      <c r="I252" s="106"/>
      <c r="K252" s="56">
        <v>68</v>
      </c>
      <c r="L252" s="55" t="s">
        <v>176</v>
      </c>
      <c r="M252" s="55" t="s">
        <v>2824</v>
      </c>
      <c r="N252" s="4" t="s">
        <v>193</v>
      </c>
      <c r="O252" s="55" t="s">
        <v>178</v>
      </c>
    </row>
    <row r="253" spans="2:15">
      <c r="B253" s="99">
        <v>44764</v>
      </c>
      <c r="C253" s="59">
        <v>50272278</v>
      </c>
      <c r="D253" s="55" t="s">
        <v>21</v>
      </c>
      <c r="E253" s="67">
        <v>500</v>
      </c>
      <c r="F253" s="67">
        <v>12</v>
      </c>
      <c r="G253" s="102">
        <v>6000</v>
      </c>
      <c r="H253" s="56" t="s">
        <v>92</v>
      </c>
      <c r="I253" s="106"/>
      <c r="K253" s="56">
        <v>68</v>
      </c>
      <c r="L253" s="55" t="s">
        <v>176</v>
      </c>
      <c r="M253" s="55" t="s">
        <v>2824</v>
      </c>
      <c r="N253" s="4" t="s">
        <v>193</v>
      </c>
      <c r="O253" s="55" t="s">
        <v>178</v>
      </c>
    </row>
    <row r="254" spans="2:15">
      <c r="B254" s="99">
        <v>44767</v>
      </c>
      <c r="C254" s="59">
        <v>50272278</v>
      </c>
      <c r="D254" s="55" t="s">
        <v>21</v>
      </c>
      <c r="E254" s="67">
        <v>50</v>
      </c>
      <c r="F254" s="67">
        <v>20</v>
      </c>
      <c r="G254" s="102">
        <v>10000</v>
      </c>
      <c r="H254" s="56" t="s">
        <v>92</v>
      </c>
      <c r="I254" s="106"/>
      <c r="K254" s="56">
        <v>69</v>
      </c>
      <c r="L254" s="55" t="s">
        <v>176</v>
      </c>
      <c r="M254" s="55" t="s">
        <v>2824</v>
      </c>
      <c r="N254" s="4" t="s">
        <v>193</v>
      </c>
      <c r="O254" s="55" t="s">
        <v>178</v>
      </c>
    </row>
    <row r="255" spans="2:15">
      <c r="B255" s="99">
        <v>44768</v>
      </c>
      <c r="C255" s="59">
        <v>40011148</v>
      </c>
      <c r="D255" s="55" t="s">
        <v>86</v>
      </c>
      <c r="E255" s="67">
        <v>450</v>
      </c>
      <c r="F255" s="67">
        <v>2</v>
      </c>
      <c r="G255" s="102">
        <v>900</v>
      </c>
      <c r="H255" s="56" t="s">
        <v>80</v>
      </c>
      <c r="I255" s="106"/>
      <c r="K255" s="56">
        <v>70</v>
      </c>
      <c r="L255" s="55" t="s">
        <v>326</v>
      </c>
      <c r="M255" s="55" t="s">
        <v>2824</v>
      </c>
      <c r="N255" s="4" t="s">
        <v>343</v>
      </c>
      <c r="O255" s="55" t="s">
        <v>178</v>
      </c>
    </row>
    <row r="256" spans="2:15">
      <c r="B256" s="99">
        <v>44768</v>
      </c>
      <c r="C256" s="59">
        <v>40011132</v>
      </c>
      <c r="D256" s="55" t="s">
        <v>445</v>
      </c>
      <c r="E256" s="67">
        <v>756</v>
      </c>
      <c r="F256" s="67">
        <v>2</v>
      </c>
      <c r="G256" s="102">
        <v>1339</v>
      </c>
      <c r="H256" s="56" t="s">
        <v>80</v>
      </c>
      <c r="I256" s="106"/>
      <c r="K256" s="56">
        <v>70</v>
      </c>
      <c r="L256" s="55" t="s">
        <v>326</v>
      </c>
      <c r="M256" s="55" t="s">
        <v>2824</v>
      </c>
      <c r="N256" s="4" t="s">
        <v>343</v>
      </c>
      <c r="O256" s="55" t="s">
        <v>178</v>
      </c>
    </row>
    <row r="257" spans="2:15">
      <c r="B257" s="99">
        <v>44768</v>
      </c>
      <c r="C257" s="59">
        <v>40004808</v>
      </c>
      <c r="D257" s="55" t="s">
        <v>187</v>
      </c>
      <c r="E257" s="67">
        <v>441</v>
      </c>
      <c r="F257" s="67">
        <v>5</v>
      </c>
      <c r="G257" s="102">
        <v>2205</v>
      </c>
      <c r="H257" s="56" t="s">
        <v>80</v>
      </c>
      <c r="I257" s="106"/>
      <c r="K257" s="56">
        <v>70</v>
      </c>
      <c r="L257" s="55" t="s">
        <v>326</v>
      </c>
      <c r="M257" s="55" t="s">
        <v>2824</v>
      </c>
      <c r="N257" s="4" t="s">
        <v>343</v>
      </c>
      <c r="O257" s="55" t="s">
        <v>178</v>
      </c>
    </row>
    <row r="258" spans="2:15">
      <c r="B258" s="99">
        <v>44768</v>
      </c>
      <c r="C258" s="59">
        <v>50143646</v>
      </c>
      <c r="D258" s="55" t="s">
        <v>191</v>
      </c>
      <c r="E258" s="67">
        <v>480</v>
      </c>
      <c r="F258" s="67">
        <v>4</v>
      </c>
      <c r="G258" s="102">
        <v>1920</v>
      </c>
      <c r="H258" s="56" t="s">
        <v>82</v>
      </c>
      <c r="I258" s="106"/>
      <c r="K258" s="56">
        <v>70</v>
      </c>
      <c r="L258" s="55" t="s">
        <v>326</v>
      </c>
      <c r="M258" s="55" t="s">
        <v>2824</v>
      </c>
      <c r="N258" s="4" t="s">
        <v>343</v>
      </c>
      <c r="O258" s="55" t="s">
        <v>178</v>
      </c>
    </row>
    <row r="259" spans="2:15">
      <c r="B259" s="99">
        <v>44769</v>
      </c>
      <c r="C259" s="59">
        <v>40004808</v>
      </c>
      <c r="D259" s="55" t="s">
        <v>187</v>
      </c>
      <c r="E259" s="67">
        <v>294</v>
      </c>
      <c r="F259" s="67">
        <v>11</v>
      </c>
      <c r="G259" s="102">
        <v>3234</v>
      </c>
      <c r="H259" s="56" t="s">
        <v>80</v>
      </c>
      <c r="I259" s="106"/>
      <c r="K259" s="56">
        <v>71</v>
      </c>
      <c r="L259" s="55" t="s">
        <v>176</v>
      </c>
      <c r="M259" s="55" t="s">
        <v>2824</v>
      </c>
      <c r="N259" s="4" t="s">
        <v>193</v>
      </c>
      <c r="O259" s="55" t="s">
        <v>178</v>
      </c>
    </row>
    <row r="260" spans="2:15">
      <c r="B260" s="99">
        <v>44769</v>
      </c>
      <c r="C260" s="59">
        <v>40008024</v>
      </c>
      <c r="D260" s="55" t="s">
        <v>182</v>
      </c>
      <c r="E260" s="67">
        <v>441</v>
      </c>
      <c r="F260" s="67">
        <v>3</v>
      </c>
      <c r="G260" s="102">
        <v>993.165</v>
      </c>
      <c r="H260" s="56" t="s">
        <v>80</v>
      </c>
      <c r="I260" s="106"/>
      <c r="K260" s="56">
        <v>71</v>
      </c>
      <c r="L260" s="55" t="s">
        <v>176</v>
      </c>
      <c r="M260" s="55" t="s">
        <v>2824</v>
      </c>
      <c r="N260" s="4" t="s">
        <v>193</v>
      </c>
      <c r="O260" s="55" t="s">
        <v>178</v>
      </c>
    </row>
    <row r="261" spans="2:15">
      <c r="B261" s="99">
        <v>44769</v>
      </c>
      <c r="C261" s="59">
        <v>50513699</v>
      </c>
      <c r="D261" s="55" t="s">
        <v>338</v>
      </c>
      <c r="E261" s="67">
        <v>734</v>
      </c>
      <c r="F261" s="67">
        <v>6</v>
      </c>
      <c r="G261" s="102">
        <v>4087</v>
      </c>
      <c r="H261" s="56" t="s">
        <v>82</v>
      </c>
      <c r="I261" s="106"/>
      <c r="K261" s="56">
        <v>71</v>
      </c>
      <c r="L261" s="55" t="s">
        <v>176</v>
      </c>
      <c r="M261" s="55" t="s">
        <v>2824</v>
      </c>
      <c r="N261" s="4" t="s">
        <v>193</v>
      </c>
      <c r="O261" s="55" t="s">
        <v>178</v>
      </c>
    </row>
    <row r="262" spans="2:15">
      <c r="B262" s="99">
        <v>44770</v>
      </c>
      <c r="C262" s="59">
        <v>50272278</v>
      </c>
      <c r="D262" s="55" t="s">
        <v>21</v>
      </c>
      <c r="E262" s="67">
        <v>500</v>
      </c>
      <c r="F262" s="67">
        <v>12</v>
      </c>
      <c r="G262" s="102">
        <v>6000</v>
      </c>
      <c r="H262" s="56" t="s">
        <v>92</v>
      </c>
      <c r="I262" s="106"/>
      <c r="K262" s="56">
        <v>72</v>
      </c>
      <c r="L262" s="55" t="s">
        <v>176</v>
      </c>
      <c r="M262" s="55" t="s">
        <v>2824</v>
      </c>
      <c r="N262" s="4" t="s">
        <v>177</v>
      </c>
      <c r="O262" s="55" t="s">
        <v>178</v>
      </c>
    </row>
    <row r="263" spans="2:15">
      <c r="B263" s="99">
        <v>44770</v>
      </c>
      <c r="C263" s="59">
        <v>50141786</v>
      </c>
      <c r="D263" s="55" t="s">
        <v>188</v>
      </c>
      <c r="E263" s="67">
        <v>560</v>
      </c>
      <c r="F263" s="67">
        <v>2</v>
      </c>
      <c r="G263" s="102">
        <v>1120</v>
      </c>
      <c r="H263" s="56" t="s">
        <v>82</v>
      </c>
      <c r="I263" s="106"/>
      <c r="K263" s="56">
        <v>72</v>
      </c>
      <c r="L263" s="55" t="s">
        <v>176</v>
      </c>
      <c r="M263" s="55" t="s">
        <v>2824</v>
      </c>
      <c r="N263" s="4" t="s">
        <v>177</v>
      </c>
      <c r="O263" s="55" t="s">
        <v>178</v>
      </c>
    </row>
    <row r="264" spans="2:15">
      <c r="B264" s="99">
        <v>44770</v>
      </c>
      <c r="C264" s="59">
        <v>50369034</v>
      </c>
      <c r="D264" s="55" t="s">
        <v>322</v>
      </c>
      <c r="E264" s="67">
        <v>651.65</v>
      </c>
      <c r="F264" s="67">
        <v>6</v>
      </c>
      <c r="G264" s="102">
        <v>4111.65</v>
      </c>
      <c r="H264" s="56" t="s">
        <v>82</v>
      </c>
      <c r="I264" s="106"/>
      <c r="K264" s="56">
        <v>72</v>
      </c>
      <c r="L264" s="55" t="s">
        <v>176</v>
      </c>
      <c r="M264" s="55" t="s">
        <v>2824</v>
      </c>
      <c r="N264" s="4" t="s">
        <v>177</v>
      </c>
      <c r="O264" s="55" t="s">
        <v>178</v>
      </c>
    </row>
    <row r="265" spans="2:15">
      <c r="B265" s="99">
        <v>44770</v>
      </c>
      <c r="C265" s="59">
        <v>40499</v>
      </c>
      <c r="D265" s="55" t="s">
        <v>316</v>
      </c>
      <c r="E265" s="67">
        <v>4</v>
      </c>
      <c r="F265" s="67">
        <v>4</v>
      </c>
      <c r="G265" s="102">
        <v>4</v>
      </c>
      <c r="H265" s="56" t="s">
        <v>92</v>
      </c>
      <c r="I265" s="106"/>
      <c r="K265" s="56">
        <v>73</v>
      </c>
      <c r="L265" s="55" t="s">
        <v>2826</v>
      </c>
      <c r="M265" s="55" t="s">
        <v>326</v>
      </c>
      <c r="O265" s="55" t="s">
        <v>178</v>
      </c>
    </row>
    <row r="266" spans="2:15">
      <c r="B266" s="99">
        <v>44770</v>
      </c>
      <c r="C266" s="59">
        <v>50272278</v>
      </c>
      <c r="D266" s="55" t="s">
        <v>21</v>
      </c>
      <c r="E266" s="67">
        <v>250</v>
      </c>
      <c r="F266" s="67">
        <v>5</v>
      </c>
      <c r="G266" s="102">
        <v>1700</v>
      </c>
      <c r="H266" s="56" t="s">
        <v>92</v>
      </c>
      <c r="I266" s="106"/>
      <c r="K266" s="56">
        <v>73</v>
      </c>
      <c r="L266" s="55" t="s">
        <v>2826</v>
      </c>
      <c r="M266" s="55" t="s">
        <v>326</v>
      </c>
      <c r="O266" s="55" t="s">
        <v>178</v>
      </c>
    </row>
    <row r="267" spans="2:15">
      <c r="B267" s="99">
        <v>44770</v>
      </c>
      <c r="C267" s="59">
        <v>50145028</v>
      </c>
      <c r="D267" s="55" t="s">
        <v>23</v>
      </c>
      <c r="E267" s="67">
        <v>192</v>
      </c>
      <c r="F267" s="67">
        <v>3</v>
      </c>
      <c r="G267" s="102">
        <v>576</v>
      </c>
      <c r="H267" s="56" t="s">
        <v>92</v>
      </c>
      <c r="I267" s="106"/>
      <c r="K267" s="56">
        <v>73</v>
      </c>
      <c r="L267" s="55" t="s">
        <v>2826</v>
      </c>
      <c r="M267" s="55" t="s">
        <v>326</v>
      </c>
      <c r="O267" s="55" t="s">
        <v>178</v>
      </c>
    </row>
    <row r="268" spans="2:15">
      <c r="B268" s="99">
        <v>44770</v>
      </c>
      <c r="C268" s="59">
        <v>50144334</v>
      </c>
      <c r="D268" s="55" t="s">
        <v>426</v>
      </c>
      <c r="E268" s="67">
        <v>740</v>
      </c>
      <c r="F268" s="67">
        <v>1</v>
      </c>
      <c r="G268" s="102">
        <v>740</v>
      </c>
      <c r="H268" s="56" t="s">
        <v>82</v>
      </c>
      <c r="I268" s="106"/>
      <c r="K268" s="56">
        <v>73</v>
      </c>
      <c r="L268" s="55" t="s">
        <v>2826</v>
      </c>
      <c r="M268" s="55" t="s">
        <v>326</v>
      </c>
      <c r="O268" s="55" t="s">
        <v>178</v>
      </c>
    </row>
    <row r="269" spans="2:15">
      <c r="B269" s="99">
        <v>44770</v>
      </c>
      <c r="C269" s="59">
        <v>50145521</v>
      </c>
      <c r="D269" s="55" t="s">
        <v>436</v>
      </c>
      <c r="E269" s="67">
        <v>10000</v>
      </c>
      <c r="G269" s="102">
        <v>150000</v>
      </c>
      <c r="H269" s="56" t="s">
        <v>92</v>
      </c>
      <c r="I269" s="106"/>
      <c r="K269" s="56">
        <v>73</v>
      </c>
      <c r="L269" s="55" t="s">
        <v>2826</v>
      </c>
      <c r="M269" s="55" t="s">
        <v>326</v>
      </c>
      <c r="O269" s="55" t="s">
        <v>178</v>
      </c>
    </row>
    <row r="270" spans="2:15">
      <c r="B270" s="99">
        <v>44770</v>
      </c>
      <c r="C270" s="59">
        <v>50144376</v>
      </c>
      <c r="D270" s="55" t="s">
        <v>19</v>
      </c>
      <c r="E270" s="67">
        <v>500</v>
      </c>
      <c r="F270" s="67">
        <v>17</v>
      </c>
      <c r="G270" s="102">
        <v>10500</v>
      </c>
      <c r="H270" s="105" t="s">
        <v>92</v>
      </c>
      <c r="I270" s="106"/>
      <c r="K270" s="56">
        <v>73</v>
      </c>
      <c r="L270" s="55" t="s">
        <v>2826</v>
      </c>
      <c r="M270" s="55" t="s">
        <v>326</v>
      </c>
      <c r="O270" s="55" t="s">
        <v>178</v>
      </c>
    </row>
    <row r="271" spans="2:15">
      <c r="B271" s="99">
        <v>44771</v>
      </c>
      <c r="C271" s="59">
        <v>50272278</v>
      </c>
      <c r="D271" s="55" t="s">
        <v>21</v>
      </c>
      <c r="E271" s="67">
        <v>500</v>
      </c>
      <c r="F271" s="67">
        <v>6</v>
      </c>
      <c r="G271" s="102">
        <v>3000</v>
      </c>
      <c r="H271" s="56" t="s">
        <v>92</v>
      </c>
      <c r="I271" s="106"/>
      <c r="K271" s="56">
        <v>74</v>
      </c>
      <c r="L271" s="55" t="s">
        <v>176</v>
      </c>
      <c r="M271" s="55" t="s">
        <v>2824</v>
      </c>
      <c r="N271" s="4" t="s">
        <v>177</v>
      </c>
      <c r="O271" s="55" t="s">
        <v>178</v>
      </c>
    </row>
    <row r="272" spans="2:15">
      <c r="B272" s="99">
        <v>44771</v>
      </c>
      <c r="C272" s="59">
        <v>40009151</v>
      </c>
      <c r="D272" s="55" t="s">
        <v>180</v>
      </c>
      <c r="E272" s="67">
        <v>441</v>
      </c>
      <c r="F272" s="67">
        <v>3</v>
      </c>
      <c r="G272" s="102">
        <v>1323</v>
      </c>
      <c r="H272" s="56" t="s">
        <v>80</v>
      </c>
      <c r="I272" s="106"/>
      <c r="K272" s="56">
        <v>74</v>
      </c>
      <c r="L272" s="55" t="s">
        <v>176</v>
      </c>
      <c r="M272" s="55" t="s">
        <v>2824</v>
      </c>
      <c r="N272" s="4" t="s">
        <v>177</v>
      </c>
      <c r="O272" s="55" t="s">
        <v>178</v>
      </c>
    </row>
    <row r="273" spans="2:15">
      <c r="B273" s="99">
        <v>44771</v>
      </c>
      <c r="C273" s="59">
        <v>40007941</v>
      </c>
      <c r="D273" s="55" t="s">
        <v>211</v>
      </c>
      <c r="E273" s="67">
        <v>756</v>
      </c>
      <c r="F273" s="67">
        <v>3</v>
      </c>
      <c r="G273" s="102">
        <v>2268</v>
      </c>
      <c r="H273" s="56" t="s">
        <v>80</v>
      </c>
      <c r="I273" s="106"/>
      <c r="K273" s="56">
        <v>74</v>
      </c>
      <c r="L273" s="55" t="s">
        <v>176</v>
      </c>
      <c r="M273" s="55" t="s">
        <v>2824</v>
      </c>
      <c r="N273" s="4" t="s">
        <v>177</v>
      </c>
      <c r="O273" s="55" t="s">
        <v>178</v>
      </c>
    </row>
    <row r="274" spans="2:15">
      <c r="B274" s="99">
        <v>44771</v>
      </c>
      <c r="C274" s="59">
        <v>40007942</v>
      </c>
      <c r="D274" s="55" t="s">
        <v>219</v>
      </c>
      <c r="E274" s="67">
        <v>336</v>
      </c>
      <c r="F274" s="67">
        <v>3</v>
      </c>
      <c r="G274" s="102">
        <v>7392</v>
      </c>
      <c r="H274" s="56" t="s">
        <v>80</v>
      </c>
      <c r="I274" s="106"/>
      <c r="K274" s="56">
        <v>74</v>
      </c>
      <c r="L274" s="55" t="s">
        <v>176</v>
      </c>
      <c r="M274" s="55" t="s">
        <v>2824</v>
      </c>
      <c r="N274" s="4" t="s">
        <v>177</v>
      </c>
      <c r="O274" s="55" t="s">
        <v>178</v>
      </c>
    </row>
    <row r="275" spans="2:15">
      <c r="B275" s="99">
        <v>44771</v>
      </c>
      <c r="C275" s="59">
        <v>50470190</v>
      </c>
      <c r="D275" s="55" t="s">
        <v>12</v>
      </c>
      <c r="E275" s="67">
        <v>289800</v>
      </c>
      <c r="F275" s="67">
        <v>4</v>
      </c>
      <c r="G275" s="102">
        <v>1159200</v>
      </c>
      <c r="H275" s="56" t="s">
        <v>92</v>
      </c>
      <c r="I275" s="106"/>
      <c r="K275" s="56">
        <v>74</v>
      </c>
      <c r="L275" s="55" t="s">
        <v>176</v>
      </c>
      <c r="M275" s="55" t="s">
        <v>2824</v>
      </c>
      <c r="N275" s="4" t="s">
        <v>177</v>
      </c>
      <c r="O275" s="55" t="s">
        <v>178</v>
      </c>
    </row>
    <row r="276" spans="2:15">
      <c r="B276" s="99">
        <v>44774</v>
      </c>
      <c r="C276" s="59">
        <v>50272278</v>
      </c>
      <c r="D276" s="55" t="s">
        <v>21</v>
      </c>
      <c r="E276" s="67">
        <v>500</v>
      </c>
      <c r="F276" s="67">
        <v>14</v>
      </c>
      <c r="G276" s="102">
        <v>7000</v>
      </c>
      <c r="H276" s="56" t="s">
        <v>92</v>
      </c>
      <c r="I276" s="106"/>
      <c r="K276" s="56">
        <v>75</v>
      </c>
      <c r="L276" s="55" t="s">
        <v>176</v>
      </c>
      <c r="M276" s="55" t="s">
        <v>2824</v>
      </c>
      <c r="N276" s="4" t="s">
        <v>177</v>
      </c>
      <c r="O276" s="55" t="s">
        <v>178</v>
      </c>
    </row>
    <row r="277" spans="2:15">
      <c r="B277" s="99">
        <v>44774</v>
      </c>
      <c r="C277" s="59">
        <v>50470190</v>
      </c>
      <c r="D277" s="55" t="s">
        <v>12</v>
      </c>
      <c r="E277" s="67">
        <v>289800</v>
      </c>
      <c r="F277" s="67">
        <v>4</v>
      </c>
      <c r="G277" s="102">
        <v>1159200</v>
      </c>
      <c r="H277" s="56" t="s">
        <v>92</v>
      </c>
      <c r="I277" s="106"/>
      <c r="K277" s="56">
        <v>75</v>
      </c>
      <c r="L277" s="55" t="s">
        <v>176</v>
      </c>
      <c r="M277" s="55" t="s">
        <v>2824</v>
      </c>
      <c r="N277" s="4" t="s">
        <v>177</v>
      </c>
      <c r="O277" s="55" t="s">
        <v>178</v>
      </c>
    </row>
    <row r="278" spans="2:15">
      <c r="B278" s="99">
        <v>44774</v>
      </c>
      <c r="C278" s="59">
        <v>50470190</v>
      </c>
      <c r="D278" s="55" t="s">
        <v>12</v>
      </c>
      <c r="E278" s="67">
        <v>289800</v>
      </c>
      <c r="F278" s="67">
        <v>18</v>
      </c>
      <c r="G278" s="102">
        <v>5216400</v>
      </c>
      <c r="H278" s="56" t="s">
        <v>92</v>
      </c>
      <c r="I278" s="106"/>
      <c r="K278" s="56">
        <v>76</v>
      </c>
      <c r="L278" s="55" t="s">
        <v>176</v>
      </c>
      <c r="M278" s="55" t="s">
        <v>2824</v>
      </c>
      <c r="N278" s="4" t="s">
        <v>193</v>
      </c>
      <c r="O278" s="55" t="s">
        <v>178</v>
      </c>
    </row>
    <row r="279" spans="2:15">
      <c r="B279" s="99">
        <v>44774</v>
      </c>
      <c r="C279" s="59">
        <v>50142055</v>
      </c>
      <c r="D279" s="55" t="s">
        <v>206</v>
      </c>
      <c r="E279" s="67">
        <v>600</v>
      </c>
      <c r="F279" s="67">
        <v>4</v>
      </c>
      <c r="G279" s="102">
        <v>2400</v>
      </c>
      <c r="H279" s="56" t="s">
        <v>82</v>
      </c>
      <c r="I279" s="106"/>
      <c r="K279" s="56">
        <v>77</v>
      </c>
      <c r="L279" s="55" t="s">
        <v>176</v>
      </c>
      <c r="M279" s="55" t="s">
        <v>2824</v>
      </c>
      <c r="N279" s="4" t="s">
        <v>177</v>
      </c>
      <c r="O279" s="55" t="s">
        <v>178</v>
      </c>
    </row>
    <row r="280" spans="2:15">
      <c r="B280" s="99">
        <v>44774</v>
      </c>
      <c r="C280" s="59">
        <v>50141786</v>
      </c>
      <c r="D280" s="55" t="s">
        <v>188</v>
      </c>
      <c r="E280" s="67">
        <v>560</v>
      </c>
      <c r="F280" s="67">
        <v>5</v>
      </c>
      <c r="G280" s="102">
        <v>2800</v>
      </c>
      <c r="H280" s="56" t="s">
        <v>82</v>
      </c>
      <c r="I280" s="106"/>
      <c r="K280" s="56">
        <v>77</v>
      </c>
      <c r="L280" s="55" t="s">
        <v>176</v>
      </c>
      <c r="M280" s="55" t="s">
        <v>2824</v>
      </c>
      <c r="N280" s="4" t="s">
        <v>177</v>
      </c>
      <c r="O280" s="55" t="s">
        <v>178</v>
      </c>
    </row>
    <row r="281" spans="2:15">
      <c r="B281" s="99">
        <v>44774</v>
      </c>
      <c r="C281" s="59">
        <v>50142281</v>
      </c>
      <c r="D281" s="55" t="s">
        <v>204</v>
      </c>
      <c r="E281" s="67">
        <v>450</v>
      </c>
      <c r="F281" s="67">
        <v>3</v>
      </c>
      <c r="G281" s="102">
        <v>1290</v>
      </c>
      <c r="H281" s="56" t="s">
        <v>82</v>
      </c>
      <c r="I281" s="106"/>
      <c r="K281" s="56">
        <v>77</v>
      </c>
      <c r="L281" s="55" t="s">
        <v>176</v>
      </c>
      <c r="M281" s="55" t="s">
        <v>2824</v>
      </c>
      <c r="N281" s="4" t="s">
        <v>177</v>
      </c>
      <c r="O281" s="55" t="s">
        <v>178</v>
      </c>
    </row>
    <row r="282" spans="2:15">
      <c r="B282" s="99">
        <v>44774</v>
      </c>
      <c r="C282" s="59">
        <v>50142327</v>
      </c>
      <c r="D282" s="55" t="s">
        <v>256</v>
      </c>
      <c r="E282" s="67">
        <v>681</v>
      </c>
      <c r="F282" s="67">
        <v>3</v>
      </c>
      <c r="G282" s="102">
        <v>2043</v>
      </c>
      <c r="H282" s="56" t="s">
        <v>82</v>
      </c>
      <c r="I282" s="106"/>
      <c r="K282" s="56">
        <v>77</v>
      </c>
      <c r="L282" s="55" t="s">
        <v>176</v>
      </c>
      <c r="M282" s="55" t="s">
        <v>2824</v>
      </c>
      <c r="N282" s="4" t="s">
        <v>177</v>
      </c>
      <c r="O282" s="55" t="s">
        <v>178</v>
      </c>
    </row>
    <row r="283" spans="2:15">
      <c r="B283" s="99">
        <v>44774</v>
      </c>
      <c r="C283" s="59">
        <v>50142334</v>
      </c>
      <c r="D283" s="55" t="s">
        <v>257</v>
      </c>
      <c r="E283" s="67">
        <v>681</v>
      </c>
      <c r="F283" s="67">
        <v>3</v>
      </c>
      <c r="G283" s="102">
        <v>2043</v>
      </c>
      <c r="H283" s="56" t="s">
        <v>82</v>
      </c>
      <c r="I283" s="106"/>
      <c r="K283" s="56">
        <v>77</v>
      </c>
      <c r="L283" s="55" t="s">
        <v>176</v>
      </c>
      <c r="M283" s="55" t="s">
        <v>2824</v>
      </c>
      <c r="N283" s="4" t="s">
        <v>177</v>
      </c>
      <c r="O283" s="55" t="s">
        <v>178</v>
      </c>
    </row>
    <row r="284" spans="2:15">
      <c r="B284" s="99">
        <v>44774</v>
      </c>
      <c r="C284" s="59">
        <v>40499</v>
      </c>
      <c r="D284" s="55" t="s">
        <v>316</v>
      </c>
      <c r="E284" s="67">
        <v>6</v>
      </c>
      <c r="F284" s="67">
        <v>6</v>
      </c>
      <c r="G284" s="102">
        <v>6</v>
      </c>
      <c r="H284" s="56" t="s">
        <v>92</v>
      </c>
      <c r="I284" s="106"/>
      <c r="K284" s="56">
        <v>77</v>
      </c>
      <c r="L284" s="55" t="s">
        <v>176</v>
      </c>
      <c r="M284" s="55" t="s">
        <v>2824</v>
      </c>
      <c r="N284" s="4" t="s">
        <v>177</v>
      </c>
      <c r="O284" s="55" t="s">
        <v>178</v>
      </c>
    </row>
    <row r="285" spans="2:15">
      <c r="B285" s="99">
        <v>44776</v>
      </c>
      <c r="C285" s="59">
        <v>50507916</v>
      </c>
      <c r="D285" s="55" t="s">
        <v>406</v>
      </c>
      <c r="E285" s="67">
        <v>264000</v>
      </c>
      <c r="F285" s="67">
        <v>5</v>
      </c>
      <c r="G285" s="102">
        <v>1320000</v>
      </c>
      <c r="H285" s="56" t="s">
        <v>92</v>
      </c>
      <c r="I285" s="106"/>
      <c r="K285" s="56">
        <v>78</v>
      </c>
      <c r="L285" s="55" t="s">
        <v>176</v>
      </c>
      <c r="M285" s="55" t="s">
        <v>2824</v>
      </c>
      <c r="N285" s="4" t="s">
        <v>177</v>
      </c>
      <c r="O285" s="55" t="s">
        <v>178</v>
      </c>
    </row>
    <row r="286" spans="2:15">
      <c r="B286" s="99">
        <v>44776</v>
      </c>
      <c r="C286" s="59">
        <v>40009151</v>
      </c>
      <c r="D286" s="55" t="s">
        <v>180</v>
      </c>
      <c r="E286" s="67">
        <v>441</v>
      </c>
      <c r="F286" s="67">
        <v>5</v>
      </c>
      <c r="G286" s="102">
        <v>2205</v>
      </c>
      <c r="H286" s="56" t="s">
        <v>80</v>
      </c>
      <c r="I286" s="106"/>
      <c r="K286" s="56">
        <v>78</v>
      </c>
      <c r="L286" s="55" t="s">
        <v>176</v>
      </c>
      <c r="M286" s="55" t="s">
        <v>2824</v>
      </c>
      <c r="N286" s="4" t="s">
        <v>177</v>
      </c>
      <c r="O286" s="55" t="s">
        <v>178</v>
      </c>
    </row>
    <row r="287" spans="2:15">
      <c r="B287" s="99">
        <v>44776</v>
      </c>
      <c r="C287" s="59">
        <v>40009148</v>
      </c>
      <c r="D287" s="55" t="s">
        <v>218</v>
      </c>
      <c r="E287" s="67">
        <v>756</v>
      </c>
      <c r="F287" s="67">
        <v>5</v>
      </c>
      <c r="G287" s="102">
        <v>3780</v>
      </c>
      <c r="H287" s="56" t="s">
        <v>80</v>
      </c>
      <c r="I287" s="106"/>
      <c r="K287" s="56">
        <v>78</v>
      </c>
      <c r="L287" s="55" t="s">
        <v>176</v>
      </c>
      <c r="M287" s="55" t="s">
        <v>2824</v>
      </c>
      <c r="N287" s="4" t="s">
        <v>177</v>
      </c>
      <c r="O287" s="55" t="s">
        <v>178</v>
      </c>
    </row>
    <row r="288" spans="2:15">
      <c r="B288" s="99">
        <v>44776</v>
      </c>
      <c r="C288" s="59">
        <v>40010086</v>
      </c>
      <c r="D288" s="55" t="s">
        <v>79</v>
      </c>
      <c r="E288" s="67">
        <v>3528</v>
      </c>
      <c r="F288" s="67">
        <v>2</v>
      </c>
      <c r="G288" s="102">
        <v>4406</v>
      </c>
      <c r="H288" s="56" t="s">
        <v>80</v>
      </c>
      <c r="I288" s="106"/>
      <c r="K288" s="56">
        <v>78</v>
      </c>
      <c r="L288" s="55" t="s">
        <v>176</v>
      </c>
      <c r="M288" s="55" t="s">
        <v>2824</v>
      </c>
      <c r="N288" s="4" t="s">
        <v>177</v>
      </c>
      <c r="O288" s="55" t="s">
        <v>178</v>
      </c>
    </row>
    <row r="289" spans="2:15">
      <c r="B289" s="99">
        <v>44777</v>
      </c>
      <c r="C289" s="59">
        <v>50144376</v>
      </c>
      <c r="D289" s="55" t="s">
        <v>19</v>
      </c>
      <c r="E289" s="67">
        <v>500</v>
      </c>
      <c r="F289" s="67">
        <v>1</v>
      </c>
      <c r="G289" s="102">
        <v>500</v>
      </c>
      <c r="H289" s="105" t="s">
        <v>92</v>
      </c>
      <c r="I289" s="106"/>
      <c r="K289" s="56">
        <v>79</v>
      </c>
      <c r="L289" s="55" t="s">
        <v>176</v>
      </c>
      <c r="M289" s="55" t="s">
        <v>2834</v>
      </c>
      <c r="N289" s="4" t="s">
        <v>193</v>
      </c>
      <c r="O289" s="55" t="s">
        <v>178</v>
      </c>
    </row>
    <row r="290" spans="2:15">
      <c r="B290" s="99">
        <v>44777</v>
      </c>
      <c r="C290" s="59">
        <v>50145028</v>
      </c>
      <c r="D290" s="55" t="s">
        <v>23</v>
      </c>
      <c r="E290" s="67">
        <v>192</v>
      </c>
      <c r="F290" s="67">
        <v>1</v>
      </c>
      <c r="G290" s="102">
        <v>192</v>
      </c>
      <c r="H290" s="56" t="s">
        <v>92</v>
      </c>
      <c r="I290" s="106"/>
      <c r="K290" s="56">
        <v>79</v>
      </c>
      <c r="L290" s="55" t="s">
        <v>176</v>
      </c>
      <c r="M290" s="55" t="s">
        <v>2834</v>
      </c>
      <c r="N290" s="4" t="s">
        <v>193</v>
      </c>
      <c r="O290" s="55" t="s">
        <v>178</v>
      </c>
    </row>
    <row r="291" spans="2:15">
      <c r="B291" s="99">
        <v>44778</v>
      </c>
      <c r="C291" s="59">
        <v>50141533</v>
      </c>
      <c r="D291" s="55" t="s">
        <v>494</v>
      </c>
      <c r="E291" s="67">
        <v>1000</v>
      </c>
      <c r="F291" s="67">
        <v>5</v>
      </c>
      <c r="G291" s="102">
        <v>5000</v>
      </c>
      <c r="H291" s="56" t="s">
        <v>82</v>
      </c>
      <c r="I291" s="106"/>
      <c r="K291" s="56">
        <v>80</v>
      </c>
      <c r="L291" s="55" t="s">
        <v>176</v>
      </c>
      <c r="M291" s="55" t="s">
        <v>2824</v>
      </c>
      <c r="N291" s="4" t="s">
        <v>193</v>
      </c>
      <c r="O291" s="55" t="s">
        <v>178</v>
      </c>
    </row>
    <row r="292" spans="2:15">
      <c r="B292" s="99">
        <v>44778</v>
      </c>
      <c r="C292" s="59">
        <v>50369034</v>
      </c>
      <c r="D292" s="55" t="s">
        <v>322</v>
      </c>
      <c r="E292" s="67">
        <v>273</v>
      </c>
      <c r="F292" s="67">
        <v>5</v>
      </c>
      <c r="G292" s="102">
        <v>2036.45</v>
      </c>
      <c r="H292" s="56" t="s">
        <v>82</v>
      </c>
      <c r="I292" s="106"/>
      <c r="K292" s="56">
        <v>80</v>
      </c>
      <c r="L292" s="55" t="s">
        <v>176</v>
      </c>
      <c r="M292" s="55" t="s">
        <v>2824</v>
      </c>
      <c r="N292" s="4" t="s">
        <v>193</v>
      </c>
      <c r="O292" s="55" t="s">
        <v>178</v>
      </c>
    </row>
    <row r="293" spans="2:15">
      <c r="B293" s="99">
        <v>44778</v>
      </c>
      <c r="C293" s="59">
        <v>50141786</v>
      </c>
      <c r="D293" s="55" t="s">
        <v>188</v>
      </c>
      <c r="E293" s="67">
        <v>560</v>
      </c>
      <c r="F293" s="67">
        <v>6</v>
      </c>
      <c r="G293" s="102">
        <v>3360</v>
      </c>
      <c r="H293" s="56" t="s">
        <v>82</v>
      </c>
      <c r="I293" s="106"/>
      <c r="K293" s="56">
        <v>80</v>
      </c>
      <c r="L293" s="55" t="s">
        <v>176</v>
      </c>
      <c r="M293" s="55" t="s">
        <v>2824</v>
      </c>
      <c r="N293" s="4" t="s">
        <v>193</v>
      </c>
      <c r="O293" s="55" t="s">
        <v>178</v>
      </c>
    </row>
    <row r="294" spans="2:15">
      <c r="B294" s="99">
        <v>44778</v>
      </c>
      <c r="C294" s="59">
        <v>50143646</v>
      </c>
      <c r="D294" s="55" t="s">
        <v>191</v>
      </c>
      <c r="E294" s="67">
        <v>480</v>
      </c>
      <c r="F294" s="67">
        <v>4</v>
      </c>
      <c r="G294" s="102">
        <v>1920</v>
      </c>
      <c r="H294" s="56" t="s">
        <v>82</v>
      </c>
      <c r="I294" s="106"/>
      <c r="K294" s="56">
        <v>80</v>
      </c>
      <c r="L294" s="55" t="s">
        <v>176</v>
      </c>
      <c r="M294" s="55" t="s">
        <v>2824</v>
      </c>
      <c r="N294" s="4" t="s">
        <v>193</v>
      </c>
      <c r="O294" s="55" t="s">
        <v>178</v>
      </c>
    </row>
    <row r="295" spans="2:15">
      <c r="B295" s="99">
        <v>44781</v>
      </c>
      <c r="C295" s="59">
        <v>40010083</v>
      </c>
      <c r="D295" s="55" t="s">
        <v>85</v>
      </c>
      <c r="E295" s="67">
        <v>4704</v>
      </c>
      <c r="F295" s="67">
        <v>2</v>
      </c>
      <c r="G295" s="102">
        <v>5795</v>
      </c>
      <c r="H295" s="56" t="s">
        <v>80</v>
      </c>
      <c r="I295" s="106"/>
      <c r="K295" s="56">
        <v>81</v>
      </c>
      <c r="L295" s="55" t="s">
        <v>176</v>
      </c>
      <c r="M295" s="55" t="s">
        <v>2824</v>
      </c>
      <c r="N295" s="4" t="s">
        <v>177</v>
      </c>
      <c r="O295" s="55" t="s">
        <v>178</v>
      </c>
    </row>
    <row r="296" spans="2:15">
      <c r="B296" s="99">
        <v>44781</v>
      </c>
      <c r="C296" s="59">
        <v>40010084</v>
      </c>
      <c r="D296" s="55" t="s">
        <v>81</v>
      </c>
      <c r="E296" s="67">
        <v>1334</v>
      </c>
      <c r="F296" s="67">
        <v>5</v>
      </c>
      <c r="G296" s="102">
        <v>6126</v>
      </c>
      <c r="H296" s="56" t="s">
        <v>80</v>
      </c>
      <c r="I296" s="106"/>
      <c r="K296" s="56">
        <v>81</v>
      </c>
      <c r="L296" s="55" t="s">
        <v>176</v>
      </c>
      <c r="M296" s="55" t="s">
        <v>2824</v>
      </c>
      <c r="N296" s="4" t="s">
        <v>177</v>
      </c>
      <c r="O296" s="55" t="s">
        <v>178</v>
      </c>
    </row>
    <row r="297" spans="2:15">
      <c r="B297" s="99">
        <v>44781</v>
      </c>
      <c r="C297" s="59">
        <v>40004808</v>
      </c>
      <c r="D297" s="55" t="s">
        <v>187</v>
      </c>
      <c r="E297" s="67">
        <v>294</v>
      </c>
      <c r="F297" s="67">
        <v>6</v>
      </c>
      <c r="G297" s="102">
        <v>1764</v>
      </c>
      <c r="H297" s="56" t="s">
        <v>80</v>
      </c>
      <c r="I297" s="106"/>
      <c r="K297" s="56">
        <v>81</v>
      </c>
      <c r="L297" s="55" t="s">
        <v>176</v>
      </c>
      <c r="M297" s="55" t="s">
        <v>2824</v>
      </c>
      <c r="N297" s="4" t="s">
        <v>177</v>
      </c>
      <c r="O297" s="55" t="s">
        <v>178</v>
      </c>
    </row>
    <row r="298" spans="2:15">
      <c r="B298" s="99">
        <v>44781</v>
      </c>
      <c r="C298" s="59">
        <v>50470190</v>
      </c>
      <c r="D298" s="55" t="s">
        <v>12</v>
      </c>
      <c r="E298" s="67">
        <v>289800</v>
      </c>
      <c r="F298" s="67">
        <v>5</v>
      </c>
      <c r="G298" s="102">
        <v>1449000</v>
      </c>
      <c r="H298" s="56" t="s">
        <v>92</v>
      </c>
      <c r="I298" s="106"/>
      <c r="K298" s="56">
        <v>81</v>
      </c>
      <c r="L298" s="55" t="s">
        <v>176</v>
      </c>
      <c r="M298" s="55" t="s">
        <v>2824</v>
      </c>
      <c r="N298" s="4" t="s">
        <v>177</v>
      </c>
      <c r="O298" s="55" t="s">
        <v>178</v>
      </c>
    </row>
    <row r="299" spans="2:15">
      <c r="B299" s="99">
        <v>44781</v>
      </c>
      <c r="C299" s="59">
        <v>50470190</v>
      </c>
      <c r="D299" s="55" t="s">
        <v>12</v>
      </c>
      <c r="E299" s="67">
        <v>289800</v>
      </c>
      <c r="F299" s="67">
        <v>16</v>
      </c>
      <c r="G299" s="102">
        <v>4636800</v>
      </c>
      <c r="H299" s="56" t="s">
        <v>92</v>
      </c>
      <c r="I299" s="106"/>
      <c r="K299" s="56">
        <v>82</v>
      </c>
      <c r="L299" s="55" t="s">
        <v>176</v>
      </c>
      <c r="M299" s="55" t="s">
        <v>2824</v>
      </c>
      <c r="N299" s="4" t="s">
        <v>177</v>
      </c>
      <c r="O299" s="55" t="s">
        <v>178</v>
      </c>
    </row>
    <row r="300" spans="2:15">
      <c r="B300" s="99">
        <v>44782</v>
      </c>
      <c r="C300" s="59">
        <v>50272278</v>
      </c>
      <c r="D300" s="55" t="s">
        <v>21</v>
      </c>
      <c r="E300" s="67">
        <v>500</v>
      </c>
      <c r="F300" s="67">
        <v>10</v>
      </c>
      <c r="G300" s="102">
        <v>5000</v>
      </c>
      <c r="H300" s="56" t="s">
        <v>92</v>
      </c>
      <c r="I300" s="106"/>
      <c r="K300" s="56">
        <v>83</v>
      </c>
      <c r="L300" s="55" t="s">
        <v>176</v>
      </c>
      <c r="M300" s="55" t="s">
        <v>2824</v>
      </c>
      <c r="N300" s="4" t="s">
        <v>193</v>
      </c>
      <c r="O300" s="55" t="s">
        <v>178</v>
      </c>
    </row>
    <row r="301" spans="2:15">
      <c r="B301" s="99">
        <v>44782</v>
      </c>
      <c r="C301" s="59">
        <v>50144376</v>
      </c>
      <c r="D301" s="55" t="s">
        <v>19</v>
      </c>
      <c r="E301" s="67">
        <v>500</v>
      </c>
      <c r="F301" s="67">
        <v>10</v>
      </c>
      <c r="G301" s="102">
        <v>5000</v>
      </c>
      <c r="H301" s="105" t="s">
        <v>92</v>
      </c>
      <c r="I301" s="106"/>
      <c r="K301" s="56">
        <v>83</v>
      </c>
      <c r="L301" s="55" t="s">
        <v>176</v>
      </c>
      <c r="M301" s="55" t="s">
        <v>2824</v>
      </c>
      <c r="N301" s="4" t="s">
        <v>193</v>
      </c>
      <c r="O301" s="55" t="s">
        <v>178</v>
      </c>
    </row>
    <row r="302" spans="2:15">
      <c r="B302" s="99">
        <v>44782</v>
      </c>
      <c r="C302" s="59">
        <v>50272278</v>
      </c>
      <c r="D302" s="55" t="s">
        <v>21</v>
      </c>
      <c r="E302" s="67">
        <v>500</v>
      </c>
      <c r="F302" s="67">
        <v>4</v>
      </c>
      <c r="G302" s="102">
        <v>2000</v>
      </c>
      <c r="H302" s="56" t="s">
        <v>92</v>
      </c>
      <c r="I302" s="106"/>
      <c r="K302" s="56">
        <v>84</v>
      </c>
      <c r="L302" s="55" t="s">
        <v>176</v>
      </c>
      <c r="M302" s="55" t="s">
        <v>2824</v>
      </c>
      <c r="N302" s="4" t="s">
        <v>193</v>
      </c>
      <c r="O302" s="55" t="s">
        <v>178</v>
      </c>
    </row>
    <row r="303" spans="2:15">
      <c r="B303" s="99">
        <v>44782</v>
      </c>
      <c r="C303" s="59">
        <v>50144376</v>
      </c>
      <c r="D303" s="55" t="s">
        <v>19</v>
      </c>
      <c r="E303" s="67">
        <v>500</v>
      </c>
      <c r="F303" s="67">
        <v>4</v>
      </c>
      <c r="G303" s="102">
        <v>2000</v>
      </c>
      <c r="H303" s="105" t="s">
        <v>92</v>
      </c>
      <c r="I303" s="106"/>
      <c r="K303" s="56">
        <v>84</v>
      </c>
      <c r="L303" s="55" t="s">
        <v>176</v>
      </c>
      <c r="M303" s="55" t="s">
        <v>2824</v>
      </c>
      <c r="N303" s="4" t="s">
        <v>193</v>
      </c>
      <c r="O303" s="55" t="s">
        <v>178</v>
      </c>
    </row>
    <row r="304" spans="2:15">
      <c r="B304" s="99">
        <v>44782</v>
      </c>
      <c r="C304" s="59">
        <v>20016185</v>
      </c>
      <c r="D304" s="55" t="s">
        <v>285</v>
      </c>
      <c r="E304" s="67">
        <v>1000</v>
      </c>
      <c r="G304" s="102">
        <v>10000</v>
      </c>
      <c r="H304" s="56" t="s">
        <v>92</v>
      </c>
      <c r="I304" s="106"/>
      <c r="K304" s="56">
        <v>84</v>
      </c>
      <c r="L304" s="55" t="s">
        <v>176</v>
      </c>
      <c r="M304" s="55" t="s">
        <v>2824</v>
      </c>
      <c r="N304" s="4" t="s">
        <v>193</v>
      </c>
      <c r="O304" s="55" t="s">
        <v>178</v>
      </c>
    </row>
    <row r="305" spans="2:15">
      <c r="B305" s="99">
        <v>44782</v>
      </c>
      <c r="C305" s="59">
        <v>50369034</v>
      </c>
      <c r="D305" s="55" t="s">
        <v>322</v>
      </c>
      <c r="E305" s="67">
        <v>686.1</v>
      </c>
      <c r="F305" s="67">
        <v>6</v>
      </c>
      <c r="G305" s="102">
        <v>4108.85</v>
      </c>
      <c r="H305" s="56" t="s">
        <v>82</v>
      </c>
      <c r="I305" s="106"/>
      <c r="K305" s="56">
        <v>84</v>
      </c>
      <c r="L305" s="55" t="s">
        <v>176</v>
      </c>
      <c r="M305" s="55" t="s">
        <v>2824</v>
      </c>
      <c r="N305" s="4" t="s">
        <v>193</v>
      </c>
      <c r="O305" s="55" t="s">
        <v>178</v>
      </c>
    </row>
    <row r="306" spans="2:15">
      <c r="B306" s="99">
        <v>44782</v>
      </c>
      <c r="C306" s="59">
        <v>50143646</v>
      </c>
      <c r="D306" s="55" t="s">
        <v>191</v>
      </c>
      <c r="E306" s="67">
        <v>480</v>
      </c>
      <c r="F306" s="67">
        <v>5</v>
      </c>
      <c r="G306" s="102">
        <v>2400</v>
      </c>
      <c r="H306" s="56" t="s">
        <v>82</v>
      </c>
      <c r="I306" s="106"/>
      <c r="K306" s="56">
        <v>84</v>
      </c>
      <c r="L306" s="55" t="s">
        <v>176</v>
      </c>
      <c r="M306" s="55" t="s">
        <v>2824</v>
      </c>
      <c r="N306" s="4" t="s">
        <v>193</v>
      </c>
      <c r="O306" s="55" t="s">
        <v>178</v>
      </c>
    </row>
    <row r="307" spans="2:15">
      <c r="B307" s="99">
        <v>44783</v>
      </c>
      <c r="C307" s="59">
        <v>50144376</v>
      </c>
      <c r="D307" s="55" t="s">
        <v>19</v>
      </c>
      <c r="E307" s="67">
        <v>500</v>
      </c>
      <c r="F307" s="67">
        <v>4</v>
      </c>
      <c r="G307" s="102">
        <v>2000</v>
      </c>
      <c r="H307" s="105" t="s">
        <v>92</v>
      </c>
      <c r="I307" s="106"/>
      <c r="K307" s="56">
        <v>85</v>
      </c>
      <c r="L307" s="55" t="s">
        <v>176</v>
      </c>
      <c r="M307" s="55" t="s">
        <v>2824</v>
      </c>
      <c r="N307" s="4" t="s">
        <v>177</v>
      </c>
      <c r="O307" s="55" t="s">
        <v>178</v>
      </c>
    </row>
    <row r="308" spans="2:15">
      <c r="B308" s="99">
        <v>44783</v>
      </c>
      <c r="C308" s="59">
        <v>50419454</v>
      </c>
      <c r="D308" s="55" t="s">
        <v>438</v>
      </c>
      <c r="E308" s="67">
        <v>707.7</v>
      </c>
      <c r="F308" s="67">
        <v>5</v>
      </c>
      <c r="G308" s="102">
        <v>2762.2</v>
      </c>
      <c r="H308" s="56" t="s">
        <v>82</v>
      </c>
      <c r="I308" s="106"/>
      <c r="K308" s="56">
        <v>85</v>
      </c>
      <c r="L308" s="55" t="s">
        <v>176</v>
      </c>
      <c r="M308" s="55" t="s">
        <v>2824</v>
      </c>
      <c r="N308" s="4" t="s">
        <v>177</v>
      </c>
      <c r="O308" s="55" t="s">
        <v>178</v>
      </c>
    </row>
    <row r="309" spans="2:15">
      <c r="B309" s="99">
        <v>44783</v>
      </c>
      <c r="C309" s="59">
        <v>50522171</v>
      </c>
      <c r="D309" s="55" t="s">
        <v>203</v>
      </c>
      <c r="E309" s="67">
        <v>653</v>
      </c>
      <c r="F309" s="67">
        <v>2</v>
      </c>
      <c r="G309" s="102">
        <v>903.85</v>
      </c>
      <c r="H309" s="56" t="s">
        <v>82</v>
      </c>
      <c r="I309" s="106"/>
      <c r="K309" s="56">
        <v>85</v>
      </c>
      <c r="L309" s="55" t="s">
        <v>176</v>
      </c>
      <c r="M309" s="55" t="s">
        <v>2824</v>
      </c>
      <c r="N309" s="4" t="s">
        <v>177</v>
      </c>
      <c r="O309" s="55" t="s">
        <v>178</v>
      </c>
    </row>
    <row r="310" spans="2:15">
      <c r="B310" s="99">
        <v>44783</v>
      </c>
      <c r="C310" s="59">
        <v>40009544</v>
      </c>
      <c r="D310" s="55" t="s">
        <v>179</v>
      </c>
      <c r="E310" s="67">
        <v>2940</v>
      </c>
      <c r="F310" s="67">
        <v>3</v>
      </c>
      <c r="G310" s="102">
        <v>8820</v>
      </c>
      <c r="H310" s="56" t="s">
        <v>80</v>
      </c>
      <c r="I310" s="106"/>
      <c r="K310" s="56">
        <v>85</v>
      </c>
      <c r="L310" s="55" t="s">
        <v>176</v>
      </c>
      <c r="M310" s="55" t="s">
        <v>2824</v>
      </c>
      <c r="N310" s="4" t="s">
        <v>177</v>
      </c>
      <c r="O310" s="55" t="s">
        <v>178</v>
      </c>
    </row>
    <row r="311" spans="2:15">
      <c r="B311" s="99">
        <v>44783</v>
      </c>
      <c r="C311" s="59">
        <v>50141786</v>
      </c>
      <c r="D311" s="55" t="s">
        <v>188</v>
      </c>
      <c r="E311" s="67">
        <v>560</v>
      </c>
      <c r="F311" s="67">
        <v>4</v>
      </c>
      <c r="G311" s="102">
        <v>2240</v>
      </c>
      <c r="H311" s="56" t="s">
        <v>82</v>
      </c>
      <c r="I311" s="106"/>
      <c r="K311" s="56">
        <v>85</v>
      </c>
      <c r="L311" s="55" t="s">
        <v>176</v>
      </c>
      <c r="M311" s="55" t="s">
        <v>2824</v>
      </c>
      <c r="N311" s="4" t="s">
        <v>177</v>
      </c>
      <c r="O311" s="55" t="s">
        <v>178</v>
      </c>
    </row>
    <row r="312" spans="2:15">
      <c r="B312" s="99">
        <v>44783</v>
      </c>
      <c r="C312" s="59">
        <v>50501722</v>
      </c>
      <c r="D312" s="55" t="s">
        <v>253</v>
      </c>
      <c r="E312" s="67">
        <v>704.1</v>
      </c>
      <c r="F312" s="67">
        <v>2</v>
      </c>
      <c r="G312" s="102">
        <v>1399.65</v>
      </c>
      <c r="H312" s="56" t="s">
        <v>82</v>
      </c>
      <c r="I312" s="106"/>
      <c r="K312" s="56">
        <v>85</v>
      </c>
      <c r="L312" s="55" t="s">
        <v>176</v>
      </c>
      <c r="M312" s="55" t="s">
        <v>2824</v>
      </c>
      <c r="N312" s="4" t="s">
        <v>177</v>
      </c>
      <c r="O312" s="55" t="s">
        <v>178</v>
      </c>
    </row>
    <row r="313" spans="2:15">
      <c r="B313" s="99">
        <v>44784</v>
      </c>
      <c r="C313" s="59">
        <v>50142327</v>
      </c>
      <c r="D313" s="55" t="s">
        <v>256</v>
      </c>
      <c r="E313" s="67">
        <v>681</v>
      </c>
      <c r="F313" s="67">
        <v>2</v>
      </c>
      <c r="G313" s="102">
        <v>1362</v>
      </c>
      <c r="H313" s="56" t="s">
        <v>82</v>
      </c>
      <c r="I313" s="106"/>
      <c r="K313" s="56">
        <v>86</v>
      </c>
      <c r="L313" s="55" t="s">
        <v>176</v>
      </c>
      <c r="M313" s="55" t="s">
        <v>2824</v>
      </c>
      <c r="N313" s="4" t="s">
        <v>193</v>
      </c>
      <c r="O313" s="55" t="s">
        <v>178</v>
      </c>
    </row>
    <row r="314" spans="2:15">
      <c r="B314" s="99">
        <v>44784</v>
      </c>
      <c r="C314" s="59">
        <v>50142334</v>
      </c>
      <c r="D314" s="55" t="s">
        <v>257</v>
      </c>
      <c r="E314" s="67">
        <v>681</v>
      </c>
      <c r="G314" s="102">
        <v>1362</v>
      </c>
      <c r="H314" s="56" t="s">
        <v>82</v>
      </c>
      <c r="I314" s="106"/>
      <c r="K314" s="56">
        <v>86</v>
      </c>
      <c r="L314" s="55" t="s">
        <v>176</v>
      </c>
      <c r="M314" s="55" t="s">
        <v>2824</v>
      </c>
      <c r="N314" s="4" t="s">
        <v>193</v>
      </c>
      <c r="O314" s="55" t="s">
        <v>178</v>
      </c>
    </row>
    <row r="315" spans="2:15">
      <c r="B315" s="99">
        <v>44784</v>
      </c>
      <c r="C315" s="59">
        <v>40009544</v>
      </c>
      <c r="D315" s="55" t="s">
        <v>179</v>
      </c>
      <c r="E315" s="67">
        <v>2940</v>
      </c>
      <c r="F315" s="67">
        <v>2</v>
      </c>
      <c r="G315" s="102">
        <v>5880</v>
      </c>
      <c r="H315" s="56" t="s">
        <v>80</v>
      </c>
      <c r="I315" s="106"/>
      <c r="K315" s="56">
        <v>86</v>
      </c>
      <c r="L315" s="55" t="s">
        <v>176</v>
      </c>
      <c r="M315" s="55" t="s">
        <v>2824</v>
      </c>
      <c r="N315" s="4" t="s">
        <v>193</v>
      </c>
      <c r="O315" s="55" t="s">
        <v>178</v>
      </c>
    </row>
    <row r="316" spans="2:15">
      <c r="B316" s="99">
        <v>44784</v>
      </c>
      <c r="C316" s="59">
        <v>50337816</v>
      </c>
      <c r="D316" s="55" t="s">
        <v>245</v>
      </c>
      <c r="E316" s="67">
        <v>264</v>
      </c>
      <c r="F316" s="67">
        <v>10</v>
      </c>
      <c r="G316" s="102">
        <v>2640</v>
      </c>
      <c r="H316" s="56" t="s">
        <v>80</v>
      </c>
      <c r="I316" s="106"/>
      <c r="K316" s="56">
        <v>86</v>
      </c>
      <c r="L316" s="55" t="s">
        <v>176</v>
      </c>
      <c r="M316" s="55" t="s">
        <v>2824</v>
      </c>
      <c r="N316" s="4" t="s">
        <v>193</v>
      </c>
      <c r="O316" s="55" t="s">
        <v>178</v>
      </c>
    </row>
    <row r="317" spans="2:15">
      <c r="B317" s="99">
        <v>44784</v>
      </c>
      <c r="C317" s="59">
        <v>50369034</v>
      </c>
      <c r="D317" s="55" t="s">
        <v>322</v>
      </c>
      <c r="E317" s="67">
        <v>686.2</v>
      </c>
      <c r="F317" s="67">
        <v>3</v>
      </c>
      <c r="G317" s="102">
        <v>2050.13</v>
      </c>
      <c r="H317" s="56" t="s">
        <v>82</v>
      </c>
      <c r="I317" s="106"/>
      <c r="K317" s="56">
        <v>86</v>
      </c>
      <c r="L317" s="55" t="s">
        <v>176</v>
      </c>
      <c r="M317" s="55" t="s">
        <v>2824</v>
      </c>
      <c r="N317" s="4" t="s">
        <v>193</v>
      </c>
      <c r="O317" s="55" t="s">
        <v>178</v>
      </c>
    </row>
    <row r="318" spans="2:15">
      <c r="B318" s="99">
        <v>44784</v>
      </c>
      <c r="C318" s="59">
        <v>50501722</v>
      </c>
      <c r="D318" s="55" t="s">
        <v>253</v>
      </c>
      <c r="E318" s="67">
        <v>699.5</v>
      </c>
      <c r="F318" s="67">
        <v>3</v>
      </c>
      <c r="G318" s="102">
        <v>2096.95</v>
      </c>
      <c r="H318" s="56" t="s">
        <v>82</v>
      </c>
      <c r="I318" s="106"/>
      <c r="K318" s="56">
        <v>86</v>
      </c>
      <c r="L318" s="55" t="s">
        <v>176</v>
      </c>
      <c r="M318" s="55" t="s">
        <v>2824</v>
      </c>
      <c r="N318" s="4" t="s">
        <v>193</v>
      </c>
      <c r="O318" s="55" t="s">
        <v>178</v>
      </c>
    </row>
    <row r="319" spans="2:15">
      <c r="B319" s="99">
        <v>44784</v>
      </c>
      <c r="C319" s="59">
        <v>40499</v>
      </c>
      <c r="D319" s="55" t="s">
        <v>316</v>
      </c>
      <c r="E319" s="67">
        <v>4</v>
      </c>
      <c r="F319" s="67">
        <v>4</v>
      </c>
      <c r="G319" s="102">
        <v>4</v>
      </c>
      <c r="H319" s="56" t="s">
        <v>92</v>
      </c>
      <c r="I319" s="106"/>
      <c r="K319" s="56">
        <v>86</v>
      </c>
      <c r="L319" s="55" t="s">
        <v>176</v>
      </c>
      <c r="M319" s="55" t="s">
        <v>2824</v>
      </c>
      <c r="N319" s="4" t="s">
        <v>193</v>
      </c>
      <c r="O319" s="55" t="s">
        <v>178</v>
      </c>
    </row>
    <row r="320" spans="2:15">
      <c r="B320" s="99">
        <v>44784</v>
      </c>
      <c r="C320" s="59">
        <v>50145012</v>
      </c>
      <c r="D320" s="55" t="s">
        <v>504</v>
      </c>
      <c r="E320" s="67">
        <v>12</v>
      </c>
      <c r="G320" s="102">
        <v>12</v>
      </c>
      <c r="H320" s="56" t="s">
        <v>505</v>
      </c>
      <c r="I320" s="106"/>
      <c r="K320" s="56">
        <v>86</v>
      </c>
      <c r="L320" s="55" t="s">
        <v>176</v>
      </c>
      <c r="M320" s="55" t="s">
        <v>2824</v>
      </c>
      <c r="N320" s="4" t="s">
        <v>193</v>
      </c>
      <c r="O320" s="55" t="s">
        <v>178</v>
      </c>
    </row>
    <row r="321" spans="2:15">
      <c r="B321" s="99">
        <v>44784</v>
      </c>
      <c r="C321" s="59">
        <v>50392046</v>
      </c>
      <c r="D321" s="55" t="s">
        <v>509</v>
      </c>
      <c r="E321" s="67">
        <v>6</v>
      </c>
      <c r="G321" s="102">
        <v>6</v>
      </c>
      <c r="H321" s="99" t="s">
        <v>505</v>
      </c>
      <c r="I321" s="106"/>
      <c r="K321" s="56">
        <v>86</v>
      </c>
      <c r="L321" s="55" t="s">
        <v>176</v>
      </c>
      <c r="M321" s="55" t="s">
        <v>2824</v>
      </c>
      <c r="N321" s="4" t="s">
        <v>193</v>
      </c>
      <c r="O321" s="55" t="s">
        <v>178</v>
      </c>
    </row>
    <row r="322" spans="2:15">
      <c r="B322" s="99">
        <v>44785</v>
      </c>
      <c r="C322" s="59">
        <v>50369034</v>
      </c>
      <c r="D322" s="55" t="s">
        <v>322</v>
      </c>
      <c r="E322" s="67">
        <v>678</v>
      </c>
      <c r="F322" s="67">
        <v>4</v>
      </c>
      <c r="G322" s="102">
        <v>2728.65</v>
      </c>
      <c r="H322" s="56" t="s">
        <v>82</v>
      </c>
      <c r="I322" s="106"/>
      <c r="K322" s="56">
        <v>87</v>
      </c>
      <c r="L322" s="55" t="s">
        <v>176</v>
      </c>
      <c r="M322" s="55" t="s">
        <v>2824</v>
      </c>
      <c r="N322" s="4" t="s">
        <v>193</v>
      </c>
      <c r="O322" s="55" t="s">
        <v>178</v>
      </c>
    </row>
    <row r="323" spans="2:15">
      <c r="B323" s="99">
        <v>44785</v>
      </c>
      <c r="C323" s="59">
        <v>40004808</v>
      </c>
      <c r="D323" s="55" t="s">
        <v>187</v>
      </c>
      <c r="E323" s="67">
        <v>294</v>
      </c>
      <c r="F323" s="67">
        <v>4</v>
      </c>
      <c r="G323" s="102">
        <v>1176</v>
      </c>
      <c r="H323" s="56" t="s">
        <v>80</v>
      </c>
      <c r="I323" s="106"/>
      <c r="K323" s="56">
        <v>87</v>
      </c>
      <c r="L323" s="55" t="s">
        <v>176</v>
      </c>
      <c r="M323" s="55" t="s">
        <v>2824</v>
      </c>
      <c r="N323" s="4" t="s">
        <v>193</v>
      </c>
      <c r="O323" s="55" t="s">
        <v>178</v>
      </c>
    </row>
    <row r="324" spans="2:15">
      <c r="B324" s="99">
        <v>44785</v>
      </c>
      <c r="C324" s="59">
        <v>40499</v>
      </c>
      <c r="D324" s="55" t="s">
        <v>316</v>
      </c>
      <c r="E324" s="67">
        <v>3</v>
      </c>
      <c r="F324" s="67">
        <v>3</v>
      </c>
      <c r="G324" s="102">
        <v>3</v>
      </c>
      <c r="H324" s="56" t="s">
        <v>92</v>
      </c>
      <c r="I324" s="106"/>
      <c r="K324" s="56">
        <v>87</v>
      </c>
      <c r="L324" s="55" t="s">
        <v>176</v>
      </c>
      <c r="M324" s="55" t="s">
        <v>2824</v>
      </c>
      <c r="N324" s="4" t="s">
        <v>193</v>
      </c>
      <c r="O324" s="55" t="s">
        <v>178</v>
      </c>
    </row>
    <row r="325" spans="2:15">
      <c r="B325" s="99">
        <v>44785</v>
      </c>
      <c r="C325" s="59">
        <v>50145028</v>
      </c>
      <c r="D325" s="55" t="s">
        <v>23</v>
      </c>
      <c r="E325" s="67">
        <v>192</v>
      </c>
      <c r="F325" s="67">
        <v>2</v>
      </c>
      <c r="G325" s="102">
        <v>384</v>
      </c>
      <c r="H325" s="56" t="s">
        <v>92</v>
      </c>
      <c r="I325" s="106"/>
      <c r="K325" s="56">
        <v>87</v>
      </c>
      <c r="L325" s="55" t="s">
        <v>176</v>
      </c>
      <c r="M325" s="55" t="s">
        <v>2824</v>
      </c>
      <c r="N325" s="4" t="s">
        <v>193</v>
      </c>
      <c r="O325" s="55" t="s">
        <v>178</v>
      </c>
    </row>
    <row r="326" spans="2:15">
      <c r="B326" s="99">
        <v>44785</v>
      </c>
      <c r="C326" s="59">
        <v>50446609</v>
      </c>
      <c r="D326" s="55" t="s">
        <v>501</v>
      </c>
      <c r="E326" s="67">
        <v>1680</v>
      </c>
      <c r="F326" s="67">
        <v>2</v>
      </c>
      <c r="G326" s="102">
        <v>3360</v>
      </c>
      <c r="H326" s="56" t="s">
        <v>92</v>
      </c>
      <c r="I326" s="106"/>
      <c r="K326" s="56">
        <v>87</v>
      </c>
      <c r="L326" s="55" t="s">
        <v>176</v>
      </c>
      <c r="M326" s="55" t="s">
        <v>2824</v>
      </c>
      <c r="N326" s="4" t="s">
        <v>193</v>
      </c>
      <c r="O326" s="55" t="s">
        <v>178</v>
      </c>
    </row>
    <row r="327" spans="2:15">
      <c r="B327" s="99">
        <v>44785</v>
      </c>
      <c r="C327" s="59">
        <v>50483023</v>
      </c>
      <c r="D327" s="55" t="s">
        <v>372</v>
      </c>
      <c r="E327" s="67">
        <v>42</v>
      </c>
      <c r="G327" s="102">
        <v>42</v>
      </c>
      <c r="H327" s="56" t="s">
        <v>92</v>
      </c>
      <c r="I327" s="106"/>
      <c r="K327" s="56">
        <v>87</v>
      </c>
      <c r="L327" s="55" t="s">
        <v>176</v>
      </c>
      <c r="M327" s="55" t="s">
        <v>2824</v>
      </c>
      <c r="N327" s="4" t="s">
        <v>193</v>
      </c>
      <c r="O327" s="55" t="s">
        <v>178</v>
      </c>
    </row>
    <row r="328" spans="2:15">
      <c r="B328" s="99">
        <v>44785</v>
      </c>
      <c r="C328" s="59">
        <v>50145205</v>
      </c>
      <c r="D328" s="55" t="s">
        <v>241</v>
      </c>
      <c r="E328" s="67">
        <v>22050</v>
      </c>
      <c r="F328" s="67">
        <v>8</v>
      </c>
      <c r="G328" s="102">
        <v>176400</v>
      </c>
      <c r="H328" s="56" t="s">
        <v>92</v>
      </c>
      <c r="I328" s="106"/>
      <c r="K328" s="56">
        <v>87</v>
      </c>
      <c r="L328" s="55" t="s">
        <v>176</v>
      </c>
      <c r="M328" s="55" t="s">
        <v>2824</v>
      </c>
      <c r="N328" s="4" t="s">
        <v>193</v>
      </c>
      <c r="O328" s="55" t="s">
        <v>178</v>
      </c>
    </row>
    <row r="329" spans="2:15">
      <c r="B329" s="99">
        <v>44785</v>
      </c>
      <c r="C329" s="59">
        <v>50340256</v>
      </c>
      <c r="D329" s="55" t="s">
        <v>271</v>
      </c>
      <c r="E329" s="67">
        <v>3900</v>
      </c>
      <c r="G329" s="102">
        <v>3900</v>
      </c>
      <c r="H329" s="56" t="s">
        <v>92</v>
      </c>
      <c r="I329" s="106"/>
      <c r="K329" s="56">
        <v>87</v>
      </c>
      <c r="L329" s="55" t="s">
        <v>176</v>
      </c>
      <c r="M329" s="55" t="s">
        <v>2824</v>
      </c>
      <c r="N329" s="4" t="s">
        <v>193</v>
      </c>
      <c r="O329" s="55" t="s">
        <v>178</v>
      </c>
    </row>
    <row r="330" spans="2:15">
      <c r="B330" s="99">
        <v>44789</v>
      </c>
      <c r="C330" s="59">
        <v>50272278</v>
      </c>
      <c r="D330" s="55" t="s">
        <v>21</v>
      </c>
      <c r="E330" s="67">
        <v>500</v>
      </c>
      <c r="F330" s="67">
        <v>24</v>
      </c>
      <c r="G330" s="102">
        <v>12000</v>
      </c>
      <c r="H330" s="56" t="s">
        <v>92</v>
      </c>
      <c r="I330" s="106"/>
      <c r="K330" s="56">
        <v>88</v>
      </c>
      <c r="L330" s="55" t="s">
        <v>176</v>
      </c>
      <c r="M330" s="55" t="s">
        <v>2824</v>
      </c>
      <c r="N330" s="4" t="s">
        <v>177</v>
      </c>
      <c r="O330" s="55" t="s">
        <v>178</v>
      </c>
    </row>
    <row r="331" spans="2:15">
      <c r="B331" s="99">
        <v>44789</v>
      </c>
      <c r="C331" s="59">
        <v>50141786</v>
      </c>
      <c r="D331" s="55" t="s">
        <v>188</v>
      </c>
      <c r="E331" s="67">
        <v>560</v>
      </c>
      <c r="F331" s="67">
        <v>4</v>
      </c>
      <c r="G331" s="102">
        <v>2240</v>
      </c>
      <c r="H331" s="56" t="s">
        <v>82</v>
      </c>
      <c r="I331" s="106"/>
      <c r="K331" s="56">
        <v>89</v>
      </c>
      <c r="L331" s="55" t="s">
        <v>176</v>
      </c>
      <c r="M331" s="55" t="s">
        <v>2824</v>
      </c>
      <c r="N331" s="4" t="s">
        <v>177</v>
      </c>
      <c r="O331" s="55" t="s">
        <v>178</v>
      </c>
    </row>
    <row r="332" spans="2:15">
      <c r="B332" s="99">
        <v>44789</v>
      </c>
      <c r="C332" s="59">
        <v>50272278</v>
      </c>
      <c r="D332" s="55" t="s">
        <v>21</v>
      </c>
      <c r="E332" s="67">
        <v>500</v>
      </c>
      <c r="F332" s="67">
        <v>20</v>
      </c>
      <c r="G332" s="102">
        <v>10000</v>
      </c>
      <c r="H332" s="56" t="s">
        <v>92</v>
      </c>
      <c r="I332" s="106"/>
      <c r="K332" s="56">
        <v>89</v>
      </c>
      <c r="L332" s="55" t="s">
        <v>176</v>
      </c>
      <c r="M332" s="55" t="s">
        <v>2824</v>
      </c>
      <c r="N332" s="4" t="s">
        <v>177</v>
      </c>
      <c r="O332" s="55" t="s">
        <v>178</v>
      </c>
    </row>
    <row r="333" spans="2:15">
      <c r="B333" s="99">
        <v>44790</v>
      </c>
      <c r="C333" s="59">
        <v>50142327</v>
      </c>
      <c r="D333" s="55" t="s">
        <v>256</v>
      </c>
      <c r="E333" s="67">
        <v>681</v>
      </c>
      <c r="F333" s="67">
        <v>2</v>
      </c>
      <c r="G333" s="102">
        <v>1362</v>
      </c>
      <c r="H333" s="56" t="s">
        <v>82</v>
      </c>
      <c r="I333" s="106"/>
      <c r="K333" s="56">
        <v>90</v>
      </c>
      <c r="L333" s="55" t="s">
        <v>176</v>
      </c>
      <c r="M333" s="55" t="s">
        <v>2824</v>
      </c>
      <c r="N333" s="4" t="s">
        <v>193</v>
      </c>
      <c r="O333" s="55" t="s">
        <v>178</v>
      </c>
    </row>
    <row r="334" spans="2:15">
      <c r="B334" s="99">
        <v>44790</v>
      </c>
      <c r="C334" s="59">
        <v>50142334</v>
      </c>
      <c r="D334" s="55" t="s">
        <v>257</v>
      </c>
      <c r="E334" s="67">
        <v>681</v>
      </c>
      <c r="F334" s="67">
        <v>4</v>
      </c>
      <c r="G334" s="102">
        <v>2724</v>
      </c>
      <c r="H334" s="56" t="s">
        <v>82</v>
      </c>
      <c r="I334" s="106"/>
      <c r="K334" s="56">
        <v>90</v>
      </c>
      <c r="L334" s="55" t="s">
        <v>176</v>
      </c>
      <c r="M334" s="55" t="s">
        <v>2824</v>
      </c>
      <c r="N334" s="4" t="s">
        <v>193</v>
      </c>
      <c r="O334" s="55" t="s">
        <v>178</v>
      </c>
    </row>
    <row r="335" spans="2:15">
      <c r="B335" s="99">
        <v>44790</v>
      </c>
      <c r="C335" s="59">
        <v>40008022</v>
      </c>
      <c r="D335" s="55" t="s">
        <v>190</v>
      </c>
      <c r="E335" s="67">
        <v>441</v>
      </c>
      <c r="F335" s="67">
        <v>5</v>
      </c>
      <c r="G335" s="102">
        <v>2205</v>
      </c>
      <c r="H335" s="56" t="s">
        <v>80</v>
      </c>
      <c r="I335" s="106"/>
      <c r="K335" s="56">
        <v>90</v>
      </c>
      <c r="L335" s="55" t="s">
        <v>176</v>
      </c>
      <c r="M335" s="55" t="s">
        <v>2824</v>
      </c>
      <c r="N335" s="4" t="s">
        <v>193</v>
      </c>
      <c r="O335" s="55" t="s">
        <v>178</v>
      </c>
    </row>
    <row r="336" spans="2:15">
      <c r="B336" s="99">
        <v>44790</v>
      </c>
      <c r="C336" s="59">
        <v>40004808</v>
      </c>
      <c r="D336" s="55" t="s">
        <v>187</v>
      </c>
      <c r="E336" s="67">
        <v>294</v>
      </c>
      <c r="F336" s="67">
        <v>3</v>
      </c>
      <c r="G336" s="102">
        <v>882</v>
      </c>
      <c r="H336" s="56" t="s">
        <v>80</v>
      </c>
      <c r="I336" s="106"/>
      <c r="K336" s="56">
        <v>90</v>
      </c>
      <c r="L336" s="55" t="s">
        <v>176</v>
      </c>
      <c r="M336" s="55" t="s">
        <v>2824</v>
      </c>
      <c r="N336" s="4" t="s">
        <v>193</v>
      </c>
      <c r="O336" s="55" t="s">
        <v>178</v>
      </c>
    </row>
    <row r="337" spans="2:15">
      <c r="B337" s="99">
        <v>44790</v>
      </c>
      <c r="C337" s="59">
        <v>40499</v>
      </c>
      <c r="D337" s="55" t="s">
        <v>316</v>
      </c>
      <c r="E337" s="67">
        <v>8</v>
      </c>
      <c r="F337" s="67">
        <v>8</v>
      </c>
      <c r="G337" s="102">
        <v>8</v>
      </c>
      <c r="H337" s="56" t="s">
        <v>92</v>
      </c>
      <c r="I337" s="106"/>
      <c r="K337" s="56">
        <v>90</v>
      </c>
      <c r="L337" s="55" t="s">
        <v>176</v>
      </c>
      <c r="M337" s="55" t="s">
        <v>2824</v>
      </c>
      <c r="N337" s="4" t="s">
        <v>193</v>
      </c>
      <c r="O337" s="55" t="s">
        <v>178</v>
      </c>
    </row>
    <row r="338" spans="2:15">
      <c r="B338" s="99">
        <v>44790</v>
      </c>
      <c r="C338" s="59">
        <v>50145205</v>
      </c>
      <c r="D338" s="55" t="s">
        <v>241</v>
      </c>
      <c r="E338" s="67">
        <v>22050</v>
      </c>
      <c r="F338" s="67">
        <v>6</v>
      </c>
      <c r="G338" s="102">
        <v>132300</v>
      </c>
      <c r="H338" s="56" t="s">
        <v>92</v>
      </c>
      <c r="I338" s="106"/>
      <c r="K338" s="56">
        <v>90</v>
      </c>
      <c r="L338" s="55" t="s">
        <v>176</v>
      </c>
      <c r="M338" s="55" t="s">
        <v>2824</v>
      </c>
      <c r="N338" s="4" t="s">
        <v>193</v>
      </c>
      <c r="O338" s="55" t="s">
        <v>178</v>
      </c>
    </row>
    <row r="339" spans="2:15">
      <c r="B339" s="99">
        <v>44790</v>
      </c>
      <c r="C339" s="59">
        <v>50145205</v>
      </c>
      <c r="D339" s="55" t="s">
        <v>241</v>
      </c>
      <c r="E339" s="67">
        <v>22050</v>
      </c>
      <c r="F339" s="67">
        <v>26</v>
      </c>
      <c r="G339" s="102">
        <v>573300</v>
      </c>
      <c r="H339" s="56" t="s">
        <v>92</v>
      </c>
      <c r="I339" s="106"/>
      <c r="K339" s="56">
        <v>91</v>
      </c>
      <c r="L339" s="55" t="s">
        <v>176</v>
      </c>
      <c r="M339" s="55" t="s">
        <v>2824</v>
      </c>
      <c r="N339" s="4" t="s">
        <v>193</v>
      </c>
      <c r="O339" s="55" t="s">
        <v>178</v>
      </c>
    </row>
    <row r="340" spans="2:15">
      <c r="B340" s="99">
        <v>44791</v>
      </c>
      <c r="C340" s="59">
        <v>40499</v>
      </c>
      <c r="D340" s="55" t="s">
        <v>316</v>
      </c>
      <c r="E340" s="67">
        <v>4</v>
      </c>
      <c r="F340" s="67">
        <v>4</v>
      </c>
      <c r="G340" s="102">
        <v>4</v>
      </c>
      <c r="H340" s="56" t="s">
        <v>92</v>
      </c>
      <c r="I340" s="106"/>
      <c r="K340" s="56">
        <v>92</v>
      </c>
      <c r="L340" s="55" t="s">
        <v>176</v>
      </c>
      <c r="M340" s="55" t="s">
        <v>2824</v>
      </c>
      <c r="N340" s="4" t="s">
        <v>177</v>
      </c>
      <c r="O340" s="55" t="s">
        <v>178</v>
      </c>
    </row>
    <row r="341" spans="2:15">
      <c r="B341" s="99">
        <v>44791</v>
      </c>
      <c r="C341" s="59">
        <v>50145205</v>
      </c>
      <c r="D341" s="55" t="s">
        <v>241</v>
      </c>
      <c r="E341" s="67">
        <v>22050</v>
      </c>
      <c r="F341" s="67">
        <v>3</v>
      </c>
      <c r="G341" s="102">
        <v>66150</v>
      </c>
      <c r="H341" s="56" t="s">
        <v>92</v>
      </c>
      <c r="I341" s="106"/>
      <c r="K341" s="56">
        <v>92</v>
      </c>
      <c r="L341" s="55" t="s">
        <v>176</v>
      </c>
      <c r="M341" s="55" t="s">
        <v>2824</v>
      </c>
      <c r="N341" s="4" t="s">
        <v>177</v>
      </c>
      <c r="O341" s="55" t="s">
        <v>178</v>
      </c>
    </row>
    <row r="342" spans="2:15">
      <c r="B342" s="99">
        <v>44791</v>
      </c>
      <c r="C342" s="59">
        <v>50369034</v>
      </c>
      <c r="D342" s="55" t="s">
        <v>322</v>
      </c>
      <c r="E342" s="67">
        <v>680</v>
      </c>
      <c r="F342" s="67">
        <v>3</v>
      </c>
      <c r="G342" s="102">
        <v>2036.62</v>
      </c>
      <c r="H342" s="56" t="s">
        <v>82</v>
      </c>
      <c r="I342" s="106"/>
      <c r="K342" s="56">
        <v>92</v>
      </c>
      <c r="L342" s="55" t="s">
        <v>176</v>
      </c>
      <c r="M342" s="55" t="s">
        <v>2824</v>
      </c>
      <c r="N342" s="4" t="s">
        <v>177</v>
      </c>
      <c r="O342" s="55" t="s">
        <v>178</v>
      </c>
    </row>
    <row r="343" spans="2:15">
      <c r="B343" s="99">
        <v>44791</v>
      </c>
      <c r="C343" s="59">
        <v>50143646</v>
      </c>
      <c r="D343" s="55" t="s">
        <v>191</v>
      </c>
      <c r="E343" s="67">
        <v>480</v>
      </c>
      <c r="F343" s="67">
        <v>4</v>
      </c>
      <c r="G343" s="102">
        <v>1920</v>
      </c>
      <c r="H343" s="56" t="s">
        <v>82</v>
      </c>
      <c r="I343" s="106"/>
      <c r="K343" s="56">
        <v>92</v>
      </c>
      <c r="L343" s="55" t="s">
        <v>176</v>
      </c>
      <c r="M343" s="55" t="s">
        <v>2824</v>
      </c>
      <c r="N343" s="4" t="s">
        <v>177</v>
      </c>
      <c r="O343" s="55" t="s">
        <v>178</v>
      </c>
    </row>
    <row r="344" spans="2:15">
      <c r="B344" s="99">
        <v>44791</v>
      </c>
      <c r="C344" s="59">
        <v>40004808</v>
      </c>
      <c r="D344" s="55" t="s">
        <v>187</v>
      </c>
      <c r="E344" s="67">
        <v>294</v>
      </c>
      <c r="F344" s="67">
        <v>1</v>
      </c>
      <c r="G344" s="102">
        <v>294</v>
      </c>
      <c r="H344" s="56" t="s">
        <v>80</v>
      </c>
      <c r="I344" s="106"/>
      <c r="K344" s="56">
        <v>92</v>
      </c>
      <c r="L344" s="55" t="s">
        <v>176</v>
      </c>
      <c r="M344" s="55" t="s">
        <v>2824</v>
      </c>
      <c r="N344" s="4" t="s">
        <v>177</v>
      </c>
      <c r="O344" s="55" t="s">
        <v>178</v>
      </c>
    </row>
    <row r="345" spans="2:15">
      <c r="B345" s="99">
        <v>44791</v>
      </c>
      <c r="C345" s="59">
        <v>40009546</v>
      </c>
      <c r="D345" s="55" t="s">
        <v>174</v>
      </c>
      <c r="E345" s="67">
        <v>756</v>
      </c>
      <c r="F345" s="67">
        <v>5</v>
      </c>
      <c r="G345" s="102">
        <v>3780</v>
      </c>
      <c r="H345" s="56" t="s">
        <v>80</v>
      </c>
      <c r="I345" s="106"/>
      <c r="K345" s="56">
        <v>92</v>
      </c>
      <c r="L345" s="55" t="s">
        <v>176</v>
      </c>
      <c r="M345" s="55" t="s">
        <v>2824</v>
      </c>
      <c r="N345" s="4" t="s">
        <v>177</v>
      </c>
      <c r="O345" s="55" t="s">
        <v>178</v>
      </c>
    </row>
    <row r="346" spans="2:15">
      <c r="B346" s="99">
        <v>44791</v>
      </c>
      <c r="C346" s="59">
        <v>50143893</v>
      </c>
      <c r="D346" s="55" t="s">
        <v>24</v>
      </c>
      <c r="E346" s="67">
        <v>1044</v>
      </c>
      <c r="F346" s="67">
        <v>2</v>
      </c>
      <c r="G346" s="102">
        <v>2088</v>
      </c>
      <c r="H346" s="56" t="s">
        <v>92</v>
      </c>
      <c r="I346" s="106"/>
      <c r="K346" s="56">
        <v>92</v>
      </c>
      <c r="L346" s="55" t="s">
        <v>176</v>
      </c>
      <c r="M346" s="55" t="s">
        <v>2824</v>
      </c>
      <c r="N346" s="4" t="s">
        <v>177</v>
      </c>
      <c r="O346" s="55" t="s">
        <v>178</v>
      </c>
    </row>
    <row r="347" spans="2:15">
      <c r="B347" s="99">
        <v>44791</v>
      </c>
      <c r="C347" s="59">
        <v>50141786</v>
      </c>
      <c r="D347" s="55" t="s">
        <v>188</v>
      </c>
      <c r="E347" s="67">
        <v>560</v>
      </c>
      <c r="F347" s="67">
        <v>1</v>
      </c>
      <c r="G347" s="102">
        <v>560</v>
      </c>
      <c r="H347" s="56" t="s">
        <v>82</v>
      </c>
      <c r="I347" s="106"/>
      <c r="K347" s="56">
        <v>92</v>
      </c>
      <c r="L347" s="55" t="s">
        <v>176</v>
      </c>
      <c r="M347" s="55" t="s">
        <v>2824</v>
      </c>
      <c r="N347" s="4" t="s">
        <v>177</v>
      </c>
      <c r="O347" s="55" t="s">
        <v>178</v>
      </c>
    </row>
    <row r="348" spans="2:15">
      <c r="B348" s="99">
        <v>44791</v>
      </c>
      <c r="C348" s="59">
        <v>50142055</v>
      </c>
      <c r="D348" s="55" t="s">
        <v>206</v>
      </c>
      <c r="E348" s="67">
        <v>600</v>
      </c>
      <c r="F348" s="67">
        <v>1</v>
      </c>
      <c r="G348" s="102">
        <v>600</v>
      </c>
      <c r="H348" s="56" t="s">
        <v>82</v>
      </c>
      <c r="I348" s="106"/>
      <c r="K348" s="56">
        <v>92</v>
      </c>
      <c r="L348" s="55" t="s">
        <v>176</v>
      </c>
      <c r="M348" s="55" t="s">
        <v>2824</v>
      </c>
      <c r="N348" s="4" t="s">
        <v>177</v>
      </c>
      <c r="O348" s="55" t="s">
        <v>178</v>
      </c>
    </row>
    <row r="349" spans="2:15">
      <c r="B349" s="99">
        <v>44791</v>
      </c>
      <c r="C349" s="59">
        <v>50145205</v>
      </c>
      <c r="D349" s="55" t="s">
        <v>241</v>
      </c>
      <c r="E349" s="67">
        <v>22050</v>
      </c>
      <c r="F349" s="67">
        <v>24</v>
      </c>
      <c r="G349" s="102">
        <v>529200</v>
      </c>
      <c r="H349" s="56" t="s">
        <v>92</v>
      </c>
      <c r="I349" s="106"/>
      <c r="K349" s="56">
        <v>93</v>
      </c>
      <c r="L349" s="55" t="s">
        <v>176</v>
      </c>
      <c r="M349" s="55" t="s">
        <v>2824</v>
      </c>
      <c r="N349" s="4" t="s">
        <v>177</v>
      </c>
      <c r="O349" s="55" t="s">
        <v>178</v>
      </c>
    </row>
    <row r="350" spans="2:15">
      <c r="B350" s="99">
        <v>44793</v>
      </c>
      <c r="C350" s="59">
        <v>50507916</v>
      </c>
      <c r="D350" s="55" t="s">
        <v>406</v>
      </c>
      <c r="E350" s="67">
        <v>264000</v>
      </c>
      <c r="F350" s="67">
        <v>5</v>
      </c>
      <c r="G350" s="102">
        <f>1320000+792000</f>
        <v>2112000</v>
      </c>
      <c r="H350" s="56" t="s">
        <v>92</v>
      </c>
      <c r="I350" s="106"/>
      <c r="K350" s="56">
        <v>94</v>
      </c>
      <c r="L350" s="55" t="s">
        <v>176</v>
      </c>
      <c r="M350" s="55" t="s">
        <v>2824</v>
      </c>
      <c r="N350" s="4" t="s">
        <v>177</v>
      </c>
      <c r="O350" s="55" t="s">
        <v>178</v>
      </c>
    </row>
    <row r="351" spans="2:15">
      <c r="B351" s="99">
        <v>44795</v>
      </c>
      <c r="C351" s="59">
        <v>40003932</v>
      </c>
      <c r="D351" s="55" t="s">
        <v>361</v>
      </c>
      <c r="E351" s="67">
        <v>441</v>
      </c>
      <c r="F351" s="67">
        <v>5</v>
      </c>
      <c r="G351" s="102">
        <v>2205</v>
      </c>
      <c r="H351" s="56" t="s">
        <v>80</v>
      </c>
      <c r="I351" s="106"/>
      <c r="K351" s="56">
        <v>95</v>
      </c>
      <c r="L351" s="55" t="s">
        <v>2835</v>
      </c>
      <c r="M351" s="55" t="s">
        <v>2824</v>
      </c>
      <c r="N351" s="4" t="s">
        <v>236</v>
      </c>
      <c r="O351" s="55" t="s">
        <v>178</v>
      </c>
    </row>
    <row r="352" spans="2:15">
      <c r="B352" s="99">
        <v>44795</v>
      </c>
      <c r="C352" s="59">
        <v>50486295</v>
      </c>
      <c r="D352" s="55" t="s">
        <v>232</v>
      </c>
      <c r="E352" s="67">
        <v>330</v>
      </c>
      <c r="F352" s="67">
        <v>3</v>
      </c>
      <c r="G352" s="102">
        <v>1016.45</v>
      </c>
      <c r="H352" s="56" t="s">
        <v>82</v>
      </c>
      <c r="I352" s="106"/>
      <c r="K352" s="56">
        <v>95</v>
      </c>
      <c r="L352" s="55" t="s">
        <v>2835</v>
      </c>
      <c r="M352" s="55" t="s">
        <v>2824</v>
      </c>
      <c r="N352" s="4" t="s">
        <v>236</v>
      </c>
      <c r="O352" s="55" t="s">
        <v>178</v>
      </c>
    </row>
    <row r="353" spans="2:15">
      <c r="B353" s="99">
        <v>44795</v>
      </c>
      <c r="C353" s="59">
        <v>50272278</v>
      </c>
      <c r="D353" s="55" t="s">
        <v>21</v>
      </c>
      <c r="E353" s="67">
        <v>500</v>
      </c>
      <c r="F353" s="67">
        <v>10</v>
      </c>
      <c r="G353" s="102">
        <v>5000</v>
      </c>
      <c r="H353" s="56" t="s">
        <v>92</v>
      </c>
      <c r="I353" s="106"/>
      <c r="K353" s="56">
        <v>95</v>
      </c>
      <c r="L353" s="55" t="s">
        <v>2835</v>
      </c>
      <c r="M353" s="55" t="s">
        <v>2824</v>
      </c>
      <c r="N353" s="4" t="s">
        <v>236</v>
      </c>
      <c r="O353" s="55" t="s">
        <v>178</v>
      </c>
    </row>
    <row r="354" spans="2:15">
      <c r="B354" s="99">
        <v>44795</v>
      </c>
      <c r="C354" s="59">
        <v>50144376</v>
      </c>
      <c r="D354" s="55" t="s">
        <v>19</v>
      </c>
      <c r="E354" s="67">
        <v>500</v>
      </c>
      <c r="F354" s="67">
        <v>6</v>
      </c>
      <c r="G354" s="102">
        <v>3000</v>
      </c>
      <c r="H354" s="105" t="s">
        <v>92</v>
      </c>
      <c r="I354" s="106"/>
      <c r="K354" s="56">
        <v>95</v>
      </c>
      <c r="L354" s="55" t="s">
        <v>2835</v>
      </c>
      <c r="M354" s="55" t="s">
        <v>2824</v>
      </c>
      <c r="N354" s="4" t="s">
        <v>236</v>
      </c>
      <c r="O354" s="55" t="s">
        <v>178</v>
      </c>
    </row>
    <row r="355" spans="2:15">
      <c r="B355" s="99">
        <v>44796</v>
      </c>
      <c r="C355" s="59">
        <v>50010080</v>
      </c>
      <c r="D355" s="55" t="s">
        <v>354</v>
      </c>
      <c r="E355" s="67">
        <v>1000</v>
      </c>
      <c r="F355" s="67">
        <v>5</v>
      </c>
      <c r="G355" s="102">
        <v>5000</v>
      </c>
      <c r="H355" s="56" t="s">
        <v>82</v>
      </c>
      <c r="I355" s="106"/>
      <c r="K355" s="56">
        <v>96</v>
      </c>
      <c r="L355" s="55" t="s">
        <v>176</v>
      </c>
      <c r="M355" s="55" t="s">
        <v>2824</v>
      </c>
      <c r="N355" s="4" t="s">
        <v>177</v>
      </c>
      <c r="O355" s="55" t="s">
        <v>178</v>
      </c>
    </row>
    <row r="356" spans="2:15">
      <c r="B356" s="99">
        <v>44796</v>
      </c>
      <c r="C356" s="59">
        <v>50144376</v>
      </c>
      <c r="D356" s="55" t="s">
        <v>19</v>
      </c>
      <c r="E356" s="67">
        <v>500</v>
      </c>
      <c r="F356" s="67">
        <v>8</v>
      </c>
      <c r="G356" s="102">
        <v>4000</v>
      </c>
      <c r="H356" s="105" t="s">
        <v>92</v>
      </c>
      <c r="I356" s="106"/>
      <c r="K356" s="56">
        <v>96</v>
      </c>
      <c r="L356" s="55" t="s">
        <v>176</v>
      </c>
      <c r="M356" s="55" t="s">
        <v>2824</v>
      </c>
      <c r="N356" s="4" t="s">
        <v>177</v>
      </c>
      <c r="O356" s="55" t="s">
        <v>178</v>
      </c>
    </row>
    <row r="357" spans="2:15">
      <c r="B357" s="99">
        <v>44796</v>
      </c>
      <c r="C357" s="59">
        <v>50272278</v>
      </c>
      <c r="D357" s="55" t="s">
        <v>21</v>
      </c>
      <c r="E357" s="67">
        <v>500</v>
      </c>
      <c r="F357" s="67">
        <v>9</v>
      </c>
      <c r="G357" s="102">
        <v>4500</v>
      </c>
      <c r="H357" s="56" t="s">
        <v>92</v>
      </c>
      <c r="I357" s="106"/>
      <c r="K357" s="56">
        <v>96</v>
      </c>
      <c r="L357" s="55" t="s">
        <v>176</v>
      </c>
      <c r="M357" s="55" t="s">
        <v>2824</v>
      </c>
      <c r="N357" s="4" t="s">
        <v>177</v>
      </c>
      <c r="O357" s="55" t="s">
        <v>178</v>
      </c>
    </row>
    <row r="358" spans="2:15">
      <c r="B358" s="99">
        <v>44796</v>
      </c>
      <c r="C358" s="59">
        <v>50272278</v>
      </c>
      <c r="D358" s="55" t="s">
        <v>21</v>
      </c>
      <c r="E358" s="67">
        <v>500</v>
      </c>
      <c r="F358" s="67">
        <v>20</v>
      </c>
      <c r="G358" s="102">
        <v>10000</v>
      </c>
      <c r="H358" s="56" t="s">
        <v>92</v>
      </c>
      <c r="I358" s="106"/>
      <c r="K358" s="56">
        <v>97</v>
      </c>
      <c r="L358" s="55" t="s">
        <v>176</v>
      </c>
      <c r="M358" s="55" t="s">
        <v>2824</v>
      </c>
      <c r="N358" s="4" t="s">
        <v>177</v>
      </c>
      <c r="O358" s="55" t="s">
        <v>178</v>
      </c>
    </row>
    <row r="359" spans="2:15">
      <c r="B359" s="99">
        <v>44796</v>
      </c>
      <c r="C359" s="59">
        <v>50145205</v>
      </c>
      <c r="D359" s="55" t="s">
        <v>241</v>
      </c>
      <c r="E359" s="67">
        <v>22050</v>
      </c>
      <c r="F359" s="67">
        <v>20</v>
      </c>
      <c r="G359" s="102">
        <v>399840</v>
      </c>
      <c r="H359" s="56" t="s">
        <v>92</v>
      </c>
      <c r="I359" s="106"/>
      <c r="K359" s="56">
        <v>98</v>
      </c>
      <c r="L359" s="55" t="s">
        <v>176</v>
      </c>
      <c r="M359" s="55" t="s">
        <v>2824</v>
      </c>
      <c r="N359" s="4" t="s">
        <v>177</v>
      </c>
      <c r="O359" s="55" t="s">
        <v>178</v>
      </c>
    </row>
    <row r="360" spans="2:15">
      <c r="B360" s="99">
        <v>44797</v>
      </c>
      <c r="C360" s="59">
        <v>40009151</v>
      </c>
      <c r="D360" s="55" t="s">
        <v>180</v>
      </c>
      <c r="E360" s="67">
        <v>441</v>
      </c>
      <c r="F360" s="67">
        <v>1</v>
      </c>
      <c r="G360" s="102">
        <v>441</v>
      </c>
      <c r="H360" s="56" t="s">
        <v>80</v>
      </c>
      <c r="I360" s="106"/>
      <c r="K360" s="56">
        <v>99</v>
      </c>
      <c r="L360" s="55" t="s">
        <v>176</v>
      </c>
      <c r="M360" s="55" t="s">
        <v>2824</v>
      </c>
      <c r="N360" s="4" t="s">
        <v>193</v>
      </c>
      <c r="O360" s="55" t="s">
        <v>178</v>
      </c>
    </row>
    <row r="361" spans="2:15">
      <c r="B361" s="99">
        <v>44797</v>
      </c>
      <c r="C361" s="59">
        <v>50142281</v>
      </c>
      <c r="D361" s="55" t="s">
        <v>204</v>
      </c>
      <c r="E361" s="67">
        <v>420</v>
      </c>
      <c r="F361" s="67">
        <v>2</v>
      </c>
      <c r="G361" s="102">
        <v>840</v>
      </c>
      <c r="H361" s="56" t="s">
        <v>82</v>
      </c>
      <c r="I361" s="106"/>
      <c r="K361" s="56">
        <v>99</v>
      </c>
      <c r="L361" s="55" t="s">
        <v>176</v>
      </c>
      <c r="M361" s="55" t="s">
        <v>2824</v>
      </c>
      <c r="N361" s="4" t="s">
        <v>193</v>
      </c>
      <c r="O361" s="55" t="s">
        <v>178</v>
      </c>
    </row>
    <row r="362" spans="2:15">
      <c r="B362" s="99">
        <v>44797</v>
      </c>
      <c r="C362" s="59">
        <v>50141786</v>
      </c>
      <c r="D362" s="55" t="s">
        <v>188</v>
      </c>
      <c r="E362" s="67">
        <v>560</v>
      </c>
      <c r="F362" s="67">
        <v>8</v>
      </c>
      <c r="G362" s="102">
        <v>4480</v>
      </c>
      <c r="H362" s="56" t="s">
        <v>82</v>
      </c>
      <c r="I362" s="106"/>
      <c r="K362" s="56">
        <v>99</v>
      </c>
      <c r="L362" s="55" t="s">
        <v>176</v>
      </c>
      <c r="M362" s="55" t="s">
        <v>2824</v>
      </c>
      <c r="N362" s="4" t="s">
        <v>193</v>
      </c>
      <c r="O362" s="55" t="s">
        <v>178</v>
      </c>
    </row>
    <row r="363" spans="2:15">
      <c r="B363" s="99">
        <v>44797</v>
      </c>
      <c r="C363" s="108">
        <v>50522168</v>
      </c>
      <c r="D363" s="55" t="s">
        <v>252</v>
      </c>
      <c r="E363" s="67">
        <v>222</v>
      </c>
      <c r="F363" s="67">
        <v>1</v>
      </c>
      <c r="G363" s="102">
        <v>222</v>
      </c>
      <c r="H363" s="56" t="s">
        <v>82</v>
      </c>
      <c r="I363" s="106"/>
      <c r="K363" s="56">
        <v>99</v>
      </c>
      <c r="L363" s="55" t="s">
        <v>176</v>
      </c>
      <c r="M363" s="55" t="s">
        <v>2824</v>
      </c>
      <c r="N363" s="4" t="s">
        <v>193</v>
      </c>
      <c r="O363" s="55" t="s">
        <v>178</v>
      </c>
    </row>
    <row r="364" spans="2:15">
      <c r="B364" s="99">
        <v>44797</v>
      </c>
      <c r="C364" s="59">
        <v>50507916</v>
      </c>
      <c r="D364" s="55" t="s">
        <v>406</v>
      </c>
      <c r="E364" s="67">
        <v>264000</v>
      </c>
      <c r="F364" s="67">
        <v>3</v>
      </c>
      <c r="G364" s="102">
        <v>792000</v>
      </c>
      <c r="H364" s="56" t="s">
        <v>92</v>
      </c>
      <c r="I364" s="106"/>
      <c r="K364" s="56">
        <v>99</v>
      </c>
      <c r="L364" s="55" t="s">
        <v>176</v>
      </c>
      <c r="M364" s="55" t="s">
        <v>2824</v>
      </c>
      <c r="N364" s="4" t="s">
        <v>193</v>
      </c>
      <c r="O364" s="55" t="s">
        <v>178</v>
      </c>
    </row>
    <row r="365" spans="2:15">
      <c r="B365" s="99">
        <v>44797</v>
      </c>
      <c r="C365" s="59">
        <v>50272278</v>
      </c>
      <c r="D365" s="55" t="s">
        <v>21</v>
      </c>
      <c r="E365" s="67">
        <v>500</v>
      </c>
      <c r="F365" s="67">
        <v>11</v>
      </c>
      <c r="G365" s="102">
        <v>5500</v>
      </c>
      <c r="H365" s="56" t="s">
        <v>92</v>
      </c>
      <c r="I365" s="106"/>
      <c r="K365" s="56">
        <v>100</v>
      </c>
      <c r="L365" s="55" t="s">
        <v>176</v>
      </c>
      <c r="M365" s="55" t="s">
        <v>2824</v>
      </c>
      <c r="N365" s="4" t="s">
        <v>193</v>
      </c>
      <c r="O365" s="55" t="s">
        <v>178</v>
      </c>
    </row>
    <row r="366" spans="2:15">
      <c r="B366" s="99">
        <v>44797</v>
      </c>
      <c r="C366" s="59">
        <v>50142327</v>
      </c>
      <c r="D366" s="55" t="s">
        <v>256</v>
      </c>
      <c r="E366" s="67">
        <v>681</v>
      </c>
      <c r="F366" s="67">
        <v>3</v>
      </c>
      <c r="G366" s="102">
        <v>2043</v>
      </c>
      <c r="H366" s="56" t="s">
        <v>82</v>
      </c>
      <c r="I366" s="106"/>
      <c r="K366" s="56">
        <v>100</v>
      </c>
      <c r="L366" s="55" t="s">
        <v>176</v>
      </c>
      <c r="M366" s="55" t="s">
        <v>2824</v>
      </c>
      <c r="N366" s="4" t="s">
        <v>193</v>
      </c>
      <c r="O366" s="55" t="s">
        <v>178</v>
      </c>
    </row>
    <row r="367" spans="2:15">
      <c r="B367" s="99">
        <v>44797</v>
      </c>
      <c r="C367" s="59">
        <v>50142334</v>
      </c>
      <c r="D367" s="55" t="s">
        <v>257</v>
      </c>
      <c r="E367" s="67">
        <v>681</v>
      </c>
      <c r="F367" s="67">
        <v>4</v>
      </c>
      <c r="G367" s="102">
        <v>2724</v>
      </c>
      <c r="H367" s="56" t="s">
        <v>82</v>
      </c>
      <c r="I367" s="106"/>
      <c r="K367" s="56">
        <v>100</v>
      </c>
      <c r="L367" s="55" t="s">
        <v>176</v>
      </c>
      <c r="M367" s="55" t="s">
        <v>2824</v>
      </c>
      <c r="N367" s="4" t="s">
        <v>193</v>
      </c>
      <c r="O367" s="55" t="s">
        <v>178</v>
      </c>
    </row>
    <row r="368" spans="2:15">
      <c r="B368" s="99">
        <v>44797</v>
      </c>
      <c r="C368" s="59">
        <v>40007941</v>
      </c>
      <c r="D368" s="55" t="s">
        <v>211</v>
      </c>
      <c r="E368" s="67">
        <v>756</v>
      </c>
      <c r="F368" s="67">
        <v>3</v>
      </c>
      <c r="G368" s="102">
        <v>2268</v>
      </c>
      <c r="H368" s="56" t="s">
        <v>80</v>
      </c>
      <c r="I368" s="106"/>
      <c r="K368" s="56">
        <v>100</v>
      </c>
      <c r="L368" s="55" t="s">
        <v>176</v>
      </c>
      <c r="M368" s="55" t="s">
        <v>2824</v>
      </c>
      <c r="N368" s="4" t="s">
        <v>193</v>
      </c>
      <c r="O368" s="55" t="s">
        <v>178</v>
      </c>
    </row>
    <row r="369" spans="2:16">
      <c r="B369" s="99">
        <v>44797</v>
      </c>
      <c r="C369" s="59">
        <v>40499</v>
      </c>
      <c r="D369" s="55" t="s">
        <v>316</v>
      </c>
      <c r="E369" s="67">
        <v>7</v>
      </c>
      <c r="F369" s="67">
        <v>7</v>
      </c>
      <c r="G369" s="102">
        <v>7</v>
      </c>
      <c r="H369" s="56" t="s">
        <v>92</v>
      </c>
      <c r="I369" s="106"/>
      <c r="K369" s="56">
        <v>101</v>
      </c>
      <c r="L369" s="55" t="s">
        <v>176</v>
      </c>
      <c r="M369" s="55" t="s">
        <v>2824</v>
      </c>
      <c r="N369" s="4" t="s">
        <v>177</v>
      </c>
      <c r="O369" s="55" t="s">
        <v>178</v>
      </c>
    </row>
    <row r="370" spans="2:16">
      <c r="B370" s="99">
        <v>44798</v>
      </c>
      <c r="C370" s="59">
        <v>50522169</v>
      </c>
      <c r="D370" s="55" t="s">
        <v>250</v>
      </c>
      <c r="E370" s="67">
        <v>173.9</v>
      </c>
      <c r="F370" s="67">
        <v>2</v>
      </c>
      <c r="G370" s="102">
        <v>925.85</v>
      </c>
      <c r="H370" s="56" t="s">
        <v>82</v>
      </c>
      <c r="I370" s="106"/>
      <c r="K370" s="56">
        <v>101</v>
      </c>
      <c r="L370" s="55" t="s">
        <v>176</v>
      </c>
      <c r="M370" s="55" t="s">
        <v>2824</v>
      </c>
      <c r="N370" s="4" t="s">
        <v>177</v>
      </c>
      <c r="O370" s="110" t="s">
        <v>178</v>
      </c>
      <c r="P370" s="17"/>
    </row>
    <row r="371" spans="2:16">
      <c r="B371" s="99">
        <v>44798</v>
      </c>
      <c r="C371" s="59">
        <v>50486295</v>
      </c>
      <c r="D371" s="55" t="s">
        <v>232</v>
      </c>
      <c r="E371" s="67">
        <v>85.9</v>
      </c>
      <c r="F371" s="67">
        <v>5</v>
      </c>
      <c r="G371" s="102">
        <v>1164.004</v>
      </c>
      <c r="H371" s="56" t="s">
        <v>82</v>
      </c>
      <c r="I371" s="106"/>
      <c r="K371" s="56">
        <v>101</v>
      </c>
      <c r="L371" s="55" t="s">
        <v>176</v>
      </c>
      <c r="M371" s="55" t="s">
        <v>2824</v>
      </c>
      <c r="N371" s="4" t="s">
        <v>177</v>
      </c>
      <c r="O371" s="55" t="s">
        <v>178</v>
      </c>
    </row>
    <row r="372" spans="2:16">
      <c r="B372" s="99">
        <v>44798</v>
      </c>
      <c r="C372" s="59">
        <v>50145377</v>
      </c>
      <c r="D372" s="55" t="s">
        <v>312</v>
      </c>
      <c r="E372" s="67">
        <v>166000</v>
      </c>
      <c r="F372" s="67">
        <v>2</v>
      </c>
      <c r="G372" s="102">
        <v>166000</v>
      </c>
      <c r="H372" s="56" t="s">
        <v>92</v>
      </c>
      <c r="I372" s="106"/>
      <c r="K372" s="56">
        <v>101</v>
      </c>
      <c r="L372" s="55" t="s">
        <v>176</v>
      </c>
      <c r="M372" s="55" t="s">
        <v>2824</v>
      </c>
      <c r="N372" s="4" t="s">
        <v>177</v>
      </c>
      <c r="O372" s="55" t="s">
        <v>178</v>
      </c>
    </row>
    <row r="373" spans="2:16">
      <c r="B373" s="99">
        <v>44798</v>
      </c>
      <c r="C373" s="59">
        <v>50145378</v>
      </c>
      <c r="D373" s="55" t="s">
        <v>311</v>
      </c>
      <c r="E373" s="67">
        <v>135000</v>
      </c>
      <c r="F373" s="67">
        <v>1</v>
      </c>
      <c r="G373" s="102">
        <v>135000</v>
      </c>
      <c r="H373" s="56" t="s">
        <v>92</v>
      </c>
      <c r="I373" s="106"/>
      <c r="K373" s="56">
        <v>101</v>
      </c>
      <c r="L373" s="55" t="s">
        <v>176</v>
      </c>
      <c r="M373" s="55" t="s">
        <v>2824</v>
      </c>
      <c r="N373" s="4" t="s">
        <v>177</v>
      </c>
      <c r="O373" s="55" t="s">
        <v>178</v>
      </c>
    </row>
    <row r="374" spans="2:16">
      <c r="B374" s="99">
        <v>44798</v>
      </c>
      <c r="C374" s="59">
        <v>50145379</v>
      </c>
      <c r="D374" s="55" t="s">
        <v>500</v>
      </c>
      <c r="E374" s="67">
        <v>11000</v>
      </c>
      <c r="F374" s="67">
        <v>1</v>
      </c>
      <c r="G374" s="102">
        <v>11000</v>
      </c>
      <c r="H374" s="56" t="s">
        <v>92</v>
      </c>
      <c r="I374" s="106"/>
      <c r="K374" s="56">
        <v>101</v>
      </c>
      <c r="L374" s="55" t="s">
        <v>176</v>
      </c>
      <c r="M374" s="55" t="s">
        <v>2824</v>
      </c>
      <c r="N374" s="4" t="s">
        <v>177</v>
      </c>
      <c r="O374" s="55" t="s">
        <v>178</v>
      </c>
    </row>
    <row r="375" spans="2:16">
      <c r="B375" s="99">
        <v>44798</v>
      </c>
      <c r="C375" s="59">
        <v>50271740</v>
      </c>
      <c r="D375" s="55" t="s">
        <v>314</v>
      </c>
      <c r="E375" s="67">
        <v>108000</v>
      </c>
      <c r="F375" s="67">
        <v>1</v>
      </c>
      <c r="G375" s="102">
        <v>108000</v>
      </c>
      <c r="H375" s="56" t="s">
        <v>92</v>
      </c>
      <c r="I375" s="106"/>
      <c r="K375" s="56">
        <v>101</v>
      </c>
      <c r="L375" s="55" t="s">
        <v>176</v>
      </c>
      <c r="M375" s="55" t="s">
        <v>2824</v>
      </c>
      <c r="N375" s="4" t="s">
        <v>177</v>
      </c>
      <c r="O375" s="55" t="s">
        <v>178</v>
      </c>
    </row>
    <row r="376" spans="2:16">
      <c r="B376" s="99">
        <v>44798</v>
      </c>
      <c r="C376" s="59">
        <v>50271800</v>
      </c>
      <c r="D376" s="55" t="s">
        <v>313</v>
      </c>
      <c r="E376" s="67">
        <v>138000</v>
      </c>
      <c r="F376" s="67">
        <v>1</v>
      </c>
      <c r="G376" s="102">
        <v>138000</v>
      </c>
      <c r="H376" s="56" t="s">
        <v>92</v>
      </c>
      <c r="I376" s="106"/>
      <c r="K376" s="56">
        <v>101</v>
      </c>
      <c r="L376" s="55" t="s">
        <v>176</v>
      </c>
      <c r="M376" s="55" t="s">
        <v>2824</v>
      </c>
      <c r="N376" s="4" t="s">
        <v>177</v>
      </c>
      <c r="O376" s="55" t="s">
        <v>178</v>
      </c>
    </row>
    <row r="377" spans="2:16">
      <c r="B377" s="99">
        <v>44798</v>
      </c>
      <c r="C377" s="59">
        <v>50271801</v>
      </c>
      <c r="D377" s="55" t="s">
        <v>222</v>
      </c>
      <c r="E377" s="67">
        <v>115000</v>
      </c>
      <c r="F377" s="67">
        <v>1</v>
      </c>
      <c r="G377" s="102">
        <v>115000</v>
      </c>
      <c r="H377" s="56" t="s">
        <v>92</v>
      </c>
      <c r="I377" s="106"/>
      <c r="K377" s="56">
        <v>101</v>
      </c>
      <c r="L377" s="55" t="s">
        <v>176</v>
      </c>
      <c r="M377" s="55" t="s">
        <v>2824</v>
      </c>
      <c r="N377" s="4" t="s">
        <v>177</v>
      </c>
      <c r="O377" s="55" t="s">
        <v>178</v>
      </c>
    </row>
    <row r="378" spans="2:16">
      <c r="B378" s="99">
        <v>44798</v>
      </c>
      <c r="C378" s="59">
        <v>50498014</v>
      </c>
      <c r="D378" s="55" t="s">
        <v>440</v>
      </c>
      <c r="E378" s="67">
        <v>356</v>
      </c>
      <c r="F378" s="67">
        <v>3</v>
      </c>
      <c r="G378" s="102">
        <v>1523.65</v>
      </c>
      <c r="H378" s="56" t="s">
        <v>82</v>
      </c>
      <c r="I378" s="106"/>
      <c r="K378" s="56">
        <v>101</v>
      </c>
      <c r="L378" s="55" t="s">
        <v>176</v>
      </c>
      <c r="M378" s="55" t="s">
        <v>2824</v>
      </c>
      <c r="N378" s="4" t="s">
        <v>177</v>
      </c>
      <c r="O378" s="55" t="s">
        <v>178</v>
      </c>
    </row>
    <row r="379" spans="2:16">
      <c r="B379" s="99">
        <v>44798</v>
      </c>
      <c r="C379" s="59">
        <v>50280269</v>
      </c>
      <c r="D379" s="55" t="s">
        <v>352</v>
      </c>
      <c r="E379" s="67">
        <v>60</v>
      </c>
      <c r="F379" s="67">
        <v>1</v>
      </c>
      <c r="G379" s="102">
        <v>60</v>
      </c>
      <c r="H379" s="56" t="s">
        <v>82</v>
      </c>
      <c r="I379" s="106"/>
      <c r="K379" s="56">
        <v>101</v>
      </c>
      <c r="L379" s="55" t="s">
        <v>176</v>
      </c>
      <c r="M379" s="55" t="s">
        <v>2824</v>
      </c>
      <c r="N379" s="4" t="s">
        <v>177</v>
      </c>
      <c r="O379" s="55" t="s">
        <v>178</v>
      </c>
    </row>
    <row r="380" spans="2:16">
      <c r="B380" s="99">
        <v>44798</v>
      </c>
      <c r="C380" s="59">
        <v>50446609</v>
      </c>
      <c r="D380" s="55" t="s">
        <v>501</v>
      </c>
      <c r="E380" s="67">
        <v>1680</v>
      </c>
      <c r="F380" s="67">
        <v>8</v>
      </c>
      <c r="G380" s="102">
        <v>13440</v>
      </c>
      <c r="H380" s="56" t="s">
        <v>92</v>
      </c>
      <c r="I380" s="106"/>
      <c r="K380" s="56">
        <v>101</v>
      </c>
      <c r="L380" s="55" t="s">
        <v>176</v>
      </c>
      <c r="M380" s="55" t="s">
        <v>2824</v>
      </c>
      <c r="N380" s="4" t="s">
        <v>177</v>
      </c>
      <c r="O380" s="55" t="s">
        <v>178</v>
      </c>
    </row>
    <row r="381" spans="2:16">
      <c r="B381" s="99">
        <v>44799</v>
      </c>
      <c r="C381" s="59">
        <v>50145028</v>
      </c>
      <c r="D381" s="55" t="s">
        <v>23</v>
      </c>
      <c r="E381" s="67">
        <v>192</v>
      </c>
      <c r="F381" s="67">
        <v>3</v>
      </c>
      <c r="G381" s="102">
        <v>576</v>
      </c>
      <c r="H381" s="56" t="s">
        <v>92</v>
      </c>
      <c r="I381" s="106"/>
      <c r="K381" s="56">
        <v>103</v>
      </c>
      <c r="L381" s="55" t="s">
        <v>2826</v>
      </c>
      <c r="M381" s="55" t="s">
        <v>326</v>
      </c>
      <c r="O381" s="55" t="s">
        <v>178</v>
      </c>
    </row>
    <row r="382" spans="2:16">
      <c r="B382" s="99">
        <v>44799</v>
      </c>
      <c r="C382" s="59">
        <v>50144200</v>
      </c>
      <c r="D382" s="55" t="s">
        <v>184</v>
      </c>
      <c r="E382" s="67">
        <v>264000</v>
      </c>
      <c r="F382" s="67">
        <v>5</v>
      </c>
      <c r="G382" s="102">
        <f>1320000</f>
        <v>1320000</v>
      </c>
      <c r="H382" s="99" t="s">
        <v>92</v>
      </c>
      <c r="I382" s="106"/>
      <c r="K382" s="56">
        <v>102</v>
      </c>
      <c r="L382" s="55" t="s">
        <v>176</v>
      </c>
      <c r="M382" s="55" t="s">
        <v>2824</v>
      </c>
      <c r="N382" s="4" t="s">
        <v>177</v>
      </c>
      <c r="O382" s="55" t="s">
        <v>178</v>
      </c>
    </row>
    <row r="383" spans="2:16">
      <c r="B383" s="99">
        <v>44799</v>
      </c>
      <c r="C383" s="59">
        <v>50337816</v>
      </c>
      <c r="D383" s="55" t="s">
        <v>245</v>
      </c>
      <c r="E383" s="67">
        <v>264</v>
      </c>
      <c r="F383" s="67">
        <v>3</v>
      </c>
      <c r="G383" s="102">
        <v>1320</v>
      </c>
      <c r="H383" s="56" t="s">
        <v>80</v>
      </c>
      <c r="I383" s="106"/>
      <c r="K383" s="56">
        <v>102</v>
      </c>
      <c r="L383" s="55" t="s">
        <v>176</v>
      </c>
      <c r="M383" s="55" t="s">
        <v>2824</v>
      </c>
      <c r="N383" s="4" t="s">
        <v>177</v>
      </c>
      <c r="O383" s="55" t="s">
        <v>178</v>
      </c>
    </row>
    <row r="384" spans="2:16">
      <c r="B384" s="99">
        <v>44799</v>
      </c>
      <c r="C384" s="59">
        <v>50277308</v>
      </c>
      <c r="D384" s="55" t="s">
        <v>339</v>
      </c>
      <c r="E384" s="67">
        <v>790.1</v>
      </c>
      <c r="F384" s="67">
        <v>3</v>
      </c>
      <c r="G384" s="102">
        <v>2190.6</v>
      </c>
      <c r="H384" s="56" t="s">
        <v>82</v>
      </c>
      <c r="I384" s="106"/>
      <c r="K384" s="56">
        <v>102</v>
      </c>
      <c r="L384" s="55" t="s">
        <v>176</v>
      </c>
      <c r="M384" s="55" t="s">
        <v>2824</v>
      </c>
      <c r="N384" s="4" t="s">
        <v>177</v>
      </c>
      <c r="O384" s="55" t="s">
        <v>178</v>
      </c>
    </row>
    <row r="385" spans="2:15">
      <c r="B385" s="99">
        <v>44799</v>
      </c>
      <c r="C385" s="59">
        <v>50144376</v>
      </c>
      <c r="D385" s="55" t="s">
        <v>19</v>
      </c>
      <c r="E385" s="67">
        <v>500</v>
      </c>
      <c r="F385" s="67">
        <v>7</v>
      </c>
      <c r="G385" s="102">
        <v>3500</v>
      </c>
      <c r="H385" s="105" t="s">
        <v>92</v>
      </c>
      <c r="I385" s="106"/>
      <c r="K385" s="56">
        <v>102</v>
      </c>
      <c r="L385" s="55" t="s">
        <v>176</v>
      </c>
      <c r="M385" s="55" t="s">
        <v>2824</v>
      </c>
      <c r="N385" s="4" t="s">
        <v>177</v>
      </c>
      <c r="O385" s="55" t="s">
        <v>178</v>
      </c>
    </row>
    <row r="386" spans="2:15">
      <c r="B386" s="99">
        <v>44799</v>
      </c>
      <c r="C386" s="59">
        <v>50470190</v>
      </c>
      <c r="D386" s="55" t="s">
        <v>12</v>
      </c>
      <c r="E386" s="67">
        <v>289800</v>
      </c>
      <c r="F386" s="67">
        <v>12</v>
      </c>
      <c r="G386" s="102">
        <v>3477600</v>
      </c>
      <c r="H386" s="56" t="s">
        <v>92</v>
      </c>
      <c r="I386" s="106"/>
      <c r="K386" s="56">
        <v>103</v>
      </c>
      <c r="L386" s="55" t="s">
        <v>176</v>
      </c>
      <c r="M386" s="55" t="s">
        <v>2824</v>
      </c>
      <c r="N386" s="4" t="s">
        <v>177</v>
      </c>
      <c r="O386" s="55" t="s">
        <v>178</v>
      </c>
    </row>
    <row r="387" spans="2:15">
      <c r="B387" s="99">
        <v>44799</v>
      </c>
      <c r="C387" s="59">
        <v>50272278</v>
      </c>
      <c r="D387" s="55" t="s">
        <v>21</v>
      </c>
      <c r="E387" s="67">
        <v>500</v>
      </c>
      <c r="F387" s="67">
        <v>6</v>
      </c>
      <c r="G387" s="102">
        <v>3000</v>
      </c>
      <c r="H387" s="56" t="s">
        <v>92</v>
      </c>
      <c r="I387" s="106"/>
      <c r="K387" s="56">
        <v>103</v>
      </c>
      <c r="L387" s="55" t="s">
        <v>176</v>
      </c>
      <c r="M387" s="55" t="s">
        <v>2824</v>
      </c>
      <c r="N387" s="4" t="s">
        <v>177</v>
      </c>
      <c r="O387" s="55" t="s">
        <v>178</v>
      </c>
    </row>
    <row r="388" spans="2:15">
      <c r="B388" s="99">
        <v>44802</v>
      </c>
      <c r="C388" s="59">
        <v>50272278</v>
      </c>
      <c r="D388" s="55" t="s">
        <v>21</v>
      </c>
      <c r="E388" s="67">
        <v>500</v>
      </c>
      <c r="F388" s="67">
        <v>14</v>
      </c>
      <c r="G388" s="102">
        <v>7000</v>
      </c>
      <c r="H388" s="56" t="s">
        <v>92</v>
      </c>
      <c r="I388" s="106"/>
      <c r="K388" s="56">
        <v>51</v>
      </c>
      <c r="L388" s="55" t="s">
        <v>201</v>
      </c>
      <c r="M388" s="55" t="s">
        <v>201</v>
      </c>
      <c r="N388" s="4" t="s">
        <v>363</v>
      </c>
      <c r="O388" s="55" t="s">
        <v>178</v>
      </c>
    </row>
    <row r="389" spans="2:15">
      <c r="B389" s="99">
        <v>44802</v>
      </c>
      <c r="C389" s="59">
        <v>50501722</v>
      </c>
      <c r="D389" s="55" t="s">
        <v>253</v>
      </c>
      <c r="E389" s="67">
        <v>701</v>
      </c>
      <c r="F389" s="67">
        <v>4</v>
      </c>
      <c r="G389" s="102">
        <v>2572.55</v>
      </c>
      <c r="H389" s="56" t="s">
        <v>82</v>
      </c>
      <c r="I389" s="106"/>
      <c r="K389" s="56">
        <v>105</v>
      </c>
      <c r="L389" s="55" t="s">
        <v>176</v>
      </c>
      <c r="M389" s="55" t="s">
        <v>2824</v>
      </c>
      <c r="N389" s="4" t="s">
        <v>177</v>
      </c>
      <c r="O389" s="55" t="s">
        <v>178</v>
      </c>
    </row>
    <row r="390" spans="2:15">
      <c r="B390" s="99">
        <v>44802</v>
      </c>
      <c r="C390" s="59">
        <v>50144200</v>
      </c>
      <c r="D390" s="55" t="s">
        <v>184</v>
      </c>
      <c r="E390" s="67">
        <v>264000</v>
      </c>
      <c r="F390" s="67">
        <v>12</v>
      </c>
      <c r="G390" s="102">
        <v>3168000</v>
      </c>
      <c r="H390" s="99" t="s">
        <v>92</v>
      </c>
      <c r="I390" s="106"/>
      <c r="K390" s="56">
        <v>105</v>
      </c>
      <c r="L390" s="55" t="s">
        <v>176</v>
      </c>
      <c r="M390" s="55" t="s">
        <v>2824</v>
      </c>
      <c r="N390" s="4" t="s">
        <v>177</v>
      </c>
      <c r="O390" s="55" t="s">
        <v>178</v>
      </c>
    </row>
    <row r="391" spans="2:15">
      <c r="B391" s="99">
        <v>44802</v>
      </c>
      <c r="C391" s="59">
        <v>50507913</v>
      </c>
      <c r="D391" s="55" t="s">
        <v>407</v>
      </c>
      <c r="E391" s="67">
        <v>26400</v>
      </c>
      <c r="F391" s="67">
        <v>5</v>
      </c>
      <c r="G391" s="102">
        <v>1320</v>
      </c>
      <c r="H391" s="56" t="s">
        <v>80</v>
      </c>
      <c r="I391" s="106"/>
      <c r="K391" s="56">
        <v>105</v>
      </c>
      <c r="L391" s="55" t="s">
        <v>176</v>
      </c>
      <c r="M391" s="55" t="s">
        <v>2824</v>
      </c>
      <c r="N391" s="4" t="s">
        <v>177</v>
      </c>
      <c r="O391" s="55" t="s">
        <v>178</v>
      </c>
    </row>
    <row r="392" spans="2:15">
      <c r="B392" s="99">
        <v>44802</v>
      </c>
      <c r="C392" s="59">
        <v>50470190</v>
      </c>
      <c r="D392" s="55" t="s">
        <v>12</v>
      </c>
      <c r="E392" s="67">
        <v>289800</v>
      </c>
      <c r="F392" s="67">
        <v>12</v>
      </c>
      <c r="G392" s="102">
        <v>3477600</v>
      </c>
      <c r="H392" s="56" t="s">
        <v>92</v>
      </c>
      <c r="I392" s="106"/>
      <c r="K392" s="56">
        <v>106</v>
      </c>
      <c r="L392" s="55" t="s">
        <v>176</v>
      </c>
      <c r="M392" s="55" t="s">
        <v>2824</v>
      </c>
      <c r="N392" s="4" t="s">
        <v>177</v>
      </c>
      <c r="O392" s="55" t="s">
        <v>178</v>
      </c>
    </row>
    <row r="393" spans="2:15">
      <c r="B393" s="99">
        <v>44802</v>
      </c>
      <c r="C393" s="59">
        <v>50143646</v>
      </c>
      <c r="D393" s="55" t="s">
        <v>191</v>
      </c>
      <c r="E393" s="67">
        <v>480</v>
      </c>
      <c r="F393" s="67">
        <v>4</v>
      </c>
      <c r="G393" s="102">
        <v>1920</v>
      </c>
      <c r="H393" s="56" t="s">
        <v>82</v>
      </c>
      <c r="I393" s="106"/>
      <c r="K393" s="56">
        <v>106</v>
      </c>
      <c r="L393" s="55" t="s">
        <v>176</v>
      </c>
      <c r="M393" s="55" t="s">
        <v>2824</v>
      </c>
      <c r="N393" s="4" t="s">
        <v>177</v>
      </c>
      <c r="O393" s="55" t="s">
        <v>178</v>
      </c>
    </row>
    <row r="394" spans="2:15">
      <c r="B394" s="99">
        <v>44803</v>
      </c>
      <c r="C394" s="59">
        <v>50470190</v>
      </c>
      <c r="D394" s="55" t="s">
        <v>12</v>
      </c>
      <c r="E394" s="67">
        <v>289800</v>
      </c>
      <c r="F394" s="67">
        <v>16</v>
      </c>
      <c r="G394" s="102">
        <v>4636800</v>
      </c>
      <c r="H394" s="56" t="s">
        <v>92</v>
      </c>
      <c r="I394" s="106"/>
      <c r="K394" s="56">
        <v>107</v>
      </c>
      <c r="L394" s="55" t="s">
        <v>176</v>
      </c>
      <c r="M394" s="55" t="s">
        <v>2824</v>
      </c>
      <c r="N394" s="4" t="s">
        <v>177</v>
      </c>
      <c r="O394" s="55" t="s">
        <v>178</v>
      </c>
    </row>
    <row r="395" spans="2:15">
      <c r="B395" s="99">
        <v>44803</v>
      </c>
      <c r="C395" s="59">
        <v>40010087</v>
      </c>
      <c r="D395" s="55" t="s">
        <v>387</v>
      </c>
      <c r="E395" s="67">
        <v>756</v>
      </c>
      <c r="F395" s="67">
        <v>10</v>
      </c>
      <c r="G395" s="102">
        <v>6964</v>
      </c>
      <c r="H395" s="56" t="s">
        <v>80</v>
      </c>
      <c r="I395" s="106"/>
      <c r="K395" s="56">
        <v>108</v>
      </c>
      <c r="L395" s="55" t="s">
        <v>176</v>
      </c>
      <c r="M395" s="55" t="s">
        <v>2824</v>
      </c>
      <c r="N395" s="4" t="s">
        <v>177</v>
      </c>
      <c r="O395" s="55" t="s">
        <v>178</v>
      </c>
    </row>
    <row r="396" spans="2:15">
      <c r="B396" s="99">
        <v>44803</v>
      </c>
      <c r="C396" s="59">
        <v>40010086</v>
      </c>
      <c r="D396" s="55" t="s">
        <v>79</v>
      </c>
      <c r="E396" s="67">
        <v>3528</v>
      </c>
      <c r="F396" s="67">
        <v>3</v>
      </c>
      <c r="G396" s="102">
        <v>7084</v>
      </c>
      <c r="H396" s="56" t="s">
        <v>80</v>
      </c>
      <c r="I396" s="106"/>
      <c r="K396" s="56">
        <v>108</v>
      </c>
      <c r="L396" s="55" t="s">
        <v>176</v>
      </c>
      <c r="M396" s="55" t="s">
        <v>2824</v>
      </c>
      <c r="N396" s="4" t="s">
        <v>177</v>
      </c>
      <c r="O396" s="55" t="s">
        <v>178</v>
      </c>
    </row>
    <row r="397" spans="2:15">
      <c r="B397" s="99">
        <v>44803</v>
      </c>
      <c r="C397" s="59">
        <v>400112720</v>
      </c>
      <c r="D397" s="55" t="s">
        <v>522</v>
      </c>
      <c r="E397" s="67">
        <v>438</v>
      </c>
      <c r="F397" s="67">
        <v>1</v>
      </c>
      <c r="G397" s="102">
        <v>438</v>
      </c>
      <c r="H397" s="56" t="s">
        <v>80</v>
      </c>
      <c r="I397" s="106"/>
      <c r="K397" s="56">
        <v>108</v>
      </c>
      <c r="L397" s="55" t="s">
        <v>176</v>
      </c>
      <c r="M397" s="55" t="s">
        <v>2824</v>
      </c>
      <c r="N397" s="4" t="s">
        <v>177</v>
      </c>
      <c r="O397" s="55" t="s">
        <v>178</v>
      </c>
    </row>
    <row r="398" spans="2:15">
      <c r="B398" s="99">
        <v>44803</v>
      </c>
      <c r="C398" s="59">
        <v>50141786</v>
      </c>
      <c r="D398" s="55" t="s">
        <v>188</v>
      </c>
      <c r="E398" s="67">
        <v>560</v>
      </c>
      <c r="F398" s="67">
        <v>7</v>
      </c>
      <c r="G398" s="102">
        <v>3920</v>
      </c>
      <c r="H398" s="56" t="s">
        <v>82</v>
      </c>
      <c r="I398" s="106"/>
      <c r="K398" s="56">
        <v>108</v>
      </c>
      <c r="L398" s="55" t="s">
        <v>176</v>
      </c>
      <c r="M398" s="55" t="s">
        <v>2824</v>
      </c>
      <c r="N398" s="4" t="s">
        <v>177</v>
      </c>
      <c r="O398" s="55" t="s">
        <v>178</v>
      </c>
    </row>
    <row r="399" spans="2:15">
      <c r="B399" s="99">
        <v>44804</v>
      </c>
      <c r="C399" s="59">
        <v>50272278</v>
      </c>
      <c r="D399" s="55" t="s">
        <v>21</v>
      </c>
      <c r="E399" s="67">
        <v>500</v>
      </c>
      <c r="F399" s="67">
        <v>9</v>
      </c>
      <c r="G399" s="102">
        <v>4500</v>
      </c>
      <c r="H399" s="56" t="s">
        <v>92</v>
      </c>
      <c r="I399" s="106"/>
      <c r="K399" s="56">
        <v>109</v>
      </c>
      <c r="L399" s="55" t="s">
        <v>176</v>
      </c>
      <c r="M399" s="55" t="s">
        <v>2824</v>
      </c>
      <c r="N399" s="4" t="s">
        <v>177</v>
      </c>
      <c r="O399" s="55" t="s">
        <v>178</v>
      </c>
    </row>
    <row r="400" spans="2:15">
      <c r="B400" s="99">
        <v>44804</v>
      </c>
      <c r="C400" s="59">
        <v>50449101</v>
      </c>
      <c r="D400" s="55" t="s">
        <v>237</v>
      </c>
      <c r="E400" s="67">
        <v>289800</v>
      </c>
      <c r="F400" s="67">
        <v>3</v>
      </c>
      <c r="G400" s="102">
        <v>869400</v>
      </c>
      <c r="H400" s="56" t="s">
        <v>92</v>
      </c>
      <c r="I400" s="106"/>
      <c r="K400" s="56">
        <v>109</v>
      </c>
      <c r="L400" s="55" t="s">
        <v>176</v>
      </c>
      <c r="M400" s="55" t="s">
        <v>2824</v>
      </c>
      <c r="N400" s="4" t="s">
        <v>177</v>
      </c>
      <c r="O400" s="55" t="s">
        <v>178</v>
      </c>
    </row>
    <row r="401" spans="2:15">
      <c r="B401" s="99">
        <v>44804</v>
      </c>
      <c r="C401" s="59">
        <v>50142327</v>
      </c>
      <c r="D401" s="55" t="s">
        <v>256</v>
      </c>
      <c r="E401" s="67">
        <v>681</v>
      </c>
      <c r="F401" s="67">
        <v>3</v>
      </c>
      <c r="G401" s="102">
        <v>2043</v>
      </c>
      <c r="H401" s="56" t="s">
        <v>82</v>
      </c>
      <c r="I401" s="106"/>
      <c r="K401" s="56">
        <v>109</v>
      </c>
      <c r="L401" s="55" t="s">
        <v>176</v>
      </c>
      <c r="M401" s="55" t="s">
        <v>2824</v>
      </c>
      <c r="N401" s="4" t="s">
        <v>177</v>
      </c>
      <c r="O401" s="55" t="s">
        <v>178</v>
      </c>
    </row>
    <row r="402" spans="2:15">
      <c r="B402" s="99">
        <v>44804</v>
      </c>
      <c r="C402" s="59">
        <v>50142334</v>
      </c>
      <c r="D402" s="55" t="s">
        <v>257</v>
      </c>
      <c r="E402" s="67">
        <v>681</v>
      </c>
      <c r="F402" s="67">
        <v>3</v>
      </c>
      <c r="G402" s="102">
        <v>2043</v>
      </c>
      <c r="H402" s="56" t="s">
        <v>82</v>
      </c>
      <c r="I402" s="106"/>
      <c r="K402" s="56">
        <v>109</v>
      </c>
      <c r="L402" s="55" t="s">
        <v>176</v>
      </c>
      <c r="M402" s="55" t="s">
        <v>2824</v>
      </c>
      <c r="N402" s="4" t="s">
        <v>177</v>
      </c>
      <c r="O402" s="55" t="s">
        <v>178</v>
      </c>
    </row>
    <row r="403" spans="2:15">
      <c r="B403" s="99">
        <v>44804</v>
      </c>
      <c r="C403" s="59">
        <v>50501722</v>
      </c>
      <c r="D403" s="55" t="s">
        <v>253</v>
      </c>
      <c r="E403" s="67">
        <v>703</v>
      </c>
      <c r="F403" s="67">
        <v>8</v>
      </c>
      <c r="G403" s="102">
        <v>5595.75</v>
      </c>
      <c r="H403" s="56" t="s">
        <v>82</v>
      </c>
      <c r="I403" s="106"/>
      <c r="K403" s="56">
        <v>110</v>
      </c>
      <c r="L403" s="55" t="s">
        <v>176</v>
      </c>
      <c r="M403" s="55" t="s">
        <v>2824</v>
      </c>
      <c r="N403" s="4" t="s">
        <v>177</v>
      </c>
      <c r="O403" s="55" t="s">
        <v>178</v>
      </c>
    </row>
    <row r="404" spans="2:15">
      <c r="B404" s="99">
        <v>44804</v>
      </c>
      <c r="C404" s="59">
        <v>50272278</v>
      </c>
      <c r="D404" s="55" t="s">
        <v>21</v>
      </c>
      <c r="E404" s="67">
        <v>500</v>
      </c>
      <c r="F404" s="67">
        <v>12</v>
      </c>
      <c r="G404" s="102">
        <v>6000</v>
      </c>
      <c r="H404" s="56" t="s">
        <v>92</v>
      </c>
      <c r="I404" s="106"/>
      <c r="K404" s="56">
        <v>110</v>
      </c>
      <c r="L404" s="55" t="s">
        <v>176</v>
      </c>
      <c r="M404" s="55" t="s">
        <v>2824</v>
      </c>
      <c r="N404" s="4" t="s">
        <v>177</v>
      </c>
      <c r="O404" s="55" t="s">
        <v>178</v>
      </c>
    </row>
    <row r="405" spans="2:15">
      <c r="B405" s="99">
        <v>44804</v>
      </c>
      <c r="C405" s="59">
        <v>50507916</v>
      </c>
      <c r="D405" s="55" t="s">
        <v>406</v>
      </c>
      <c r="E405" s="67">
        <v>264000</v>
      </c>
      <c r="F405" s="67">
        <v>5</v>
      </c>
      <c r="G405" s="102">
        <v>1320000</v>
      </c>
      <c r="H405" s="56" t="s">
        <v>92</v>
      </c>
      <c r="I405" s="106"/>
      <c r="K405" s="56">
        <v>111</v>
      </c>
      <c r="L405" s="55" t="s">
        <v>176</v>
      </c>
      <c r="M405" s="55" t="s">
        <v>2824</v>
      </c>
      <c r="N405" s="4" t="s">
        <v>177</v>
      </c>
      <c r="O405" s="55" t="s">
        <v>178</v>
      </c>
    </row>
    <row r="406" spans="2:15">
      <c r="B406" s="99">
        <v>44804</v>
      </c>
      <c r="C406" s="59">
        <v>50470190</v>
      </c>
      <c r="D406" s="55" t="s">
        <v>12</v>
      </c>
      <c r="E406" s="67">
        <v>264000</v>
      </c>
      <c r="F406" s="67">
        <v>13</v>
      </c>
      <c r="G406" s="102">
        <v>3767400</v>
      </c>
      <c r="H406" s="56" t="s">
        <v>92</v>
      </c>
      <c r="I406" s="106"/>
      <c r="K406" s="56">
        <v>111</v>
      </c>
      <c r="L406" s="55" t="s">
        <v>176</v>
      </c>
      <c r="M406" s="55" t="s">
        <v>2824</v>
      </c>
      <c r="N406" s="4" t="s">
        <v>177</v>
      </c>
      <c r="O406" s="55" t="s">
        <v>178</v>
      </c>
    </row>
    <row r="407" spans="2:15">
      <c r="B407" s="99">
        <v>44805</v>
      </c>
      <c r="C407" s="59">
        <v>50395897</v>
      </c>
      <c r="D407" s="55" t="s">
        <v>359</v>
      </c>
      <c r="E407" s="67">
        <v>324000</v>
      </c>
      <c r="F407" s="67">
        <v>1</v>
      </c>
      <c r="G407" s="102">
        <v>324000</v>
      </c>
      <c r="H407" s="56" t="s">
        <v>92</v>
      </c>
      <c r="I407" s="106"/>
      <c r="K407" s="56">
        <v>112</v>
      </c>
      <c r="L407" s="55" t="s">
        <v>176</v>
      </c>
      <c r="M407" s="55" t="s">
        <v>2824</v>
      </c>
      <c r="N407" s="4" t="s">
        <v>177</v>
      </c>
      <c r="O407" s="55" t="s">
        <v>178</v>
      </c>
    </row>
    <row r="408" spans="2:15">
      <c r="B408" s="99">
        <v>44805</v>
      </c>
      <c r="C408" s="59">
        <v>50010080</v>
      </c>
      <c r="D408" s="55" t="s">
        <v>354</v>
      </c>
      <c r="E408" s="67">
        <v>1000</v>
      </c>
      <c r="F408" s="67">
        <v>4</v>
      </c>
      <c r="G408" s="102">
        <v>4000</v>
      </c>
      <c r="H408" s="56" t="s">
        <v>82</v>
      </c>
      <c r="I408" s="106"/>
      <c r="K408" s="56">
        <v>112</v>
      </c>
      <c r="L408" s="55" t="s">
        <v>176</v>
      </c>
      <c r="M408" s="55" t="s">
        <v>2824</v>
      </c>
      <c r="N408" s="4" t="s">
        <v>177</v>
      </c>
      <c r="O408" s="55" t="s">
        <v>178</v>
      </c>
    </row>
    <row r="409" spans="2:15">
      <c r="B409" s="99">
        <v>44805</v>
      </c>
      <c r="C409" s="59">
        <v>50141533</v>
      </c>
      <c r="D409" s="55" t="s">
        <v>494</v>
      </c>
      <c r="E409" s="67">
        <v>1000</v>
      </c>
      <c r="F409" s="67">
        <v>3</v>
      </c>
      <c r="G409" s="102">
        <v>3000</v>
      </c>
      <c r="H409" s="56" t="s">
        <v>82</v>
      </c>
      <c r="I409" s="106"/>
      <c r="K409" s="56">
        <v>112</v>
      </c>
      <c r="L409" s="55" t="s">
        <v>176</v>
      </c>
      <c r="M409" s="55" t="s">
        <v>2824</v>
      </c>
      <c r="N409" s="4" t="s">
        <v>177</v>
      </c>
      <c r="O409" s="55" t="s">
        <v>178</v>
      </c>
    </row>
    <row r="410" spans="2:15">
      <c r="B410" s="99">
        <v>44805</v>
      </c>
      <c r="C410" s="59">
        <v>50551883</v>
      </c>
      <c r="D410" s="55" t="s">
        <v>223</v>
      </c>
      <c r="E410" s="67">
        <v>360000</v>
      </c>
      <c r="F410" s="67">
        <v>3</v>
      </c>
      <c r="G410" s="102">
        <v>1129400</v>
      </c>
      <c r="H410" s="56" t="s">
        <v>92</v>
      </c>
      <c r="I410" s="106"/>
      <c r="K410" s="56">
        <v>112</v>
      </c>
      <c r="L410" s="55" t="s">
        <v>176</v>
      </c>
      <c r="M410" s="55" t="s">
        <v>2824</v>
      </c>
      <c r="N410" s="4" t="s">
        <v>177</v>
      </c>
      <c r="O410" s="55" t="s">
        <v>178</v>
      </c>
    </row>
    <row r="411" spans="2:15">
      <c r="B411" s="99">
        <v>44805</v>
      </c>
      <c r="C411" s="59">
        <v>40011149</v>
      </c>
      <c r="D411" s="55" t="s">
        <v>37</v>
      </c>
      <c r="E411" s="67">
        <v>360</v>
      </c>
      <c r="F411" s="67">
        <v>4</v>
      </c>
      <c r="G411" s="102">
        <v>1440</v>
      </c>
      <c r="H411" s="56" t="s">
        <v>80</v>
      </c>
      <c r="I411" s="106"/>
      <c r="K411" s="56">
        <v>112</v>
      </c>
      <c r="L411" s="55" t="s">
        <v>176</v>
      </c>
      <c r="M411" s="55" t="s">
        <v>2824</v>
      </c>
      <c r="N411" s="4" t="s">
        <v>177</v>
      </c>
      <c r="O411" s="55" t="s">
        <v>178</v>
      </c>
    </row>
    <row r="412" spans="2:15">
      <c r="B412" s="99">
        <v>44805</v>
      </c>
      <c r="C412" s="59">
        <v>50272278</v>
      </c>
      <c r="D412" s="55" t="s">
        <v>21</v>
      </c>
      <c r="E412" s="67">
        <v>500</v>
      </c>
      <c r="F412" s="67">
        <v>4</v>
      </c>
      <c r="G412" s="102">
        <v>2000</v>
      </c>
      <c r="H412" s="56" t="s">
        <v>92</v>
      </c>
      <c r="I412" s="106"/>
      <c r="K412" s="56">
        <v>112</v>
      </c>
      <c r="L412" s="55" t="s">
        <v>176</v>
      </c>
      <c r="M412" s="55" t="s">
        <v>2824</v>
      </c>
      <c r="N412" s="4" t="s">
        <v>177</v>
      </c>
      <c r="O412" s="55" t="s">
        <v>178</v>
      </c>
    </row>
    <row r="413" spans="2:15">
      <c r="B413" s="99">
        <v>44805</v>
      </c>
      <c r="C413" s="59">
        <v>50522176</v>
      </c>
      <c r="D413" s="55" t="s">
        <v>455</v>
      </c>
      <c r="E413" s="67">
        <v>303</v>
      </c>
      <c r="F413" s="67">
        <v>1</v>
      </c>
      <c r="G413" s="102">
        <v>303</v>
      </c>
      <c r="H413" s="56" t="s">
        <v>82</v>
      </c>
      <c r="I413" s="106"/>
      <c r="K413" s="56">
        <v>112</v>
      </c>
      <c r="L413" s="55" t="s">
        <v>176</v>
      </c>
      <c r="M413" s="55" t="s">
        <v>2824</v>
      </c>
      <c r="N413" s="4" t="s">
        <v>177</v>
      </c>
      <c r="O413" s="55" t="s">
        <v>178</v>
      </c>
    </row>
    <row r="414" spans="2:15">
      <c r="B414" s="99">
        <v>44806</v>
      </c>
      <c r="C414" s="59">
        <v>50470190</v>
      </c>
      <c r="D414" s="55" t="s">
        <v>12</v>
      </c>
      <c r="E414" s="67">
        <v>289800</v>
      </c>
      <c r="F414" s="67">
        <v>16</v>
      </c>
      <c r="G414" s="102">
        <v>4636800</v>
      </c>
      <c r="H414" s="56" t="s">
        <v>92</v>
      </c>
      <c r="I414" s="106"/>
      <c r="K414" s="56">
        <v>113</v>
      </c>
      <c r="L414" s="55" t="s">
        <v>176</v>
      </c>
      <c r="M414" s="55" t="s">
        <v>2824</v>
      </c>
      <c r="N414" s="4" t="s">
        <v>177</v>
      </c>
      <c r="O414" s="55" t="s">
        <v>178</v>
      </c>
    </row>
    <row r="415" spans="2:15">
      <c r="B415" s="99">
        <v>44810</v>
      </c>
      <c r="C415" s="59">
        <v>50470190</v>
      </c>
      <c r="D415" s="55" t="s">
        <v>12</v>
      </c>
      <c r="E415" s="67">
        <v>289800</v>
      </c>
      <c r="F415" s="67">
        <v>18</v>
      </c>
      <c r="G415" s="102">
        <v>5216400</v>
      </c>
      <c r="H415" s="56" t="s">
        <v>92</v>
      </c>
      <c r="I415" s="106"/>
      <c r="K415" s="56">
        <v>114</v>
      </c>
      <c r="L415" s="55" t="s">
        <v>176</v>
      </c>
      <c r="M415" s="55" t="s">
        <v>2824</v>
      </c>
      <c r="N415" s="4" t="s">
        <v>193</v>
      </c>
      <c r="O415" s="55" t="s">
        <v>178</v>
      </c>
    </row>
    <row r="416" spans="2:15">
      <c r="B416" s="99">
        <v>44810</v>
      </c>
      <c r="C416" s="59">
        <v>50272278</v>
      </c>
      <c r="D416" s="55" t="s">
        <v>21</v>
      </c>
      <c r="E416" s="67">
        <v>500</v>
      </c>
      <c r="F416" s="67">
        <v>22</v>
      </c>
      <c r="G416" s="102">
        <v>11000</v>
      </c>
      <c r="H416" s="56" t="s">
        <v>92</v>
      </c>
      <c r="I416" s="106"/>
      <c r="K416" s="56">
        <v>115</v>
      </c>
      <c r="L416" s="55" t="s">
        <v>176</v>
      </c>
      <c r="M416" s="55" t="s">
        <v>2824</v>
      </c>
      <c r="N416" s="4" t="s">
        <v>193</v>
      </c>
      <c r="O416" s="55" t="s">
        <v>178</v>
      </c>
    </row>
    <row r="417" spans="2:15">
      <c r="B417" s="99">
        <v>44810</v>
      </c>
      <c r="C417" s="59">
        <v>40004887</v>
      </c>
      <c r="D417" s="55" t="s">
        <v>272</v>
      </c>
      <c r="E417" s="67">
        <v>441</v>
      </c>
      <c r="F417" s="67">
        <v>1</v>
      </c>
      <c r="G417" s="102">
        <v>441</v>
      </c>
      <c r="H417" s="56" t="s">
        <v>80</v>
      </c>
      <c r="I417" s="106"/>
      <c r="K417" s="56">
        <v>116</v>
      </c>
      <c r="L417" s="55" t="s">
        <v>176</v>
      </c>
      <c r="M417" s="55" t="s">
        <v>2824</v>
      </c>
      <c r="N417" s="4" t="s">
        <v>193</v>
      </c>
      <c r="O417" s="55" t="s">
        <v>178</v>
      </c>
    </row>
    <row r="418" spans="2:15">
      <c r="B418" s="99">
        <v>44810</v>
      </c>
      <c r="C418" s="59">
        <v>50142055</v>
      </c>
      <c r="D418" s="55" t="s">
        <v>206</v>
      </c>
      <c r="E418" s="67">
        <v>600</v>
      </c>
      <c r="F418" s="67">
        <v>4</v>
      </c>
      <c r="G418" s="102">
        <v>2400</v>
      </c>
      <c r="H418" s="56" t="s">
        <v>82</v>
      </c>
      <c r="I418" s="106"/>
      <c r="K418" s="56">
        <v>116</v>
      </c>
      <c r="L418" s="55" t="s">
        <v>176</v>
      </c>
      <c r="M418" s="55" t="s">
        <v>2824</v>
      </c>
      <c r="N418" s="4" t="s">
        <v>193</v>
      </c>
      <c r="O418" s="55" t="s">
        <v>178</v>
      </c>
    </row>
    <row r="419" spans="2:15">
      <c r="B419" s="99">
        <v>44810</v>
      </c>
      <c r="C419" s="59">
        <v>50141786</v>
      </c>
      <c r="D419" s="55" t="s">
        <v>188</v>
      </c>
      <c r="E419" s="67">
        <v>560</v>
      </c>
      <c r="F419" s="67">
        <v>6</v>
      </c>
      <c r="G419" s="102">
        <v>3360</v>
      </c>
      <c r="H419" s="56" t="s">
        <v>82</v>
      </c>
      <c r="I419" s="106"/>
      <c r="K419" s="56">
        <v>116</v>
      </c>
      <c r="L419" s="55" t="s">
        <v>176</v>
      </c>
      <c r="M419" s="55" t="s">
        <v>2824</v>
      </c>
      <c r="N419" s="4" t="s">
        <v>193</v>
      </c>
      <c r="O419" s="55" t="s">
        <v>178</v>
      </c>
    </row>
    <row r="420" spans="2:15">
      <c r="B420" s="99">
        <v>44810</v>
      </c>
      <c r="C420" s="59">
        <v>50142281</v>
      </c>
      <c r="D420" s="55" t="s">
        <v>204</v>
      </c>
      <c r="E420" s="67">
        <v>420</v>
      </c>
      <c r="F420" s="67">
        <v>4</v>
      </c>
      <c r="G420" s="102">
        <v>1680</v>
      </c>
      <c r="H420" s="56" t="s">
        <v>82</v>
      </c>
      <c r="I420" s="106"/>
      <c r="K420" s="56">
        <v>116</v>
      </c>
      <c r="L420" s="55" t="s">
        <v>176</v>
      </c>
      <c r="M420" s="55" t="s">
        <v>2824</v>
      </c>
      <c r="N420" s="4" t="s">
        <v>193</v>
      </c>
      <c r="O420" s="55" t="s">
        <v>178</v>
      </c>
    </row>
    <row r="421" spans="2:15">
      <c r="B421" s="99">
        <v>44810</v>
      </c>
      <c r="C421" s="59">
        <v>40011660</v>
      </c>
      <c r="D421" s="55" t="s">
        <v>528</v>
      </c>
      <c r="E421" s="67">
        <v>450</v>
      </c>
      <c r="F421" s="67">
        <v>4</v>
      </c>
      <c r="G421" s="102">
        <v>1800</v>
      </c>
      <c r="H421" s="56" t="s">
        <v>80</v>
      </c>
      <c r="I421" s="106"/>
      <c r="K421" s="56">
        <v>116</v>
      </c>
      <c r="L421" s="55" t="s">
        <v>176</v>
      </c>
      <c r="M421" s="55" t="s">
        <v>2824</v>
      </c>
      <c r="N421" s="4" t="s">
        <v>193</v>
      </c>
      <c r="O421" s="55" t="s">
        <v>178</v>
      </c>
    </row>
    <row r="422" spans="2:15">
      <c r="B422" s="99">
        <v>44811</v>
      </c>
      <c r="C422" s="59">
        <v>40009546</v>
      </c>
      <c r="D422" s="55" t="s">
        <v>174</v>
      </c>
      <c r="E422" s="67">
        <v>756</v>
      </c>
      <c r="F422" s="67">
        <v>5</v>
      </c>
      <c r="G422" s="102">
        <v>3780</v>
      </c>
      <c r="H422" s="56" t="s">
        <v>80</v>
      </c>
      <c r="I422" s="106"/>
      <c r="K422" s="56">
        <v>117</v>
      </c>
      <c r="L422" s="55" t="s">
        <v>176</v>
      </c>
      <c r="M422" s="55" t="s">
        <v>2824</v>
      </c>
      <c r="N422" s="4" t="s">
        <v>193</v>
      </c>
      <c r="O422" s="55" t="s">
        <v>178</v>
      </c>
    </row>
    <row r="423" spans="2:15">
      <c r="B423" s="99">
        <v>44811</v>
      </c>
      <c r="C423" s="59">
        <v>40009544</v>
      </c>
      <c r="D423" s="55" t="s">
        <v>179</v>
      </c>
      <c r="E423" s="67">
        <v>2940</v>
      </c>
      <c r="F423" s="67">
        <v>5</v>
      </c>
      <c r="G423" s="102">
        <v>14700</v>
      </c>
      <c r="H423" s="56" t="s">
        <v>80</v>
      </c>
      <c r="I423" s="106"/>
      <c r="K423" s="56">
        <v>117</v>
      </c>
      <c r="L423" s="55" t="s">
        <v>176</v>
      </c>
      <c r="M423" s="55" t="s">
        <v>2824</v>
      </c>
      <c r="N423" s="4" t="s">
        <v>193</v>
      </c>
      <c r="O423" s="55" t="s">
        <v>178</v>
      </c>
    </row>
    <row r="424" spans="2:15">
      <c r="B424" s="99">
        <v>44811</v>
      </c>
      <c r="C424" s="59">
        <v>50010080</v>
      </c>
      <c r="D424" s="55" t="s">
        <v>354</v>
      </c>
      <c r="E424" s="67">
        <v>1000</v>
      </c>
      <c r="F424" s="67">
        <v>6</v>
      </c>
      <c r="G424" s="102">
        <v>6000</v>
      </c>
      <c r="H424" s="56" t="s">
        <v>82</v>
      </c>
      <c r="I424" s="106"/>
      <c r="K424" s="56">
        <v>117</v>
      </c>
      <c r="L424" s="55" t="s">
        <v>176</v>
      </c>
      <c r="M424" s="55" t="s">
        <v>2824</v>
      </c>
      <c r="N424" s="4" t="s">
        <v>193</v>
      </c>
      <c r="O424" s="55" t="s">
        <v>178</v>
      </c>
    </row>
    <row r="425" spans="2:15">
      <c r="B425" s="99">
        <v>44811</v>
      </c>
      <c r="C425" s="59">
        <v>50144200</v>
      </c>
      <c r="D425" s="55" t="s">
        <v>184</v>
      </c>
      <c r="E425" s="67">
        <v>264000</v>
      </c>
      <c r="F425" s="67">
        <v>6</v>
      </c>
      <c r="G425" s="102">
        <v>1584000</v>
      </c>
      <c r="H425" s="99" t="s">
        <v>92</v>
      </c>
      <c r="I425" s="106"/>
      <c r="K425" s="56">
        <v>117</v>
      </c>
      <c r="L425" s="55" t="s">
        <v>176</v>
      </c>
      <c r="M425" s="55" t="s">
        <v>2824</v>
      </c>
      <c r="N425" s="4" t="s">
        <v>193</v>
      </c>
      <c r="O425" s="55" t="s">
        <v>178</v>
      </c>
    </row>
    <row r="426" spans="2:15">
      <c r="B426" s="99">
        <v>44812</v>
      </c>
      <c r="C426" s="59">
        <v>50470190</v>
      </c>
      <c r="D426" s="55" t="s">
        <v>12</v>
      </c>
      <c r="E426" s="67">
        <v>289800</v>
      </c>
      <c r="F426" s="67">
        <v>18</v>
      </c>
      <c r="G426" s="102">
        <v>5216400</v>
      </c>
      <c r="H426" s="56" t="s">
        <v>92</v>
      </c>
      <c r="I426" s="106"/>
      <c r="K426" s="56">
        <v>118</v>
      </c>
      <c r="L426" s="55" t="s">
        <v>176</v>
      </c>
      <c r="M426" s="55" t="s">
        <v>2824</v>
      </c>
      <c r="N426" s="4" t="s">
        <v>193</v>
      </c>
      <c r="O426" s="55" t="s">
        <v>533</v>
      </c>
    </row>
    <row r="427" spans="2:15">
      <c r="B427" s="99">
        <v>44812</v>
      </c>
      <c r="C427" s="59">
        <v>50470190</v>
      </c>
      <c r="D427" s="55" t="s">
        <v>12</v>
      </c>
      <c r="E427" s="67">
        <v>289800</v>
      </c>
      <c r="F427" s="67">
        <v>10</v>
      </c>
      <c r="G427" s="102">
        <v>2898000</v>
      </c>
      <c r="H427" s="56" t="s">
        <v>92</v>
      </c>
      <c r="I427" s="106"/>
      <c r="K427" s="56">
        <v>119</v>
      </c>
      <c r="L427" s="55" t="s">
        <v>176</v>
      </c>
      <c r="M427" s="55" t="s">
        <v>2824</v>
      </c>
      <c r="N427" s="4" t="s">
        <v>193</v>
      </c>
      <c r="O427" s="55" t="s">
        <v>533</v>
      </c>
    </row>
    <row r="428" spans="2:15">
      <c r="B428" s="99">
        <v>44812</v>
      </c>
      <c r="C428" s="59">
        <v>50522169</v>
      </c>
      <c r="D428" s="55" t="s">
        <v>250</v>
      </c>
      <c r="E428" s="67">
        <v>700</v>
      </c>
      <c r="F428" s="67">
        <v>8</v>
      </c>
      <c r="G428" s="102">
        <v>5213.6</v>
      </c>
      <c r="H428" s="56" t="s">
        <v>82</v>
      </c>
      <c r="I428" s="106"/>
      <c r="K428" s="56">
        <v>119</v>
      </c>
      <c r="L428" s="55" t="s">
        <v>176</v>
      </c>
      <c r="M428" s="55" t="s">
        <v>2824</v>
      </c>
      <c r="N428" s="4" t="s">
        <v>193</v>
      </c>
      <c r="O428" s="55" t="s">
        <v>533</v>
      </c>
    </row>
    <row r="429" spans="2:15">
      <c r="B429" s="99">
        <v>44816</v>
      </c>
      <c r="C429" s="59">
        <v>50143646</v>
      </c>
      <c r="D429" s="55" t="s">
        <v>191</v>
      </c>
      <c r="E429" s="67">
        <v>480</v>
      </c>
      <c r="F429" s="67">
        <v>5</v>
      </c>
      <c r="G429" s="102">
        <v>2400</v>
      </c>
      <c r="H429" s="56" t="s">
        <v>82</v>
      </c>
      <c r="I429" s="106"/>
      <c r="K429" s="56">
        <v>120</v>
      </c>
      <c r="L429" s="55" t="s">
        <v>176</v>
      </c>
      <c r="M429" s="55" t="s">
        <v>2824</v>
      </c>
      <c r="N429" s="4" t="s">
        <v>193</v>
      </c>
      <c r="O429" s="55" t="s">
        <v>533</v>
      </c>
    </row>
    <row r="430" spans="2:15">
      <c r="B430" s="99">
        <v>44816</v>
      </c>
      <c r="C430" s="59">
        <v>50141786</v>
      </c>
      <c r="D430" s="55" t="s">
        <v>188</v>
      </c>
      <c r="E430" s="67">
        <v>560</v>
      </c>
      <c r="F430" s="67">
        <v>5</v>
      </c>
      <c r="G430" s="102">
        <v>2800</v>
      </c>
      <c r="H430" s="56" t="s">
        <v>82</v>
      </c>
      <c r="I430" s="106"/>
      <c r="K430" s="56">
        <v>120</v>
      </c>
      <c r="L430" s="55" t="s">
        <v>176</v>
      </c>
      <c r="M430" s="55" t="s">
        <v>2824</v>
      </c>
      <c r="N430" s="4" t="s">
        <v>193</v>
      </c>
      <c r="O430" s="55" t="s">
        <v>533</v>
      </c>
    </row>
    <row r="431" spans="2:15">
      <c r="B431" s="99">
        <v>44816</v>
      </c>
      <c r="C431" s="59">
        <v>50144376</v>
      </c>
      <c r="D431" s="55" t="s">
        <v>19</v>
      </c>
      <c r="E431" s="67">
        <v>500</v>
      </c>
      <c r="F431" s="67">
        <v>4</v>
      </c>
      <c r="G431" s="102">
        <v>2000</v>
      </c>
      <c r="H431" s="105" t="s">
        <v>92</v>
      </c>
      <c r="I431" s="106"/>
      <c r="K431" s="56">
        <v>120</v>
      </c>
      <c r="L431" s="55" t="s">
        <v>176</v>
      </c>
      <c r="M431" s="55" t="s">
        <v>2824</v>
      </c>
      <c r="N431" s="4" t="s">
        <v>193</v>
      </c>
      <c r="O431" s="55" t="s">
        <v>533</v>
      </c>
    </row>
    <row r="432" spans="2:15">
      <c r="B432" s="99">
        <v>44816</v>
      </c>
      <c r="C432" s="59">
        <v>50272278</v>
      </c>
      <c r="D432" s="55" t="s">
        <v>21</v>
      </c>
      <c r="E432" s="67">
        <v>500</v>
      </c>
      <c r="F432" s="67">
        <v>4</v>
      </c>
      <c r="G432" s="102">
        <v>2000</v>
      </c>
      <c r="H432" s="56" t="s">
        <v>92</v>
      </c>
      <c r="I432" s="106"/>
      <c r="K432" s="56">
        <v>120</v>
      </c>
      <c r="L432" s="55" t="s">
        <v>176</v>
      </c>
      <c r="M432" s="55" t="s">
        <v>2824</v>
      </c>
      <c r="N432" s="4" t="s">
        <v>193</v>
      </c>
      <c r="O432" s="55" t="s">
        <v>533</v>
      </c>
    </row>
    <row r="433" spans="2:15">
      <c r="B433" s="99">
        <v>44816</v>
      </c>
      <c r="C433" s="59">
        <v>50144200</v>
      </c>
      <c r="D433" s="55" t="s">
        <v>184</v>
      </c>
      <c r="E433" s="67">
        <v>264000</v>
      </c>
      <c r="F433" s="67">
        <v>4</v>
      </c>
      <c r="G433" s="102">
        <v>1045000</v>
      </c>
      <c r="H433" s="56" t="s">
        <v>92</v>
      </c>
      <c r="I433" s="106"/>
      <c r="K433" s="56">
        <v>120</v>
      </c>
      <c r="L433" s="55" t="s">
        <v>176</v>
      </c>
      <c r="M433" s="55" t="s">
        <v>2824</v>
      </c>
      <c r="N433" s="4" t="s">
        <v>193</v>
      </c>
      <c r="O433" s="55" t="s">
        <v>533</v>
      </c>
    </row>
    <row r="434" spans="2:15">
      <c r="B434" s="99">
        <v>44816</v>
      </c>
      <c r="C434" s="59">
        <v>50470190</v>
      </c>
      <c r="D434" s="55" t="s">
        <v>12</v>
      </c>
      <c r="E434" s="67">
        <v>289800</v>
      </c>
      <c r="F434" s="67">
        <v>10</v>
      </c>
      <c r="G434" s="102">
        <v>2898000</v>
      </c>
      <c r="H434" s="56" t="s">
        <v>92</v>
      </c>
      <c r="I434" s="106"/>
      <c r="K434" s="56">
        <v>121</v>
      </c>
      <c r="L434" s="55" t="s">
        <v>176</v>
      </c>
      <c r="M434" s="55" t="s">
        <v>2824</v>
      </c>
      <c r="N434" s="4" t="s">
        <v>193</v>
      </c>
      <c r="O434" s="55" t="s">
        <v>533</v>
      </c>
    </row>
    <row r="435" spans="2:15">
      <c r="B435" s="99">
        <v>44816</v>
      </c>
      <c r="C435" s="59">
        <v>40009546</v>
      </c>
      <c r="D435" s="55" t="s">
        <v>174</v>
      </c>
      <c r="E435" s="67">
        <v>756</v>
      </c>
      <c r="F435" s="67">
        <v>2</v>
      </c>
      <c r="G435" s="102">
        <v>1512</v>
      </c>
      <c r="H435" s="56" t="s">
        <v>80</v>
      </c>
      <c r="I435" s="106"/>
      <c r="K435" s="56">
        <v>121</v>
      </c>
      <c r="L435" s="55" t="s">
        <v>176</v>
      </c>
      <c r="M435" s="55" t="s">
        <v>2824</v>
      </c>
      <c r="N435" s="4" t="s">
        <v>193</v>
      </c>
      <c r="O435" s="55" t="s">
        <v>533</v>
      </c>
    </row>
    <row r="436" spans="2:15">
      <c r="B436" s="99">
        <v>44816</v>
      </c>
      <c r="C436" s="59">
        <v>50144376</v>
      </c>
      <c r="D436" s="55" t="s">
        <v>19</v>
      </c>
      <c r="E436" s="67">
        <v>500</v>
      </c>
      <c r="F436" s="67">
        <v>4</v>
      </c>
      <c r="G436" s="102">
        <v>2000</v>
      </c>
      <c r="H436" s="105" t="s">
        <v>92</v>
      </c>
      <c r="I436" s="106"/>
      <c r="K436" s="56">
        <v>121</v>
      </c>
      <c r="L436" s="55" t="s">
        <v>176</v>
      </c>
      <c r="M436" s="55" t="s">
        <v>2824</v>
      </c>
      <c r="N436" s="4" t="s">
        <v>193</v>
      </c>
      <c r="O436" s="55" t="s">
        <v>533</v>
      </c>
    </row>
    <row r="437" spans="2:15">
      <c r="B437" s="99">
        <v>44816</v>
      </c>
      <c r="C437" s="59">
        <v>50272278</v>
      </c>
      <c r="D437" s="55" t="s">
        <v>21</v>
      </c>
      <c r="E437" s="67">
        <v>500</v>
      </c>
      <c r="F437" s="67">
        <v>4</v>
      </c>
      <c r="G437" s="102">
        <v>2000</v>
      </c>
      <c r="H437" s="56" t="s">
        <v>92</v>
      </c>
      <c r="I437" s="106"/>
      <c r="K437" s="56">
        <v>121</v>
      </c>
      <c r="L437" s="55" t="s">
        <v>176</v>
      </c>
      <c r="M437" s="55" t="s">
        <v>2824</v>
      </c>
      <c r="N437" s="4" t="s">
        <v>193</v>
      </c>
      <c r="O437" s="55" t="s">
        <v>533</v>
      </c>
    </row>
    <row r="438" spans="2:15">
      <c r="B438" s="99">
        <v>44817</v>
      </c>
      <c r="C438" s="59">
        <v>50144376</v>
      </c>
      <c r="D438" s="55" t="s">
        <v>19</v>
      </c>
      <c r="E438" s="67">
        <v>500</v>
      </c>
      <c r="F438" s="67">
        <v>9</v>
      </c>
      <c r="G438" s="102">
        <v>4500</v>
      </c>
      <c r="H438" s="105" t="s">
        <v>92</v>
      </c>
      <c r="I438" s="106"/>
      <c r="K438" s="56">
        <v>122</v>
      </c>
      <c r="L438" s="55" t="s">
        <v>176</v>
      </c>
      <c r="M438" s="55" t="s">
        <v>2824</v>
      </c>
      <c r="N438" s="4" t="s">
        <v>177</v>
      </c>
      <c r="O438" s="55" t="s">
        <v>533</v>
      </c>
    </row>
    <row r="439" spans="2:15">
      <c r="B439" s="99">
        <v>44817</v>
      </c>
      <c r="C439" s="59">
        <v>50272278</v>
      </c>
      <c r="D439" s="55" t="s">
        <v>21</v>
      </c>
      <c r="E439" s="67">
        <v>500</v>
      </c>
      <c r="F439" s="67">
        <v>9</v>
      </c>
      <c r="G439" s="102">
        <v>4500</v>
      </c>
      <c r="H439" s="56" t="s">
        <v>92</v>
      </c>
      <c r="I439" s="106"/>
      <c r="K439" s="56">
        <v>122</v>
      </c>
      <c r="L439" s="55" t="s">
        <v>176</v>
      </c>
      <c r="M439" s="55" t="s">
        <v>2824</v>
      </c>
      <c r="N439" s="4" t="s">
        <v>177</v>
      </c>
      <c r="O439" s="55" t="s">
        <v>533</v>
      </c>
    </row>
    <row r="440" spans="2:15">
      <c r="B440" s="99">
        <v>44817</v>
      </c>
      <c r="C440" s="59">
        <v>50145028</v>
      </c>
      <c r="D440" s="55" t="s">
        <v>23</v>
      </c>
      <c r="E440" s="67">
        <v>192</v>
      </c>
      <c r="F440" s="67">
        <v>2</v>
      </c>
      <c r="G440" s="102">
        <v>384</v>
      </c>
      <c r="H440" s="56" t="s">
        <v>92</v>
      </c>
      <c r="I440" s="106"/>
      <c r="K440" s="56">
        <v>122</v>
      </c>
      <c r="L440" s="55" t="s">
        <v>176</v>
      </c>
      <c r="M440" s="55" t="s">
        <v>2824</v>
      </c>
      <c r="N440" s="4" t="s">
        <v>177</v>
      </c>
      <c r="O440" s="55" t="s">
        <v>533</v>
      </c>
    </row>
    <row r="441" spans="2:15">
      <c r="B441" s="99">
        <v>44817</v>
      </c>
      <c r="C441" s="59">
        <v>50470190</v>
      </c>
      <c r="D441" s="55" t="s">
        <v>12</v>
      </c>
      <c r="E441" s="67">
        <v>289800</v>
      </c>
      <c r="F441" s="67">
        <v>18</v>
      </c>
      <c r="G441" s="102">
        <f>18*289800</f>
        <v>5216400</v>
      </c>
      <c r="H441" s="56" t="s">
        <v>92</v>
      </c>
      <c r="I441" s="106"/>
      <c r="K441" s="56">
        <v>123</v>
      </c>
      <c r="L441" s="55" t="s">
        <v>176</v>
      </c>
      <c r="M441" s="55" t="s">
        <v>2824</v>
      </c>
      <c r="N441" s="4" t="s">
        <v>193</v>
      </c>
      <c r="O441" s="55" t="s">
        <v>533</v>
      </c>
    </row>
    <row r="442" spans="2:15">
      <c r="B442" s="99">
        <v>44817</v>
      </c>
      <c r="C442" s="59">
        <v>50145521</v>
      </c>
      <c r="D442" s="55" t="s">
        <v>436</v>
      </c>
      <c r="E442" s="67">
        <v>70000</v>
      </c>
      <c r="F442" s="67">
        <v>0</v>
      </c>
      <c r="G442" s="102">
        <v>150000</v>
      </c>
      <c r="H442" s="56" t="s">
        <v>92</v>
      </c>
      <c r="I442" s="106"/>
      <c r="K442" s="56">
        <v>124</v>
      </c>
      <c r="L442" s="55" t="s">
        <v>2836</v>
      </c>
      <c r="M442" s="55" t="s">
        <v>326</v>
      </c>
      <c r="N442" s="4" t="s">
        <v>2836</v>
      </c>
      <c r="O442" s="55" t="s">
        <v>533</v>
      </c>
    </row>
    <row r="443" spans="2:15">
      <c r="B443" s="99">
        <v>44817</v>
      </c>
      <c r="C443" s="59">
        <v>50272278</v>
      </c>
      <c r="D443" s="55" t="s">
        <v>21</v>
      </c>
      <c r="E443" s="67">
        <v>500</v>
      </c>
      <c r="F443" s="67">
        <v>20</v>
      </c>
      <c r="G443" s="102">
        <v>10000</v>
      </c>
      <c r="H443" s="56" t="s">
        <v>92</v>
      </c>
      <c r="I443" s="106"/>
      <c r="K443" s="56">
        <v>124</v>
      </c>
      <c r="L443" s="55" t="s">
        <v>2836</v>
      </c>
      <c r="M443" s="55" t="s">
        <v>326</v>
      </c>
      <c r="N443" s="4" t="s">
        <v>2836</v>
      </c>
      <c r="O443" s="55" t="s">
        <v>533</v>
      </c>
    </row>
    <row r="444" spans="2:15">
      <c r="B444" s="99">
        <v>44817</v>
      </c>
      <c r="C444" s="59">
        <v>50145028</v>
      </c>
      <c r="D444" s="55" t="s">
        <v>23</v>
      </c>
      <c r="E444" s="67">
        <v>192</v>
      </c>
      <c r="F444" s="67">
        <v>3</v>
      </c>
      <c r="G444" s="102">
        <v>576</v>
      </c>
      <c r="H444" s="56" t="s">
        <v>92</v>
      </c>
      <c r="I444" s="106"/>
      <c r="K444" s="56">
        <v>124</v>
      </c>
      <c r="L444" s="55" t="s">
        <v>2836</v>
      </c>
      <c r="M444" s="55" t="s">
        <v>326</v>
      </c>
      <c r="N444" s="4" t="s">
        <v>2836</v>
      </c>
      <c r="O444" s="55" t="s">
        <v>533</v>
      </c>
    </row>
    <row r="445" spans="2:15">
      <c r="B445" s="99">
        <v>44818</v>
      </c>
      <c r="C445" s="59">
        <v>50272278</v>
      </c>
      <c r="D445" s="55" t="s">
        <v>21</v>
      </c>
      <c r="E445" s="67">
        <v>500</v>
      </c>
      <c r="F445" s="67">
        <v>10</v>
      </c>
      <c r="G445" s="102">
        <v>5000</v>
      </c>
      <c r="H445" s="56" t="s">
        <v>92</v>
      </c>
      <c r="I445" s="106"/>
      <c r="K445" s="56">
        <v>125</v>
      </c>
      <c r="L445" s="55" t="s">
        <v>176</v>
      </c>
      <c r="M445" s="55" t="s">
        <v>2824</v>
      </c>
      <c r="N445" s="4" t="s">
        <v>177</v>
      </c>
      <c r="O445" s="55" t="s">
        <v>178</v>
      </c>
    </row>
    <row r="446" spans="2:15">
      <c r="B446" s="99">
        <v>44818</v>
      </c>
      <c r="C446" s="59">
        <v>50144376</v>
      </c>
      <c r="D446" s="55" t="s">
        <v>19</v>
      </c>
      <c r="E446" s="67">
        <v>500</v>
      </c>
      <c r="F446" s="67">
        <v>10</v>
      </c>
      <c r="G446" s="102">
        <v>5000</v>
      </c>
      <c r="H446" s="105" t="s">
        <v>92</v>
      </c>
      <c r="I446" s="106"/>
      <c r="K446" s="56">
        <v>125</v>
      </c>
      <c r="L446" s="55" t="s">
        <v>176</v>
      </c>
      <c r="M446" s="55" t="s">
        <v>2824</v>
      </c>
      <c r="N446" s="4" t="s">
        <v>177</v>
      </c>
      <c r="O446" s="55" t="s">
        <v>178</v>
      </c>
    </row>
    <row r="447" spans="2:15">
      <c r="B447" s="99">
        <v>44819</v>
      </c>
      <c r="C447" s="59">
        <v>50142327</v>
      </c>
      <c r="D447" s="55" t="s">
        <v>256</v>
      </c>
      <c r="E447" s="67">
        <v>681</v>
      </c>
      <c r="F447" s="67">
        <v>5</v>
      </c>
      <c r="G447" s="102">
        <v>3405</v>
      </c>
      <c r="H447" s="56" t="s">
        <v>82</v>
      </c>
      <c r="I447" s="106"/>
      <c r="K447" s="56">
        <v>126</v>
      </c>
      <c r="L447" s="55" t="s">
        <v>176</v>
      </c>
      <c r="M447" s="55" t="s">
        <v>2824</v>
      </c>
      <c r="N447" s="4" t="s">
        <v>177</v>
      </c>
      <c r="O447" s="55" t="s">
        <v>178</v>
      </c>
    </row>
    <row r="448" spans="2:15">
      <c r="B448" s="99">
        <v>44819</v>
      </c>
      <c r="C448" s="59">
        <v>50142334</v>
      </c>
      <c r="D448" s="55" t="s">
        <v>257</v>
      </c>
      <c r="E448" s="67">
        <v>681</v>
      </c>
      <c r="F448" s="67">
        <v>5</v>
      </c>
      <c r="G448" s="102">
        <v>3405</v>
      </c>
      <c r="H448" s="56" t="s">
        <v>82</v>
      </c>
      <c r="I448" s="106"/>
      <c r="K448" s="56">
        <v>126</v>
      </c>
      <c r="L448" s="55" t="s">
        <v>176</v>
      </c>
      <c r="M448" s="55" t="s">
        <v>2824</v>
      </c>
      <c r="N448" s="4" t="s">
        <v>177</v>
      </c>
      <c r="O448" s="55" t="s">
        <v>178</v>
      </c>
    </row>
    <row r="449" spans="2:15">
      <c r="B449" s="99">
        <v>44819</v>
      </c>
      <c r="C449" s="59">
        <v>50419454</v>
      </c>
      <c r="D449" s="55" t="s">
        <v>438</v>
      </c>
      <c r="E449" s="67">
        <v>580</v>
      </c>
      <c r="F449" s="67">
        <v>4</v>
      </c>
      <c r="G449" s="102">
        <v>2512.4</v>
      </c>
      <c r="H449" s="56" t="s">
        <v>82</v>
      </c>
      <c r="I449" s="106"/>
      <c r="K449" s="56">
        <v>126</v>
      </c>
      <c r="L449" s="55" t="s">
        <v>176</v>
      </c>
      <c r="M449" s="55" t="s">
        <v>2824</v>
      </c>
      <c r="N449" s="4" t="s">
        <v>177</v>
      </c>
      <c r="O449" s="55" t="s">
        <v>178</v>
      </c>
    </row>
    <row r="450" spans="2:15">
      <c r="B450" s="99">
        <v>44819</v>
      </c>
      <c r="C450" s="59">
        <v>40003932</v>
      </c>
      <c r="D450" s="55" t="s">
        <v>361</v>
      </c>
      <c r="E450" s="67">
        <v>441</v>
      </c>
      <c r="F450" s="67">
        <v>2</v>
      </c>
      <c r="G450" s="102">
        <v>882</v>
      </c>
      <c r="H450" s="56" t="s">
        <v>80</v>
      </c>
      <c r="I450" s="106"/>
      <c r="K450" s="56">
        <v>127</v>
      </c>
      <c r="L450" s="55" t="s">
        <v>176</v>
      </c>
      <c r="M450" s="55" t="s">
        <v>2824</v>
      </c>
      <c r="N450" s="4" t="s">
        <v>177</v>
      </c>
      <c r="O450" s="55" t="s">
        <v>178</v>
      </c>
    </row>
    <row r="451" spans="2:15">
      <c r="B451" s="99">
        <v>44819</v>
      </c>
      <c r="C451" s="59">
        <v>50372640</v>
      </c>
      <c r="D451" s="55" t="s">
        <v>274</v>
      </c>
      <c r="E451" s="67">
        <v>3000</v>
      </c>
      <c r="F451" s="67">
        <v>5</v>
      </c>
      <c r="G451" s="102">
        <v>11875</v>
      </c>
      <c r="H451" s="56" t="s">
        <v>92</v>
      </c>
      <c r="I451" s="106"/>
      <c r="K451" s="56">
        <v>127</v>
      </c>
      <c r="L451" s="55" t="s">
        <v>176</v>
      </c>
      <c r="M451" s="55" t="s">
        <v>2824</v>
      </c>
      <c r="N451" s="4" t="s">
        <v>177</v>
      </c>
      <c r="O451" s="55" t="s">
        <v>178</v>
      </c>
    </row>
    <row r="452" spans="2:15">
      <c r="B452" s="99">
        <v>44819</v>
      </c>
      <c r="C452" s="59">
        <v>50493262</v>
      </c>
      <c r="D452" s="55" t="s">
        <v>248</v>
      </c>
      <c r="E452" s="67">
        <v>701</v>
      </c>
      <c r="F452" s="67">
        <v>2</v>
      </c>
      <c r="G452" s="102">
        <v>1362.8</v>
      </c>
      <c r="H452" s="56" t="s">
        <v>82</v>
      </c>
      <c r="I452" s="106"/>
      <c r="K452" s="56">
        <v>127</v>
      </c>
      <c r="L452" s="55" t="s">
        <v>176</v>
      </c>
      <c r="M452" s="55" t="s">
        <v>2824</v>
      </c>
      <c r="N452" s="4" t="s">
        <v>177</v>
      </c>
      <c r="O452" s="55" t="s">
        <v>178</v>
      </c>
    </row>
    <row r="453" spans="2:15">
      <c r="B453" s="99">
        <v>44819</v>
      </c>
      <c r="C453" s="59">
        <v>50145028</v>
      </c>
      <c r="D453" s="55" t="s">
        <v>23</v>
      </c>
      <c r="E453" s="67">
        <v>192</v>
      </c>
      <c r="F453" s="67">
        <v>5</v>
      </c>
      <c r="G453" s="102">
        <v>960</v>
      </c>
      <c r="H453" s="56" t="s">
        <v>92</v>
      </c>
      <c r="I453" s="106"/>
      <c r="K453" s="56">
        <v>127</v>
      </c>
      <c r="L453" s="55" t="s">
        <v>176</v>
      </c>
      <c r="M453" s="55" t="s">
        <v>2824</v>
      </c>
      <c r="N453" s="4" t="s">
        <v>177</v>
      </c>
      <c r="O453" s="55" t="s">
        <v>178</v>
      </c>
    </row>
    <row r="454" spans="2:15">
      <c r="B454" s="99">
        <v>44819</v>
      </c>
      <c r="C454" s="59">
        <v>50789524</v>
      </c>
      <c r="D454" s="55" t="s">
        <v>561</v>
      </c>
      <c r="E454" s="67">
        <v>20000</v>
      </c>
      <c r="F454" s="67">
        <v>1</v>
      </c>
      <c r="G454" s="102">
        <v>420000</v>
      </c>
      <c r="H454" s="56" t="s">
        <v>82</v>
      </c>
      <c r="I454" s="106"/>
      <c r="K454" s="56">
        <v>127</v>
      </c>
      <c r="L454" s="55" t="s">
        <v>176</v>
      </c>
      <c r="M454" s="55" t="s">
        <v>2824</v>
      </c>
      <c r="N454" s="4" t="s">
        <v>177</v>
      </c>
      <c r="O454" s="55" t="s">
        <v>178</v>
      </c>
    </row>
    <row r="455" spans="2:15">
      <c r="B455" s="99">
        <v>44819</v>
      </c>
      <c r="C455" s="59">
        <v>40499</v>
      </c>
      <c r="D455" s="55" t="s">
        <v>316</v>
      </c>
      <c r="E455" s="67">
        <v>10</v>
      </c>
      <c r="F455" s="67">
        <v>10</v>
      </c>
      <c r="G455" s="102">
        <v>10</v>
      </c>
      <c r="H455" s="56" t="s">
        <v>92</v>
      </c>
      <c r="I455" s="106"/>
      <c r="K455" s="56">
        <v>127</v>
      </c>
      <c r="L455" s="55" t="s">
        <v>176</v>
      </c>
      <c r="M455" s="55" t="s">
        <v>2824</v>
      </c>
      <c r="N455" s="4" t="s">
        <v>177</v>
      </c>
      <c r="O455" s="55" t="s">
        <v>178</v>
      </c>
    </row>
    <row r="456" spans="2:15">
      <c r="B456" s="99">
        <v>44820</v>
      </c>
      <c r="C456" s="59">
        <v>50470190</v>
      </c>
      <c r="D456" s="55" t="s">
        <v>12</v>
      </c>
      <c r="E456" s="67">
        <v>289800</v>
      </c>
      <c r="F456" s="67">
        <v>13</v>
      </c>
      <c r="G456" s="102">
        <v>3767400</v>
      </c>
      <c r="H456" s="56" t="s">
        <v>92</v>
      </c>
      <c r="I456" s="106"/>
      <c r="K456" s="56">
        <v>128</v>
      </c>
      <c r="L456" s="55" t="s">
        <v>176</v>
      </c>
      <c r="M456" s="55" t="s">
        <v>2824</v>
      </c>
      <c r="N456" s="4" t="s">
        <v>193</v>
      </c>
      <c r="O456" s="55" t="s">
        <v>178</v>
      </c>
    </row>
    <row r="457" spans="2:15">
      <c r="B457" s="99">
        <v>44820</v>
      </c>
      <c r="C457" s="59">
        <v>40009151</v>
      </c>
      <c r="D457" s="55" t="s">
        <v>180</v>
      </c>
      <c r="E457" s="67">
        <v>220.5</v>
      </c>
      <c r="F457" s="67">
        <v>5</v>
      </c>
      <c r="G457" s="102">
        <v>1102.5</v>
      </c>
      <c r="H457" s="56" t="s">
        <v>80</v>
      </c>
      <c r="I457" s="106"/>
      <c r="K457" s="56">
        <v>128</v>
      </c>
      <c r="L457" s="55" t="s">
        <v>176</v>
      </c>
      <c r="M457" s="55" t="s">
        <v>2824</v>
      </c>
      <c r="N457" s="4" t="s">
        <v>193</v>
      </c>
      <c r="O457" s="55" t="s">
        <v>178</v>
      </c>
    </row>
    <row r="458" spans="2:15">
      <c r="B458" s="99">
        <v>44823</v>
      </c>
      <c r="C458" s="59">
        <v>50470190</v>
      </c>
      <c r="D458" s="55" t="s">
        <v>12</v>
      </c>
      <c r="E458" s="67">
        <v>289800</v>
      </c>
      <c r="F458" s="67">
        <v>18</v>
      </c>
      <c r="G458" s="102">
        <v>5216400</v>
      </c>
      <c r="H458" s="56" t="s">
        <v>92</v>
      </c>
      <c r="I458" s="106"/>
      <c r="K458" s="56">
        <v>129</v>
      </c>
      <c r="L458" s="55" t="s">
        <v>176</v>
      </c>
      <c r="M458" s="55" t="s">
        <v>2824</v>
      </c>
      <c r="N458" s="4" t="s">
        <v>193</v>
      </c>
      <c r="O458" s="55" t="s">
        <v>178</v>
      </c>
    </row>
    <row r="459" spans="2:15">
      <c r="B459" s="99">
        <v>44823</v>
      </c>
      <c r="C459" s="59">
        <v>50272278</v>
      </c>
      <c r="D459" s="55" t="s">
        <v>21</v>
      </c>
      <c r="E459" s="67">
        <v>500</v>
      </c>
      <c r="F459" s="67">
        <v>22</v>
      </c>
      <c r="G459" s="102">
        <v>11000</v>
      </c>
      <c r="H459" s="56" t="s">
        <v>92</v>
      </c>
      <c r="I459" s="106"/>
      <c r="K459" s="56">
        <v>130</v>
      </c>
      <c r="L459" s="55" t="s">
        <v>176</v>
      </c>
      <c r="M459" s="55" t="s">
        <v>2824</v>
      </c>
      <c r="N459" s="4" t="s">
        <v>193</v>
      </c>
      <c r="O459" s="55" t="s">
        <v>178</v>
      </c>
    </row>
    <row r="460" spans="2:15">
      <c r="B460" s="99">
        <v>44824</v>
      </c>
      <c r="C460" s="59">
        <v>50470190</v>
      </c>
      <c r="D460" s="55" t="s">
        <v>12</v>
      </c>
      <c r="E460" s="67">
        <v>289800</v>
      </c>
      <c r="F460" s="67">
        <v>18</v>
      </c>
      <c r="G460" s="102">
        <v>5216400</v>
      </c>
      <c r="H460" s="56" t="s">
        <v>92</v>
      </c>
      <c r="I460" s="106"/>
      <c r="K460" s="56">
        <v>131</v>
      </c>
      <c r="L460" s="55" t="s">
        <v>176</v>
      </c>
      <c r="M460" s="55" t="s">
        <v>2824</v>
      </c>
      <c r="N460" s="4" t="s">
        <v>193</v>
      </c>
      <c r="O460" s="55" t="s">
        <v>178</v>
      </c>
    </row>
    <row r="461" spans="2:15">
      <c r="B461" s="99">
        <v>44824</v>
      </c>
      <c r="C461" s="59">
        <v>50785753</v>
      </c>
      <c r="D461" s="55" t="s">
        <v>570</v>
      </c>
      <c r="E461" s="67">
        <v>456</v>
      </c>
      <c r="F461" s="67">
        <v>9</v>
      </c>
      <c r="G461" s="102">
        <v>3420.5</v>
      </c>
      <c r="H461" s="99" t="s">
        <v>82</v>
      </c>
      <c r="I461" s="106"/>
      <c r="K461" s="56">
        <v>132</v>
      </c>
      <c r="L461" s="55" t="s">
        <v>2826</v>
      </c>
      <c r="M461" s="55" t="s">
        <v>326</v>
      </c>
      <c r="N461" s="4" t="s">
        <v>2837</v>
      </c>
      <c r="O461" s="55" t="s">
        <v>178</v>
      </c>
    </row>
    <row r="462" spans="2:15">
      <c r="B462" s="99">
        <v>44824</v>
      </c>
      <c r="C462" s="59">
        <v>50144376</v>
      </c>
      <c r="D462" s="55" t="s">
        <v>19</v>
      </c>
      <c r="E462" s="67">
        <v>500</v>
      </c>
      <c r="F462" s="67">
        <v>12</v>
      </c>
      <c r="G462" s="102">
        <v>6000</v>
      </c>
      <c r="H462" s="105" t="s">
        <v>92</v>
      </c>
      <c r="I462" s="106"/>
      <c r="K462" s="56">
        <v>133</v>
      </c>
      <c r="L462" s="55" t="s">
        <v>176</v>
      </c>
      <c r="M462" s="55" t="s">
        <v>2824</v>
      </c>
      <c r="N462" s="4" t="s">
        <v>193</v>
      </c>
      <c r="O462" s="55" t="s">
        <v>178</v>
      </c>
    </row>
    <row r="463" spans="2:15">
      <c r="B463" s="99">
        <v>44824</v>
      </c>
      <c r="C463" s="59">
        <v>50010080</v>
      </c>
      <c r="D463" s="55" t="s">
        <v>354</v>
      </c>
      <c r="E463" s="67">
        <v>1000</v>
      </c>
      <c r="F463" s="67">
        <v>4</v>
      </c>
      <c r="G463" s="102">
        <v>4000</v>
      </c>
      <c r="H463" s="56" t="s">
        <v>82</v>
      </c>
      <c r="I463" s="106"/>
      <c r="K463" s="56">
        <v>133</v>
      </c>
      <c r="L463" s="55" t="s">
        <v>176</v>
      </c>
      <c r="M463" s="55" t="s">
        <v>2824</v>
      </c>
      <c r="N463" s="4" t="s">
        <v>193</v>
      </c>
      <c r="O463" s="55" t="s">
        <v>178</v>
      </c>
    </row>
    <row r="464" spans="2:15">
      <c r="B464" s="99">
        <v>44824</v>
      </c>
      <c r="C464" s="59">
        <v>50141786</v>
      </c>
      <c r="D464" s="55" t="s">
        <v>188</v>
      </c>
      <c r="E464" s="67">
        <v>560</v>
      </c>
      <c r="F464" s="67">
        <v>6</v>
      </c>
      <c r="G464" s="102">
        <v>3360</v>
      </c>
      <c r="H464" s="56" t="s">
        <v>82</v>
      </c>
      <c r="I464" s="106"/>
      <c r="K464" s="56">
        <v>133</v>
      </c>
      <c r="L464" s="55" t="s">
        <v>176</v>
      </c>
      <c r="M464" s="55" t="s">
        <v>2824</v>
      </c>
      <c r="N464" s="4" t="s">
        <v>193</v>
      </c>
      <c r="O464" s="55" t="s">
        <v>178</v>
      </c>
    </row>
    <row r="465" spans="2:15">
      <c r="B465" s="99">
        <v>44825</v>
      </c>
      <c r="C465" s="59">
        <v>50142327</v>
      </c>
      <c r="D465" s="55" t="s">
        <v>256</v>
      </c>
      <c r="E465" s="67">
        <v>681</v>
      </c>
      <c r="F465" s="67">
        <v>2</v>
      </c>
      <c r="G465" s="102">
        <v>1362</v>
      </c>
      <c r="H465" s="56" t="s">
        <v>82</v>
      </c>
      <c r="I465" s="106"/>
      <c r="K465" s="56">
        <v>134</v>
      </c>
      <c r="L465" s="55" t="s">
        <v>176</v>
      </c>
      <c r="M465" s="55" t="s">
        <v>2824</v>
      </c>
      <c r="N465" s="4" t="s">
        <v>193</v>
      </c>
      <c r="O465" s="55" t="s">
        <v>178</v>
      </c>
    </row>
    <row r="466" spans="2:15">
      <c r="B466" s="99">
        <v>44825</v>
      </c>
      <c r="C466" s="59">
        <v>50142334</v>
      </c>
      <c r="D466" s="55" t="s">
        <v>257</v>
      </c>
      <c r="E466" s="67">
        <v>681</v>
      </c>
      <c r="F466" s="67">
        <v>2</v>
      </c>
      <c r="G466" s="102">
        <v>1362</v>
      </c>
      <c r="H466" s="56" t="s">
        <v>82</v>
      </c>
      <c r="I466" s="106"/>
      <c r="K466" s="56">
        <v>134</v>
      </c>
      <c r="L466" s="55" t="s">
        <v>176</v>
      </c>
      <c r="M466" s="55" t="s">
        <v>2824</v>
      </c>
      <c r="N466" s="4" t="s">
        <v>193</v>
      </c>
      <c r="O466" s="55" t="s">
        <v>178</v>
      </c>
    </row>
    <row r="467" spans="2:15">
      <c r="B467" s="99">
        <v>44825</v>
      </c>
      <c r="C467" s="59">
        <v>40011080</v>
      </c>
      <c r="D467" s="55" t="s">
        <v>420</v>
      </c>
      <c r="E467" s="67">
        <v>450</v>
      </c>
      <c r="F467" s="67">
        <v>5</v>
      </c>
      <c r="G467" s="102">
        <v>2250</v>
      </c>
      <c r="H467" s="56" t="s">
        <v>80</v>
      </c>
      <c r="I467" s="106"/>
      <c r="K467" s="56">
        <v>134</v>
      </c>
      <c r="L467" s="55" t="s">
        <v>176</v>
      </c>
      <c r="M467" s="55" t="s">
        <v>2824</v>
      </c>
      <c r="N467" s="4" t="s">
        <v>193</v>
      </c>
      <c r="O467" s="55" t="s">
        <v>178</v>
      </c>
    </row>
    <row r="468" spans="2:15">
      <c r="B468" s="99">
        <v>44825</v>
      </c>
      <c r="C468" s="59">
        <v>50144376</v>
      </c>
      <c r="D468" s="55" t="s">
        <v>19</v>
      </c>
      <c r="E468" s="67">
        <v>500</v>
      </c>
      <c r="F468" s="67">
        <v>6</v>
      </c>
      <c r="G468" s="102">
        <v>3000</v>
      </c>
      <c r="H468" s="105" t="s">
        <v>92</v>
      </c>
      <c r="I468" s="106"/>
      <c r="K468" s="56">
        <v>134</v>
      </c>
      <c r="L468" s="55" t="s">
        <v>176</v>
      </c>
      <c r="M468" s="55" t="s">
        <v>2824</v>
      </c>
      <c r="N468" s="4" t="s">
        <v>193</v>
      </c>
      <c r="O468" s="55" t="s">
        <v>178</v>
      </c>
    </row>
    <row r="469" spans="2:15">
      <c r="B469" s="99">
        <v>44826</v>
      </c>
      <c r="C469" s="59">
        <v>40011588</v>
      </c>
      <c r="D469" s="55" t="s">
        <v>585</v>
      </c>
      <c r="E469" s="67">
        <v>450</v>
      </c>
      <c r="F469" s="67">
        <v>11</v>
      </c>
      <c r="G469" s="102">
        <v>4950</v>
      </c>
      <c r="H469" s="56" t="s">
        <v>80</v>
      </c>
      <c r="I469" s="106"/>
      <c r="K469" s="56">
        <v>135</v>
      </c>
      <c r="L469" s="55" t="s">
        <v>176</v>
      </c>
      <c r="M469" s="55" t="s">
        <v>2824</v>
      </c>
      <c r="N469" s="4" t="s">
        <v>193</v>
      </c>
      <c r="O469" s="55" t="s">
        <v>178</v>
      </c>
    </row>
    <row r="470" spans="2:15">
      <c r="B470" s="99">
        <v>44826</v>
      </c>
      <c r="C470" s="59">
        <v>50272278</v>
      </c>
      <c r="D470" s="55" t="s">
        <v>21</v>
      </c>
      <c r="E470" s="67">
        <v>500</v>
      </c>
      <c r="F470" s="67">
        <v>11</v>
      </c>
      <c r="G470" s="102">
        <v>5500</v>
      </c>
      <c r="H470" s="56" t="s">
        <v>92</v>
      </c>
      <c r="K470" s="56">
        <v>135</v>
      </c>
      <c r="L470" s="55" t="s">
        <v>176</v>
      </c>
      <c r="M470" s="55" t="s">
        <v>2824</v>
      </c>
      <c r="N470" s="4" t="s">
        <v>193</v>
      </c>
      <c r="O470" s="55" t="s">
        <v>178</v>
      </c>
    </row>
    <row r="471" spans="2:15">
      <c r="B471" s="99">
        <v>44826</v>
      </c>
      <c r="C471" s="59">
        <v>50272278</v>
      </c>
      <c r="D471" s="55" t="s">
        <v>21</v>
      </c>
      <c r="E471" s="67">
        <v>500</v>
      </c>
      <c r="F471" s="67">
        <v>5</v>
      </c>
      <c r="G471" s="102">
        <v>2500</v>
      </c>
      <c r="H471" s="56" t="s">
        <v>92</v>
      </c>
      <c r="K471" s="56">
        <v>136</v>
      </c>
      <c r="L471" s="55" t="s">
        <v>176</v>
      </c>
      <c r="M471" s="55" t="s">
        <v>2824</v>
      </c>
      <c r="N471" s="4" t="s">
        <v>193</v>
      </c>
      <c r="O471" s="55" t="s">
        <v>178</v>
      </c>
    </row>
    <row r="472" spans="2:15">
      <c r="B472" s="99">
        <v>44826</v>
      </c>
      <c r="C472" s="59">
        <v>50144376</v>
      </c>
      <c r="D472" s="55" t="s">
        <v>19</v>
      </c>
      <c r="E472" s="67">
        <v>500</v>
      </c>
      <c r="F472" s="67">
        <v>5</v>
      </c>
      <c r="G472" s="102">
        <v>2500</v>
      </c>
      <c r="H472" s="105" t="s">
        <v>92</v>
      </c>
      <c r="K472" s="56">
        <v>136</v>
      </c>
      <c r="L472" s="55" t="s">
        <v>176</v>
      </c>
      <c r="M472" s="55" t="s">
        <v>2824</v>
      </c>
      <c r="N472" s="4" t="s">
        <v>193</v>
      </c>
      <c r="O472" s="55" t="s">
        <v>178</v>
      </c>
    </row>
    <row r="473" spans="2:15">
      <c r="B473" s="99">
        <v>44826</v>
      </c>
      <c r="C473" s="59">
        <v>40011080</v>
      </c>
      <c r="D473" s="55" t="s">
        <v>420</v>
      </c>
      <c r="E473" s="67">
        <v>450</v>
      </c>
      <c r="F473" s="67">
        <v>6</v>
      </c>
      <c r="G473" s="102">
        <v>2700</v>
      </c>
      <c r="H473" s="56" t="s">
        <v>80</v>
      </c>
      <c r="K473" s="56">
        <v>136</v>
      </c>
      <c r="L473" s="55" t="s">
        <v>176</v>
      </c>
      <c r="M473" s="55" t="s">
        <v>2824</v>
      </c>
      <c r="N473" s="4" t="s">
        <v>193</v>
      </c>
      <c r="O473" s="55" t="s">
        <v>178</v>
      </c>
    </row>
    <row r="474" spans="2:15">
      <c r="B474" s="99">
        <v>44826</v>
      </c>
      <c r="C474" s="59">
        <v>40009546</v>
      </c>
      <c r="D474" s="55" t="s">
        <v>174</v>
      </c>
      <c r="E474" s="67">
        <v>756</v>
      </c>
      <c r="F474" s="67">
        <v>7</v>
      </c>
      <c r="G474" s="102">
        <v>4677</v>
      </c>
      <c r="H474" s="56" t="s">
        <v>80</v>
      </c>
      <c r="K474" s="56">
        <v>136</v>
      </c>
      <c r="L474" s="55" t="s">
        <v>176</v>
      </c>
      <c r="M474" s="55" t="s">
        <v>2824</v>
      </c>
      <c r="N474" s="4" t="s">
        <v>193</v>
      </c>
      <c r="O474" s="55" t="s">
        <v>178</v>
      </c>
    </row>
    <row r="475" spans="2:15">
      <c r="B475" s="99">
        <v>44827</v>
      </c>
      <c r="C475" s="59">
        <v>50144376</v>
      </c>
      <c r="D475" s="55" t="s">
        <v>19</v>
      </c>
      <c r="E475" s="67">
        <v>500</v>
      </c>
      <c r="F475" s="67">
        <v>22</v>
      </c>
      <c r="G475" s="102">
        <v>11000</v>
      </c>
      <c r="H475" s="105" t="s">
        <v>92</v>
      </c>
      <c r="K475" s="56">
        <v>137</v>
      </c>
      <c r="L475" s="55" t="s">
        <v>176</v>
      </c>
      <c r="M475" s="55" t="s">
        <v>2824</v>
      </c>
      <c r="N475" s="4" t="s">
        <v>193</v>
      </c>
      <c r="O475" s="55" t="s">
        <v>178</v>
      </c>
    </row>
    <row r="476" spans="2:15">
      <c r="B476" s="99">
        <v>44827</v>
      </c>
      <c r="C476" s="59">
        <v>50470190</v>
      </c>
      <c r="D476" s="55" t="s">
        <v>12</v>
      </c>
      <c r="E476" s="67">
        <v>289800</v>
      </c>
      <c r="F476" s="67">
        <v>18</v>
      </c>
      <c r="G476" s="102">
        <v>5216400</v>
      </c>
      <c r="H476" s="56" t="s">
        <v>92</v>
      </c>
      <c r="K476" s="56">
        <v>138</v>
      </c>
      <c r="L476" s="55" t="s">
        <v>176</v>
      </c>
      <c r="M476" s="55" t="s">
        <v>2824</v>
      </c>
      <c r="N476" s="4" t="s">
        <v>193</v>
      </c>
      <c r="O476" s="55" t="s">
        <v>178</v>
      </c>
    </row>
    <row r="477" spans="2:15">
      <c r="B477" s="99">
        <v>44830</v>
      </c>
      <c r="C477" s="59">
        <v>50272278</v>
      </c>
      <c r="D477" s="55" t="s">
        <v>21</v>
      </c>
      <c r="E477" s="67">
        <v>500</v>
      </c>
      <c r="F477" s="67">
        <v>14</v>
      </c>
      <c r="G477" s="102">
        <v>7000</v>
      </c>
      <c r="H477" s="56" t="s">
        <v>92</v>
      </c>
      <c r="K477" s="56">
        <v>139</v>
      </c>
      <c r="L477" s="55" t="s">
        <v>176</v>
      </c>
      <c r="M477" s="55" t="s">
        <v>2824</v>
      </c>
      <c r="N477" s="4" t="s">
        <v>177</v>
      </c>
      <c r="O477" s="55" t="s">
        <v>178</v>
      </c>
    </row>
    <row r="478" spans="2:15">
      <c r="B478" s="99">
        <v>44830</v>
      </c>
      <c r="C478" s="59">
        <v>50522176</v>
      </c>
      <c r="D478" s="55" t="s">
        <v>455</v>
      </c>
      <c r="E478" s="67">
        <v>721</v>
      </c>
      <c r="F478" s="67">
        <v>3</v>
      </c>
      <c r="G478" s="102">
        <v>1511.4</v>
      </c>
      <c r="H478" s="56" t="s">
        <v>82</v>
      </c>
      <c r="K478" s="56">
        <v>139</v>
      </c>
      <c r="L478" s="55" t="s">
        <v>176</v>
      </c>
      <c r="M478" s="55" t="s">
        <v>2824</v>
      </c>
      <c r="N478" s="4" t="s">
        <v>177</v>
      </c>
      <c r="O478" s="55" t="s">
        <v>178</v>
      </c>
    </row>
    <row r="479" spans="2:15">
      <c r="B479" s="99">
        <v>44830</v>
      </c>
      <c r="C479" s="59">
        <v>40009546</v>
      </c>
      <c r="D479" s="55" t="s">
        <v>174</v>
      </c>
      <c r="E479" s="67">
        <v>756</v>
      </c>
      <c r="F479" s="67">
        <v>2</v>
      </c>
      <c r="G479" s="102">
        <v>1512</v>
      </c>
      <c r="H479" s="56" t="s">
        <v>80</v>
      </c>
      <c r="K479" s="56">
        <v>139</v>
      </c>
      <c r="L479" s="55" t="s">
        <v>176</v>
      </c>
      <c r="M479" s="55" t="s">
        <v>2824</v>
      </c>
      <c r="N479" s="4" t="s">
        <v>177</v>
      </c>
      <c r="O479" s="55" t="s">
        <v>178</v>
      </c>
    </row>
    <row r="480" spans="2:15">
      <c r="B480" s="99">
        <v>44830</v>
      </c>
      <c r="C480" s="59">
        <v>50010080</v>
      </c>
      <c r="D480" s="55" t="s">
        <v>354</v>
      </c>
      <c r="E480" s="67">
        <v>1000</v>
      </c>
      <c r="F480" s="67">
        <v>4</v>
      </c>
      <c r="G480" s="102">
        <v>4000</v>
      </c>
      <c r="H480" s="56" t="s">
        <v>82</v>
      </c>
      <c r="K480" s="56">
        <v>140</v>
      </c>
      <c r="L480" s="55" t="s">
        <v>176</v>
      </c>
      <c r="M480" s="55" t="s">
        <v>2824</v>
      </c>
      <c r="N480" s="4" t="s">
        <v>177</v>
      </c>
      <c r="O480" s="55" t="s">
        <v>178</v>
      </c>
    </row>
    <row r="481" spans="2:15">
      <c r="B481" s="99">
        <v>44830</v>
      </c>
      <c r="C481" s="59">
        <v>50141786</v>
      </c>
      <c r="D481" s="55" t="s">
        <v>188</v>
      </c>
      <c r="E481" s="67">
        <v>560</v>
      </c>
      <c r="F481" s="67">
        <v>6</v>
      </c>
      <c r="G481" s="102">
        <v>3360</v>
      </c>
      <c r="H481" s="56" t="s">
        <v>82</v>
      </c>
      <c r="K481" s="56">
        <v>140</v>
      </c>
      <c r="L481" s="55" t="s">
        <v>176</v>
      </c>
      <c r="M481" s="55" t="s">
        <v>2824</v>
      </c>
      <c r="N481" s="4" t="s">
        <v>177</v>
      </c>
      <c r="O481" s="55" t="s">
        <v>178</v>
      </c>
    </row>
    <row r="482" spans="2:15">
      <c r="B482" s="99">
        <v>44830</v>
      </c>
      <c r="C482" s="59">
        <v>50143646</v>
      </c>
      <c r="D482" s="55" t="s">
        <v>191</v>
      </c>
      <c r="E482" s="67">
        <v>480</v>
      </c>
      <c r="F482" s="67">
        <v>4</v>
      </c>
      <c r="G482" s="102">
        <v>1920</v>
      </c>
      <c r="H482" s="56" t="s">
        <v>82</v>
      </c>
      <c r="K482" s="56">
        <v>140</v>
      </c>
      <c r="L482" s="55" t="s">
        <v>176</v>
      </c>
      <c r="M482" s="55" t="s">
        <v>2824</v>
      </c>
      <c r="N482" s="4" t="s">
        <v>177</v>
      </c>
      <c r="O482" s="55" t="s">
        <v>178</v>
      </c>
    </row>
    <row r="483" spans="2:15">
      <c r="B483" s="99">
        <v>44830</v>
      </c>
      <c r="C483" s="59">
        <v>50449101</v>
      </c>
      <c r="D483" s="55" t="s">
        <v>237</v>
      </c>
      <c r="E483" s="67">
        <v>289800</v>
      </c>
      <c r="F483" s="67">
        <v>3</v>
      </c>
      <c r="G483" s="102">
        <v>869400</v>
      </c>
      <c r="H483" s="56" t="s">
        <v>92</v>
      </c>
      <c r="K483" s="56">
        <v>140</v>
      </c>
      <c r="L483" s="55" t="s">
        <v>176</v>
      </c>
      <c r="M483" s="55" t="s">
        <v>2824</v>
      </c>
      <c r="N483" s="4" t="s">
        <v>177</v>
      </c>
      <c r="O483" s="55" t="s">
        <v>178</v>
      </c>
    </row>
    <row r="484" spans="2:15">
      <c r="B484" s="99">
        <v>44830</v>
      </c>
      <c r="C484" s="59">
        <v>40011069</v>
      </c>
      <c r="D484" s="55" t="s">
        <v>442</v>
      </c>
      <c r="E484" s="67">
        <v>1964</v>
      </c>
      <c r="F484" s="67">
        <v>1</v>
      </c>
      <c r="G484" s="102">
        <v>1964</v>
      </c>
      <c r="H484" s="56" t="s">
        <v>80</v>
      </c>
      <c r="K484" s="56">
        <v>140</v>
      </c>
      <c r="L484" s="55" t="s">
        <v>176</v>
      </c>
      <c r="M484" s="55" t="s">
        <v>2824</v>
      </c>
      <c r="N484" s="4" t="s">
        <v>177</v>
      </c>
      <c r="O484" s="55" t="s">
        <v>178</v>
      </c>
    </row>
    <row r="485" spans="2:15">
      <c r="B485" s="99">
        <v>44830</v>
      </c>
      <c r="C485" s="59">
        <v>40011070</v>
      </c>
      <c r="D485" s="55" t="s">
        <v>444</v>
      </c>
      <c r="E485" s="67">
        <v>1084</v>
      </c>
      <c r="F485" s="67">
        <v>2</v>
      </c>
      <c r="G485" s="102">
        <v>2622</v>
      </c>
      <c r="H485" s="56" t="s">
        <v>80</v>
      </c>
      <c r="K485" s="56">
        <v>140</v>
      </c>
      <c r="L485" s="55" t="s">
        <v>176</v>
      </c>
      <c r="M485" s="55" t="s">
        <v>2824</v>
      </c>
      <c r="N485" s="4" t="s">
        <v>177</v>
      </c>
      <c r="O485" s="55" t="s">
        <v>178</v>
      </c>
    </row>
    <row r="486" spans="2:15">
      <c r="B486" s="20">
        <v>44831</v>
      </c>
      <c r="C486" s="59">
        <v>50795259</v>
      </c>
      <c r="D486" s="55" t="s">
        <v>551</v>
      </c>
      <c r="E486" s="67">
        <v>756</v>
      </c>
      <c r="F486" s="67">
        <v>2</v>
      </c>
      <c r="G486" s="102">
        <v>2176</v>
      </c>
      <c r="H486" s="56" t="s">
        <v>80</v>
      </c>
      <c r="K486" s="56">
        <v>141</v>
      </c>
      <c r="L486" s="55" t="s">
        <v>176</v>
      </c>
      <c r="M486" s="55" t="s">
        <v>2824</v>
      </c>
      <c r="N486" s="4" t="s">
        <v>193</v>
      </c>
      <c r="O486" s="55" t="s">
        <v>178</v>
      </c>
    </row>
    <row r="487" spans="2:15">
      <c r="B487" s="20">
        <v>44831</v>
      </c>
      <c r="C487" s="59">
        <v>50795396</v>
      </c>
      <c r="D487" s="55" t="s">
        <v>552</v>
      </c>
      <c r="E487" s="67">
        <v>1034</v>
      </c>
      <c r="F487" s="67">
        <v>2</v>
      </c>
      <c r="G487" s="102">
        <v>4392</v>
      </c>
      <c r="H487" s="56" t="s">
        <v>80</v>
      </c>
      <c r="K487" s="56">
        <v>141</v>
      </c>
      <c r="L487" s="55" t="s">
        <v>176</v>
      </c>
      <c r="M487" s="55" t="s">
        <v>2824</v>
      </c>
      <c r="N487" s="4" t="s">
        <v>193</v>
      </c>
      <c r="O487" s="55" t="s">
        <v>178</v>
      </c>
    </row>
    <row r="488" spans="2:15">
      <c r="B488" s="20">
        <v>44831</v>
      </c>
      <c r="C488" s="59">
        <v>50795395</v>
      </c>
      <c r="D488" s="55" t="s">
        <v>553</v>
      </c>
      <c r="E488" s="67">
        <v>2333</v>
      </c>
      <c r="F488" s="67">
        <v>1</v>
      </c>
      <c r="G488" s="102">
        <v>2333</v>
      </c>
      <c r="H488" s="56" t="s">
        <v>80</v>
      </c>
      <c r="K488" s="56">
        <v>141</v>
      </c>
      <c r="L488" s="55" t="s">
        <v>176</v>
      </c>
      <c r="M488" s="55" t="s">
        <v>2824</v>
      </c>
      <c r="N488" s="4" t="s">
        <v>193</v>
      </c>
      <c r="O488" s="55" t="s">
        <v>178</v>
      </c>
    </row>
    <row r="489" spans="2:15">
      <c r="B489" s="20">
        <v>44831</v>
      </c>
      <c r="C489" s="59">
        <v>50795390</v>
      </c>
      <c r="D489" s="55" t="s">
        <v>2838</v>
      </c>
      <c r="E489" s="67">
        <v>2146</v>
      </c>
      <c r="F489" s="67">
        <v>1</v>
      </c>
      <c r="G489" s="102">
        <v>2146</v>
      </c>
      <c r="H489" s="56" t="s">
        <v>80</v>
      </c>
      <c r="K489" s="56">
        <v>141</v>
      </c>
      <c r="L489" s="55" t="s">
        <v>176</v>
      </c>
      <c r="M489" s="55" t="s">
        <v>2824</v>
      </c>
      <c r="N489" s="4" t="s">
        <v>193</v>
      </c>
      <c r="O489" s="55" t="s">
        <v>178</v>
      </c>
    </row>
    <row r="490" spans="2:15">
      <c r="B490" s="20">
        <v>44831</v>
      </c>
      <c r="C490" s="59">
        <v>50795258</v>
      </c>
      <c r="D490" s="55" t="s">
        <v>2839</v>
      </c>
      <c r="E490" s="67">
        <v>509</v>
      </c>
      <c r="F490" s="67">
        <v>2</v>
      </c>
      <c r="G490" s="102">
        <v>4032</v>
      </c>
      <c r="H490" s="56" t="s">
        <v>80</v>
      </c>
      <c r="K490" s="56">
        <v>141</v>
      </c>
      <c r="L490" s="55" t="s">
        <v>176</v>
      </c>
      <c r="M490" s="55" t="s">
        <v>2824</v>
      </c>
      <c r="N490" s="4" t="s">
        <v>193</v>
      </c>
      <c r="O490" s="55" t="s">
        <v>178</v>
      </c>
    </row>
    <row r="491" spans="2:15">
      <c r="B491" s="20">
        <v>44831</v>
      </c>
      <c r="C491" s="59">
        <v>50795257</v>
      </c>
      <c r="D491" s="55" t="s">
        <v>556</v>
      </c>
      <c r="E491" s="67">
        <v>756</v>
      </c>
      <c r="F491" s="67">
        <v>6</v>
      </c>
      <c r="G491" s="102">
        <v>4099</v>
      </c>
      <c r="H491" s="56" t="s">
        <v>80</v>
      </c>
      <c r="K491" s="56">
        <v>141</v>
      </c>
      <c r="L491" s="55" t="s">
        <v>176</v>
      </c>
      <c r="M491" s="55" t="s">
        <v>2824</v>
      </c>
      <c r="N491" s="4" t="s">
        <v>193</v>
      </c>
      <c r="O491" s="55" t="s">
        <v>178</v>
      </c>
    </row>
    <row r="492" spans="2:15">
      <c r="B492" s="20">
        <v>44831</v>
      </c>
      <c r="C492" s="59">
        <v>50144376</v>
      </c>
      <c r="D492" s="55" t="s">
        <v>19</v>
      </c>
      <c r="E492" s="67">
        <v>500</v>
      </c>
      <c r="F492" s="67">
        <v>8</v>
      </c>
      <c r="G492" s="102">
        <v>4000</v>
      </c>
      <c r="H492" s="105" t="s">
        <v>92</v>
      </c>
      <c r="K492" s="56">
        <v>141</v>
      </c>
      <c r="L492" s="55" t="s">
        <v>176</v>
      </c>
      <c r="M492" s="55" t="s">
        <v>2824</v>
      </c>
      <c r="N492" s="4" t="s">
        <v>193</v>
      </c>
      <c r="O492" s="55" t="s">
        <v>178</v>
      </c>
    </row>
    <row r="493" spans="2:15">
      <c r="B493" s="20">
        <v>44832</v>
      </c>
      <c r="C493" s="59">
        <v>50470190</v>
      </c>
      <c r="D493" s="55" t="s">
        <v>12</v>
      </c>
      <c r="E493" s="67">
        <v>289800</v>
      </c>
      <c r="F493" s="67">
        <v>10</v>
      </c>
      <c r="G493" s="102">
        <v>2898000</v>
      </c>
      <c r="H493" s="56" t="s">
        <v>92</v>
      </c>
      <c r="K493" s="56">
        <v>142</v>
      </c>
      <c r="L493" s="55" t="s">
        <v>176</v>
      </c>
      <c r="M493" s="55" t="s">
        <v>2824</v>
      </c>
      <c r="N493" s="4" t="s">
        <v>177</v>
      </c>
      <c r="O493" s="55" t="s">
        <v>178</v>
      </c>
    </row>
    <row r="494" spans="2:15">
      <c r="B494" s="20">
        <v>44832</v>
      </c>
      <c r="C494" s="59">
        <v>50501722</v>
      </c>
      <c r="D494" s="55" t="s">
        <v>253</v>
      </c>
      <c r="E494" s="67">
        <v>692.7</v>
      </c>
      <c r="F494" s="67">
        <v>6</v>
      </c>
      <c r="G494" s="102">
        <v>4173.2</v>
      </c>
      <c r="H494" s="56" t="s">
        <v>82</v>
      </c>
      <c r="K494" s="56">
        <v>142</v>
      </c>
      <c r="L494" s="55" t="s">
        <v>176</v>
      </c>
      <c r="M494" s="55" t="s">
        <v>2824</v>
      </c>
      <c r="N494" s="4" t="s">
        <v>177</v>
      </c>
      <c r="O494" s="55" t="s">
        <v>178</v>
      </c>
    </row>
    <row r="495" spans="2:15">
      <c r="B495" s="20">
        <v>44833</v>
      </c>
      <c r="C495" s="59">
        <v>50470190</v>
      </c>
      <c r="D495" s="55" t="s">
        <v>12</v>
      </c>
      <c r="E495" s="67">
        <v>289800</v>
      </c>
      <c r="F495" s="67">
        <v>11</v>
      </c>
      <c r="G495" s="102">
        <v>3187800</v>
      </c>
      <c r="H495" s="56" t="s">
        <v>92</v>
      </c>
      <c r="K495" s="56">
        <v>143</v>
      </c>
      <c r="L495" s="55" t="s">
        <v>176</v>
      </c>
      <c r="M495" s="55" t="s">
        <v>2824</v>
      </c>
      <c r="N495" s="4" t="s">
        <v>193</v>
      </c>
      <c r="O495" s="55" t="s">
        <v>178</v>
      </c>
    </row>
    <row r="496" spans="2:15">
      <c r="B496" s="20">
        <v>44833</v>
      </c>
      <c r="C496" s="59">
        <v>50272278</v>
      </c>
      <c r="D496" s="55" t="s">
        <v>21</v>
      </c>
      <c r="E496" s="67">
        <v>500</v>
      </c>
      <c r="F496" s="67">
        <v>7</v>
      </c>
      <c r="G496" s="102">
        <v>3500</v>
      </c>
      <c r="H496" s="56" t="s">
        <v>92</v>
      </c>
      <c r="K496" s="56">
        <v>143</v>
      </c>
      <c r="L496" s="55" t="s">
        <v>176</v>
      </c>
      <c r="M496" s="55" t="s">
        <v>2824</v>
      </c>
      <c r="N496" s="4" t="s">
        <v>193</v>
      </c>
      <c r="O496" s="55" t="s">
        <v>178</v>
      </c>
    </row>
    <row r="497" spans="2:15">
      <c r="B497" s="20">
        <v>44833</v>
      </c>
      <c r="C497" s="59">
        <v>50470190</v>
      </c>
      <c r="D497" s="55" t="s">
        <v>12</v>
      </c>
      <c r="E497" s="67">
        <v>289800</v>
      </c>
      <c r="F497" s="67">
        <v>11</v>
      </c>
      <c r="G497" s="102">
        <v>3187800</v>
      </c>
      <c r="H497" s="56" t="s">
        <v>92</v>
      </c>
      <c r="K497" s="56">
        <v>144</v>
      </c>
      <c r="L497" s="55" t="s">
        <v>176</v>
      </c>
      <c r="M497" s="55" t="s">
        <v>2824</v>
      </c>
      <c r="N497" s="4" t="s">
        <v>193</v>
      </c>
      <c r="O497" s="55" t="s">
        <v>178</v>
      </c>
    </row>
    <row r="498" spans="2:15">
      <c r="B498" s="20">
        <v>44833</v>
      </c>
      <c r="C498" s="59">
        <v>50272278</v>
      </c>
      <c r="D498" s="55" t="s">
        <v>21</v>
      </c>
      <c r="E498" s="67">
        <v>500</v>
      </c>
      <c r="F498" s="67">
        <v>7</v>
      </c>
      <c r="G498" s="102">
        <v>3500</v>
      </c>
      <c r="H498" s="56" t="s">
        <v>92</v>
      </c>
      <c r="K498" s="56">
        <v>144</v>
      </c>
      <c r="L498" s="55" t="s">
        <v>176</v>
      </c>
      <c r="M498" s="55" t="s">
        <v>2824</v>
      </c>
      <c r="N498" s="4" t="s">
        <v>193</v>
      </c>
      <c r="O498" s="55" t="s">
        <v>178</v>
      </c>
    </row>
    <row r="499" spans="2:15">
      <c r="B499" s="20">
        <v>44834</v>
      </c>
      <c r="C499" s="59">
        <v>40499</v>
      </c>
      <c r="D499" s="55" t="s">
        <v>316</v>
      </c>
      <c r="E499" s="67">
        <v>44</v>
      </c>
      <c r="F499" s="67">
        <v>44</v>
      </c>
      <c r="G499" s="102">
        <v>44</v>
      </c>
      <c r="H499" s="56" t="s">
        <v>92</v>
      </c>
      <c r="K499" s="56">
        <v>145</v>
      </c>
      <c r="L499" s="55" t="s">
        <v>176</v>
      </c>
      <c r="M499" s="55" t="s">
        <v>2824</v>
      </c>
      <c r="N499" s="4" t="s">
        <v>193</v>
      </c>
      <c r="O499" s="55" t="s">
        <v>178</v>
      </c>
    </row>
    <row r="500" spans="2:15">
      <c r="B500" s="20">
        <v>44834</v>
      </c>
      <c r="C500" s="59">
        <v>50272278</v>
      </c>
      <c r="D500" s="55" t="s">
        <v>21</v>
      </c>
      <c r="E500" s="67">
        <v>500</v>
      </c>
      <c r="F500" s="67">
        <v>22</v>
      </c>
      <c r="G500" s="102">
        <v>11000</v>
      </c>
      <c r="H500" s="56" t="s">
        <v>92</v>
      </c>
      <c r="K500" s="56">
        <v>145</v>
      </c>
      <c r="L500" s="55" t="s">
        <v>176</v>
      </c>
      <c r="M500" s="55" t="s">
        <v>2824</v>
      </c>
      <c r="N500" s="4" t="s">
        <v>193</v>
      </c>
      <c r="O500" s="55" t="s">
        <v>178</v>
      </c>
    </row>
    <row r="501" spans="2:15">
      <c r="B501" s="20">
        <v>44834</v>
      </c>
      <c r="C501" s="59">
        <v>40499</v>
      </c>
      <c r="D501" s="55" t="s">
        <v>316</v>
      </c>
      <c r="E501" s="67">
        <v>6</v>
      </c>
      <c r="F501" s="67">
        <v>6</v>
      </c>
      <c r="G501" s="102">
        <v>6</v>
      </c>
      <c r="H501" s="56" t="s">
        <v>92</v>
      </c>
      <c r="K501" s="56">
        <v>146</v>
      </c>
      <c r="L501" s="55" t="s">
        <v>176</v>
      </c>
      <c r="M501" s="55" t="s">
        <v>2824</v>
      </c>
      <c r="N501" s="4" t="s">
        <v>193</v>
      </c>
      <c r="O501" s="55" t="s">
        <v>178</v>
      </c>
    </row>
    <row r="502" spans="2:15">
      <c r="B502" s="20">
        <v>44834</v>
      </c>
      <c r="C502" s="59">
        <v>50522164</v>
      </c>
      <c r="D502" s="55" t="s">
        <v>439</v>
      </c>
      <c r="E502" s="67">
        <v>420</v>
      </c>
      <c r="F502" s="67">
        <v>6</v>
      </c>
      <c r="G502" s="102">
        <v>2727.8</v>
      </c>
      <c r="H502" s="56" t="s">
        <v>82</v>
      </c>
      <c r="K502" s="56">
        <v>146</v>
      </c>
      <c r="L502" s="55" t="s">
        <v>176</v>
      </c>
      <c r="M502" s="55" t="s">
        <v>2824</v>
      </c>
      <c r="N502" s="4" t="s">
        <v>193</v>
      </c>
      <c r="O502" s="55" t="s">
        <v>178</v>
      </c>
    </row>
    <row r="503" spans="2:15">
      <c r="B503" s="20">
        <v>44834</v>
      </c>
      <c r="C503" s="59">
        <v>50142334</v>
      </c>
      <c r="D503" s="55" t="s">
        <v>257</v>
      </c>
      <c r="E503" s="67">
        <v>681</v>
      </c>
      <c r="F503" s="67">
        <v>4</v>
      </c>
      <c r="G503" s="102">
        <v>2724</v>
      </c>
      <c r="H503" s="56" t="s">
        <v>82</v>
      </c>
      <c r="K503" s="56">
        <v>146</v>
      </c>
      <c r="L503" s="55" t="s">
        <v>176</v>
      </c>
      <c r="M503" s="55" t="s">
        <v>2824</v>
      </c>
      <c r="N503" s="4" t="s">
        <v>193</v>
      </c>
      <c r="O503" s="55" t="s">
        <v>178</v>
      </c>
    </row>
    <row r="504" spans="2:15">
      <c r="B504" s="20">
        <v>44834</v>
      </c>
      <c r="C504" s="59">
        <v>50010080</v>
      </c>
      <c r="D504" s="55" t="s">
        <v>354</v>
      </c>
      <c r="E504" s="67">
        <v>1000</v>
      </c>
      <c r="F504" s="67">
        <v>3</v>
      </c>
      <c r="G504" s="102">
        <v>3000</v>
      </c>
      <c r="H504" s="56" t="s">
        <v>82</v>
      </c>
      <c r="K504" s="56">
        <v>146</v>
      </c>
      <c r="L504" s="55" t="s">
        <v>176</v>
      </c>
      <c r="M504" s="55" t="s">
        <v>2824</v>
      </c>
      <c r="N504" s="4" t="s">
        <v>193</v>
      </c>
      <c r="O504" s="55" t="s">
        <v>178</v>
      </c>
    </row>
    <row r="505" spans="2:15">
      <c r="B505" s="20">
        <v>44834</v>
      </c>
      <c r="C505" s="59">
        <v>50143646</v>
      </c>
      <c r="D505" s="55" t="s">
        <v>191</v>
      </c>
      <c r="E505" s="67">
        <v>480</v>
      </c>
      <c r="F505" s="67">
        <v>3</v>
      </c>
      <c r="G505" s="102">
        <v>1440</v>
      </c>
      <c r="H505" s="56" t="s">
        <v>82</v>
      </c>
      <c r="K505" s="56">
        <v>146</v>
      </c>
      <c r="L505" s="55" t="s">
        <v>176</v>
      </c>
      <c r="M505" s="55" t="s">
        <v>2824</v>
      </c>
      <c r="N505" s="4" t="s">
        <v>193</v>
      </c>
      <c r="O505" s="55" t="s">
        <v>178</v>
      </c>
    </row>
    <row r="506" spans="2:15">
      <c r="B506" s="20">
        <v>44834</v>
      </c>
      <c r="C506" s="59">
        <v>50337816</v>
      </c>
      <c r="D506" s="55" t="s">
        <v>245</v>
      </c>
      <c r="E506" s="67">
        <v>264</v>
      </c>
      <c r="F506" s="67">
        <v>2</v>
      </c>
      <c r="G506" s="102">
        <v>528</v>
      </c>
      <c r="H506" s="56" t="s">
        <v>80</v>
      </c>
      <c r="K506" s="56">
        <v>146</v>
      </c>
      <c r="L506" s="55" t="s">
        <v>176</v>
      </c>
      <c r="M506" s="55" t="s">
        <v>2824</v>
      </c>
      <c r="N506" s="4" t="s">
        <v>193</v>
      </c>
      <c r="O506" s="55" t="s">
        <v>178</v>
      </c>
    </row>
    <row r="507" spans="2:15">
      <c r="B507" s="20">
        <v>44834</v>
      </c>
      <c r="C507" s="59">
        <v>50142327</v>
      </c>
      <c r="D507" s="55" t="s">
        <v>256</v>
      </c>
      <c r="E507" s="67">
        <v>681</v>
      </c>
      <c r="F507" s="67">
        <v>2</v>
      </c>
      <c r="G507" s="102">
        <v>1362</v>
      </c>
      <c r="H507" s="56" t="s">
        <v>82</v>
      </c>
      <c r="K507" s="56">
        <v>146</v>
      </c>
      <c r="L507" s="55" t="s">
        <v>176</v>
      </c>
      <c r="M507" s="55" t="s">
        <v>2824</v>
      </c>
      <c r="N507" s="4" t="s">
        <v>193</v>
      </c>
      <c r="O507" s="55" t="s">
        <v>178</v>
      </c>
    </row>
    <row r="508" spans="2:15">
      <c r="B508" s="20">
        <v>44834</v>
      </c>
      <c r="C508" s="59">
        <v>40499</v>
      </c>
      <c r="D508" s="55" t="s">
        <v>316</v>
      </c>
      <c r="E508" s="67">
        <v>40</v>
      </c>
      <c r="F508" s="67">
        <v>40</v>
      </c>
      <c r="G508" s="102">
        <v>40</v>
      </c>
      <c r="H508" s="56" t="s">
        <v>92</v>
      </c>
      <c r="K508" s="56">
        <v>147</v>
      </c>
      <c r="L508" s="55" t="s">
        <v>176</v>
      </c>
      <c r="M508" s="55" t="s">
        <v>2824</v>
      </c>
      <c r="N508" s="4" t="s">
        <v>193</v>
      </c>
      <c r="O508" s="55" t="s">
        <v>178</v>
      </c>
    </row>
    <row r="509" spans="2:15">
      <c r="B509" s="20">
        <v>44834</v>
      </c>
      <c r="C509" s="59">
        <v>50272278</v>
      </c>
      <c r="D509" s="55" t="s">
        <v>21</v>
      </c>
      <c r="E509" s="67">
        <v>500</v>
      </c>
      <c r="F509" s="67">
        <v>8</v>
      </c>
      <c r="G509" s="102">
        <v>4000</v>
      </c>
      <c r="H509" s="56" t="s">
        <v>92</v>
      </c>
      <c r="K509" s="56">
        <v>147</v>
      </c>
      <c r="L509" s="55" t="s">
        <v>176</v>
      </c>
      <c r="M509" s="55" t="s">
        <v>2824</v>
      </c>
      <c r="N509" s="4" t="s">
        <v>193</v>
      </c>
      <c r="O509" s="55" t="s">
        <v>178</v>
      </c>
    </row>
    <row r="510" spans="2:15">
      <c r="B510" s="20">
        <v>44834</v>
      </c>
      <c r="C510" s="59">
        <v>50144376</v>
      </c>
      <c r="D510" s="55" t="s">
        <v>19</v>
      </c>
      <c r="E510" s="67">
        <v>500</v>
      </c>
      <c r="F510" s="67">
        <v>12</v>
      </c>
      <c r="G510" s="102">
        <v>6000</v>
      </c>
      <c r="H510" s="105" t="s">
        <v>92</v>
      </c>
      <c r="K510" s="56">
        <v>147</v>
      </c>
      <c r="L510" s="55" t="s">
        <v>176</v>
      </c>
      <c r="M510" s="55" t="s">
        <v>2824</v>
      </c>
      <c r="N510" s="4" t="s">
        <v>193</v>
      </c>
      <c r="O510" s="55" t="s">
        <v>178</v>
      </c>
    </row>
    <row r="511" spans="2:15">
      <c r="B511" s="20">
        <v>44834</v>
      </c>
      <c r="C511" s="59">
        <v>50142631</v>
      </c>
      <c r="D511" s="55" t="s">
        <v>566</v>
      </c>
      <c r="E511" s="67">
        <v>1500</v>
      </c>
      <c r="F511" s="67">
        <v>1</v>
      </c>
      <c r="G511" s="102">
        <v>1500</v>
      </c>
      <c r="H511" s="56" t="s">
        <v>82</v>
      </c>
      <c r="K511" s="56">
        <v>147</v>
      </c>
      <c r="L511" s="55" t="s">
        <v>176</v>
      </c>
      <c r="M511" s="55" t="s">
        <v>2824</v>
      </c>
      <c r="N511" s="4" t="s">
        <v>193</v>
      </c>
      <c r="O511" s="55" t="s">
        <v>178</v>
      </c>
    </row>
    <row r="512" spans="2:15">
      <c r="B512" s="20">
        <v>44835</v>
      </c>
      <c r="C512" s="59">
        <v>50141786</v>
      </c>
      <c r="D512" s="55" t="s">
        <v>188</v>
      </c>
      <c r="E512" s="67">
        <v>560</v>
      </c>
      <c r="F512" s="67">
        <v>3</v>
      </c>
      <c r="G512" s="102">
        <v>1680</v>
      </c>
      <c r="H512" s="56" t="s">
        <v>82</v>
      </c>
      <c r="K512" s="56">
        <v>149</v>
      </c>
      <c r="L512" s="55" t="s">
        <v>176</v>
      </c>
      <c r="M512" s="55" t="s">
        <v>2824</v>
      </c>
      <c r="N512" s="4" t="s">
        <v>193</v>
      </c>
      <c r="O512" s="55" t="s">
        <v>178</v>
      </c>
    </row>
    <row r="513" spans="2:15">
      <c r="B513" s="20">
        <v>44835</v>
      </c>
      <c r="C513" s="59">
        <v>50272278</v>
      </c>
      <c r="D513" s="55" t="s">
        <v>21</v>
      </c>
      <c r="E513" s="67">
        <v>500</v>
      </c>
      <c r="F513" s="67">
        <v>2</v>
      </c>
      <c r="G513" s="102">
        <v>1000</v>
      </c>
      <c r="H513" s="56" t="s">
        <v>92</v>
      </c>
      <c r="K513" s="56">
        <v>149</v>
      </c>
      <c r="L513" s="55" t="s">
        <v>176</v>
      </c>
      <c r="M513" s="55" t="s">
        <v>2824</v>
      </c>
      <c r="N513" s="4" t="s">
        <v>193</v>
      </c>
      <c r="O513" s="55" t="s">
        <v>178</v>
      </c>
    </row>
    <row r="514" spans="2:15">
      <c r="B514" s="20">
        <v>44835</v>
      </c>
      <c r="C514" s="59">
        <v>50142571</v>
      </c>
      <c r="D514" s="55" t="s">
        <v>605</v>
      </c>
      <c r="E514" s="67">
        <v>720</v>
      </c>
      <c r="F514" s="67">
        <v>1</v>
      </c>
      <c r="G514" s="102">
        <v>720</v>
      </c>
      <c r="H514" s="56" t="s">
        <v>82</v>
      </c>
      <c r="K514" s="56">
        <v>149</v>
      </c>
      <c r="L514" s="55" t="s">
        <v>176</v>
      </c>
      <c r="M514" s="55" t="s">
        <v>2824</v>
      </c>
      <c r="N514" s="4" t="s">
        <v>193</v>
      </c>
      <c r="O514" s="55" t="s">
        <v>178</v>
      </c>
    </row>
    <row r="515" spans="2:15">
      <c r="B515" s="20">
        <v>44835</v>
      </c>
      <c r="C515" s="59">
        <v>50470190</v>
      </c>
      <c r="D515" s="55" t="s">
        <v>12</v>
      </c>
      <c r="E515" s="67">
        <v>289800</v>
      </c>
      <c r="F515" s="67">
        <v>13</v>
      </c>
      <c r="G515" s="102">
        <v>3767400</v>
      </c>
      <c r="H515" s="56" t="s">
        <v>92</v>
      </c>
      <c r="K515" s="56">
        <v>149</v>
      </c>
      <c r="L515" s="55" t="s">
        <v>176</v>
      </c>
      <c r="M515" s="55" t="s">
        <v>2824</v>
      </c>
      <c r="N515" s="4" t="s">
        <v>193</v>
      </c>
      <c r="O515" s="55" t="s">
        <v>178</v>
      </c>
    </row>
    <row r="516" spans="2:15">
      <c r="B516" s="20">
        <v>44838</v>
      </c>
      <c r="C516" s="59">
        <v>50144376</v>
      </c>
      <c r="D516" s="55" t="s">
        <v>19</v>
      </c>
      <c r="E516" s="67">
        <v>500</v>
      </c>
      <c r="F516" s="67">
        <v>10</v>
      </c>
      <c r="G516" s="102">
        <v>5000</v>
      </c>
      <c r="H516" s="105" t="s">
        <v>92</v>
      </c>
      <c r="K516" s="56">
        <v>150</v>
      </c>
      <c r="L516" s="55" t="s">
        <v>176</v>
      </c>
      <c r="M516" s="55" t="s">
        <v>2824</v>
      </c>
      <c r="N516" s="4" t="s">
        <v>177</v>
      </c>
      <c r="O516" s="55" t="s">
        <v>178</v>
      </c>
    </row>
    <row r="517" spans="2:15">
      <c r="B517" s="20">
        <v>44838</v>
      </c>
      <c r="C517" s="59">
        <v>50337816</v>
      </c>
      <c r="D517" s="55" t="s">
        <v>245</v>
      </c>
      <c r="E517" s="67">
        <v>264</v>
      </c>
      <c r="F517" s="67">
        <v>5</v>
      </c>
      <c r="G517" s="102">
        <v>1320</v>
      </c>
      <c r="H517" s="56" t="s">
        <v>80</v>
      </c>
      <c r="K517" s="56">
        <v>150</v>
      </c>
      <c r="L517" s="55" t="s">
        <v>176</v>
      </c>
      <c r="M517" s="55" t="s">
        <v>2824</v>
      </c>
      <c r="N517" s="4" t="s">
        <v>177</v>
      </c>
      <c r="O517" s="55" t="s">
        <v>178</v>
      </c>
    </row>
    <row r="518" spans="2:15">
      <c r="B518" s="20">
        <v>44838</v>
      </c>
      <c r="C518" s="59">
        <v>50498013</v>
      </c>
      <c r="D518" s="55" t="s">
        <v>595</v>
      </c>
      <c r="E518" s="67">
        <v>3165.4</v>
      </c>
      <c r="F518" s="67">
        <v>4</v>
      </c>
      <c r="G518" s="102">
        <v>3165.4</v>
      </c>
      <c r="H518" s="56" t="s">
        <v>82</v>
      </c>
      <c r="K518" s="56">
        <v>150</v>
      </c>
      <c r="L518" s="55" t="s">
        <v>176</v>
      </c>
      <c r="M518" s="55" t="s">
        <v>2824</v>
      </c>
      <c r="N518" s="4" t="s">
        <v>177</v>
      </c>
      <c r="O518" s="55" t="s">
        <v>178</v>
      </c>
    </row>
    <row r="519" spans="2:15">
      <c r="B519" s="20">
        <v>44838</v>
      </c>
      <c r="C519" s="59">
        <v>50369034</v>
      </c>
      <c r="D519" s="55" t="s">
        <v>322</v>
      </c>
      <c r="E519" s="67">
        <v>699.9</v>
      </c>
      <c r="F519" s="67">
        <v>1</v>
      </c>
      <c r="G519" s="102">
        <v>699.9</v>
      </c>
      <c r="H519" s="56" t="s">
        <v>82</v>
      </c>
      <c r="K519" s="56">
        <v>150</v>
      </c>
      <c r="L519" s="55" t="s">
        <v>176</v>
      </c>
      <c r="M519" s="55" t="s">
        <v>2824</v>
      </c>
      <c r="N519" s="4" t="s">
        <v>177</v>
      </c>
      <c r="O519" s="55" t="s">
        <v>178</v>
      </c>
    </row>
    <row r="520" spans="2:15">
      <c r="B520" s="20">
        <v>44838</v>
      </c>
      <c r="C520" s="59">
        <v>50470190</v>
      </c>
      <c r="D520" s="55" t="s">
        <v>12</v>
      </c>
      <c r="E520" s="67">
        <v>289800</v>
      </c>
      <c r="F520" s="67">
        <v>16</v>
      </c>
      <c r="G520" s="102">
        <v>4636800</v>
      </c>
      <c r="H520" s="56" t="s">
        <v>92</v>
      </c>
      <c r="K520" s="56">
        <v>151</v>
      </c>
      <c r="L520" s="55" t="s">
        <v>176</v>
      </c>
      <c r="M520" s="55" t="s">
        <v>2824</v>
      </c>
      <c r="N520" s="4" t="s">
        <v>177</v>
      </c>
      <c r="O520" s="55" t="s">
        <v>178</v>
      </c>
    </row>
    <row r="521" spans="2:15">
      <c r="B521" s="20">
        <v>44839</v>
      </c>
      <c r="C521" s="59">
        <v>50141786</v>
      </c>
      <c r="D521" s="55" t="s">
        <v>188</v>
      </c>
      <c r="E521" s="67">
        <v>560</v>
      </c>
      <c r="F521" s="67">
        <v>1</v>
      </c>
      <c r="G521" s="102">
        <v>560</v>
      </c>
      <c r="H521" s="56" t="s">
        <v>82</v>
      </c>
      <c r="K521" s="56">
        <v>152</v>
      </c>
      <c r="L521" s="55" t="s">
        <v>326</v>
      </c>
      <c r="M521" s="55" t="s">
        <v>2824</v>
      </c>
      <c r="N521" s="4" t="s">
        <v>2840</v>
      </c>
      <c r="O521" s="55" t="s">
        <v>178</v>
      </c>
    </row>
    <row r="522" spans="2:15">
      <c r="B522" s="20">
        <v>44839</v>
      </c>
      <c r="C522" s="59">
        <v>50534881</v>
      </c>
      <c r="D522" s="55" t="s">
        <v>227</v>
      </c>
      <c r="E522" s="67">
        <v>8400</v>
      </c>
      <c r="F522" s="67">
        <v>21</v>
      </c>
      <c r="G522" s="102">
        <v>173400</v>
      </c>
      <c r="H522" s="56" t="s">
        <v>92</v>
      </c>
      <c r="I522" s="106"/>
      <c r="K522" s="56">
        <v>152</v>
      </c>
      <c r="L522" s="55" t="s">
        <v>326</v>
      </c>
      <c r="M522" s="55" t="s">
        <v>2824</v>
      </c>
      <c r="N522" s="4" t="s">
        <v>2840</v>
      </c>
      <c r="O522" s="55" t="s">
        <v>178</v>
      </c>
    </row>
    <row r="523" spans="2:15">
      <c r="B523" s="20">
        <v>44839</v>
      </c>
      <c r="C523" s="59">
        <v>50470190</v>
      </c>
      <c r="D523" s="55" t="s">
        <v>12</v>
      </c>
      <c r="E523" s="67">
        <v>289800</v>
      </c>
      <c r="F523" s="67">
        <v>18</v>
      </c>
      <c r="G523" s="102">
        <v>5216400</v>
      </c>
      <c r="H523" s="56" t="s">
        <v>92</v>
      </c>
      <c r="I523" s="106"/>
      <c r="K523" s="56">
        <v>153</v>
      </c>
      <c r="L523" s="55" t="s">
        <v>176</v>
      </c>
      <c r="M523" s="55" t="s">
        <v>2824</v>
      </c>
      <c r="N523" s="4" t="s">
        <v>193</v>
      </c>
      <c r="O523" s="55" t="s">
        <v>178</v>
      </c>
    </row>
    <row r="524" spans="2:15">
      <c r="B524" s="20">
        <v>44839</v>
      </c>
      <c r="C524" s="59">
        <v>50141786</v>
      </c>
      <c r="D524" s="55" t="s">
        <v>188</v>
      </c>
      <c r="E524" s="67">
        <v>560</v>
      </c>
      <c r="F524" s="67">
        <v>5</v>
      </c>
      <c r="G524" s="102">
        <v>2800</v>
      </c>
      <c r="H524" s="56" t="s">
        <v>82</v>
      </c>
      <c r="I524" s="106"/>
      <c r="K524" s="56">
        <v>154</v>
      </c>
      <c r="L524" s="55" t="s">
        <v>176</v>
      </c>
      <c r="M524" s="55" t="s">
        <v>2824</v>
      </c>
      <c r="N524" s="4" t="s">
        <v>193</v>
      </c>
      <c r="O524" s="55" t="s">
        <v>178</v>
      </c>
    </row>
    <row r="525" spans="2:15">
      <c r="B525" s="20">
        <v>44839</v>
      </c>
      <c r="C525" s="59">
        <v>50522169</v>
      </c>
      <c r="D525" s="55" t="s">
        <v>250</v>
      </c>
      <c r="E525" s="67">
        <v>711.5</v>
      </c>
      <c r="F525" s="67">
        <v>5</v>
      </c>
      <c r="G525" s="102">
        <v>3525.5</v>
      </c>
      <c r="H525" s="56" t="s">
        <v>82</v>
      </c>
      <c r="I525" s="106"/>
      <c r="K525" s="56">
        <v>154</v>
      </c>
      <c r="L525" s="55" t="s">
        <v>176</v>
      </c>
      <c r="M525" s="55" t="s">
        <v>2824</v>
      </c>
      <c r="N525" s="4" t="s">
        <v>193</v>
      </c>
      <c r="O525" s="55" t="s">
        <v>178</v>
      </c>
    </row>
    <row r="526" spans="2:15">
      <c r="B526" s="20">
        <v>44839</v>
      </c>
      <c r="C526" s="59">
        <v>50501722</v>
      </c>
      <c r="D526" s="55" t="s">
        <v>253</v>
      </c>
      <c r="E526" s="67">
        <v>697.45</v>
      </c>
      <c r="F526" s="67">
        <v>5</v>
      </c>
      <c r="G526" s="102">
        <v>6047.7</v>
      </c>
      <c r="H526" s="56" t="s">
        <v>82</v>
      </c>
      <c r="I526" s="106"/>
      <c r="K526" s="56">
        <v>154</v>
      </c>
      <c r="L526" s="55" t="s">
        <v>176</v>
      </c>
      <c r="M526" s="55" t="s">
        <v>2824</v>
      </c>
      <c r="N526" s="4" t="s">
        <v>193</v>
      </c>
      <c r="O526" s="55" t="s">
        <v>178</v>
      </c>
    </row>
    <row r="527" spans="2:15">
      <c r="B527" s="20">
        <v>44840</v>
      </c>
      <c r="C527" s="59">
        <v>50142055</v>
      </c>
      <c r="D527" s="55" t="s">
        <v>206</v>
      </c>
      <c r="E527" s="67">
        <v>600</v>
      </c>
      <c r="F527" s="67">
        <v>2</v>
      </c>
      <c r="G527" s="102">
        <v>1200</v>
      </c>
      <c r="H527" s="56" t="s">
        <v>82</v>
      </c>
      <c r="I527" s="106"/>
      <c r="K527" s="56">
        <v>155</v>
      </c>
      <c r="L527" s="55" t="s">
        <v>176</v>
      </c>
      <c r="M527" s="55" t="s">
        <v>2824</v>
      </c>
      <c r="N527" s="4" t="s">
        <v>193</v>
      </c>
      <c r="O527" s="55" t="s">
        <v>178</v>
      </c>
    </row>
    <row r="528" spans="2:15">
      <c r="B528" s="20">
        <v>44840</v>
      </c>
      <c r="C528" s="59">
        <v>40009546</v>
      </c>
      <c r="D528" s="55" t="s">
        <v>174</v>
      </c>
      <c r="E528" s="67">
        <v>756</v>
      </c>
      <c r="F528" s="67">
        <v>3</v>
      </c>
      <c r="G528" s="102">
        <v>2268</v>
      </c>
      <c r="H528" s="56" t="s">
        <v>80</v>
      </c>
      <c r="I528" s="106"/>
      <c r="K528" s="56">
        <v>155</v>
      </c>
      <c r="L528" s="55" t="s">
        <v>176</v>
      </c>
      <c r="M528" s="55" t="s">
        <v>2824</v>
      </c>
      <c r="N528" s="4" t="s">
        <v>193</v>
      </c>
      <c r="O528" s="55" t="s">
        <v>178</v>
      </c>
    </row>
    <row r="529" spans="2:15">
      <c r="B529" s="20">
        <v>44840</v>
      </c>
      <c r="C529" s="59">
        <v>40009544</v>
      </c>
      <c r="D529" s="55" t="s">
        <v>179</v>
      </c>
      <c r="E529" s="67">
        <v>2940</v>
      </c>
      <c r="F529" s="67">
        <v>2</v>
      </c>
      <c r="G529" s="102">
        <v>6020</v>
      </c>
      <c r="H529" s="56" t="s">
        <v>80</v>
      </c>
      <c r="I529" s="106"/>
      <c r="K529" s="56">
        <v>155</v>
      </c>
      <c r="L529" s="55" t="s">
        <v>176</v>
      </c>
      <c r="M529" s="55" t="s">
        <v>2824</v>
      </c>
      <c r="N529" s="4" t="s">
        <v>193</v>
      </c>
      <c r="O529" s="55" t="s">
        <v>178</v>
      </c>
    </row>
    <row r="530" spans="2:15">
      <c r="B530" s="20">
        <v>44840</v>
      </c>
      <c r="C530" s="59">
        <v>50010080</v>
      </c>
      <c r="D530" s="55" t="s">
        <v>354</v>
      </c>
      <c r="E530" s="67">
        <v>1000</v>
      </c>
      <c r="F530" s="67">
        <v>4</v>
      </c>
      <c r="G530" s="102">
        <v>4000</v>
      </c>
      <c r="H530" s="56" t="s">
        <v>82</v>
      </c>
      <c r="I530" s="106"/>
      <c r="K530" s="56">
        <v>155</v>
      </c>
      <c r="L530" s="55" t="s">
        <v>176</v>
      </c>
      <c r="M530" s="55" t="s">
        <v>2824</v>
      </c>
      <c r="N530" s="4" t="s">
        <v>193</v>
      </c>
      <c r="O530" s="55" t="s">
        <v>178</v>
      </c>
    </row>
    <row r="531" spans="2:15">
      <c r="B531" s="20">
        <v>44840</v>
      </c>
      <c r="C531" s="59">
        <v>50142281</v>
      </c>
      <c r="D531" s="55" t="s">
        <v>204</v>
      </c>
      <c r="E531" s="67">
        <v>420</v>
      </c>
      <c r="F531" s="67">
        <v>1</v>
      </c>
      <c r="G531" s="102">
        <v>420</v>
      </c>
      <c r="H531" s="56" t="s">
        <v>82</v>
      </c>
      <c r="I531" s="106"/>
      <c r="K531" s="56">
        <v>155</v>
      </c>
      <c r="L531" s="55" t="s">
        <v>176</v>
      </c>
      <c r="M531" s="55" t="s">
        <v>2824</v>
      </c>
      <c r="N531" s="4" t="s">
        <v>193</v>
      </c>
      <c r="O531" s="55" t="s">
        <v>178</v>
      </c>
    </row>
    <row r="532" spans="2:15">
      <c r="B532" s="20">
        <v>44840</v>
      </c>
      <c r="C532" s="59">
        <v>40011080</v>
      </c>
      <c r="D532" s="55" t="s">
        <v>420</v>
      </c>
      <c r="E532" s="67">
        <v>450</v>
      </c>
      <c r="F532" s="67">
        <v>8</v>
      </c>
      <c r="G532" s="102">
        <v>3600</v>
      </c>
      <c r="H532" s="56" t="s">
        <v>80</v>
      </c>
      <c r="I532" s="106"/>
      <c r="K532" s="56">
        <v>155</v>
      </c>
      <c r="L532" s="55" t="s">
        <v>176</v>
      </c>
      <c r="M532" s="55" t="s">
        <v>2824</v>
      </c>
      <c r="N532" s="4" t="s">
        <v>193</v>
      </c>
      <c r="O532" s="55" t="s">
        <v>178</v>
      </c>
    </row>
    <row r="533" spans="2:15">
      <c r="B533" s="20">
        <v>44840</v>
      </c>
      <c r="C533" s="59">
        <v>50144376</v>
      </c>
      <c r="D533" s="55" t="s">
        <v>19</v>
      </c>
      <c r="E533" s="67">
        <v>500</v>
      </c>
      <c r="F533" s="67">
        <v>10</v>
      </c>
      <c r="G533" s="102">
        <v>5000</v>
      </c>
      <c r="H533" s="105" t="s">
        <v>92</v>
      </c>
      <c r="I533" s="106"/>
      <c r="K533" s="56">
        <v>156</v>
      </c>
      <c r="M533" s="55" t="s">
        <v>326</v>
      </c>
      <c r="O533" s="55" t="s">
        <v>178</v>
      </c>
    </row>
    <row r="534" spans="2:15">
      <c r="B534" s="20">
        <v>44840</v>
      </c>
      <c r="C534" s="59">
        <v>40011661</v>
      </c>
      <c r="D534" s="55" t="s">
        <v>608</v>
      </c>
      <c r="E534" s="67">
        <v>450</v>
      </c>
      <c r="F534" s="67">
        <v>5</v>
      </c>
      <c r="G534" s="102">
        <v>2250</v>
      </c>
      <c r="H534" s="56" t="s">
        <v>80</v>
      </c>
      <c r="I534" s="106"/>
      <c r="K534" s="56">
        <v>157</v>
      </c>
      <c r="L534" s="55" t="s">
        <v>176</v>
      </c>
      <c r="M534" s="55" t="s">
        <v>2824</v>
      </c>
      <c r="N534" s="4" t="s">
        <v>193</v>
      </c>
      <c r="O534" s="55" t="s">
        <v>178</v>
      </c>
    </row>
    <row r="535" spans="2:15">
      <c r="B535" s="20">
        <v>44840</v>
      </c>
      <c r="C535" s="59">
        <v>50142281</v>
      </c>
      <c r="D535" s="55" t="s">
        <v>204</v>
      </c>
      <c r="E535" s="67">
        <v>420</v>
      </c>
      <c r="F535" s="67">
        <v>2</v>
      </c>
      <c r="G535" s="102">
        <v>840</v>
      </c>
      <c r="H535" s="56" t="s">
        <v>82</v>
      </c>
      <c r="I535" s="106"/>
      <c r="K535" s="56">
        <v>157</v>
      </c>
      <c r="L535" s="55" t="s">
        <v>176</v>
      </c>
      <c r="M535" s="55" t="s">
        <v>2824</v>
      </c>
      <c r="N535" s="4" t="s">
        <v>193</v>
      </c>
      <c r="O535" s="55" t="s">
        <v>178</v>
      </c>
    </row>
    <row r="536" spans="2:15">
      <c r="B536" s="20">
        <v>44840</v>
      </c>
      <c r="C536" s="59">
        <v>50142055</v>
      </c>
      <c r="D536" s="55" t="s">
        <v>206</v>
      </c>
      <c r="E536" s="67">
        <v>600</v>
      </c>
      <c r="F536" s="67">
        <v>3</v>
      </c>
      <c r="G536" s="102">
        <v>1800</v>
      </c>
      <c r="H536" s="56" t="s">
        <v>82</v>
      </c>
      <c r="I536" s="106"/>
      <c r="K536" s="56">
        <v>157</v>
      </c>
      <c r="L536" s="55" t="s">
        <v>176</v>
      </c>
      <c r="M536" s="55" t="s">
        <v>2824</v>
      </c>
      <c r="N536" s="4" t="s">
        <v>193</v>
      </c>
      <c r="O536" s="55" t="s">
        <v>178</v>
      </c>
    </row>
    <row r="537" spans="2:15">
      <c r="B537" s="20">
        <v>44840</v>
      </c>
      <c r="C537" s="59">
        <v>50337816</v>
      </c>
      <c r="D537" s="55" t="s">
        <v>245</v>
      </c>
      <c r="E537" s="67">
        <v>264</v>
      </c>
      <c r="F537" s="67">
        <v>2</v>
      </c>
      <c r="G537" s="102">
        <v>528</v>
      </c>
      <c r="H537" s="56" t="s">
        <v>80</v>
      </c>
      <c r="I537" s="106"/>
      <c r="K537" s="56">
        <v>157</v>
      </c>
      <c r="L537" s="55" t="s">
        <v>176</v>
      </c>
      <c r="M537" s="55" t="s">
        <v>2824</v>
      </c>
      <c r="N537" s="4" t="s">
        <v>193</v>
      </c>
      <c r="O537" s="55" t="s">
        <v>178</v>
      </c>
    </row>
    <row r="538" spans="2:15">
      <c r="B538" s="20">
        <v>44840</v>
      </c>
      <c r="C538" s="59">
        <v>50145028</v>
      </c>
      <c r="D538" s="55" t="s">
        <v>23</v>
      </c>
      <c r="E538" s="67">
        <v>192</v>
      </c>
      <c r="F538" s="67">
        <v>3</v>
      </c>
      <c r="G538" s="102">
        <v>576</v>
      </c>
      <c r="H538" s="56" t="s">
        <v>92</v>
      </c>
      <c r="I538" s="106"/>
      <c r="K538" s="56">
        <v>158</v>
      </c>
      <c r="L538" s="55" t="s">
        <v>2835</v>
      </c>
      <c r="M538" s="55" t="s">
        <v>416</v>
      </c>
      <c r="N538" s="4" t="s">
        <v>236</v>
      </c>
      <c r="O538" s="55" t="s">
        <v>178</v>
      </c>
    </row>
    <row r="539" spans="2:15">
      <c r="B539" s="20">
        <v>44840</v>
      </c>
      <c r="C539" s="59">
        <v>50272278</v>
      </c>
      <c r="D539" s="55" t="s">
        <v>21</v>
      </c>
      <c r="E539" s="67">
        <v>500</v>
      </c>
      <c r="F539" s="67">
        <v>5</v>
      </c>
      <c r="G539" s="102">
        <v>2500</v>
      </c>
      <c r="H539" s="56" t="s">
        <v>92</v>
      </c>
      <c r="I539" s="106"/>
      <c r="K539" s="56">
        <v>158</v>
      </c>
      <c r="L539" s="55" t="s">
        <v>2835</v>
      </c>
      <c r="M539" s="55" t="s">
        <v>416</v>
      </c>
      <c r="N539" s="4" t="s">
        <v>236</v>
      </c>
      <c r="O539" s="55" t="s">
        <v>178</v>
      </c>
    </row>
    <row r="540" spans="2:15">
      <c r="B540" s="20">
        <v>44841</v>
      </c>
      <c r="C540" s="59">
        <v>50145028</v>
      </c>
      <c r="D540" s="55" t="s">
        <v>23</v>
      </c>
      <c r="E540" s="67">
        <v>192</v>
      </c>
      <c r="F540" s="67">
        <v>2</v>
      </c>
      <c r="G540" s="102">
        <v>384</v>
      </c>
      <c r="H540" s="56" t="s">
        <v>92</v>
      </c>
      <c r="I540" s="106"/>
      <c r="K540" s="56">
        <v>159</v>
      </c>
      <c r="L540" s="55" t="s">
        <v>176</v>
      </c>
      <c r="M540" s="55" t="s">
        <v>2824</v>
      </c>
      <c r="N540" s="4" t="s">
        <v>177</v>
      </c>
      <c r="O540" s="55" t="s">
        <v>178</v>
      </c>
    </row>
    <row r="541" spans="2:15">
      <c r="B541" s="20">
        <v>44841</v>
      </c>
      <c r="C541" s="59">
        <v>50272278</v>
      </c>
      <c r="D541" s="55" t="s">
        <v>21</v>
      </c>
      <c r="E541" s="67">
        <v>500</v>
      </c>
      <c r="F541" s="67">
        <v>10</v>
      </c>
      <c r="G541" s="102">
        <v>5500</v>
      </c>
      <c r="H541" s="56" t="s">
        <v>92</v>
      </c>
      <c r="I541" s="106"/>
      <c r="K541" s="56">
        <v>159</v>
      </c>
      <c r="L541" s="55" t="s">
        <v>176</v>
      </c>
      <c r="M541" s="55" t="s">
        <v>2824</v>
      </c>
      <c r="N541" s="4" t="s">
        <v>177</v>
      </c>
      <c r="O541" s="55" t="s">
        <v>178</v>
      </c>
    </row>
    <row r="542" spans="2:15">
      <c r="B542" s="20">
        <v>44841</v>
      </c>
      <c r="C542" s="59">
        <v>50470190</v>
      </c>
      <c r="D542" s="55" t="s">
        <v>12</v>
      </c>
      <c r="E542" s="67">
        <v>289800</v>
      </c>
      <c r="F542" s="67">
        <v>3</v>
      </c>
      <c r="G542" s="102">
        <v>869400</v>
      </c>
      <c r="H542" s="56" t="s">
        <v>92</v>
      </c>
      <c r="I542" s="106"/>
      <c r="K542" s="56">
        <v>159</v>
      </c>
      <c r="L542" s="55" t="s">
        <v>176</v>
      </c>
      <c r="M542" s="55" t="s">
        <v>2824</v>
      </c>
      <c r="N542" s="4" t="s">
        <v>177</v>
      </c>
      <c r="O542" s="55" t="s">
        <v>178</v>
      </c>
    </row>
    <row r="543" spans="2:15">
      <c r="B543" s="20">
        <v>44841</v>
      </c>
      <c r="C543" s="59">
        <v>50144376</v>
      </c>
      <c r="D543" s="55" t="s">
        <v>19</v>
      </c>
      <c r="E543" s="67">
        <v>500</v>
      </c>
      <c r="F543" s="67">
        <v>5</v>
      </c>
      <c r="G543" s="102">
        <v>2500</v>
      </c>
      <c r="H543" s="105" t="s">
        <v>92</v>
      </c>
      <c r="I543" s="106"/>
      <c r="K543" s="56">
        <v>159</v>
      </c>
      <c r="L543" s="55" t="s">
        <v>176</v>
      </c>
      <c r="M543" s="55" t="s">
        <v>2824</v>
      </c>
      <c r="N543" s="4" t="s">
        <v>177</v>
      </c>
      <c r="O543" s="55" t="s">
        <v>178</v>
      </c>
    </row>
    <row r="544" spans="2:15">
      <c r="B544" s="20">
        <v>44842</v>
      </c>
      <c r="C544" s="59">
        <v>111111111</v>
      </c>
      <c r="D544" s="55" t="s">
        <v>610</v>
      </c>
      <c r="E544" s="67">
        <v>1500</v>
      </c>
      <c r="F544" s="67">
        <v>1</v>
      </c>
      <c r="G544" s="102">
        <v>1500</v>
      </c>
      <c r="H544" s="56" t="s">
        <v>92</v>
      </c>
      <c r="I544" s="106"/>
      <c r="K544" s="56">
        <v>160</v>
      </c>
      <c r="L544" s="55" t="s">
        <v>176</v>
      </c>
      <c r="M544" s="55" t="s">
        <v>2824</v>
      </c>
      <c r="N544" s="4" t="s">
        <v>177</v>
      </c>
      <c r="O544" s="55" t="s">
        <v>178</v>
      </c>
    </row>
    <row r="545" spans="2:15">
      <c r="B545" s="20">
        <v>44842</v>
      </c>
      <c r="C545" s="59">
        <v>50470190</v>
      </c>
      <c r="D545" s="55" t="s">
        <v>12</v>
      </c>
      <c r="E545" s="67">
        <v>289800</v>
      </c>
      <c r="F545" s="67">
        <v>15</v>
      </c>
      <c r="G545" s="102">
        <v>4347000</v>
      </c>
      <c r="H545" s="56" t="s">
        <v>92</v>
      </c>
      <c r="I545" s="106"/>
      <c r="K545" s="56">
        <v>160</v>
      </c>
      <c r="L545" s="55" t="s">
        <v>176</v>
      </c>
      <c r="M545" s="55" t="s">
        <v>2824</v>
      </c>
      <c r="N545" s="4" t="s">
        <v>177</v>
      </c>
      <c r="O545" s="55" t="s">
        <v>178</v>
      </c>
    </row>
    <row r="546" spans="2:15">
      <c r="B546" s="20">
        <v>44844</v>
      </c>
      <c r="C546" s="59">
        <v>50272278</v>
      </c>
      <c r="D546" s="55" t="s">
        <v>21</v>
      </c>
      <c r="E546" s="67">
        <v>500</v>
      </c>
      <c r="F546" s="67">
        <v>15</v>
      </c>
      <c r="G546" s="102">
        <v>7500</v>
      </c>
      <c r="H546" s="56" t="s">
        <v>92</v>
      </c>
      <c r="I546" s="106"/>
      <c r="K546" s="56">
        <v>161</v>
      </c>
      <c r="L546" s="55" t="s">
        <v>176</v>
      </c>
      <c r="M546" s="55" t="s">
        <v>2824</v>
      </c>
      <c r="N546" s="4" t="s">
        <v>193</v>
      </c>
      <c r="O546" s="55" t="s">
        <v>178</v>
      </c>
    </row>
    <row r="547" spans="2:15">
      <c r="B547" s="20">
        <v>44844</v>
      </c>
      <c r="C547" s="59">
        <v>50501722</v>
      </c>
      <c r="D547" s="55" t="s">
        <v>253</v>
      </c>
      <c r="E547" s="67">
        <v>707.9</v>
      </c>
      <c r="F547" s="67">
        <v>5</v>
      </c>
      <c r="G547" s="102">
        <v>3512.95</v>
      </c>
      <c r="H547" s="56" t="s">
        <v>82</v>
      </c>
      <c r="I547" s="106"/>
      <c r="K547" s="56">
        <v>161</v>
      </c>
      <c r="L547" s="55" t="s">
        <v>176</v>
      </c>
      <c r="M547" s="55" t="s">
        <v>2824</v>
      </c>
      <c r="N547" s="4" t="s">
        <v>193</v>
      </c>
      <c r="O547" s="55" t="s">
        <v>178</v>
      </c>
    </row>
    <row r="548" spans="2:15">
      <c r="B548" s="20">
        <v>44845</v>
      </c>
      <c r="C548" s="59">
        <v>50272278</v>
      </c>
      <c r="D548" s="55" t="s">
        <v>21</v>
      </c>
      <c r="E548" s="67">
        <v>500</v>
      </c>
      <c r="F548" s="67">
        <v>24</v>
      </c>
      <c r="G548" s="102">
        <v>12000</v>
      </c>
      <c r="H548" s="56" t="s">
        <v>92</v>
      </c>
      <c r="I548" s="106"/>
      <c r="K548" s="56">
        <v>162</v>
      </c>
      <c r="L548" s="55" t="s">
        <v>2835</v>
      </c>
      <c r="M548" s="55" t="s">
        <v>2824</v>
      </c>
      <c r="N548" s="4" t="s">
        <v>236</v>
      </c>
      <c r="O548" s="55" t="s">
        <v>178</v>
      </c>
    </row>
    <row r="549" spans="2:15">
      <c r="B549" s="20">
        <v>44845</v>
      </c>
      <c r="C549" s="59">
        <v>50142350</v>
      </c>
      <c r="D549" s="55" t="s">
        <v>212</v>
      </c>
      <c r="E549" s="67">
        <v>734.5</v>
      </c>
      <c r="F549" s="67">
        <v>4</v>
      </c>
      <c r="G549" s="102">
        <v>2938</v>
      </c>
      <c r="H549" s="56" t="s">
        <v>82</v>
      </c>
      <c r="I549" s="106"/>
      <c r="K549" s="56">
        <v>163</v>
      </c>
      <c r="L549" s="55" t="s">
        <v>176</v>
      </c>
      <c r="M549" s="55" t="s">
        <v>2824</v>
      </c>
      <c r="N549" s="4" t="s">
        <v>177</v>
      </c>
      <c r="O549" s="55" t="s">
        <v>178</v>
      </c>
    </row>
    <row r="550" spans="2:15">
      <c r="B550" s="20">
        <v>44845</v>
      </c>
      <c r="C550" s="59">
        <v>50142334</v>
      </c>
      <c r="D550" s="55" t="s">
        <v>257</v>
      </c>
      <c r="E550" s="67">
        <v>681</v>
      </c>
      <c r="F550" s="67">
        <v>4</v>
      </c>
      <c r="G550" s="102">
        <v>2724</v>
      </c>
      <c r="H550" s="56" t="s">
        <v>82</v>
      </c>
      <c r="I550" s="106"/>
      <c r="K550" s="56">
        <v>163</v>
      </c>
      <c r="L550" s="55" t="s">
        <v>176</v>
      </c>
      <c r="M550" s="55" t="s">
        <v>2824</v>
      </c>
      <c r="N550" s="4" t="s">
        <v>177</v>
      </c>
      <c r="O550" s="55" t="s">
        <v>178</v>
      </c>
    </row>
    <row r="551" spans="2:15">
      <c r="B551" s="20">
        <v>44845</v>
      </c>
      <c r="C551" s="59">
        <v>50761569</v>
      </c>
      <c r="D551" s="55" t="s">
        <v>609</v>
      </c>
      <c r="E551" s="67">
        <v>709.05</v>
      </c>
      <c r="F551" s="67">
        <v>4</v>
      </c>
      <c r="G551" s="102">
        <v>2572.75</v>
      </c>
      <c r="H551" s="56" t="s">
        <v>82</v>
      </c>
      <c r="I551" s="106"/>
      <c r="K551" s="56">
        <v>163</v>
      </c>
      <c r="L551" s="55" t="s">
        <v>176</v>
      </c>
      <c r="M551" s="55" t="s">
        <v>2824</v>
      </c>
      <c r="N551" s="4" t="s">
        <v>177</v>
      </c>
      <c r="O551" s="55" t="s">
        <v>178</v>
      </c>
    </row>
    <row r="552" spans="2:15">
      <c r="B552" s="20">
        <v>44845</v>
      </c>
      <c r="C552" s="59">
        <v>50522169</v>
      </c>
      <c r="D552" s="55" t="s">
        <v>250</v>
      </c>
      <c r="E552" s="67">
        <v>710.95</v>
      </c>
      <c r="F552" s="67">
        <v>6</v>
      </c>
      <c r="G552" s="102">
        <v>3624.7</v>
      </c>
      <c r="H552" s="56" t="s">
        <v>82</v>
      </c>
      <c r="I552" s="106"/>
      <c r="K552" s="56">
        <v>163</v>
      </c>
      <c r="L552" s="55" t="s">
        <v>176</v>
      </c>
      <c r="M552" s="55" t="s">
        <v>2824</v>
      </c>
      <c r="N552" s="4" t="s">
        <v>177</v>
      </c>
      <c r="O552" s="55" t="s">
        <v>178</v>
      </c>
    </row>
    <row r="553" spans="2:15">
      <c r="B553" s="20">
        <v>44846</v>
      </c>
      <c r="C553" s="59">
        <v>50272278</v>
      </c>
      <c r="D553" s="55" t="s">
        <v>21</v>
      </c>
      <c r="E553" s="67">
        <v>500</v>
      </c>
      <c r="F553" s="67">
        <v>11</v>
      </c>
      <c r="G553" s="102">
        <v>5500</v>
      </c>
      <c r="H553" s="56" t="s">
        <v>92</v>
      </c>
      <c r="I553" s="106"/>
      <c r="K553" s="56">
        <v>164</v>
      </c>
      <c r="L553" s="55" t="s">
        <v>176</v>
      </c>
      <c r="M553" s="55" t="s">
        <v>2824</v>
      </c>
      <c r="N553" s="4" t="s">
        <v>193</v>
      </c>
      <c r="O553" s="55" t="s">
        <v>178</v>
      </c>
    </row>
    <row r="554" spans="2:15">
      <c r="B554" s="20">
        <v>44846</v>
      </c>
      <c r="C554" s="59">
        <v>50142327</v>
      </c>
      <c r="D554" s="55" t="s">
        <v>256</v>
      </c>
      <c r="E554" s="67">
        <v>681</v>
      </c>
      <c r="F554" s="67">
        <v>4</v>
      </c>
      <c r="G554" s="102">
        <v>2724</v>
      </c>
      <c r="H554" s="56" t="s">
        <v>82</v>
      </c>
      <c r="I554" s="106"/>
      <c r="K554" s="56">
        <v>164</v>
      </c>
      <c r="L554" s="55" t="s">
        <v>176</v>
      </c>
      <c r="M554" s="55" t="s">
        <v>2824</v>
      </c>
      <c r="N554" s="4" t="s">
        <v>193</v>
      </c>
      <c r="O554" s="55" t="s">
        <v>178</v>
      </c>
    </row>
    <row r="555" spans="2:15">
      <c r="B555" s="20">
        <v>44846</v>
      </c>
      <c r="C555" s="59">
        <v>40011080</v>
      </c>
      <c r="D555" s="55" t="s">
        <v>420</v>
      </c>
      <c r="E555" s="67">
        <v>450</v>
      </c>
      <c r="F555" s="67">
        <v>5</v>
      </c>
      <c r="G555" s="102">
        <v>2250</v>
      </c>
      <c r="H555" s="56" t="s">
        <v>80</v>
      </c>
      <c r="I555" s="106"/>
      <c r="K555" s="56">
        <v>164</v>
      </c>
      <c r="L555" s="55" t="s">
        <v>176</v>
      </c>
      <c r="M555" s="55" t="s">
        <v>2824</v>
      </c>
      <c r="N555" s="4" t="s">
        <v>193</v>
      </c>
      <c r="O555" s="55" t="s">
        <v>178</v>
      </c>
    </row>
    <row r="556" spans="2:15">
      <c r="B556" s="20">
        <v>44846</v>
      </c>
      <c r="C556" s="59">
        <v>50785753</v>
      </c>
      <c r="D556" s="55" t="s">
        <v>570</v>
      </c>
      <c r="E556" s="67">
        <v>396.2</v>
      </c>
      <c r="F556" s="67">
        <v>2</v>
      </c>
      <c r="G556" s="102">
        <v>921.1</v>
      </c>
      <c r="H556" s="56" t="s">
        <v>82</v>
      </c>
      <c r="I556" s="106"/>
      <c r="K556" s="56">
        <v>165</v>
      </c>
      <c r="M556" s="55" t="s">
        <v>326</v>
      </c>
      <c r="O556" s="55" t="s">
        <v>178</v>
      </c>
    </row>
    <row r="557" spans="2:15">
      <c r="B557" s="20">
        <v>44847</v>
      </c>
      <c r="C557" s="59">
        <v>50272278</v>
      </c>
      <c r="D557" s="55" t="s">
        <v>21</v>
      </c>
      <c r="E557" s="67">
        <v>500</v>
      </c>
      <c r="F557" s="67">
        <v>20</v>
      </c>
      <c r="G557" s="102">
        <v>10000</v>
      </c>
      <c r="H557" s="56" t="s">
        <v>92</v>
      </c>
      <c r="I557" s="106"/>
      <c r="K557" s="56">
        <v>166</v>
      </c>
      <c r="L557" s="55" t="s">
        <v>176</v>
      </c>
      <c r="M557" s="55" t="s">
        <v>2824</v>
      </c>
      <c r="N557" s="4" t="s">
        <v>177</v>
      </c>
      <c r="O557" s="55" t="s">
        <v>178</v>
      </c>
    </row>
    <row r="558" spans="2:15">
      <c r="B558" s="20">
        <v>44847</v>
      </c>
      <c r="C558" s="59">
        <v>50145028</v>
      </c>
      <c r="D558" s="55" t="s">
        <v>23</v>
      </c>
      <c r="E558" s="67">
        <v>192</v>
      </c>
      <c r="F558" s="67">
        <v>1</v>
      </c>
      <c r="G558" s="102">
        <v>192</v>
      </c>
      <c r="H558" s="56" t="s">
        <v>92</v>
      </c>
      <c r="I558" s="106"/>
      <c r="K558" s="56">
        <v>167</v>
      </c>
      <c r="L558" s="55" t="s">
        <v>392</v>
      </c>
      <c r="M558" s="55" t="s">
        <v>2834</v>
      </c>
      <c r="N558" s="4" t="s">
        <v>2841</v>
      </c>
      <c r="O558" s="55" t="s">
        <v>178</v>
      </c>
    </row>
    <row r="559" spans="2:15">
      <c r="B559" s="20">
        <v>44847</v>
      </c>
      <c r="C559" s="59">
        <v>50144376</v>
      </c>
      <c r="D559" s="55" t="s">
        <v>19</v>
      </c>
      <c r="E559" s="67">
        <v>500</v>
      </c>
      <c r="F559" s="67">
        <v>3</v>
      </c>
      <c r="G559" s="102">
        <v>1500</v>
      </c>
      <c r="H559" s="105" t="s">
        <v>92</v>
      </c>
      <c r="I559" s="106"/>
      <c r="K559" s="56">
        <v>167</v>
      </c>
      <c r="L559" s="55" t="s">
        <v>392</v>
      </c>
      <c r="M559" s="55" t="s">
        <v>2834</v>
      </c>
      <c r="N559" s="4" t="s">
        <v>2841</v>
      </c>
      <c r="O559" s="55" t="s">
        <v>178</v>
      </c>
    </row>
    <row r="560" spans="2:15">
      <c r="B560" s="20">
        <v>44847</v>
      </c>
      <c r="C560" s="59">
        <v>50470190</v>
      </c>
      <c r="D560" s="55" t="s">
        <v>12</v>
      </c>
      <c r="E560" s="67">
        <v>289800</v>
      </c>
      <c r="F560" s="67">
        <v>16</v>
      </c>
      <c r="G560" s="102">
        <v>4636800</v>
      </c>
      <c r="H560" s="56" t="s">
        <v>92</v>
      </c>
      <c r="I560" s="106"/>
      <c r="K560" s="56">
        <v>168</v>
      </c>
      <c r="L560" s="55" t="s">
        <v>176</v>
      </c>
      <c r="M560" s="55" t="s">
        <v>2824</v>
      </c>
      <c r="N560" s="4" t="s">
        <v>177</v>
      </c>
      <c r="O560" s="55" t="s">
        <v>178</v>
      </c>
    </row>
    <row r="561" spans="2:15">
      <c r="B561" s="20">
        <v>44848</v>
      </c>
      <c r="C561" s="59">
        <v>50470190</v>
      </c>
      <c r="D561" s="55" t="s">
        <v>12</v>
      </c>
      <c r="E561" s="67">
        <v>289800</v>
      </c>
      <c r="F561" s="67">
        <v>16</v>
      </c>
      <c r="G561" s="102">
        <v>4636800</v>
      </c>
      <c r="H561" s="56" t="s">
        <v>92</v>
      </c>
      <c r="I561" s="106"/>
      <c r="K561" s="56">
        <v>169</v>
      </c>
      <c r="L561" s="55" t="s">
        <v>176</v>
      </c>
      <c r="M561" s="55" t="s">
        <v>2824</v>
      </c>
      <c r="N561" s="4" t="s">
        <v>177</v>
      </c>
      <c r="O561" s="55" t="s">
        <v>178</v>
      </c>
    </row>
    <row r="562" spans="2:15">
      <c r="B562" s="20">
        <v>44848</v>
      </c>
      <c r="C562" s="59">
        <v>50141786</v>
      </c>
      <c r="D562" s="55" t="s">
        <v>188</v>
      </c>
      <c r="E562" s="67">
        <v>560</v>
      </c>
      <c r="F562" s="67">
        <v>1</v>
      </c>
      <c r="G562" s="102">
        <v>560</v>
      </c>
      <c r="H562" s="56" t="s">
        <v>82</v>
      </c>
      <c r="I562" s="106"/>
      <c r="K562" s="56">
        <v>170</v>
      </c>
      <c r="L562" s="55" t="s">
        <v>176</v>
      </c>
      <c r="M562" s="55" t="s">
        <v>2824</v>
      </c>
      <c r="N562" s="4" t="s">
        <v>177</v>
      </c>
      <c r="O562" s="55" t="s">
        <v>178</v>
      </c>
    </row>
    <row r="563" spans="2:15">
      <c r="B563" s="20">
        <v>44848</v>
      </c>
      <c r="C563" s="59">
        <v>50010080</v>
      </c>
      <c r="D563" s="55" t="s">
        <v>354</v>
      </c>
      <c r="E563" s="67">
        <v>1000</v>
      </c>
      <c r="F563" s="67">
        <v>4</v>
      </c>
      <c r="G563" s="102">
        <v>4000</v>
      </c>
      <c r="H563" s="56" t="s">
        <v>82</v>
      </c>
      <c r="I563" s="106"/>
      <c r="K563" s="56">
        <v>170</v>
      </c>
      <c r="L563" s="55" t="s">
        <v>176</v>
      </c>
      <c r="M563" s="55" t="s">
        <v>2824</v>
      </c>
      <c r="N563" s="4" t="s">
        <v>177</v>
      </c>
      <c r="O563" s="55" t="s">
        <v>178</v>
      </c>
    </row>
    <row r="564" spans="2:15">
      <c r="B564" s="20">
        <v>44848</v>
      </c>
      <c r="C564" s="59">
        <v>40011080</v>
      </c>
      <c r="D564" s="55" t="s">
        <v>420</v>
      </c>
      <c r="E564" s="67">
        <v>450</v>
      </c>
      <c r="F564" s="67">
        <v>5</v>
      </c>
      <c r="G564" s="102">
        <v>2250</v>
      </c>
      <c r="H564" s="56" t="s">
        <v>80</v>
      </c>
      <c r="I564" s="106"/>
      <c r="K564" s="56">
        <v>170</v>
      </c>
      <c r="L564" s="55" t="s">
        <v>176</v>
      </c>
      <c r="M564" s="55" t="s">
        <v>2824</v>
      </c>
      <c r="N564" s="4" t="s">
        <v>177</v>
      </c>
      <c r="O564" s="55" t="s">
        <v>178</v>
      </c>
    </row>
    <row r="565" spans="2:15">
      <c r="B565" s="20">
        <v>44848</v>
      </c>
      <c r="C565" s="59">
        <v>40009546</v>
      </c>
      <c r="D565" s="55" t="s">
        <v>174</v>
      </c>
      <c r="E565" s="67">
        <v>756</v>
      </c>
      <c r="F565" s="67">
        <v>5</v>
      </c>
      <c r="G565" s="102">
        <v>3780</v>
      </c>
      <c r="H565" s="56" t="s">
        <v>80</v>
      </c>
      <c r="I565" s="106"/>
      <c r="K565" s="56">
        <v>170</v>
      </c>
      <c r="L565" s="55" t="s">
        <v>176</v>
      </c>
      <c r="M565" s="55" t="s">
        <v>2824</v>
      </c>
      <c r="N565" s="4" t="s">
        <v>177</v>
      </c>
      <c r="O565" s="55" t="s">
        <v>178</v>
      </c>
    </row>
    <row r="566" spans="2:15">
      <c r="B566" s="20">
        <v>44848</v>
      </c>
      <c r="C566" s="59">
        <v>50337816</v>
      </c>
      <c r="D566" s="55" t="s">
        <v>245</v>
      </c>
      <c r="E566" s="67">
        <v>264</v>
      </c>
      <c r="F566" s="67">
        <v>2</v>
      </c>
      <c r="G566" s="102">
        <v>528</v>
      </c>
      <c r="H566" s="56" t="s">
        <v>80</v>
      </c>
      <c r="I566" s="106"/>
      <c r="K566" s="56">
        <v>170</v>
      </c>
      <c r="L566" s="55" t="s">
        <v>176</v>
      </c>
      <c r="M566" s="55" t="s">
        <v>2824</v>
      </c>
      <c r="N566" s="4" t="s">
        <v>177</v>
      </c>
      <c r="O566" s="55" t="s">
        <v>178</v>
      </c>
    </row>
    <row r="567" spans="2:15">
      <c r="B567" s="20">
        <v>44848</v>
      </c>
      <c r="C567" s="59">
        <v>50266247</v>
      </c>
      <c r="D567" s="55" t="s">
        <v>614</v>
      </c>
      <c r="E567" s="67">
        <v>6400</v>
      </c>
      <c r="F567" s="67">
        <v>2</v>
      </c>
      <c r="G567" s="102">
        <v>13600</v>
      </c>
      <c r="H567" s="56" t="s">
        <v>92</v>
      </c>
      <c r="I567" s="106"/>
      <c r="K567" s="56">
        <v>170</v>
      </c>
      <c r="L567" s="55" t="s">
        <v>176</v>
      </c>
      <c r="M567" s="55" t="s">
        <v>2824</v>
      </c>
      <c r="N567" s="4" t="s">
        <v>177</v>
      </c>
      <c r="O567" s="55" t="s">
        <v>178</v>
      </c>
    </row>
    <row r="568" spans="2:15">
      <c r="B568" s="20">
        <v>44848</v>
      </c>
      <c r="C568" s="59">
        <v>50501720</v>
      </c>
      <c r="D568" s="55" t="s">
        <v>247</v>
      </c>
      <c r="E568" s="67">
        <v>436.65</v>
      </c>
      <c r="F568" s="67">
        <v>1</v>
      </c>
      <c r="G568" s="102">
        <v>436.65</v>
      </c>
      <c r="H568" s="56" t="s">
        <v>82</v>
      </c>
      <c r="I568" s="106"/>
      <c r="K568" s="56">
        <v>170</v>
      </c>
      <c r="L568" s="55" t="s">
        <v>176</v>
      </c>
      <c r="M568" s="55" t="s">
        <v>2824</v>
      </c>
      <c r="N568" s="4" t="s">
        <v>177</v>
      </c>
      <c r="O568" s="55" t="s">
        <v>178</v>
      </c>
    </row>
    <row r="569" spans="2:15">
      <c r="B569" s="20">
        <v>44848</v>
      </c>
      <c r="C569" s="59">
        <v>50272278</v>
      </c>
      <c r="D569" s="55" t="s">
        <v>21</v>
      </c>
      <c r="E569" s="67">
        <v>500</v>
      </c>
      <c r="F569" s="67">
        <v>20</v>
      </c>
      <c r="G569" s="102">
        <v>10000</v>
      </c>
      <c r="H569" s="56" t="s">
        <v>92</v>
      </c>
      <c r="I569" s="106"/>
      <c r="K569" s="56">
        <v>171</v>
      </c>
      <c r="L569" s="55" t="s">
        <v>176</v>
      </c>
      <c r="M569" s="55" t="s">
        <v>2824</v>
      </c>
      <c r="N569" s="4" t="s">
        <v>177</v>
      </c>
      <c r="O569" s="55" t="s">
        <v>178</v>
      </c>
    </row>
    <row r="570" spans="2:15">
      <c r="B570" s="20">
        <v>44848</v>
      </c>
      <c r="C570" s="59">
        <v>50501722</v>
      </c>
      <c r="D570" s="55" t="s">
        <v>253</v>
      </c>
      <c r="E570" s="67">
        <v>704.7</v>
      </c>
      <c r="F570" s="67">
        <v>5</v>
      </c>
      <c r="G570" s="102">
        <v>3475.05</v>
      </c>
      <c r="H570" s="56" t="s">
        <v>82</v>
      </c>
      <c r="I570" s="106"/>
      <c r="K570" s="56">
        <v>172</v>
      </c>
      <c r="L570" s="55" t="s">
        <v>176</v>
      </c>
      <c r="M570" s="55" t="s">
        <v>2824</v>
      </c>
      <c r="N570" s="4" t="s">
        <v>177</v>
      </c>
      <c r="O570" s="55" t="s">
        <v>178</v>
      </c>
    </row>
    <row r="571" spans="2:15">
      <c r="B571" s="20">
        <v>44848</v>
      </c>
      <c r="C571" s="59">
        <v>50141786</v>
      </c>
      <c r="D571" s="55" t="s">
        <v>188</v>
      </c>
      <c r="E571" s="67">
        <v>560</v>
      </c>
      <c r="F571" s="67">
        <v>4</v>
      </c>
      <c r="G571" s="102">
        <v>2240</v>
      </c>
      <c r="H571" s="56" t="s">
        <v>82</v>
      </c>
      <c r="I571" s="106"/>
      <c r="K571" s="56">
        <v>172</v>
      </c>
      <c r="L571" s="55" t="s">
        <v>176</v>
      </c>
      <c r="M571" s="55" t="s">
        <v>2824</v>
      </c>
      <c r="N571" s="4" t="s">
        <v>177</v>
      </c>
      <c r="O571" s="55" t="s">
        <v>178</v>
      </c>
    </row>
    <row r="572" spans="2:15">
      <c r="B572" s="20">
        <v>44851</v>
      </c>
      <c r="C572" s="59">
        <v>50470190</v>
      </c>
      <c r="D572" s="55" t="s">
        <v>12</v>
      </c>
      <c r="E572" s="67">
        <v>289800</v>
      </c>
      <c r="F572" s="67">
        <v>18</v>
      </c>
      <c r="G572" s="102">
        <v>5216400</v>
      </c>
      <c r="H572" s="56" t="s">
        <v>92</v>
      </c>
      <c r="I572" s="106"/>
      <c r="K572" s="56">
        <v>173</v>
      </c>
      <c r="L572" s="55" t="s">
        <v>176</v>
      </c>
      <c r="M572" s="55" t="s">
        <v>2824</v>
      </c>
      <c r="N572" s="4" t="s">
        <v>193</v>
      </c>
      <c r="O572" s="55" t="s">
        <v>178</v>
      </c>
    </row>
    <row r="573" spans="2:15">
      <c r="B573" s="20">
        <v>44851</v>
      </c>
      <c r="C573" s="59">
        <v>50143646</v>
      </c>
      <c r="D573" s="55" t="s">
        <v>191</v>
      </c>
      <c r="E573" s="67">
        <v>480</v>
      </c>
      <c r="F573" s="67">
        <v>6</v>
      </c>
      <c r="G573" s="102">
        <v>2880</v>
      </c>
      <c r="H573" s="56" t="s">
        <v>82</v>
      </c>
      <c r="I573" s="106"/>
      <c r="K573" s="56">
        <v>174</v>
      </c>
      <c r="L573" s="55" t="s">
        <v>176</v>
      </c>
      <c r="M573" s="55" t="s">
        <v>2824</v>
      </c>
      <c r="N573" s="4" t="s">
        <v>193</v>
      </c>
      <c r="O573" s="55" t="s">
        <v>178</v>
      </c>
    </row>
    <row r="574" spans="2:15">
      <c r="B574" s="20">
        <v>44851</v>
      </c>
      <c r="C574" s="108">
        <v>50522168</v>
      </c>
      <c r="D574" s="55" t="s">
        <v>252</v>
      </c>
      <c r="E574" s="67">
        <v>709.7</v>
      </c>
      <c r="F574" s="67">
        <v>5</v>
      </c>
      <c r="G574" s="102">
        <v>3576.7</v>
      </c>
      <c r="H574" s="56" t="s">
        <v>82</v>
      </c>
      <c r="I574" s="106"/>
      <c r="K574" s="56">
        <v>174</v>
      </c>
      <c r="L574" s="55" t="s">
        <v>176</v>
      </c>
      <c r="M574" s="55" t="s">
        <v>2824</v>
      </c>
      <c r="N574" s="4" t="s">
        <v>193</v>
      </c>
      <c r="O574" s="55" t="s">
        <v>178</v>
      </c>
    </row>
    <row r="575" spans="2:15">
      <c r="B575" s="20">
        <v>44851</v>
      </c>
      <c r="C575" s="59">
        <v>50522169</v>
      </c>
      <c r="D575" s="55" t="s">
        <v>250</v>
      </c>
      <c r="E575" s="67">
        <v>707.4</v>
      </c>
      <c r="F575" s="67">
        <v>5</v>
      </c>
      <c r="G575" s="102">
        <v>3543.85</v>
      </c>
      <c r="H575" s="56" t="s">
        <v>82</v>
      </c>
      <c r="I575" s="106"/>
      <c r="K575" s="56">
        <v>174</v>
      </c>
      <c r="L575" s="55" t="s">
        <v>176</v>
      </c>
      <c r="M575" s="55" t="s">
        <v>2824</v>
      </c>
      <c r="N575" s="4" t="s">
        <v>193</v>
      </c>
      <c r="O575" s="55" t="s">
        <v>178</v>
      </c>
    </row>
    <row r="576" spans="2:15">
      <c r="B576" s="20">
        <v>44851</v>
      </c>
      <c r="C576" s="59">
        <v>50507913</v>
      </c>
      <c r="D576" s="55" t="s">
        <v>407</v>
      </c>
      <c r="E576" s="67">
        <v>264000</v>
      </c>
      <c r="F576" s="67">
        <v>2</v>
      </c>
      <c r="G576" s="102">
        <v>528</v>
      </c>
      <c r="H576" s="56" t="s">
        <v>80</v>
      </c>
      <c r="I576" s="106"/>
      <c r="K576" s="56">
        <v>174</v>
      </c>
      <c r="L576" s="55" t="s">
        <v>176</v>
      </c>
      <c r="M576" s="55" t="s">
        <v>2824</v>
      </c>
      <c r="N576" s="4" t="s">
        <v>193</v>
      </c>
      <c r="O576" s="55" t="s">
        <v>178</v>
      </c>
    </row>
    <row r="577" spans="2:15">
      <c r="B577" s="20">
        <v>44851</v>
      </c>
      <c r="C577" s="59">
        <v>40011660</v>
      </c>
      <c r="D577" s="55" t="s">
        <v>528</v>
      </c>
      <c r="E577" s="67">
        <v>450</v>
      </c>
      <c r="F577" s="67">
        <v>2</v>
      </c>
      <c r="G577" s="102">
        <v>900</v>
      </c>
      <c r="H577" s="56" t="s">
        <v>80</v>
      </c>
      <c r="I577" s="106"/>
      <c r="K577" s="56">
        <v>174</v>
      </c>
      <c r="L577" s="55" t="s">
        <v>176</v>
      </c>
      <c r="M577" s="55" t="s">
        <v>2824</v>
      </c>
      <c r="N577" s="4" t="s">
        <v>193</v>
      </c>
      <c r="O577" s="55" t="s">
        <v>178</v>
      </c>
    </row>
    <row r="578" spans="2:15">
      <c r="B578" s="20">
        <v>44852</v>
      </c>
      <c r="C578" s="59">
        <v>50010080</v>
      </c>
      <c r="D578" s="55" t="s">
        <v>354</v>
      </c>
      <c r="E578" s="67">
        <v>1000</v>
      </c>
      <c r="F578" s="67">
        <v>5</v>
      </c>
      <c r="G578" s="102">
        <v>5000</v>
      </c>
      <c r="H578" s="56" t="s">
        <v>82</v>
      </c>
      <c r="I578" s="106"/>
      <c r="K578" s="56">
        <v>175</v>
      </c>
      <c r="L578" s="55" t="s">
        <v>176</v>
      </c>
      <c r="M578" s="55" t="s">
        <v>2824</v>
      </c>
      <c r="N578" s="4" t="s">
        <v>193</v>
      </c>
      <c r="O578" s="55" t="s">
        <v>178</v>
      </c>
    </row>
    <row r="579" spans="2:15">
      <c r="B579" s="20">
        <v>44852</v>
      </c>
      <c r="C579" s="59">
        <v>50501720</v>
      </c>
      <c r="D579" s="55" t="s">
        <v>247</v>
      </c>
      <c r="E579" s="67">
        <v>625</v>
      </c>
      <c r="F579" s="67">
        <v>2</v>
      </c>
      <c r="G579" s="102">
        <v>1394.35</v>
      </c>
      <c r="H579" s="56" t="s">
        <v>82</v>
      </c>
      <c r="I579" s="106"/>
      <c r="K579" s="56">
        <v>175</v>
      </c>
      <c r="L579" s="55" t="s">
        <v>176</v>
      </c>
      <c r="M579" s="55" t="s">
        <v>2824</v>
      </c>
      <c r="N579" s="4" t="s">
        <v>193</v>
      </c>
      <c r="O579" s="55" t="s">
        <v>178</v>
      </c>
    </row>
    <row r="580" spans="2:15">
      <c r="B580" s="20">
        <v>44852</v>
      </c>
      <c r="C580" s="59">
        <v>50142327</v>
      </c>
      <c r="D580" s="55" t="s">
        <v>256</v>
      </c>
      <c r="E580" s="67">
        <v>681</v>
      </c>
      <c r="F580" s="67">
        <v>4</v>
      </c>
      <c r="G580" s="102">
        <v>2724</v>
      </c>
      <c r="H580" s="56" t="s">
        <v>82</v>
      </c>
      <c r="I580" s="106"/>
      <c r="K580" s="56">
        <v>175</v>
      </c>
      <c r="L580" s="55" t="s">
        <v>176</v>
      </c>
      <c r="M580" s="55" t="s">
        <v>2824</v>
      </c>
      <c r="N580" s="4" t="s">
        <v>193</v>
      </c>
      <c r="O580" s="55" t="s">
        <v>178</v>
      </c>
    </row>
    <row r="581" spans="2:15">
      <c r="B581" s="20">
        <v>44852</v>
      </c>
      <c r="C581" s="59">
        <v>50142334</v>
      </c>
      <c r="D581" s="55" t="s">
        <v>257</v>
      </c>
      <c r="E581" s="67">
        <v>681</v>
      </c>
      <c r="F581" s="67">
        <v>4</v>
      </c>
      <c r="G581" s="102">
        <v>2724</v>
      </c>
      <c r="H581" s="56" t="s">
        <v>82</v>
      </c>
      <c r="I581" s="106"/>
      <c r="K581" s="56">
        <v>175</v>
      </c>
      <c r="L581" s="55" t="s">
        <v>176</v>
      </c>
      <c r="M581" s="55" t="s">
        <v>2824</v>
      </c>
      <c r="N581" s="4" t="s">
        <v>193</v>
      </c>
      <c r="O581" s="55" t="s">
        <v>178</v>
      </c>
    </row>
    <row r="582" spans="2:15">
      <c r="B582" s="20">
        <v>44852</v>
      </c>
      <c r="C582" s="59">
        <v>40011661</v>
      </c>
      <c r="D582" s="55" t="s">
        <v>608</v>
      </c>
      <c r="E582" s="67">
        <v>450</v>
      </c>
      <c r="F582" s="67">
        <v>4</v>
      </c>
      <c r="G582" s="102">
        <v>1800</v>
      </c>
      <c r="H582" s="56" t="s">
        <v>80</v>
      </c>
      <c r="I582" s="106"/>
      <c r="K582" s="56">
        <v>175</v>
      </c>
      <c r="L582" s="55" t="s">
        <v>176</v>
      </c>
      <c r="M582" s="55" t="s">
        <v>2824</v>
      </c>
      <c r="N582" s="4" t="s">
        <v>193</v>
      </c>
      <c r="O582" s="55" t="s">
        <v>178</v>
      </c>
    </row>
    <row r="583" spans="2:15">
      <c r="B583" s="20">
        <v>44852</v>
      </c>
      <c r="C583" s="59">
        <v>50142055</v>
      </c>
      <c r="D583" s="55" t="s">
        <v>206</v>
      </c>
      <c r="E583" s="67">
        <v>600</v>
      </c>
      <c r="F583" s="67">
        <v>2</v>
      </c>
      <c r="G583" s="102">
        <v>1175</v>
      </c>
      <c r="H583" s="56" t="s">
        <v>82</v>
      </c>
      <c r="I583" s="106"/>
      <c r="K583" s="56">
        <v>176</v>
      </c>
      <c r="L583" s="55" t="s">
        <v>176</v>
      </c>
      <c r="M583" s="55" t="s">
        <v>2824</v>
      </c>
      <c r="N583" s="4" t="s">
        <v>193</v>
      </c>
      <c r="O583" s="55" t="s">
        <v>178</v>
      </c>
    </row>
    <row r="584" spans="2:15">
      <c r="B584" s="20">
        <v>44852</v>
      </c>
      <c r="C584" s="59">
        <v>40009148</v>
      </c>
      <c r="D584" s="55" t="s">
        <v>218</v>
      </c>
      <c r="E584" s="67">
        <v>756</v>
      </c>
      <c r="F584" s="67">
        <v>3</v>
      </c>
      <c r="G584" s="102">
        <v>2268</v>
      </c>
      <c r="H584" s="56" t="s">
        <v>80</v>
      </c>
      <c r="I584" s="106"/>
      <c r="K584" s="56">
        <v>176</v>
      </c>
      <c r="L584" s="55" t="s">
        <v>176</v>
      </c>
      <c r="M584" s="55" t="s">
        <v>2824</v>
      </c>
      <c r="N584" s="4" t="s">
        <v>193</v>
      </c>
      <c r="O584" s="55" t="s">
        <v>178</v>
      </c>
    </row>
    <row r="585" spans="2:15">
      <c r="B585" s="20">
        <v>44852</v>
      </c>
      <c r="C585" s="59">
        <v>50369034</v>
      </c>
      <c r="D585" s="55" t="s">
        <v>322</v>
      </c>
      <c r="E585" s="67">
        <v>700.65</v>
      </c>
      <c r="F585" s="67">
        <v>5</v>
      </c>
      <c r="G585" s="102">
        <v>3504.2</v>
      </c>
      <c r="H585" s="56" t="s">
        <v>82</v>
      </c>
      <c r="I585" s="106"/>
      <c r="K585" s="56">
        <v>176</v>
      </c>
      <c r="L585" s="55" t="s">
        <v>176</v>
      </c>
      <c r="M585" s="55" t="s">
        <v>2824</v>
      </c>
      <c r="N585" s="4" t="s">
        <v>193</v>
      </c>
      <c r="O585" s="55" t="s">
        <v>178</v>
      </c>
    </row>
    <row r="586" spans="2:15">
      <c r="B586" s="20">
        <v>44852</v>
      </c>
      <c r="C586" s="59">
        <v>50550701</v>
      </c>
      <c r="D586" s="55" t="s">
        <v>244</v>
      </c>
      <c r="E586" s="67">
        <v>700</v>
      </c>
      <c r="F586" s="67">
        <v>3</v>
      </c>
      <c r="G586" s="102">
        <v>1695.65</v>
      </c>
      <c r="H586" s="56" t="s">
        <v>82</v>
      </c>
      <c r="I586" s="106"/>
      <c r="K586" s="56">
        <v>176</v>
      </c>
      <c r="L586" s="55" t="s">
        <v>176</v>
      </c>
      <c r="M586" s="55" t="s">
        <v>2824</v>
      </c>
      <c r="N586" s="4" t="s">
        <v>193</v>
      </c>
      <c r="O586" s="55" t="s">
        <v>178</v>
      </c>
    </row>
    <row r="587" spans="2:15">
      <c r="B587" s="20">
        <v>44852</v>
      </c>
      <c r="C587" s="59">
        <v>50142281</v>
      </c>
      <c r="D587" s="55" t="s">
        <v>204</v>
      </c>
      <c r="E587" s="67">
        <v>390</v>
      </c>
      <c r="F587" s="67">
        <v>2</v>
      </c>
      <c r="G587" s="102">
        <v>780</v>
      </c>
      <c r="H587" s="56" t="s">
        <v>82</v>
      </c>
      <c r="I587" s="106"/>
      <c r="K587" s="56">
        <v>176</v>
      </c>
      <c r="L587" s="55" t="s">
        <v>176</v>
      </c>
      <c r="M587" s="55" t="s">
        <v>2824</v>
      </c>
      <c r="N587" s="4" t="s">
        <v>193</v>
      </c>
      <c r="O587" s="55" t="s">
        <v>178</v>
      </c>
    </row>
    <row r="588" spans="2:15">
      <c r="B588" s="20">
        <v>44852</v>
      </c>
      <c r="C588" s="59">
        <v>50522169</v>
      </c>
      <c r="D588" s="55" t="s">
        <v>250</v>
      </c>
      <c r="E588" s="67">
        <v>714.85</v>
      </c>
      <c r="F588" s="67">
        <v>5</v>
      </c>
      <c r="G588" s="102">
        <v>3523.6</v>
      </c>
      <c r="H588" s="56" t="s">
        <v>82</v>
      </c>
      <c r="I588" s="106"/>
      <c r="K588" s="56">
        <v>176</v>
      </c>
      <c r="L588" s="55" t="s">
        <v>176</v>
      </c>
      <c r="M588" s="55" t="s">
        <v>2824</v>
      </c>
      <c r="N588" s="4" t="s">
        <v>193</v>
      </c>
      <c r="O588" s="55" t="s">
        <v>178</v>
      </c>
    </row>
    <row r="589" spans="2:15">
      <c r="B589" s="20">
        <v>44853</v>
      </c>
      <c r="C589" s="59">
        <v>50272278</v>
      </c>
      <c r="D589" s="55" t="s">
        <v>21</v>
      </c>
      <c r="E589" s="67">
        <v>500</v>
      </c>
      <c r="F589" s="67">
        <v>20</v>
      </c>
      <c r="G589" s="102">
        <v>10000</v>
      </c>
      <c r="H589" s="56" t="s">
        <v>92</v>
      </c>
      <c r="I589" s="106"/>
      <c r="K589" s="56">
        <v>177</v>
      </c>
      <c r="L589" s="55" t="s">
        <v>176</v>
      </c>
      <c r="M589" s="55" t="s">
        <v>2824</v>
      </c>
      <c r="N589" s="4" t="s">
        <v>177</v>
      </c>
      <c r="O589" s="55" t="s">
        <v>178</v>
      </c>
    </row>
    <row r="590" spans="2:15">
      <c r="B590" s="20">
        <v>44853</v>
      </c>
      <c r="C590" s="59">
        <v>50470190</v>
      </c>
      <c r="D590" s="55" t="s">
        <v>12</v>
      </c>
      <c r="E590" s="67">
        <v>289800</v>
      </c>
      <c r="F590" s="67">
        <v>11</v>
      </c>
      <c r="G590" s="102">
        <v>3187800</v>
      </c>
      <c r="H590" s="56" t="s">
        <v>92</v>
      </c>
      <c r="I590" s="106"/>
      <c r="K590" s="56">
        <v>178</v>
      </c>
      <c r="L590" s="55" t="s">
        <v>176</v>
      </c>
      <c r="M590" s="55" t="s">
        <v>2824</v>
      </c>
      <c r="N590" s="4" t="s">
        <v>177</v>
      </c>
      <c r="O590" s="55" t="s">
        <v>178</v>
      </c>
    </row>
    <row r="591" spans="2:15">
      <c r="B591" s="20">
        <v>44853</v>
      </c>
      <c r="C591" s="59">
        <v>50449101</v>
      </c>
      <c r="D591" s="55" t="s">
        <v>237</v>
      </c>
      <c r="E591" s="67">
        <v>289800</v>
      </c>
      <c r="F591" s="67">
        <v>2</v>
      </c>
      <c r="G591" s="102">
        <v>579600</v>
      </c>
      <c r="H591" s="56" t="s">
        <v>92</v>
      </c>
      <c r="I591" s="106"/>
      <c r="K591" s="56">
        <v>178</v>
      </c>
      <c r="L591" s="55" t="s">
        <v>176</v>
      </c>
      <c r="M591" s="55" t="s">
        <v>2824</v>
      </c>
      <c r="N591" s="4" t="s">
        <v>177</v>
      </c>
      <c r="O591" s="55" t="s">
        <v>178</v>
      </c>
    </row>
    <row r="592" spans="2:15">
      <c r="B592" s="20">
        <v>44853</v>
      </c>
      <c r="C592" s="59">
        <v>50772905</v>
      </c>
      <c r="D592" s="55" t="s">
        <v>611</v>
      </c>
      <c r="E592" s="67">
        <v>709</v>
      </c>
      <c r="F592" s="67">
        <v>3</v>
      </c>
      <c r="G592" s="102">
        <v>2099.5</v>
      </c>
      <c r="H592" s="56" t="s">
        <v>82</v>
      </c>
      <c r="I592" s="106"/>
      <c r="K592" s="56">
        <v>178</v>
      </c>
      <c r="L592" s="55" t="s">
        <v>176</v>
      </c>
      <c r="M592" s="55" t="s">
        <v>2824</v>
      </c>
      <c r="N592" s="4" t="s">
        <v>177</v>
      </c>
      <c r="O592" s="55" t="s">
        <v>178</v>
      </c>
    </row>
    <row r="593" spans="2:15">
      <c r="B593" s="20">
        <v>44854</v>
      </c>
      <c r="C593" s="59">
        <v>50141786</v>
      </c>
      <c r="D593" s="55" t="s">
        <v>188</v>
      </c>
      <c r="E593" s="67">
        <v>560</v>
      </c>
      <c r="F593" s="67">
        <v>5</v>
      </c>
      <c r="G593" s="102">
        <v>2800</v>
      </c>
      <c r="H593" s="56" t="s">
        <v>82</v>
      </c>
      <c r="I593" s="106"/>
      <c r="K593" s="56">
        <v>179</v>
      </c>
      <c r="L593" s="55" t="s">
        <v>176</v>
      </c>
      <c r="M593" s="55" t="s">
        <v>2824</v>
      </c>
      <c r="N593" s="4" t="s">
        <v>193</v>
      </c>
      <c r="O593" s="55" t="s">
        <v>178</v>
      </c>
    </row>
    <row r="594" spans="2:15">
      <c r="B594" s="20">
        <v>44854</v>
      </c>
      <c r="C594" s="59">
        <v>50141533</v>
      </c>
      <c r="D594" s="55" t="s">
        <v>494</v>
      </c>
      <c r="E594" s="67">
        <v>1000</v>
      </c>
      <c r="F594" s="67">
        <v>2</v>
      </c>
      <c r="G594" s="102">
        <v>2000</v>
      </c>
      <c r="H594" s="56" t="s">
        <v>82</v>
      </c>
      <c r="I594" s="106"/>
      <c r="K594" s="56">
        <v>179</v>
      </c>
      <c r="L594" s="55" t="s">
        <v>176</v>
      </c>
      <c r="M594" s="55" t="s">
        <v>2824</v>
      </c>
      <c r="N594" s="4" t="s">
        <v>193</v>
      </c>
      <c r="O594" s="55" t="s">
        <v>178</v>
      </c>
    </row>
    <row r="595" spans="2:15">
      <c r="B595" s="20">
        <v>44854</v>
      </c>
      <c r="C595" s="59">
        <v>50470190</v>
      </c>
      <c r="D595" s="55" t="s">
        <v>12</v>
      </c>
      <c r="E595" s="67">
        <v>289800</v>
      </c>
      <c r="F595" s="67">
        <v>6</v>
      </c>
      <c r="G595" s="102">
        <v>1738800</v>
      </c>
      <c r="H595" s="56" t="s">
        <v>92</v>
      </c>
      <c r="I595" s="106"/>
      <c r="K595" s="56">
        <v>179</v>
      </c>
      <c r="L595" s="55" t="s">
        <v>176</v>
      </c>
      <c r="M595" s="55" t="s">
        <v>2824</v>
      </c>
      <c r="N595" s="4" t="s">
        <v>193</v>
      </c>
      <c r="O595" s="55" t="s">
        <v>178</v>
      </c>
    </row>
    <row r="596" spans="2:15">
      <c r="B596" s="20">
        <v>44854</v>
      </c>
      <c r="C596" s="59">
        <v>50272278</v>
      </c>
      <c r="D596" s="55" t="s">
        <v>21</v>
      </c>
      <c r="E596" s="67">
        <v>500</v>
      </c>
      <c r="F596" s="67">
        <v>7</v>
      </c>
      <c r="G596" s="102">
        <v>3500</v>
      </c>
      <c r="H596" s="56" t="s">
        <v>92</v>
      </c>
      <c r="I596" s="106"/>
      <c r="K596" s="56">
        <v>179</v>
      </c>
      <c r="L596" s="55" t="s">
        <v>176</v>
      </c>
      <c r="M596" s="55" t="s">
        <v>2824</v>
      </c>
      <c r="N596" s="4" t="s">
        <v>193</v>
      </c>
      <c r="O596" s="55" t="s">
        <v>178</v>
      </c>
    </row>
    <row r="597" spans="2:15">
      <c r="B597" s="20">
        <v>44855</v>
      </c>
      <c r="C597" s="59">
        <v>50272278</v>
      </c>
      <c r="D597" s="55" t="s">
        <v>21</v>
      </c>
      <c r="E597" s="67">
        <v>500</v>
      </c>
      <c r="F597" s="67">
        <v>20</v>
      </c>
      <c r="G597" s="102">
        <v>10000</v>
      </c>
      <c r="H597" s="56" t="s">
        <v>92</v>
      </c>
      <c r="I597" s="106"/>
      <c r="K597" s="56">
        <v>180</v>
      </c>
      <c r="L597" s="55" t="s">
        <v>176</v>
      </c>
      <c r="M597" s="55" t="s">
        <v>2824</v>
      </c>
      <c r="N597" s="4" t="s">
        <v>177</v>
      </c>
      <c r="O597" s="55" t="s">
        <v>178</v>
      </c>
    </row>
    <row r="598" spans="2:15">
      <c r="B598" s="20">
        <v>44855</v>
      </c>
      <c r="C598" s="59">
        <v>50470190</v>
      </c>
      <c r="D598" s="55" t="s">
        <v>12</v>
      </c>
      <c r="E598" s="67">
        <v>289800</v>
      </c>
      <c r="F598" s="67">
        <v>16</v>
      </c>
      <c r="G598" s="102">
        <v>4636800</v>
      </c>
      <c r="H598" s="56" t="s">
        <v>92</v>
      </c>
      <c r="I598" s="106"/>
      <c r="K598" s="56">
        <v>181</v>
      </c>
      <c r="L598" s="55" t="s">
        <v>176</v>
      </c>
      <c r="M598" s="55" t="s">
        <v>2824</v>
      </c>
      <c r="N598" s="4" t="s">
        <v>177</v>
      </c>
      <c r="O598" s="55" t="s">
        <v>178</v>
      </c>
    </row>
    <row r="599" spans="2:15">
      <c r="B599" s="20">
        <v>44858</v>
      </c>
      <c r="C599" s="59">
        <v>40011588</v>
      </c>
      <c r="D599" s="55" t="s">
        <v>585</v>
      </c>
      <c r="E599" s="67">
        <v>450</v>
      </c>
      <c r="F599" s="67">
        <v>3</v>
      </c>
      <c r="G599" s="102">
        <v>1350</v>
      </c>
      <c r="H599" s="56" t="s">
        <v>80</v>
      </c>
      <c r="I599" s="106"/>
      <c r="K599" s="56">
        <v>182</v>
      </c>
      <c r="L599" s="55" t="s">
        <v>176</v>
      </c>
      <c r="M599" s="55" t="s">
        <v>2824</v>
      </c>
      <c r="N599" s="4" t="s">
        <v>193</v>
      </c>
      <c r="O599" s="55" t="s">
        <v>178</v>
      </c>
    </row>
    <row r="600" spans="2:15">
      <c r="B600" s="20">
        <v>44858</v>
      </c>
      <c r="C600" s="59">
        <v>50470190</v>
      </c>
      <c r="D600" s="55" t="s">
        <v>12</v>
      </c>
      <c r="E600" s="67">
        <v>289800</v>
      </c>
      <c r="F600" s="67">
        <v>10</v>
      </c>
      <c r="G600" s="102">
        <v>2898000</v>
      </c>
      <c r="H600" s="56" t="s">
        <v>92</v>
      </c>
      <c r="I600" s="106"/>
      <c r="K600" s="56">
        <v>182</v>
      </c>
      <c r="L600" s="55" t="s">
        <v>176</v>
      </c>
      <c r="M600" s="55" t="s">
        <v>2824</v>
      </c>
      <c r="N600" s="4" t="s">
        <v>193</v>
      </c>
      <c r="O600" s="55" t="s">
        <v>178</v>
      </c>
    </row>
    <row r="601" spans="2:15">
      <c r="B601" s="20">
        <v>44858</v>
      </c>
      <c r="C601" s="59">
        <v>50369034</v>
      </c>
      <c r="D601" s="55" t="s">
        <v>322</v>
      </c>
      <c r="E601" s="67">
        <v>699.2</v>
      </c>
      <c r="F601" s="67">
        <v>5</v>
      </c>
      <c r="G601" s="102">
        <v>3496.55</v>
      </c>
      <c r="H601" s="56" t="s">
        <v>82</v>
      </c>
      <c r="I601" s="106"/>
      <c r="K601" s="56">
        <v>182</v>
      </c>
      <c r="L601" s="55" t="s">
        <v>176</v>
      </c>
      <c r="M601" s="55" t="s">
        <v>2824</v>
      </c>
      <c r="N601" s="4" t="s">
        <v>193</v>
      </c>
      <c r="O601" s="55" t="s">
        <v>178</v>
      </c>
    </row>
    <row r="602" spans="2:15">
      <c r="B602" s="20">
        <v>44858</v>
      </c>
      <c r="C602" s="59">
        <v>50272278</v>
      </c>
      <c r="D602" s="55" t="s">
        <v>21</v>
      </c>
      <c r="E602" s="67">
        <v>500</v>
      </c>
      <c r="F602" s="67">
        <v>15</v>
      </c>
      <c r="G602" s="102">
        <v>7500</v>
      </c>
      <c r="H602" s="56" t="s">
        <v>92</v>
      </c>
      <c r="I602" s="106"/>
      <c r="K602" s="56">
        <v>183</v>
      </c>
      <c r="L602" s="55" t="s">
        <v>176</v>
      </c>
      <c r="M602" s="55" t="s">
        <v>2824</v>
      </c>
      <c r="N602" s="4" t="s">
        <v>193</v>
      </c>
      <c r="O602" s="55" t="s">
        <v>178</v>
      </c>
    </row>
    <row r="603" spans="2:15">
      <c r="B603" s="20">
        <v>44858</v>
      </c>
      <c r="C603" s="59">
        <v>40011130</v>
      </c>
      <c r="D603" s="55" t="s">
        <v>631</v>
      </c>
      <c r="E603" s="67">
        <v>2940</v>
      </c>
      <c r="F603" s="67">
        <v>2</v>
      </c>
      <c r="G603" s="102">
        <v>5880</v>
      </c>
      <c r="H603" s="56" t="s">
        <v>80</v>
      </c>
      <c r="I603" s="106"/>
      <c r="K603" s="56">
        <v>183</v>
      </c>
      <c r="L603" s="55" t="s">
        <v>176</v>
      </c>
      <c r="M603" s="55" t="s">
        <v>2824</v>
      </c>
      <c r="N603" s="4" t="s">
        <v>193</v>
      </c>
      <c r="O603" s="55" t="s">
        <v>178</v>
      </c>
    </row>
    <row r="604" spans="2:15">
      <c r="B604" s="20">
        <v>44858</v>
      </c>
      <c r="C604" s="59">
        <v>40011133</v>
      </c>
      <c r="D604" s="55" t="s">
        <v>634</v>
      </c>
      <c r="E604" s="67">
        <v>756</v>
      </c>
      <c r="F604" s="67">
        <v>3</v>
      </c>
      <c r="G604" s="102">
        <v>2268</v>
      </c>
      <c r="H604" s="56" t="s">
        <v>80</v>
      </c>
      <c r="I604" s="106"/>
      <c r="K604" s="56">
        <v>183</v>
      </c>
      <c r="L604" s="55" t="s">
        <v>176</v>
      </c>
      <c r="M604" s="55" t="s">
        <v>2824</v>
      </c>
      <c r="N604" s="4" t="s">
        <v>193</v>
      </c>
      <c r="O604" s="55" t="s">
        <v>178</v>
      </c>
    </row>
    <row r="605" spans="2:15">
      <c r="B605" s="20">
        <v>44859</v>
      </c>
      <c r="C605" s="59">
        <v>50010080</v>
      </c>
      <c r="D605" s="55" t="s">
        <v>354</v>
      </c>
      <c r="E605" s="67">
        <v>1000</v>
      </c>
      <c r="F605" s="67">
        <v>6</v>
      </c>
      <c r="G605" s="102">
        <v>6000</v>
      </c>
      <c r="H605" s="56" t="s">
        <v>82</v>
      </c>
      <c r="I605" s="106"/>
      <c r="K605" s="56">
        <v>184</v>
      </c>
      <c r="L605" s="55" t="s">
        <v>176</v>
      </c>
      <c r="M605" s="55" t="s">
        <v>2824</v>
      </c>
      <c r="N605" s="4" t="s">
        <v>177</v>
      </c>
      <c r="O605" s="55" t="s">
        <v>178</v>
      </c>
    </row>
    <row r="606" spans="2:15">
      <c r="B606" s="20">
        <v>44859</v>
      </c>
      <c r="C606" s="108">
        <v>50522168</v>
      </c>
      <c r="D606" s="55" t="s">
        <v>252</v>
      </c>
      <c r="E606" s="67">
        <v>700</v>
      </c>
      <c r="F606" s="67">
        <v>2</v>
      </c>
      <c r="G606" s="102">
        <v>1430.9</v>
      </c>
      <c r="H606" s="56" t="s">
        <v>82</v>
      </c>
      <c r="I606" s="106"/>
      <c r="K606" s="56">
        <v>184</v>
      </c>
      <c r="L606" s="55" t="s">
        <v>176</v>
      </c>
      <c r="M606" s="55" t="s">
        <v>2824</v>
      </c>
      <c r="N606" s="4" t="s">
        <v>177</v>
      </c>
      <c r="O606" s="55" t="s">
        <v>178</v>
      </c>
    </row>
    <row r="607" spans="2:15">
      <c r="B607" s="20">
        <v>44859</v>
      </c>
      <c r="C607" s="59">
        <v>40011129</v>
      </c>
      <c r="D607" s="55" t="s">
        <v>79</v>
      </c>
      <c r="E607" s="67">
        <v>3528</v>
      </c>
      <c r="F607" s="67">
        <v>2</v>
      </c>
      <c r="G607" s="102">
        <v>6770</v>
      </c>
      <c r="H607" s="56" t="s">
        <v>80</v>
      </c>
      <c r="I607" s="106"/>
      <c r="K607" s="56">
        <v>184</v>
      </c>
      <c r="L607" s="55" t="s">
        <v>176</v>
      </c>
      <c r="M607" s="55" t="s">
        <v>2824</v>
      </c>
      <c r="N607" s="4" t="s">
        <v>177</v>
      </c>
      <c r="O607" s="55" t="s">
        <v>178</v>
      </c>
    </row>
    <row r="608" spans="2:15">
      <c r="B608" s="20">
        <v>44859</v>
      </c>
      <c r="C608" s="59">
        <v>40010087</v>
      </c>
      <c r="D608" s="55" t="s">
        <v>387</v>
      </c>
      <c r="E608" s="67">
        <v>756</v>
      </c>
      <c r="F608" s="67">
        <v>4</v>
      </c>
      <c r="G608" s="102">
        <v>2516</v>
      </c>
      <c r="H608" s="56" t="s">
        <v>80</v>
      </c>
      <c r="I608" s="106"/>
      <c r="K608" s="56">
        <v>184</v>
      </c>
      <c r="L608" s="55" t="s">
        <v>176</v>
      </c>
      <c r="M608" s="55" t="s">
        <v>2824</v>
      </c>
      <c r="N608" s="4" t="s">
        <v>177</v>
      </c>
      <c r="O608" s="55" t="s">
        <v>178</v>
      </c>
    </row>
    <row r="609" spans="2:15">
      <c r="B609" s="20">
        <v>44859</v>
      </c>
      <c r="C609" s="59">
        <v>50142631</v>
      </c>
      <c r="D609" s="55" t="s">
        <v>566</v>
      </c>
      <c r="E609" s="67">
        <v>1000</v>
      </c>
      <c r="F609" s="67">
        <v>2</v>
      </c>
      <c r="G609" s="102">
        <v>1500</v>
      </c>
      <c r="H609" s="56" t="s">
        <v>82</v>
      </c>
      <c r="I609" s="106"/>
      <c r="K609" s="56">
        <v>184</v>
      </c>
      <c r="L609" s="55" t="s">
        <v>176</v>
      </c>
      <c r="M609" s="55" t="s">
        <v>2824</v>
      </c>
      <c r="N609" s="4" t="s">
        <v>177</v>
      </c>
      <c r="O609" s="55" t="s">
        <v>178</v>
      </c>
    </row>
    <row r="610" spans="2:15">
      <c r="B610" s="20">
        <v>44859</v>
      </c>
      <c r="C610" s="59">
        <v>50763072</v>
      </c>
      <c r="D610" s="55" t="s">
        <v>254</v>
      </c>
      <c r="E610" s="67">
        <v>245</v>
      </c>
      <c r="F610" s="67">
        <v>2</v>
      </c>
      <c r="G610" s="102">
        <v>961.8</v>
      </c>
      <c r="H610" s="56" t="s">
        <v>82</v>
      </c>
      <c r="I610" s="106"/>
      <c r="K610" s="56">
        <v>185</v>
      </c>
      <c r="L610" s="55" t="s">
        <v>176</v>
      </c>
      <c r="M610" s="55" t="s">
        <v>2824</v>
      </c>
      <c r="N610" s="4" t="s">
        <v>177</v>
      </c>
      <c r="O610" s="55" t="s">
        <v>178</v>
      </c>
    </row>
    <row r="611" spans="2:15">
      <c r="B611" s="20">
        <v>44859</v>
      </c>
      <c r="C611" s="59">
        <v>50272278</v>
      </c>
      <c r="D611" s="55" t="s">
        <v>21</v>
      </c>
      <c r="E611" s="67">
        <v>500</v>
      </c>
      <c r="F611" s="67">
        <v>10</v>
      </c>
      <c r="G611" s="102">
        <v>5000</v>
      </c>
      <c r="H611" s="56" t="s">
        <v>92</v>
      </c>
      <c r="I611" s="106"/>
      <c r="K611" s="56">
        <v>185</v>
      </c>
      <c r="L611" s="55" t="s">
        <v>176</v>
      </c>
      <c r="M611" s="55" t="s">
        <v>2824</v>
      </c>
      <c r="N611" s="4" t="s">
        <v>177</v>
      </c>
      <c r="O611" s="55" t="s">
        <v>178</v>
      </c>
    </row>
    <row r="612" spans="2:15">
      <c r="B612" s="20">
        <v>44859</v>
      </c>
      <c r="C612" s="59">
        <v>50143893</v>
      </c>
      <c r="D612" s="55" t="s">
        <v>24</v>
      </c>
      <c r="E612" s="67">
        <v>1440</v>
      </c>
      <c r="F612" s="67">
        <v>3</v>
      </c>
      <c r="G612" s="102">
        <v>3114.6</v>
      </c>
      <c r="H612" s="56" t="s">
        <v>92</v>
      </c>
      <c r="I612" s="106"/>
      <c r="K612" s="56">
        <v>185</v>
      </c>
      <c r="L612" s="55" t="s">
        <v>176</v>
      </c>
      <c r="M612" s="55" t="s">
        <v>2824</v>
      </c>
      <c r="N612" s="4" t="s">
        <v>177</v>
      </c>
      <c r="O612" s="55" t="s">
        <v>178</v>
      </c>
    </row>
    <row r="613" spans="2:15">
      <c r="B613" s="20">
        <v>44859</v>
      </c>
      <c r="C613" s="59">
        <v>50141786</v>
      </c>
      <c r="D613" s="55" t="s">
        <v>188</v>
      </c>
      <c r="E613" s="67">
        <v>560</v>
      </c>
      <c r="F613" s="67">
        <v>5</v>
      </c>
      <c r="G613" s="102">
        <v>2800</v>
      </c>
      <c r="H613" s="56" t="s">
        <v>82</v>
      </c>
      <c r="I613" s="106"/>
      <c r="K613" s="56">
        <v>185</v>
      </c>
      <c r="L613" s="55" t="s">
        <v>176</v>
      </c>
      <c r="M613" s="55" t="s">
        <v>2824</v>
      </c>
      <c r="N613" s="4" t="s">
        <v>177</v>
      </c>
      <c r="O613" s="55" t="s">
        <v>178</v>
      </c>
    </row>
    <row r="614" spans="2:15">
      <c r="B614" s="20">
        <v>44859</v>
      </c>
      <c r="C614" s="59">
        <v>40499</v>
      </c>
      <c r="D614" s="55" t="s">
        <v>316</v>
      </c>
      <c r="E614" s="67">
        <v>20</v>
      </c>
      <c r="F614" s="67">
        <v>20</v>
      </c>
      <c r="G614" s="102">
        <v>20</v>
      </c>
      <c r="H614" s="56" t="s">
        <v>92</v>
      </c>
      <c r="I614" s="106"/>
      <c r="K614" s="56">
        <v>185</v>
      </c>
      <c r="L614" s="55" t="s">
        <v>176</v>
      </c>
      <c r="M614" s="55" t="s">
        <v>2824</v>
      </c>
      <c r="N614" s="4" t="s">
        <v>177</v>
      </c>
      <c r="O614" s="55" t="s">
        <v>178</v>
      </c>
    </row>
    <row r="615" spans="2:15">
      <c r="B615" s="20">
        <v>44860</v>
      </c>
      <c r="C615" s="59">
        <v>50272278</v>
      </c>
      <c r="D615" s="55" t="s">
        <v>21</v>
      </c>
      <c r="E615" s="67">
        <v>500</v>
      </c>
      <c r="F615" s="67">
        <v>6</v>
      </c>
      <c r="G615" s="102">
        <v>3000</v>
      </c>
      <c r="H615" s="56" t="s">
        <v>92</v>
      </c>
      <c r="I615" s="106"/>
      <c r="K615" s="56">
        <v>186</v>
      </c>
      <c r="L615" s="55" t="s">
        <v>176</v>
      </c>
      <c r="M615" s="55" t="s">
        <v>2824</v>
      </c>
      <c r="N615" s="4" t="s">
        <v>193</v>
      </c>
      <c r="O615" s="55" t="s">
        <v>178</v>
      </c>
    </row>
    <row r="616" spans="2:15">
      <c r="B616" s="20">
        <v>44860</v>
      </c>
      <c r="C616" s="59">
        <v>50141786</v>
      </c>
      <c r="D616" s="55" t="s">
        <v>188</v>
      </c>
      <c r="E616" s="67">
        <v>560</v>
      </c>
      <c r="F616" s="67">
        <v>3</v>
      </c>
      <c r="G616" s="102">
        <v>1680</v>
      </c>
      <c r="H616" s="56" t="s">
        <v>82</v>
      </c>
      <c r="I616" s="106"/>
      <c r="K616" s="56">
        <v>186</v>
      </c>
      <c r="L616" s="55" t="s">
        <v>176</v>
      </c>
      <c r="M616" s="55" t="s">
        <v>2824</v>
      </c>
      <c r="N616" s="4" t="s">
        <v>193</v>
      </c>
      <c r="O616" s="55" t="s">
        <v>178</v>
      </c>
    </row>
    <row r="617" spans="2:15">
      <c r="B617" s="20">
        <v>44860</v>
      </c>
      <c r="C617" s="59">
        <v>50142055</v>
      </c>
      <c r="D617" s="55" t="s">
        <v>206</v>
      </c>
      <c r="E617" s="67">
        <v>600</v>
      </c>
      <c r="F617" s="67">
        <v>4</v>
      </c>
      <c r="G617" s="102">
        <v>2400</v>
      </c>
      <c r="H617" s="56" t="s">
        <v>82</v>
      </c>
      <c r="I617" s="106"/>
      <c r="K617" s="56">
        <v>186</v>
      </c>
      <c r="L617" s="55" t="s">
        <v>176</v>
      </c>
      <c r="M617" s="55" t="s">
        <v>2824</v>
      </c>
      <c r="N617" s="4" t="s">
        <v>193</v>
      </c>
      <c r="O617" s="55" t="s">
        <v>178</v>
      </c>
    </row>
    <row r="618" spans="2:15">
      <c r="B618" s="20">
        <v>44860</v>
      </c>
      <c r="C618" s="59">
        <v>20003859</v>
      </c>
      <c r="D618" s="55" t="s">
        <v>214</v>
      </c>
      <c r="E618" s="67">
        <v>237</v>
      </c>
      <c r="F618" s="67">
        <v>1</v>
      </c>
      <c r="G618" s="102">
        <v>237</v>
      </c>
      <c r="H618" s="56" t="s">
        <v>92</v>
      </c>
      <c r="I618" s="106"/>
      <c r="K618" s="56">
        <v>186</v>
      </c>
      <c r="L618" s="55" t="s">
        <v>176</v>
      </c>
      <c r="M618" s="55" t="s">
        <v>2824</v>
      </c>
      <c r="N618" s="4" t="s">
        <v>193</v>
      </c>
      <c r="O618" s="55" t="s">
        <v>178</v>
      </c>
    </row>
    <row r="619" spans="2:15">
      <c r="B619" s="20">
        <v>44860</v>
      </c>
      <c r="C619" s="59">
        <v>40007941</v>
      </c>
      <c r="D619" s="55" t="s">
        <v>211</v>
      </c>
      <c r="E619" s="67">
        <v>756</v>
      </c>
      <c r="F619" s="67">
        <v>5</v>
      </c>
      <c r="G619" s="102">
        <v>3780</v>
      </c>
      <c r="H619" s="56" t="s">
        <v>80</v>
      </c>
      <c r="I619" s="106"/>
      <c r="K619" s="56">
        <v>186</v>
      </c>
      <c r="L619" s="55" t="s">
        <v>176</v>
      </c>
      <c r="M619" s="55" t="s">
        <v>2824</v>
      </c>
      <c r="N619" s="4" t="s">
        <v>193</v>
      </c>
      <c r="O619" s="55" t="s">
        <v>178</v>
      </c>
    </row>
    <row r="620" spans="2:15">
      <c r="B620" s="20">
        <v>44860</v>
      </c>
      <c r="C620" s="59">
        <v>20016185</v>
      </c>
      <c r="D620" s="55" t="s">
        <v>285</v>
      </c>
      <c r="E620" s="67">
        <v>1000</v>
      </c>
      <c r="G620" s="102">
        <v>10000</v>
      </c>
      <c r="H620" s="56" t="s">
        <v>92</v>
      </c>
      <c r="I620" s="106"/>
      <c r="K620" s="56">
        <v>186</v>
      </c>
      <c r="L620" s="55" t="s">
        <v>176</v>
      </c>
      <c r="M620" s="55" t="s">
        <v>2824</v>
      </c>
      <c r="N620" s="4" t="s">
        <v>193</v>
      </c>
      <c r="O620" s="55" t="s">
        <v>178</v>
      </c>
    </row>
    <row r="621" spans="2:15">
      <c r="B621" s="20">
        <v>44860</v>
      </c>
      <c r="C621" s="59">
        <v>50142237</v>
      </c>
      <c r="D621" s="55" t="s">
        <v>617</v>
      </c>
      <c r="E621" s="67">
        <v>1000</v>
      </c>
      <c r="F621" s="67">
        <v>4</v>
      </c>
      <c r="G621" s="102">
        <v>4000</v>
      </c>
      <c r="H621" s="56" t="s">
        <v>92</v>
      </c>
      <c r="I621" s="106"/>
      <c r="K621" s="56">
        <v>187</v>
      </c>
      <c r="L621" s="55" t="s">
        <v>392</v>
      </c>
      <c r="M621" s="55" t="s">
        <v>2834</v>
      </c>
      <c r="N621" s="4" t="s">
        <v>2841</v>
      </c>
      <c r="O621" s="55" t="s">
        <v>178</v>
      </c>
    </row>
    <row r="622" spans="2:15">
      <c r="B622" s="20">
        <v>44861</v>
      </c>
      <c r="C622" s="59">
        <v>50143646</v>
      </c>
      <c r="D622" s="55" t="s">
        <v>191</v>
      </c>
      <c r="E622" s="67">
        <v>480</v>
      </c>
      <c r="F622" s="67">
        <v>3</v>
      </c>
      <c r="G622" s="102">
        <v>1440</v>
      </c>
      <c r="H622" s="56" t="s">
        <v>82</v>
      </c>
      <c r="I622" s="106"/>
      <c r="K622" s="56">
        <v>188</v>
      </c>
      <c r="L622" s="55" t="s">
        <v>176</v>
      </c>
      <c r="M622" s="55" t="s">
        <v>2824</v>
      </c>
      <c r="N622" s="4" t="s">
        <v>177</v>
      </c>
      <c r="O622" s="55" t="s">
        <v>178</v>
      </c>
    </row>
    <row r="623" spans="2:15">
      <c r="B623" s="20">
        <v>44861</v>
      </c>
      <c r="C623" s="59">
        <v>50272278</v>
      </c>
      <c r="D623" s="55" t="s">
        <v>21</v>
      </c>
      <c r="E623" s="67">
        <v>500</v>
      </c>
      <c r="F623" s="67">
        <v>8</v>
      </c>
      <c r="G623" s="102">
        <v>4000</v>
      </c>
      <c r="H623" s="56" t="s">
        <v>92</v>
      </c>
      <c r="I623" s="106"/>
      <c r="K623" s="56">
        <v>188</v>
      </c>
      <c r="L623" s="55" t="s">
        <v>176</v>
      </c>
      <c r="M623" s="55" t="s">
        <v>2824</v>
      </c>
      <c r="N623" s="4" t="s">
        <v>177</v>
      </c>
      <c r="O623" s="55" t="s">
        <v>178</v>
      </c>
    </row>
    <row r="624" spans="2:15">
      <c r="B624" s="20">
        <v>44861</v>
      </c>
      <c r="C624" s="59">
        <v>50142327</v>
      </c>
      <c r="D624" s="55" t="s">
        <v>256</v>
      </c>
      <c r="E624" s="67">
        <v>681</v>
      </c>
      <c r="F624" s="67">
        <v>1</v>
      </c>
      <c r="G624" s="102">
        <v>681</v>
      </c>
      <c r="H624" s="56" t="s">
        <v>82</v>
      </c>
      <c r="I624" s="106"/>
      <c r="K624" s="56">
        <v>188</v>
      </c>
      <c r="L624" s="55" t="s">
        <v>176</v>
      </c>
      <c r="M624" s="55" t="s">
        <v>2824</v>
      </c>
      <c r="N624" s="4" t="s">
        <v>177</v>
      </c>
      <c r="O624" s="55" t="s">
        <v>178</v>
      </c>
    </row>
    <row r="625" spans="2:15">
      <c r="B625" s="20">
        <v>44861</v>
      </c>
      <c r="C625" s="59">
        <v>50142334</v>
      </c>
      <c r="D625" s="55" t="s">
        <v>257</v>
      </c>
      <c r="E625" s="67">
        <v>681</v>
      </c>
      <c r="F625" s="67">
        <v>3</v>
      </c>
      <c r="G625" s="102">
        <v>2043</v>
      </c>
      <c r="H625" s="56" t="s">
        <v>82</v>
      </c>
      <c r="I625" s="106"/>
      <c r="K625" s="56">
        <v>188</v>
      </c>
      <c r="L625" s="55" t="s">
        <v>176</v>
      </c>
      <c r="M625" s="55" t="s">
        <v>2824</v>
      </c>
      <c r="N625" s="4" t="s">
        <v>177</v>
      </c>
      <c r="O625" s="55" t="s">
        <v>178</v>
      </c>
    </row>
    <row r="626" spans="2:15">
      <c r="B626" s="20">
        <v>44861</v>
      </c>
      <c r="C626" s="59">
        <v>50794589</v>
      </c>
      <c r="D626" s="55" t="s">
        <v>594</v>
      </c>
      <c r="E626" s="67">
        <v>700</v>
      </c>
      <c r="F626" s="67">
        <v>4</v>
      </c>
      <c r="G626" s="102">
        <v>2515.8</v>
      </c>
      <c r="H626" s="56" t="s">
        <v>82</v>
      </c>
      <c r="I626" s="106"/>
      <c r="K626" s="56">
        <v>188</v>
      </c>
      <c r="L626" s="55" t="s">
        <v>176</v>
      </c>
      <c r="M626" s="55" t="s">
        <v>2824</v>
      </c>
      <c r="N626" s="4" t="s">
        <v>177</v>
      </c>
      <c r="O626" s="55" t="s">
        <v>178</v>
      </c>
    </row>
    <row r="627" spans="2:15">
      <c r="B627" s="20">
        <v>44861</v>
      </c>
      <c r="C627" s="59">
        <v>40499</v>
      </c>
      <c r="D627" s="55" t="s">
        <v>316</v>
      </c>
      <c r="E627" s="67">
        <v>16</v>
      </c>
      <c r="F627" s="67">
        <v>16</v>
      </c>
      <c r="G627" s="102">
        <v>16</v>
      </c>
      <c r="H627" s="56" t="s">
        <v>92</v>
      </c>
      <c r="I627" s="106"/>
      <c r="K627" s="56">
        <v>188</v>
      </c>
      <c r="L627" s="55" t="s">
        <v>176</v>
      </c>
      <c r="M627" s="55" t="s">
        <v>2824</v>
      </c>
      <c r="N627" s="4" t="s">
        <v>177</v>
      </c>
      <c r="O627" s="55" t="s">
        <v>178</v>
      </c>
    </row>
    <row r="628" spans="2:15">
      <c r="B628" s="20">
        <v>44861</v>
      </c>
      <c r="C628" s="59">
        <v>50272278</v>
      </c>
      <c r="D628" s="55" t="s">
        <v>21</v>
      </c>
      <c r="E628" s="67">
        <v>500</v>
      </c>
      <c r="F628" s="67">
        <v>20</v>
      </c>
      <c r="G628" s="102">
        <v>10000</v>
      </c>
      <c r="H628" s="56" t="s">
        <v>92</v>
      </c>
      <c r="I628" s="106"/>
      <c r="K628" s="56">
        <v>189</v>
      </c>
      <c r="L628" s="55" t="s">
        <v>176</v>
      </c>
      <c r="M628" s="55" t="s">
        <v>2824</v>
      </c>
      <c r="N628" s="4" t="s">
        <v>177</v>
      </c>
      <c r="O628" s="55" t="s">
        <v>178</v>
      </c>
    </row>
    <row r="629" spans="2:15">
      <c r="B629" s="20">
        <v>44861</v>
      </c>
      <c r="C629" s="59">
        <v>40499</v>
      </c>
      <c r="D629" s="55" t="s">
        <v>316</v>
      </c>
      <c r="E629" s="67">
        <v>40</v>
      </c>
      <c r="F629" s="67">
        <v>40</v>
      </c>
      <c r="G629" s="102">
        <v>40</v>
      </c>
      <c r="H629" s="56" t="s">
        <v>92</v>
      </c>
      <c r="I629" s="106"/>
      <c r="K629" s="56">
        <v>189</v>
      </c>
      <c r="L629" s="55" t="s">
        <v>176</v>
      </c>
      <c r="M629" s="55" t="s">
        <v>2824</v>
      </c>
      <c r="N629" s="4" t="s">
        <v>177</v>
      </c>
      <c r="O629" s="55" t="s">
        <v>178</v>
      </c>
    </row>
    <row r="630" spans="2:15">
      <c r="B630" s="20">
        <v>44862</v>
      </c>
      <c r="C630" s="59">
        <v>50272278</v>
      </c>
      <c r="D630" s="55" t="s">
        <v>21</v>
      </c>
      <c r="E630" s="67">
        <v>500</v>
      </c>
      <c r="F630" s="67">
        <v>7</v>
      </c>
      <c r="G630" s="102">
        <v>3500</v>
      </c>
      <c r="H630" s="56" t="s">
        <v>92</v>
      </c>
      <c r="I630" s="106"/>
      <c r="K630" s="56">
        <v>190</v>
      </c>
      <c r="L630" s="55" t="s">
        <v>176</v>
      </c>
      <c r="M630" s="55" t="s">
        <v>2824</v>
      </c>
      <c r="N630" s="4" t="s">
        <v>177</v>
      </c>
      <c r="O630" s="55" t="s">
        <v>178</v>
      </c>
    </row>
    <row r="631" spans="2:15">
      <c r="B631" s="20">
        <v>44862</v>
      </c>
      <c r="C631" s="59">
        <v>50493867</v>
      </c>
      <c r="D631" s="55" t="s">
        <v>255</v>
      </c>
      <c r="E631" s="67">
        <v>624</v>
      </c>
      <c r="F631" s="67">
        <v>5</v>
      </c>
      <c r="G631" s="102">
        <v>3280.5</v>
      </c>
      <c r="H631" s="56" t="s">
        <v>82</v>
      </c>
      <c r="I631" s="106"/>
      <c r="K631" s="56">
        <v>190</v>
      </c>
      <c r="L631" s="55" t="s">
        <v>176</v>
      </c>
      <c r="M631" s="55" t="s">
        <v>2824</v>
      </c>
      <c r="N631" s="4" t="s">
        <v>177</v>
      </c>
      <c r="O631" s="55" t="s">
        <v>178</v>
      </c>
    </row>
    <row r="632" spans="2:15">
      <c r="B632" s="20">
        <v>44862</v>
      </c>
      <c r="C632" s="59">
        <v>40011588</v>
      </c>
      <c r="D632" s="55" t="s">
        <v>585</v>
      </c>
      <c r="E632" s="67">
        <v>450</v>
      </c>
      <c r="F632" s="67">
        <v>4</v>
      </c>
      <c r="G632" s="102">
        <v>1800</v>
      </c>
      <c r="H632" s="56" t="s">
        <v>80</v>
      </c>
      <c r="I632" s="106"/>
      <c r="K632" s="56">
        <v>190</v>
      </c>
      <c r="L632" s="55" t="s">
        <v>176</v>
      </c>
      <c r="M632" s="55" t="s">
        <v>2824</v>
      </c>
      <c r="N632" s="4" t="s">
        <v>177</v>
      </c>
      <c r="O632" s="55" t="s">
        <v>178</v>
      </c>
    </row>
    <row r="633" spans="2:15">
      <c r="B633" s="20">
        <v>44862</v>
      </c>
      <c r="C633" s="59">
        <v>40010087</v>
      </c>
      <c r="D633" s="55" t="s">
        <v>387</v>
      </c>
      <c r="E633" s="67">
        <v>756</v>
      </c>
      <c r="F633" s="67">
        <v>4</v>
      </c>
      <c r="G633" s="102">
        <v>3024</v>
      </c>
      <c r="H633" s="56" t="s">
        <v>80</v>
      </c>
      <c r="I633" s="106"/>
      <c r="K633" s="56">
        <v>190</v>
      </c>
      <c r="L633" s="55" t="s">
        <v>176</v>
      </c>
      <c r="M633" s="55" t="s">
        <v>2824</v>
      </c>
      <c r="N633" s="4" t="s">
        <v>177</v>
      </c>
      <c r="O633" s="55" t="s">
        <v>178</v>
      </c>
    </row>
    <row r="634" spans="2:15">
      <c r="B634" s="20">
        <v>44862</v>
      </c>
      <c r="C634" s="59">
        <v>50144376</v>
      </c>
      <c r="D634" s="55" t="s">
        <v>19</v>
      </c>
      <c r="E634" s="67">
        <v>500</v>
      </c>
      <c r="F634" s="67">
        <v>22</v>
      </c>
      <c r="G634" s="102">
        <v>11000</v>
      </c>
      <c r="H634" s="105" t="s">
        <v>92</v>
      </c>
      <c r="I634" s="106"/>
      <c r="K634" s="56">
        <v>191</v>
      </c>
      <c r="L634" s="55" t="s">
        <v>176</v>
      </c>
      <c r="M634" s="55" t="s">
        <v>2824</v>
      </c>
      <c r="N634" s="4" t="s">
        <v>193</v>
      </c>
      <c r="O634" s="55" t="s">
        <v>178</v>
      </c>
    </row>
    <row r="635" spans="2:15">
      <c r="B635" s="20">
        <v>44862</v>
      </c>
      <c r="C635" s="59">
        <v>50470190</v>
      </c>
      <c r="D635" s="55" t="s">
        <v>12</v>
      </c>
      <c r="E635" s="67">
        <v>289800</v>
      </c>
      <c r="F635" s="67">
        <v>16</v>
      </c>
      <c r="G635" s="102">
        <v>4636800</v>
      </c>
      <c r="H635" s="56" t="s">
        <v>92</v>
      </c>
      <c r="I635" s="106"/>
      <c r="K635" s="56">
        <v>192</v>
      </c>
      <c r="L635" s="55" t="s">
        <v>176</v>
      </c>
      <c r="M635" s="55" t="s">
        <v>2824</v>
      </c>
      <c r="N635" s="4" t="s">
        <v>177</v>
      </c>
      <c r="O635" s="55" t="s">
        <v>178</v>
      </c>
    </row>
    <row r="636" spans="2:15">
      <c r="B636" s="20">
        <v>44865</v>
      </c>
      <c r="C636" s="59">
        <v>50144376</v>
      </c>
      <c r="D636" s="55" t="s">
        <v>19</v>
      </c>
      <c r="E636" s="67">
        <v>500</v>
      </c>
      <c r="F636" s="67">
        <v>4</v>
      </c>
      <c r="G636" s="102">
        <v>2000</v>
      </c>
      <c r="H636" s="105" t="s">
        <v>92</v>
      </c>
      <c r="I636" s="106"/>
      <c r="K636" s="56">
        <v>193</v>
      </c>
      <c r="L636" s="55" t="s">
        <v>176</v>
      </c>
      <c r="M636" s="55" t="s">
        <v>2824</v>
      </c>
      <c r="N636" s="4" t="s">
        <v>193</v>
      </c>
      <c r="O636" s="55" t="s">
        <v>178</v>
      </c>
    </row>
    <row r="637" spans="2:15">
      <c r="B637" s="20">
        <v>44865</v>
      </c>
      <c r="C637" s="59">
        <v>40011661</v>
      </c>
      <c r="D637" s="55" t="s">
        <v>608</v>
      </c>
      <c r="E637" s="67">
        <v>450</v>
      </c>
      <c r="F637" s="67">
        <v>2</v>
      </c>
      <c r="G637" s="102">
        <v>900</v>
      </c>
      <c r="H637" s="56" t="s">
        <v>80</v>
      </c>
      <c r="I637" s="106"/>
      <c r="K637" s="56">
        <v>193</v>
      </c>
      <c r="L637" s="55" t="s">
        <v>176</v>
      </c>
      <c r="M637" s="55" t="s">
        <v>2824</v>
      </c>
      <c r="N637" s="4" t="s">
        <v>193</v>
      </c>
      <c r="O637" s="55" t="s">
        <v>178</v>
      </c>
    </row>
    <row r="638" spans="2:15">
      <c r="B638" s="20">
        <v>44865</v>
      </c>
      <c r="C638" s="59">
        <v>20016185</v>
      </c>
      <c r="D638" s="55" t="s">
        <v>285</v>
      </c>
      <c r="E638" s="67">
        <v>1000</v>
      </c>
      <c r="G638" s="102">
        <v>10000</v>
      </c>
      <c r="H638" s="56" t="s">
        <v>92</v>
      </c>
      <c r="I638" s="106"/>
      <c r="K638" s="56">
        <v>193</v>
      </c>
      <c r="L638" s="55" t="s">
        <v>176</v>
      </c>
      <c r="M638" s="55" t="s">
        <v>2824</v>
      </c>
      <c r="N638" s="4" t="s">
        <v>193</v>
      </c>
      <c r="O638" s="55" t="s">
        <v>178</v>
      </c>
    </row>
    <row r="639" spans="2:15">
      <c r="B639" s="20">
        <v>44865</v>
      </c>
      <c r="C639" s="59">
        <v>40011081</v>
      </c>
      <c r="D639" s="55" t="s">
        <v>646</v>
      </c>
      <c r="E639" s="67">
        <v>360</v>
      </c>
      <c r="F639" s="67">
        <v>6</v>
      </c>
      <c r="G639" s="102">
        <v>2160</v>
      </c>
      <c r="H639" s="56" t="s">
        <v>80</v>
      </c>
      <c r="I639" s="106"/>
      <c r="K639" s="56">
        <v>193</v>
      </c>
      <c r="L639" s="55" t="s">
        <v>176</v>
      </c>
      <c r="M639" s="55" t="s">
        <v>2824</v>
      </c>
      <c r="N639" s="4" t="s">
        <v>193</v>
      </c>
      <c r="O639" s="55" t="s">
        <v>178</v>
      </c>
    </row>
    <row r="640" spans="2:15">
      <c r="B640" s="20">
        <v>44865</v>
      </c>
      <c r="C640" s="59">
        <v>40007855</v>
      </c>
      <c r="D640" s="55" t="s">
        <v>84</v>
      </c>
      <c r="E640" s="67">
        <v>1344</v>
      </c>
      <c r="F640" s="67">
        <v>2</v>
      </c>
      <c r="G640" s="102">
        <v>2668</v>
      </c>
      <c r="H640" s="56" t="s">
        <v>80</v>
      </c>
      <c r="I640" s="106"/>
      <c r="K640" s="56">
        <v>193</v>
      </c>
      <c r="L640" s="55" t="s">
        <v>176</v>
      </c>
      <c r="M640" s="55" t="s">
        <v>2824</v>
      </c>
      <c r="N640" s="4" t="s">
        <v>193</v>
      </c>
      <c r="O640" s="55" t="s">
        <v>178</v>
      </c>
    </row>
    <row r="641" spans="2:15">
      <c r="B641" s="20">
        <v>44867</v>
      </c>
      <c r="C641" s="59">
        <v>50141786</v>
      </c>
      <c r="D641" s="55" t="s">
        <v>188</v>
      </c>
      <c r="E641" s="67">
        <v>560</v>
      </c>
      <c r="F641" s="67">
        <v>4</v>
      </c>
      <c r="G641" s="102">
        <v>2240</v>
      </c>
      <c r="H641" s="56" t="s">
        <v>82</v>
      </c>
      <c r="I641" s="106"/>
      <c r="K641" s="56">
        <v>194</v>
      </c>
      <c r="L641" s="55" t="s">
        <v>176</v>
      </c>
      <c r="M641" s="55" t="s">
        <v>2824</v>
      </c>
      <c r="N641" s="4" t="s">
        <v>193</v>
      </c>
      <c r="O641" s="55" t="s">
        <v>178</v>
      </c>
    </row>
    <row r="642" spans="2:15">
      <c r="B642" s="20">
        <v>44867</v>
      </c>
      <c r="C642" s="59">
        <v>50010080</v>
      </c>
      <c r="D642" s="55" t="s">
        <v>354</v>
      </c>
      <c r="E642" s="67">
        <v>1000</v>
      </c>
      <c r="F642" s="67">
        <v>5</v>
      </c>
      <c r="G642" s="102">
        <v>5000</v>
      </c>
      <c r="H642" s="56" t="s">
        <v>82</v>
      </c>
      <c r="I642" s="106"/>
      <c r="K642" s="56">
        <v>194</v>
      </c>
      <c r="L642" s="55" t="s">
        <v>176</v>
      </c>
      <c r="M642" s="55" t="s">
        <v>2824</v>
      </c>
      <c r="N642" s="4" t="s">
        <v>193</v>
      </c>
      <c r="O642" s="55" t="s">
        <v>178</v>
      </c>
    </row>
    <row r="643" spans="2:15">
      <c r="B643" s="20">
        <v>44867</v>
      </c>
      <c r="C643" s="59">
        <v>50144376</v>
      </c>
      <c r="D643" s="55" t="s">
        <v>19</v>
      </c>
      <c r="E643" s="67">
        <v>500</v>
      </c>
      <c r="F643" s="67">
        <v>5</v>
      </c>
      <c r="G643" s="102">
        <v>2500</v>
      </c>
      <c r="H643" s="105" t="s">
        <v>92</v>
      </c>
      <c r="I643" s="106"/>
      <c r="K643" s="56">
        <v>194</v>
      </c>
      <c r="L643" s="55" t="s">
        <v>176</v>
      </c>
      <c r="M643" s="55" t="s">
        <v>2824</v>
      </c>
      <c r="N643" s="4" t="s">
        <v>193</v>
      </c>
      <c r="O643" s="55" t="s">
        <v>178</v>
      </c>
    </row>
    <row r="644" spans="2:15">
      <c r="B644" s="20">
        <v>44867</v>
      </c>
      <c r="C644" s="59">
        <v>50272278</v>
      </c>
      <c r="D644" s="55" t="s">
        <v>21</v>
      </c>
      <c r="E644" s="67">
        <v>500</v>
      </c>
      <c r="F644" s="67">
        <v>5</v>
      </c>
      <c r="G644" s="102">
        <v>2500</v>
      </c>
      <c r="H644" s="56" t="s">
        <v>92</v>
      </c>
      <c r="I644" s="106"/>
      <c r="K644" s="56">
        <v>194</v>
      </c>
      <c r="L644" s="55" t="s">
        <v>176</v>
      </c>
      <c r="M644" s="55" t="s">
        <v>2824</v>
      </c>
      <c r="N644" s="4" t="s">
        <v>193</v>
      </c>
      <c r="O644" s="55" t="s">
        <v>178</v>
      </c>
    </row>
    <row r="645" spans="2:15">
      <c r="B645" s="20">
        <v>44867</v>
      </c>
      <c r="C645" s="59">
        <v>50142619</v>
      </c>
      <c r="D645" s="55" t="s">
        <v>433</v>
      </c>
      <c r="E645" s="67">
        <v>660</v>
      </c>
      <c r="F645" s="67">
        <v>1</v>
      </c>
      <c r="G645" s="102">
        <v>660</v>
      </c>
      <c r="H645" s="56" t="s">
        <v>82</v>
      </c>
      <c r="I645" s="106"/>
      <c r="K645" s="56">
        <v>194</v>
      </c>
      <c r="L645" s="55" t="s">
        <v>176</v>
      </c>
      <c r="M645" s="55" t="s">
        <v>2824</v>
      </c>
      <c r="N645" s="4" t="s">
        <v>193</v>
      </c>
      <c r="O645" s="55" t="s">
        <v>178</v>
      </c>
    </row>
    <row r="646" spans="2:15">
      <c r="B646" s="20">
        <v>44867</v>
      </c>
      <c r="C646" s="59">
        <v>50144376</v>
      </c>
      <c r="D646" s="55" t="s">
        <v>19</v>
      </c>
      <c r="E646" s="67">
        <v>500</v>
      </c>
      <c r="F646" s="67">
        <v>3</v>
      </c>
      <c r="G646" s="102">
        <v>1500</v>
      </c>
      <c r="H646" s="105" t="s">
        <v>92</v>
      </c>
      <c r="I646" s="106"/>
      <c r="K646" s="56">
        <v>195</v>
      </c>
      <c r="L646" s="55" t="s">
        <v>176</v>
      </c>
      <c r="M646" s="55" t="s">
        <v>2824</v>
      </c>
      <c r="N646" s="4" t="s">
        <v>2841</v>
      </c>
      <c r="O646" s="55" t="s">
        <v>178</v>
      </c>
    </row>
    <row r="647" spans="2:15">
      <c r="B647" s="20">
        <v>44867</v>
      </c>
      <c r="C647" s="59">
        <v>50145028</v>
      </c>
      <c r="D647" s="55" t="s">
        <v>23</v>
      </c>
      <c r="E647" s="67">
        <v>192</v>
      </c>
      <c r="F647" s="67">
        <v>2</v>
      </c>
      <c r="G647" s="102">
        <v>384</v>
      </c>
      <c r="H647" s="56" t="s">
        <v>92</v>
      </c>
      <c r="I647" s="106"/>
      <c r="K647" s="56">
        <v>195</v>
      </c>
      <c r="L647" s="55" t="s">
        <v>176</v>
      </c>
      <c r="M647" s="55" t="s">
        <v>2824</v>
      </c>
      <c r="N647" s="4" t="s">
        <v>2841</v>
      </c>
      <c r="O647" s="55" t="s">
        <v>178</v>
      </c>
    </row>
    <row r="648" spans="2:15">
      <c r="B648" s="20">
        <v>44868</v>
      </c>
      <c r="C648" s="59">
        <v>50470190</v>
      </c>
      <c r="D648" s="55" t="s">
        <v>12</v>
      </c>
      <c r="E648" s="67">
        <v>289800</v>
      </c>
      <c r="F648" s="67">
        <v>18</v>
      </c>
      <c r="G648" s="102">
        <v>5216400</v>
      </c>
      <c r="H648" s="56" t="s">
        <v>92</v>
      </c>
      <c r="I648" s="106"/>
      <c r="K648" s="56">
        <v>196</v>
      </c>
      <c r="L648" s="55" t="s">
        <v>176</v>
      </c>
      <c r="M648" s="55" t="s">
        <v>2824</v>
      </c>
      <c r="N648" s="4" t="s">
        <v>193</v>
      </c>
      <c r="O648" s="55" t="s">
        <v>178</v>
      </c>
    </row>
    <row r="649" spans="2:15">
      <c r="B649" s="20">
        <v>44869</v>
      </c>
      <c r="C649" s="59">
        <v>50143646</v>
      </c>
      <c r="D649" s="55" t="s">
        <v>191</v>
      </c>
      <c r="E649" s="67">
        <v>480</v>
      </c>
      <c r="F649" s="67">
        <v>4</v>
      </c>
      <c r="G649" s="102">
        <v>1920</v>
      </c>
      <c r="H649" s="56" t="s">
        <v>82</v>
      </c>
      <c r="I649" s="106"/>
      <c r="K649" s="56">
        <v>197</v>
      </c>
      <c r="L649" s="55" t="s">
        <v>176</v>
      </c>
      <c r="M649" s="55" t="s">
        <v>2824</v>
      </c>
      <c r="N649" s="4" t="s">
        <v>193</v>
      </c>
      <c r="O649" s="55" t="s">
        <v>178</v>
      </c>
    </row>
    <row r="650" spans="2:15">
      <c r="B650" s="20">
        <v>44869</v>
      </c>
      <c r="C650" s="59">
        <v>50144376</v>
      </c>
      <c r="D650" s="55" t="s">
        <v>19</v>
      </c>
      <c r="E650" s="67">
        <v>500</v>
      </c>
      <c r="F650" s="67">
        <v>8</v>
      </c>
      <c r="G650" s="102">
        <v>4000</v>
      </c>
      <c r="H650" s="105" t="s">
        <v>92</v>
      </c>
      <c r="I650" s="106"/>
      <c r="K650" s="56">
        <v>197</v>
      </c>
      <c r="L650" s="55" t="s">
        <v>176</v>
      </c>
      <c r="M650" s="55" t="s">
        <v>2824</v>
      </c>
      <c r="N650" s="4" t="s">
        <v>193</v>
      </c>
      <c r="O650" s="55" t="s">
        <v>178</v>
      </c>
    </row>
    <row r="651" spans="2:15">
      <c r="B651" s="20">
        <v>44869</v>
      </c>
      <c r="C651" s="59">
        <v>40011133</v>
      </c>
      <c r="D651" s="55" t="s">
        <v>634</v>
      </c>
      <c r="E651" s="67">
        <v>756</v>
      </c>
      <c r="F651" s="67">
        <v>3</v>
      </c>
      <c r="G651" s="102">
        <v>2268</v>
      </c>
      <c r="H651" s="56" t="s">
        <v>80</v>
      </c>
      <c r="I651" s="106"/>
      <c r="K651" s="56">
        <v>197</v>
      </c>
      <c r="L651" s="55" t="s">
        <v>176</v>
      </c>
      <c r="M651" s="55" t="s">
        <v>2824</v>
      </c>
      <c r="N651" s="4" t="s">
        <v>193</v>
      </c>
      <c r="O651" s="55" t="s">
        <v>178</v>
      </c>
    </row>
    <row r="652" spans="2:15">
      <c r="B652" s="20">
        <v>44869</v>
      </c>
      <c r="C652" s="59">
        <v>40011661</v>
      </c>
      <c r="D652" s="55" t="s">
        <v>608</v>
      </c>
      <c r="E652" s="67">
        <v>450</v>
      </c>
      <c r="F652" s="67">
        <v>3</v>
      </c>
      <c r="G652" s="102">
        <v>1350</v>
      </c>
      <c r="H652" s="56" t="s">
        <v>80</v>
      </c>
      <c r="I652" s="106"/>
      <c r="K652" s="56">
        <v>197</v>
      </c>
      <c r="L652" s="55" t="s">
        <v>176</v>
      </c>
      <c r="M652" s="55" t="s">
        <v>2824</v>
      </c>
      <c r="N652" s="4" t="s">
        <v>193</v>
      </c>
      <c r="O652" s="55" t="s">
        <v>178</v>
      </c>
    </row>
    <row r="653" spans="2:15">
      <c r="B653" s="20">
        <v>44869</v>
      </c>
      <c r="C653" s="59">
        <v>40011780</v>
      </c>
      <c r="D653" s="55" t="s">
        <v>584</v>
      </c>
      <c r="E653" s="67">
        <v>450</v>
      </c>
      <c r="F653" s="67">
        <v>2</v>
      </c>
      <c r="G653" s="102">
        <v>900</v>
      </c>
      <c r="H653" s="56" t="s">
        <v>80</v>
      </c>
      <c r="I653" s="106"/>
      <c r="K653" s="56">
        <v>197</v>
      </c>
      <c r="L653" s="55" t="s">
        <v>176</v>
      </c>
      <c r="M653" s="55" t="s">
        <v>2824</v>
      </c>
      <c r="N653" s="4" t="s">
        <v>193</v>
      </c>
      <c r="O653" s="55" t="s">
        <v>178</v>
      </c>
    </row>
    <row r="654" spans="2:15">
      <c r="B654" s="20">
        <v>44869</v>
      </c>
      <c r="C654" s="59">
        <v>40011588</v>
      </c>
      <c r="D654" s="55" t="s">
        <v>585</v>
      </c>
      <c r="E654" s="67">
        <v>450</v>
      </c>
      <c r="F654" s="67">
        <v>2</v>
      </c>
      <c r="G654" s="102">
        <v>900</v>
      </c>
      <c r="H654" s="56" t="s">
        <v>80</v>
      </c>
      <c r="I654" s="106"/>
      <c r="K654" s="56">
        <v>197</v>
      </c>
      <c r="L654" s="55" t="s">
        <v>176</v>
      </c>
      <c r="M654" s="55" t="s">
        <v>2824</v>
      </c>
      <c r="N654" s="4" t="s">
        <v>193</v>
      </c>
      <c r="O654" s="55" t="s">
        <v>178</v>
      </c>
    </row>
    <row r="655" spans="2:15">
      <c r="B655" s="20">
        <v>44869</v>
      </c>
      <c r="C655" s="59">
        <v>50470190</v>
      </c>
      <c r="D655" s="55" t="s">
        <v>12</v>
      </c>
      <c r="E655" s="67">
        <v>289800</v>
      </c>
      <c r="F655" s="67">
        <v>6</v>
      </c>
      <c r="G655" s="102">
        <v>1738800</v>
      </c>
      <c r="H655" s="56" t="s">
        <v>92</v>
      </c>
      <c r="I655" s="106"/>
      <c r="K655" s="56">
        <v>198</v>
      </c>
      <c r="L655" s="55" t="s">
        <v>176</v>
      </c>
      <c r="M655" s="55" t="s">
        <v>2824</v>
      </c>
      <c r="N655" s="4" t="s">
        <v>193</v>
      </c>
      <c r="O655" s="55" t="s">
        <v>178</v>
      </c>
    </row>
    <row r="656" spans="2:15">
      <c r="B656" s="20">
        <v>44869</v>
      </c>
      <c r="C656" s="59">
        <v>50144376</v>
      </c>
      <c r="D656" s="55" t="s">
        <v>19</v>
      </c>
      <c r="E656" s="67">
        <v>500</v>
      </c>
      <c r="F656" s="67">
        <v>7</v>
      </c>
      <c r="G656" s="102">
        <v>3500</v>
      </c>
      <c r="H656" s="105" t="s">
        <v>92</v>
      </c>
      <c r="I656" s="106"/>
      <c r="K656" s="56">
        <v>198</v>
      </c>
      <c r="L656" s="55" t="s">
        <v>176</v>
      </c>
      <c r="M656" s="55" t="s">
        <v>2824</v>
      </c>
      <c r="N656" s="4" t="s">
        <v>193</v>
      </c>
      <c r="O656" s="55" t="s">
        <v>178</v>
      </c>
    </row>
    <row r="657" spans="2:15">
      <c r="B657" s="20">
        <v>44869</v>
      </c>
      <c r="C657" s="59">
        <v>50142327</v>
      </c>
      <c r="D657" s="55" t="s">
        <v>256</v>
      </c>
      <c r="E657" s="67">
        <v>681</v>
      </c>
      <c r="F657" s="67">
        <v>1</v>
      </c>
      <c r="G657" s="102">
        <v>681</v>
      </c>
      <c r="H657" s="56" t="s">
        <v>82</v>
      </c>
      <c r="I657" s="106"/>
      <c r="K657" s="56">
        <v>198</v>
      </c>
      <c r="L657" s="55" t="s">
        <v>176</v>
      </c>
      <c r="M657" s="55" t="s">
        <v>2824</v>
      </c>
      <c r="N657" s="4" t="s">
        <v>193</v>
      </c>
      <c r="O657" s="55" t="s">
        <v>178</v>
      </c>
    </row>
    <row r="658" spans="2:15">
      <c r="B658" s="20">
        <v>44869</v>
      </c>
      <c r="C658" s="59">
        <v>50142334</v>
      </c>
      <c r="D658" s="55" t="s">
        <v>257</v>
      </c>
      <c r="E658" s="67">
        <v>681</v>
      </c>
      <c r="F658" s="67">
        <v>1</v>
      </c>
      <c r="G658" s="102">
        <v>681</v>
      </c>
      <c r="H658" s="56" t="s">
        <v>82</v>
      </c>
      <c r="I658" s="106"/>
      <c r="K658" s="56">
        <v>198</v>
      </c>
      <c r="L658" s="55" t="s">
        <v>176</v>
      </c>
      <c r="M658" s="55" t="s">
        <v>2824</v>
      </c>
      <c r="N658" s="4" t="s">
        <v>193</v>
      </c>
      <c r="O658" s="55" t="s">
        <v>178</v>
      </c>
    </row>
    <row r="659" spans="2:15">
      <c r="B659" s="20">
        <v>44869</v>
      </c>
      <c r="C659" s="59">
        <v>50010080</v>
      </c>
      <c r="D659" s="55" t="s">
        <v>354</v>
      </c>
      <c r="E659" s="67">
        <v>1000</v>
      </c>
      <c r="F659" s="67">
        <v>1</v>
      </c>
      <c r="G659" s="102">
        <v>1000</v>
      </c>
      <c r="H659" s="56" t="s">
        <v>82</v>
      </c>
      <c r="I659" s="106"/>
      <c r="K659" s="56">
        <v>198</v>
      </c>
      <c r="L659" s="55" t="s">
        <v>176</v>
      </c>
      <c r="M659" s="55" t="s">
        <v>2824</v>
      </c>
      <c r="N659" s="4" t="s">
        <v>193</v>
      </c>
      <c r="O659" s="55" t="s">
        <v>178</v>
      </c>
    </row>
    <row r="660" spans="2:15">
      <c r="B660" s="20">
        <v>44869</v>
      </c>
      <c r="C660" s="59">
        <v>50141786</v>
      </c>
      <c r="D660" s="55" t="s">
        <v>188</v>
      </c>
      <c r="E660" s="67">
        <v>560</v>
      </c>
      <c r="F660" s="67">
        <v>2</v>
      </c>
      <c r="G660" s="102">
        <v>1120</v>
      </c>
      <c r="H660" s="56" t="s">
        <v>82</v>
      </c>
      <c r="I660" s="106"/>
      <c r="K660" s="56">
        <v>198</v>
      </c>
      <c r="L660" s="55" t="s">
        <v>176</v>
      </c>
      <c r="M660" s="55" t="s">
        <v>2824</v>
      </c>
      <c r="N660" s="4" t="s">
        <v>193</v>
      </c>
      <c r="O660" s="55" t="s">
        <v>178</v>
      </c>
    </row>
    <row r="661" spans="2:15">
      <c r="B661" s="20">
        <v>44869</v>
      </c>
      <c r="C661" s="59">
        <v>50435419</v>
      </c>
      <c r="D661" s="55" t="s">
        <v>656</v>
      </c>
      <c r="E661" s="67">
        <v>896</v>
      </c>
      <c r="F661" s="67">
        <v>3</v>
      </c>
      <c r="G661" s="102">
        <v>2016</v>
      </c>
      <c r="H661" s="56" t="s">
        <v>82</v>
      </c>
      <c r="I661" s="106"/>
      <c r="K661" s="56">
        <v>198</v>
      </c>
      <c r="L661" s="55" t="s">
        <v>176</v>
      </c>
      <c r="M661" s="55" t="s">
        <v>2824</v>
      </c>
      <c r="N661" s="4" t="s">
        <v>193</v>
      </c>
      <c r="O661" s="55" t="s">
        <v>178</v>
      </c>
    </row>
    <row r="662" spans="2:15">
      <c r="B662" s="20">
        <v>44872</v>
      </c>
      <c r="C662" s="59">
        <v>50470190</v>
      </c>
      <c r="D662" s="55" t="s">
        <v>12</v>
      </c>
      <c r="E662" s="67">
        <v>289800</v>
      </c>
      <c r="F662" s="67">
        <v>8</v>
      </c>
      <c r="G662" s="102">
        <v>2318400</v>
      </c>
      <c r="H662" s="56" t="s">
        <v>92</v>
      </c>
      <c r="I662" s="106"/>
      <c r="K662" s="56">
        <v>199</v>
      </c>
      <c r="L662" s="55" t="s">
        <v>176</v>
      </c>
      <c r="M662" s="55" t="s">
        <v>2824</v>
      </c>
      <c r="N662" s="4" t="s">
        <v>177</v>
      </c>
      <c r="O662" s="55" t="s">
        <v>178</v>
      </c>
    </row>
    <row r="663" spans="2:15">
      <c r="B663" s="20">
        <v>44872</v>
      </c>
      <c r="C663" s="59">
        <v>50144376</v>
      </c>
      <c r="D663" s="55" t="s">
        <v>19</v>
      </c>
      <c r="E663" s="67">
        <v>500</v>
      </c>
      <c r="F663" s="67">
        <v>6</v>
      </c>
      <c r="G663" s="102">
        <v>3000</v>
      </c>
      <c r="H663" s="105" t="s">
        <v>92</v>
      </c>
      <c r="I663" s="106"/>
      <c r="K663" s="56">
        <v>199</v>
      </c>
      <c r="L663" s="55" t="s">
        <v>176</v>
      </c>
      <c r="M663" s="55" t="s">
        <v>2824</v>
      </c>
      <c r="N663" s="4" t="s">
        <v>177</v>
      </c>
      <c r="O663" s="55" t="s">
        <v>178</v>
      </c>
    </row>
    <row r="664" spans="2:15">
      <c r="B664" s="20">
        <v>44872</v>
      </c>
      <c r="C664" s="59">
        <v>50272278</v>
      </c>
      <c r="D664" s="55" t="s">
        <v>21</v>
      </c>
      <c r="E664" s="67">
        <v>500</v>
      </c>
      <c r="F664" s="67">
        <v>4</v>
      </c>
      <c r="G664" s="102">
        <v>2000</v>
      </c>
      <c r="H664" s="56" t="s">
        <v>92</v>
      </c>
      <c r="I664" s="106"/>
      <c r="K664" s="56">
        <v>199</v>
      </c>
      <c r="L664" s="55" t="s">
        <v>176</v>
      </c>
      <c r="M664" s="55" t="s">
        <v>2824</v>
      </c>
      <c r="N664" s="4" t="s">
        <v>177</v>
      </c>
      <c r="O664" s="55" t="s">
        <v>178</v>
      </c>
    </row>
    <row r="665" spans="2:15">
      <c r="B665" s="20">
        <v>44872</v>
      </c>
      <c r="C665" s="59">
        <v>40499</v>
      </c>
      <c r="D665" s="55" t="s">
        <v>316</v>
      </c>
      <c r="E665" s="67">
        <v>20</v>
      </c>
      <c r="F665" s="67">
        <v>20</v>
      </c>
      <c r="G665" s="102">
        <v>20</v>
      </c>
      <c r="H665" s="56" t="s">
        <v>92</v>
      </c>
      <c r="I665" s="106"/>
      <c r="K665" s="56">
        <v>199</v>
      </c>
      <c r="L665" s="55" t="s">
        <v>176</v>
      </c>
      <c r="M665" s="55" t="s">
        <v>2824</v>
      </c>
      <c r="N665" s="4" t="s">
        <v>177</v>
      </c>
      <c r="O665" s="55" t="s">
        <v>178</v>
      </c>
    </row>
    <row r="666" spans="2:15">
      <c r="B666" s="20">
        <v>44872</v>
      </c>
      <c r="C666" s="59">
        <v>50145028</v>
      </c>
      <c r="D666" s="55" t="s">
        <v>23</v>
      </c>
      <c r="E666" s="67">
        <v>192</v>
      </c>
      <c r="F666" s="67">
        <v>3</v>
      </c>
      <c r="G666" s="102">
        <v>576</v>
      </c>
      <c r="H666" s="56" t="s">
        <v>92</v>
      </c>
      <c r="I666" s="106"/>
      <c r="K666" s="56">
        <v>200</v>
      </c>
      <c r="L666" s="55" t="s">
        <v>2836</v>
      </c>
      <c r="M666" s="55" t="s">
        <v>326</v>
      </c>
      <c r="N666" s="4" t="s">
        <v>2836</v>
      </c>
      <c r="O666" s="55" t="s">
        <v>178</v>
      </c>
    </row>
    <row r="667" spans="2:15">
      <c r="B667" s="20">
        <v>44872</v>
      </c>
      <c r="C667" s="59">
        <v>50470190</v>
      </c>
      <c r="D667" s="55" t="s">
        <v>12</v>
      </c>
      <c r="E667" s="67">
        <v>289800</v>
      </c>
      <c r="F667" s="67">
        <v>16</v>
      </c>
      <c r="G667" s="102">
        <v>4636800</v>
      </c>
      <c r="H667" s="56" t="s">
        <v>92</v>
      </c>
      <c r="I667" s="106"/>
      <c r="K667" s="56">
        <v>201</v>
      </c>
      <c r="L667" s="55" t="s">
        <v>176</v>
      </c>
      <c r="M667" s="55" t="s">
        <v>2824</v>
      </c>
      <c r="N667" s="4" t="s">
        <v>177</v>
      </c>
      <c r="O667" s="55" t="s">
        <v>178</v>
      </c>
    </row>
    <row r="668" spans="2:15">
      <c r="B668" s="20">
        <v>44872</v>
      </c>
      <c r="C668" s="59">
        <v>40011081</v>
      </c>
      <c r="D668" s="55" t="s">
        <v>646</v>
      </c>
      <c r="E668" s="67">
        <v>800</v>
      </c>
      <c r="F668" s="67">
        <v>2</v>
      </c>
      <c r="G668" s="102">
        <v>16</v>
      </c>
      <c r="H668" s="56" t="s">
        <v>80</v>
      </c>
      <c r="I668" s="106"/>
      <c r="K668" s="56">
        <v>201</v>
      </c>
      <c r="L668" s="55" t="s">
        <v>176</v>
      </c>
      <c r="M668" s="55" t="s">
        <v>2824</v>
      </c>
      <c r="N668" s="4" t="s">
        <v>177</v>
      </c>
      <c r="O668" s="55" t="s">
        <v>178</v>
      </c>
    </row>
    <row r="669" spans="2:15">
      <c r="B669" s="20">
        <v>44873</v>
      </c>
      <c r="C669" s="59">
        <v>50143646</v>
      </c>
      <c r="D669" s="55" t="s">
        <v>191</v>
      </c>
      <c r="E669" s="67">
        <v>480</v>
      </c>
      <c r="F669" s="67">
        <v>5</v>
      </c>
      <c r="G669" s="102">
        <v>2400</v>
      </c>
      <c r="H669" s="56" t="s">
        <v>82</v>
      </c>
      <c r="I669" s="106"/>
      <c r="K669" s="56">
        <v>202</v>
      </c>
      <c r="L669" s="55" t="s">
        <v>176</v>
      </c>
      <c r="M669" s="55" t="s">
        <v>2824</v>
      </c>
      <c r="N669" s="4" t="s">
        <v>177</v>
      </c>
      <c r="O669" s="55" t="s">
        <v>178</v>
      </c>
    </row>
    <row r="670" spans="2:15">
      <c r="B670" s="20">
        <v>44873</v>
      </c>
      <c r="C670" s="59">
        <v>50141786</v>
      </c>
      <c r="D670" s="55" t="s">
        <v>188</v>
      </c>
      <c r="E670" s="67">
        <v>560</v>
      </c>
      <c r="F670" s="67">
        <v>5</v>
      </c>
      <c r="G670" s="102">
        <v>2800</v>
      </c>
      <c r="H670" s="56" t="s">
        <v>82</v>
      </c>
      <c r="I670" s="106"/>
      <c r="K670" s="56">
        <v>202</v>
      </c>
      <c r="L670" s="55" t="s">
        <v>176</v>
      </c>
      <c r="M670" s="55" t="s">
        <v>2824</v>
      </c>
      <c r="N670" s="4" t="s">
        <v>177</v>
      </c>
      <c r="O670" s="55" t="s">
        <v>178</v>
      </c>
    </row>
    <row r="671" spans="2:15">
      <c r="B671" s="20">
        <v>44873</v>
      </c>
      <c r="C671" s="59">
        <v>50010080</v>
      </c>
      <c r="D671" s="55" t="s">
        <v>354</v>
      </c>
      <c r="E671" s="67">
        <v>1000</v>
      </c>
      <c r="F671" s="67">
        <v>4</v>
      </c>
      <c r="G671" s="102">
        <v>4000</v>
      </c>
      <c r="H671" s="56" t="s">
        <v>82</v>
      </c>
      <c r="I671" s="106"/>
      <c r="K671" s="56">
        <v>202</v>
      </c>
      <c r="L671" s="55" t="s">
        <v>176</v>
      </c>
      <c r="M671" s="55" t="s">
        <v>2824</v>
      </c>
      <c r="N671" s="4" t="s">
        <v>177</v>
      </c>
      <c r="O671" s="55" t="s">
        <v>178</v>
      </c>
    </row>
    <row r="672" spans="2:15">
      <c r="B672" s="20">
        <v>44873</v>
      </c>
      <c r="C672" s="59">
        <v>50142327</v>
      </c>
      <c r="D672" s="55" t="s">
        <v>256</v>
      </c>
      <c r="E672" s="67">
        <v>681</v>
      </c>
      <c r="F672" s="67">
        <v>3</v>
      </c>
      <c r="G672" s="102">
        <v>2043</v>
      </c>
      <c r="H672" s="56" t="s">
        <v>82</v>
      </c>
      <c r="I672" s="106"/>
      <c r="K672" s="56">
        <v>202</v>
      </c>
      <c r="L672" s="55" t="s">
        <v>176</v>
      </c>
      <c r="M672" s="55" t="s">
        <v>2824</v>
      </c>
      <c r="N672" s="4" t="s">
        <v>177</v>
      </c>
      <c r="O672" s="55" t="s">
        <v>178</v>
      </c>
    </row>
    <row r="673" spans="2:15">
      <c r="B673" s="20">
        <v>44873</v>
      </c>
      <c r="C673" s="59">
        <v>50142334</v>
      </c>
      <c r="D673" s="55" t="s">
        <v>257</v>
      </c>
      <c r="E673" s="67">
        <v>681</v>
      </c>
      <c r="F673" s="67">
        <v>3</v>
      </c>
      <c r="G673" s="102">
        <v>2043</v>
      </c>
      <c r="H673" s="56" t="s">
        <v>82</v>
      </c>
      <c r="I673" s="106"/>
      <c r="K673" s="56">
        <v>202</v>
      </c>
      <c r="L673" s="55" t="s">
        <v>176</v>
      </c>
      <c r="M673" s="55" t="s">
        <v>2824</v>
      </c>
      <c r="N673" s="4" t="s">
        <v>177</v>
      </c>
      <c r="O673" s="55" t="s">
        <v>178</v>
      </c>
    </row>
    <row r="674" spans="2:15">
      <c r="B674" s="20">
        <v>44873</v>
      </c>
      <c r="C674" s="59">
        <v>50272278</v>
      </c>
      <c r="D674" s="55" t="s">
        <v>21</v>
      </c>
      <c r="E674" s="67">
        <v>500</v>
      </c>
      <c r="F674" s="67">
        <v>13</v>
      </c>
      <c r="G674" s="102">
        <v>6500</v>
      </c>
      <c r="H674" s="56" t="s">
        <v>92</v>
      </c>
      <c r="I674" s="106"/>
      <c r="K674" s="56">
        <v>203</v>
      </c>
      <c r="L674" s="55" t="s">
        <v>176</v>
      </c>
      <c r="M674" s="55" t="s">
        <v>2824</v>
      </c>
      <c r="N674" s="4" t="s">
        <v>177</v>
      </c>
      <c r="O674" s="55" t="s">
        <v>178</v>
      </c>
    </row>
    <row r="675" spans="2:15">
      <c r="B675" s="20">
        <v>44873</v>
      </c>
      <c r="C675" s="59">
        <v>50369034</v>
      </c>
      <c r="D675" s="55" t="s">
        <v>322</v>
      </c>
      <c r="E675" s="67">
        <v>701.5</v>
      </c>
      <c r="F675" s="67">
        <v>1</v>
      </c>
      <c r="G675" s="102">
        <v>701.5</v>
      </c>
      <c r="H675" s="56" t="s">
        <v>82</v>
      </c>
      <c r="I675" s="106"/>
      <c r="K675" s="56">
        <v>203</v>
      </c>
      <c r="L675" s="55" t="s">
        <v>176</v>
      </c>
      <c r="M675" s="55" t="s">
        <v>2824</v>
      </c>
      <c r="N675" s="4" t="s">
        <v>177</v>
      </c>
      <c r="O675" s="55" t="s">
        <v>178</v>
      </c>
    </row>
    <row r="676" spans="2:15">
      <c r="B676" s="20">
        <v>44873</v>
      </c>
      <c r="C676" s="59">
        <v>40011659</v>
      </c>
      <c r="D676" s="55" t="s">
        <v>89</v>
      </c>
      <c r="E676" s="67">
        <v>360</v>
      </c>
      <c r="F676" s="67">
        <v>2</v>
      </c>
      <c r="G676" s="102">
        <v>720</v>
      </c>
      <c r="H676" s="56" t="s">
        <v>80</v>
      </c>
      <c r="I676" s="106"/>
      <c r="K676" s="56">
        <v>203</v>
      </c>
      <c r="L676" s="55" t="s">
        <v>176</v>
      </c>
      <c r="M676" s="55" t="s">
        <v>2824</v>
      </c>
      <c r="N676" s="4" t="s">
        <v>177</v>
      </c>
      <c r="O676" s="55" t="s">
        <v>178</v>
      </c>
    </row>
    <row r="677" spans="2:15">
      <c r="B677" s="20">
        <v>44873</v>
      </c>
      <c r="C677" s="59">
        <v>40011069</v>
      </c>
      <c r="D677" s="55" t="s">
        <v>442</v>
      </c>
      <c r="E677" s="67">
        <v>800</v>
      </c>
      <c r="F677" s="67">
        <v>1</v>
      </c>
      <c r="G677" s="102">
        <v>800</v>
      </c>
      <c r="H677" s="56" t="s">
        <v>80</v>
      </c>
      <c r="I677" s="106"/>
      <c r="K677" s="56">
        <v>203</v>
      </c>
      <c r="L677" s="55" t="s">
        <v>176</v>
      </c>
      <c r="M677" s="55" t="s">
        <v>2824</v>
      </c>
      <c r="N677" s="4" t="s">
        <v>177</v>
      </c>
      <c r="O677" s="55" t="s">
        <v>178</v>
      </c>
    </row>
    <row r="678" spans="2:15">
      <c r="B678" s="20">
        <v>44873</v>
      </c>
      <c r="C678" s="59">
        <v>40011070</v>
      </c>
      <c r="D678" s="55" t="s">
        <v>444</v>
      </c>
      <c r="E678" s="67">
        <v>1680</v>
      </c>
      <c r="F678" s="67">
        <v>2</v>
      </c>
      <c r="G678" s="102">
        <v>3059</v>
      </c>
      <c r="H678" s="56" t="s">
        <v>80</v>
      </c>
      <c r="I678" s="106"/>
      <c r="K678" s="56">
        <v>203</v>
      </c>
      <c r="L678" s="55" t="s">
        <v>176</v>
      </c>
      <c r="M678" s="55" t="s">
        <v>2824</v>
      </c>
      <c r="N678" s="4" t="s">
        <v>177</v>
      </c>
      <c r="O678" s="55" t="s">
        <v>178</v>
      </c>
    </row>
    <row r="679" spans="2:15">
      <c r="B679" s="20">
        <v>44873</v>
      </c>
      <c r="C679" s="59">
        <v>50144376</v>
      </c>
      <c r="D679" s="55" t="s">
        <v>19</v>
      </c>
      <c r="E679" s="67">
        <v>500</v>
      </c>
      <c r="F679" s="67">
        <v>10</v>
      </c>
      <c r="G679" s="102">
        <v>5000</v>
      </c>
      <c r="H679" s="105" t="s">
        <v>92</v>
      </c>
      <c r="I679" s="106"/>
      <c r="K679" s="56">
        <v>204</v>
      </c>
      <c r="M679" s="55" t="s">
        <v>326</v>
      </c>
      <c r="O679" s="55" t="s">
        <v>178</v>
      </c>
    </row>
    <row r="680" spans="2:15">
      <c r="B680" s="20">
        <v>44873</v>
      </c>
      <c r="C680" s="59">
        <v>50482949</v>
      </c>
      <c r="D680" s="55" t="s">
        <v>379</v>
      </c>
      <c r="E680" s="67">
        <v>12600</v>
      </c>
      <c r="F680" s="67">
        <v>7</v>
      </c>
      <c r="G680" s="102">
        <v>76292</v>
      </c>
      <c r="H680" s="56" t="s">
        <v>92</v>
      </c>
      <c r="I680" s="106"/>
      <c r="K680" s="56">
        <v>206</v>
      </c>
      <c r="L680" s="55" t="s">
        <v>176</v>
      </c>
      <c r="M680" s="55" t="s">
        <v>2824</v>
      </c>
      <c r="N680" s="4" t="s">
        <v>177</v>
      </c>
      <c r="O680" s="55" t="s">
        <v>178</v>
      </c>
    </row>
    <row r="681" spans="2:15">
      <c r="B681" s="20">
        <v>44873</v>
      </c>
      <c r="C681" s="59">
        <v>50767484</v>
      </c>
      <c r="D681" s="55" t="s">
        <v>251</v>
      </c>
      <c r="E681" s="67">
        <v>145</v>
      </c>
      <c r="F681" s="67">
        <v>1</v>
      </c>
      <c r="G681" s="102">
        <v>145</v>
      </c>
      <c r="H681" s="56" t="s">
        <v>82</v>
      </c>
      <c r="I681" s="106"/>
      <c r="K681" s="56">
        <v>206</v>
      </c>
      <c r="L681" s="55" t="s">
        <v>176</v>
      </c>
      <c r="M681" s="55" t="s">
        <v>2824</v>
      </c>
      <c r="N681" s="4" t="s">
        <v>177</v>
      </c>
      <c r="O681" s="55" t="s">
        <v>178</v>
      </c>
    </row>
    <row r="682" spans="2:15">
      <c r="B682" s="20">
        <v>44873</v>
      </c>
      <c r="C682" s="59">
        <v>50491486</v>
      </c>
      <c r="D682" s="55" t="s">
        <v>374</v>
      </c>
      <c r="E682" s="67">
        <v>3842</v>
      </c>
      <c r="F682" s="67">
        <v>1</v>
      </c>
      <c r="G682" s="102">
        <v>3842</v>
      </c>
      <c r="H682" s="56" t="s">
        <v>92</v>
      </c>
      <c r="I682" s="106"/>
      <c r="K682" s="56">
        <v>206</v>
      </c>
      <c r="L682" s="55" t="s">
        <v>176</v>
      </c>
      <c r="M682" s="55" t="s">
        <v>2824</v>
      </c>
      <c r="N682" s="4" t="s">
        <v>177</v>
      </c>
      <c r="O682" s="55" t="s">
        <v>178</v>
      </c>
    </row>
    <row r="683" spans="2:15">
      <c r="B683" s="20">
        <v>44873</v>
      </c>
      <c r="C683" s="59">
        <v>50484810</v>
      </c>
      <c r="D683" s="55" t="s">
        <v>380</v>
      </c>
      <c r="E683" s="67">
        <v>12000</v>
      </c>
      <c r="F683" s="67">
        <v>6</v>
      </c>
      <c r="G683" s="102">
        <v>69930</v>
      </c>
      <c r="H683" s="56" t="s">
        <v>92</v>
      </c>
      <c r="I683" s="106"/>
      <c r="K683" s="56">
        <v>206</v>
      </c>
      <c r="L683" s="55" t="s">
        <v>176</v>
      </c>
      <c r="M683" s="55" t="s">
        <v>2824</v>
      </c>
      <c r="N683" s="4" t="s">
        <v>177</v>
      </c>
      <c r="O683" s="55" t="s">
        <v>178</v>
      </c>
    </row>
    <row r="684" spans="2:15">
      <c r="B684" s="20">
        <v>44873</v>
      </c>
      <c r="C684" s="59">
        <v>50598322</v>
      </c>
      <c r="D684" s="55" t="s">
        <v>381</v>
      </c>
      <c r="E684" s="67">
        <v>12600</v>
      </c>
      <c r="F684" s="67">
        <v>3</v>
      </c>
      <c r="G684" s="102">
        <v>31931</v>
      </c>
      <c r="H684" s="56" t="s">
        <v>92</v>
      </c>
      <c r="I684" s="106"/>
      <c r="K684" s="56">
        <v>206</v>
      </c>
      <c r="L684" s="55" t="s">
        <v>176</v>
      </c>
      <c r="M684" s="55" t="s">
        <v>2824</v>
      </c>
      <c r="N684" s="4" t="s">
        <v>177</v>
      </c>
      <c r="O684" s="55" t="s">
        <v>178</v>
      </c>
    </row>
    <row r="685" spans="2:15">
      <c r="B685" s="20">
        <v>44873</v>
      </c>
      <c r="C685" s="59">
        <v>50756651</v>
      </c>
      <c r="D685" s="55" t="s">
        <v>382</v>
      </c>
      <c r="E685" s="67">
        <v>9000</v>
      </c>
      <c r="F685" s="67">
        <v>2</v>
      </c>
      <c r="G685" s="102">
        <v>12366</v>
      </c>
      <c r="H685" s="56" t="s">
        <v>92</v>
      </c>
      <c r="I685" s="106"/>
      <c r="K685" s="56">
        <v>206</v>
      </c>
      <c r="L685" s="55" t="s">
        <v>176</v>
      </c>
      <c r="M685" s="55" t="s">
        <v>2824</v>
      </c>
      <c r="N685" s="4" t="s">
        <v>177</v>
      </c>
      <c r="O685" s="55" t="s">
        <v>178</v>
      </c>
    </row>
    <row r="686" spans="2:15">
      <c r="B686" s="20">
        <v>44873</v>
      </c>
      <c r="C686" s="59">
        <v>50482947</v>
      </c>
      <c r="D686" s="55" t="s">
        <v>377</v>
      </c>
      <c r="E686" s="67">
        <v>10404</v>
      </c>
      <c r="F686" s="67">
        <v>1</v>
      </c>
      <c r="G686" s="102">
        <v>10404</v>
      </c>
      <c r="H686" s="56" t="s">
        <v>92</v>
      </c>
      <c r="I686" s="106"/>
      <c r="K686" s="56">
        <v>206</v>
      </c>
      <c r="L686" s="55" t="s">
        <v>176</v>
      </c>
      <c r="M686" s="55" t="s">
        <v>2824</v>
      </c>
      <c r="N686" s="4" t="s">
        <v>177</v>
      </c>
      <c r="O686" s="55" t="s">
        <v>178</v>
      </c>
    </row>
    <row r="687" spans="2:15">
      <c r="B687" s="20">
        <v>44873</v>
      </c>
      <c r="C687" s="59">
        <v>50785753</v>
      </c>
      <c r="D687" s="55" t="s">
        <v>570</v>
      </c>
      <c r="E687" s="67">
        <v>596</v>
      </c>
      <c r="F687" s="67">
        <v>6</v>
      </c>
      <c r="G687" s="102">
        <v>2403.5</v>
      </c>
      <c r="H687" s="56" t="s">
        <v>82</v>
      </c>
      <c r="I687" s="106"/>
      <c r="K687" s="56">
        <v>207</v>
      </c>
      <c r="M687" s="55" t="s">
        <v>326</v>
      </c>
      <c r="O687" s="55" t="s">
        <v>178</v>
      </c>
    </row>
    <row r="688" spans="2:15">
      <c r="B688" s="20">
        <v>44873</v>
      </c>
      <c r="C688" s="59">
        <v>50272278</v>
      </c>
      <c r="D688" s="55" t="s">
        <v>21</v>
      </c>
      <c r="E688" s="67">
        <v>500</v>
      </c>
      <c r="F688" s="67">
        <v>5</v>
      </c>
      <c r="G688" s="102">
        <v>2500</v>
      </c>
      <c r="H688" s="56" t="s">
        <v>92</v>
      </c>
      <c r="I688" s="106"/>
      <c r="K688" s="56">
        <v>205</v>
      </c>
      <c r="L688" s="55" t="s">
        <v>416</v>
      </c>
      <c r="M688" s="55" t="s">
        <v>416</v>
      </c>
      <c r="N688" s="4" t="s">
        <v>236</v>
      </c>
      <c r="O688" s="55" t="s">
        <v>178</v>
      </c>
    </row>
    <row r="689" spans="2:15">
      <c r="B689" s="20">
        <v>44873</v>
      </c>
      <c r="C689" s="59">
        <v>50785753</v>
      </c>
      <c r="D689" s="55" t="s">
        <v>570</v>
      </c>
      <c r="E689" s="67">
        <v>456</v>
      </c>
      <c r="F689" s="67">
        <v>6</v>
      </c>
      <c r="G689" s="102">
        <v>2232.5</v>
      </c>
      <c r="H689" s="56" t="s">
        <v>82</v>
      </c>
      <c r="I689" s="106"/>
      <c r="K689" s="56">
        <v>205</v>
      </c>
      <c r="L689" s="55" t="s">
        <v>416</v>
      </c>
      <c r="M689" s="55" t="s">
        <v>416</v>
      </c>
      <c r="N689" s="4" t="s">
        <v>236</v>
      </c>
      <c r="O689" s="55" t="s">
        <v>178</v>
      </c>
    </row>
    <row r="690" spans="2:15">
      <c r="B690" s="20">
        <v>44875</v>
      </c>
      <c r="C690" s="59">
        <v>50141786</v>
      </c>
      <c r="D690" s="55" t="s">
        <v>188</v>
      </c>
      <c r="E690" s="67">
        <v>560</v>
      </c>
      <c r="F690" s="67">
        <v>20</v>
      </c>
      <c r="G690" s="102">
        <v>11200</v>
      </c>
      <c r="H690" s="56" t="s">
        <v>82</v>
      </c>
      <c r="I690" s="106"/>
      <c r="K690" s="56">
        <v>208</v>
      </c>
      <c r="L690" s="55" t="s">
        <v>176</v>
      </c>
      <c r="M690" s="55" t="s">
        <v>2824</v>
      </c>
      <c r="N690" s="4" t="s">
        <v>177</v>
      </c>
      <c r="O690" s="55" t="s">
        <v>178</v>
      </c>
    </row>
    <row r="691" spans="2:15">
      <c r="B691" s="20">
        <v>44875</v>
      </c>
      <c r="C691" s="59">
        <v>50142237</v>
      </c>
      <c r="D691" s="55" t="s">
        <v>617</v>
      </c>
      <c r="E691" s="67">
        <v>5000</v>
      </c>
      <c r="F691" s="67">
        <v>5</v>
      </c>
      <c r="G691" s="102">
        <v>5000</v>
      </c>
      <c r="H691" s="56" t="s">
        <v>92</v>
      </c>
      <c r="I691" s="106"/>
      <c r="K691" s="56">
        <v>208</v>
      </c>
      <c r="L691" s="55" t="s">
        <v>176</v>
      </c>
      <c r="M691" s="55" t="s">
        <v>2824</v>
      </c>
      <c r="N691" s="4" t="s">
        <v>177</v>
      </c>
      <c r="O691" s="55" t="s">
        <v>178</v>
      </c>
    </row>
    <row r="692" spans="2:15">
      <c r="B692" s="20">
        <v>44875</v>
      </c>
      <c r="C692" s="59">
        <v>50369034</v>
      </c>
      <c r="D692" s="55" t="s">
        <v>322</v>
      </c>
      <c r="E692" s="67">
        <v>700.5</v>
      </c>
      <c r="F692" s="67">
        <v>2</v>
      </c>
      <c r="G692" s="102">
        <v>1396.05</v>
      </c>
      <c r="H692" s="56" t="s">
        <v>82</v>
      </c>
      <c r="I692" s="106"/>
      <c r="K692" s="56">
        <v>209</v>
      </c>
      <c r="L692" s="55" t="s">
        <v>176</v>
      </c>
      <c r="M692" s="55" t="s">
        <v>2824</v>
      </c>
      <c r="N692" s="4" t="s">
        <v>177</v>
      </c>
      <c r="O692" s="55" t="s">
        <v>178</v>
      </c>
    </row>
    <row r="693" spans="2:15">
      <c r="B693" s="20">
        <v>44875</v>
      </c>
      <c r="C693" s="59">
        <v>40006588</v>
      </c>
      <c r="D693" s="55" t="s">
        <v>600</v>
      </c>
      <c r="E693" s="67">
        <v>220.5</v>
      </c>
      <c r="F693" s="67">
        <v>2</v>
      </c>
      <c r="G693" s="102">
        <v>441</v>
      </c>
      <c r="H693" s="56" t="s">
        <v>80</v>
      </c>
      <c r="I693" s="106"/>
      <c r="K693" s="56">
        <v>209</v>
      </c>
      <c r="L693" s="55" t="s">
        <v>176</v>
      </c>
      <c r="M693" s="55" t="s">
        <v>2824</v>
      </c>
      <c r="N693" s="4" t="s">
        <v>177</v>
      </c>
      <c r="O693" s="55" t="s">
        <v>178</v>
      </c>
    </row>
    <row r="694" spans="2:15">
      <c r="B694" s="20">
        <v>44875</v>
      </c>
      <c r="C694" s="59">
        <v>50144376</v>
      </c>
      <c r="D694" s="55" t="s">
        <v>19</v>
      </c>
      <c r="E694" s="67">
        <v>500</v>
      </c>
      <c r="F694" s="67">
        <v>4</v>
      </c>
      <c r="G694" s="102">
        <v>2000</v>
      </c>
      <c r="H694" s="105" t="s">
        <v>92</v>
      </c>
      <c r="I694" s="106"/>
      <c r="K694" s="56">
        <v>209</v>
      </c>
      <c r="L694" s="55" t="s">
        <v>176</v>
      </c>
      <c r="M694" s="55" t="s">
        <v>2824</v>
      </c>
      <c r="N694" s="4" t="s">
        <v>177</v>
      </c>
      <c r="O694" s="55" t="s">
        <v>178</v>
      </c>
    </row>
    <row r="695" spans="2:15">
      <c r="B695" s="20">
        <v>44875</v>
      </c>
      <c r="C695" s="59">
        <v>50272278</v>
      </c>
      <c r="D695" s="55" t="s">
        <v>21</v>
      </c>
      <c r="E695" s="67">
        <v>500</v>
      </c>
      <c r="F695" s="67">
        <v>5</v>
      </c>
      <c r="G695" s="102">
        <v>2500</v>
      </c>
      <c r="H695" s="56" t="s">
        <v>92</v>
      </c>
      <c r="I695" s="106"/>
      <c r="K695" s="56">
        <v>209</v>
      </c>
      <c r="L695" s="55" t="s">
        <v>176</v>
      </c>
      <c r="M695" s="55" t="s">
        <v>2824</v>
      </c>
      <c r="N695" s="4" t="s">
        <v>177</v>
      </c>
      <c r="O695" s="55" t="s">
        <v>178</v>
      </c>
    </row>
    <row r="696" spans="2:15">
      <c r="B696" s="20">
        <v>44875</v>
      </c>
      <c r="C696" s="59">
        <v>50337816</v>
      </c>
      <c r="D696" s="55" t="s">
        <v>245</v>
      </c>
      <c r="E696" s="67">
        <v>264</v>
      </c>
      <c r="F696" s="67">
        <v>3</v>
      </c>
      <c r="G696" s="102">
        <v>792</v>
      </c>
      <c r="H696" s="56" t="s">
        <v>80</v>
      </c>
      <c r="I696" s="106"/>
      <c r="K696" s="56">
        <v>209</v>
      </c>
      <c r="L696" s="55" t="s">
        <v>176</v>
      </c>
      <c r="M696" s="55" t="s">
        <v>2824</v>
      </c>
      <c r="N696" s="4" t="s">
        <v>177</v>
      </c>
      <c r="O696" s="55" t="s">
        <v>178</v>
      </c>
    </row>
    <row r="697" spans="2:15">
      <c r="B697" s="20">
        <v>44875</v>
      </c>
      <c r="C697" s="59">
        <v>40011661</v>
      </c>
      <c r="D697" s="55" t="s">
        <v>608</v>
      </c>
      <c r="E697" s="67">
        <v>450</v>
      </c>
      <c r="F697" s="67">
        <v>3</v>
      </c>
      <c r="G697" s="102">
        <v>1350</v>
      </c>
      <c r="H697" s="56" t="s">
        <v>80</v>
      </c>
      <c r="I697" s="106"/>
      <c r="K697" s="56">
        <v>209</v>
      </c>
      <c r="L697" s="55" t="s">
        <v>176</v>
      </c>
      <c r="M697" s="55" t="s">
        <v>2824</v>
      </c>
      <c r="N697" s="4" t="s">
        <v>177</v>
      </c>
      <c r="O697" s="55" t="s">
        <v>178</v>
      </c>
    </row>
    <row r="698" spans="2:15">
      <c r="B698" s="20">
        <v>44875</v>
      </c>
      <c r="C698" s="59">
        <v>40499</v>
      </c>
      <c r="D698" s="55" t="s">
        <v>316</v>
      </c>
      <c r="E698" s="67">
        <v>19</v>
      </c>
      <c r="F698" s="67">
        <v>19</v>
      </c>
      <c r="G698" s="102">
        <v>19</v>
      </c>
      <c r="H698" s="56" t="s">
        <v>92</v>
      </c>
      <c r="I698" s="106"/>
      <c r="K698" s="56">
        <v>209</v>
      </c>
      <c r="L698" s="55" t="s">
        <v>176</v>
      </c>
      <c r="M698" s="55" t="s">
        <v>2824</v>
      </c>
      <c r="N698" s="4" t="s">
        <v>177</v>
      </c>
      <c r="O698" s="55" t="s">
        <v>178</v>
      </c>
    </row>
    <row r="699" spans="2:15">
      <c r="B699" s="20">
        <v>44845</v>
      </c>
      <c r="C699" s="59">
        <v>50470190</v>
      </c>
      <c r="D699" s="55" t="s">
        <v>12</v>
      </c>
      <c r="E699" s="67">
        <v>289800</v>
      </c>
      <c r="F699" s="67">
        <v>16</v>
      </c>
      <c r="G699" s="102">
        <v>4636800</v>
      </c>
      <c r="H699" s="56" t="s">
        <v>92</v>
      </c>
      <c r="I699" s="106"/>
      <c r="K699" s="56">
        <v>210</v>
      </c>
      <c r="L699" s="55" t="s">
        <v>176</v>
      </c>
      <c r="M699" s="55" t="s">
        <v>2824</v>
      </c>
      <c r="N699" s="4" t="s">
        <v>177</v>
      </c>
      <c r="O699" s="55" t="s">
        <v>178</v>
      </c>
    </row>
    <row r="700" spans="2:15">
      <c r="B700" s="20">
        <v>44845</v>
      </c>
      <c r="C700" s="59">
        <v>50141786</v>
      </c>
      <c r="D700" s="55" t="s">
        <v>188</v>
      </c>
      <c r="E700" s="67">
        <v>560</v>
      </c>
      <c r="F700" s="67">
        <v>20</v>
      </c>
      <c r="G700" s="102">
        <v>11200</v>
      </c>
      <c r="H700" s="56" t="s">
        <v>82</v>
      </c>
      <c r="I700" s="106"/>
      <c r="K700" s="56">
        <v>211</v>
      </c>
      <c r="L700" s="55" t="s">
        <v>176</v>
      </c>
      <c r="M700" s="55" t="s">
        <v>2824</v>
      </c>
      <c r="N700" s="4" t="s">
        <v>177</v>
      </c>
      <c r="O700" s="55" t="s">
        <v>178</v>
      </c>
    </row>
    <row r="701" spans="2:15">
      <c r="B701" s="20">
        <v>44845</v>
      </c>
      <c r="C701" s="59">
        <v>40499</v>
      </c>
      <c r="D701" s="55" t="s">
        <v>316</v>
      </c>
      <c r="E701" s="67">
        <v>40</v>
      </c>
      <c r="F701" s="67">
        <v>40</v>
      </c>
      <c r="G701" s="102">
        <v>40</v>
      </c>
      <c r="H701" s="56" t="s">
        <v>92</v>
      </c>
      <c r="I701" s="106"/>
      <c r="K701" s="56">
        <v>212</v>
      </c>
      <c r="L701" s="55" t="s">
        <v>176</v>
      </c>
      <c r="M701" s="55" t="s">
        <v>2824</v>
      </c>
      <c r="N701" s="4" t="s">
        <v>177</v>
      </c>
      <c r="O701" s="55" t="s">
        <v>178</v>
      </c>
    </row>
    <row r="702" spans="2:15">
      <c r="B702" s="20">
        <v>44845</v>
      </c>
      <c r="C702" s="59">
        <v>50272278</v>
      </c>
      <c r="D702" s="55" t="s">
        <v>21</v>
      </c>
      <c r="E702" s="67">
        <v>500</v>
      </c>
      <c r="F702" s="67">
        <v>20</v>
      </c>
      <c r="G702" s="102">
        <v>10000</v>
      </c>
      <c r="H702" s="56" t="s">
        <v>92</v>
      </c>
      <c r="I702" s="106"/>
      <c r="K702" s="56">
        <v>212</v>
      </c>
      <c r="L702" s="55" t="s">
        <v>176</v>
      </c>
      <c r="M702" s="55" t="s">
        <v>2824</v>
      </c>
      <c r="N702" s="4" t="s">
        <v>177</v>
      </c>
      <c r="O702" s="55" t="s">
        <v>178</v>
      </c>
    </row>
    <row r="703" spans="2:15">
      <c r="B703" s="20">
        <v>44845</v>
      </c>
      <c r="C703" s="59">
        <v>50272278</v>
      </c>
      <c r="D703" s="55" t="s">
        <v>21</v>
      </c>
      <c r="E703" s="67">
        <v>500</v>
      </c>
      <c r="F703" s="67">
        <v>2</v>
      </c>
      <c r="G703" s="102">
        <v>1000</v>
      </c>
      <c r="H703" s="56" t="s">
        <v>92</v>
      </c>
      <c r="I703" s="106"/>
      <c r="K703" s="56">
        <v>213</v>
      </c>
      <c r="L703" s="55" t="s">
        <v>176</v>
      </c>
      <c r="M703" s="55" t="s">
        <v>2824</v>
      </c>
      <c r="N703" s="4" t="s">
        <v>177</v>
      </c>
      <c r="O703" s="55" t="s">
        <v>178</v>
      </c>
    </row>
    <row r="704" spans="2:15">
      <c r="B704" s="20">
        <v>44845</v>
      </c>
      <c r="C704" s="59">
        <v>40011069</v>
      </c>
      <c r="D704" s="55" t="s">
        <v>442</v>
      </c>
      <c r="E704" s="67">
        <v>970</v>
      </c>
      <c r="F704" s="67">
        <v>1</v>
      </c>
      <c r="G704" s="102">
        <v>970</v>
      </c>
      <c r="H704" s="56" t="s">
        <v>80</v>
      </c>
      <c r="I704" s="106"/>
      <c r="K704" s="56">
        <v>213</v>
      </c>
      <c r="L704" s="55" t="s">
        <v>176</v>
      </c>
      <c r="M704" s="55" t="s">
        <v>2824</v>
      </c>
      <c r="N704" s="4" t="s">
        <v>177</v>
      </c>
      <c r="O704" s="55" t="s">
        <v>178</v>
      </c>
    </row>
    <row r="705" spans="2:15 16384:16384">
      <c r="B705" s="20">
        <v>44845</v>
      </c>
      <c r="C705" s="59">
        <v>50369034</v>
      </c>
      <c r="D705" s="55" t="s">
        <v>322</v>
      </c>
      <c r="E705" s="67">
        <v>700.2</v>
      </c>
      <c r="F705" s="67">
        <v>1</v>
      </c>
      <c r="G705" s="102">
        <v>700.2</v>
      </c>
      <c r="H705" s="56" t="s">
        <v>82</v>
      </c>
      <c r="I705" s="106"/>
      <c r="K705" s="56">
        <v>213</v>
      </c>
      <c r="L705" s="55" t="s">
        <v>176</v>
      </c>
      <c r="M705" s="55" t="s">
        <v>2824</v>
      </c>
      <c r="N705" s="4" t="s">
        <v>177</v>
      </c>
      <c r="O705" s="55" t="s">
        <v>178</v>
      </c>
    </row>
    <row r="706" spans="2:15 16384:16384">
      <c r="B706" s="20">
        <v>44845</v>
      </c>
      <c r="C706" s="59">
        <v>50142281</v>
      </c>
      <c r="D706" s="55" t="s">
        <v>204</v>
      </c>
      <c r="E706" s="67">
        <v>390</v>
      </c>
      <c r="F706" s="67">
        <v>2</v>
      </c>
      <c r="G706" s="102">
        <v>660</v>
      </c>
      <c r="H706" s="56" t="s">
        <v>82</v>
      </c>
      <c r="I706" s="106"/>
      <c r="K706" s="56">
        <v>213</v>
      </c>
      <c r="L706" s="55" t="s">
        <v>176</v>
      </c>
      <c r="M706" s="55" t="s">
        <v>2824</v>
      </c>
      <c r="N706" s="4" t="s">
        <v>177</v>
      </c>
      <c r="O706" s="55" t="s">
        <v>178</v>
      </c>
    </row>
    <row r="707" spans="2:15 16384:16384">
      <c r="B707" s="20">
        <v>44845</v>
      </c>
      <c r="C707" s="59">
        <v>50141533</v>
      </c>
      <c r="D707" s="55" t="s">
        <v>494</v>
      </c>
      <c r="E707" s="67">
        <v>1250</v>
      </c>
      <c r="F707" s="67">
        <v>1</v>
      </c>
      <c r="G707" s="102">
        <v>1250</v>
      </c>
      <c r="H707" s="56" t="s">
        <v>82</v>
      </c>
      <c r="I707" s="106"/>
      <c r="K707" s="56">
        <v>213</v>
      </c>
      <c r="L707" s="55" t="s">
        <v>176</v>
      </c>
      <c r="M707" s="55" t="s">
        <v>2824</v>
      </c>
      <c r="N707" s="4" t="s">
        <v>177</v>
      </c>
      <c r="O707" s="55" t="s">
        <v>178</v>
      </c>
    </row>
    <row r="708" spans="2:15 16384:16384">
      <c r="B708" s="20">
        <v>44845</v>
      </c>
      <c r="C708" s="59">
        <v>40011659</v>
      </c>
      <c r="D708" s="55" t="s">
        <v>89</v>
      </c>
      <c r="E708" s="67">
        <v>360</v>
      </c>
      <c r="F708" s="67">
        <v>3</v>
      </c>
      <c r="G708" s="102">
        <v>1080</v>
      </c>
      <c r="H708" s="56" t="s">
        <v>80</v>
      </c>
      <c r="I708" s="106"/>
      <c r="K708" s="56">
        <v>213</v>
      </c>
      <c r="L708" s="55" t="s">
        <v>176</v>
      </c>
      <c r="M708" s="55" t="s">
        <v>2824</v>
      </c>
      <c r="N708" s="4" t="s">
        <v>177</v>
      </c>
      <c r="O708" s="55" t="s">
        <v>178</v>
      </c>
    </row>
    <row r="709" spans="2:15 16384:16384">
      <c r="B709" s="20">
        <v>44845</v>
      </c>
      <c r="C709" s="59">
        <v>40007942</v>
      </c>
      <c r="D709" s="55" t="s">
        <v>219</v>
      </c>
      <c r="E709" s="67">
        <v>2840</v>
      </c>
      <c r="F709" s="67">
        <v>2</v>
      </c>
      <c r="G709" s="102">
        <v>7056</v>
      </c>
      <c r="H709" s="56" t="s">
        <v>80</v>
      </c>
      <c r="I709" s="106"/>
      <c r="K709" s="56">
        <v>213</v>
      </c>
      <c r="L709" s="55" t="s">
        <v>176</v>
      </c>
      <c r="M709" s="55" t="s">
        <v>2824</v>
      </c>
      <c r="N709" s="4" t="s">
        <v>177</v>
      </c>
      <c r="O709" s="55" t="s">
        <v>178</v>
      </c>
    </row>
    <row r="710" spans="2:15 16384:16384">
      <c r="B710" s="20">
        <v>44845</v>
      </c>
      <c r="C710" s="59">
        <v>50142237</v>
      </c>
      <c r="D710" s="55" t="s">
        <v>617</v>
      </c>
      <c r="E710" s="67">
        <v>1000</v>
      </c>
      <c r="F710" s="67">
        <v>5</v>
      </c>
      <c r="G710" s="102">
        <v>5000</v>
      </c>
      <c r="H710" s="56" t="s">
        <v>92</v>
      </c>
      <c r="I710" s="106"/>
      <c r="K710" s="56">
        <v>213</v>
      </c>
      <c r="L710" s="55" t="s">
        <v>176</v>
      </c>
      <c r="M710" s="55" t="s">
        <v>2824</v>
      </c>
      <c r="N710" s="4" t="s">
        <v>177</v>
      </c>
      <c r="O710" s="55" t="s">
        <v>178</v>
      </c>
    </row>
    <row r="711" spans="2:15 16384:16384">
      <c r="B711" s="20">
        <v>44845</v>
      </c>
      <c r="C711" s="59">
        <v>50144376</v>
      </c>
      <c r="D711" s="55" t="s">
        <v>19</v>
      </c>
      <c r="E711" s="67">
        <v>500</v>
      </c>
      <c r="F711" s="67">
        <v>8</v>
      </c>
      <c r="G711" s="102">
        <v>4000</v>
      </c>
      <c r="H711" s="105" t="s">
        <v>92</v>
      </c>
      <c r="I711" s="106"/>
      <c r="K711" s="56">
        <v>213</v>
      </c>
      <c r="L711" s="55" t="s">
        <v>176</v>
      </c>
      <c r="M711" s="55" t="s">
        <v>2824</v>
      </c>
      <c r="N711" s="4" t="s">
        <v>177</v>
      </c>
      <c r="O711" s="55" t="s">
        <v>178</v>
      </c>
    </row>
    <row r="712" spans="2:15 16384:16384">
      <c r="B712" s="20">
        <v>44845</v>
      </c>
      <c r="C712" s="59">
        <v>40499</v>
      </c>
      <c r="D712" s="55" t="s">
        <v>316</v>
      </c>
      <c r="E712" s="67">
        <v>20</v>
      </c>
      <c r="F712" s="67">
        <v>20</v>
      </c>
      <c r="G712" s="102">
        <v>20</v>
      </c>
      <c r="H712" s="56" t="s">
        <v>92</v>
      </c>
      <c r="I712" s="106"/>
      <c r="K712" s="56">
        <v>213</v>
      </c>
      <c r="L712" s="55" t="s">
        <v>176</v>
      </c>
      <c r="M712" s="55" t="s">
        <v>2824</v>
      </c>
      <c r="N712" s="4" t="s">
        <v>177</v>
      </c>
      <c r="O712" s="55" t="s">
        <v>178</v>
      </c>
    </row>
    <row r="713" spans="2:15 16384:16384">
      <c r="B713" s="20">
        <v>44880</v>
      </c>
      <c r="C713" s="59">
        <v>50272278</v>
      </c>
      <c r="D713" s="55" t="s">
        <v>21</v>
      </c>
      <c r="E713" s="67">
        <v>500</v>
      </c>
      <c r="F713" s="67">
        <v>22</v>
      </c>
      <c r="G713" s="102">
        <v>11000</v>
      </c>
      <c r="H713" s="56" t="s">
        <v>92</v>
      </c>
      <c r="I713" s="106"/>
      <c r="K713" s="56">
        <v>214</v>
      </c>
      <c r="L713" s="55" t="s">
        <v>176</v>
      </c>
      <c r="M713" s="55" t="s">
        <v>2824</v>
      </c>
      <c r="N713" s="4" t="s">
        <v>193</v>
      </c>
      <c r="O713" s="55" t="s">
        <v>178</v>
      </c>
    </row>
    <row r="714" spans="2:15 16384:16384">
      <c r="B714" s="20">
        <v>44880</v>
      </c>
      <c r="C714" s="59">
        <v>40499</v>
      </c>
      <c r="D714" s="55" t="s">
        <v>316</v>
      </c>
      <c r="E714" s="67">
        <v>44</v>
      </c>
      <c r="F714" s="67">
        <v>44</v>
      </c>
      <c r="G714" s="102">
        <v>44</v>
      </c>
      <c r="H714" s="56" t="s">
        <v>92</v>
      </c>
      <c r="I714" s="106"/>
      <c r="K714" s="56">
        <v>214</v>
      </c>
      <c r="L714" s="55" t="s">
        <v>176</v>
      </c>
      <c r="M714" s="55" t="s">
        <v>2824</v>
      </c>
      <c r="N714" s="4" t="s">
        <v>193</v>
      </c>
      <c r="O714" s="55" t="s">
        <v>178</v>
      </c>
    </row>
    <row r="715" spans="2:15 16384:16384">
      <c r="B715" s="20">
        <v>44880</v>
      </c>
      <c r="C715" s="59">
        <v>50144951</v>
      </c>
      <c r="D715" s="55" t="s">
        <v>267</v>
      </c>
      <c r="E715" s="67">
        <v>22050</v>
      </c>
      <c r="F715" s="67">
        <v>9</v>
      </c>
      <c r="G715" s="102">
        <v>195510</v>
      </c>
      <c r="H715" s="56" t="s">
        <v>92</v>
      </c>
      <c r="I715" s="106"/>
      <c r="K715" s="56">
        <v>215</v>
      </c>
      <c r="L715" s="55" t="s">
        <v>176</v>
      </c>
      <c r="M715" s="55" t="s">
        <v>2824</v>
      </c>
      <c r="N715" s="4" t="s">
        <v>193</v>
      </c>
      <c r="O715" s="55" t="s">
        <v>178</v>
      </c>
    </row>
    <row r="716" spans="2:15 16384:16384">
      <c r="B716" s="20">
        <v>44880</v>
      </c>
      <c r="C716" s="59">
        <v>50493867</v>
      </c>
      <c r="D716" s="55" t="s">
        <v>255</v>
      </c>
      <c r="E716" s="67">
        <v>225</v>
      </c>
      <c r="F716" s="67">
        <v>3</v>
      </c>
      <c r="G716" s="102">
        <v>753.8</v>
      </c>
      <c r="H716" s="56" t="s">
        <v>82</v>
      </c>
      <c r="I716" s="106"/>
      <c r="K716" s="56">
        <v>215</v>
      </c>
      <c r="L716" s="55" t="s">
        <v>176</v>
      </c>
      <c r="M716" s="55" t="s">
        <v>2824</v>
      </c>
      <c r="N716" s="4" t="s">
        <v>193</v>
      </c>
      <c r="O716" s="55" t="s">
        <v>178</v>
      </c>
    </row>
    <row r="717" spans="2:15 16384:16384">
      <c r="B717" s="20">
        <v>44880</v>
      </c>
      <c r="C717" s="59">
        <v>404990</v>
      </c>
      <c r="D717" s="55" t="s">
        <v>653</v>
      </c>
      <c r="E717" s="67">
        <v>230</v>
      </c>
      <c r="F717" s="67">
        <v>230</v>
      </c>
      <c r="G717" s="102">
        <v>230</v>
      </c>
      <c r="H717" s="56" t="s">
        <v>92</v>
      </c>
      <c r="I717" s="106"/>
      <c r="K717" s="56">
        <v>215</v>
      </c>
      <c r="L717" s="55" t="s">
        <v>176</v>
      </c>
      <c r="M717" s="55" t="s">
        <v>2824</v>
      </c>
      <c r="N717" s="4" t="s">
        <v>193</v>
      </c>
      <c r="O717" s="55" t="s">
        <v>178</v>
      </c>
    </row>
    <row r="718" spans="2:15 16384:16384">
      <c r="B718" s="20">
        <v>44881</v>
      </c>
      <c r="C718" s="59">
        <v>50142237</v>
      </c>
      <c r="D718" s="55" t="s">
        <v>617</v>
      </c>
      <c r="E718" s="67">
        <v>1000</v>
      </c>
      <c r="F718" s="67">
        <v>5</v>
      </c>
      <c r="G718" s="102">
        <v>5000</v>
      </c>
      <c r="H718" s="56" t="s">
        <v>92</v>
      </c>
      <c r="I718" s="106"/>
      <c r="K718" s="56">
        <v>216</v>
      </c>
      <c r="L718" s="55" t="s">
        <v>176</v>
      </c>
      <c r="M718" s="55" t="s">
        <v>2824</v>
      </c>
      <c r="N718" s="4" t="s">
        <v>177</v>
      </c>
      <c r="O718" s="55" t="s">
        <v>178</v>
      </c>
    </row>
    <row r="719" spans="2:15 16384:16384">
      <c r="B719" s="20">
        <v>44881</v>
      </c>
      <c r="C719" s="59">
        <v>50470190</v>
      </c>
      <c r="D719" s="55" t="s">
        <v>12</v>
      </c>
      <c r="E719" s="67">
        <v>289800</v>
      </c>
      <c r="F719" s="67">
        <v>16</v>
      </c>
      <c r="G719" s="102">
        <v>4636800</v>
      </c>
      <c r="H719" s="56" t="s">
        <v>92</v>
      </c>
      <c r="I719" s="106"/>
      <c r="K719" s="56">
        <v>216</v>
      </c>
      <c r="L719" s="55" t="s">
        <v>176</v>
      </c>
      <c r="M719" s="55" t="s">
        <v>2824</v>
      </c>
      <c r="N719" s="4" t="s">
        <v>177</v>
      </c>
      <c r="O719" s="55" t="s">
        <v>178</v>
      </c>
      <c r="XFD719" t="s">
        <v>2842</v>
      </c>
    </row>
    <row r="720" spans="2:15 16384:16384">
      <c r="B720" s="20">
        <v>44881</v>
      </c>
      <c r="C720" s="59">
        <v>40011130</v>
      </c>
      <c r="D720" s="55" t="s">
        <v>631</v>
      </c>
      <c r="E720" s="67">
        <v>2480</v>
      </c>
      <c r="F720" s="67">
        <v>3</v>
      </c>
      <c r="G720" s="102">
        <v>8179</v>
      </c>
      <c r="H720" s="56" t="s">
        <v>80</v>
      </c>
      <c r="I720" s="106"/>
      <c r="K720" s="56">
        <v>217</v>
      </c>
      <c r="L720" s="55" t="s">
        <v>176</v>
      </c>
      <c r="M720" s="55" t="s">
        <v>2824</v>
      </c>
      <c r="N720" s="4" t="s">
        <v>177</v>
      </c>
      <c r="O720" s="55" t="s">
        <v>178</v>
      </c>
    </row>
    <row r="721" spans="2:15">
      <c r="B721" s="20">
        <v>44881</v>
      </c>
      <c r="C721" s="59">
        <v>50142350</v>
      </c>
      <c r="D721" s="55" t="s">
        <v>212</v>
      </c>
      <c r="E721" s="67">
        <v>734.5</v>
      </c>
      <c r="F721" s="67">
        <v>2</v>
      </c>
      <c r="G721" s="102">
        <v>1017</v>
      </c>
      <c r="H721" s="56" t="s">
        <v>82</v>
      </c>
      <c r="I721" s="106"/>
      <c r="K721" s="56">
        <v>217</v>
      </c>
      <c r="L721" s="55" t="s">
        <v>176</v>
      </c>
      <c r="M721" s="55" t="s">
        <v>2824</v>
      </c>
      <c r="N721" s="4" t="s">
        <v>177</v>
      </c>
      <c r="O721" s="55" t="s">
        <v>178</v>
      </c>
    </row>
    <row r="722" spans="2:15">
      <c r="B722" s="20">
        <v>44881</v>
      </c>
      <c r="C722" s="59">
        <v>40011780</v>
      </c>
      <c r="D722" s="55" t="s">
        <v>584</v>
      </c>
      <c r="E722" s="67">
        <v>450</v>
      </c>
      <c r="F722" s="67">
        <v>2</v>
      </c>
      <c r="G722" s="102">
        <v>900</v>
      </c>
      <c r="H722" s="56" t="s">
        <v>80</v>
      </c>
      <c r="I722" s="106"/>
      <c r="K722" s="56">
        <v>217</v>
      </c>
      <c r="L722" s="55" t="s">
        <v>176</v>
      </c>
      <c r="M722" s="55" t="s">
        <v>2824</v>
      </c>
      <c r="N722" s="4" t="s">
        <v>177</v>
      </c>
      <c r="O722" s="55" t="s">
        <v>178</v>
      </c>
    </row>
    <row r="723" spans="2:15">
      <c r="B723" s="20">
        <v>44881</v>
      </c>
      <c r="C723" s="59">
        <v>40011661</v>
      </c>
      <c r="D723" s="55" t="s">
        <v>608</v>
      </c>
      <c r="E723" s="67">
        <v>450</v>
      </c>
      <c r="F723" s="67">
        <v>2</v>
      </c>
      <c r="G723" s="102">
        <v>900</v>
      </c>
      <c r="H723" s="56" t="s">
        <v>80</v>
      </c>
      <c r="I723" s="106"/>
      <c r="K723" s="56">
        <v>217</v>
      </c>
      <c r="L723" s="55" t="s">
        <v>176</v>
      </c>
      <c r="M723" s="55" t="s">
        <v>2824</v>
      </c>
      <c r="N723" s="4" t="s">
        <v>177</v>
      </c>
      <c r="O723" s="55" t="s">
        <v>178</v>
      </c>
    </row>
    <row r="724" spans="2:15">
      <c r="B724" s="20">
        <v>44881</v>
      </c>
      <c r="C724" s="59">
        <v>50232060</v>
      </c>
      <c r="D724" s="55" t="s">
        <v>361</v>
      </c>
      <c r="E724" s="67">
        <v>264000</v>
      </c>
      <c r="F724" s="67">
        <v>2</v>
      </c>
      <c r="G724" s="102">
        <v>528000</v>
      </c>
      <c r="H724" s="56" t="s">
        <v>92</v>
      </c>
      <c r="I724" s="106"/>
      <c r="K724" s="56">
        <v>217</v>
      </c>
      <c r="L724" s="55" t="s">
        <v>176</v>
      </c>
      <c r="M724" s="55" t="s">
        <v>2824</v>
      </c>
      <c r="N724" s="4" t="s">
        <v>177</v>
      </c>
      <c r="O724" s="55" t="s">
        <v>178</v>
      </c>
    </row>
    <row r="725" spans="2:15">
      <c r="B725" s="20">
        <v>44881</v>
      </c>
      <c r="C725" s="59">
        <v>50515224</v>
      </c>
      <c r="D725" s="55" t="s">
        <v>186</v>
      </c>
      <c r="E725" s="67">
        <v>264000</v>
      </c>
      <c r="F725" s="67">
        <v>3</v>
      </c>
      <c r="G725" s="102">
        <v>848000</v>
      </c>
      <c r="H725" s="56" t="s">
        <v>92</v>
      </c>
      <c r="I725" s="106"/>
      <c r="K725" s="56">
        <v>217</v>
      </c>
      <c r="L725" s="55" t="s">
        <v>176</v>
      </c>
      <c r="M725" s="55" t="s">
        <v>2824</v>
      </c>
      <c r="N725" s="4" t="s">
        <v>177</v>
      </c>
      <c r="O725" s="55" t="s">
        <v>178</v>
      </c>
    </row>
    <row r="726" spans="2:15">
      <c r="B726" s="20">
        <v>44881</v>
      </c>
      <c r="C726" s="59">
        <v>40011659</v>
      </c>
      <c r="D726" s="55" t="s">
        <v>89</v>
      </c>
      <c r="E726" s="67">
        <v>360</v>
      </c>
      <c r="F726" s="67">
        <v>4</v>
      </c>
      <c r="G726" s="102">
        <v>1440</v>
      </c>
      <c r="H726" s="56" t="s">
        <v>80</v>
      </c>
      <c r="I726" s="106"/>
      <c r="K726" s="56">
        <v>217</v>
      </c>
      <c r="L726" s="55" t="s">
        <v>176</v>
      </c>
      <c r="M726" s="55" t="s">
        <v>2824</v>
      </c>
      <c r="N726" s="4" t="s">
        <v>177</v>
      </c>
      <c r="O726" s="55" t="s">
        <v>178</v>
      </c>
    </row>
    <row r="727" spans="2:15">
      <c r="B727" s="20">
        <v>44881</v>
      </c>
      <c r="C727" s="59">
        <v>50272278</v>
      </c>
      <c r="D727" s="55" t="s">
        <v>21</v>
      </c>
      <c r="E727" s="67">
        <v>500</v>
      </c>
      <c r="F727" s="67">
        <v>1</v>
      </c>
      <c r="G727" s="102">
        <v>500</v>
      </c>
      <c r="H727" s="56" t="s">
        <v>92</v>
      </c>
      <c r="I727" s="106"/>
      <c r="K727" s="56">
        <v>217</v>
      </c>
      <c r="L727" s="55" t="s">
        <v>176</v>
      </c>
      <c r="M727" s="55" t="s">
        <v>2824</v>
      </c>
      <c r="N727" s="4" t="s">
        <v>177</v>
      </c>
      <c r="O727" s="55" t="s">
        <v>178</v>
      </c>
    </row>
    <row r="728" spans="2:15">
      <c r="B728" s="20">
        <v>44882</v>
      </c>
      <c r="C728" s="59">
        <v>50145028</v>
      </c>
      <c r="D728" s="55" t="s">
        <v>23</v>
      </c>
      <c r="E728" s="67">
        <v>192</v>
      </c>
      <c r="F728" s="67">
        <v>5</v>
      </c>
      <c r="G728" s="102">
        <v>960</v>
      </c>
      <c r="H728" s="56" t="s">
        <v>92</v>
      </c>
      <c r="I728" s="106"/>
      <c r="K728" s="56">
        <v>218</v>
      </c>
      <c r="M728" s="55" t="s">
        <v>326</v>
      </c>
      <c r="O728" s="55" t="s">
        <v>178</v>
      </c>
    </row>
    <row r="729" spans="2:15">
      <c r="B729" s="20">
        <v>44883</v>
      </c>
      <c r="C729" s="59">
        <v>50470190</v>
      </c>
      <c r="D729" s="55" t="s">
        <v>12</v>
      </c>
      <c r="E729" s="67">
        <v>289800</v>
      </c>
      <c r="F729" s="67">
        <v>3</v>
      </c>
      <c r="G729" s="102">
        <v>869400</v>
      </c>
      <c r="H729" s="56" t="s">
        <v>92</v>
      </c>
      <c r="I729" s="106"/>
      <c r="K729" s="56">
        <v>219</v>
      </c>
      <c r="L729" s="55" t="s">
        <v>176</v>
      </c>
      <c r="M729" s="55" t="s">
        <v>2824</v>
      </c>
      <c r="N729" s="4" t="s">
        <v>193</v>
      </c>
      <c r="O729" s="55" t="s">
        <v>178</v>
      </c>
    </row>
    <row r="730" spans="2:15">
      <c r="B730" s="20">
        <v>44883</v>
      </c>
      <c r="C730" s="59">
        <v>50010080</v>
      </c>
      <c r="D730" s="55" t="s">
        <v>354</v>
      </c>
      <c r="E730" s="67">
        <v>1000</v>
      </c>
      <c r="F730" s="67">
        <v>3</v>
      </c>
      <c r="G730" s="102">
        <v>3000</v>
      </c>
      <c r="H730" s="56" t="s">
        <v>82</v>
      </c>
      <c r="I730" s="106"/>
      <c r="K730" s="56">
        <v>219</v>
      </c>
      <c r="L730" s="55" t="s">
        <v>176</v>
      </c>
      <c r="M730" s="55" t="s">
        <v>2824</v>
      </c>
      <c r="N730" s="4" t="s">
        <v>193</v>
      </c>
      <c r="O730" s="55" t="s">
        <v>178</v>
      </c>
    </row>
    <row r="731" spans="2:15">
      <c r="B731" s="20">
        <v>44883</v>
      </c>
      <c r="C731" s="59">
        <v>50272278</v>
      </c>
      <c r="D731" s="55" t="s">
        <v>21</v>
      </c>
      <c r="E731" s="67">
        <v>500</v>
      </c>
      <c r="F731" s="67">
        <v>14</v>
      </c>
      <c r="G731" s="102">
        <v>7000</v>
      </c>
      <c r="H731" s="56" t="s">
        <v>92</v>
      </c>
      <c r="I731" s="106"/>
      <c r="K731" s="56">
        <v>219</v>
      </c>
      <c r="L731" s="55" t="s">
        <v>176</v>
      </c>
      <c r="M731" s="55" t="s">
        <v>2824</v>
      </c>
      <c r="N731" s="4" t="s">
        <v>193</v>
      </c>
      <c r="O731" s="55" t="s">
        <v>178</v>
      </c>
    </row>
    <row r="732" spans="2:15">
      <c r="B732" s="20">
        <v>44883</v>
      </c>
      <c r="C732" s="59">
        <v>50493867</v>
      </c>
      <c r="D732" s="55" t="s">
        <v>255</v>
      </c>
      <c r="E732" s="67">
        <v>698.75</v>
      </c>
      <c r="F732" s="67">
        <v>12</v>
      </c>
      <c r="G732" s="102">
        <v>8250.15</v>
      </c>
      <c r="H732" s="56" t="s">
        <v>82</v>
      </c>
      <c r="I732" s="106"/>
      <c r="K732" s="56">
        <v>53</v>
      </c>
      <c r="L732" s="55" t="s">
        <v>660</v>
      </c>
      <c r="M732" s="55" t="s">
        <v>1227</v>
      </c>
      <c r="N732" s="4" t="s">
        <v>353</v>
      </c>
      <c r="O732" s="55" t="s">
        <v>178</v>
      </c>
    </row>
    <row r="733" spans="2:15">
      <c r="B733" s="20">
        <v>44886</v>
      </c>
      <c r="C733" s="59">
        <v>40499</v>
      </c>
      <c r="D733" s="55" t="s">
        <v>316</v>
      </c>
      <c r="E733" s="67">
        <v>12</v>
      </c>
      <c r="F733" s="67">
        <v>12</v>
      </c>
      <c r="G733" s="102">
        <v>12</v>
      </c>
      <c r="H733" s="56" t="s">
        <v>92</v>
      </c>
      <c r="I733" s="106"/>
      <c r="K733" s="56">
        <v>220</v>
      </c>
      <c r="L733" s="55" t="s">
        <v>176</v>
      </c>
      <c r="M733" s="55" t="s">
        <v>2824</v>
      </c>
      <c r="N733" s="4" t="s">
        <v>193</v>
      </c>
      <c r="O733" s="55" t="s">
        <v>178</v>
      </c>
    </row>
    <row r="734" spans="2:15">
      <c r="B734" s="20">
        <v>44886</v>
      </c>
      <c r="C734" s="59">
        <v>50272278</v>
      </c>
      <c r="D734" s="55" t="s">
        <v>21</v>
      </c>
      <c r="E734" s="67">
        <v>500</v>
      </c>
      <c r="F734" s="67">
        <v>16</v>
      </c>
      <c r="G734" s="102">
        <v>8000</v>
      </c>
      <c r="H734" s="56" t="s">
        <v>92</v>
      </c>
      <c r="I734" s="106"/>
      <c r="K734" s="56">
        <v>220</v>
      </c>
      <c r="L734" s="55" t="s">
        <v>176</v>
      </c>
      <c r="M734" s="55" t="s">
        <v>2824</v>
      </c>
      <c r="N734" s="4" t="s">
        <v>193</v>
      </c>
      <c r="O734" s="55" t="s">
        <v>178</v>
      </c>
    </row>
    <row r="735" spans="2:15">
      <c r="B735" s="20">
        <v>44886</v>
      </c>
      <c r="C735" s="59">
        <v>50470190</v>
      </c>
      <c r="D735" s="55" t="s">
        <v>12</v>
      </c>
      <c r="E735" s="67">
        <v>289800</v>
      </c>
      <c r="F735" s="67">
        <v>4</v>
      </c>
      <c r="G735" s="102">
        <v>1159200</v>
      </c>
      <c r="H735" s="56" t="s">
        <v>92</v>
      </c>
      <c r="I735" s="106"/>
      <c r="K735" s="56">
        <v>220</v>
      </c>
      <c r="L735" s="55" t="s">
        <v>176</v>
      </c>
      <c r="M735" s="55" t="s">
        <v>2824</v>
      </c>
      <c r="N735" s="4" t="s">
        <v>193</v>
      </c>
      <c r="O735" s="55" t="s">
        <v>178</v>
      </c>
    </row>
    <row r="736" spans="2:15">
      <c r="B736" s="20">
        <v>44886</v>
      </c>
      <c r="C736" s="59">
        <v>50142334</v>
      </c>
      <c r="D736" s="55" t="s">
        <v>257</v>
      </c>
      <c r="E736" s="67">
        <v>681</v>
      </c>
      <c r="F736" s="67">
        <v>1</v>
      </c>
      <c r="G736" s="102">
        <v>681</v>
      </c>
      <c r="H736" s="56" t="s">
        <v>82</v>
      </c>
      <c r="I736" s="106"/>
      <c r="K736" s="56">
        <v>221</v>
      </c>
      <c r="L736" s="55" t="s">
        <v>176</v>
      </c>
      <c r="M736" s="55" t="s">
        <v>2824</v>
      </c>
      <c r="N736" s="4" t="s">
        <v>193</v>
      </c>
      <c r="O736" s="55" t="s">
        <v>178</v>
      </c>
    </row>
    <row r="737" spans="2:15">
      <c r="B737" s="20">
        <v>44886</v>
      </c>
      <c r="C737" s="59">
        <v>40011080</v>
      </c>
      <c r="D737" s="55" t="s">
        <v>420</v>
      </c>
      <c r="E737" s="67">
        <v>450</v>
      </c>
      <c r="F737" s="67">
        <v>6</v>
      </c>
      <c r="G737" s="102">
        <v>2700</v>
      </c>
      <c r="H737" s="56" t="s">
        <v>80</v>
      </c>
      <c r="I737" s="106"/>
      <c r="K737" s="56">
        <v>221</v>
      </c>
      <c r="L737" s="55" t="s">
        <v>176</v>
      </c>
      <c r="M737" s="55" t="s">
        <v>2824</v>
      </c>
      <c r="N737" s="4" t="s">
        <v>193</v>
      </c>
      <c r="O737" s="55" t="s">
        <v>178</v>
      </c>
    </row>
    <row r="738" spans="2:15">
      <c r="B738" s="20">
        <v>44886</v>
      </c>
      <c r="C738" s="59">
        <v>40009544</v>
      </c>
      <c r="D738" s="55" t="s">
        <v>179</v>
      </c>
      <c r="E738" s="67">
        <v>2940</v>
      </c>
      <c r="F738" s="67">
        <v>2</v>
      </c>
      <c r="G738" s="102">
        <v>5880</v>
      </c>
      <c r="H738" s="56" t="s">
        <v>80</v>
      </c>
      <c r="I738" s="106"/>
      <c r="K738" s="56">
        <v>221</v>
      </c>
      <c r="L738" s="55" t="s">
        <v>176</v>
      </c>
      <c r="M738" s="55" t="s">
        <v>2824</v>
      </c>
      <c r="N738" s="4" t="s">
        <v>193</v>
      </c>
      <c r="O738" s="55" t="s">
        <v>178</v>
      </c>
    </row>
    <row r="739" spans="2:15">
      <c r="B739" s="20">
        <v>44886</v>
      </c>
      <c r="C739" s="59">
        <v>40009546</v>
      </c>
      <c r="D739" s="55" t="s">
        <v>174</v>
      </c>
      <c r="E739" s="67">
        <v>756</v>
      </c>
      <c r="F739" s="67">
        <v>5</v>
      </c>
      <c r="G739" s="102">
        <v>3780</v>
      </c>
      <c r="H739" s="56" t="s">
        <v>80</v>
      </c>
      <c r="I739" s="106"/>
      <c r="K739" s="56">
        <v>221</v>
      </c>
      <c r="L739" s="55" t="s">
        <v>176</v>
      </c>
      <c r="M739" s="55" t="s">
        <v>2824</v>
      </c>
      <c r="N739" s="4" t="s">
        <v>193</v>
      </c>
      <c r="O739" s="55" t="s">
        <v>178</v>
      </c>
    </row>
    <row r="740" spans="2:15">
      <c r="B740" s="20">
        <v>44886</v>
      </c>
      <c r="C740" s="108">
        <v>50522168</v>
      </c>
      <c r="D740" s="55" t="s">
        <v>252</v>
      </c>
      <c r="E740" s="67">
        <v>507</v>
      </c>
      <c r="F740" s="67">
        <v>3</v>
      </c>
      <c r="G740" s="102">
        <v>1220.5</v>
      </c>
      <c r="H740" s="56" t="s">
        <v>82</v>
      </c>
      <c r="I740" s="106"/>
      <c r="K740" s="56">
        <v>221</v>
      </c>
      <c r="L740" s="55" t="s">
        <v>176</v>
      </c>
      <c r="M740" s="55" t="s">
        <v>2824</v>
      </c>
      <c r="N740" s="4" t="s">
        <v>193</v>
      </c>
      <c r="O740" s="55" t="s">
        <v>178</v>
      </c>
    </row>
    <row r="741" spans="2:15">
      <c r="B741" s="20">
        <v>44886</v>
      </c>
      <c r="C741" s="59">
        <v>40011588</v>
      </c>
      <c r="D741" s="55" t="s">
        <v>585</v>
      </c>
      <c r="E741" s="67">
        <v>450</v>
      </c>
      <c r="F741" s="67">
        <v>3</v>
      </c>
      <c r="G741" s="102">
        <v>1350</v>
      </c>
      <c r="H741" s="56" t="s">
        <v>80</v>
      </c>
      <c r="I741" s="106"/>
      <c r="K741" s="56">
        <v>221</v>
      </c>
      <c r="L741" s="55" t="s">
        <v>176</v>
      </c>
      <c r="M741" s="55" t="s">
        <v>2824</v>
      </c>
      <c r="N741" s="4" t="s">
        <v>193</v>
      </c>
      <c r="O741" s="55" t="s">
        <v>178</v>
      </c>
    </row>
    <row r="742" spans="2:15">
      <c r="B742" s="20">
        <v>44886</v>
      </c>
      <c r="C742" s="59">
        <v>50010080</v>
      </c>
      <c r="D742" s="55" t="s">
        <v>354</v>
      </c>
      <c r="E742" s="67">
        <v>1000</v>
      </c>
      <c r="F742" s="67">
        <v>2</v>
      </c>
      <c r="G742" s="102">
        <v>2000</v>
      </c>
      <c r="H742" s="56" t="s">
        <v>82</v>
      </c>
      <c r="I742" s="106"/>
      <c r="K742" s="56">
        <v>221</v>
      </c>
      <c r="L742" s="55" t="s">
        <v>176</v>
      </c>
      <c r="M742" s="55" t="s">
        <v>2824</v>
      </c>
      <c r="N742" s="4" t="s">
        <v>193</v>
      </c>
      <c r="O742" s="55" t="s">
        <v>178</v>
      </c>
    </row>
    <row r="743" spans="2:15">
      <c r="B743" s="20">
        <v>44887</v>
      </c>
      <c r="C743" s="59">
        <v>50143646</v>
      </c>
      <c r="D743" s="55" t="s">
        <v>191</v>
      </c>
      <c r="E743" s="67">
        <v>480</v>
      </c>
      <c r="F743" s="67">
        <v>8</v>
      </c>
      <c r="G743" s="102">
        <v>3840</v>
      </c>
      <c r="H743" s="56" t="s">
        <v>82</v>
      </c>
      <c r="I743" s="106"/>
      <c r="K743" s="56">
        <v>222</v>
      </c>
      <c r="L743" s="55" t="s">
        <v>176</v>
      </c>
      <c r="M743" s="55" t="s">
        <v>2824</v>
      </c>
      <c r="N743" s="4" t="s">
        <v>177</v>
      </c>
      <c r="O743" s="55" t="s">
        <v>178</v>
      </c>
    </row>
    <row r="744" spans="2:15">
      <c r="B744" s="20">
        <v>44887</v>
      </c>
      <c r="C744" s="59">
        <v>50142055</v>
      </c>
      <c r="D744" s="55" t="s">
        <v>206</v>
      </c>
      <c r="E744" s="67">
        <v>600</v>
      </c>
      <c r="F744" s="67">
        <v>9</v>
      </c>
      <c r="G744" s="102">
        <v>5400</v>
      </c>
      <c r="H744" s="56" t="s">
        <v>82</v>
      </c>
      <c r="I744" s="106"/>
      <c r="K744" s="56">
        <v>222</v>
      </c>
      <c r="L744" s="55" t="s">
        <v>176</v>
      </c>
      <c r="M744" s="55" t="s">
        <v>2824</v>
      </c>
      <c r="N744" s="4" t="s">
        <v>177</v>
      </c>
      <c r="O744" s="55" t="s">
        <v>178</v>
      </c>
    </row>
    <row r="745" spans="2:15">
      <c r="B745" s="20">
        <v>44887</v>
      </c>
      <c r="C745" s="59">
        <v>50142327</v>
      </c>
      <c r="D745" s="55" t="s">
        <v>256</v>
      </c>
      <c r="E745" s="67">
        <v>681</v>
      </c>
      <c r="F745" s="67">
        <v>2</v>
      </c>
      <c r="G745" s="102">
        <v>1362</v>
      </c>
      <c r="H745" s="56" t="s">
        <v>82</v>
      </c>
      <c r="I745" s="106"/>
      <c r="K745" s="56">
        <v>222</v>
      </c>
      <c r="L745" s="55" t="s">
        <v>176</v>
      </c>
      <c r="M745" s="55" t="s">
        <v>2824</v>
      </c>
      <c r="N745" s="4" t="s">
        <v>177</v>
      </c>
      <c r="O745" s="55" t="s">
        <v>178</v>
      </c>
    </row>
    <row r="746" spans="2:15">
      <c r="B746" s="20">
        <v>44888</v>
      </c>
      <c r="C746" s="59">
        <v>50522169</v>
      </c>
      <c r="D746" s="55" t="s">
        <v>250</v>
      </c>
      <c r="E746" s="67">
        <v>550.1</v>
      </c>
      <c r="F746" s="67">
        <v>12</v>
      </c>
      <c r="G746" s="102">
        <v>6325.5</v>
      </c>
      <c r="H746" s="56" t="s">
        <v>82</v>
      </c>
      <c r="I746" s="106"/>
      <c r="K746" s="56">
        <v>223</v>
      </c>
      <c r="L746" s="55" t="s">
        <v>176</v>
      </c>
      <c r="M746" s="55" t="s">
        <v>2824</v>
      </c>
      <c r="N746" s="4" t="s">
        <v>177</v>
      </c>
      <c r="O746" s="55" t="s">
        <v>178</v>
      </c>
    </row>
    <row r="747" spans="2:15">
      <c r="B747" s="20">
        <v>44888</v>
      </c>
      <c r="C747" s="59">
        <v>50143646</v>
      </c>
      <c r="D747" s="55" t="s">
        <v>191</v>
      </c>
      <c r="E747" s="67">
        <v>480</v>
      </c>
      <c r="F747" s="67">
        <v>5</v>
      </c>
      <c r="G747" s="102">
        <v>2400</v>
      </c>
      <c r="H747" s="56" t="s">
        <v>82</v>
      </c>
      <c r="I747" s="106"/>
      <c r="K747" s="56">
        <v>223</v>
      </c>
      <c r="L747" s="55" t="s">
        <v>176</v>
      </c>
      <c r="M747" s="55" t="s">
        <v>2824</v>
      </c>
      <c r="N747" s="4" t="s">
        <v>177</v>
      </c>
      <c r="O747" s="55" t="s">
        <v>178</v>
      </c>
    </row>
    <row r="748" spans="2:15">
      <c r="B748" s="20">
        <v>44888</v>
      </c>
      <c r="C748" s="59">
        <v>50142551</v>
      </c>
      <c r="D748" s="55" t="s">
        <v>215</v>
      </c>
      <c r="E748" s="67">
        <v>25</v>
      </c>
      <c r="F748" s="67">
        <v>4</v>
      </c>
      <c r="G748" s="102">
        <v>150</v>
      </c>
      <c r="H748" s="56" t="s">
        <v>92</v>
      </c>
      <c r="I748" s="106"/>
      <c r="K748" s="56">
        <v>223</v>
      </c>
      <c r="L748" s="55" t="s">
        <v>176</v>
      </c>
      <c r="M748" s="55" t="s">
        <v>2824</v>
      </c>
      <c r="N748" s="4" t="s">
        <v>177</v>
      </c>
      <c r="O748" s="55" t="s">
        <v>178</v>
      </c>
    </row>
    <row r="749" spans="2:15">
      <c r="B749" s="20">
        <v>44888</v>
      </c>
      <c r="C749" s="59">
        <v>50507913</v>
      </c>
      <c r="D749" s="55" t="s">
        <v>407</v>
      </c>
      <c r="E749" s="67">
        <v>264000</v>
      </c>
      <c r="F749" s="67">
        <v>4</v>
      </c>
      <c r="G749" s="102">
        <v>977</v>
      </c>
      <c r="H749" s="56" t="s">
        <v>80</v>
      </c>
      <c r="I749" s="106"/>
      <c r="K749" s="56">
        <v>224</v>
      </c>
      <c r="L749" s="55" t="s">
        <v>176</v>
      </c>
      <c r="M749" s="55" t="s">
        <v>2824</v>
      </c>
      <c r="N749" s="4" t="s">
        <v>177</v>
      </c>
      <c r="O749" s="55" t="s">
        <v>178</v>
      </c>
    </row>
    <row r="750" spans="2:15">
      <c r="B750" s="20">
        <v>44888</v>
      </c>
      <c r="C750" s="59">
        <v>40011080</v>
      </c>
      <c r="D750" s="55" t="s">
        <v>420</v>
      </c>
      <c r="E750" s="67">
        <v>450</v>
      </c>
      <c r="F750" s="67">
        <v>10</v>
      </c>
      <c r="G750" s="102">
        <v>4500</v>
      </c>
      <c r="H750" s="56" t="s">
        <v>80</v>
      </c>
      <c r="I750" s="106"/>
      <c r="K750" s="56">
        <v>224</v>
      </c>
      <c r="L750" s="55" t="s">
        <v>176</v>
      </c>
      <c r="M750" s="55" t="s">
        <v>2824</v>
      </c>
      <c r="N750" s="4" t="s">
        <v>177</v>
      </c>
      <c r="O750" s="55" t="s">
        <v>178</v>
      </c>
    </row>
    <row r="751" spans="2:15">
      <c r="B751" s="20">
        <v>44888</v>
      </c>
      <c r="C751" s="59">
        <v>50142281</v>
      </c>
      <c r="D751" s="55" t="s">
        <v>204</v>
      </c>
      <c r="E751" s="67">
        <v>450</v>
      </c>
      <c r="F751" s="67">
        <v>2</v>
      </c>
      <c r="G751" s="102">
        <v>900</v>
      </c>
      <c r="H751" s="56" t="s">
        <v>82</v>
      </c>
      <c r="I751" s="106"/>
      <c r="K751" s="56">
        <v>224</v>
      </c>
      <c r="L751" s="55" t="s">
        <v>176</v>
      </c>
      <c r="M751" s="55" t="s">
        <v>2824</v>
      </c>
      <c r="N751" s="4" t="s">
        <v>177</v>
      </c>
      <c r="O751" s="55" t="s">
        <v>178</v>
      </c>
    </row>
    <row r="752" spans="2:15">
      <c r="B752" s="20">
        <v>44888</v>
      </c>
      <c r="C752" s="59">
        <v>40009546</v>
      </c>
      <c r="D752" s="55" t="s">
        <v>174</v>
      </c>
      <c r="E752" s="67">
        <v>756</v>
      </c>
      <c r="F752" s="67">
        <v>4</v>
      </c>
      <c r="G752" s="102">
        <v>3024</v>
      </c>
      <c r="H752" s="56" t="s">
        <v>80</v>
      </c>
      <c r="I752" s="106"/>
      <c r="K752" s="56">
        <v>224</v>
      </c>
      <c r="L752" s="55" t="s">
        <v>176</v>
      </c>
      <c r="M752" s="55" t="s">
        <v>2824</v>
      </c>
      <c r="N752" s="4" t="s">
        <v>177</v>
      </c>
      <c r="O752" s="55" t="s">
        <v>178</v>
      </c>
    </row>
    <row r="753" spans="2:15">
      <c r="B753" s="20">
        <v>44888</v>
      </c>
      <c r="C753" s="59">
        <v>50776524</v>
      </c>
      <c r="D753" s="55" t="s">
        <v>689</v>
      </c>
      <c r="E753" s="67">
        <v>302.45</v>
      </c>
      <c r="F753" s="67">
        <v>1</v>
      </c>
      <c r="G753" s="102">
        <v>302.45</v>
      </c>
      <c r="H753" s="56" t="s">
        <v>82</v>
      </c>
      <c r="I753" s="106"/>
      <c r="K753" s="56">
        <v>225</v>
      </c>
      <c r="M753" s="55" t="s">
        <v>326</v>
      </c>
      <c r="O753" s="55" t="s">
        <v>178</v>
      </c>
    </row>
    <row r="754" spans="2:15">
      <c r="B754" s="20">
        <v>44889</v>
      </c>
      <c r="C754" s="59">
        <v>50141786</v>
      </c>
      <c r="D754" s="55" t="s">
        <v>188</v>
      </c>
      <c r="E754" s="67">
        <v>560</v>
      </c>
      <c r="F754" s="67">
        <v>10</v>
      </c>
      <c r="G754" s="102">
        <v>5600</v>
      </c>
      <c r="H754" s="56" t="s">
        <v>82</v>
      </c>
      <c r="I754" s="106"/>
      <c r="K754" s="56">
        <v>226</v>
      </c>
      <c r="L754" s="55" t="s">
        <v>176</v>
      </c>
      <c r="M754" s="55" t="s">
        <v>2824</v>
      </c>
      <c r="N754" s="4" t="s">
        <v>177</v>
      </c>
      <c r="O754" s="55" t="s">
        <v>178</v>
      </c>
    </row>
    <row r="755" spans="2:15">
      <c r="B755" s="20">
        <v>44889</v>
      </c>
      <c r="C755" s="59">
        <v>50143646</v>
      </c>
      <c r="D755" s="55" t="s">
        <v>191</v>
      </c>
      <c r="E755" s="67">
        <v>480</v>
      </c>
      <c r="F755" s="67">
        <v>10</v>
      </c>
      <c r="G755" s="102">
        <v>4800</v>
      </c>
      <c r="H755" s="56" t="s">
        <v>82</v>
      </c>
      <c r="I755" s="106"/>
      <c r="K755" s="56">
        <v>226</v>
      </c>
      <c r="L755" s="55" t="s">
        <v>176</v>
      </c>
      <c r="M755" s="55" t="s">
        <v>2824</v>
      </c>
      <c r="N755" s="4" t="s">
        <v>177</v>
      </c>
      <c r="O755" s="55" t="s">
        <v>178</v>
      </c>
    </row>
    <row r="756" spans="2:15">
      <c r="B756" s="20">
        <v>44889</v>
      </c>
      <c r="C756" s="59">
        <v>50145028</v>
      </c>
      <c r="D756" s="55" t="s">
        <v>23</v>
      </c>
      <c r="E756" s="67">
        <v>192</v>
      </c>
      <c r="F756" s="67">
        <v>3</v>
      </c>
      <c r="G756" s="102">
        <v>576</v>
      </c>
      <c r="H756" s="56" t="s">
        <v>92</v>
      </c>
      <c r="I756" s="106"/>
      <c r="K756" s="56">
        <v>227</v>
      </c>
      <c r="L756" s="55" t="s">
        <v>416</v>
      </c>
      <c r="M756" s="55" t="s">
        <v>416</v>
      </c>
      <c r="N756" s="4" t="s">
        <v>417</v>
      </c>
      <c r="O756" s="55" t="s">
        <v>178</v>
      </c>
    </row>
    <row r="757" spans="2:15">
      <c r="B757" s="20">
        <v>44889</v>
      </c>
      <c r="C757" s="59">
        <v>50144376</v>
      </c>
      <c r="D757" s="55" t="s">
        <v>19</v>
      </c>
      <c r="E757" s="67">
        <v>500</v>
      </c>
      <c r="F757" s="67">
        <v>3</v>
      </c>
      <c r="G757" s="102">
        <v>1500</v>
      </c>
      <c r="H757" s="105" t="s">
        <v>92</v>
      </c>
      <c r="I757" s="106"/>
      <c r="K757" s="56">
        <v>227</v>
      </c>
      <c r="L757" s="55" t="s">
        <v>416</v>
      </c>
      <c r="M757" s="55" t="s">
        <v>416</v>
      </c>
      <c r="N757" s="4" t="s">
        <v>417</v>
      </c>
      <c r="O757" s="55" t="s">
        <v>178</v>
      </c>
    </row>
    <row r="758" spans="2:15">
      <c r="B758" s="20">
        <v>44889</v>
      </c>
      <c r="C758" s="59">
        <v>50144334</v>
      </c>
      <c r="D758" s="55" t="s">
        <v>426</v>
      </c>
      <c r="E758" s="67">
        <v>750</v>
      </c>
      <c r="F758" s="67">
        <v>1</v>
      </c>
      <c r="G758" s="102">
        <v>750</v>
      </c>
      <c r="H758" s="56" t="s">
        <v>82</v>
      </c>
      <c r="I758" s="106"/>
      <c r="K758" s="56">
        <v>227</v>
      </c>
      <c r="L758" s="55" t="s">
        <v>416</v>
      </c>
      <c r="M758" s="55" t="s">
        <v>416</v>
      </c>
      <c r="N758" s="4" t="s">
        <v>417</v>
      </c>
      <c r="O758" s="55" t="s">
        <v>178</v>
      </c>
    </row>
    <row r="759" spans="2:15">
      <c r="B759" s="20">
        <v>44890</v>
      </c>
      <c r="C759" s="59">
        <v>50144376</v>
      </c>
      <c r="D759" s="55" t="s">
        <v>19</v>
      </c>
      <c r="E759" s="67">
        <v>500</v>
      </c>
      <c r="F759" s="67">
        <v>2</v>
      </c>
      <c r="G759" s="102">
        <v>1000</v>
      </c>
      <c r="H759" s="105" t="s">
        <v>92</v>
      </c>
      <c r="I759" s="106"/>
      <c r="K759" s="56">
        <v>228</v>
      </c>
      <c r="L759" s="55" t="s">
        <v>176</v>
      </c>
      <c r="M759" s="55" t="s">
        <v>2824</v>
      </c>
      <c r="N759" s="4" t="s">
        <v>193</v>
      </c>
      <c r="O759" s="55" t="s">
        <v>178</v>
      </c>
    </row>
    <row r="760" spans="2:15">
      <c r="B760" s="20">
        <v>44890</v>
      </c>
      <c r="C760" s="59">
        <v>40011080</v>
      </c>
      <c r="D760" s="55" t="s">
        <v>420</v>
      </c>
      <c r="E760" s="67">
        <v>450</v>
      </c>
      <c r="F760" s="67">
        <v>5</v>
      </c>
      <c r="G760" s="102">
        <v>2250</v>
      </c>
      <c r="H760" s="56" t="s">
        <v>80</v>
      </c>
      <c r="I760" s="106"/>
      <c r="K760" s="56">
        <v>228</v>
      </c>
      <c r="L760" s="55" t="s">
        <v>176</v>
      </c>
      <c r="M760" s="55" t="s">
        <v>2824</v>
      </c>
      <c r="N760" s="4" t="s">
        <v>193</v>
      </c>
      <c r="O760" s="55" t="s">
        <v>178</v>
      </c>
    </row>
    <row r="761" spans="2:15">
      <c r="B761" s="20">
        <v>44890</v>
      </c>
      <c r="C761" s="59">
        <v>40011588</v>
      </c>
      <c r="D761" s="55" t="s">
        <v>585</v>
      </c>
      <c r="E761" s="67">
        <v>450</v>
      </c>
      <c r="F761" s="67">
        <v>4</v>
      </c>
      <c r="G761" s="102">
        <v>1800</v>
      </c>
      <c r="H761" s="56" t="s">
        <v>80</v>
      </c>
      <c r="I761" s="106"/>
      <c r="K761" s="56">
        <v>228</v>
      </c>
      <c r="L761" s="55" t="s">
        <v>176</v>
      </c>
      <c r="M761" s="55" t="s">
        <v>2824</v>
      </c>
      <c r="N761" s="4" t="s">
        <v>193</v>
      </c>
      <c r="O761" s="55" t="s">
        <v>178</v>
      </c>
    </row>
    <row r="762" spans="2:15">
      <c r="B762" s="20">
        <v>44890</v>
      </c>
      <c r="C762" s="59">
        <v>40011659</v>
      </c>
      <c r="D762" s="55" t="s">
        <v>89</v>
      </c>
      <c r="E762" s="67">
        <v>312</v>
      </c>
      <c r="F762" s="67">
        <v>2</v>
      </c>
      <c r="G762" s="102">
        <v>312</v>
      </c>
      <c r="H762" s="56" t="s">
        <v>80</v>
      </c>
      <c r="I762" s="106"/>
      <c r="K762" s="56">
        <v>228</v>
      </c>
      <c r="L762" s="55" t="s">
        <v>176</v>
      </c>
      <c r="M762" s="55" t="s">
        <v>2824</v>
      </c>
      <c r="N762" s="4" t="s">
        <v>193</v>
      </c>
      <c r="O762" s="55" t="s">
        <v>178</v>
      </c>
    </row>
    <row r="763" spans="2:15">
      <c r="B763" s="20">
        <v>44890</v>
      </c>
      <c r="C763" s="59">
        <v>40007941</v>
      </c>
      <c r="D763" s="55" t="s">
        <v>211</v>
      </c>
      <c r="E763" s="67">
        <v>756</v>
      </c>
      <c r="F763" s="67">
        <v>4</v>
      </c>
      <c r="G763" s="102">
        <v>3024</v>
      </c>
      <c r="H763" s="56" t="s">
        <v>80</v>
      </c>
      <c r="I763" s="106"/>
      <c r="K763" s="56">
        <v>228</v>
      </c>
      <c r="L763" s="55" t="s">
        <v>176</v>
      </c>
      <c r="M763" s="55" t="s">
        <v>2824</v>
      </c>
      <c r="N763" s="4" t="s">
        <v>193</v>
      </c>
      <c r="O763" s="55" t="s">
        <v>178</v>
      </c>
    </row>
    <row r="764" spans="2:15">
      <c r="B764" s="20">
        <v>44890</v>
      </c>
      <c r="C764" s="59">
        <v>50145028</v>
      </c>
      <c r="D764" s="55" t="s">
        <v>23</v>
      </c>
      <c r="E764" s="67">
        <v>192</v>
      </c>
      <c r="F764" s="67">
        <v>5</v>
      </c>
      <c r="G764" s="102">
        <v>960</v>
      </c>
      <c r="H764" s="56" t="s">
        <v>92</v>
      </c>
      <c r="I764" s="106"/>
      <c r="K764" s="56">
        <v>228</v>
      </c>
      <c r="L764" s="55" t="s">
        <v>176</v>
      </c>
      <c r="M764" s="55" t="s">
        <v>2824</v>
      </c>
      <c r="N764" s="4" t="s">
        <v>193</v>
      </c>
      <c r="O764" s="55" t="s">
        <v>178</v>
      </c>
    </row>
    <row r="765" spans="2:15">
      <c r="B765" s="20">
        <v>44891</v>
      </c>
      <c r="C765" s="59">
        <v>50142237</v>
      </c>
      <c r="D765" s="55" t="s">
        <v>617</v>
      </c>
      <c r="E765" s="67">
        <v>1000</v>
      </c>
      <c r="F765" s="67">
        <v>5</v>
      </c>
      <c r="G765" s="102">
        <v>5000</v>
      </c>
      <c r="H765" s="56" t="s">
        <v>92</v>
      </c>
      <c r="I765" s="106"/>
      <c r="K765" s="56">
        <v>229</v>
      </c>
      <c r="L765" s="55" t="s">
        <v>392</v>
      </c>
      <c r="M765" s="55" t="s">
        <v>2834</v>
      </c>
      <c r="N765" s="4" t="s">
        <v>2841</v>
      </c>
      <c r="O765" s="55" t="s">
        <v>178</v>
      </c>
    </row>
    <row r="766" spans="2:15">
      <c r="B766" s="20">
        <v>44893</v>
      </c>
      <c r="C766" s="59">
        <v>50272278</v>
      </c>
      <c r="D766" s="55" t="s">
        <v>21</v>
      </c>
      <c r="E766" s="67">
        <v>500</v>
      </c>
      <c r="F766" s="67">
        <v>10</v>
      </c>
      <c r="G766" s="102">
        <v>5000</v>
      </c>
      <c r="H766" s="56" t="s">
        <v>92</v>
      </c>
      <c r="I766" s="106"/>
      <c r="K766" s="56">
        <v>230</v>
      </c>
      <c r="L766" s="55" t="s">
        <v>176</v>
      </c>
      <c r="M766" s="55" t="s">
        <v>2824</v>
      </c>
      <c r="N766" s="4" t="s">
        <v>177</v>
      </c>
      <c r="O766" s="55" t="s">
        <v>178</v>
      </c>
    </row>
    <row r="767" spans="2:15">
      <c r="B767" s="20">
        <v>44893</v>
      </c>
      <c r="C767" s="59">
        <v>50142281</v>
      </c>
      <c r="D767" s="55" t="s">
        <v>204</v>
      </c>
      <c r="E767" s="67">
        <v>450</v>
      </c>
      <c r="F767" s="67">
        <v>5</v>
      </c>
      <c r="G767" s="102">
        <v>2250</v>
      </c>
      <c r="H767" s="56" t="s">
        <v>82</v>
      </c>
      <c r="I767" s="106"/>
      <c r="K767" s="56">
        <v>230</v>
      </c>
      <c r="L767" s="55" t="s">
        <v>176</v>
      </c>
      <c r="M767" s="55" t="s">
        <v>2824</v>
      </c>
      <c r="N767" s="4" t="s">
        <v>177</v>
      </c>
      <c r="O767" s="55" t="s">
        <v>178</v>
      </c>
    </row>
    <row r="768" spans="2:15">
      <c r="B768" s="20">
        <v>44893</v>
      </c>
      <c r="C768" s="59">
        <v>50141786</v>
      </c>
      <c r="D768" s="55" t="s">
        <v>188</v>
      </c>
      <c r="E768" s="67">
        <v>560</v>
      </c>
      <c r="F768" s="67">
        <v>5</v>
      </c>
      <c r="G768" s="102">
        <v>2800</v>
      </c>
      <c r="H768" s="56" t="s">
        <v>82</v>
      </c>
      <c r="I768" s="106"/>
      <c r="K768" s="56">
        <v>230</v>
      </c>
      <c r="L768" s="55" t="s">
        <v>176</v>
      </c>
      <c r="M768" s="55" t="s">
        <v>2824</v>
      </c>
      <c r="N768" s="4" t="s">
        <v>177</v>
      </c>
      <c r="O768" s="55" t="s">
        <v>178</v>
      </c>
    </row>
    <row r="769" spans="2:15">
      <c r="B769" s="20">
        <v>44893</v>
      </c>
      <c r="C769" s="59">
        <v>50142237</v>
      </c>
      <c r="D769" s="55" t="s">
        <v>617</v>
      </c>
      <c r="E769" s="67">
        <v>1000</v>
      </c>
      <c r="F769" s="67">
        <v>5</v>
      </c>
      <c r="G769" s="102">
        <v>5000</v>
      </c>
      <c r="H769" s="56" t="s">
        <v>92</v>
      </c>
      <c r="I769" s="106"/>
      <c r="K769" s="56">
        <v>231</v>
      </c>
      <c r="L769" s="55" t="s">
        <v>176</v>
      </c>
      <c r="M769" s="55" t="s">
        <v>2824</v>
      </c>
      <c r="N769" s="4" t="s">
        <v>177</v>
      </c>
      <c r="O769" s="55" t="s">
        <v>178</v>
      </c>
    </row>
    <row r="770" spans="2:15">
      <c r="B770" s="20">
        <v>44893</v>
      </c>
      <c r="C770" s="59">
        <v>50470190</v>
      </c>
      <c r="D770" s="55" t="s">
        <v>12</v>
      </c>
      <c r="E770" s="67">
        <v>289800</v>
      </c>
      <c r="F770" s="67">
        <v>16</v>
      </c>
      <c r="G770" s="102">
        <v>4636800</v>
      </c>
      <c r="H770" s="56" t="s">
        <v>92</v>
      </c>
      <c r="I770" s="106"/>
      <c r="K770" s="56">
        <v>231</v>
      </c>
      <c r="L770" s="55" t="s">
        <v>176</v>
      </c>
      <c r="M770" s="55" t="s">
        <v>2824</v>
      </c>
      <c r="N770" s="4" t="s">
        <v>177</v>
      </c>
      <c r="O770" s="55" t="s">
        <v>178</v>
      </c>
    </row>
    <row r="771" spans="2:15">
      <c r="B771" s="20">
        <v>44893</v>
      </c>
      <c r="C771" s="59">
        <v>50141786</v>
      </c>
      <c r="D771" s="55" t="s">
        <v>188</v>
      </c>
      <c r="E771" s="67">
        <v>560</v>
      </c>
      <c r="F771" s="67">
        <v>20</v>
      </c>
      <c r="G771" s="102">
        <v>11200</v>
      </c>
      <c r="H771" s="56" t="s">
        <v>82</v>
      </c>
      <c r="I771" s="106"/>
      <c r="K771" s="56">
        <v>232</v>
      </c>
      <c r="L771" s="55" t="s">
        <v>176</v>
      </c>
      <c r="M771" s="55" t="s">
        <v>2824</v>
      </c>
      <c r="N771" s="4" t="s">
        <v>177</v>
      </c>
      <c r="O771" s="55" t="s">
        <v>178</v>
      </c>
    </row>
    <row r="772" spans="2:15">
      <c r="B772" s="20">
        <v>44894</v>
      </c>
      <c r="C772" s="59">
        <v>50272278</v>
      </c>
      <c r="D772" s="55" t="s">
        <v>21</v>
      </c>
      <c r="E772" s="67">
        <v>500</v>
      </c>
      <c r="F772" s="67">
        <v>14</v>
      </c>
      <c r="G772" s="102">
        <v>7000</v>
      </c>
      <c r="H772" s="56" t="s">
        <v>92</v>
      </c>
      <c r="I772" s="106"/>
      <c r="K772" s="56">
        <v>233</v>
      </c>
      <c r="L772" s="55" t="s">
        <v>176</v>
      </c>
      <c r="M772" s="55" t="s">
        <v>2824</v>
      </c>
      <c r="N772" s="4" t="s">
        <v>177</v>
      </c>
      <c r="O772" s="55" t="s">
        <v>178</v>
      </c>
    </row>
    <row r="773" spans="2:15">
      <c r="B773" s="20">
        <v>44894</v>
      </c>
      <c r="C773" s="59">
        <v>40011080</v>
      </c>
      <c r="D773" s="55" t="s">
        <v>420</v>
      </c>
      <c r="E773" s="67">
        <v>450</v>
      </c>
      <c r="F773" s="67">
        <v>5</v>
      </c>
      <c r="G773" s="102">
        <v>1915.2</v>
      </c>
      <c r="H773" s="56" t="s">
        <v>80</v>
      </c>
      <c r="I773" s="106"/>
      <c r="K773" s="56">
        <v>233</v>
      </c>
      <c r="L773" s="55" t="s">
        <v>176</v>
      </c>
      <c r="M773" s="55" t="s">
        <v>2824</v>
      </c>
      <c r="N773" s="4" t="s">
        <v>177</v>
      </c>
      <c r="O773" s="55" t="s">
        <v>178</v>
      </c>
    </row>
    <row r="774" spans="2:15">
      <c r="B774" s="20">
        <v>44894</v>
      </c>
      <c r="C774" s="59">
        <v>50761569</v>
      </c>
      <c r="D774" s="55" t="s">
        <v>609</v>
      </c>
      <c r="E774" s="67">
        <v>727.7</v>
      </c>
      <c r="F774" s="67">
        <v>1</v>
      </c>
      <c r="G774" s="102">
        <v>727.7</v>
      </c>
      <c r="H774" s="56" t="s">
        <v>82</v>
      </c>
      <c r="I774" s="106"/>
      <c r="K774" s="56">
        <v>233</v>
      </c>
      <c r="L774" s="55" t="s">
        <v>176</v>
      </c>
      <c r="M774" s="55" t="s">
        <v>2824</v>
      </c>
      <c r="N774" s="4" t="s">
        <v>177</v>
      </c>
      <c r="O774" s="55" t="s">
        <v>178</v>
      </c>
    </row>
    <row r="775" spans="2:15">
      <c r="B775" s="20">
        <v>44894</v>
      </c>
      <c r="C775" s="59">
        <v>50272278</v>
      </c>
      <c r="D775" s="55" t="s">
        <v>21</v>
      </c>
      <c r="E775" s="67">
        <v>500</v>
      </c>
      <c r="F775" s="67">
        <v>19</v>
      </c>
      <c r="G775" s="102">
        <v>9500</v>
      </c>
      <c r="H775" s="56" t="s">
        <v>92</v>
      </c>
      <c r="I775" s="106"/>
      <c r="K775" s="56">
        <v>234</v>
      </c>
      <c r="L775" s="55" t="s">
        <v>176</v>
      </c>
      <c r="M775" s="55" t="s">
        <v>2824</v>
      </c>
      <c r="N775" s="4" t="s">
        <v>177</v>
      </c>
      <c r="O775" s="55" t="s">
        <v>178</v>
      </c>
    </row>
    <row r="776" spans="2:15">
      <c r="B776" s="20">
        <v>44894</v>
      </c>
      <c r="C776" s="59">
        <v>50142330</v>
      </c>
      <c r="D776" s="55" t="s">
        <v>195</v>
      </c>
      <c r="E776" s="67">
        <v>359.28</v>
      </c>
      <c r="F776" s="67">
        <v>4</v>
      </c>
      <c r="G776" s="102">
        <v>1437.12</v>
      </c>
      <c r="H776" s="56" t="s">
        <v>82</v>
      </c>
      <c r="I776" s="106"/>
      <c r="K776" s="56">
        <v>235</v>
      </c>
      <c r="L776" s="55" t="s">
        <v>176</v>
      </c>
      <c r="M776" s="55" t="s">
        <v>2824</v>
      </c>
      <c r="N776" s="4" t="s">
        <v>177</v>
      </c>
      <c r="O776" s="55" t="s">
        <v>178</v>
      </c>
    </row>
    <row r="777" spans="2:15">
      <c r="B777" s="20">
        <v>44894</v>
      </c>
      <c r="C777" s="59">
        <v>50142327</v>
      </c>
      <c r="D777" s="55" t="s">
        <v>256</v>
      </c>
      <c r="E777" s="67">
        <v>681</v>
      </c>
      <c r="F777" s="67">
        <v>8</v>
      </c>
      <c r="G777" s="102">
        <v>5448</v>
      </c>
      <c r="H777" s="56" t="s">
        <v>82</v>
      </c>
      <c r="I777" s="106"/>
      <c r="K777" s="56">
        <v>235</v>
      </c>
      <c r="L777" s="55" t="s">
        <v>176</v>
      </c>
      <c r="M777" s="55" t="s">
        <v>2824</v>
      </c>
      <c r="N777" s="4" t="s">
        <v>177</v>
      </c>
      <c r="O777" s="55" t="s">
        <v>178</v>
      </c>
    </row>
    <row r="778" spans="2:15">
      <c r="B778" s="20">
        <v>44894</v>
      </c>
      <c r="C778" s="59">
        <v>50142334</v>
      </c>
      <c r="D778" s="55" t="s">
        <v>257</v>
      </c>
      <c r="E778" s="67">
        <v>681</v>
      </c>
      <c r="F778" s="67">
        <v>6</v>
      </c>
      <c r="G778" s="102">
        <v>4086</v>
      </c>
      <c r="H778" s="56" t="s">
        <v>82</v>
      </c>
      <c r="I778" s="106"/>
      <c r="K778" s="56">
        <v>235</v>
      </c>
      <c r="L778" s="55" t="s">
        <v>176</v>
      </c>
      <c r="M778" s="55" t="s">
        <v>2824</v>
      </c>
      <c r="N778" s="4" t="s">
        <v>177</v>
      </c>
      <c r="O778" s="55" t="s">
        <v>178</v>
      </c>
    </row>
    <row r="779" spans="2:15">
      <c r="B779" s="20">
        <v>44895</v>
      </c>
      <c r="C779" s="59">
        <v>40010087</v>
      </c>
      <c r="D779" s="55" t="s">
        <v>387</v>
      </c>
      <c r="E779" s="67">
        <v>756</v>
      </c>
      <c r="F779" s="67">
        <v>3</v>
      </c>
      <c r="G779" s="102">
        <v>2268</v>
      </c>
      <c r="H779" s="56" t="s">
        <v>80</v>
      </c>
      <c r="I779" s="106"/>
      <c r="K779" s="56">
        <v>236</v>
      </c>
      <c r="L779" s="55" t="s">
        <v>176</v>
      </c>
      <c r="M779" s="55" t="s">
        <v>2824</v>
      </c>
      <c r="N779" s="4" t="s">
        <v>193</v>
      </c>
      <c r="O779" s="55" t="s">
        <v>178</v>
      </c>
    </row>
    <row r="780" spans="2:15">
      <c r="B780" s="20">
        <v>44895</v>
      </c>
      <c r="C780" s="59">
        <v>40009546</v>
      </c>
      <c r="D780" s="55" t="s">
        <v>174</v>
      </c>
      <c r="E780" s="67">
        <v>756</v>
      </c>
      <c r="F780" s="67">
        <v>5</v>
      </c>
      <c r="G780" s="102">
        <v>3780</v>
      </c>
      <c r="H780" s="56" t="s">
        <v>80</v>
      </c>
      <c r="I780" s="106"/>
      <c r="K780" s="56">
        <v>236</v>
      </c>
      <c r="L780" s="55" t="s">
        <v>176</v>
      </c>
      <c r="M780" s="55" t="s">
        <v>2824</v>
      </c>
      <c r="N780" s="4" t="s">
        <v>193</v>
      </c>
      <c r="O780" s="55" t="s">
        <v>178</v>
      </c>
    </row>
    <row r="781" spans="2:15">
      <c r="B781" s="20">
        <v>44895</v>
      </c>
      <c r="C781" s="59">
        <v>50272278</v>
      </c>
      <c r="D781" s="55" t="s">
        <v>21</v>
      </c>
      <c r="E781" s="67">
        <v>500</v>
      </c>
      <c r="F781" s="67">
        <v>10</v>
      </c>
      <c r="G781" s="102">
        <v>5000</v>
      </c>
      <c r="H781" s="56" t="s">
        <v>92</v>
      </c>
      <c r="I781" s="106"/>
      <c r="K781" s="56">
        <v>236</v>
      </c>
      <c r="L781" s="55" t="s">
        <v>176</v>
      </c>
      <c r="M781" s="55" t="s">
        <v>2824</v>
      </c>
      <c r="N781" s="4" t="s">
        <v>193</v>
      </c>
      <c r="O781" s="55" t="s">
        <v>178</v>
      </c>
    </row>
    <row r="782" spans="2:15">
      <c r="B782" s="20">
        <v>44895</v>
      </c>
      <c r="C782" s="59">
        <v>40011588</v>
      </c>
      <c r="D782" s="55" t="s">
        <v>585</v>
      </c>
      <c r="E782" s="67">
        <v>450</v>
      </c>
      <c r="F782" s="67">
        <v>4</v>
      </c>
      <c r="G782" s="102">
        <v>1470</v>
      </c>
      <c r="H782" s="56" t="s">
        <v>80</v>
      </c>
      <c r="I782" s="106"/>
      <c r="K782" s="56">
        <v>236</v>
      </c>
      <c r="L782" s="55" t="s">
        <v>176</v>
      </c>
      <c r="M782" s="55" t="s">
        <v>2824</v>
      </c>
      <c r="N782" s="4" t="s">
        <v>193</v>
      </c>
      <c r="O782" s="55" t="s">
        <v>178</v>
      </c>
    </row>
    <row r="783" spans="2:15">
      <c r="B783" s="20">
        <v>44895</v>
      </c>
      <c r="C783" s="59">
        <v>50470190</v>
      </c>
      <c r="D783" s="55" t="s">
        <v>12</v>
      </c>
      <c r="E783" s="67">
        <v>450</v>
      </c>
      <c r="F783" s="67">
        <v>18</v>
      </c>
      <c r="G783" s="102">
        <v>5216400</v>
      </c>
      <c r="H783" s="56" t="s">
        <v>92</v>
      </c>
      <c r="I783" s="106"/>
      <c r="K783" s="56">
        <v>237</v>
      </c>
      <c r="L783" s="55" t="s">
        <v>176</v>
      </c>
      <c r="M783" s="55" t="s">
        <v>2824</v>
      </c>
      <c r="N783" s="4" t="s">
        <v>193</v>
      </c>
      <c r="O783" s="55" t="s">
        <v>178</v>
      </c>
    </row>
    <row r="784" spans="2:15">
      <c r="B784" s="20">
        <v>44895</v>
      </c>
      <c r="C784" s="59">
        <v>50144376</v>
      </c>
      <c r="D784" s="55" t="s">
        <v>19</v>
      </c>
      <c r="E784" s="67">
        <v>500</v>
      </c>
      <c r="F784" s="67">
        <v>10</v>
      </c>
      <c r="G784" s="102">
        <v>5000</v>
      </c>
      <c r="H784" s="105" t="s">
        <v>92</v>
      </c>
      <c r="I784" s="106"/>
      <c r="K784" s="56">
        <v>238</v>
      </c>
      <c r="M784" s="55" t="s">
        <v>326</v>
      </c>
      <c r="O784" s="55" t="s">
        <v>178</v>
      </c>
    </row>
    <row r="785" spans="2:15">
      <c r="B785" s="20">
        <v>44896</v>
      </c>
      <c r="C785" s="59">
        <v>50141786</v>
      </c>
      <c r="D785" s="55" t="s">
        <v>188</v>
      </c>
      <c r="E785" s="67">
        <v>560</v>
      </c>
      <c r="F785" s="67">
        <v>22</v>
      </c>
      <c r="G785" s="102">
        <v>12320</v>
      </c>
      <c r="H785" s="56" t="s">
        <v>82</v>
      </c>
      <c r="I785" s="106"/>
      <c r="K785" s="56">
        <v>240</v>
      </c>
      <c r="L785" s="55" t="s">
        <v>176</v>
      </c>
      <c r="M785" s="55" t="s">
        <v>2824</v>
      </c>
      <c r="N785" s="4" t="s">
        <v>193</v>
      </c>
      <c r="O785" s="55" t="s">
        <v>178</v>
      </c>
    </row>
    <row r="786" spans="2:15">
      <c r="B786" s="20">
        <v>44896</v>
      </c>
      <c r="C786" s="59">
        <v>50010080</v>
      </c>
      <c r="D786" s="55" t="s">
        <v>354</v>
      </c>
      <c r="E786" s="67">
        <v>1000</v>
      </c>
      <c r="F786" s="67">
        <v>5</v>
      </c>
      <c r="G786" s="102">
        <v>5000</v>
      </c>
      <c r="H786" s="56" t="s">
        <v>82</v>
      </c>
      <c r="I786" s="106"/>
      <c r="K786" s="56">
        <v>241</v>
      </c>
      <c r="L786" s="55" t="s">
        <v>176</v>
      </c>
      <c r="M786" s="55" t="s">
        <v>2824</v>
      </c>
      <c r="N786" s="4" t="s">
        <v>193</v>
      </c>
      <c r="O786" s="55" t="s">
        <v>178</v>
      </c>
    </row>
    <row r="787" spans="2:15">
      <c r="B787" s="20">
        <v>44896</v>
      </c>
      <c r="C787" s="59">
        <v>40011081</v>
      </c>
      <c r="D787" s="55" t="s">
        <v>646</v>
      </c>
      <c r="E787" s="67">
        <v>360</v>
      </c>
      <c r="F787" s="67">
        <v>2</v>
      </c>
      <c r="G787" s="102">
        <v>720</v>
      </c>
      <c r="H787" s="56" t="s">
        <v>80</v>
      </c>
      <c r="I787" s="106"/>
      <c r="K787" s="56">
        <v>241</v>
      </c>
      <c r="L787" s="55" t="s">
        <v>176</v>
      </c>
      <c r="M787" s="55" t="s">
        <v>2824</v>
      </c>
      <c r="N787" s="4" t="s">
        <v>193</v>
      </c>
      <c r="O787" s="55" t="s">
        <v>178</v>
      </c>
    </row>
    <row r="788" spans="2:15">
      <c r="B788" s="20">
        <v>44896</v>
      </c>
      <c r="C788" s="59">
        <v>40011149</v>
      </c>
      <c r="D788" s="55" t="s">
        <v>37</v>
      </c>
      <c r="E788" s="67">
        <v>360</v>
      </c>
      <c r="F788" s="67">
        <v>2</v>
      </c>
      <c r="G788" s="102">
        <v>720</v>
      </c>
      <c r="H788" s="56" t="s">
        <v>80</v>
      </c>
      <c r="I788" s="106"/>
      <c r="K788" s="56">
        <v>241</v>
      </c>
      <c r="L788" s="55" t="s">
        <v>176</v>
      </c>
      <c r="M788" s="55" t="s">
        <v>2824</v>
      </c>
      <c r="N788" s="4" t="s">
        <v>193</v>
      </c>
      <c r="O788" s="55" t="s">
        <v>178</v>
      </c>
    </row>
    <row r="789" spans="2:15">
      <c r="B789" s="20">
        <v>44896</v>
      </c>
      <c r="C789" s="59">
        <v>40009544</v>
      </c>
      <c r="D789" s="55" t="s">
        <v>179</v>
      </c>
      <c r="E789" s="67">
        <v>2940</v>
      </c>
      <c r="F789" s="67">
        <v>3</v>
      </c>
      <c r="G789" s="102">
        <v>8820</v>
      </c>
      <c r="H789" s="56" t="s">
        <v>80</v>
      </c>
      <c r="I789" s="106"/>
      <c r="K789" s="56">
        <v>241</v>
      </c>
      <c r="L789" s="55" t="s">
        <v>176</v>
      </c>
      <c r="M789" s="55" t="s">
        <v>2824</v>
      </c>
      <c r="N789" s="4" t="s">
        <v>193</v>
      </c>
      <c r="O789" s="55" t="s">
        <v>178</v>
      </c>
    </row>
    <row r="790" spans="2:15">
      <c r="B790" s="20">
        <v>44896</v>
      </c>
      <c r="C790" s="59">
        <v>50142551</v>
      </c>
      <c r="D790" s="55" t="s">
        <v>215</v>
      </c>
      <c r="E790" s="67">
        <v>25</v>
      </c>
      <c r="F790" s="67">
        <v>4</v>
      </c>
      <c r="G790" s="102">
        <v>100</v>
      </c>
      <c r="H790" s="56" t="s">
        <v>92</v>
      </c>
      <c r="I790" s="106"/>
      <c r="K790" s="56">
        <v>241</v>
      </c>
      <c r="L790" s="55" t="s">
        <v>176</v>
      </c>
      <c r="M790" s="55" t="s">
        <v>2824</v>
      </c>
      <c r="N790" s="4" t="s">
        <v>193</v>
      </c>
      <c r="O790" s="55" t="s">
        <v>178</v>
      </c>
    </row>
    <row r="791" spans="2:15">
      <c r="B791" s="20">
        <v>44896</v>
      </c>
      <c r="C791" s="59">
        <v>40011661</v>
      </c>
      <c r="D791" s="55" t="s">
        <v>608</v>
      </c>
      <c r="E791" s="67">
        <v>450</v>
      </c>
      <c r="F791" s="67">
        <v>1</v>
      </c>
      <c r="G791" s="102">
        <v>450</v>
      </c>
      <c r="H791" s="56" t="s">
        <v>80</v>
      </c>
      <c r="I791" s="106"/>
      <c r="K791" s="56">
        <v>241</v>
      </c>
      <c r="L791" s="55" t="s">
        <v>176</v>
      </c>
      <c r="M791" s="55" t="s">
        <v>2824</v>
      </c>
      <c r="N791" s="4" t="s">
        <v>193</v>
      </c>
      <c r="O791" s="55" t="s">
        <v>178</v>
      </c>
    </row>
    <row r="792" spans="2:15">
      <c r="B792" s="20">
        <v>44896</v>
      </c>
      <c r="C792" s="59">
        <v>40009546</v>
      </c>
      <c r="D792" s="55" t="s">
        <v>174</v>
      </c>
      <c r="E792" s="67">
        <v>7560</v>
      </c>
      <c r="F792" s="67">
        <v>2</v>
      </c>
      <c r="G792" s="102">
        <v>1512</v>
      </c>
      <c r="H792" s="56" t="s">
        <v>80</v>
      </c>
      <c r="I792" s="106"/>
      <c r="K792" s="56">
        <v>241</v>
      </c>
      <c r="L792" s="55" t="s">
        <v>176</v>
      </c>
      <c r="M792" s="55" t="s">
        <v>2824</v>
      </c>
      <c r="N792" s="4" t="s">
        <v>193</v>
      </c>
      <c r="O792" s="55" t="s">
        <v>178</v>
      </c>
    </row>
    <row r="793" spans="2:15">
      <c r="B793" s="20">
        <v>44896</v>
      </c>
      <c r="C793" s="59">
        <v>50272278</v>
      </c>
      <c r="D793" s="55" t="s">
        <v>21</v>
      </c>
      <c r="E793" s="67">
        <v>500</v>
      </c>
      <c r="F793" s="67">
        <v>2</v>
      </c>
      <c r="G793" s="102">
        <v>1000</v>
      </c>
      <c r="H793" s="56" t="s">
        <v>92</v>
      </c>
      <c r="I793" s="106"/>
      <c r="K793" s="56">
        <v>241</v>
      </c>
      <c r="L793" s="55" t="s">
        <v>176</v>
      </c>
      <c r="M793" s="55" t="s">
        <v>2824</v>
      </c>
      <c r="N793" s="4" t="s">
        <v>193</v>
      </c>
      <c r="O793" s="55" t="s">
        <v>178</v>
      </c>
    </row>
    <row r="794" spans="2:15">
      <c r="B794" s="20">
        <v>44897</v>
      </c>
      <c r="C794" s="59">
        <v>50142237</v>
      </c>
      <c r="D794" s="55" t="s">
        <v>617</v>
      </c>
      <c r="E794" s="67">
        <v>1000</v>
      </c>
      <c r="F794" s="67">
        <v>15</v>
      </c>
      <c r="G794" s="102">
        <v>15000</v>
      </c>
      <c r="H794" s="56" t="s">
        <v>92</v>
      </c>
      <c r="I794" s="106"/>
      <c r="K794" s="56">
        <v>242</v>
      </c>
      <c r="L794" s="55" t="s">
        <v>176</v>
      </c>
      <c r="M794" s="55" t="s">
        <v>2824</v>
      </c>
      <c r="N794" s="4" t="s">
        <v>193</v>
      </c>
      <c r="O794" s="55" t="s">
        <v>178</v>
      </c>
    </row>
    <row r="795" spans="2:15">
      <c r="B795" s="20">
        <v>44897</v>
      </c>
      <c r="C795" s="59">
        <v>40011133</v>
      </c>
      <c r="D795" s="55" t="s">
        <v>634</v>
      </c>
      <c r="E795" s="67">
        <v>756</v>
      </c>
      <c r="F795" s="67">
        <v>5</v>
      </c>
      <c r="G795" s="102">
        <v>3024</v>
      </c>
      <c r="H795" s="56" t="s">
        <v>80</v>
      </c>
      <c r="I795" s="106"/>
      <c r="K795" s="56">
        <v>242</v>
      </c>
      <c r="L795" s="55" t="s">
        <v>176</v>
      </c>
      <c r="M795" s="55" t="s">
        <v>2824</v>
      </c>
      <c r="N795" s="4" t="s">
        <v>193</v>
      </c>
      <c r="O795" s="55" t="s">
        <v>178</v>
      </c>
    </row>
    <row r="796" spans="2:15">
      <c r="B796" s="20">
        <v>44897</v>
      </c>
      <c r="C796" s="59">
        <v>50510331</v>
      </c>
      <c r="D796" s="55" t="s">
        <v>242</v>
      </c>
      <c r="E796" s="67">
        <v>186</v>
      </c>
      <c r="F796" s="67">
        <v>4</v>
      </c>
      <c r="G796" s="102">
        <v>1867.4</v>
      </c>
      <c r="H796" s="56" t="s">
        <v>82</v>
      </c>
      <c r="I796" s="106"/>
      <c r="K796" s="56">
        <v>242</v>
      </c>
      <c r="L796" s="55" t="s">
        <v>176</v>
      </c>
      <c r="M796" s="55" t="s">
        <v>2824</v>
      </c>
      <c r="N796" s="4" t="s">
        <v>193</v>
      </c>
      <c r="O796" s="55" t="s">
        <v>178</v>
      </c>
    </row>
    <row r="797" spans="2:15">
      <c r="B797" s="20">
        <v>44897</v>
      </c>
      <c r="C797" s="59">
        <v>40011129</v>
      </c>
      <c r="D797" s="55" t="s">
        <v>79</v>
      </c>
      <c r="E797" s="67">
        <v>3540</v>
      </c>
      <c r="F797" s="67">
        <v>2</v>
      </c>
      <c r="G797" s="102">
        <v>7056</v>
      </c>
      <c r="H797" s="56" t="s">
        <v>80</v>
      </c>
      <c r="I797" s="106"/>
      <c r="K797" s="56">
        <v>242</v>
      </c>
      <c r="L797" s="55" t="s">
        <v>176</v>
      </c>
      <c r="M797" s="55" t="s">
        <v>2824</v>
      </c>
      <c r="N797" s="4" t="s">
        <v>193</v>
      </c>
      <c r="O797" s="55" t="s">
        <v>178</v>
      </c>
    </row>
    <row r="798" spans="2:15">
      <c r="B798" s="20">
        <v>44897</v>
      </c>
      <c r="C798" s="59">
        <v>40010087</v>
      </c>
      <c r="D798" s="55" t="s">
        <v>387</v>
      </c>
      <c r="E798" s="67">
        <v>756</v>
      </c>
      <c r="F798" s="67">
        <v>4</v>
      </c>
      <c r="G798" s="102">
        <v>3024</v>
      </c>
      <c r="H798" s="56" t="s">
        <v>80</v>
      </c>
      <c r="I798" s="106"/>
      <c r="K798" s="56">
        <v>242</v>
      </c>
      <c r="L798" s="55" t="s">
        <v>176</v>
      </c>
      <c r="M798" s="55" t="s">
        <v>2824</v>
      </c>
      <c r="N798" s="4" t="s">
        <v>193</v>
      </c>
      <c r="O798" s="55" t="s">
        <v>178</v>
      </c>
    </row>
    <row r="799" spans="2:15">
      <c r="B799" s="20">
        <v>44897</v>
      </c>
      <c r="C799" s="108">
        <v>50522168</v>
      </c>
      <c r="D799" s="55" t="s">
        <v>252</v>
      </c>
      <c r="E799" s="67">
        <v>562</v>
      </c>
      <c r="F799" s="67">
        <v>2</v>
      </c>
      <c r="G799" s="102">
        <v>1085.4</v>
      </c>
      <c r="H799" s="56" t="s">
        <v>82</v>
      </c>
      <c r="I799" s="106"/>
      <c r="K799" s="56">
        <v>242</v>
      </c>
      <c r="L799" s="55" t="s">
        <v>176</v>
      </c>
      <c r="M799" s="55" t="s">
        <v>2824</v>
      </c>
      <c r="N799" s="4" t="s">
        <v>193</v>
      </c>
      <c r="O799" s="55" t="s">
        <v>178</v>
      </c>
    </row>
    <row r="800" spans="2:15">
      <c r="B800" s="20">
        <v>44897</v>
      </c>
      <c r="C800" s="59">
        <v>40009546</v>
      </c>
      <c r="D800" s="55" t="s">
        <v>174</v>
      </c>
      <c r="E800" s="67">
        <v>756</v>
      </c>
      <c r="F800" s="67">
        <v>5</v>
      </c>
      <c r="G800" s="102">
        <v>3780</v>
      </c>
      <c r="H800" s="56" t="s">
        <v>80</v>
      </c>
      <c r="I800" s="106"/>
      <c r="K800" s="56">
        <v>242</v>
      </c>
      <c r="L800" s="55" t="s">
        <v>176</v>
      </c>
      <c r="M800" s="55" t="s">
        <v>2824</v>
      </c>
      <c r="N800" s="4" t="s">
        <v>193</v>
      </c>
      <c r="O800" s="55" t="s">
        <v>178</v>
      </c>
    </row>
    <row r="801" spans="2:15">
      <c r="B801" s="20">
        <v>44897</v>
      </c>
      <c r="C801" s="59">
        <v>50142350</v>
      </c>
      <c r="D801" s="55" t="s">
        <v>212</v>
      </c>
      <c r="E801" s="67">
        <v>45.2</v>
      </c>
      <c r="F801" s="67">
        <v>1</v>
      </c>
      <c r="G801" s="102">
        <v>45.2</v>
      </c>
      <c r="H801" s="56" t="s">
        <v>82</v>
      </c>
      <c r="I801" s="106"/>
      <c r="K801" s="56">
        <v>243</v>
      </c>
      <c r="L801" s="55" t="s">
        <v>176</v>
      </c>
      <c r="M801" s="55" t="s">
        <v>2824</v>
      </c>
      <c r="N801" s="4" t="s">
        <v>193</v>
      </c>
      <c r="O801" s="55" t="s">
        <v>178</v>
      </c>
    </row>
    <row r="802" spans="2:15">
      <c r="B802" s="20">
        <v>44897</v>
      </c>
      <c r="C802" s="59">
        <v>50142327</v>
      </c>
      <c r="D802" s="55" t="s">
        <v>256</v>
      </c>
      <c r="E802" s="67">
        <v>22.7</v>
      </c>
      <c r="F802" s="67">
        <v>1</v>
      </c>
      <c r="G802" s="102">
        <v>136.2</v>
      </c>
      <c r="H802" s="56" t="s">
        <v>82</v>
      </c>
      <c r="I802" s="106"/>
      <c r="K802" s="56">
        <v>243</v>
      </c>
      <c r="L802" s="55" t="s">
        <v>176</v>
      </c>
      <c r="M802" s="55" t="s">
        <v>2824</v>
      </c>
      <c r="N802" s="4" t="s">
        <v>193</v>
      </c>
      <c r="O802" s="55" t="s">
        <v>178</v>
      </c>
    </row>
    <row r="803" spans="2:15">
      <c r="B803" s="20">
        <v>44897</v>
      </c>
      <c r="C803" s="59">
        <v>50142334</v>
      </c>
      <c r="D803" s="55" t="s">
        <v>257</v>
      </c>
      <c r="E803" s="67">
        <v>22.7</v>
      </c>
      <c r="F803" s="67">
        <v>14</v>
      </c>
      <c r="G803" s="102">
        <v>340.5</v>
      </c>
      <c r="H803" s="56" t="s">
        <v>82</v>
      </c>
      <c r="I803" s="106"/>
      <c r="K803" s="56">
        <v>243</v>
      </c>
      <c r="L803" s="55" t="s">
        <v>176</v>
      </c>
      <c r="M803" s="55" t="s">
        <v>2824</v>
      </c>
      <c r="N803" s="4" t="s">
        <v>193</v>
      </c>
      <c r="O803" s="55" t="s">
        <v>178</v>
      </c>
    </row>
    <row r="804" spans="2:15">
      <c r="B804" s="20">
        <v>44897</v>
      </c>
      <c r="C804" s="59">
        <v>40499</v>
      </c>
      <c r="D804" s="55" t="s">
        <v>316</v>
      </c>
      <c r="E804" s="67">
        <v>16</v>
      </c>
      <c r="F804" s="67">
        <v>16</v>
      </c>
      <c r="G804" s="102">
        <v>16</v>
      </c>
      <c r="H804" s="56" t="s">
        <v>92</v>
      </c>
      <c r="I804" s="106"/>
      <c r="K804" s="56">
        <v>243</v>
      </c>
      <c r="L804" s="55" t="s">
        <v>176</v>
      </c>
      <c r="M804" s="55" t="s">
        <v>2824</v>
      </c>
      <c r="N804" s="4" t="s">
        <v>193</v>
      </c>
      <c r="O804" s="55" t="s">
        <v>178</v>
      </c>
    </row>
    <row r="805" spans="2:15">
      <c r="B805" s="20">
        <v>44897</v>
      </c>
      <c r="C805" s="59">
        <v>50470190</v>
      </c>
      <c r="D805" s="55" t="s">
        <v>12</v>
      </c>
      <c r="E805" s="67">
        <v>289800</v>
      </c>
      <c r="F805" s="67">
        <v>4</v>
      </c>
      <c r="G805" s="102">
        <v>1159200</v>
      </c>
      <c r="H805" s="56" t="s">
        <v>92</v>
      </c>
      <c r="I805" s="106"/>
      <c r="K805" s="56">
        <v>243</v>
      </c>
      <c r="L805" s="55" t="s">
        <v>176</v>
      </c>
      <c r="M805" s="55" t="s">
        <v>2824</v>
      </c>
      <c r="N805" s="4" t="s">
        <v>193</v>
      </c>
      <c r="O805" s="55" t="s">
        <v>178</v>
      </c>
    </row>
    <row r="806" spans="2:15">
      <c r="B806" s="20">
        <v>44900</v>
      </c>
      <c r="C806" s="59">
        <v>50272278</v>
      </c>
      <c r="D806" s="55" t="s">
        <v>21</v>
      </c>
      <c r="E806" s="67">
        <v>500</v>
      </c>
      <c r="F806" s="67">
        <v>22</v>
      </c>
      <c r="G806" s="102">
        <v>11000</v>
      </c>
      <c r="H806" s="56" t="s">
        <v>92</v>
      </c>
      <c r="I806" s="106"/>
      <c r="K806" s="56">
        <v>244</v>
      </c>
      <c r="L806" s="55" t="s">
        <v>176</v>
      </c>
      <c r="M806" s="55" t="s">
        <v>2824</v>
      </c>
      <c r="N806" s="4" t="s">
        <v>193</v>
      </c>
      <c r="O806" s="55" t="s">
        <v>178</v>
      </c>
    </row>
    <row r="807" spans="2:15">
      <c r="B807" s="20">
        <v>44900</v>
      </c>
      <c r="C807" s="108">
        <v>50522168</v>
      </c>
      <c r="D807" s="55" t="s">
        <v>252</v>
      </c>
      <c r="E807" s="67">
        <v>650</v>
      </c>
      <c r="F807" s="67">
        <v>5</v>
      </c>
      <c r="G807" s="102">
        <v>2598.55</v>
      </c>
      <c r="H807" s="56" t="s">
        <v>82</v>
      </c>
      <c r="I807" s="106"/>
      <c r="K807" s="56">
        <v>245</v>
      </c>
      <c r="L807" s="55" t="s">
        <v>176</v>
      </c>
      <c r="M807" s="55" t="s">
        <v>2824</v>
      </c>
      <c r="N807" s="4" t="s">
        <v>193</v>
      </c>
      <c r="O807" s="55" t="s">
        <v>178</v>
      </c>
    </row>
    <row r="808" spans="2:15">
      <c r="B808" s="20">
        <v>44900</v>
      </c>
      <c r="C808" s="59">
        <v>50470190</v>
      </c>
      <c r="D808" s="55" t="s">
        <v>12</v>
      </c>
      <c r="E808" s="67">
        <v>289800</v>
      </c>
      <c r="F808" s="67">
        <v>13</v>
      </c>
      <c r="G808" s="102">
        <v>3767400</v>
      </c>
      <c r="H808" s="56" t="s">
        <v>92</v>
      </c>
      <c r="I808" s="106"/>
      <c r="K808" s="56">
        <v>245</v>
      </c>
      <c r="L808" s="55" t="s">
        <v>176</v>
      </c>
      <c r="M808" s="55" t="s">
        <v>2824</v>
      </c>
      <c r="N808" s="4" t="s">
        <v>193</v>
      </c>
      <c r="O808" s="55" t="s">
        <v>178</v>
      </c>
    </row>
    <row r="809" spans="2:15">
      <c r="B809" s="20">
        <v>44901</v>
      </c>
      <c r="C809" s="59">
        <v>50010080</v>
      </c>
      <c r="D809" s="55" t="s">
        <v>354</v>
      </c>
      <c r="E809" s="67">
        <v>1000</v>
      </c>
      <c r="F809" s="67">
        <v>5</v>
      </c>
      <c r="G809" s="102">
        <v>5000</v>
      </c>
      <c r="H809" s="56" t="s">
        <v>82</v>
      </c>
      <c r="I809" s="106"/>
      <c r="K809" s="56">
        <v>246</v>
      </c>
      <c r="L809" s="55" t="s">
        <v>176</v>
      </c>
      <c r="M809" s="55" t="s">
        <v>2824</v>
      </c>
      <c r="N809" s="4" t="s">
        <v>193</v>
      </c>
      <c r="O809" s="55" t="s">
        <v>178</v>
      </c>
    </row>
    <row r="810" spans="2:15">
      <c r="B810" s="20">
        <v>44901</v>
      </c>
      <c r="C810" s="59">
        <v>50510331</v>
      </c>
      <c r="D810" s="55" t="s">
        <v>242</v>
      </c>
      <c r="E810" s="67">
        <v>356</v>
      </c>
      <c r="F810" s="67">
        <v>3</v>
      </c>
      <c r="G810" s="102">
        <v>1645.6</v>
      </c>
      <c r="H810" s="56" t="s">
        <v>82</v>
      </c>
      <c r="I810" s="106"/>
      <c r="K810" s="56">
        <v>246</v>
      </c>
      <c r="L810" s="55" t="s">
        <v>176</v>
      </c>
      <c r="M810" s="55" t="s">
        <v>2824</v>
      </c>
      <c r="N810" s="4" t="s">
        <v>193</v>
      </c>
      <c r="O810" s="55" t="s">
        <v>178</v>
      </c>
    </row>
    <row r="811" spans="2:15">
      <c r="B811" s="20">
        <v>44901</v>
      </c>
      <c r="C811" s="59">
        <v>50142334</v>
      </c>
      <c r="D811" s="55" t="s">
        <v>257</v>
      </c>
      <c r="E811" s="67">
        <v>681</v>
      </c>
      <c r="F811" s="67">
        <v>3</v>
      </c>
      <c r="G811" s="102">
        <v>2043</v>
      </c>
      <c r="H811" s="56" t="s">
        <v>82</v>
      </c>
      <c r="I811" s="106"/>
      <c r="K811" s="56">
        <v>246</v>
      </c>
      <c r="L811" s="55" t="s">
        <v>176</v>
      </c>
      <c r="M811" s="55" t="s">
        <v>2824</v>
      </c>
      <c r="N811" s="4" t="s">
        <v>193</v>
      </c>
      <c r="O811" s="55" t="s">
        <v>178</v>
      </c>
    </row>
    <row r="812" spans="2:15">
      <c r="B812" s="20">
        <v>44901</v>
      </c>
      <c r="C812" s="59">
        <v>50144376</v>
      </c>
      <c r="D812" s="55" t="s">
        <v>19</v>
      </c>
      <c r="E812" s="67">
        <v>500</v>
      </c>
      <c r="F812" s="67">
        <v>4</v>
      </c>
      <c r="G812" s="102">
        <v>2000</v>
      </c>
      <c r="H812" s="105" t="s">
        <v>92</v>
      </c>
      <c r="I812" s="106"/>
      <c r="K812" s="56">
        <v>246</v>
      </c>
      <c r="L812" s="55" t="s">
        <v>176</v>
      </c>
      <c r="M812" s="55" t="s">
        <v>2824</v>
      </c>
      <c r="N812" s="4" t="s">
        <v>193</v>
      </c>
      <c r="O812" s="55" t="s">
        <v>178</v>
      </c>
    </row>
    <row r="813" spans="2:15">
      <c r="B813" s="20">
        <v>44901</v>
      </c>
      <c r="C813" s="59">
        <v>50272278</v>
      </c>
      <c r="D813" s="55" t="s">
        <v>21</v>
      </c>
      <c r="E813" s="67">
        <v>500</v>
      </c>
      <c r="F813" s="67">
        <v>5</v>
      </c>
      <c r="G813" s="102">
        <v>2500</v>
      </c>
      <c r="H813" s="56" t="s">
        <v>92</v>
      </c>
      <c r="I813" s="106"/>
      <c r="K813" s="56">
        <v>246</v>
      </c>
      <c r="L813" s="55" t="s">
        <v>176</v>
      </c>
      <c r="M813" s="55" t="s">
        <v>2824</v>
      </c>
      <c r="N813" s="4" t="s">
        <v>193</v>
      </c>
      <c r="O813" s="55" t="s">
        <v>178</v>
      </c>
    </row>
    <row r="814" spans="2:15">
      <c r="B814" s="20">
        <v>44901</v>
      </c>
      <c r="C814" s="59">
        <v>50141786</v>
      </c>
      <c r="D814" s="55" t="s">
        <v>188</v>
      </c>
      <c r="E814" s="67">
        <v>560</v>
      </c>
      <c r="F814" s="67">
        <v>22</v>
      </c>
      <c r="G814" s="102">
        <v>12320</v>
      </c>
      <c r="H814" s="56" t="s">
        <v>82</v>
      </c>
      <c r="I814" s="106"/>
      <c r="K814" s="56">
        <v>247</v>
      </c>
      <c r="L814" s="55" t="s">
        <v>176</v>
      </c>
      <c r="M814" s="55" t="s">
        <v>2824</v>
      </c>
      <c r="N814" s="4" t="s">
        <v>193</v>
      </c>
      <c r="O814" s="55" t="s">
        <v>178</v>
      </c>
    </row>
    <row r="815" spans="2:15">
      <c r="B815" s="20">
        <v>44902</v>
      </c>
      <c r="C815" s="59">
        <v>50272278</v>
      </c>
      <c r="D815" s="55" t="s">
        <v>21</v>
      </c>
      <c r="E815" s="67">
        <v>500</v>
      </c>
      <c r="F815" s="67">
        <v>22</v>
      </c>
      <c r="G815" s="102">
        <v>11000</v>
      </c>
      <c r="H815" s="56" t="s">
        <v>92</v>
      </c>
      <c r="I815" s="106"/>
      <c r="K815" s="56">
        <v>248</v>
      </c>
      <c r="L815" s="55" t="s">
        <v>176</v>
      </c>
      <c r="M815" s="55" t="s">
        <v>2824</v>
      </c>
      <c r="N815" s="4" t="s">
        <v>193</v>
      </c>
      <c r="O815" s="55" t="s">
        <v>178</v>
      </c>
    </row>
    <row r="816" spans="2:15">
      <c r="B816" s="20">
        <v>44902</v>
      </c>
      <c r="C816" s="59">
        <v>50470190</v>
      </c>
      <c r="D816" s="55" t="s">
        <v>12</v>
      </c>
      <c r="E816" s="67">
        <v>289800</v>
      </c>
      <c r="F816" s="67">
        <v>18</v>
      </c>
      <c r="G816" s="102">
        <v>5216400</v>
      </c>
      <c r="H816" s="56" t="s">
        <v>92</v>
      </c>
      <c r="I816" s="106"/>
      <c r="K816" s="56">
        <v>249</v>
      </c>
      <c r="L816" s="55" t="s">
        <v>176</v>
      </c>
      <c r="M816" s="55" t="s">
        <v>2824</v>
      </c>
      <c r="N816" s="4" t="s">
        <v>193</v>
      </c>
      <c r="O816" s="55" t="s">
        <v>178</v>
      </c>
    </row>
    <row r="817" spans="2:15">
      <c r="B817" s="20">
        <v>44904</v>
      </c>
      <c r="C817" s="59">
        <v>50272278</v>
      </c>
      <c r="D817" s="55" t="s">
        <v>21</v>
      </c>
      <c r="E817" s="67">
        <v>500</v>
      </c>
      <c r="F817" s="67">
        <v>18</v>
      </c>
      <c r="G817" s="102">
        <v>9000</v>
      </c>
      <c r="H817" s="56" t="s">
        <v>92</v>
      </c>
      <c r="I817" s="106"/>
      <c r="K817" s="56">
        <v>250</v>
      </c>
      <c r="L817" s="55" t="s">
        <v>176</v>
      </c>
      <c r="M817" s="55" t="s">
        <v>2824</v>
      </c>
      <c r="N817" s="4" t="s">
        <v>177</v>
      </c>
      <c r="O817" s="55" t="s">
        <v>178</v>
      </c>
    </row>
    <row r="818" spans="2:15">
      <c r="B818" s="20">
        <v>44904</v>
      </c>
      <c r="C818" s="59">
        <v>50141533</v>
      </c>
      <c r="D818" s="55" t="s">
        <v>494</v>
      </c>
      <c r="E818" s="67">
        <v>1250</v>
      </c>
      <c r="F818" s="67">
        <v>2</v>
      </c>
      <c r="G818" s="102">
        <v>2500</v>
      </c>
      <c r="H818" s="56" t="s">
        <v>82</v>
      </c>
      <c r="I818" s="106"/>
      <c r="K818" s="56">
        <v>250</v>
      </c>
      <c r="L818" s="55" t="s">
        <v>176</v>
      </c>
      <c r="M818" s="55" t="s">
        <v>2824</v>
      </c>
      <c r="N818" s="4" t="s">
        <v>177</v>
      </c>
      <c r="O818" s="55" t="s">
        <v>178</v>
      </c>
    </row>
    <row r="819" spans="2:15">
      <c r="B819" s="20">
        <v>44904</v>
      </c>
      <c r="C819" s="59">
        <v>50522169</v>
      </c>
      <c r="D819" s="55" t="s">
        <v>250</v>
      </c>
      <c r="E819" s="67">
        <v>550.1</v>
      </c>
      <c r="F819" s="67">
        <v>3</v>
      </c>
      <c r="G819" s="102">
        <v>1637.25</v>
      </c>
      <c r="H819" s="56" t="s">
        <v>82</v>
      </c>
      <c r="I819" s="106"/>
      <c r="K819" s="56">
        <v>251</v>
      </c>
      <c r="L819" s="55" t="s">
        <v>176</v>
      </c>
      <c r="M819" s="55" t="s">
        <v>2824</v>
      </c>
      <c r="N819" s="4" t="s">
        <v>177</v>
      </c>
      <c r="O819" s="55" t="s">
        <v>178</v>
      </c>
    </row>
    <row r="820" spans="2:15">
      <c r="B820" s="20">
        <v>44904</v>
      </c>
      <c r="C820" s="59">
        <v>50507916</v>
      </c>
      <c r="D820" s="55" t="s">
        <v>406</v>
      </c>
      <c r="E820" s="67">
        <v>264000</v>
      </c>
      <c r="F820" s="67">
        <v>3</v>
      </c>
      <c r="G820" s="102">
        <v>814000</v>
      </c>
      <c r="H820" s="56" t="s">
        <v>92</v>
      </c>
      <c r="I820" s="106"/>
      <c r="K820" s="56">
        <v>251</v>
      </c>
      <c r="L820" s="55" t="s">
        <v>176</v>
      </c>
      <c r="M820" s="55" t="s">
        <v>2824</v>
      </c>
      <c r="N820" s="4" t="s">
        <v>177</v>
      </c>
      <c r="O820" s="55" t="s">
        <v>178</v>
      </c>
    </row>
    <row r="821" spans="2:15">
      <c r="B821" s="20">
        <v>44904</v>
      </c>
      <c r="C821" s="59">
        <v>50470190</v>
      </c>
      <c r="D821" s="55" t="s">
        <v>12</v>
      </c>
      <c r="E821" s="67">
        <v>289800</v>
      </c>
      <c r="F821" s="67">
        <v>10</v>
      </c>
      <c r="G821" s="102">
        <v>2898000</v>
      </c>
      <c r="H821" s="56" t="s">
        <v>92</v>
      </c>
      <c r="I821" s="106"/>
      <c r="K821" s="56">
        <v>251</v>
      </c>
      <c r="L821" s="55" t="s">
        <v>176</v>
      </c>
      <c r="M821" s="55" t="s">
        <v>2824</v>
      </c>
      <c r="N821" s="4" t="s">
        <v>177</v>
      </c>
      <c r="O821" s="55" t="s">
        <v>178</v>
      </c>
    </row>
    <row r="822" spans="2:15">
      <c r="B822" s="20">
        <v>44904</v>
      </c>
      <c r="C822" s="59">
        <v>50145028</v>
      </c>
      <c r="D822" s="55" t="s">
        <v>23</v>
      </c>
      <c r="E822" s="67">
        <v>192</v>
      </c>
      <c r="F822" s="67">
        <v>3</v>
      </c>
      <c r="G822" s="102">
        <v>576</v>
      </c>
      <c r="H822" s="56" t="s">
        <v>92</v>
      </c>
      <c r="I822" s="106"/>
      <c r="K822" s="56">
        <v>252</v>
      </c>
      <c r="M822" s="55" t="s">
        <v>326</v>
      </c>
      <c r="O822" s="55" t="s">
        <v>178</v>
      </c>
    </row>
    <row r="823" spans="2:15">
      <c r="B823" s="20">
        <v>44907</v>
      </c>
      <c r="C823" s="59">
        <v>50144376</v>
      </c>
      <c r="D823" s="55" t="s">
        <v>19</v>
      </c>
      <c r="E823" s="67">
        <v>500</v>
      </c>
      <c r="F823" s="67">
        <v>18</v>
      </c>
      <c r="G823" s="102">
        <v>9000</v>
      </c>
      <c r="H823" s="105" t="s">
        <v>92</v>
      </c>
      <c r="I823" s="106"/>
      <c r="K823" s="56">
        <v>52</v>
      </c>
      <c r="L823" s="55" t="s">
        <v>176</v>
      </c>
      <c r="M823" s="55" t="s">
        <v>2824</v>
      </c>
      <c r="N823" s="4" t="s">
        <v>177</v>
      </c>
      <c r="O823" s="55" t="s">
        <v>178</v>
      </c>
    </row>
    <row r="824" spans="2:15">
      <c r="B824" s="20">
        <v>44907</v>
      </c>
      <c r="C824" s="59">
        <v>40011148</v>
      </c>
      <c r="D824" s="55" t="s">
        <v>86</v>
      </c>
      <c r="E824" s="67">
        <v>450</v>
      </c>
      <c r="F824" s="67">
        <v>2</v>
      </c>
      <c r="G824" s="102">
        <v>900</v>
      </c>
      <c r="H824" s="56" t="s">
        <v>80</v>
      </c>
      <c r="I824" s="106"/>
      <c r="K824" s="56">
        <v>52</v>
      </c>
      <c r="L824" s="55" t="s">
        <v>176</v>
      </c>
      <c r="M824" s="55" t="s">
        <v>2824</v>
      </c>
      <c r="N824" s="4" t="s">
        <v>177</v>
      </c>
      <c r="O824" s="55" t="s">
        <v>178</v>
      </c>
    </row>
    <row r="825" spans="2:15">
      <c r="B825" s="20">
        <v>44907</v>
      </c>
      <c r="C825" s="59">
        <v>50142237</v>
      </c>
      <c r="D825" s="55" t="s">
        <v>617</v>
      </c>
      <c r="E825" s="67">
        <v>1000</v>
      </c>
      <c r="F825" s="67">
        <v>12</v>
      </c>
      <c r="G825" s="102">
        <v>12000</v>
      </c>
      <c r="H825" s="56" t="s">
        <v>92</v>
      </c>
      <c r="I825" s="106"/>
      <c r="K825" s="56">
        <v>54</v>
      </c>
      <c r="L825" s="55" t="s">
        <v>176</v>
      </c>
      <c r="M825" s="55" t="s">
        <v>2824</v>
      </c>
      <c r="N825" s="4" t="s">
        <v>177</v>
      </c>
      <c r="O825" s="55" t="s">
        <v>178</v>
      </c>
    </row>
    <row r="826" spans="2:15">
      <c r="B826" s="20">
        <v>44907</v>
      </c>
      <c r="C826" s="59">
        <v>50144376</v>
      </c>
      <c r="D826" s="55" t="s">
        <v>19</v>
      </c>
      <c r="E826" s="67">
        <v>500</v>
      </c>
      <c r="F826" s="67">
        <v>8</v>
      </c>
      <c r="G826" s="102">
        <v>4000</v>
      </c>
      <c r="H826" s="105" t="s">
        <v>92</v>
      </c>
      <c r="I826" s="106"/>
      <c r="K826" s="56">
        <v>54</v>
      </c>
      <c r="L826" s="55" t="s">
        <v>176</v>
      </c>
      <c r="M826" s="55" t="s">
        <v>2824</v>
      </c>
      <c r="N826" s="4" t="s">
        <v>177</v>
      </c>
      <c r="O826" s="55" t="s">
        <v>178</v>
      </c>
    </row>
    <row r="827" spans="2:15">
      <c r="B827" s="20">
        <v>44907</v>
      </c>
      <c r="C827" s="59">
        <v>50143646</v>
      </c>
      <c r="D827" s="55" t="s">
        <v>191</v>
      </c>
      <c r="E827" s="67">
        <v>480</v>
      </c>
      <c r="F827" s="67">
        <v>11</v>
      </c>
      <c r="G827" s="102">
        <v>5280</v>
      </c>
      <c r="H827" s="56" t="s">
        <v>82</v>
      </c>
      <c r="I827" s="106"/>
      <c r="K827" s="56">
        <v>54</v>
      </c>
      <c r="L827" s="55" t="s">
        <v>176</v>
      </c>
      <c r="M827" s="55" t="s">
        <v>2824</v>
      </c>
      <c r="N827" s="4" t="s">
        <v>177</v>
      </c>
      <c r="O827" s="55" t="s">
        <v>178</v>
      </c>
    </row>
    <row r="828" spans="2:15">
      <c r="B828" s="20">
        <v>44907</v>
      </c>
      <c r="C828" s="59">
        <v>40011080</v>
      </c>
      <c r="D828" s="55" t="s">
        <v>420</v>
      </c>
      <c r="E828" s="67">
        <v>450</v>
      </c>
      <c r="F828" s="67">
        <v>8</v>
      </c>
      <c r="G828" s="102">
        <v>3600</v>
      </c>
      <c r="H828" s="56" t="s">
        <v>80</v>
      </c>
      <c r="I828" s="106"/>
      <c r="K828" s="56">
        <v>253</v>
      </c>
      <c r="L828" s="55" t="s">
        <v>176</v>
      </c>
      <c r="M828" s="55" t="s">
        <v>2824</v>
      </c>
      <c r="N828" s="4" t="s">
        <v>177</v>
      </c>
      <c r="O828" s="55" t="s">
        <v>178</v>
      </c>
    </row>
    <row r="829" spans="2:15">
      <c r="B829" s="20">
        <v>44907</v>
      </c>
      <c r="C829" s="59">
        <v>50144376</v>
      </c>
      <c r="D829" s="55" t="s">
        <v>19</v>
      </c>
      <c r="E829" s="67">
        <v>500</v>
      </c>
      <c r="F829" s="67">
        <v>6</v>
      </c>
      <c r="G829" s="102">
        <v>3000</v>
      </c>
      <c r="H829" s="105" t="s">
        <v>92</v>
      </c>
      <c r="I829" s="106"/>
      <c r="K829" s="56">
        <v>253</v>
      </c>
      <c r="L829" s="55" t="s">
        <v>176</v>
      </c>
      <c r="M829" s="55" t="s">
        <v>2824</v>
      </c>
      <c r="N829" s="4" t="s">
        <v>177</v>
      </c>
      <c r="O829" s="55" t="s">
        <v>178</v>
      </c>
    </row>
    <row r="830" spans="2:15">
      <c r="B830" s="20">
        <v>44907</v>
      </c>
      <c r="C830" s="59">
        <v>50272278</v>
      </c>
      <c r="D830" s="55" t="s">
        <v>21</v>
      </c>
      <c r="E830" s="67">
        <v>500</v>
      </c>
      <c r="F830" s="67">
        <v>6</v>
      </c>
      <c r="G830" s="102">
        <v>3000</v>
      </c>
      <c r="H830" s="56" t="s">
        <v>92</v>
      </c>
      <c r="I830" s="106"/>
      <c r="K830" s="56">
        <v>253</v>
      </c>
      <c r="L830" s="55" t="s">
        <v>176</v>
      </c>
      <c r="M830" s="55" t="s">
        <v>2824</v>
      </c>
      <c r="N830" s="4" t="s">
        <v>177</v>
      </c>
      <c r="O830" s="55" t="s">
        <v>178</v>
      </c>
    </row>
    <row r="831" spans="2:15">
      <c r="B831" s="20">
        <v>44907</v>
      </c>
      <c r="C831" s="59">
        <v>50144376</v>
      </c>
      <c r="D831" s="55" t="s">
        <v>19</v>
      </c>
      <c r="E831" s="67">
        <v>500</v>
      </c>
      <c r="F831" s="67">
        <v>2</v>
      </c>
      <c r="G831" s="102">
        <v>1000</v>
      </c>
      <c r="H831" s="105" t="s">
        <v>92</v>
      </c>
      <c r="I831" s="106"/>
      <c r="K831" s="56">
        <v>254</v>
      </c>
      <c r="L831" s="55" t="s">
        <v>392</v>
      </c>
      <c r="M831" s="55" t="s">
        <v>2834</v>
      </c>
      <c r="N831" s="4" t="s">
        <v>2841</v>
      </c>
      <c r="O831" s="55" t="s">
        <v>178</v>
      </c>
    </row>
    <row r="832" spans="2:15">
      <c r="B832" s="20">
        <v>44907</v>
      </c>
      <c r="C832" s="59">
        <v>50272278</v>
      </c>
      <c r="D832" s="55" t="s">
        <v>21</v>
      </c>
      <c r="E832" s="67">
        <v>500</v>
      </c>
      <c r="F832" s="67">
        <v>3</v>
      </c>
      <c r="G832" s="102">
        <v>3550</v>
      </c>
      <c r="H832" s="56" t="s">
        <v>92</v>
      </c>
      <c r="I832" s="106"/>
      <c r="K832" s="56">
        <v>254</v>
      </c>
      <c r="L832" s="55" t="s">
        <v>392</v>
      </c>
      <c r="M832" s="55" t="s">
        <v>2834</v>
      </c>
      <c r="N832" s="4" t="s">
        <v>2841</v>
      </c>
      <c r="O832" s="55" t="s">
        <v>178</v>
      </c>
    </row>
    <row r="833" spans="2:15">
      <c r="B833" s="20">
        <v>44907</v>
      </c>
      <c r="C833" s="59">
        <v>50145028</v>
      </c>
      <c r="D833" s="55" t="s">
        <v>23</v>
      </c>
      <c r="E833" s="67">
        <v>192</v>
      </c>
      <c r="F833" s="67">
        <v>2</v>
      </c>
      <c r="G833" s="102">
        <v>576</v>
      </c>
      <c r="H833" s="56" t="s">
        <v>92</v>
      </c>
      <c r="I833" s="106"/>
      <c r="K833" s="56">
        <v>254</v>
      </c>
      <c r="L833" s="55" t="s">
        <v>392</v>
      </c>
      <c r="M833" s="55" t="s">
        <v>2834</v>
      </c>
      <c r="N833" s="4" t="s">
        <v>2841</v>
      </c>
      <c r="O833" s="55" t="s">
        <v>178</v>
      </c>
    </row>
    <row r="834" spans="2:15">
      <c r="B834" s="20">
        <v>44907</v>
      </c>
      <c r="C834" s="59">
        <v>50142237</v>
      </c>
      <c r="D834" s="55" t="s">
        <v>617</v>
      </c>
      <c r="E834" s="67">
        <v>1000</v>
      </c>
      <c r="F834" s="67">
        <v>3</v>
      </c>
      <c r="G834" s="102">
        <v>3000</v>
      </c>
      <c r="H834" s="56" t="s">
        <v>92</v>
      </c>
      <c r="I834" s="106"/>
      <c r="K834" s="56">
        <v>254</v>
      </c>
      <c r="L834" s="55" t="s">
        <v>392</v>
      </c>
      <c r="M834" s="55" t="s">
        <v>2834</v>
      </c>
      <c r="N834" s="4" t="s">
        <v>2841</v>
      </c>
      <c r="O834" s="55" t="s">
        <v>178</v>
      </c>
    </row>
    <row r="835" spans="2:15">
      <c r="B835" s="20">
        <v>44908</v>
      </c>
      <c r="C835" s="59">
        <v>50143646</v>
      </c>
      <c r="D835" s="55" t="s">
        <v>191</v>
      </c>
      <c r="E835" s="67">
        <v>480</v>
      </c>
      <c r="F835" s="67">
        <v>10</v>
      </c>
      <c r="G835" s="102">
        <v>4800</v>
      </c>
      <c r="H835" s="56" t="s">
        <v>82</v>
      </c>
      <c r="I835" s="106"/>
      <c r="K835" s="56">
        <v>255</v>
      </c>
      <c r="L835" s="55" t="s">
        <v>176</v>
      </c>
      <c r="M835" s="55" t="s">
        <v>2824</v>
      </c>
      <c r="N835" s="4" t="s">
        <v>177</v>
      </c>
      <c r="O835" s="55" t="s">
        <v>178</v>
      </c>
    </row>
    <row r="836" spans="2:15">
      <c r="B836" s="20">
        <v>44908</v>
      </c>
      <c r="C836" s="59">
        <v>50141786</v>
      </c>
      <c r="D836" s="55" t="s">
        <v>188</v>
      </c>
      <c r="E836" s="67">
        <v>560</v>
      </c>
      <c r="F836" s="67">
        <v>10</v>
      </c>
      <c r="G836" s="102">
        <v>5600</v>
      </c>
      <c r="H836" s="56" t="s">
        <v>82</v>
      </c>
      <c r="I836" s="106"/>
      <c r="K836" s="56">
        <v>255</v>
      </c>
      <c r="L836" s="55" t="s">
        <v>176</v>
      </c>
      <c r="M836" s="55" t="s">
        <v>2824</v>
      </c>
      <c r="N836" s="4" t="s">
        <v>177</v>
      </c>
      <c r="O836" s="55" t="s">
        <v>178</v>
      </c>
    </row>
    <row r="837" spans="2:15">
      <c r="B837" s="20">
        <v>44908</v>
      </c>
      <c r="C837" s="59">
        <v>50144376</v>
      </c>
      <c r="D837" s="55" t="s">
        <v>19</v>
      </c>
      <c r="E837" s="67">
        <v>500</v>
      </c>
      <c r="F837" s="67">
        <v>13</v>
      </c>
      <c r="G837" s="102">
        <v>6500</v>
      </c>
      <c r="H837" s="105" t="s">
        <v>92</v>
      </c>
      <c r="I837" s="106"/>
      <c r="K837" s="56">
        <v>256</v>
      </c>
      <c r="L837" s="55" t="s">
        <v>176</v>
      </c>
      <c r="M837" s="55" t="s">
        <v>2824</v>
      </c>
      <c r="N837" s="4" t="s">
        <v>177</v>
      </c>
      <c r="O837" s="55" t="s">
        <v>178</v>
      </c>
    </row>
    <row r="838" spans="2:15">
      <c r="B838" s="20">
        <v>44908</v>
      </c>
      <c r="C838" s="59">
        <v>50794589</v>
      </c>
      <c r="D838" s="55" t="s">
        <v>594</v>
      </c>
      <c r="E838" s="67">
        <v>681</v>
      </c>
      <c r="F838" s="67">
        <v>5</v>
      </c>
      <c r="G838" s="102">
        <v>2411.9</v>
      </c>
      <c r="H838" s="56" t="s">
        <v>82</v>
      </c>
      <c r="I838" s="106"/>
      <c r="K838" s="56">
        <v>256</v>
      </c>
      <c r="L838" s="55" t="s">
        <v>176</v>
      </c>
      <c r="M838" s="55" t="s">
        <v>2824</v>
      </c>
      <c r="N838" s="4" t="s">
        <v>177</v>
      </c>
      <c r="O838" s="55" t="s">
        <v>178</v>
      </c>
    </row>
    <row r="839" spans="2:15">
      <c r="B839" s="20">
        <v>44910</v>
      </c>
      <c r="C839" s="59">
        <v>50144376</v>
      </c>
      <c r="D839" s="55" t="s">
        <v>19</v>
      </c>
      <c r="E839" s="67">
        <v>500</v>
      </c>
      <c r="F839" s="67">
        <v>10</v>
      </c>
      <c r="G839" s="102">
        <v>5000</v>
      </c>
      <c r="H839" s="105" t="s">
        <v>92</v>
      </c>
      <c r="I839" s="106"/>
      <c r="K839" s="56">
        <v>257</v>
      </c>
      <c r="L839" s="55" t="s">
        <v>176</v>
      </c>
      <c r="M839" s="55" t="s">
        <v>2824</v>
      </c>
      <c r="N839" s="4" t="s">
        <v>177</v>
      </c>
      <c r="O839" s="55" t="s">
        <v>178</v>
      </c>
    </row>
    <row r="840" spans="2:15">
      <c r="B840" s="20">
        <v>44910</v>
      </c>
      <c r="C840" s="59">
        <v>50272278</v>
      </c>
      <c r="D840" s="55" t="s">
        <v>21</v>
      </c>
      <c r="E840" s="67">
        <v>500</v>
      </c>
      <c r="F840" s="67">
        <v>10</v>
      </c>
      <c r="G840" s="102">
        <v>5000</v>
      </c>
      <c r="H840" s="56" t="s">
        <v>92</v>
      </c>
      <c r="I840" s="106"/>
      <c r="K840" s="56">
        <v>257</v>
      </c>
      <c r="L840" s="55" t="s">
        <v>176</v>
      </c>
      <c r="M840" s="55" t="s">
        <v>2824</v>
      </c>
      <c r="N840" s="4" t="s">
        <v>177</v>
      </c>
      <c r="O840" s="55" t="s">
        <v>178</v>
      </c>
    </row>
    <row r="841" spans="2:15">
      <c r="B841" s="20">
        <v>44910</v>
      </c>
      <c r="C841" s="59">
        <v>40011661</v>
      </c>
      <c r="D841" s="55" t="s">
        <v>608</v>
      </c>
      <c r="E841" s="67">
        <v>450</v>
      </c>
      <c r="F841" s="67">
        <v>3</v>
      </c>
      <c r="G841" s="102">
        <v>980</v>
      </c>
      <c r="H841" s="56" t="s">
        <v>80</v>
      </c>
      <c r="I841" s="106"/>
      <c r="K841" s="56">
        <v>258</v>
      </c>
      <c r="L841" s="55" t="s">
        <v>176</v>
      </c>
      <c r="M841" s="55" t="s">
        <v>2824</v>
      </c>
      <c r="N841" s="4" t="s">
        <v>177</v>
      </c>
      <c r="O841" s="55" t="s">
        <v>178</v>
      </c>
    </row>
    <row r="842" spans="2:15">
      <c r="B842" s="20">
        <v>44910</v>
      </c>
      <c r="C842" s="59">
        <v>50470190</v>
      </c>
      <c r="D842" s="55" t="s">
        <v>12</v>
      </c>
      <c r="E842" s="67">
        <v>289800</v>
      </c>
      <c r="F842" s="67">
        <v>10</v>
      </c>
      <c r="G842" s="102">
        <v>2898000</v>
      </c>
      <c r="H842" s="56" t="s">
        <v>92</v>
      </c>
      <c r="I842" s="106"/>
      <c r="K842" s="56">
        <v>258</v>
      </c>
      <c r="L842" s="55" t="s">
        <v>176</v>
      </c>
      <c r="M842" s="55" t="s">
        <v>2824</v>
      </c>
      <c r="N842" s="4" t="s">
        <v>177</v>
      </c>
      <c r="O842" s="55" t="s">
        <v>178</v>
      </c>
    </row>
    <row r="843" spans="2:15">
      <c r="B843" s="20">
        <v>44910</v>
      </c>
      <c r="C843" s="59">
        <v>40011660</v>
      </c>
      <c r="D843" s="55" t="s">
        <v>528</v>
      </c>
      <c r="E843" s="67">
        <v>320</v>
      </c>
      <c r="F843" s="67">
        <v>1</v>
      </c>
      <c r="G843" s="102">
        <v>320</v>
      </c>
      <c r="H843" s="56" t="s">
        <v>80</v>
      </c>
      <c r="I843" s="106"/>
      <c r="K843" s="56">
        <v>258</v>
      </c>
      <c r="L843" s="55" t="s">
        <v>176</v>
      </c>
      <c r="M843" s="55" t="s">
        <v>2824</v>
      </c>
      <c r="N843" s="4" t="s">
        <v>177</v>
      </c>
      <c r="O843" s="55" t="s">
        <v>178</v>
      </c>
    </row>
    <row r="844" spans="2:15">
      <c r="B844" s="20">
        <v>44910</v>
      </c>
      <c r="C844" s="59">
        <v>40011148</v>
      </c>
      <c r="D844" s="55" t="s">
        <v>86</v>
      </c>
      <c r="E844" s="67">
        <v>450</v>
      </c>
      <c r="F844" s="67">
        <v>2</v>
      </c>
      <c r="G844" s="102">
        <v>720</v>
      </c>
      <c r="H844" s="56" t="s">
        <v>80</v>
      </c>
      <c r="I844" s="106"/>
      <c r="K844" s="56">
        <v>258</v>
      </c>
      <c r="L844" s="55" t="s">
        <v>176</v>
      </c>
      <c r="M844" s="55" t="s">
        <v>2824</v>
      </c>
      <c r="N844" s="4" t="s">
        <v>177</v>
      </c>
      <c r="O844" s="55" t="s">
        <v>178</v>
      </c>
    </row>
    <row r="845" spans="2:15">
      <c r="B845" s="20">
        <v>44910</v>
      </c>
      <c r="C845" s="59">
        <v>50534881</v>
      </c>
      <c r="D845" s="55" t="s">
        <v>227</v>
      </c>
      <c r="E845" s="67">
        <v>9000</v>
      </c>
      <c r="F845" s="67">
        <v>2</v>
      </c>
      <c r="G845" s="102">
        <v>18000</v>
      </c>
      <c r="H845" s="56" t="s">
        <v>92</v>
      </c>
      <c r="I845" s="106"/>
      <c r="K845" s="56">
        <v>258</v>
      </c>
      <c r="L845" s="55" t="s">
        <v>176</v>
      </c>
      <c r="M845" s="55" t="s">
        <v>2824</v>
      </c>
      <c r="N845" s="4" t="s">
        <v>177</v>
      </c>
      <c r="O845" s="55" t="s">
        <v>178</v>
      </c>
    </row>
    <row r="846" spans="2:15">
      <c r="B846" s="20">
        <v>44911</v>
      </c>
      <c r="C846" s="59">
        <v>50010080</v>
      </c>
      <c r="D846" s="55" t="s">
        <v>354</v>
      </c>
      <c r="E846" s="67">
        <v>1000</v>
      </c>
      <c r="F846" s="67">
        <v>4</v>
      </c>
      <c r="G846" s="102">
        <v>4000</v>
      </c>
      <c r="H846" s="56" t="s">
        <v>82</v>
      </c>
      <c r="I846" s="106"/>
      <c r="K846" s="56">
        <v>259</v>
      </c>
      <c r="L846" s="55" t="s">
        <v>176</v>
      </c>
      <c r="M846" s="55" t="s">
        <v>2824</v>
      </c>
      <c r="N846" s="4" t="s">
        <v>177</v>
      </c>
      <c r="O846" s="55" t="s">
        <v>178</v>
      </c>
    </row>
    <row r="847" spans="2:15">
      <c r="B847" s="20">
        <v>44911</v>
      </c>
      <c r="C847" s="59">
        <v>50142631</v>
      </c>
      <c r="D847" s="55" t="s">
        <v>566</v>
      </c>
      <c r="E847" s="67">
        <v>1000</v>
      </c>
      <c r="F847" s="67">
        <v>2</v>
      </c>
      <c r="G847" s="102">
        <v>1500</v>
      </c>
      <c r="H847" s="56" t="s">
        <v>82</v>
      </c>
      <c r="I847" s="106"/>
      <c r="K847" s="56">
        <v>259</v>
      </c>
      <c r="L847" s="55" t="s">
        <v>176</v>
      </c>
      <c r="M847" s="55" t="s">
        <v>2824</v>
      </c>
      <c r="N847" s="4" t="s">
        <v>177</v>
      </c>
      <c r="O847" s="55" t="s">
        <v>178</v>
      </c>
    </row>
    <row r="848" spans="2:15">
      <c r="B848" s="20">
        <v>44911</v>
      </c>
      <c r="C848" s="59">
        <v>50142327</v>
      </c>
      <c r="D848" s="55" t="s">
        <v>256</v>
      </c>
      <c r="E848" s="67">
        <v>681</v>
      </c>
      <c r="F848" s="67">
        <v>6</v>
      </c>
      <c r="G848" s="102">
        <v>4086</v>
      </c>
      <c r="H848" s="56" t="s">
        <v>82</v>
      </c>
      <c r="I848" s="106"/>
      <c r="K848" s="56">
        <v>259</v>
      </c>
      <c r="L848" s="55" t="s">
        <v>176</v>
      </c>
      <c r="M848" s="55" t="s">
        <v>2824</v>
      </c>
      <c r="N848" s="4" t="s">
        <v>177</v>
      </c>
      <c r="O848" s="55" t="s">
        <v>178</v>
      </c>
    </row>
    <row r="849" spans="2:15">
      <c r="B849" s="20">
        <v>44911</v>
      </c>
      <c r="C849" s="59">
        <v>50142334</v>
      </c>
      <c r="D849" s="55" t="s">
        <v>257</v>
      </c>
      <c r="E849" s="67">
        <v>681</v>
      </c>
      <c r="F849" s="67">
        <v>5</v>
      </c>
      <c r="G849" s="102">
        <v>3405</v>
      </c>
      <c r="H849" s="56" t="s">
        <v>82</v>
      </c>
      <c r="I849" s="106"/>
      <c r="K849" s="56">
        <v>259</v>
      </c>
      <c r="L849" s="55" t="s">
        <v>176</v>
      </c>
      <c r="M849" s="55" t="s">
        <v>2824</v>
      </c>
      <c r="N849" s="4" t="s">
        <v>177</v>
      </c>
      <c r="O849" s="55" t="s">
        <v>178</v>
      </c>
    </row>
    <row r="850" spans="2:15">
      <c r="B850" s="20">
        <v>44911</v>
      </c>
      <c r="C850" s="59">
        <v>50522169</v>
      </c>
      <c r="D850" s="55" t="s">
        <v>250</v>
      </c>
      <c r="E850" s="67">
        <v>550</v>
      </c>
      <c r="F850" s="67">
        <v>5</v>
      </c>
      <c r="G850" s="102">
        <v>2731.4</v>
      </c>
      <c r="H850" s="56" t="s">
        <v>82</v>
      </c>
      <c r="I850" s="106"/>
      <c r="K850" s="56">
        <v>260</v>
      </c>
      <c r="L850" s="55" t="s">
        <v>176</v>
      </c>
      <c r="M850" s="55" t="s">
        <v>2824</v>
      </c>
      <c r="N850" s="4" t="s">
        <v>177</v>
      </c>
      <c r="O850" s="55" t="s">
        <v>178</v>
      </c>
    </row>
    <row r="851" spans="2:15">
      <c r="B851" s="20">
        <v>44911</v>
      </c>
      <c r="C851" s="108">
        <v>50522168</v>
      </c>
      <c r="D851" s="55" t="s">
        <v>252</v>
      </c>
      <c r="E851" s="67">
        <v>426</v>
      </c>
      <c r="F851" s="67">
        <v>5</v>
      </c>
      <c r="G851" s="102">
        <v>2402.75</v>
      </c>
      <c r="H851" s="56" t="s">
        <v>82</v>
      </c>
      <c r="I851" s="106"/>
      <c r="K851" s="56">
        <v>260</v>
      </c>
      <c r="L851" s="55" t="s">
        <v>176</v>
      </c>
      <c r="M851" s="55" t="s">
        <v>2824</v>
      </c>
      <c r="N851" s="4" t="s">
        <v>177</v>
      </c>
      <c r="O851" s="55" t="s">
        <v>178</v>
      </c>
    </row>
    <row r="852" spans="2:15">
      <c r="B852" s="20">
        <v>44911</v>
      </c>
      <c r="C852" s="59">
        <v>50144376</v>
      </c>
      <c r="D852" s="55" t="s">
        <v>19</v>
      </c>
      <c r="E852" s="67">
        <v>500</v>
      </c>
      <c r="F852" s="67">
        <v>5</v>
      </c>
      <c r="G852" s="102">
        <v>2500</v>
      </c>
      <c r="H852" s="105" t="s">
        <v>92</v>
      </c>
      <c r="I852" s="106"/>
      <c r="K852" s="56">
        <v>260</v>
      </c>
      <c r="L852" s="55" t="s">
        <v>176</v>
      </c>
      <c r="M852" s="55" t="s">
        <v>2824</v>
      </c>
      <c r="N852" s="4" t="s">
        <v>177</v>
      </c>
      <c r="O852" s="55" t="s">
        <v>178</v>
      </c>
    </row>
    <row r="853" spans="2:15">
      <c r="B853" s="20">
        <v>44911</v>
      </c>
      <c r="C853" s="59">
        <v>50272278</v>
      </c>
      <c r="D853" s="55" t="s">
        <v>21</v>
      </c>
      <c r="E853" s="67">
        <v>500</v>
      </c>
      <c r="F853" s="67">
        <v>5</v>
      </c>
      <c r="G853" s="102">
        <v>2500</v>
      </c>
      <c r="H853" s="56" t="s">
        <v>92</v>
      </c>
      <c r="I853" s="106"/>
      <c r="K853" s="56">
        <v>260</v>
      </c>
      <c r="L853" s="55" t="s">
        <v>176</v>
      </c>
      <c r="M853" s="55" t="s">
        <v>2824</v>
      </c>
      <c r="N853" s="4" t="s">
        <v>177</v>
      </c>
      <c r="O853" s="55" t="s">
        <v>178</v>
      </c>
    </row>
    <row r="854" spans="2:15">
      <c r="B854" s="20">
        <v>44911</v>
      </c>
      <c r="C854" s="59">
        <v>50470190</v>
      </c>
      <c r="D854" s="55" t="s">
        <v>12</v>
      </c>
      <c r="E854" s="67">
        <v>289800</v>
      </c>
      <c r="F854" s="67">
        <v>16</v>
      </c>
      <c r="G854" s="102">
        <v>4636800</v>
      </c>
      <c r="H854" s="56" t="s">
        <v>92</v>
      </c>
      <c r="I854" s="106"/>
      <c r="K854" s="56">
        <v>261</v>
      </c>
      <c r="L854" s="55" t="s">
        <v>176</v>
      </c>
      <c r="M854" s="55" t="s">
        <v>2824</v>
      </c>
      <c r="N854" s="4" t="s">
        <v>177</v>
      </c>
      <c r="O854" s="55" t="s">
        <v>178</v>
      </c>
    </row>
    <row r="855" spans="2:15">
      <c r="B855" s="20">
        <v>44911</v>
      </c>
      <c r="C855" s="59">
        <v>50145029</v>
      </c>
      <c r="D855" s="55" t="s">
        <v>705</v>
      </c>
      <c r="E855" s="67">
        <v>12</v>
      </c>
      <c r="G855" s="102">
        <v>12</v>
      </c>
      <c r="H855" s="56" t="s">
        <v>505</v>
      </c>
      <c r="I855" s="106"/>
      <c r="K855" s="56">
        <v>261</v>
      </c>
      <c r="L855" s="55" t="s">
        <v>176</v>
      </c>
      <c r="M855" s="55" t="s">
        <v>2824</v>
      </c>
      <c r="N855" s="4" t="s">
        <v>177</v>
      </c>
      <c r="O855" s="55" t="s">
        <v>178</v>
      </c>
    </row>
    <row r="856" spans="2:15">
      <c r="B856" s="20">
        <v>44911</v>
      </c>
      <c r="C856" s="59">
        <v>50392045</v>
      </c>
      <c r="D856" s="55" t="s">
        <v>707</v>
      </c>
      <c r="E856" s="67">
        <v>24</v>
      </c>
      <c r="G856" s="102">
        <v>24</v>
      </c>
      <c r="H856" s="56" t="s">
        <v>505</v>
      </c>
      <c r="I856" s="106"/>
      <c r="K856" s="56">
        <v>261</v>
      </c>
      <c r="L856" s="55" t="s">
        <v>176</v>
      </c>
      <c r="M856" s="55" t="s">
        <v>2824</v>
      </c>
      <c r="N856" s="4" t="s">
        <v>177</v>
      </c>
      <c r="O856" s="55" t="s">
        <v>178</v>
      </c>
    </row>
    <row r="857" spans="2:15">
      <c r="B857" s="20">
        <v>44911</v>
      </c>
      <c r="C857" s="59">
        <v>50145012</v>
      </c>
      <c r="D857" s="55" t="s">
        <v>504</v>
      </c>
      <c r="E857" s="67">
        <v>12</v>
      </c>
      <c r="G857" s="102">
        <v>12</v>
      </c>
      <c r="H857" s="56" t="s">
        <v>505</v>
      </c>
      <c r="I857" s="106"/>
      <c r="K857" s="56">
        <v>261</v>
      </c>
      <c r="L857" s="55" t="s">
        <v>176</v>
      </c>
      <c r="M857" s="55" t="s">
        <v>2824</v>
      </c>
      <c r="N857" s="4" t="s">
        <v>177</v>
      </c>
      <c r="O857" s="55" t="s">
        <v>178</v>
      </c>
    </row>
    <row r="858" spans="2:15">
      <c r="B858" s="20">
        <v>44911</v>
      </c>
      <c r="C858" s="59">
        <v>50392046</v>
      </c>
      <c r="D858" s="55" t="s">
        <v>509</v>
      </c>
      <c r="E858" s="67">
        <v>12</v>
      </c>
      <c r="G858" s="102">
        <v>12</v>
      </c>
      <c r="H858" s="99" t="s">
        <v>505</v>
      </c>
      <c r="I858" s="106"/>
      <c r="K858" s="56">
        <v>261</v>
      </c>
      <c r="L858" s="55" t="s">
        <v>176</v>
      </c>
      <c r="M858" s="55" t="s">
        <v>2824</v>
      </c>
      <c r="N858" s="4" t="s">
        <v>177</v>
      </c>
      <c r="O858" s="55" t="s">
        <v>178</v>
      </c>
    </row>
    <row r="859" spans="2:15">
      <c r="B859" s="20">
        <v>44911</v>
      </c>
      <c r="C859" s="59">
        <v>40011133</v>
      </c>
      <c r="D859" s="55" t="s">
        <v>634</v>
      </c>
      <c r="E859" s="67">
        <v>756</v>
      </c>
      <c r="F859" s="67">
        <v>3</v>
      </c>
      <c r="G859" s="102">
        <v>2268</v>
      </c>
      <c r="H859" s="56" t="s">
        <v>80</v>
      </c>
      <c r="I859" s="106"/>
      <c r="K859" s="56">
        <v>262</v>
      </c>
      <c r="L859" s="55" t="s">
        <v>176</v>
      </c>
      <c r="M859" s="55" t="s">
        <v>2824</v>
      </c>
      <c r="N859" s="4" t="s">
        <v>177</v>
      </c>
      <c r="O859" s="55" t="s">
        <v>178</v>
      </c>
    </row>
    <row r="860" spans="2:15">
      <c r="B860" s="20">
        <v>44911</v>
      </c>
      <c r="C860" s="59">
        <v>40009546</v>
      </c>
      <c r="D860" s="55" t="s">
        <v>174</v>
      </c>
      <c r="E860" s="67">
        <v>756</v>
      </c>
      <c r="F860" s="67">
        <v>4</v>
      </c>
      <c r="G860" s="102">
        <v>3024</v>
      </c>
      <c r="H860" s="56" t="s">
        <v>80</v>
      </c>
      <c r="I860" s="106"/>
      <c r="K860" s="56">
        <v>262</v>
      </c>
      <c r="L860" s="55" t="s">
        <v>176</v>
      </c>
      <c r="M860" s="55" t="s">
        <v>2824</v>
      </c>
      <c r="N860" s="4" t="s">
        <v>177</v>
      </c>
      <c r="O860" s="55" t="s">
        <v>178</v>
      </c>
    </row>
    <row r="861" spans="2:15">
      <c r="B861" s="20">
        <v>44911</v>
      </c>
      <c r="C861" s="59">
        <v>50507916</v>
      </c>
      <c r="D861" s="55" t="s">
        <v>406</v>
      </c>
      <c r="E861" s="67">
        <v>264000</v>
      </c>
      <c r="F861" s="67">
        <v>4</v>
      </c>
      <c r="G861" s="102">
        <v>1056000</v>
      </c>
      <c r="H861" s="56" t="s">
        <v>92</v>
      </c>
      <c r="I861" s="106"/>
      <c r="K861" s="56">
        <v>262</v>
      </c>
      <c r="L861" s="55" t="s">
        <v>176</v>
      </c>
      <c r="M861" s="55" t="s">
        <v>2824</v>
      </c>
      <c r="N861" s="4" t="s">
        <v>177</v>
      </c>
      <c r="O861" s="55" t="s">
        <v>178</v>
      </c>
    </row>
    <row r="862" spans="2:15">
      <c r="B862" s="20">
        <v>44911</v>
      </c>
      <c r="C862" s="59">
        <v>50509889</v>
      </c>
      <c r="D862" s="55" t="s">
        <v>671</v>
      </c>
      <c r="E862" s="67">
        <v>264000</v>
      </c>
      <c r="F862" s="67">
        <v>3</v>
      </c>
      <c r="G862" s="102">
        <v>737000</v>
      </c>
      <c r="H862" s="56" t="s">
        <v>92</v>
      </c>
      <c r="I862" s="106"/>
      <c r="K862" s="56">
        <v>262</v>
      </c>
      <c r="L862" s="55" t="s">
        <v>176</v>
      </c>
      <c r="M862" s="55" t="s">
        <v>2824</v>
      </c>
      <c r="N862" s="4" t="s">
        <v>177</v>
      </c>
      <c r="O862" s="55" t="s">
        <v>178</v>
      </c>
    </row>
    <row r="863" spans="2:15">
      <c r="B863" s="20">
        <v>44911</v>
      </c>
      <c r="C863" s="59">
        <v>50794589</v>
      </c>
      <c r="D863" s="55" t="s">
        <v>594</v>
      </c>
      <c r="E863" s="67">
        <v>550</v>
      </c>
      <c r="F863" s="67">
        <v>5</v>
      </c>
      <c r="G863" s="102">
        <v>2587.95</v>
      </c>
      <c r="H863" s="56" t="s">
        <v>82</v>
      </c>
      <c r="I863" s="106"/>
      <c r="K863" s="56">
        <v>262</v>
      </c>
      <c r="L863" s="55" t="s">
        <v>176</v>
      </c>
      <c r="M863" s="55" t="s">
        <v>2824</v>
      </c>
      <c r="N863" s="4" t="s">
        <v>177</v>
      </c>
      <c r="O863" s="55" t="s">
        <v>178</v>
      </c>
    </row>
    <row r="864" spans="2:15">
      <c r="B864" s="20">
        <v>44911</v>
      </c>
      <c r="C864" s="59">
        <v>40011780</v>
      </c>
      <c r="D864" s="55" t="s">
        <v>584</v>
      </c>
      <c r="E864" s="67">
        <v>450</v>
      </c>
      <c r="F864" s="67">
        <v>2</v>
      </c>
      <c r="G864" s="102">
        <v>900</v>
      </c>
      <c r="H864" s="56" t="s">
        <v>80</v>
      </c>
      <c r="I864" s="106"/>
      <c r="K864" s="56">
        <v>262</v>
      </c>
      <c r="L864" s="55" t="s">
        <v>176</v>
      </c>
      <c r="M864" s="55" t="s">
        <v>2824</v>
      </c>
      <c r="N864" s="4" t="s">
        <v>177</v>
      </c>
      <c r="O864" s="55" t="s">
        <v>178</v>
      </c>
    </row>
    <row r="865" spans="2:15">
      <c r="B865" s="20">
        <v>44914</v>
      </c>
      <c r="C865" s="59">
        <v>50507916</v>
      </c>
      <c r="D865" s="55" t="s">
        <v>406</v>
      </c>
      <c r="E865" s="67">
        <v>264000</v>
      </c>
      <c r="F865" s="67">
        <v>6</v>
      </c>
      <c r="G865" s="102">
        <v>1584000</v>
      </c>
      <c r="H865" s="56" t="s">
        <v>92</v>
      </c>
      <c r="I865" s="106"/>
      <c r="K865" s="56">
        <v>263</v>
      </c>
      <c r="L865" s="55" t="s">
        <v>176</v>
      </c>
      <c r="M865" s="55" t="s">
        <v>2824</v>
      </c>
      <c r="N865" s="4" t="s">
        <v>193</v>
      </c>
      <c r="O865" s="55" t="s">
        <v>178</v>
      </c>
    </row>
    <row r="866" spans="2:15">
      <c r="B866" s="20">
        <v>44914</v>
      </c>
      <c r="C866" s="59">
        <v>40010087</v>
      </c>
      <c r="D866" s="55" t="s">
        <v>387</v>
      </c>
      <c r="E866" s="67">
        <v>756</v>
      </c>
      <c r="F866" s="67">
        <v>7</v>
      </c>
      <c r="G866" s="102">
        <v>5292</v>
      </c>
      <c r="H866" s="56" t="s">
        <v>80</v>
      </c>
      <c r="I866" s="106"/>
      <c r="K866" s="56">
        <v>263</v>
      </c>
      <c r="L866" s="55" t="s">
        <v>176</v>
      </c>
      <c r="M866" s="55" t="s">
        <v>2824</v>
      </c>
      <c r="N866" s="4" t="s">
        <v>193</v>
      </c>
      <c r="O866" s="55" t="s">
        <v>178</v>
      </c>
    </row>
    <row r="867" spans="2:15">
      <c r="B867" s="20">
        <v>44914</v>
      </c>
      <c r="C867" s="59">
        <v>40011129</v>
      </c>
      <c r="D867" s="55" t="s">
        <v>79</v>
      </c>
      <c r="E867" s="67">
        <v>3528</v>
      </c>
      <c r="F867" s="67">
        <v>2</v>
      </c>
      <c r="G867" s="102">
        <v>5447</v>
      </c>
      <c r="H867" s="56" t="s">
        <v>80</v>
      </c>
      <c r="I867" s="106"/>
      <c r="K867" s="56">
        <v>263</v>
      </c>
      <c r="L867" s="55" t="s">
        <v>176</v>
      </c>
      <c r="M867" s="55" t="s">
        <v>2824</v>
      </c>
      <c r="N867" s="4" t="s">
        <v>193</v>
      </c>
      <c r="O867" s="55" t="s">
        <v>178</v>
      </c>
    </row>
    <row r="868" spans="2:15">
      <c r="B868" s="20">
        <v>44914</v>
      </c>
      <c r="C868" s="59">
        <v>40007942</v>
      </c>
      <c r="D868" s="55" t="s">
        <v>219</v>
      </c>
      <c r="E868" s="67">
        <v>3528</v>
      </c>
      <c r="F868" s="67">
        <v>5</v>
      </c>
      <c r="G868" s="102">
        <v>12403</v>
      </c>
      <c r="H868" s="56" t="s">
        <v>80</v>
      </c>
      <c r="I868" s="106"/>
      <c r="K868" s="56">
        <v>263</v>
      </c>
      <c r="L868" s="55" t="s">
        <v>176</v>
      </c>
      <c r="M868" s="55" t="s">
        <v>2824</v>
      </c>
      <c r="N868" s="4" t="s">
        <v>193</v>
      </c>
      <c r="O868" s="55" t="s">
        <v>178</v>
      </c>
    </row>
    <row r="869" spans="2:15">
      <c r="B869" s="20">
        <v>44914</v>
      </c>
      <c r="C869" s="59">
        <v>50337816</v>
      </c>
      <c r="D869" s="55" t="s">
        <v>245</v>
      </c>
      <c r="E869" s="67">
        <v>264</v>
      </c>
      <c r="F869" s="67">
        <v>3</v>
      </c>
      <c r="G869" s="102">
        <v>801</v>
      </c>
      <c r="H869" s="56" t="s">
        <v>80</v>
      </c>
      <c r="I869" s="106"/>
      <c r="K869" s="56">
        <v>263</v>
      </c>
      <c r="L869" s="55" t="s">
        <v>176</v>
      </c>
      <c r="M869" s="55" t="s">
        <v>2824</v>
      </c>
      <c r="N869" s="4" t="s">
        <v>193</v>
      </c>
      <c r="O869" s="55" t="s">
        <v>178</v>
      </c>
    </row>
    <row r="870" spans="2:15">
      <c r="B870" s="20">
        <v>44915</v>
      </c>
      <c r="C870" s="59">
        <v>50144376</v>
      </c>
      <c r="D870" s="55" t="s">
        <v>19</v>
      </c>
      <c r="E870" s="67">
        <v>500</v>
      </c>
      <c r="F870" s="67">
        <v>20</v>
      </c>
      <c r="G870" s="102">
        <v>10000</v>
      </c>
      <c r="H870" s="105" t="s">
        <v>92</v>
      </c>
      <c r="I870" s="106"/>
      <c r="K870" s="56">
        <v>264</v>
      </c>
      <c r="L870" s="55" t="s">
        <v>176</v>
      </c>
      <c r="M870" s="55" t="s">
        <v>2824</v>
      </c>
      <c r="N870" s="4" t="s">
        <v>193</v>
      </c>
      <c r="O870" s="55" t="s">
        <v>178</v>
      </c>
    </row>
    <row r="871" spans="2:15">
      <c r="B871" s="20">
        <v>44915</v>
      </c>
      <c r="C871" s="59">
        <v>50144959</v>
      </c>
      <c r="D871" s="55" t="s">
        <v>346</v>
      </c>
      <c r="E871" s="67">
        <v>1000</v>
      </c>
      <c r="F871" s="67">
        <v>14</v>
      </c>
      <c r="G871" s="102">
        <v>14000</v>
      </c>
      <c r="H871" s="56" t="s">
        <v>92</v>
      </c>
      <c r="I871" s="106"/>
      <c r="K871" s="56">
        <v>265</v>
      </c>
      <c r="L871" s="55" t="s">
        <v>176</v>
      </c>
      <c r="M871" s="55" t="s">
        <v>2824</v>
      </c>
      <c r="N871" s="4" t="s">
        <v>193</v>
      </c>
      <c r="O871" s="55" t="s">
        <v>178</v>
      </c>
    </row>
    <row r="872" spans="2:15">
      <c r="B872" s="20">
        <v>44915</v>
      </c>
      <c r="C872" s="59">
        <v>50509889</v>
      </c>
      <c r="D872" s="55" t="s">
        <v>671</v>
      </c>
      <c r="E872" s="67">
        <v>264000</v>
      </c>
      <c r="F872" s="67">
        <v>8</v>
      </c>
      <c r="G872" s="102">
        <v>2112000</v>
      </c>
      <c r="H872" s="56" t="s">
        <v>92</v>
      </c>
      <c r="I872" s="106"/>
      <c r="K872" s="56">
        <v>265</v>
      </c>
      <c r="L872" s="55" t="s">
        <v>176</v>
      </c>
      <c r="M872" s="55" t="s">
        <v>2824</v>
      </c>
      <c r="N872" s="4" t="s">
        <v>193</v>
      </c>
      <c r="O872" s="55" t="s">
        <v>178</v>
      </c>
    </row>
    <row r="873" spans="2:15">
      <c r="B873" s="20">
        <v>44915</v>
      </c>
      <c r="C873" s="59">
        <v>50144376</v>
      </c>
      <c r="D873" s="55" t="s">
        <v>19</v>
      </c>
      <c r="E873" s="67">
        <v>500</v>
      </c>
      <c r="F873" s="67">
        <v>16</v>
      </c>
      <c r="G873" s="102">
        <v>3000</v>
      </c>
      <c r="H873" s="105" t="s">
        <v>92</v>
      </c>
      <c r="I873" s="106"/>
      <c r="K873" s="56">
        <v>266</v>
      </c>
      <c r="L873" s="55" t="s">
        <v>176</v>
      </c>
      <c r="M873" s="55" t="s">
        <v>2824</v>
      </c>
      <c r="N873" s="4" t="s">
        <v>193</v>
      </c>
      <c r="O873" s="55" t="s">
        <v>178</v>
      </c>
    </row>
    <row r="874" spans="2:15">
      <c r="B874" s="20">
        <v>44915</v>
      </c>
      <c r="C874" s="59">
        <v>50272278</v>
      </c>
      <c r="D874" s="55" t="s">
        <v>21</v>
      </c>
      <c r="E874" s="67">
        <v>500</v>
      </c>
      <c r="F874" s="67">
        <v>6</v>
      </c>
      <c r="G874" s="102">
        <v>8000</v>
      </c>
      <c r="H874" s="56" t="s">
        <v>92</v>
      </c>
      <c r="I874" s="106"/>
      <c r="K874" s="56">
        <v>266</v>
      </c>
      <c r="L874" s="55" t="s">
        <v>176</v>
      </c>
      <c r="M874" s="55" t="s">
        <v>2824</v>
      </c>
      <c r="N874" s="4" t="s">
        <v>193</v>
      </c>
      <c r="O874" s="55" t="s">
        <v>178</v>
      </c>
    </row>
    <row r="875" spans="2:15">
      <c r="B875" s="20">
        <v>44916</v>
      </c>
      <c r="C875" s="59">
        <v>50144960</v>
      </c>
      <c r="D875" s="55" t="s">
        <v>264</v>
      </c>
      <c r="E875" s="67">
        <v>15330</v>
      </c>
      <c r="F875" s="67">
        <v>2</v>
      </c>
      <c r="G875" s="102">
        <v>30660</v>
      </c>
      <c r="H875" s="56" t="s">
        <v>92</v>
      </c>
      <c r="I875" s="106"/>
      <c r="K875" s="56">
        <v>267</v>
      </c>
      <c r="L875" s="55" t="s">
        <v>176</v>
      </c>
      <c r="M875" s="55" t="s">
        <v>2824</v>
      </c>
      <c r="N875" s="4" t="s">
        <v>177</v>
      </c>
      <c r="O875" s="55" t="s">
        <v>178</v>
      </c>
    </row>
    <row r="876" spans="2:15">
      <c r="B876" s="20">
        <v>44916</v>
      </c>
      <c r="C876" s="59">
        <v>50144959</v>
      </c>
      <c r="D876" s="55" t="s">
        <v>346</v>
      </c>
      <c r="E876" s="67">
        <v>1000</v>
      </c>
      <c r="F876" s="67">
        <v>7</v>
      </c>
      <c r="G876" s="102">
        <v>6500</v>
      </c>
      <c r="H876" s="56" t="s">
        <v>92</v>
      </c>
      <c r="I876" s="106"/>
      <c r="K876" s="56">
        <v>267</v>
      </c>
      <c r="L876" s="55" t="s">
        <v>176</v>
      </c>
      <c r="M876" s="55" t="s">
        <v>2824</v>
      </c>
      <c r="N876" s="4" t="s">
        <v>177</v>
      </c>
      <c r="O876" s="55" t="s">
        <v>178</v>
      </c>
    </row>
    <row r="877" spans="2:15">
      <c r="B877" s="20">
        <v>44916</v>
      </c>
      <c r="C877" s="59">
        <v>50489210</v>
      </c>
      <c r="D877" s="55" t="s">
        <v>373</v>
      </c>
      <c r="E877" s="67">
        <v>650</v>
      </c>
      <c r="F877" s="67">
        <v>1</v>
      </c>
      <c r="G877" s="102">
        <v>650</v>
      </c>
      <c r="H877" s="56" t="s">
        <v>92</v>
      </c>
      <c r="I877" s="106"/>
      <c r="K877" s="56">
        <v>267</v>
      </c>
      <c r="L877" s="55" t="s">
        <v>176</v>
      </c>
      <c r="M877" s="55" t="s">
        <v>2824</v>
      </c>
      <c r="N877" s="4" t="s">
        <v>177</v>
      </c>
      <c r="O877" s="55" t="s">
        <v>178</v>
      </c>
    </row>
    <row r="878" spans="2:15">
      <c r="B878" s="20">
        <v>44916</v>
      </c>
      <c r="C878" s="59">
        <v>50417515</v>
      </c>
      <c r="D878" s="55" t="s">
        <v>283</v>
      </c>
      <c r="E878" s="67">
        <v>561</v>
      </c>
      <c r="F878" s="67">
        <v>3</v>
      </c>
      <c r="G878" s="102">
        <v>827.511</v>
      </c>
      <c r="H878" s="56" t="s">
        <v>82</v>
      </c>
      <c r="I878" s="106"/>
      <c r="K878" s="56">
        <v>267</v>
      </c>
      <c r="L878" s="55" t="s">
        <v>176</v>
      </c>
      <c r="M878" s="55" t="s">
        <v>2824</v>
      </c>
      <c r="N878" s="4" t="s">
        <v>177</v>
      </c>
      <c r="O878" s="55" t="s">
        <v>178</v>
      </c>
    </row>
    <row r="879" spans="2:15">
      <c r="B879" s="20">
        <v>44916</v>
      </c>
      <c r="C879" s="59">
        <v>50486297</v>
      </c>
      <c r="D879" s="55" t="s">
        <v>441</v>
      </c>
      <c r="E879" s="67">
        <v>540</v>
      </c>
      <c r="F879" s="67">
        <v>1</v>
      </c>
      <c r="G879" s="102">
        <v>540</v>
      </c>
      <c r="H879" s="56" t="s">
        <v>92</v>
      </c>
      <c r="I879" s="106"/>
      <c r="K879" s="56">
        <v>267</v>
      </c>
      <c r="L879" s="55" t="s">
        <v>176</v>
      </c>
      <c r="M879" s="55" t="s">
        <v>2824</v>
      </c>
      <c r="N879" s="4" t="s">
        <v>177</v>
      </c>
      <c r="O879" s="55" t="s">
        <v>178</v>
      </c>
    </row>
    <row r="880" spans="2:15">
      <c r="B880" s="20">
        <v>44916</v>
      </c>
      <c r="C880" s="59">
        <v>50144954</v>
      </c>
      <c r="D880" s="55" t="s">
        <v>268</v>
      </c>
      <c r="E880" s="67">
        <v>3000</v>
      </c>
      <c r="F880" s="67">
        <v>6</v>
      </c>
      <c r="G880" s="102">
        <v>14500</v>
      </c>
      <c r="H880" s="56" t="s">
        <v>92</v>
      </c>
      <c r="I880" s="106"/>
      <c r="K880" s="56">
        <v>267</v>
      </c>
      <c r="L880" s="55" t="s">
        <v>176</v>
      </c>
      <c r="M880" s="55" t="s">
        <v>2824</v>
      </c>
      <c r="N880" s="4" t="s">
        <v>177</v>
      </c>
      <c r="O880" s="55" t="s">
        <v>178</v>
      </c>
    </row>
    <row r="881" spans="2:15">
      <c r="B881" s="20">
        <v>44916</v>
      </c>
      <c r="C881" s="59">
        <v>50785688</v>
      </c>
      <c r="D881" s="55" t="s">
        <v>457</v>
      </c>
      <c r="E881" s="67">
        <v>462</v>
      </c>
      <c r="F881" s="67">
        <v>1</v>
      </c>
      <c r="G881" s="102">
        <v>462</v>
      </c>
      <c r="H881" s="56" t="s">
        <v>82</v>
      </c>
      <c r="I881" s="106"/>
      <c r="K881" s="56">
        <v>267</v>
      </c>
      <c r="L881" s="55" t="s">
        <v>176</v>
      </c>
      <c r="M881" s="55" t="s">
        <v>2824</v>
      </c>
      <c r="N881" s="4" t="s">
        <v>177</v>
      </c>
      <c r="O881" s="55" t="s">
        <v>178</v>
      </c>
    </row>
    <row r="882" spans="2:15">
      <c r="B882" s="20">
        <v>44916</v>
      </c>
      <c r="C882" s="59">
        <v>50477970</v>
      </c>
      <c r="D882" s="55" t="s">
        <v>280</v>
      </c>
      <c r="E882" s="67">
        <v>294.9</v>
      </c>
      <c r="F882" s="67">
        <v>1</v>
      </c>
      <c r="G882" s="102">
        <v>294.9</v>
      </c>
      <c r="H882" s="56" t="s">
        <v>82</v>
      </c>
      <c r="I882" s="106"/>
      <c r="K882" s="56">
        <v>267</v>
      </c>
      <c r="L882" s="55" t="s">
        <v>176</v>
      </c>
      <c r="M882" s="55" t="s">
        <v>2824</v>
      </c>
      <c r="N882" s="4" t="s">
        <v>177</v>
      </c>
      <c r="O882" s="55" t="s">
        <v>178</v>
      </c>
    </row>
    <row r="883" spans="2:15">
      <c r="B883" s="20">
        <v>44916</v>
      </c>
      <c r="C883" s="59">
        <v>50460510</v>
      </c>
      <c r="D883" s="55" t="s">
        <v>371</v>
      </c>
      <c r="E883" s="67">
        <v>740</v>
      </c>
      <c r="F883" s="67">
        <v>1</v>
      </c>
      <c r="G883" s="102">
        <v>740</v>
      </c>
      <c r="H883" s="56" t="s">
        <v>92</v>
      </c>
      <c r="I883" s="106"/>
      <c r="K883" s="56">
        <v>267</v>
      </c>
      <c r="L883" s="55" t="s">
        <v>176</v>
      </c>
      <c r="M883" s="55" t="s">
        <v>2824</v>
      </c>
      <c r="N883" s="4" t="s">
        <v>177</v>
      </c>
      <c r="O883" s="55" t="s">
        <v>178</v>
      </c>
    </row>
    <row r="884" spans="2:15">
      <c r="B884" s="20">
        <v>44916</v>
      </c>
      <c r="C884" s="59">
        <v>50493248</v>
      </c>
      <c r="D884" s="55" t="s">
        <v>437</v>
      </c>
      <c r="E884" s="67">
        <v>450</v>
      </c>
      <c r="F884" s="67">
        <v>1</v>
      </c>
      <c r="G884" s="102">
        <v>450</v>
      </c>
      <c r="H884" s="56" t="s">
        <v>82</v>
      </c>
      <c r="I884" s="106"/>
      <c r="K884" s="56">
        <v>267</v>
      </c>
      <c r="L884" s="55" t="s">
        <v>176</v>
      </c>
      <c r="M884" s="55" t="s">
        <v>2824</v>
      </c>
      <c r="N884" s="4" t="s">
        <v>177</v>
      </c>
      <c r="O884" s="55" t="s">
        <v>178</v>
      </c>
    </row>
    <row r="885" spans="2:15">
      <c r="B885" s="20">
        <v>44916</v>
      </c>
      <c r="C885" s="59">
        <v>50145031</v>
      </c>
      <c r="D885" s="55" t="s">
        <v>282</v>
      </c>
      <c r="E885" s="67">
        <v>1010</v>
      </c>
      <c r="F885" s="67">
        <v>2</v>
      </c>
      <c r="G885" s="102">
        <v>1010</v>
      </c>
      <c r="H885" s="56" t="s">
        <v>82</v>
      </c>
      <c r="I885" s="106"/>
      <c r="K885" s="56">
        <v>267</v>
      </c>
      <c r="L885" s="55" t="s">
        <v>176</v>
      </c>
      <c r="M885" s="55" t="s">
        <v>2824</v>
      </c>
      <c r="N885" s="4" t="s">
        <v>177</v>
      </c>
      <c r="O885" s="55" t="s">
        <v>178</v>
      </c>
    </row>
    <row r="886" spans="2:15">
      <c r="B886" s="20">
        <v>44916</v>
      </c>
      <c r="C886" s="59">
        <v>50429169</v>
      </c>
      <c r="D886" s="55" t="s">
        <v>295</v>
      </c>
      <c r="E886" s="67">
        <v>64000</v>
      </c>
      <c r="F886" s="67">
        <v>1</v>
      </c>
      <c r="G886" s="102">
        <v>459000</v>
      </c>
      <c r="H886" s="56" t="s">
        <v>92</v>
      </c>
      <c r="I886" s="106"/>
      <c r="K886" s="56">
        <v>267</v>
      </c>
      <c r="L886" s="55" t="s">
        <v>176</v>
      </c>
      <c r="M886" s="55" t="s">
        <v>2824</v>
      </c>
      <c r="N886" s="4" t="s">
        <v>177</v>
      </c>
      <c r="O886" s="55" t="s">
        <v>178</v>
      </c>
    </row>
    <row r="887" spans="2:15">
      <c r="B887" s="20">
        <v>44916</v>
      </c>
      <c r="C887" s="59">
        <v>50429173</v>
      </c>
      <c r="D887" s="55" t="s">
        <v>296</v>
      </c>
      <c r="E887" s="67">
        <v>64000</v>
      </c>
      <c r="F887" s="67">
        <v>1</v>
      </c>
      <c r="G887" s="102">
        <v>459000</v>
      </c>
      <c r="H887" s="56" t="s">
        <v>92</v>
      </c>
      <c r="I887" s="106"/>
      <c r="K887" s="56">
        <v>267</v>
      </c>
      <c r="L887" s="55" t="s">
        <v>176</v>
      </c>
      <c r="M887" s="55" t="s">
        <v>2824</v>
      </c>
      <c r="N887" s="4" t="s">
        <v>177</v>
      </c>
      <c r="O887" s="55" t="s">
        <v>178</v>
      </c>
    </row>
    <row r="888" spans="2:15">
      <c r="B888" s="20">
        <v>44916</v>
      </c>
      <c r="C888" s="59">
        <v>50429168</v>
      </c>
      <c r="D888" s="55" t="s">
        <v>294</v>
      </c>
      <c r="E888" s="67">
        <v>64000</v>
      </c>
      <c r="F888" s="67">
        <v>1</v>
      </c>
      <c r="G888" s="102">
        <v>459000</v>
      </c>
      <c r="H888" s="56" t="s">
        <v>92</v>
      </c>
      <c r="I888" s="106"/>
      <c r="K888" s="56">
        <v>267</v>
      </c>
      <c r="L888" s="55" t="s">
        <v>176</v>
      </c>
      <c r="M888" s="55" t="s">
        <v>2824</v>
      </c>
      <c r="N888" s="4" t="s">
        <v>177</v>
      </c>
      <c r="O888" s="55" t="s">
        <v>178</v>
      </c>
    </row>
    <row r="889" spans="2:15">
      <c r="B889" s="20">
        <v>44916</v>
      </c>
      <c r="C889" s="59">
        <v>50455588</v>
      </c>
      <c r="D889" s="55" t="s">
        <v>260</v>
      </c>
      <c r="E889" s="101">
        <v>48000</v>
      </c>
      <c r="F889" s="101">
        <v>10</v>
      </c>
      <c r="G889" s="102">
        <v>476000</v>
      </c>
      <c r="H889" s="56" t="s">
        <v>92</v>
      </c>
      <c r="I889" s="106"/>
      <c r="K889" s="56">
        <v>267</v>
      </c>
      <c r="L889" s="55" t="s">
        <v>176</v>
      </c>
      <c r="M889" s="55" t="s">
        <v>2824</v>
      </c>
      <c r="N889" s="4" t="s">
        <v>177</v>
      </c>
      <c r="O889" s="55" t="s">
        <v>178</v>
      </c>
    </row>
    <row r="890" spans="2:15">
      <c r="B890" s="20">
        <v>44916</v>
      </c>
      <c r="C890" s="59">
        <v>50455771</v>
      </c>
      <c r="D890" s="55" t="s">
        <v>261</v>
      </c>
      <c r="E890" s="101">
        <v>64000</v>
      </c>
      <c r="F890" s="101">
        <v>8</v>
      </c>
      <c r="G890" s="102">
        <v>476000</v>
      </c>
      <c r="H890" s="56" t="s">
        <v>92</v>
      </c>
      <c r="I890" s="106"/>
      <c r="K890" s="56">
        <v>267</v>
      </c>
      <c r="L890" s="55" t="s">
        <v>176</v>
      </c>
      <c r="M890" s="55" t="s">
        <v>2824</v>
      </c>
      <c r="N890" s="4" t="s">
        <v>177</v>
      </c>
      <c r="O890" s="55" t="s">
        <v>178</v>
      </c>
    </row>
    <row r="891" spans="2:15">
      <c r="B891" s="20">
        <v>44916</v>
      </c>
      <c r="C891" s="59">
        <v>50455772</v>
      </c>
      <c r="D891" s="55" t="s">
        <v>258</v>
      </c>
      <c r="E891" s="101">
        <v>30000</v>
      </c>
      <c r="F891" s="101">
        <v>16</v>
      </c>
      <c r="G891" s="102">
        <v>476000</v>
      </c>
      <c r="H891" s="56" t="s">
        <v>92</v>
      </c>
      <c r="I891" s="106"/>
      <c r="K891" s="56">
        <v>267</v>
      </c>
      <c r="L891" s="55" t="s">
        <v>176</v>
      </c>
      <c r="M891" s="55" t="s">
        <v>2824</v>
      </c>
      <c r="N891" s="4" t="s">
        <v>177</v>
      </c>
      <c r="O891" s="55" t="s">
        <v>178</v>
      </c>
    </row>
    <row r="892" spans="2:15">
      <c r="B892" s="20">
        <v>44916</v>
      </c>
      <c r="C892" s="59">
        <v>50455989</v>
      </c>
      <c r="D892" s="55" t="s">
        <v>305</v>
      </c>
      <c r="E892" s="67">
        <v>30000</v>
      </c>
      <c r="F892" s="67">
        <v>1</v>
      </c>
      <c r="G892" s="102">
        <v>272000</v>
      </c>
      <c r="H892" s="56" t="s">
        <v>92</v>
      </c>
      <c r="I892" s="106"/>
      <c r="K892" s="56">
        <v>267</v>
      </c>
      <c r="L892" s="55" t="s">
        <v>176</v>
      </c>
      <c r="M892" s="55" t="s">
        <v>2824</v>
      </c>
      <c r="N892" s="4" t="s">
        <v>177</v>
      </c>
      <c r="O892" s="55" t="s">
        <v>178</v>
      </c>
    </row>
    <row r="893" spans="2:15">
      <c r="B893" s="20">
        <v>44916</v>
      </c>
      <c r="C893" s="59">
        <v>50455990</v>
      </c>
      <c r="D893" s="55" t="s">
        <v>303</v>
      </c>
      <c r="E893" s="67">
        <v>30000</v>
      </c>
      <c r="F893" s="67">
        <v>1</v>
      </c>
      <c r="G893" s="102">
        <v>272000</v>
      </c>
      <c r="H893" s="56" t="s">
        <v>92</v>
      </c>
      <c r="I893" s="106"/>
      <c r="K893" s="56">
        <v>267</v>
      </c>
      <c r="L893" s="55" t="s">
        <v>176</v>
      </c>
      <c r="M893" s="55" t="s">
        <v>2824</v>
      </c>
      <c r="N893" s="4" t="s">
        <v>177</v>
      </c>
      <c r="O893" s="55" t="s">
        <v>178</v>
      </c>
    </row>
    <row r="894" spans="2:15">
      <c r="B894" s="20">
        <v>44916</v>
      </c>
      <c r="C894" s="59">
        <v>50455988</v>
      </c>
      <c r="D894" s="55" t="s">
        <v>304</v>
      </c>
      <c r="E894" s="67">
        <v>30000</v>
      </c>
      <c r="F894" s="67">
        <v>1</v>
      </c>
      <c r="G894" s="102">
        <v>272000</v>
      </c>
      <c r="H894" s="56" t="s">
        <v>92</v>
      </c>
      <c r="I894" s="106"/>
      <c r="K894" s="56">
        <v>267</v>
      </c>
      <c r="L894" s="55" t="s">
        <v>176</v>
      </c>
      <c r="M894" s="55" t="s">
        <v>2824</v>
      </c>
      <c r="N894" s="4" t="s">
        <v>177</v>
      </c>
      <c r="O894" s="55" t="s">
        <v>178</v>
      </c>
    </row>
    <row r="895" spans="2:15">
      <c r="B895" s="20">
        <v>44917</v>
      </c>
      <c r="C895" s="59">
        <v>40011148</v>
      </c>
      <c r="D895" s="55" t="s">
        <v>86</v>
      </c>
      <c r="E895" s="67">
        <v>450</v>
      </c>
      <c r="F895" s="67">
        <v>4</v>
      </c>
      <c r="G895" s="102">
        <v>1800</v>
      </c>
      <c r="H895" s="56" t="s">
        <v>80</v>
      </c>
      <c r="I895" s="106"/>
      <c r="K895" s="56">
        <v>268</v>
      </c>
      <c r="L895" s="55" t="s">
        <v>176</v>
      </c>
      <c r="M895" s="55" t="s">
        <v>2824</v>
      </c>
      <c r="N895" s="4" t="s">
        <v>193</v>
      </c>
      <c r="O895" s="55" t="s">
        <v>178</v>
      </c>
    </row>
    <row r="896" spans="2:15">
      <c r="B896" s="20">
        <v>44917</v>
      </c>
      <c r="C896" s="59">
        <v>40011133</v>
      </c>
      <c r="D896" s="55" t="s">
        <v>634</v>
      </c>
      <c r="E896" s="67">
        <v>756</v>
      </c>
      <c r="F896" s="67">
        <v>4</v>
      </c>
      <c r="G896" s="102">
        <v>3024</v>
      </c>
      <c r="H896" s="56" t="s">
        <v>80</v>
      </c>
      <c r="I896" s="106"/>
      <c r="K896" s="56">
        <v>268</v>
      </c>
      <c r="L896" s="55" t="s">
        <v>176</v>
      </c>
      <c r="M896" s="55" t="s">
        <v>2824</v>
      </c>
      <c r="N896" s="4" t="s">
        <v>193</v>
      </c>
      <c r="O896" s="55" t="s">
        <v>178</v>
      </c>
    </row>
    <row r="897" spans="2:15">
      <c r="B897" s="20">
        <v>44917</v>
      </c>
      <c r="C897" s="59">
        <v>50143875</v>
      </c>
      <c r="D897" s="55" t="s">
        <v>713</v>
      </c>
      <c r="E897" s="67">
        <v>400</v>
      </c>
      <c r="G897" s="102">
        <v>10000</v>
      </c>
      <c r="H897" s="56" t="s">
        <v>92</v>
      </c>
      <c r="I897" s="106"/>
      <c r="K897" s="56">
        <v>268</v>
      </c>
      <c r="L897" s="55" t="s">
        <v>176</v>
      </c>
      <c r="M897" s="55" t="s">
        <v>2824</v>
      </c>
      <c r="N897" s="4" t="s">
        <v>193</v>
      </c>
      <c r="O897" s="55" t="s">
        <v>178</v>
      </c>
    </row>
    <row r="898" spans="2:15">
      <c r="B898" s="20">
        <v>44917</v>
      </c>
      <c r="C898" s="59">
        <v>50144376</v>
      </c>
      <c r="D898" s="55" t="s">
        <v>19</v>
      </c>
      <c r="E898" s="67">
        <v>500</v>
      </c>
      <c r="F898" s="67">
        <v>10</v>
      </c>
      <c r="G898" s="102">
        <v>5000</v>
      </c>
      <c r="H898" s="105" t="s">
        <v>92</v>
      </c>
      <c r="I898" s="106"/>
      <c r="K898" s="56">
        <v>268</v>
      </c>
      <c r="L898" s="55" t="s">
        <v>176</v>
      </c>
      <c r="M898" s="55" t="s">
        <v>2824</v>
      </c>
      <c r="N898" s="4" t="s">
        <v>193</v>
      </c>
      <c r="O898" s="55" t="s">
        <v>178</v>
      </c>
    </row>
    <row r="899" spans="2:15">
      <c r="B899" s="20">
        <v>44917</v>
      </c>
      <c r="C899" s="59">
        <v>40011080</v>
      </c>
      <c r="D899" s="55" t="s">
        <v>420</v>
      </c>
      <c r="E899" s="67">
        <v>450</v>
      </c>
      <c r="F899" s="67">
        <v>1</v>
      </c>
      <c r="G899" s="102">
        <v>450</v>
      </c>
      <c r="H899" s="56" t="s">
        <v>80</v>
      </c>
      <c r="I899" s="106"/>
      <c r="K899" s="56">
        <v>268</v>
      </c>
      <c r="L899" s="55" t="s">
        <v>176</v>
      </c>
      <c r="M899" s="55" t="s">
        <v>2824</v>
      </c>
      <c r="N899" s="4" t="s">
        <v>193</v>
      </c>
      <c r="O899" s="55" t="s">
        <v>178</v>
      </c>
    </row>
    <row r="900" spans="2:15">
      <c r="B900" s="20">
        <v>44917</v>
      </c>
      <c r="C900" s="59">
        <v>50382440</v>
      </c>
      <c r="D900" s="55" t="s">
        <v>273</v>
      </c>
      <c r="E900" s="67">
        <v>420000</v>
      </c>
      <c r="F900" s="67">
        <v>1</v>
      </c>
      <c r="G900" s="102">
        <v>420000</v>
      </c>
      <c r="H900" s="56" t="s">
        <v>80</v>
      </c>
      <c r="I900" s="106"/>
      <c r="K900" s="56">
        <v>268</v>
      </c>
      <c r="L900" s="55" t="s">
        <v>176</v>
      </c>
      <c r="M900" s="55" t="s">
        <v>2824</v>
      </c>
      <c r="N900" s="4" t="s">
        <v>193</v>
      </c>
      <c r="O900" s="55" t="s">
        <v>178</v>
      </c>
    </row>
    <row r="901" spans="2:15">
      <c r="B901" s="20">
        <v>44917</v>
      </c>
      <c r="C901" s="59">
        <v>50510331</v>
      </c>
      <c r="D901" s="55" t="s">
        <v>242</v>
      </c>
      <c r="E901" s="67">
        <v>456</v>
      </c>
      <c r="F901" s="67">
        <v>3</v>
      </c>
      <c r="G901" s="102">
        <v>1699.8</v>
      </c>
      <c r="H901" s="56" t="s">
        <v>82</v>
      </c>
      <c r="I901" s="106"/>
      <c r="K901" s="56">
        <v>269</v>
      </c>
      <c r="L901" s="55" t="s">
        <v>176</v>
      </c>
      <c r="M901" s="55" t="s">
        <v>2824</v>
      </c>
      <c r="N901" s="4" t="s">
        <v>193</v>
      </c>
      <c r="O901" s="55" t="s">
        <v>178</v>
      </c>
    </row>
    <row r="902" spans="2:15">
      <c r="B902" s="20">
        <v>44917</v>
      </c>
      <c r="C902" s="59">
        <v>50507916</v>
      </c>
      <c r="D902" s="55" t="s">
        <v>406</v>
      </c>
      <c r="E902" s="67">
        <v>264000</v>
      </c>
      <c r="F902" s="67">
        <v>3</v>
      </c>
      <c r="G902" s="102">
        <v>792000</v>
      </c>
      <c r="H902" s="56" t="s">
        <v>92</v>
      </c>
      <c r="I902" s="106"/>
      <c r="K902" s="56">
        <v>269</v>
      </c>
      <c r="L902" s="55" t="s">
        <v>176</v>
      </c>
      <c r="M902" s="55" t="s">
        <v>2824</v>
      </c>
      <c r="N902" s="4" t="s">
        <v>193</v>
      </c>
      <c r="O902" s="55" t="s">
        <v>178</v>
      </c>
    </row>
    <row r="903" spans="2:15">
      <c r="B903" s="20">
        <v>44917</v>
      </c>
      <c r="C903" s="59">
        <v>50522169</v>
      </c>
      <c r="D903" s="55" t="s">
        <v>250</v>
      </c>
      <c r="E903" s="67">
        <v>542.35</v>
      </c>
      <c r="F903" s="67">
        <v>6</v>
      </c>
      <c r="G903" s="102">
        <v>3268.9</v>
      </c>
      <c r="H903" s="56" t="s">
        <v>82</v>
      </c>
      <c r="I903" s="106"/>
      <c r="K903" s="56">
        <v>269</v>
      </c>
      <c r="L903" s="55" t="s">
        <v>176</v>
      </c>
      <c r="M903" s="55" t="s">
        <v>2824</v>
      </c>
      <c r="N903" s="4" t="s">
        <v>193</v>
      </c>
      <c r="O903" s="55" t="s">
        <v>178</v>
      </c>
    </row>
    <row r="904" spans="2:15">
      <c r="B904" s="20">
        <v>44917</v>
      </c>
      <c r="C904" s="59">
        <v>50010080</v>
      </c>
      <c r="D904" s="55" t="s">
        <v>354</v>
      </c>
      <c r="E904" s="67">
        <v>1000</v>
      </c>
      <c r="F904" s="67">
        <v>2</v>
      </c>
      <c r="G904" s="102">
        <v>2000</v>
      </c>
      <c r="H904" s="56" t="s">
        <v>82</v>
      </c>
      <c r="I904" s="106"/>
      <c r="K904" s="56">
        <v>269</v>
      </c>
      <c r="L904" s="55" t="s">
        <v>176</v>
      </c>
      <c r="M904" s="55" t="s">
        <v>2824</v>
      </c>
      <c r="N904" s="4" t="s">
        <v>193</v>
      </c>
      <c r="O904" s="55" t="s">
        <v>178</v>
      </c>
    </row>
    <row r="905" spans="2:15">
      <c r="B905" s="20">
        <v>44917</v>
      </c>
      <c r="C905" s="59">
        <v>50141533</v>
      </c>
      <c r="D905" s="55" t="s">
        <v>494</v>
      </c>
      <c r="E905" s="67">
        <v>1250</v>
      </c>
      <c r="F905" s="67">
        <v>1</v>
      </c>
      <c r="G905" s="102">
        <v>1250</v>
      </c>
      <c r="H905" s="56" t="s">
        <v>82</v>
      </c>
      <c r="I905" s="106"/>
      <c r="K905" s="56">
        <v>269</v>
      </c>
      <c r="L905" s="55" t="s">
        <v>176</v>
      </c>
      <c r="M905" s="55" t="s">
        <v>2824</v>
      </c>
      <c r="N905" s="4" t="s">
        <v>193</v>
      </c>
      <c r="O905" s="55" t="s">
        <v>178</v>
      </c>
    </row>
    <row r="906" spans="2:15">
      <c r="B906" s="20">
        <v>44917</v>
      </c>
      <c r="C906" s="59">
        <v>50142334</v>
      </c>
      <c r="D906" s="55" t="s">
        <v>257</v>
      </c>
      <c r="E906" s="67">
        <v>681</v>
      </c>
      <c r="F906" s="67">
        <v>2</v>
      </c>
      <c r="G906" s="102">
        <v>1362</v>
      </c>
      <c r="H906" s="56" t="s">
        <v>82</v>
      </c>
      <c r="I906" s="106"/>
      <c r="K906" s="56">
        <v>269</v>
      </c>
      <c r="L906" s="55" t="s">
        <v>176</v>
      </c>
      <c r="M906" s="55" t="s">
        <v>2824</v>
      </c>
      <c r="N906" s="4" t="s">
        <v>193</v>
      </c>
      <c r="O906" s="55" t="s">
        <v>178</v>
      </c>
    </row>
    <row r="907" spans="2:15">
      <c r="B907" s="20">
        <v>44917</v>
      </c>
      <c r="C907" s="59">
        <v>50142327</v>
      </c>
      <c r="D907" s="55" t="s">
        <v>256</v>
      </c>
      <c r="E907" s="67">
        <v>681</v>
      </c>
      <c r="F907" s="67">
        <v>1</v>
      </c>
      <c r="G907" s="102">
        <v>681</v>
      </c>
      <c r="H907" s="56" t="s">
        <v>82</v>
      </c>
      <c r="I907" s="106"/>
      <c r="K907" s="56">
        <v>269</v>
      </c>
      <c r="L907" s="55" t="s">
        <v>176</v>
      </c>
      <c r="M907" s="55" t="s">
        <v>2824</v>
      </c>
      <c r="N907" s="4" t="s">
        <v>193</v>
      </c>
      <c r="O907" s="55" t="s">
        <v>178</v>
      </c>
    </row>
    <row r="908" spans="2:15">
      <c r="B908" s="20">
        <v>44917</v>
      </c>
      <c r="C908" s="59">
        <v>50142281</v>
      </c>
      <c r="D908" s="55" t="s">
        <v>204</v>
      </c>
      <c r="E908" s="67">
        <v>450</v>
      </c>
      <c r="F908" s="67">
        <v>1</v>
      </c>
      <c r="G908" s="102">
        <v>450</v>
      </c>
      <c r="H908" s="56" t="s">
        <v>82</v>
      </c>
      <c r="I908" s="106"/>
      <c r="K908" s="56">
        <v>269</v>
      </c>
      <c r="L908" s="55" t="s">
        <v>176</v>
      </c>
      <c r="M908" s="55" t="s">
        <v>2824</v>
      </c>
      <c r="N908" s="4" t="s">
        <v>193</v>
      </c>
      <c r="O908" s="55" t="s">
        <v>178</v>
      </c>
    </row>
    <row r="909" spans="2:15">
      <c r="B909" s="20">
        <v>44917</v>
      </c>
      <c r="C909" s="108">
        <v>50522168</v>
      </c>
      <c r="D909" s="55" t="s">
        <v>252</v>
      </c>
      <c r="E909" s="67">
        <v>461.25</v>
      </c>
      <c r="F909" s="67">
        <v>1</v>
      </c>
      <c r="G909" s="102">
        <v>461.25</v>
      </c>
      <c r="H909" s="56" t="s">
        <v>82</v>
      </c>
      <c r="I909" s="106"/>
      <c r="K909" s="56">
        <v>269</v>
      </c>
      <c r="L909" s="55" t="s">
        <v>176</v>
      </c>
      <c r="M909" s="55" t="s">
        <v>2824</v>
      </c>
      <c r="N909" s="4" t="s">
        <v>193</v>
      </c>
      <c r="O909" s="55" t="s">
        <v>178</v>
      </c>
    </row>
    <row r="910" spans="2:15">
      <c r="B910" s="20">
        <v>44918</v>
      </c>
      <c r="C910" s="59">
        <v>50470190</v>
      </c>
      <c r="D910" s="55" t="s">
        <v>12</v>
      </c>
      <c r="E910" s="67">
        <v>289800</v>
      </c>
      <c r="F910" s="67">
        <v>18</v>
      </c>
      <c r="G910" s="102">
        <v>5216400</v>
      </c>
      <c r="H910" s="56" t="s">
        <v>92</v>
      </c>
      <c r="I910" s="106"/>
      <c r="K910" s="56">
        <v>270</v>
      </c>
      <c r="L910" s="55" t="s">
        <v>176</v>
      </c>
      <c r="M910" s="55" t="s">
        <v>2824</v>
      </c>
      <c r="N910" s="4" t="s">
        <v>193</v>
      </c>
      <c r="O910" s="55" t="s">
        <v>178</v>
      </c>
    </row>
    <row r="911" spans="2:15">
      <c r="B911" s="20">
        <v>44918</v>
      </c>
      <c r="C911" s="59">
        <v>50144376</v>
      </c>
      <c r="D911" s="55" t="s">
        <v>19</v>
      </c>
      <c r="E911" s="67">
        <v>500</v>
      </c>
      <c r="F911" s="67">
        <v>12</v>
      </c>
      <c r="G911" s="102">
        <v>6000</v>
      </c>
      <c r="H911" s="105" t="s">
        <v>92</v>
      </c>
      <c r="I911" s="106"/>
      <c r="K911" s="56">
        <v>271</v>
      </c>
      <c r="L911" s="55" t="s">
        <v>176</v>
      </c>
      <c r="M911" s="55" t="s">
        <v>2824</v>
      </c>
      <c r="N911" s="4" t="s">
        <v>193</v>
      </c>
      <c r="O911" s="55" t="s">
        <v>178</v>
      </c>
    </row>
    <row r="912" spans="2:15">
      <c r="B912" s="20">
        <v>44918</v>
      </c>
      <c r="C912" s="59">
        <v>50507916</v>
      </c>
      <c r="D912" s="55" t="s">
        <v>406</v>
      </c>
      <c r="E912" s="67">
        <v>264000</v>
      </c>
      <c r="F912" s="67">
        <v>6</v>
      </c>
      <c r="G912" s="102">
        <v>1584000</v>
      </c>
      <c r="H912" s="56" t="s">
        <v>92</v>
      </c>
      <c r="I912" s="106"/>
      <c r="K912" s="56">
        <v>272</v>
      </c>
      <c r="L912" s="55" t="s">
        <v>176</v>
      </c>
      <c r="M912" s="55" t="s">
        <v>2824</v>
      </c>
      <c r="N912" s="4" t="s">
        <v>193</v>
      </c>
      <c r="O912" s="55" t="s">
        <v>178</v>
      </c>
    </row>
    <row r="913" spans="2:15">
      <c r="B913" s="20">
        <v>44918</v>
      </c>
      <c r="C913" s="59">
        <v>40009546</v>
      </c>
      <c r="D913" s="55" t="s">
        <v>174</v>
      </c>
      <c r="E913" s="67">
        <v>756</v>
      </c>
      <c r="F913" s="67">
        <v>3</v>
      </c>
      <c r="G913" s="102">
        <v>2268</v>
      </c>
      <c r="H913" s="56" t="s">
        <v>80</v>
      </c>
      <c r="I913" s="106"/>
      <c r="K913" s="56">
        <v>272</v>
      </c>
      <c r="L913" s="55" t="s">
        <v>176</v>
      </c>
      <c r="M913" s="55" t="s">
        <v>2824</v>
      </c>
      <c r="N913" s="4" t="s">
        <v>193</v>
      </c>
      <c r="O913" s="55" t="s">
        <v>178</v>
      </c>
    </row>
    <row r="914" spans="2:15">
      <c r="B914" s="20">
        <v>44918</v>
      </c>
      <c r="C914" s="59">
        <v>40011080</v>
      </c>
      <c r="D914" s="55" t="s">
        <v>420</v>
      </c>
      <c r="E914" s="67">
        <v>450</v>
      </c>
      <c r="F914" s="67">
        <v>1</v>
      </c>
      <c r="G914" s="102">
        <v>450</v>
      </c>
      <c r="H914" s="56" t="s">
        <v>80</v>
      </c>
      <c r="I914" s="106"/>
      <c r="K914" s="56">
        <v>272</v>
      </c>
      <c r="L914" s="55" t="s">
        <v>176</v>
      </c>
      <c r="M914" s="55" t="s">
        <v>2824</v>
      </c>
      <c r="N914" s="4" t="s">
        <v>193</v>
      </c>
      <c r="O914" s="55" t="s">
        <v>178</v>
      </c>
    </row>
    <row r="915" spans="2:15">
      <c r="B915" s="20">
        <v>44918</v>
      </c>
      <c r="C915" s="59">
        <v>50145028</v>
      </c>
      <c r="D915" s="55" t="s">
        <v>23</v>
      </c>
      <c r="E915" s="67">
        <v>192</v>
      </c>
      <c r="F915" s="67">
        <v>3</v>
      </c>
      <c r="G915" s="102">
        <v>576</v>
      </c>
      <c r="H915" s="56" t="s">
        <v>92</v>
      </c>
      <c r="I915" s="106"/>
      <c r="K915" s="56">
        <v>273</v>
      </c>
      <c r="M915" s="55" t="s">
        <v>326</v>
      </c>
      <c r="O915" s="55" t="s">
        <v>178</v>
      </c>
    </row>
    <row r="916" spans="2:15">
      <c r="B916" s="20">
        <v>44918</v>
      </c>
      <c r="C916" s="59">
        <v>50144376</v>
      </c>
      <c r="D916" s="55" t="s">
        <v>19</v>
      </c>
      <c r="E916" s="67">
        <v>500</v>
      </c>
      <c r="F916" s="67">
        <v>6</v>
      </c>
      <c r="G916" s="102">
        <v>3000</v>
      </c>
      <c r="H916" s="105" t="s">
        <v>92</v>
      </c>
      <c r="I916" s="106"/>
      <c r="K916" s="56">
        <v>273</v>
      </c>
      <c r="M916" s="55" t="s">
        <v>326</v>
      </c>
      <c r="O916" s="55" t="s">
        <v>178</v>
      </c>
    </row>
    <row r="917" spans="2:15">
      <c r="B917" s="20">
        <v>44921</v>
      </c>
      <c r="C917" s="59">
        <v>50144376</v>
      </c>
      <c r="D917" s="55" t="s">
        <v>19</v>
      </c>
      <c r="E917" s="67">
        <v>500</v>
      </c>
      <c r="F917" s="67">
        <v>3</v>
      </c>
      <c r="G917" s="102">
        <v>1500</v>
      </c>
      <c r="H917" s="105" t="s">
        <v>92</v>
      </c>
      <c r="I917" s="106"/>
      <c r="K917" s="56">
        <v>274</v>
      </c>
      <c r="L917" s="55" t="s">
        <v>176</v>
      </c>
      <c r="M917" s="55" t="s">
        <v>2824</v>
      </c>
      <c r="N917" s="4" t="s">
        <v>177</v>
      </c>
      <c r="O917" s="55" t="s">
        <v>178</v>
      </c>
    </row>
    <row r="918" spans="2:15">
      <c r="B918" s="20">
        <v>44921</v>
      </c>
      <c r="C918" s="59">
        <v>40011080</v>
      </c>
      <c r="D918" s="55" t="s">
        <v>420</v>
      </c>
      <c r="E918" s="67">
        <v>450</v>
      </c>
      <c r="F918" s="67">
        <v>10</v>
      </c>
      <c r="G918" s="102">
        <v>4500</v>
      </c>
      <c r="H918" s="56" t="s">
        <v>80</v>
      </c>
      <c r="I918" s="106"/>
      <c r="K918" s="56">
        <v>274</v>
      </c>
      <c r="L918" s="55" t="s">
        <v>176</v>
      </c>
      <c r="M918" s="55" t="s">
        <v>2824</v>
      </c>
      <c r="N918" s="4" t="s">
        <v>177</v>
      </c>
      <c r="O918" s="55" t="s">
        <v>178</v>
      </c>
    </row>
    <row r="919" spans="2:15">
      <c r="B919" s="20">
        <v>44921</v>
      </c>
      <c r="C919" s="59">
        <v>50522169</v>
      </c>
      <c r="D919" s="55" t="s">
        <v>250</v>
      </c>
      <c r="E919" s="67">
        <v>553</v>
      </c>
      <c r="F919" s="67">
        <v>5</v>
      </c>
      <c r="G919" s="102">
        <v>2184.65</v>
      </c>
      <c r="H919" s="56" t="s">
        <v>82</v>
      </c>
      <c r="I919" s="106"/>
      <c r="K919" s="56">
        <v>274</v>
      </c>
      <c r="L919" s="55" t="s">
        <v>176</v>
      </c>
      <c r="M919" s="55" t="s">
        <v>2824</v>
      </c>
      <c r="N919" s="4" t="s">
        <v>177</v>
      </c>
      <c r="O919" s="55" t="s">
        <v>178</v>
      </c>
    </row>
    <row r="920" spans="2:15">
      <c r="B920" s="20">
        <v>44921</v>
      </c>
      <c r="C920" s="108">
        <v>50522168</v>
      </c>
      <c r="D920" s="55" t="s">
        <v>252</v>
      </c>
      <c r="E920" s="67">
        <v>457</v>
      </c>
      <c r="F920" s="67">
        <v>2</v>
      </c>
      <c r="G920" s="102">
        <v>998.55</v>
      </c>
      <c r="H920" s="56" t="s">
        <v>82</v>
      </c>
      <c r="I920" s="106"/>
      <c r="K920" s="56">
        <v>274</v>
      </c>
      <c r="L920" s="55" t="s">
        <v>176</v>
      </c>
      <c r="M920" s="55" t="s">
        <v>2824</v>
      </c>
      <c r="N920" s="4" t="s">
        <v>177</v>
      </c>
      <c r="O920" s="55" t="s">
        <v>178</v>
      </c>
    </row>
    <row r="921" spans="2:15">
      <c r="B921" s="20">
        <v>44922</v>
      </c>
      <c r="C921" s="59">
        <v>50144376</v>
      </c>
      <c r="D921" s="55" t="s">
        <v>19</v>
      </c>
      <c r="E921" s="67">
        <v>500</v>
      </c>
      <c r="F921" s="67">
        <v>10</v>
      </c>
      <c r="G921" s="102">
        <v>10000</v>
      </c>
      <c r="H921" s="105" t="s">
        <v>92</v>
      </c>
      <c r="I921" s="106"/>
      <c r="K921" s="56">
        <v>275</v>
      </c>
      <c r="L921" s="55" t="s">
        <v>176</v>
      </c>
      <c r="M921" s="55" t="s">
        <v>2824</v>
      </c>
      <c r="N921" s="4" t="s">
        <v>177</v>
      </c>
      <c r="O921" s="55" t="s">
        <v>178</v>
      </c>
    </row>
    <row r="922" spans="2:15">
      <c r="B922" s="20">
        <v>44922</v>
      </c>
      <c r="C922" s="59">
        <v>50142327</v>
      </c>
      <c r="D922" s="55" t="s">
        <v>256</v>
      </c>
      <c r="E922" s="67">
        <v>681</v>
      </c>
      <c r="F922" s="67">
        <v>16</v>
      </c>
      <c r="G922" s="102">
        <v>10896</v>
      </c>
      <c r="H922" s="56" t="s">
        <v>82</v>
      </c>
      <c r="I922" s="106"/>
      <c r="K922" s="56">
        <v>276</v>
      </c>
      <c r="L922" s="55" t="s">
        <v>176</v>
      </c>
      <c r="M922" s="55" t="s">
        <v>318</v>
      </c>
      <c r="N922" s="4" t="s">
        <v>177</v>
      </c>
      <c r="O922" s="55" t="s">
        <v>178</v>
      </c>
    </row>
    <row r="923" spans="2:15">
      <c r="B923" s="20">
        <v>44922</v>
      </c>
      <c r="C923" s="59">
        <v>50142334</v>
      </c>
      <c r="D923" s="55" t="s">
        <v>257</v>
      </c>
      <c r="E923" s="67">
        <v>681</v>
      </c>
      <c r="F923" s="67">
        <v>16</v>
      </c>
      <c r="G923" s="102">
        <v>10896</v>
      </c>
      <c r="H923" s="56" t="s">
        <v>82</v>
      </c>
      <c r="I923" s="106"/>
      <c r="K923" s="56">
        <v>277</v>
      </c>
      <c r="L923" s="55" t="s">
        <v>176</v>
      </c>
      <c r="M923" s="55" t="s">
        <v>318</v>
      </c>
      <c r="N923" s="4" t="s">
        <v>177</v>
      </c>
      <c r="O923" s="55" t="s">
        <v>178</v>
      </c>
    </row>
    <row r="924" spans="2:15">
      <c r="B924" s="20">
        <v>44922</v>
      </c>
      <c r="C924" s="59">
        <v>50142237</v>
      </c>
      <c r="D924" s="55" t="s">
        <v>617</v>
      </c>
      <c r="E924" s="67">
        <v>1000</v>
      </c>
      <c r="F924" s="67">
        <v>4</v>
      </c>
      <c r="G924" s="102">
        <v>4000</v>
      </c>
      <c r="H924" s="56" t="s">
        <v>92</v>
      </c>
      <c r="I924" s="106"/>
      <c r="K924" s="56">
        <v>278</v>
      </c>
      <c r="L924" s="55" t="s">
        <v>392</v>
      </c>
      <c r="M924" s="55" t="s">
        <v>392</v>
      </c>
      <c r="N924" s="4" t="s">
        <v>2841</v>
      </c>
      <c r="O924" s="55" t="s">
        <v>178</v>
      </c>
    </row>
    <row r="925" spans="2:15">
      <c r="B925" s="20">
        <v>44922</v>
      </c>
      <c r="C925" s="59">
        <v>50145028</v>
      </c>
      <c r="D925" s="55" t="s">
        <v>23</v>
      </c>
      <c r="E925" s="67">
        <v>192</v>
      </c>
      <c r="F925" s="67">
        <v>3</v>
      </c>
      <c r="G925" s="102">
        <v>576</v>
      </c>
      <c r="H925" s="56" t="s">
        <v>92</v>
      </c>
      <c r="I925" s="106"/>
      <c r="K925" s="56">
        <v>278</v>
      </c>
      <c r="L925" s="55" t="s">
        <v>392</v>
      </c>
      <c r="M925" s="55" t="s">
        <v>392</v>
      </c>
      <c r="N925" s="4" t="s">
        <v>2841</v>
      </c>
      <c r="O925" s="55" t="s">
        <v>178</v>
      </c>
    </row>
    <row r="926" spans="2:15">
      <c r="B926" s="20">
        <v>44922</v>
      </c>
      <c r="C926" s="59">
        <v>50272278</v>
      </c>
      <c r="D926" s="55" t="s">
        <v>21</v>
      </c>
      <c r="E926" s="67">
        <v>500</v>
      </c>
      <c r="F926" s="67">
        <v>5</v>
      </c>
      <c r="G926" s="102">
        <v>2500</v>
      </c>
      <c r="H926" s="56" t="s">
        <v>92</v>
      </c>
      <c r="I926" s="106"/>
      <c r="K926" s="56">
        <v>278</v>
      </c>
      <c r="L926" s="55" t="s">
        <v>392</v>
      </c>
      <c r="M926" s="55" t="s">
        <v>392</v>
      </c>
      <c r="N926" s="4" t="s">
        <v>2841</v>
      </c>
      <c r="O926" s="55" t="s">
        <v>178</v>
      </c>
    </row>
    <row r="927" spans="2:15">
      <c r="B927" s="20">
        <v>44923</v>
      </c>
      <c r="C927" s="59">
        <v>50509889</v>
      </c>
      <c r="D927" s="55" t="s">
        <v>671</v>
      </c>
      <c r="E927" s="67">
        <v>264000</v>
      </c>
      <c r="F927" s="67">
        <v>5</v>
      </c>
      <c r="G927" s="102">
        <v>1320000</v>
      </c>
      <c r="H927" s="56" t="s">
        <v>92</v>
      </c>
      <c r="I927" s="106"/>
      <c r="K927" s="56">
        <v>279</v>
      </c>
      <c r="L927" s="55" t="s">
        <v>176</v>
      </c>
      <c r="M927" s="55" t="s">
        <v>2824</v>
      </c>
      <c r="N927" s="4" t="s">
        <v>177</v>
      </c>
      <c r="O927" s="55" t="s">
        <v>178</v>
      </c>
    </row>
    <row r="928" spans="2:15">
      <c r="B928" s="20">
        <v>44923</v>
      </c>
      <c r="C928" s="59">
        <v>50010080</v>
      </c>
      <c r="D928" s="55" t="s">
        <v>354</v>
      </c>
      <c r="E928" s="67">
        <v>1000</v>
      </c>
      <c r="F928" s="67">
        <v>5</v>
      </c>
      <c r="G928" s="102">
        <v>5000</v>
      </c>
      <c r="H928" s="56" t="s">
        <v>82</v>
      </c>
      <c r="I928" s="106"/>
      <c r="K928" s="56">
        <v>279</v>
      </c>
      <c r="L928" s="55" t="s">
        <v>176</v>
      </c>
      <c r="M928" s="55" t="s">
        <v>2824</v>
      </c>
      <c r="N928" s="4" t="s">
        <v>177</v>
      </c>
      <c r="O928" s="55" t="s">
        <v>178</v>
      </c>
    </row>
    <row r="929" spans="2:15">
      <c r="B929" s="20">
        <v>44923</v>
      </c>
      <c r="C929" s="59">
        <v>50142350</v>
      </c>
      <c r="D929" s="55" t="s">
        <v>212</v>
      </c>
      <c r="E929" s="67">
        <v>734.5</v>
      </c>
      <c r="F929" s="67">
        <v>3</v>
      </c>
      <c r="G929" s="102">
        <v>2203.5</v>
      </c>
      <c r="H929" s="56" t="s">
        <v>82</v>
      </c>
      <c r="I929" s="106"/>
      <c r="K929" s="56">
        <v>279</v>
      </c>
      <c r="L929" s="55" t="s">
        <v>176</v>
      </c>
      <c r="M929" s="55" t="s">
        <v>2824</v>
      </c>
      <c r="N929" s="4" t="s">
        <v>177</v>
      </c>
      <c r="O929" s="55" t="s">
        <v>178</v>
      </c>
    </row>
    <row r="930" spans="2:15">
      <c r="B930" s="20">
        <v>44923</v>
      </c>
      <c r="C930" s="59">
        <v>50142281</v>
      </c>
      <c r="D930" s="55" t="s">
        <v>204</v>
      </c>
      <c r="E930" s="67">
        <v>450</v>
      </c>
      <c r="F930" s="67">
        <v>2</v>
      </c>
      <c r="G930" s="102">
        <v>900</v>
      </c>
      <c r="H930" s="56" t="s">
        <v>82</v>
      </c>
      <c r="I930" s="106"/>
      <c r="K930" s="56">
        <v>279</v>
      </c>
      <c r="L930" s="55" t="s">
        <v>176</v>
      </c>
      <c r="M930" s="55" t="s">
        <v>2824</v>
      </c>
      <c r="N930" s="4" t="s">
        <v>177</v>
      </c>
      <c r="O930" s="55" t="s">
        <v>178</v>
      </c>
    </row>
    <row r="931" spans="2:15">
      <c r="B931" s="20">
        <v>44923</v>
      </c>
      <c r="C931" s="59">
        <v>40011133</v>
      </c>
      <c r="D931" s="55" t="s">
        <v>634</v>
      </c>
      <c r="E931" s="67">
        <v>756</v>
      </c>
      <c r="F931" s="67">
        <v>2</v>
      </c>
      <c r="G931" s="102">
        <v>1337</v>
      </c>
      <c r="H931" s="56" t="s">
        <v>80</v>
      </c>
      <c r="I931" s="106"/>
      <c r="K931" s="56">
        <v>279</v>
      </c>
      <c r="L931" s="55" t="s">
        <v>176</v>
      </c>
      <c r="M931" s="55" t="s">
        <v>2824</v>
      </c>
      <c r="N931" s="4" t="s">
        <v>177</v>
      </c>
      <c r="O931" s="55" t="s">
        <v>178</v>
      </c>
    </row>
    <row r="932" spans="2:15">
      <c r="B932" s="20">
        <v>44923</v>
      </c>
      <c r="C932" s="59">
        <v>40009546</v>
      </c>
      <c r="D932" s="55" t="s">
        <v>174</v>
      </c>
      <c r="E932" s="67">
        <v>756</v>
      </c>
      <c r="F932" s="67">
        <v>3</v>
      </c>
      <c r="G932" s="102">
        <v>2268</v>
      </c>
      <c r="H932" s="56" t="s">
        <v>80</v>
      </c>
      <c r="I932" s="106"/>
      <c r="K932" s="56">
        <v>279</v>
      </c>
      <c r="L932" s="55" t="s">
        <v>176</v>
      </c>
      <c r="M932" s="55" t="s">
        <v>2824</v>
      </c>
      <c r="N932" s="4" t="s">
        <v>177</v>
      </c>
      <c r="O932" s="55" t="s">
        <v>178</v>
      </c>
    </row>
    <row r="933" spans="2:15">
      <c r="B933" s="20">
        <v>44923</v>
      </c>
      <c r="C933" s="59">
        <v>50144376</v>
      </c>
      <c r="D933" s="55" t="s">
        <v>19</v>
      </c>
      <c r="E933" s="67">
        <v>500</v>
      </c>
      <c r="F933" s="67">
        <v>13</v>
      </c>
      <c r="G933" s="102">
        <v>6500</v>
      </c>
      <c r="H933" s="105" t="s">
        <v>92</v>
      </c>
      <c r="I933" s="106"/>
      <c r="K933" s="56">
        <v>280</v>
      </c>
      <c r="L933" s="55" t="s">
        <v>176</v>
      </c>
      <c r="M933" s="55" t="s">
        <v>2824</v>
      </c>
      <c r="N933" s="4" t="s">
        <v>177</v>
      </c>
      <c r="O933" s="55" t="s">
        <v>178</v>
      </c>
    </row>
    <row r="934" spans="2:15">
      <c r="B934" s="20">
        <v>44923</v>
      </c>
      <c r="C934" s="59">
        <v>50435419</v>
      </c>
      <c r="D934" s="55" t="s">
        <v>656</v>
      </c>
      <c r="E934" s="67">
        <v>896</v>
      </c>
      <c r="F934" s="67">
        <v>7</v>
      </c>
      <c r="G934" s="102">
        <v>6132</v>
      </c>
      <c r="H934" s="56" t="s">
        <v>82</v>
      </c>
      <c r="I934" s="106"/>
      <c r="K934" s="56">
        <v>280</v>
      </c>
      <c r="L934" s="55" t="s">
        <v>176</v>
      </c>
      <c r="M934" s="55" t="s">
        <v>2824</v>
      </c>
      <c r="N934" s="4" t="s">
        <v>177</v>
      </c>
      <c r="O934" s="55" t="s">
        <v>178</v>
      </c>
    </row>
    <row r="935" spans="2:15">
      <c r="B935" s="20">
        <v>44924</v>
      </c>
      <c r="C935" s="59">
        <v>50142330</v>
      </c>
      <c r="D935" s="55" t="s">
        <v>195</v>
      </c>
      <c r="E935" s="67">
        <v>359.28</v>
      </c>
      <c r="F935" s="67">
        <v>5</v>
      </c>
      <c r="G935" s="102">
        <v>1796.4</v>
      </c>
      <c r="H935" s="56" t="s">
        <v>82</v>
      </c>
      <c r="I935" s="106"/>
      <c r="K935" s="56">
        <v>281</v>
      </c>
      <c r="L935" s="55" t="s">
        <v>176</v>
      </c>
      <c r="M935" s="55" t="s">
        <v>2824</v>
      </c>
      <c r="N935" s="4" t="s">
        <v>177</v>
      </c>
      <c r="O935" s="55" t="s">
        <v>178</v>
      </c>
    </row>
    <row r="936" spans="2:15">
      <c r="B936" s="20">
        <v>44924</v>
      </c>
      <c r="C936" s="59">
        <v>50144376</v>
      </c>
      <c r="D936" s="55" t="s">
        <v>19</v>
      </c>
      <c r="E936" s="67">
        <v>500</v>
      </c>
      <c r="F936" s="67">
        <v>4</v>
      </c>
      <c r="G936" s="102">
        <v>2000</v>
      </c>
      <c r="H936" s="105" t="s">
        <v>92</v>
      </c>
      <c r="I936" s="106"/>
      <c r="K936" s="56">
        <v>281</v>
      </c>
      <c r="L936" s="55" t="s">
        <v>176</v>
      </c>
      <c r="M936" s="55" t="s">
        <v>2824</v>
      </c>
      <c r="N936" s="4" t="s">
        <v>177</v>
      </c>
      <c r="O936" s="55" t="s">
        <v>178</v>
      </c>
    </row>
    <row r="937" spans="2:15">
      <c r="B937" s="20">
        <v>44924</v>
      </c>
      <c r="C937" s="59">
        <v>50272278</v>
      </c>
      <c r="D937" s="55" t="s">
        <v>21</v>
      </c>
      <c r="E937" s="67">
        <v>500</v>
      </c>
      <c r="F937" s="67">
        <v>4</v>
      </c>
      <c r="G937" s="102">
        <v>2000</v>
      </c>
      <c r="H937" s="56" t="s">
        <v>92</v>
      </c>
      <c r="I937" s="106"/>
      <c r="K937" s="56">
        <v>281</v>
      </c>
      <c r="L937" s="55" t="s">
        <v>176</v>
      </c>
      <c r="M937" s="55" t="s">
        <v>2824</v>
      </c>
      <c r="N937" s="4" t="s">
        <v>177</v>
      </c>
      <c r="O937" s="55" t="s">
        <v>178</v>
      </c>
    </row>
    <row r="938" spans="2:15">
      <c r="B938" s="20">
        <v>44924</v>
      </c>
      <c r="C938" s="59">
        <v>50142327</v>
      </c>
      <c r="D938" s="55" t="s">
        <v>256</v>
      </c>
      <c r="E938" s="67">
        <v>681</v>
      </c>
      <c r="F938" s="67">
        <v>1</v>
      </c>
      <c r="G938" s="102">
        <v>681</v>
      </c>
      <c r="H938" s="56" t="s">
        <v>82</v>
      </c>
      <c r="I938" s="106"/>
      <c r="K938" s="56">
        <v>281</v>
      </c>
      <c r="L938" s="55" t="s">
        <v>176</v>
      </c>
      <c r="M938" s="55" t="s">
        <v>2824</v>
      </c>
      <c r="N938" s="4" t="s">
        <v>177</v>
      </c>
      <c r="O938" s="55" t="s">
        <v>178</v>
      </c>
    </row>
    <row r="939" spans="2:15">
      <c r="B939" s="20">
        <v>44924</v>
      </c>
      <c r="C939" s="59">
        <v>50142334</v>
      </c>
      <c r="D939" s="55" t="s">
        <v>257</v>
      </c>
      <c r="E939" s="67">
        <v>681</v>
      </c>
      <c r="F939" s="67">
        <v>4</v>
      </c>
      <c r="G939" s="102">
        <v>2724</v>
      </c>
      <c r="H939" s="56" t="s">
        <v>82</v>
      </c>
      <c r="I939" s="106"/>
      <c r="K939" s="56">
        <v>281</v>
      </c>
      <c r="L939" s="55" t="s">
        <v>176</v>
      </c>
      <c r="M939" s="55" t="s">
        <v>2824</v>
      </c>
      <c r="N939" s="4" t="s">
        <v>177</v>
      </c>
      <c r="O939" s="55" t="s">
        <v>178</v>
      </c>
    </row>
    <row r="940" spans="2:15">
      <c r="B940" s="20">
        <v>44925</v>
      </c>
      <c r="C940" s="59">
        <v>40009544</v>
      </c>
      <c r="D940" s="55" t="s">
        <v>179</v>
      </c>
      <c r="E940" s="67">
        <v>2940</v>
      </c>
      <c r="F940" s="67">
        <v>4</v>
      </c>
      <c r="G940" s="102">
        <v>11760</v>
      </c>
      <c r="H940" s="56" t="s">
        <v>80</v>
      </c>
      <c r="I940" s="106"/>
      <c r="K940" s="56">
        <v>282</v>
      </c>
      <c r="L940" s="55" t="s">
        <v>176</v>
      </c>
      <c r="M940" s="55" t="s">
        <v>2824</v>
      </c>
      <c r="N940" s="4" t="s">
        <v>193</v>
      </c>
      <c r="O940" s="55" t="s">
        <v>178</v>
      </c>
    </row>
    <row r="941" spans="2:15">
      <c r="B941" s="20">
        <v>44925</v>
      </c>
      <c r="C941" s="59">
        <v>50337816</v>
      </c>
      <c r="D941" s="55" t="s">
        <v>245</v>
      </c>
      <c r="E941" s="67">
        <v>264</v>
      </c>
      <c r="F941" s="67">
        <v>2</v>
      </c>
      <c r="G941" s="102">
        <v>528</v>
      </c>
      <c r="H941" s="56" t="s">
        <v>80</v>
      </c>
      <c r="I941" s="106"/>
      <c r="K941" s="56">
        <v>282</v>
      </c>
      <c r="L941" s="55" t="s">
        <v>176</v>
      </c>
      <c r="M941" s="55" t="s">
        <v>2824</v>
      </c>
      <c r="N941" s="4" t="s">
        <v>193</v>
      </c>
      <c r="O941" s="55" t="s">
        <v>178</v>
      </c>
    </row>
    <row r="942" spans="2:15">
      <c r="B942" s="20">
        <v>44925</v>
      </c>
      <c r="C942" s="59">
        <v>50510131</v>
      </c>
      <c r="D942" s="55" t="s">
        <v>725</v>
      </c>
      <c r="E942" s="67">
        <v>458</v>
      </c>
      <c r="F942" s="67">
        <v>4</v>
      </c>
      <c r="G942" s="102">
        <v>2062.45</v>
      </c>
      <c r="H942" s="56" t="s">
        <v>82</v>
      </c>
      <c r="I942" s="106"/>
      <c r="K942" s="56">
        <v>282</v>
      </c>
      <c r="L942" s="55" t="s">
        <v>176</v>
      </c>
      <c r="M942" s="55" t="s">
        <v>2824</v>
      </c>
      <c r="N942" s="4" t="s">
        <v>193</v>
      </c>
      <c r="O942" s="55" t="s">
        <v>178</v>
      </c>
    </row>
    <row r="943" spans="2:15">
      <c r="B943" s="20">
        <v>44925</v>
      </c>
      <c r="C943" s="59">
        <v>50144376</v>
      </c>
      <c r="D943" s="55" t="s">
        <v>19</v>
      </c>
      <c r="E943" s="67">
        <v>500</v>
      </c>
      <c r="F943" s="67">
        <v>10</v>
      </c>
      <c r="G943" s="102">
        <v>5000</v>
      </c>
      <c r="H943" s="105" t="s">
        <v>92</v>
      </c>
      <c r="I943" s="106"/>
      <c r="K943" s="56">
        <v>282</v>
      </c>
      <c r="L943" s="55" t="s">
        <v>176</v>
      </c>
      <c r="M943" s="55" t="s">
        <v>2824</v>
      </c>
      <c r="N943" s="4" t="s">
        <v>193</v>
      </c>
      <c r="O943" s="55" t="s">
        <v>178</v>
      </c>
    </row>
    <row r="944" spans="2:15">
      <c r="B944" s="20">
        <v>44929</v>
      </c>
      <c r="C944" s="59">
        <v>50470190</v>
      </c>
      <c r="D944" s="55" t="s">
        <v>12</v>
      </c>
      <c r="E944" s="67">
        <v>289800</v>
      </c>
      <c r="F944" s="67">
        <v>18</v>
      </c>
      <c r="G944" s="102">
        <v>5216400</v>
      </c>
      <c r="H944" s="56" t="s">
        <v>92</v>
      </c>
      <c r="I944" s="106"/>
      <c r="K944" s="56">
        <v>283</v>
      </c>
      <c r="L944" s="55" t="s">
        <v>176</v>
      </c>
      <c r="M944" s="55" t="s">
        <v>2824</v>
      </c>
      <c r="N944" s="4" t="s">
        <v>193</v>
      </c>
      <c r="O944" s="55" t="s">
        <v>178</v>
      </c>
    </row>
    <row r="945" spans="2:15">
      <c r="B945" s="20">
        <v>44930</v>
      </c>
      <c r="C945" s="59">
        <v>50272278</v>
      </c>
      <c r="D945" s="55" t="s">
        <v>21</v>
      </c>
      <c r="E945" s="67">
        <v>500</v>
      </c>
      <c r="F945" s="67">
        <v>14</v>
      </c>
      <c r="G945" s="102">
        <v>7000</v>
      </c>
      <c r="H945" s="56" t="s">
        <v>92</v>
      </c>
      <c r="I945" s="106"/>
      <c r="K945" s="56">
        <v>284</v>
      </c>
      <c r="L945" s="55" t="s">
        <v>176</v>
      </c>
      <c r="M945" s="55" t="s">
        <v>2824</v>
      </c>
      <c r="N945" s="4" t="s">
        <v>193</v>
      </c>
      <c r="O945" s="55" t="s">
        <v>178</v>
      </c>
    </row>
    <row r="946" spans="2:15">
      <c r="B946" s="20">
        <v>44930</v>
      </c>
      <c r="C946" s="59">
        <v>50501720</v>
      </c>
      <c r="D946" s="55" t="s">
        <v>247</v>
      </c>
      <c r="E946" s="67">
        <v>700.15</v>
      </c>
      <c r="F946" s="67">
        <v>3</v>
      </c>
      <c r="G946" s="102">
        <v>2035.85</v>
      </c>
      <c r="H946" s="56" t="s">
        <v>82</v>
      </c>
      <c r="I946" s="106"/>
      <c r="K946" s="56">
        <v>284</v>
      </c>
      <c r="L946" s="55" t="s">
        <v>176</v>
      </c>
      <c r="M946" s="55" t="s">
        <v>2824</v>
      </c>
      <c r="N946" s="4" t="s">
        <v>193</v>
      </c>
      <c r="O946" s="55" t="s">
        <v>178</v>
      </c>
    </row>
    <row r="947" spans="2:15">
      <c r="B947" s="20">
        <v>44930</v>
      </c>
      <c r="C947" s="59">
        <v>50232060</v>
      </c>
      <c r="D947" s="55" t="s">
        <v>361</v>
      </c>
      <c r="E947" s="67">
        <v>264000</v>
      </c>
      <c r="F947" s="67">
        <v>5</v>
      </c>
      <c r="G947" s="102">
        <v>1320000</v>
      </c>
      <c r="H947" s="56" t="s">
        <v>92</v>
      </c>
      <c r="I947" s="106"/>
      <c r="K947" s="56">
        <v>284</v>
      </c>
      <c r="L947" s="55" t="s">
        <v>176</v>
      </c>
      <c r="M947" s="55" t="s">
        <v>2824</v>
      </c>
      <c r="N947" s="4" t="s">
        <v>193</v>
      </c>
      <c r="O947" s="55" t="s">
        <v>178</v>
      </c>
    </row>
    <row r="948" spans="2:15">
      <c r="B948" s="20">
        <v>44930</v>
      </c>
      <c r="C948" s="59">
        <v>50141786</v>
      </c>
      <c r="D948" s="55" t="s">
        <v>188</v>
      </c>
      <c r="E948" s="67">
        <v>560</v>
      </c>
      <c r="F948" s="67">
        <v>18</v>
      </c>
      <c r="G948" s="102">
        <v>10080</v>
      </c>
      <c r="H948" s="56" t="s">
        <v>82</v>
      </c>
      <c r="I948" s="106"/>
      <c r="K948" s="56">
        <v>285</v>
      </c>
      <c r="L948" s="55" t="s">
        <v>176</v>
      </c>
      <c r="M948" s="55" t="s">
        <v>2824</v>
      </c>
      <c r="N948" s="4" t="s">
        <v>193</v>
      </c>
      <c r="O948" s="55" t="s">
        <v>178</v>
      </c>
    </row>
    <row r="949" spans="2:15">
      <c r="B949" s="20">
        <v>44930</v>
      </c>
      <c r="C949" s="59">
        <v>50144376</v>
      </c>
      <c r="D949" s="55" t="s">
        <v>19</v>
      </c>
      <c r="E949" s="67">
        <v>500</v>
      </c>
      <c r="F949" s="67">
        <v>7</v>
      </c>
      <c r="G949" s="102">
        <v>3500</v>
      </c>
      <c r="H949" s="105" t="s">
        <v>92</v>
      </c>
      <c r="I949" s="106"/>
      <c r="K949" s="56">
        <v>285</v>
      </c>
      <c r="L949" s="55" t="s">
        <v>176</v>
      </c>
      <c r="M949" s="55" t="s">
        <v>2824</v>
      </c>
      <c r="N949" s="4" t="s">
        <v>193</v>
      </c>
      <c r="O949" s="55" t="s">
        <v>178</v>
      </c>
    </row>
    <row r="950" spans="2:15">
      <c r="B950" s="20">
        <v>44931</v>
      </c>
      <c r="C950" s="59">
        <v>50142334</v>
      </c>
      <c r="D950" s="55" t="s">
        <v>257</v>
      </c>
      <c r="E950" s="67">
        <v>681</v>
      </c>
      <c r="F950" s="67">
        <v>18</v>
      </c>
      <c r="G950" s="102">
        <v>12258</v>
      </c>
      <c r="H950" s="56" t="s">
        <v>82</v>
      </c>
      <c r="I950" s="106"/>
      <c r="K950" s="56">
        <v>286</v>
      </c>
      <c r="L950" s="55" t="s">
        <v>176</v>
      </c>
      <c r="M950" s="55" t="s">
        <v>392</v>
      </c>
      <c r="N950" s="4" t="s">
        <v>193</v>
      </c>
      <c r="O950" s="55" t="s">
        <v>178</v>
      </c>
    </row>
    <row r="951" spans="2:15">
      <c r="B951" s="20">
        <v>44931</v>
      </c>
      <c r="C951" s="59">
        <v>40499</v>
      </c>
      <c r="D951" s="55" t="s">
        <v>316</v>
      </c>
      <c r="E951" s="67">
        <v>18</v>
      </c>
      <c r="F951" s="67">
        <v>18</v>
      </c>
      <c r="G951" s="102">
        <v>18</v>
      </c>
      <c r="H951" s="56" t="s">
        <v>92</v>
      </c>
      <c r="I951" s="106"/>
      <c r="K951" s="56">
        <v>286</v>
      </c>
      <c r="L951" s="55" t="s">
        <v>176</v>
      </c>
      <c r="M951" s="55" t="s">
        <v>392</v>
      </c>
      <c r="N951" s="4" t="s">
        <v>193</v>
      </c>
      <c r="O951" s="55" t="s">
        <v>178</v>
      </c>
    </row>
    <row r="952" spans="2:15">
      <c r="B952" s="20">
        <v>44931</v>
      </c>
      <c r="C952" s="59">
        <v>50470190</v>
      </c>
      <c r="D952" s="55" t="s">
        <v>12</v>
      </c>
      <c r="E952" s="67">
        <v>289800</v>
      </c>
      <c r="F952" s="67">
        <v>18</v>
      </c>
      <c r="G952" s="102">
        <v>5216400</v>
      </c>
      <c r="H952" s="56" t="s">
        <v>92</v>
      </c>
      <c r="I952" s="106"/>
      <c r="K952" s="56">
        <v>287</v>
      </c>
      <c r="L952" s="55" t="s">
        <v>176</v>
      </c>
      <c r="M952" s="55" t="s">
        <v>2824</v>
      </c>
      <c r="N952" s="4" t="s">
        <v>193</v>
      </c>
      <c r="O952" s="55" t="s">
        <v>178</v>
      </c>
    </row>
    <row r="953" spans="2:15">
      <c r="B953" s="20">
        <v>44932</v>
      </c>
      <c r="C953" s="59">
        <v>50272278</v>
      </c>
      <c r="D953" s="55" t="s">
        <v>21</v>
      </c>
      <c r="E953" s="67">
        <v>500</v>
      </c>
      <c r="F953" s="67">
        <v>22</v>
      </c>
      <c r="G953" s="102">
        <v>11000</v>
      </c>
      <c r="H953" s="56" t="s">
        <v>92</v>
      </c>
      <c r="I953" s="106"/>
      <c r="K953" s="56">
        <v>288</v>
      </c>
      <c r="L953" s="55" t="s">
        <v>176</v>
      </c>
      <c r="M953" s="55" t="s">
        <v>2824</v>
      </c>
      <c r="N953" s="4" t="s">
        <v>193</v>
      </c>
      <c r="O953" s="55" t="s">
        <v>178</v>
      </c>
    </row>
    <row r="954" spans="2:15">
      <c r="B954" s="20">
        <v>44932</v>
      </c>
      <c r="C954" s="59">
        <v>50142334</v>
      </c>
      <c r="D954" s="55" t="s">
        <v>257</v>
      </c>
      <c r="E954" s="67">
        <v>681</v>
      </c>
      <c r="F954" s="67">
        <v>18</v>
      </c>
      <c r="G954" s="102">
        <v>12258</v>
      </c>
      <c r="H954" s="56" t="s">
        <v>82</v>
      </c>
      <c r="I954" s="106"/>
      <c r="K954" s="56">
        <v>289</v>
      </c>
      <c r="L954" s="55" t="s">
        <v>176</v>
      </c>
      <c r="M954" s="55" t="s">
        <v>392</v>
      </c>
      <c r="N954" s="4" t="s">
        <v>193</v>
      </c>
      <c r="O954" s="55" t="s">
        <v>178</v>
      </c>
    </row>
    <row r="955" spans="2:15">
      <c r="B955" s="20">
        <v>44932</v>
      </c>
      <c r="C955" s="59">
        <v>40499</v>
      </c>
      <c r="D955" s="55" t="s">
        <v>316</v>
      </c>
      <c r="E955" s="67">
        <v>18</v>
      </c>
      <c r="F955" s="67">
        <v>18</v>
      </c>
      <c r="G955" s="102">
        <v>18</v>
      </c>
      <c r="H955" s="56" t="s">
        <v>92</v>
      </c>
      <c r="I955" s="106"/>
      <c r="K955" s="56">
        <v>289</v>
      </c>
      <c r="L955" s="55" t="s">
        <v>176</v>
      </c>
      <c r="M955" s="55" t="s">
        <v>392</v>
      </c>
      <c r="N955" s="4" t="s">
        <v>193</v>
      </c>
      <c r="O955" s="55" t="s">
        <v>178</v>
      </c>
    </row>
    <row r="956" spans="2:15">
      <c r="B956" s="20">
        <v>44932</v>
      </c>
      <c r="C956" s="59">
        <v>50144376</v>
      </c>
      <c r="D956" s="55" t="s">
        <v>19</v>
      </c>
      <c r="E956" s="67">
        <v>500</v>
      </c>
      <c r="F956" s="67">
        <v>4</v>
      </c>
      <c r="G956" s="102">
        <v>2000</v>
      </c>
      <c r="H956" s="105" t="s">
        <v>92</v>
      </c>
      <c r="I956" s="106"/>
      <c r="K956" s="56">
        <v>290</v>
      </c>
      <c r="M956" s="55" t="s">
        <v>326</v>
      </c>
      <c r="O956" s="55" t="s">
        <v>178</v>
      </c>
    </row>
    <row r="957" spans="2:15">
      <c r="B957" s="20">
        <v>44932</v>
      </c>
      <c r="C957" s="59">
        <v>50272278</v>
      </c>
      <c r="D957" s="55" t="s">
        <v>21</v>
      </c>
      <c r="E957" s="67">
        <v>500</v>
      </c>
      <c r="F957" s="67">
        <v>1</v>
      </c>
      <c r="G957" s="102">
        <v>500</v>
      </c>
      <c r="H957" s="56" t="s">
        <v>92</v>
      </c>
      <c r="I957" s="106"/>
      <c r="K957" s="56">
        <v>290</v>
      </c>
      <c r="M957" s="55" t="s">
        <v>326</v>
      </c>
      <c r="O957" s="55" t="s">
        <v>178</v>
      </c>
    </row>
    <row r="958" spans="2:15">
      <c r="B958" s="20">
        <v>44932</v>
      </c>
      <c r="C958" s="59">
        <v>50801001</v>
      </c>
      <c r="D958" s="55" t="s">
        <v>698</v>
      </c>
      <c r="E958" s="67">
        <v>435.5</v>
      </c>
      <c r="F958" s="67">
        <v>9</v>
      </c>
      <c r="G958" s="102">
        <v>3165.9</v>
      </c>
      <c r="H958" s="56" t="s">
        <v>82</v>
      </c>
      <c r="I958" s="106"/>
      <c r="K958" s="56">
        <v>291</v>
      </c>
      <c r="L958" s="55" t="s">
        <v>326</v>
      </c>
      <c r="M958" s="55" t="s">
        <v>2824</v>
      </c>
      <c r="N958" s="4" t="s">
        <v>2843</v>
      </c>
      <c r="O958" s="55" t="s">
        <v>178</v>
      </c>
    </row>
    <row r="959" spans="2:15">
      <c r="B959" s="20">
        <v>44932</v>
      </c>
      <c r="C959" s="59">
        <v>40011080</v>
      </c>
      <c r="D959" s="55" t="s">
        <v>420</v>
      </c>
      <c r="E959" s="67">
        <v>450</v>
      </c>
      <c r="F959" s="67">
        <v>5</v>
      </c>
      <c r="G959" s="102">
        <v>1750</v>
      </c>
      <c r="H959" s="56" t="s">
        <v>80</v>
      </c>
      <c r="I959" s="106"/>
      <c r="K959" s="56">
        <v>291</v>
      </c>
      <c r="L959" s="55" t="s">
        <v>326</v>
      </c>
      <c r="M959" s="55" t="s">
        <v>2824</v>
      </c>
      <c r="N959" s="4" t="s">
        <v>2843</v>
      </c>
      <c r="O959" s="55" t="s">
        <v>178</v>
      </c>
    </row>
    <row r="960" spans="2:15">
      <c r="B960" s="20">
        <v>44935</v>
      </c>
      <c r="C960" s="59">
        <v>50010080</v>
      </c>
      <c r="D960" s="55" t="s">
        <v>354</v>
      </c>
      <c r="E960" s="67">
        <v>1000</v>
      </c>
      <c r="F960" s="67">
        <v>3</v>
      </c>
      <c r="G960" s="102">
        <v>3000</v>
      </c>
      <c r="H960" s="56" t="s">
        <v>82</v>
      </c>
      <c r="I960" s="106"/>
      <c r="K960" s="56">
        <v>292</v>
      </c>
      <c r="L960" s="55" t="s">
        <v>176</v>
      </c>
      <c r="M960" s="55" t="s">
        <v>2824</v>
      </c>
      <c r="N960" s="4" t="s">
        <v>177</v>
      </c>
      <c r="O960" s="55" t="s">
        <v>178</v>
      </c>
    </row>
    <row r="961" spans="2:15">
      <c r="B961" s="20">
        <v>44935</v>
      </c>
      <c r="C961" s="59">
        <v>50142327</v>
      </c>
      <c r="D961" s="55" t="s">
        <v>256</v>
      </c>
      <c r="E961" s="67">
        <v>681</v>
      </c>
      <c r="F961" s="67">
        <v>4</v>
      </c>
      <c r="G961" s="102">
        <v>2724</v>
      </c>
      <c r="H961" s="56" t="s">
        <v>82</v>
      </c>
      <c r="I961" s="106"/>
      <c r="K961" s="56">
        <v>292</v>
      </c>
      <c r="L961" s="55" t="s">
        <v>176</v>
      </c>
      <c r="M961" s="55" t="s">
        <v>2824</v>
      </c>
      <c r="N961" s="4" t="s">
        <v>177</v>
      </c>
      <c r="O961" s="55" t="s">
        <v>178</v>
      </c>
    </row>
    <row r="962" spans="2:15">
      <c r="B962" s="20">
        <v>44935</v>
      </c>
      <c r="C962" s="59">
        <v>50142334</v>
      </c>
      <c r="D962" s="55" t="s">
        <v>257</v>
      </c>
      <c r="E962" s="67">
        <v>681</v>
      </c>
      <c r="F962" s="67">
        <v>4</v>
      </c>
      <c r="G962" s="102">
        <v>2724</v>
      </c>
      <c r="H962" s="56" t="s">
        <v>82</v>
      </c>
      <c r="I962" s="106"/>
      <c r="K962" s="56">
        <v>292</v>
      </c>
      <c r="L962" s="55" t="s">
        <v>176</v>
      </c>
      <c r="M962" s="55" t="s">
        <v>2824</v>
      </c>
      <c r="N962" s="4" t="s">
        <v>177</v>
      </c>
      <c r="O962" s="55" t="s">
        <v>178</v>
      </c>
    </row>
    <row r="963" spans="2:15">
      <c r="B963" s="20">
        <v>44935</v>
      </c>
      <c r="C963" s="59">
        <v>50141533</v>
      </c>
      <c r="D963" s="55" t="s">
        <v>494</v>
      </c>
      <c r="E963" s="67">
        <v>1250</v>
      </c>
      <c r="F963" s="67">
        <v>3</v>
      </c>
      <c r="G963" s="102">
        <v>3700</v>
      </c>
      <c r="H963" s="56" t="s">
        <v>82</v>
      </c>
      <c r="I963" s="106"/>
      <c r="K963" s="56">
        <v>292</v>
      </c>
      <c r="L963" s="55" t="s">
        <v>176</v>
      </c>
      <c r="M963" s="55" t="s">
        <v>2824</v>
      </c>
      <c r="N963" s="4" t="s">
        <v>177</v>
      </c>
      <c r="O963" s="55" t="s">
        <v>178</v>
      </c>
    </row>
    <row r="964" spans="2:15">
      <c r="B964" s="20">
        <v>44935</v>
      </c>
      <c r="C964" s="59">
        <v>50144376</v>
      </c>
      <c r="D964" s="55" t="s">
        <v>19</v>
      </c>
      <c r="E964" s="67">
        <v>500</v>
      </c>
      <c r="F964" s="67">
        <v>4</v>
      </c>
      <c r="G964" s="102">
        <v>2000</v>
      </c>
      <c r="H964" s="105" t="s">
        <v>92</v>
      </c>
      <c r="I964" s="106"/>
      <c r="K964" s="56">
        <v>292</v>
      </c>
      <c r="L964" s="55" t="s">
        <v>176</v>
      </c>
      <c r="M964" s="55" t="s">
        <v>2824</v>
      </c>
      <c r="N964" s="4" t="s">
        <v>177</v>
      </c>
      <c r="O964" s="55" t="s">
        <v>178</v>
      </c>
    </row>
    <row r="965" spans="2:15">
      <c r="B965" s="20">
        <v>44935</v>
      </c>
      <c r="C965" s="59">
        <v>50144376</v>
      </c>
      <c r="D965" s="55" t="s">
        <v>19</v>
      </c>
      <c r="E965" s="67">
        <v>500</v>
      </c>
      <c r="F965" s="67">
        <v>8</v>
      </c>
      <c r="G965" s="102">
        <v>4000</v>
      </c>
      <c r="H965" s="105" t="s">
        <v>92</v>
      </c>
      <c r="I965" s="106"/>
      <c r="K965" s="56">
        <v>293</v>
      </c>
      <c r="L965" s="55" t="s">
        <v>176</v>
      </c>
      <c r="M965" s="55" t="s">
        <v>2824</v>
      </c>
      <c r="N965" s="4" t="s">
        <v>177</v>
      </c>
      <c r="O965" s="55" t="s">
        <v>178</v>
      </c>
    </row>
    <row r="966" spans="2:15">
      <c r="B966" s="20">
        <v>44935</v>
      </c>
      <c r="C966" s="59">
        <v>50272278</v>
      </c>
      <c r="D966" s="55" t="s">
        <v>21</v>
      </c>
      <c r="E966" s="67">
        <v>500</v>
      </c>
      <c r="F966" s="67">
        <v>4</v>
      </c>
      <c r="G966" s="102">
        <v>2000</v>
      </c>
      <c r="H966" s="56" t="s">
        <v>92</v>
      </c>
      <c r="I966" s="106"/>
      <c r="K966" s="56">
        <v>293</v>
      </c>
      <c r="L966" s="55" t="s">
        <v>176</v>
      </c>
      <c r="M966" s="55" t="s">
        <v>2824</v>
      </c>
      <c r="N966" s="4" t="s">
        <v>177</v>
      </c>
      <c r="O966" s="55" t="s">
        <v>178</v>
      </c>
    </row>
    <row r="967" spans="2:15">
      <c r="B967" s="20">
        <v>44935</v>
      </c>
      <c r="C967" s="59">
        <v>50470190</v>
      </c>
      <c r="D967" s="55" t="s">
        <v>12</v>
      </c>
      <c r="E967" s="67">
        <v>289800</v>
      </c>
      <c r="F967" s="67">
        <v>6</v>
      </c>
      <c r="G967" s="102">
        <v>1738800</v>
      </c>
      <c r="H967" s="56" t="s">
        <v>92</v>
      </c>
      <c r="I967" s="106"/>
      <c r="K967" s="56">
        <v>293</v>
      </c>
      <c r="L967" s="55" t="s">
        <v>176</v>
      </c>
      <c r="M967" s="55" t="s">
        <v>2824</v>
      </c>
      <c r="N967" s="4" t="s">
        <v>177</v>
      </c>
      <c r="O967" s="55" t="s">
        <v>178</v>
      </c>
    </row>
    <row r="968" spans="2:15">
      <c r="B968" s="20">
        <v>44935</v>
      </c>
      <c r="C968" s="59">
        <v>50145029</v>
      </c>
      <c r="D968" s="55" t="s">
        <v>705</v>
      </c>
      <c r="E968" s="67">
        <v>60</v>
      </c>
      <c r="G968" s="102">
        <v>60</v>
      </c>
      <c r="H968" s="56" t="s">
        <v>505</v>
      </c>
      <c r="I968" s="106"/>
      <c r="K968" s="56">
        <v>293</v>
      </c>
      <c r="L968" s="55" t="s">
        <v>176</v>
      </c>
      <c r="M968" s="55" t="s">
        <v>2824</v>
      </c>
      <c r="N968" s="4" t="s">
        <v>177</v>
      </c>
      <c r="O968" s="55" t="s">
        <v>178</v>
      </c>
    </row>
    <row r="969" spans="2:15">
      <c r="B969" s="20">
        <v>44935</v>
      </c>
      <c r="C969" s="59">
        <v>50392045</v>
      </c>
      <c r="D969" s="55" t="s">
        <v>707</v>
      </c>
      <c r="E969" s="67">
        <v>42</v>
      </c>
      <c r="G969" s="102">
        <v>42</v>
      </c>
      <c r="H969" s="56" t="s">
        <v>505</v>
      </c>
      <c r="I969" s="106"/>
      <c r="K969" s="56">
        <v>293</v>
      </c>
      <c r="L969" s="55" t="s">
        <v>176</v>
      </c>
      <c r="M969" s="55" t="s">
        <v>2824</v>
      </c>
      <c r="N969" s="4" t="s">
        <v>177</v>
      </c>
      <c r="O969" s="55" t="s">
        <v>178</v>
      </c>
    </row>
    <row r="970" spans="2:15">
      <c r="B970" s="20">
        <v>44935</v>
      </c>
      <c r="C970" s="59">
        <v>50145012</v>
      </c>
      <c r="D970" s="55" t="s">
        <v>504</v>
      </c>
      <c r="E970" s="67">
        <v>6</v>
      </c>
      <c r="G970" s="102">
        <v>6</v>
      </c>
      <c r="H970" s="56" t="s">
        <v>505</v>
      </c>
      <c r="I970" s="106"/>
      <c r="K970" s="56">
        <v>293</v>
      </c>
      <c r="L970" s="55" t="s">
        <v>176</v>
      </c>
      <c r="M970" s="55" t="s">
        <v>2824</v>
      </c>
      <c r="N970" s="4" t="s">
        <v>177</v>
      </c>
      <c r="O970" s="55" t="s">
        <v>178</v>
      </c>
    </row>
    <row r="971" spans="2:15">
      <c r="B971" s="20">
        <v>44935</v>
      </c>
      <c r="C971" s="59">
        <v>50392046</v>
      </c>
      <c r="D971" s="55" t="s">
        <v>509</v>
      </c>
      <c r="E971" s="67">
        <v>24</v>
      </c>
      <c r="G971" s="102">
        <v>24</v>
      </c>
      <c r="H971" s="99" t="s">
        <v>505</v>
      </c>
      <c r="I971" s="106"/>
      <c r="K971" s="56">
        <v>293</v>
      </c>
      <c r="L971" s="55" t="s">
        <v>176</v>
      </c>
      <c r="M971" s="55" t="s">
        <v>2824</v>
      </c>
      <c r="N971" s="4" t="s">
        <v>177</v>
      </c>
      <c r="O971" s="55" t="s">
        <v>178</v>
      </c>
    </row>
    <row r="972" spans="2:15">
      <c r="B972" s="20">
        <v>44936</v>
      </c>
      <c r="C972" s="59">
        <v>50272278</v>
      </c>
      <c r="D972" s="55" t="s">
        <v>21</v>
      </c>
      <c r="E972" s="67">
        <v>500</v>
      </c>
      <c r="F972" s="67">
        <v>6</v>
      </c>
      <c r="G972" s="102">
        <v>3000</v>
      </c>
      <c r="H972" s="56" t="s">
        <v>92</v>
      </c>
      <c r="I972" s="106"/>
      <c r="K972" s="56">
        <v>294</v>
      </c>
      <c r="L972" s="55" t="s">
        <v>176</v>
      </c>
      <c r="M972" s="55" t="s">
        <v>2824</v>
      </c>
      <c r="N972" s="4" t="s">
        <v>177</v>
      </c>
      <c r="O972" s="55" t="s">
        <v>178</v>
      </c>
    </row>
    <row r="973" spans="2:15">
      <c r="B973" s="20">
        <v>44936</v>
      </c>
      <c r="C973" s="59">
        <v>50144376</v>
      </c>
      <c r="D973" s="55" t="s">
        <v>19</v>
      </c>
      <c r="E973" s="67">
        <v>500</v>
      </c>
      <c r="F973" s="67">
        <v>2</v>
      </c>
      <c r="G973" s="102">
        <v>1000</v>
      </c>
      <c r="H973" s="105" t="s">
        <v>92</v>
      </c>
      <c r="I973" s="106"/>
      <c r="K973" s="56">
        <v>294</v>
      </c>
      <c r="L973" s="55" t="s">
        <v>176</v>
      </c>
      <c r="M973" s="55" t="s">
        <v>2824</v>
      </c>
      <c r="N973" s="4" t="s">
        <v>177</v>
      </c>
      <c r="O973" s="55" t="s">
        <v>178</v>
      </c>
    </row>
    <row r="974" spans="2:15">
      <c r="B974" s="20">
        <v>44936</v>
      </c>
      <c r="C974" s="59">
        <v>40010087</v>
      </c>
      <c r="D974" s="55" t="s">
        <v>387</v>
      </c>
      <c r="E974" s="67">
        <v>756</v>
      </c>
      <c r="F974" s="67">
        <v>3</v>
      </c>
      <c r="G974" s="102">
        <v>2268</v>
      </c>
      <c r="H974" s="56" t="s">
        <v>80</v>
      </c>
      <c r="I974" s="106"/>
      <c r="K974" s="56">
        <v>294</v>
      </c>
      <c r="L974" s="55" t="s">
        <v>176</v>
      </c>
      <c r="M974" s="55" t="s">
        <v>2824</v>
      </c>
      <c r="N974" s="4" t="s">
        <v>177</v>
      </c>
      <c r="O974" s="55" t="s">
        <v>178</v>
      </c>
    </row>
    <row r="975" spans="2:15">
      <c r="B975" s="20">
        <v>44936</v>
      </c>
      <c r="C975" s="59">
        <v>40010083</v>
      </c>
      <c r="D975" s="55" t="s">
        <v>85</v>
      </c>
      <c r="E975" s="67">
        <v>3808</v>
      </c>
      <c r="F975" s="67">
        <v>1</v>
      </c>
      <c r="G975" s="102">
        <v>3808</v>
      </c>
      <c r="H975" s="56" t="s">
        <v>80</v>
      </c>
      <c r="I975" s="106"/>
      <c r="K975" s="56">
        <v>294</v>
      </c>
      <c r="L975" s="55" t="s">
        <v>176</v>
      </c>
      <c r="M975" s="55" t="s">
        <v>2824</v>
      </c>
      <c r="N975" s="4" t="s">
        <v>177</v>
      </c>
      <c r="O975" s="55" t="s">
        <v>178</v>
      </c>
    </row>
    <row r="976" spans="2:15">
      <c r="B976" s="20">
        <v>44936</v>
      </c>
      <c r="C976" s="59">
        <v>40010084</v>
      </c>
      <c r="D976" s="55" t="s">
        <v>81</v>
      </c>
      <c r="E976" s="67">
        <v>1334</v>
      </c>
      <c r="F976" s="67">
        <v>4</v>
      </c>
      <c r="G976" s="102">
        <v>4128</v>
      </c>
      <c r="H976" s="56" t="s">
        <v>80</v>
      </c>
      <c r="I976" s="106"/>
      <c r="K976" s="56">
        <v>294</v>
      </c>
      <c r="L976" s="55" t="s">
        <v>176</v>
      </c>
      <c r="M976" s="55" t="s">
        <v>2824</v>
      </c>
      <c r="N976" s="4" t="s">
        <v>177</v>
      </c>
      <c r="O976" s="55" t="s">
        <v>178</v>
      </c>
    </row>
    <row r="977" spans="2:15">
      <c r="B977" s="20">
        <v>44936</v>
      </c>
      <c r="C977" s="59">
        <v>40011080</v>
      </c>
      <c r="D977" s="55" t="s">
        <v>420</v>
      </c>
      <c r="E977" s="67">
        <v>450</v>
      </c>
      <c r="F977" s="67">
        <v>5</v>
      </c>
      <c r="G977" s="102">
        <v>1800</v>
      </c>
      <c r="H977" s="56" t="s">
        <v>80</v>
      </c>
      <c r="I977" s="106"/>
      <c r="K977" s="56">
        <v>294</v>
      </c>
      <c r="L977" s="55" t="s">
        <v>176</v>
      </c>
      <c r="M977" s="55" t="s">
        <v>2824</v>
      </c>
      <c r="N977" s="4" t="s">
        <v>177</v>
      </c>
      <c r="O977" s="55" t="s">
        <v>178</v>
      </c>
    </row>
    <row r="978" spans="2:15">
      <c r="B978" s="20">
        <v>44936</v>
      </c>
      <c r="C978" s="59">
        <v>40004887</v>
      </c>
      <c r="D978" s="55" t="s">
        <v>272</v>
      </c>
      <c r="E978" s="67">
        <v>441</v>
      </c>
      <c r="F978" s="67">
        <v>2</v>
      </c>
      <c r="G978" s="102">
        <v>882</v>
      </c>
      <c r="H978" s="56" t="s">
        <v>80</v>
      </c>
      <c r="I978" s="106"/>
      <c r="K978" s="56">
        <v>295</v>
      </c>
      <c r="L978" s="55" t="s">
        <v>176</v>
      </c>
      <c r="M978" s="55" t="s">
        <v>2824</v>
      </c>
      <c r="N978" s="4" t="s">
        <v>177</v>
      </c>
      <c r="O978" s="55" t="s">
        <v>178</v>
      </c>
    </row>
    <row r="979" spans="2:15">
      <c r="B979" s="20">
        <v>44936</v>
      </c>
      <c r="C979" s="59">
        <v>40011149</v>
      </c>
      <c r="D979" s="55" t="s">
        <v>37</v>
      </c>
      <c r="E979" s="67">
        <v>450</v>
      </c>
      <c r="F979" s="67">
        <v>3</v>
      </c>
      <c r="G979" s="102">
        <v>1080</v>
      </c>
      <c r="H979" s="56" t="s">
        <v>80</v>
      </c>
      <c r="I979" s="106"/>
      <c r="K979" s="56">
        <v>295</v>
      </c>
      <c r="L979" s="55" t="s">
        <v>176</v>
      </c>
      <c r="M979" s="55" t="s">
        <v>2824</v>
      </c>
      <c r="N979" s="4" t="s">
        <v>177</v>
      </c>
      <c r="O979" s="55" t="s">
        <v>178</v>
      </c>
    </row>
    <row r="980" spans="2:15">
      <c r="B980" s="20">
        <v>44936</v>
      </c>
      <c r="C980" s="59">
        <v>50509889</v>
      </c>
      <c r="D980" s="55" t="s">
        <v>671</v>
      </c>
      <c r="E980" s="67">
        <v>264000</v>
      </c>
      <c r="F980" s="67">
        <v>5</v>
      </c>
      <c r="G980" s="102">
        <v>1320000</v>
      </c>
      <c r="H980" s="56" t="s">
        <v>92</v>
      </c>
      <c r="I980" s="106"/>
      <c r="K980" s="56">
        <v>295</v>
      </c>
      <c r="L980" s="55" t="s">
        <v>176</v>
      </c>
      <c r="M980" s="55" t="s">
        <v>2824</v>
      </c>
      <c r="N980" s="4" t="s">
        <v>177</v>
      </c>
      <c r="O980" s="55" t="s">
        <v>178</v>
      </c>
    </row>
    <row r="981" spans="2:15">
      <c r="B981" s="20">
        <v>44936</v>
      </c>
      <c r="C981" s="59">
        <v>50470190</v>
      </c>
      <c r="D981" s="55" t="s">
        <v>12</v>
      </c>
      <c r="E981" s="67">
        <v>289800</v>
      </c>
      <c r="F981" s="67">
        <v>8</v>
      </c>
      <c r="G981" s="102">
        <v>2318400</v>
      </c>
      <c r="H981" s="56" t="s">
        <v>92</v>
      </c>
      <c r="I981" s="106"/>
      <c r="K981" s="56">
        <v>295</v>
      </c>
      <c r="L981" s="55" t="s">
        <v>176</v>
      </c>
      <c r="M981" s="55" t="s">
        <v>2824</v>
      </c>
      <c r="N981" s="4" t="s">
        <v>177</v>
      </c>
      <c r="O981" s="55" t="s">
        <v>178</v>
      </c>
    </row>
    <row r="982" spans="2:15">
      <c r="B982" s="20">
        <v>44937</v>
      </c>
      <c r="C982" s="59">
        <v>50272278</v>
      </c>
      <c r="D982" s="55" t="s">
        <v>21</v>
      </c>
      <c r="E982" s="67">
        <v>500</v>
      </c>
      <c r="F982" s="67">
        <v>16</v>
      </c>
      <c r="G982" s="102">
        <v>8000</v>
      </c>
      <c r="H982" s="56" t="s">
        <v>92</v>
      </c>
      <c r="I982" s="106"/>
      <c r="K982" s="56">
        <v>296</v>
      </c>
      <c r="L982" s="55" t="s">
        <v>176</v>
      </c>
      <c r="M982" s="55" t="s">
        <v>2824</v>
      </c>
      <c r="N982" s="4" t="s">
        <v>177</v>
      </c>
      <c r="O982" s="55" t="s">
        <v>178</v>
      </c>
    </row>
    <row r="983" spans="2:15">
      <c r="B983" s="20">
        <v>44937</v>
      </c>
      <c r="C983" s="59">
        <v>40011096</v>
      </c>
      <c r="D983" s="55" t="s">
        <v>478</v>
      </c>
      <c r="E983" s="67">
        <v>1357</v>
      </c>
      <c r="F983" s="67">
        <v>1</v>
      </c>
      <c r="G983" s="102">
        <v>1357</v>
      </c>
      <c r="H983" s="56" t="s">
        <v>80</v>
      </c>
      <c r="I983" s="106"/>
      <c r="K983" s="56">
        <v>296</v>
      </c>
      <c r="L983" s="55" t="s">
        <v>176</v>
      </c>
      <c r="M983" s="55" t="s">
        <v>2824</v>
      </c>
      <c r="N983" s="4" t="s">
        <v>177</v>
      </c>
      <c r="O983" s="55" t="s">
        <v>178</v>
      </c>
    </row>
    <row r="984" spans="2:15">
      <c r="B984" s="20">
        <v>44937</v>
      </c>
      <c r="C984" s="59">
        <v>40007939</v>
      </c>
      <c r="D984" s="55" t="s">
        <v>476</v>
      </c>
      <c r="E984" s="67">
        <v>1458</v>
      </c>
      <c r="F984" s="67">
        <v>2</v>
      </c>
      <c r="G984" s="102">
        <v>1458</v>
      </c>
      <c r="H984" s="56" t="s">
        <v>80</v>
      </c>
      <c r="I984" s="106"/>
      <c r="K984" s="56">
        <v>296</v>
      </c>
      <c r="L984" s="55" t="s">
        <v>176</v>
      </c>
      <c r="M984" s="55" t="s">
        <v>2824</v>
      </c>
      <c r="N984" s="4" t="s">
        <v>177</v>
      </c>
      <c r="O984" s="55" t="s">
        <v>178</v>
      </c>
    </row>
    <row r="985" spans="2:15">
      <c r="B985" s="20">
        <v>44937</v>
      </c>
      <c r="C985" s="59">
        <v>40007940</v>
      </c>
      <c r="D985" s="55" t="s">
        <v>477</v>
      </c>
      <c r="E985" s="67">
        <v>1374</v>
      </c>
      <c r="F985" s="67">
        <v>1</v>
      </c>
      <c r="G985" s="102">
        <v>1374</v>
      </c>
      <c r="H985" s="56" t="s">
        <v>80</v>
      </c>
      <c r="I985" s="106"/>
      <c r="K985" s="56">
        <v>296</v>
      </c>
      <c r="L985" s="55" t="s">
        <v>176</v>
      </c>
      <c r="M985" s="55" t="s">
        <v>2824</v>
      </c>
      <c r="N985" s="4" t="s">
        <v>177</v>
      </c>
      <c r="O985" s="55" t="s">
        <v>178</v>
      </c>
    </row>
    <row r="986" spans="2:15">
      <c r="B986" s="20">
        <v>44937</v>
      </c>
      <c r="C986" s="59">
        <v>50270855</v>
      </c>
      <c r="D986" s="55" t="s">
        <v>740</v>
      </c>
      <c r="E986" s="67">
        <v>264</v>
      </c>
      <c r="F986" s="67">
        <v>5</v>
      </c>
      <c r="G986" s="102">
        <v>1320000</v>
      </c>
      <c r="H986" s="56" t="s">
        <v>92</v>
      </c>
      <c r="I986" s="106"/>
      <c r="K986" s="56">
        <v>297</v>
      </c>
      <c r="L986" s="55" t="s">
        <v>176</v>
      </c>
      <c r="M986" s="55" t="s">
        <v>2824</v>
      </c>
      <c r="N986" s="4" t="s">
        <v>177</v>
      </c>
      <c r="O986" s="55" t="s">
        <v>178</v>
      </c>
    </row>
    <row r="987" spans="2:15">
      <c r="B987" s="20">
        <v>44937</v>
      </c>
      <c r="C987" s="59">
        <v>40007616</v>
      </c>
      <c r="D987" s="55" t="s">
        <v>588</v>
      </c>
      <c r="E987" s="67">
        <v>441</v>
      </c>
      <c r="F987" s="67">
        <v>3</v>
      </c>
      <c r="G987" s="102">
        <v>1197</v>
      </c>
      <c r="H987" s="56" t="s">
        <v>80</v>
      </c>
      <c r="I987" s="106"/>
      <c r="K987" s="56">
        <v>297</v>
      </c>
      <c r="L987" s="55" t="s">
        <v>176</v>
      </c>
      <c r="M987" s="55" t="s">
        <v>2824</v>
      </c>
      <c r="N987" s="4" t="s">
        <v>177</v>
      </c>
      <c r="O987" s="55" t="s">
        <v>178</v>
      </c>
    </row>
    <row r="988" spans="2:15">
      <c r="B988" s="20">
        <v>44937</v>
      </c>
      <c r="C988" s="59">
        <v>50145028</v>
      </c>
      <c r="D988" s="55" t="s">
        <v>23</v>
      </c>
      <c r="E988" s="67">
        <v>192</v>
      </c>
      <c r="F988" s="67">
        <v>3</v>
      </c>
      <c r="G988" s="102">
        <v>576</v>
      </c>
      <c r="H988" s="56" t="s">
        <v>92</v>
      </c>
      <c r="I988" s="106"/>
      <c r="K988" s="56">
        <v>297</v>
      </c>
      <c r="L988" s="55" t="s">
        <v>176</v>
      </c>
      <c r="M988" s="55" t="s">
        <v>2824</v>
      </c>
      <c r="N988" s="4" t="s">
        <v>177</v>
      </c>
      <c r="O988" s="55" t="s">
        <v>178</v>
      </c>
    </row>
    <row r="989" spans="2:15">
      <c r="B989" s="20">
        <v>44937</v>
      </c>
      <c r="C989" s="59">
        <v>50470190</v>
      </c>
      <c r="D989" s="55" t="s">
        <v>12</v>
      </c>
      <c r="E989" s="67">
        <v>289800</v>
      </c>
      <c r="F989" s="67">
        <v>7</v>
      </c>
      <c r="G989" s="102">
        <v>2028600</v>
      </c>
      <c r="H989" s="56" t="s">
        <v>92</v>
      </c>
      <c r="I989" s="106"/>
      <c r="K989" s="56">
        <v>297</v>
      </c>
      <c r="L989" s="55" t="s">
        <v>176</v>
      </c>
      <c r="M989" s="55" t="s">
        <v>2824</v>
      </c>
      <c r="N989" s="4" t="s">
        <v>177</v>
      </c>
      <c r="O989" s="55" t="s">
        <v>178</v>
      </c>
    </row>
    <row r="990" spans="2:15">
      <c r="B990" s="20">
        <v>44938</v>
      </c>
      <c r="C990" s="59">
        <v>50470190</v>
      </c>
      <c r="D990" s="55" t="s">
        <v>12</v>
      </c>
      <c r="E990" s="67">
        <v>289800</v>
      </c>
      <c r="F990" s="67">
        <v>16</v>
      </c>
      <c r="G990" s="102">
        <v>4636800</v>
      </c>
      <c r="H990" s="56" t="s">
        <v>92</v>
      </c>
      <c r="I990" s="106"/>
      <c r="K990" s="56">
        <v>298</v>
      </c>
      <c r="L990" s="55" t="s">
        <v>176</v>
      </c>
      <c r="M990" s="55" t="s">
        <v>2824</v>
      </c>
      <c r="N990" s="4" t="s">
        <v>177</v>
      </c>
      <c r="O990" s="55" t="s">
        <v>178</v>
      </c>
    </row>
    <row r="991" spans="2:15">
      <c r="B991" s="20">
        <v>44938</v>
      </c>
      <c r="C991" s="59">
        <v>50142055</v>
      </c>
      <c r="D991" s="55" t="s">
        <v>206</v>
      </c>
      <c r="E991" s="67">
        <v>600</v>
      </c>
      <c r="F991" s="67">
        <v>10</v>
      </c>
      <c r="G991" s="102">
        <v>6000</v>
      </c>
      <c r="H991" s="56" t="s">
        <v>82</v>
      </c>
      <c r="I991" s="106"/>
      <c r="K991" s="56">
        <v>299</v>
      </c>
      <c r="L991" s="55" t="s">
        <v>176</v>
      </c>
      <c r="M991" s="55" t="s">
        <v>2824</v>
      </c>
      <c r="N991" s="4" t="s">
        <v>177</v>
      </c>
      <c r="O991" s="55" t="s">
        <v>178</v>
      </c>
    </row>
    <row r="992" spans="2:15">
      <c r="B992" s="20">
        <v>44938</v>
      </c>
      <c r="C992" s="59">
        <v>50142330</v>
      </c>
      <c r="D992" s="55" t="s">
        <v>195</v>
      </c>
      <c r="E992" s="67">
        <v>359.28</v>
      </c>
      <c r="F992" s="67">
        <v>10</v>
      </c>
      <c r="G992" s="102">
        <v>3592.8</v>
      </c>
      <c r="H992" s="56" t="s">
        <v>82</v>
      </c>
      <c r="I992" s="106"/>
      <c r="K992" s="56">
        <v>299</v>
      </c>
      <c r="L992" s="55" t="s">
        <v>176</v>
      </c>
      <c r="M992" s="55" t="s">
        <v>2824</v>
      </c>
      <c r="N992" s="4" t="s">
        <v>177</v>
      </c>
      <c r="O992" s="55" t="s">
        <v>178</v>
      </c>
    </row>
    <row r="993" spans="2:15">
      <c r="B993" s="20">
        <v>44938</v>
      </c>
      <c r="C993" s="59">
        <v>50272278</v>
      </c>
      <c r="D993" s="55" t="s">
        <v>21</v>
      </c>
      <c r="E993" s="67">
        <v>500</v>
      </c>
      <c r="F993" s="67">
        <v>8</v>
      </c>
      <c r="G993" s="102">
        <v>4000</v>
      </c>
      <c r="H993" s="56" t="s">
        <v>92</v>
      </c>
      <c r="I993" s="106"/>
      <c r="K993" s="56">
        <v>300</v>
      </c>
      <c r="L993" s="55" t="s">
        <v>176</v>
      </c>
      <c r="M993" s="55" t="s">
        <v>2824</v>
      </c>
      <c r="N993" s="4" t="s">
        <v>177</v>
      </c>
      <c r="O993" s="55" t="s">
        <v>178</v>
      </c>
    </row>
    <row r="994" spans="2:15">
      <c r="B994" s="20">
        <v>44938</v>
      </c>
      <c r="C994" s="59">
        <v>50143646</v>
      </c>
      <c r="D994" s="55" t="s">
        <v>191</v>
      </c>
      <c r="E994" s="67">
        <v>480</v>
      </c>
      <c r="F994" s="67">
        <v>1</v>
      </c>
      <c r="G994" s="102">
        <v>480</v>
      </c>
      <c r="H994" s="56" t="s">
        <v>82</v>
      </c>
      <c r="I994" s="106"/>
      <c r="K994" s="56">
        <v>300</v>
      </c>
      <c r="L994" s="55" t="s">
        <v>176</v>
      </c>
      <c r="M994" s="55" t="s">
        <v>2824</v>
      </c>
      <c r="N994" s="4" t="s">
        <v>177</v>
      </c>
      <c r="O994" s="55" t="s">
        <v>178</v>
      </c>
    </row>
    <row r="995" spans="2:15">
      <c r="B995" s="20">
        <v>44938</v>
      </c>
      <c r="C995" s="59">
        <v>40009546</v>
      </c>
      <c r="D995" s="55" t="s">
        <v>174</v>
      </c>
      <c r="E995" s="67">
        <v>756</v>
      </c>
      <c r="F995" s="67">
        <v>5</v>
      </c>
      <c r="G995" s="102">
        <v>3780</v>
      </c>
      <c r="H995" s="56" t="s">
        <v>80</v>
      </c>
      <c r="I995" s="106"/>
      <c r="K995" s="56">
        <v>300</v>
      </c>
      <c r="L995" s="55" t="s">
        <v>176</v>
      </c>
      <c r="M995" s="55" t="s">
        <v>2824</v>
      </c>
      <c r="N995" s="4" t="s">
        <v>177</v>
      </c>
      <c r="O995" s="55" t="s">
        <v>178</v>
      </c>
    </row>
    <row r="996" spans="2:15">
      <c r="B996" s="20">
        <v>44938</v>
      </c>
      <c r="C996" s="59">
        <v>40011080</v>
      </c>
      <c r="D996" s="55" t="s">
        <v>420</v>
      </c>
      <c r="E996" s="67">
        <v>450</v>
      </c>
      <c r="F996" s="67">
        <v>4</v>
      </c>
      <c r="G996" s="102">
        <v>1800</v>
      </c>
      <c r="H996" s="56" t="s">
        <v>80</v>
      </c>
      <c r="I996" s="106"/>
      <c r="K996" s="56">
        <v>300</v>
      </c>
      <c r="L996" s="55" t="s">
        <v>176</v>
      </c>
      <c r="M996" s="55" t="s">
        <v>2824</v>
      </c>
      <c r="N996" s="4" t="s">
        <v>177</v>
      </c>
      <c r="O996" s="55" t="s">
        <v>178</v>
      </c>
    </row>
    <row r="997" spans="2:15">
      <c r="B997" s="20">
        <v>44938</v>
      </c>
      <c r="C997" s="59">
        <v>50761569</v>
      </c>
      <c r="D997" s="55" t="s">
        <v>609</v>
      </c>
      <c r="E997" s="67">
        <v>533.3</v>
      </c>
      <c r="F997" s="67">
        <v>2</v>
      </c>
      <c r="G997" s="102">
        <v>1056.25</v>
      </c>
      <c r="H997" s="56" t="s">
        <v>82</v>
      </c>
      <c r="I997" s="106"/>
      <c r="K997" s="56">
        <v>300</v>
      </c>
      <c r="L997" s="55" t="s">
        <v>176</v>
      </c>
      <c r="M997" s="55" t="s">
        <v>2824</v>
      </c>
      <c r="N997" s="4" t="s">
        <v>177</v>
      </c>
      <c r="O997" s="55" t="s">
        <v>178</v>
      </c>
    </row>
    <row r="998" spans="2:15">
      <c r="B998" s="20">
        <v>44939</v>
      </c>
      <c r="C998" s="59">
        <v>50272278</v>
      </c>
      <c r="D998" s="55" t="s">
        <v>21</v>
      </c>
      <c r="E998" s="67">
        <v>500</v>
      </c>
      <c r="F998" s="67">
        <v>9</v>
      </c>
      <c r="G998" s="102">
        <v>4500</v>
      </c>
      <c r="H998" s="56" t="s">
        <v>92</v>
      </c>
      <c r="I998" s="106"/>
      <c r="K998" s="56">
        <v>301</v>
      </c>
      <c r="L998" s="55" t="s">
        <v>176</v>
      </c>
      <c r="M998" s="55" t="s">
        <v>2824</v>
      </c>
      <c r="N998" s="4" t="s">
        <v>177</v>
      </c>
      <c r="O998" s="55" t="s">
        <v>178</v>
      </c>
    </row>
    <row r="999" spans="2:15">
      <c r="B999" s="20">
        <v>44939</v>
      </c>
      <c r="C999" s="59">
        <v>50761569</v>
      </c>
      <c r="D999" s="55" t="s">
        <v>609</v>
      </c>
      <c r="E999" s="67">
        <v>532.3</v>
      </c>
      <c r="F999" s="67">
        <v>1</v>
      </c>
      <c r="G999" s="102">
        <v>532.3</v>
      </c>
      <c r="H999" s="56" t="s">
        <v>82</v>
      </c>
      <c r="I999" s="106"/>
      <c r="K999" s="56">
        <v>301</v>
      </c>
      <c r="L999" s="55" t="s">
        <v>176</v>
      </c>
      <c r="M999" s="55" t="s">
        <v>2824</v>
      </c>
      <c r="N999" s="4" t="s">
        <v>177</v>
      </c>
      <c r="O999" s="55" t="s">
        <v>178</v>
      </c>
    </row>
    <row r="1000" spans="2:15">
      <c r="B1000" s="20">
        <v>44939</v>
      </c>
      <c r="C1000" s="59">
        <v>50470190</v>
      </c>
      <c r="D1000" s="55" t="s">
        <v>12</v>
      </c>
      <c r="E1000" s="67">
        <v>289800</v>
      </c>
      <c r="F1000" s="67">
        <v>8</v>
      </c>
      <c r="G1000" s="102">
        <v>2318400</v>
      </c>
      <c r="H1000" s="56" t="s">
        <v>92</v>
      </c>
      <c r="I1000" s="106"/>
      <c r="K1000" s="56">
        <v>301</v>
      </c>
      <c r="L1000" s="55" t="s">
        <v>176</v>
      </c>
      <c r="M1000" s="55" t="s">
        <v>2824</v>
      </c>
      <c r="N1000" s="4" t="s">
        <v>177</v>
      </c>
      <c r="O1000" s="55" t="s">
        <v>178</v>
      </c>
    </row>
    <row r="1001" spans="2:15">
      <c r="B1001" s="20">
        <v>44940</v>
      </c>
      <c r="C1001" s="59">
        <v>50761569</v>
      </c>
      <c r="D1001" s="55" t="s">
        <v>609</v>
      </c>
      <c r="E1001" s="67">
        <v>526.35</v>
      </c>
      <c r="F1001" s="67">
        <v>3</v>
      </c>
      <c r="G1001" s="102">
        <v>1550</v>
      </c>
      <c r="H1001" s="56" t="s">
        <v>82</v>
      </c>
      <c r="I1001" s="106"/>
      <c r="K1001" s="56">
        <v>302</v>
      </c>
      <c r="L1001" s="55" t="s">
        <v>416</v>
      </c>
      <c r="M1001" s="55" t="s">
        <v>2824</v>
      </c>
      <c r="N1001" s="4" t="s">
        <v>417</v>
      </c>
      <c r="O1001" s="55" t="s">
        <v>178</v>
      </c>
    </row>
    <row r="1002" spans="2:15">
      <c r="B1002" s="20">
        <v>44942</v>
      </c>
      <c r="C1002" s="59">
        <v>50272278</v>
      </c>
      <c r="D1002" s="55" t="s">
        <v>21</v>
      </c>
      <c r="E1002" s="67">
        <v>500</v>
      </c>
      <c r="F1002" s="67">
        <v>10</v>
      </c>
      <c r="G1002" s="102">
        <v>5000</v>
      </c>
      <c r="H1002" s="56" t="s">
        <v>92</v>
      </c>
      <c r="I1002" s="106"/>
      <c r="K1002" s="56">
        <v>303</v>
      </c>
      <c r="L1002" s="55" t="s">
        <v>176</v>
      </c>
      <c r="M1002" s="55" t="s">
        <v>2824</v>
      </c>
      <c r="N1002" s="4" t="s">
        <v>177</v>
      </c>
      <c r="O1002" s="55" t="s">
        <v>178</v>
      </c>
    </row>
    <row r="1003" spans="2:15">
      <c r="B1003" s="20">
        <v>44942</v>
      </c>
      <c r="C1003" s="59">
        <v>50010080</v>
      </c>
      <c r="D1003" s="55" t="s">
        <v>354</v>
      </c>
      <c r="E1003" s="67">
        <v>1000</v>
      </c>
      <c r="F1003" s="67">
        <v>5</v>
      </c>
      <c r="G1003" s="102">
        <v>5000</v>
      </c>
      <c r="H1003" s="56" t="s">
        <v>82</v>
      </c>
      <c r="I1003" s="106"/>
      <c r="K1003" s="56">
        <v>303</v>
      </c>
      <c r="L1003" s="55" t="s">
        <v>176</v>
      </c>
      <c r="M1003" s="55" t="s">
        <v>2824</v>
      </c>
      <c r="N1003" s="4" t="s">
        <v>177</v>
      </c>
      <c r="O1003" s="55" t="s">
        <v>178</v>
      </c>
    </row>
    <row r="1004" spans="2:15">
      <c r="B1004" s="20">
        <v>44942</v>
      </c>
      <c r="C1004" s="59">
        <v>40009543</v>
      </c>
      <c r="D1004" s="55" t="s">
        <v>473</v>
      </c>
      <c r="E1004" s="67">
        <v>1680</v>
      </c>
      <c r="F1004" s="67">
        <v>2</v>
      </c>
      <c r="G1004" s="102">
        <v>3360</v>
      </c>
      <c r="H1004" s="56" t="s">
        <v>80</v>
      </c>
      <c r="I1004" s="106"/>
      <c r="K1004" s="56">
        <v>303</v>
      </c>
      <c r="L1004" s="55" t="s">
        <v>176</v>
      </c>
      <c r="M1004" s="55" t="s">
        <v>2824</v>
      </c>
      <c r="N1004" s="4" t="s">
        <v>177</v>
      </c>
      <c r="O1004" s="55" t="s">
        <v>178</v>
      </c>
    </row>
    <row r="1005" spans="2:15">
      <c r="B1005" s="20">
        <v>44942</v>
      </c>
      <c r="C1005" s="59">
        <v>50507916</v>
      </c>
      <c r="D1005" s="55" t="s">
        <v>406</v>
      </c>
      <c r="E1005" s="67">
        <v>264000</v>
      </c>
      <c r="F1005" s="67">
        <v>1</v>
      </c>
      <c r="G1005" s="102">
        <v>264000</v>
      </c>
      <c r="H1005" s="56" t="s">
        <v>92</v>
      </c>
      <c r="I1005" s="106"/>
      <c r="K1005" s="56">
        <v>303</v>
      </c>
      <c r="L1005" s="55" t="s">
        <v>176</v>
      </c>
      <c r="M1005" s="55" t="s">
        <v>2824</v>
      </c>
      <c r="N1005" s="4" t="s">
        <v>177</v>
      </c>
      <c r="O1005" s="55" t="s">
        <v>178</v>
      </c>
    </row>
    <row r="1006" spans="2:15">
      <c r="B1006" s="20">
        <v>44942</v>
      </c>
      <c r="C1006" s="59">
        <v>50272278</v>
      </c>
      <c r="D1006" s="55" t="s">
        <v>21</v>
      </c>
      <c r="E1006" s="67">
        <v>500</v>
      </c>
      <c r="F1006" s="67">
        <v>6</v>
      </c>
      <c r="G1006" s="102">
        <v>3000</v>
      </c>
      <c r="H1006" s="56" t="s">
        <v>92</v>
      </c>
      <c r="I1006" s="106"/>
      <c r="K1006" s="56">
        <v>304</v>
      </c>
      <c r="L1006" s="55" t="s">
        <v>176</v>
      </c>
      <c r="M1006" s="55" t="s">
        <v>2824</v>
      </c>
      <c r="N1006" s="4" t="s">
        <v>177</v>
      </c>
      <c r="O1006" s="55" t="s">
        <v>178</v>
      </c>
    </row>
    <row r="1007" spans="2:15">
      <c r="B1007" s="20">
        <v>44942</v>
      </c>
      <c r="C1007" s="59">
        <v>50470190</v>
      </c>
      <c r="D1007" s="55" t="s">
        <v>12</v>
      </c>
      <c r="E1007" s="67">
        <v>289800</v>
      </c>
      <c r="F1007" s="67">
        <v>6</v>
      </c>
      <c r="G1007" s="102">
        <v>1738800</v>
      </c>
      <c r="H1007" s="56" t="s">
        <v>92</v>
      </c>
      <c r="I1007" s="106"/>
      <c r="K1007" s="56">
        <v>304</v>
      </c>
      <c r="L1007" s="55" t="s">
        <v>176</v>
      </c>
      <c r="M1007" s="55" t="s">
        <v>2824</v>
      </c>
      <c r="N1007" s="4" t="s">
        <v>177</v>
      </c>
      <c r="O1007" s="55" t="s">
        <v>178</v>
      </c>
    </row>
    <row r="1008" spans="2:15">
      <c r="B1008" s="20">
        <v>44942</v>
      </c>
      <c r="C1008" s="59">
        <v>50507916</v>
      </c>
      <c r="D1008" s="55" t="s">
        <v>406</v>
      </c>
      <c r="E1008" s="67">
        <v>264000</v>
      </c>
      <c r="F1008" s="67">
        <v>5</v>
      </c>
      <c r="G1008" s="102">
        <v>1320000</v>
      </c>
      <c r="H1008" s="56" t="s">
        <v>92</v>
      </c>
      <c r="I1008" s="106"/>
      <c r="K1008" s="56">
        <v>304</v>
      </c>
      <c r="L1008" s="55" t="s">
        <v>176</v>
      </c>
      <c r="M1008" s="55" t="s">
        <v>2824</v>
      </c>
      <c r="N1008" s="4" t="s">
        <v>177</v>
      </c>
      <c r="O1008" s="55" t="s">
        <v>178</v>
      </c>
    </row>
    <row r="1009" spans="2:15">
      <c r="B1009" s="20">
        <v>44944</v>
      </c>
      <c r="C1009" s="59">
        <v>50272278</v>
      </c>
      <c r="D1009" s="55" t="s">
        <v>21</v>
      </c>
      <c r="E1009" s="67">
        <v>500</v>
      </c>
      <c r="F1009" s="67">
        <v>15</v>
      </c>
      <c r="G1009" s="102">
        <v>7500</v>
      </c>
      <c r="H1009" s="56" t="s">
        <v>92</v>
      </c>
      <c r="I1009" s="106"/>
      <c r="K1009" s="56">
        <v>305</v>
      </c>
      <c r="L1009" s="55" t="s">
        <v>176</v>
      </c>
      <c r="M1009" s="55" t="s">
        <v>2824</v>
      </c>
      <c r="N1009" s="4" t="s">
        <v>193</v>
      </c>
      <c r="O1009" s="55" t="s">
        <v>178</v>
      </c>
    </row>
    <row r="1010" spans="2:15">
      <c r="B1010" s="20">
        <v>44944</v>
      </c>
      <c r="C1010" s="59">
        <v>50142327</v>
      </c>
      <c r="D1010" s="55" t="s">
        <v>256</v>
      </c>
      <c r="E1010" s="67">
        <v>681</v>
      </c>
      <c r="F1010" s="67">
        <v>2</v>
      </c>
      <c r="G1010" s="102">
        <v>1362</v>
      </c>
      <c r="H1010" s="56" t="s">
        <v>82</v>
      </c>
      <c r="I1010" s="106"/>
      <c r="K1010" s="56">
        <v>305</v>
      </c>
      <c r="L1010" s="55" t="s">
        <v>176</v>
      </c>
      <c r="M1010" s="55" t="s">
        <v>2824</v>
      </c>
      <c r="N1010" s="4" t="s">
        <v>193</v>
      </c>
      <c r="O1010" s="55" t="s">
        <v>178</v>
      </c>
    </row>
    <row r="1011" spans="2:15">
      <c r="B1011" s="20">
        <v>44944</v>
      </c>
      <c r="C1011" s="59">
        <v>50142334</v>
      </c>
      <c r="D1011" s="55" t="s">
        <v>257</v>
      </c>
      <c r="E1011" s="67">
        <v>681</v>
      </c>
      <c r="F1011" s="67">
        <v>2</v>
      </c>
      <c r="G1011" s="102">
        <v>1362</v>
      </c>
      <c r="H1011" s="56" t="s">
        <v>82</v>
      </c>
      <c r="I1011" s="106"/>
      <c r="K1011" s="56">
        <v>305</v>
      </c>
      <c r="L1011" s="55" t="s">
        <v>176</v>
      </c>
      <c r="M1011" s="55" t="s">
        <v>2824</v>
      </c>
      <c r="N1011" s="4" t="s">
        <v>193</v>
      </c>
      <c r="O1011" s="55" t="s">
        <v>178</v>
      </c>
    </row>
    <row r="1012" spans="2:15">
      <c r="B1012" s="20">
        <v>44944</v>
      </c>
      <c r="C1012" s="59">
        <v>40010086</v>
      </c>
      <c r="D1012" s="55" t="s">
        <v>79</v>
      </c>
      <c r="E1012" s="67">
        <v>5829</v>
      </c>
      <c r="F1012" s="67">
        <v>2</v>
      </c>
      <c r="G1012" s="102">
        <v>5829</v>
      </c>
      <c r="H1012" s="56" t="s">
        <v>80</v>
      </c>
      <c r="I1012" s="106"/>
      <c r="K1012" s="56">
        <v>305</v>
      </c>
      <c r="L1012" s="55" t="s">
        <v>176</v>
      </c>
      <c r="M1012" s="55" t="s">
        <v>2824</v>
      </c>
      <c r="N1012" s="4" t="s">
        <v>193</v>
      </c>
      <c r="O1012" s="55" t="s">
        <v>178</v>
      </c>
    </row>
    <row r="1013" spans="2:15">
      <c r="B1013" s="20">
        <v>44945</v>
      </c>
      <c r="C1013" s="59">
        <v>50470190</v>
      </c>
      <c r="D1013" s="55" t="s">
        <v>12</v>
      </c>
      <c r="E1013" s="67">
        <v>289800</v>
      </c>
      <c r="F1013" s="67">
        <v>18</v>
      </c>
      <c r="G1013" s="102">
        <v>5216400</v>
      </c>
      <c r="H1013" s="56" t="s">
        <v>92</v>
      </c>
      <c r="I1013" s="106"/>
      <c r="K1013" s="56">
        <v>306</v>
      </c>
      <c r="L1013" s="55" t="s">
        <v>176</v>
      </c>
      <c r="M1013" s="55" t="s">
        <v>2824</v>
      </c>
      <c r="N1013" s="4" t="s">
        <v>193</v>
      </c>
      <c r="O1013" s="55" t="s">
        <v>178</v>
      </c>
    </row>
    <row r="1014" spans="2:15">
      <c r="B1014" s="20">
        <v>44945</v>
      </c>
      <c r="C1014" s="59">
        <v>50143646</v>
      </c>
      <c r="D1014" s="55" t="s">
        <v>191</v>
      </c>
      <c r="E1014" s="67">
        <v>480</v>
      </c>
      <c r="F1014" s="67">
        <v>11</v>
      </c>
      <c r="G1014" s="102">
        <v>5280</v>
      </c>
      <c r="H1014" s="56" t="s">
        <v>82</v>
      </c>
      <c r="I1014" s="106"/>
      <c r="K1014" s="56">
        <v>307</v>
      </c>
      <c r="L1014" s="55" t="s">
        <v>176</v>
      </c>
      <c r="M1014" s="55" t="s">
        <v>2824</v>
      </c>
      <c r="N1014" s="4" t="s">
        <v>193</v>
      </c>
      <c r="O1014" s="55" t="s">
        <v>178</v>
      </c>
    </row>
    <row r="1015" spans="2:15">
      <c r="B1015" s="20">
        <v>44945</v>
      </c>
      <c r="C1015" s="59">
        <v>50141786</v>
      </c>
      <c r="D1015" s="55" t="s">
        <v>188</v>
      </c>
      <c r="E1015" s="67">
        <v>560</v>
      </c>
      <c r="F1015" s="67">
        <v>11</v>
      </c>
      <c r="G1015" s="102">
        <v>6160</v>
      </c>
      <c r="H1015" s="56" t="s">
        <v>82</v>
      </c>
      <c r="I1015" s="106"/>
      <c r="K1015" s="56">
        <v>307</v>
      </c>
      <c r="L1015" s="55" t="s">
        <v>176</v>
      </c>
      <c r="M1015" s="55" t="s">
        <v>2824</v>
      </c>
      <c r="N1015" s="4" t="s">
        <v>193</v>
      </c>
      <c r="O1015" s="55" t="s">
        <v>178</v>
      </c>
    </row>
    <row r="1016" spans="2:15">
      <c r="B1016" s="20">
        <v>44945</v>
      </c>
      <c r="C1016" s="59">
        <v>50449311</v>
      </c>
      <c r="D1016" s="55" t="s">
        <v>2844</v>
      </c>
      <c r="E1016" s="67">
        <v>5</v>
      </c>
      <c r="G1016" s="102">
        <v>5</v>
      </c>
      <c r="H1016" s="56" t="s">
        <v>92</v>
      </c>
      <c r="I1016" s="106"/>
      <c r="K1016" s="56">
        <v>308</v>
      </c>
      <c r="L1016" s="55" t="s">
        <v>176</v>
      </c>
      <c r="M1016" s="55" t="s">
        <v>2824</v>
      </c>
      <c r="N1016" s="4" t="s">
        <v>193</v>
      </c>
      <c r="O1016" s="55" t="s">
        <v>178</v>
      </c>
    </row>
    <row r="1017" spans="2:15">
      <c r="B1017" s="20">
        <v>44945</v>
      </c>
      <c r="C1017" s="59">
        <v>50142631</v>
      </c>
      <c r="D1017" s="55" t="s">
        <v>566</v>
      </c>
      <c r="E1017" s="67">
        <v>1000</v>
      </c>
      <c r="F1017" s="67">
        <v>1</v>
      </c>
      <c r="G1017" s="102">
        <v>1000</v>
      </c>
      <c r="H1017" s="56" t="s">
        <v>82</v>
      </c>
      <c r="I1017" s="106"/>
      <c r="K1017" s="56">
        <v>308</v>
      </c>
      <c r="L1017" s="55" t="s">
        <v>176</v>
      </c>
      <c r="M1017" s="55" t="s">
        <v>2824</v>
      </c>
      <c r="N1017" s="4" t="s">
        <v>193</v>
      </c>
      <c r="O1017" s="55" t="s">
        <v>178</v>
      </c>
    </row>
    <row r="1018" spans="2:15">
      <c r="B1018" s="20">
        <v>44945</v>
      </c>
      <c r="C1018" s="59">
        <v>50010080</v>
      </c>
      <c r="D1018" s="55" t="s">
        <v>354</v>
      </c>
      <c r="E1018" s="67">
        <v>1000</v>
      </c>
      <c r="F1018" s="67">
        <v>1</v>
      </c>
      <c r="G1018" s="102">
        <v>1000</v>
      </c>
      <c r="H1018" s="56" t="s">
        <v>82</v>
      </c>
      <c r="I1018" s="106"/>
      <c r="K1018" s="56">
        <v>308</v>
      </c>
      <c r="L1018" s="55" t="s">
        <v>176</v>
      </c>
      <c r="M1018" s="55" t="s">
        <v>2824</v>
      </c>
      <c r="N1018" s="4" t="s">
        <v>193</v>
      </c>
      <c r="O1018" s="55" t="s">
        <v>178</v>
      </c>
    </row>
    <row r="1019" spans="2:15">
      <c r="B1019" s="20">
        <v>44945</v>
      </c>
      <c r="C1019" s="59">
        <v>50509889</v>
      </c>
      <c r="D1019" s="55" t="s">
        <v>671</v>
      </c>
      <c r="E1019" s="67">
        <v>264000</v>
      </c>
      <c r="F1019" s="67">
        <v>1</v>
      </c>
      <c r="G1019" s="102">
        <v>264000</v>
      </c>
      <c r="H1019" s="56" t="s">
        <v>92</v>
      </c>
      <c r="I1019" s="106"/>
      <c r="K1019" s="56">
        <v>308</v>
      </c>
      <c r="L1019" s="55" t="s">
        <v>176</v>
      </c>
      <c r="M1019" s="55" t="s">
        <v>2824</v>
      </c>
      <c r="N1019" s="4" t="s">
        <v>193</v>
      </c>
      <c r="O1019" s="55" t="s">
        <v>178</v>
      </c>
    </row>
    <row r="1020" spans="2:15">
      <c r="B1020" s="20">
        <v>44945</v>
      </c>
      <c r="C1020" s="59">
        <v>50507916</v>
      </c>
      <c r="D1020" s="55" t="s">
        <v>406</v>
      </c>
      <c r="E1020" s="67">
        <v>264000</v>
      </c>
      <c r="F1020" s="67">
        <v>4</v>
      </c>
      <c r="G1020" s="102">
        <v>1056000</v>
      </c>
      <c r="H1020" s="56" t="s">
        <v>92</v>
      </c>
      <c r="I1020" s="106"/>
      <c r="K1020" s="56">
        <v>308</v>
      </c>
      <c r="L1020" s="55" t="s">
        <v>176</v>
      </c>
      <c r="M1020" s="55" t="s">
        <v>2824</v>
      </c>
      <c r="N1020" s="4" t="s">
        <v>193</v>
      </c>
      <c r="O1020" s="55" t="s">
        <v>178</v>
      </c>
    </row>
    <row r="1021" spans="2:15">
      <c r="B1021" s="20">
        <v>44945</v>
      </c>
      <c r="C1021" s="59">
        <v>40011080</v>
      </c>
      <c r="D1021" s="55" t="s">
        <v>420</v>
      </c>
      <c r="E1021" s="67">
        <v>450</v>
      </c>
      <c r="F1021" s="67">
        <v>6</v>
      </c>
      <c r="G1021" s="102">
        <v>2700</v>
      </c>
      <c r="H1021" s="56" t="s">
        <v>80</v>
      </c>
      <c r="I1021" s="106"/>
      <c r="K1021" s="56">
        <v>308</v>
      </c>
      <c r="L1021" s="55" t="s">
        <v>176</v>
      </c>
      <c r="M1021" s="55" t="s">
        <v>2824</v>
      </c>
      <c r="N1021" s="4" t="s">
        <v>193</v>
      </c>
      <c r="O1021" s="55" t="s">
        <v>178</v>
      </c>
    </row>
    <row r="1022" spans="2:15">
      <c r="B1022" s="20">
        <v>44945</v>
      </c>
      <c r="C1022" s="59">
        <v>50232060</v>
      </c>
      <c r="D1022" s="55" t="s">
        <v>361</v>
      </c>
      <c r="E1022" s="67">
        <v>264000</v>
      </c>
      <c r="F1022" s="67">
        <v>2</v>
      </c>
      <c r="G1022" s="102">
        <v>528000</v>
      </c>
      <c r="H1022" s="56" t="s">
        <v>92</v>
      </c>
      <c r="I1022" s="106"/>
      <c r="K1022" s="56">
        <v>308</v>
      </c>
      <c r="L1022" s="55" t="s">
        <v>176</v>
      </c>
      <c r="M1022" s="55" t="s">
        <v>2824</v>
      </c>
      <c r="N1022" s="4" t="s">
        <v>193</v>
      </c>
      <c r="O1022" s="55" t="s">
        <v>178</v>
      </c>
    </row>
    <row r="1023" spans="2:15">
      <c r="B1023" s="20">
        <v>44945</v>
      </c>
      <c r="C1023" s="59">
        <v>40009543</v>
      </c>
      <c r="D1023" s="55" t="s">
        <v>473</v>
      </c>
      <c r="E1023" s="67">
        <v>1680</v>
      </c>
      <c r="F1023" s="67">
        <v>1</v>
      </c>
      <c r="G1023" s="102">
        <v>1680</v>
      </c>
      <c r="H1023" s="56" t="s">
        <v>80</v>
      </c>
      <c r="I1023" s="106"/>
      <c r="K1023" s="56">
        <v>308</v>
      </c>
      <c r="L1023" s="55" t="s">
        <v>176</v>
      </c>
      <c r="M1023" s="55" t="s">
        <v>2824</v>
      </c>
      <c r="N1023" s="4" t="s">
        <v>193</v>
      </c>
      <c r="O1023" s="55" t="s">
        <v>178</v>
      </c>
    </row>
    <row r="1024" spans="2:15">
      <c r="B1024" s="20">
        <v>44945</v>
      </c>
      <c r="C1024" s="59">
        <v>50501722</v>
      </c>
      <c r="D1024" s="55" t="s">
        <v>253</v>
      </c>
      <c r="E1024" s="67">
        <v>532</v>
      </c>
      <c r="F1024" s="67">
        <v>3</v>
      </c>
      <c r="G1024" s="102">
        <v>1240.65</v>
      </c>
      <c r="H1024" s="56" t="s">
        <v>82</v>
      </c>
      <c r="I1024" s="106"/>
      <c r="K1024" s="56">
        <v>308</v>
      </c>
      <c r="L1024" s="55" t="s">
        <v>176</v>
      </c>
      <c r="M1024" s="55" t="s">
        <v>2824</v>
      </c>
      <c r="N1024" s="4" t="s">
        <v>193</v>
      </c>
      <c r="O1024" s="55" t="s">
        <v>178</v>
      </c>
    </row>
    <row r="1025" spans="2:15">
      <c r="B1025" s="20">
        <v>44945</v>
      </c>
      <c r="C1025" s="59">
        <v>50272278</v>
      </c>
      <c r="D1025" s="55" t="s">
        <v>21</v>
      </c>
      <c r="E1025" s="67">
        <v>500</v>
      </c>
      <c r="F1025" s="67">
        <v>3</v>
      </c>
      <c r="G1025" s="102">
        <v>1500</v>
      </c>
      <c r="H1025" s="56" t="s">
        <v>92</v>
      </c>
      <c r="I1025" s="106"/>
      <c r="K1025" s="56">
        <v>308</v>
      </c>
      <c r="L1025" s="55" t="s">
        <v>176</v>
      </c>
      <c r="M1025" s="55" t="s">
        <v>2824</v>
      </c>
      <c r="N1025" s="4" t="s">
        <v>193</v>
      </c>
      <c r="O1025" s="55" t="s">
        <v>178</v>
      </c>
    </row>
    <row r="1026" spans="2:15">
      <c r="B1026" s="20">
        <v>44946</v>
      </c>
      <c r="C1026" s="59">
        <v>50470190</v>
      </c>
      <c r="D1026" s="55" t="s">
        <v>12</v>
      </c>
      <c r="E1026" s="67">
        <v>289800</v>
      </c>
      <c r="F1026" s="67">
        <v>18</v>
      </c>
      <c r="G1026" s="102">
        <v>5216400</v>
      </c>
      <c r="H1026" s="56" t="s">
        <v>92</v>
      </c>
      <c r="I1026" s="106"/>
      <c r="K1026" s="56">
        <v>309</v>
      </c>
      <c r="L1026" s="55" t="s">
        <v>176</v>
      </c>
      <c r="M1026" s="55" t="s">
        <v>2824</v>
      </c>
      <c r="N1026" s="4" t="s">
        <v>193</v>
      </c>
      <c r="O1026" s="55" t="s">
        <v>178</v>
      </c>
    </row>
    <row r="1027" spans="2:15">
      <c r="B1027" s="20">
        <v>44946</v>
      </c>
      <c r="C1027" s="59">
        <v>50272278</v>
      </c>
      <c r="D1027" s="55" t="s">
        <v>21</v>
      </c>
      <c r="E1027" s="67">
        <v>500</v>
      </c>
      <c r="F1027" s="67">
        <v>16</v>
      </c>
      <c r="G1027" s="102">
        <v>8000</v>
      </c>
      <c r="H1027" s="56" t="s">
        <v>92</v>
      </c>
      <c r="I1027" s="106"/>
      <c r="K1027" s="56">
        <v>310</v>
      </c>
      <c r="L1027" s="55" t="s">
        <v>176</v>
      </c>
      <c r="M1027" s="55" t="s">
        <v>2824</v>
      </c>
      <c r="N1027" s="4" t="s">
        <v>193</v>
      </c>
      <c r="O1027" s="55" t="s">
        <v>178</v>
      </c>
    </row>
    <row r="1028" spans="2:15">
      <c r="B1028" s="20">
        <v>44946</v>
      </c>
      <c r="C1028" s="59">
        <v>40010087</v>
      </c>
      <c r="D1028" s="55" t="s">
        <v>387</v>
      </c>
      <c r="E1028" s="67">
        <v>756</v>
      </c>
      <c r="F1028" s="67">
        <v>2</v>
      </c>
      <c r="G1028" s="102">
        <v>1512</v>
      </c>
      <c r="H1028" s="56" t="s">
        <v>80</v>
      </c>
      <c r="I1028" s="106"/>
      <c r="K1028" s="56">
        <v>310</v>
      </c>
      <c r="L1028" s="55" t="s">
        <v>176</v>
      </c>
      <c r="M1028" s="55" t="s">
        <v>2824</v>
      </c>
      <c r="N1028" s="4" t="s">
        <v>193</v>
      </c>
      <c r="O1028" s="55" t="s">
        <v>178</v>
      </c>
    </row>
    <row r="1029" spans="2:15">
      <c r="B1029" s="20">
        <v>44946</v>
      </c>
      <c r="C1029" s="59">
        <v>40009546</v>
      </c>
      <c r="D1029" s="55" t="s">
        <v>174</v>
      </c>
      <c r="E1029" s="67">
        <v>756</v>
      </c>
      <c r="F1029" s="67">
        <v>1</v>
      </c>
      <c r="G1029" s="102">
        <v>756</v>
      </c>
      <c r="H1029" s="56" t="s">
        <v>80</v>
      </c>
      <c r="I1029" s="106"/>
      <c r="K1029" s="56">
        <v>310</v>
      </c>
      <c r="L1029" s="55" t="s">
        <v>176</v>
      </c>
      <c r="M1029" s="55" t="s">
        <v>2824</v>
      </c>
      <c r="N1029" s="4" t="s">
        <v>193</v>
      </c>
      <c r="O1029" s="55" t="s">
        <v>178</v>
      </c>
    </row>
    <row r="1030" spans="2:15">
      <c r="B1030" s="20">
        <v>44946</v>
      </c>
      <c r="C1030" s="59">
        <v>50507916</v>
      </c>
      <c r="D1030" s="55" t="s">
        <v>406</v>
      </c>
      <c r="E1030" s="67">
        <v>264000</v>
      </c>
      <c r="F1030" s="67">
        <v>1</v>
      </c>
      <c r="G1030" s="102">
        <v>264000</v>
      </c>
      <c r="H1030" s="56" t="s">
        <v>92</v>
      </c>
      <c r="I1030" s="106"/>
      <c r="K1030" s="56">
        <v>310</v>
      </c>
      <c r="L1030" s="55" t="s">
        <v>176</v>
      </c>
      <c r="M1030" s="55" t="s">
        <v>2824</v>
      </c>
      <c r="N1030" s="4" t="s">
        <v>193</v>
      </c>
      <c r="O1030" s="55" t="s">
        <v>178</v>
      </c>
    </row>
    <row r="1031" spans="2:15">
      <c r="B1031" s="20">
        <v>44946</v>
      </c>
      <c r="C1031" s="59">
        <v>50141521</v>
      </c>
      <c r="D1031" s="55" t="s">
        <v>756</v>
      </c>
      <c r="E1031" s="67">
        <v>1000</v>
      </c>
      <c r="F1031" s="67">
        <v>2</v>
      </c>
      <c r="G1031" s="102">
        <v>2000</v>
      </c>
      <c r="H1031" s="56" t="s">
        <v>82</v>
      </c>
      <c r="I1031" s="106"/>
      <c r="K1031" s="56">
        <v>310</v>
      </c>
      <c r="L1031" s="55" t="s">
        <v>176</v>
      </c>
      <c r="M1031" s="55" t="s">
        <v>2824</v>
      </c>
      <c r="N1031" s="4" t="s">
        <v>193</v>
      </c>
      <c r="O1031" s="55" t="s">
        <v>178</v>
      </c>
    </row>
    <row r="1032" spans="2:15">
      <c r="B1032" s="20">
        <v>44949</v>
      </c>
      <c r="C1032" s="59">
        <v>50144376</v>
      </c>
      <c r="D1032" s="55" t="s">
        <v>19</v>
      </c>
      <c r="E1032" s="67">
        <v>500</v>
      </c>
      <c r="F1032" s="67">
        <v>10</v>
      </c>
      <c r="G1032" s="102">
        <v>5000</v>
      </c>
      <c r="H1032" s="105" t="s">
        <v>92</v>
      </c>
      <c r="I1032" s="106"/>
      <c r="K1032" s="56">
        <v>311</v>
      </c>
      <c r="L1032" s="55" t="s">
        <v>176</v>
      </c>
      <c r="M1032" s="55" t="s">
        <v>2824</v>
      </c>
      <c r="N1032" s="4" t="s">
        <v>177</v>
      </c>
      <c r="O1032" s="55" t="s">
        <v>178</v>
      </c>
    </row>
    <row r="1033" spans="2:15">
      <c r="B1033" s="20">
        <v>44949</v>
      </c>
      <c r="C1033" s="59">
        <v>50272278</v>
      </c>
      <c r="D1033" s="55" t="s">
        <v>21</v>
      </c>
      <c r="E1033" s="67">
        <v>500</v>
      </c>
      <c r="F1033" s="67">
        <v>10</v>
      </c>
      <c r="G1033" s="102">
        <v>5000</v>
      </c>
      <c r="H1033" s="56" t="s">
        <v>92</v>
      </c>
      <c r="I1033" s="106"/>
      <c r="K1033" s="56">
        <v>311</v>
      </c>
      <c r="L1033" s="55" t="s">
        <v>176</v>
      </c>
      <c r="M1033" s="55" t="s">
        <v>2824</v>
      </c>
      <c r="N1033" s="4" t="s">
        <v>177</v>
      </c>
      <c r="O1033" s="55" t="s">
        <v>178</v>
      </c>
    </row>
    <row r="1034" spans="2:15">
      <c r="B1034" s="20">
        <v>44949</v>
      </c>
      <c r="C1034" s="59">
        <v>40009546</v>
      </c>
      <c r="D1034" s="55" t="s">
        <v>174</v>
      </c>
      <c r="E1034" s="67">
        <v>756</v>
      </c>
      <c r="F1034" s="67">
        <v>4</v>
      </c>
      <c r="G1034" s="102">
        <v>3024</v>
      </c>
      <c r="H1034" s="56" t="s">
        <v>80</v>
      </c>
      <c r="I1034" s="106"/>
      <c r="K1034" s="56">
        <v>312</v>
      </c>
      <c r="L1034" s="55" t="s">
        <v>176</v>
      </c>
      <c r="M1034" s="55" t="s">
        <v>2824</v>
      </c>
      <c r="N1034" s="4" t="s">
        <v>177</v>
      </c>
      <c r="O1034" s="55" t="s">
        <v>178</v>
      </c>
    </row>
    <row r="1035" spans="2:15">
      <c r="B1035" s="20">
        <v>44949</v>
      </c>
      <c r="C1035" s="59">
        <v>40011080</v>
      </c>
      <c r="D1035" s="55" t="s">
        <v>420</v>
      </c>
      <c r="E1035" s="67">
        <v>450</v>
      </c>
      <c r="F1035" s="67">
        <v>5</v>
      </c>
      <c r="G1035" s="102">
        <v>1800</v>
      </c>
      <c r="H1035" s="56" t="s">
        <v>80</v>
      </c>
      <c r="I1035" s="106"/>
      <c r="K1035" s="56">
        <v>312</v>
      </c>
      <c r="L1035" s="55" t="s">
        <v>176</v>
      </c>
      <c r="M1035" s="55" t="s">
        <v>2824</v>
      </c>
      <c r="N1035" s="4" t="s">
        <v>177</v>
      </c>
      <c r="O1035" s="55" t="s">
        <v>178</v>
      </c>
    </row>
    <row r="1036" spans="2:15">
      <c r="B1036" s="20">
        <v>44949</v>
      </c>
      <c r="C1036" s="59">
        <v>50507916</v>
      </c>
      <c r="D1036" s="55" t="s">
        <v>406</v>
      </c>
      <c r="E1036" s="67">
        <v>264000</v>
      </c>
      <c r="F1036" s="67">
        <v>4</v>
      </c>
      <c r="G1036" s="102">
        <v>1056000</v>
      </c>
      <c r="H1036" s="56" t="s">
        <v>92</v>
      </c>
      <c r="I1036" s="106"/>
      <c r="K1036" s="56">
        <v>312</v>
      </c>
      <c r="L1036" s="55" t="s">
        <v>176</v>
      </c>
      <c r="M1036" s="55" t="s">
        <v>2824</v>
      </c>
      <c r="N1036" s="4" t="s">
        <v>177</v>
      </c>
      <c r="O1036" s="55" t="s">
        <v>178</v>
      </c>
    </row>
    <row r="1037" spans="2:15">
      <c r="B1037" s="20">
        <v>44949</v>
      </c>
      <c r="C1037" s="59">
        <v>40010087</v>
      </c>
      <c r="D1037" s="55" t="s">
        <v>387</v>
      </c>
      <c r="E1037" s="67">
        <v>756</v>
      </c>
      <c r="F1037" s="67">
        <v>4</v>
      </c>
      <c r="G1037" s="102">
        <v>3024</v>
      </c>
      <c r="H1037" s="56" t="s">
        <v>80</v>
      </c>
      <c r="I1037" s="106"/>
      <c r="K1037" s="56">
        <v>312</v>
      </c>
      <c r="L1037" s="55" t="s">
        <v>176</v>
      </c>
      <c r="M1037" s="55" t="s">
        <v>2824</v>
      </c>
      <c r="N1037" s="4" t="s">
        <v>177</v>
      </c>
      <c r="O1037" s="55" t="s">
        <v>178</v>
      </c>
    </row>
    <row r="1038" spans="2:15">
      <c r="B1038" s="20">
        <v>44949</v>
      </c>
      <c r="C1038" s="59">
        <v>50515224</v>
      </c>
      <c r="D1038" s="55" t="s">
        <v>186</v>
      </c>
      <c r="E1038" s="67">
        <v>264000</v>
      </c>
      <c r="F1038" s="67">
        <v>2</v>
      </c>
      <c r="G1038" s="102">
        <v>528000</v>
      </c>
      <c r="H1038" s="56" t="s">
        <v>92</v>
      </c>
      <c r="I1038" s="106"/>
      <c r="K1038" s="56">
        <v>312</v>
      </c>
      <c r="L1038" s="55" t="s">
        <v>176</v>
      </c>
      <c r="M1038" s="55" t="s">
        <v>2824</v>
      </c>
      <c r="N1038" s="4" t="s">
        <v>177</v>
      </c>
      <c r="O1038" s="55" t="s">
        <v>178</v>
      </c>
    </row>
    <row r="1039" spans="2:15">
      <c r="B1039" s="20">
        <v>44949</v>
      </c>
      <c r="C1039" s="59">
        <v>50522169</v>
      </c>
      <c r="D1039" s="55" t="s">
        <v>250</v>
      </c>
      <c r="E1039" s="67">
        <v>555</v>
      </c>
      <c r="F1039" s="67">
        <v>2</v>
      </c>
      <c r="G1039" s="102">
        <v>1058.45</v>
      </c>
      <c r="H1039" s="56" t="s">
        <v>82</v>
      </c>
      <c r="I1039" s="106"/>
      <c r="K1039" s="56">
        <v>312</v>
      </c>
      <c r="L1039" s="55" t="s">
        <v>176</v>
      </c>
      <c r="M1039" s="55" t="s">
        <v>2824</v>
      </c>
      <c r="N1039" s="4" t="s">
        <v>177</v>
      </c>
      <c r="O1039" s="55" t="s">
        <v>178</v>
      </c>
    </row>
    <row r="1040" spans="2:15">
      <c r="B1040" s="20">
        <v>44949</v>
      </c>
      <c r="C1040" s="59">
        <v>123456</v>
      </c>
      <c r="D1040" s="55" t="s">
        <v>771</v>
      </c>
      <c r="E1040" s="67">
        <v>50</v>
      </c>
      <c r="G1040" s="102">
        <v>50</v>
      </c>
      <c r="I1040" s="106"/>
      <c r="K1040" s="56">
        <v>54</v>
      </c>
      <c r="M1040" s="55" t="s">
        <v>2845</v>
      </c>
      <c r="N1040" s="4" t="s">
        <v>2846</v>
      </c>
      <c r="O1040" s="55" t="s">
        <v>178</v>
      </c>
    </row>
    <row r="1041" spans="2:15">
      <c r="B1041" s="20">
        <v>44950</v>
      </c>
      <c r="C1041" s="59">
        <v>50470190</v>
      </c>
      <c r="D1041" s="55" t="s">
        <v>12</v>
      </c>
      <c r="E1041" s="67">
        <v>289800</v>
      </c>
      <c r="F1041" s="67">
        <v>16</v>
      </c>
      <c r="G1041" s="102">
        <v>4636800</v>
      </c>
      <c r="H1041" s="56" t="s">
        <v>92</v>
      </c>
      <c r="I1041" s="106"/>
      <c r="K1041" s="56">
        <v>313</v>
      </c>
      <c r="L1041" s="55" t="s">
        <v>176</v>
      </c>
      <c r="M1041" s="55" t="s">
        <v>2824</v>
      </c>
      <c r="N1041" s="4" t="s">
        <v>177</v>
      </c>
      <c r="O1041" s="55" t="s">
        <v>178</v>
      </c>
    </row>
    <row r="1042" spans="2:15">
      <c r="B1042" s="20">
        <v>44950</v>
      </c>
      <c r="C1042" s="59">
        <v>50141521</v>
      </c>
      <c r="D1042" s="55" t="s">
        <v>756</v>
      </c>
      <c r="E1042" s="67">
        <v>1000</v>
      </c>
      <c r="F1042" s="67">
        <v>4</v>
      </c>
      <c r="G1042" s="102">
        <v>4000</v>
      </c>
      <c r="H1042" s="56" t="s">
        <v>82</v>
      </c>
      <c r="I1042" s="106"/>
      <c r="K1042" s="56">
        <v>314</v>
      </c>
      <c r="L1042" s="55" t="s">
        <v>176</v>
      </c>
      <c r="M1042" s="55" t="s">
        <v>2824</v>
      </c>
      <c r="N1042" s="4" t="s">
        <v>177</v>
      </c>
      <c r="O1042" s="55" t="s">
        <v>178</v>
      </c>
    </row>
    <row r="1043" spans="2:15">
      <c r="B1043" s="20">
        <v>44950</v>
      </c>
      <c r="C1043" s="59">
        <v>50142328</v>
      </c>
      <c r="D1043" s="55" t="s">
        <v>767</v>
      </c>
      <c r="E1043" s="67">
        <v>1000</v>
      </c>
      <c r="F1043" s="67">
        <v>1</v>
      </c>
      <c r="G1043" s="102">
        <v>1000</v>
      </c>
      <c r="H1043" s="56" t="s">
        <v>82</v>
      </c>
      <c r="I1043" s="106"/>
      <c r="K1043" s="56">
        <v>314</v>
      </c>
      <c r="L1043" s="55" t="s">
        <v>176</v>
      </c>
      <c r="M1043" s="55" t="s">
        <v>2824</v>
      </c>
      <c r="N1043" s="4" t="s">
        <v>177</v>
      </c>
      <c r="O1043" s="55" t="s">
        <v>178</v>
      </c>
    </row>
    <row r="1044" spans="2:15">
      <c r="B1044" s="20">
        <v>44950</v>
      </c>
      <c r="C1044" s="59">
        <v>50141533</v>
      </c>
      <c r="D1044" s="55" t="s">
        <v>494</v>
      </c>
      <c r="E1044" s="67">
        <v>1250</v>
      </c>
      <c r="F1044" s="67">
        <v>1</v>
      </c>
      <c r="G1044" s="102">
        <v>1250</v>
      </c>
      <c r="H1044" s="56" t="s">
        <v>82</v>
      </c>
      <c r="I1044" s="106"/>
      <c r="K1044" s="56">
        <v>314</v>
      </c>
      <c r="L1044" s="55" t="s">
        <v>176</v>
      </c>
      <c r="M1044" s="55" t="s">
        <v>2824</v>
      </c>
      <c r="N1044" s="4" t="s">
        <v>177</v>
      </c>
      <c r="O1044" s="55" t="s">
        <v>178</v>
      </c>
    </row>
    <row r="1045" spans="2:15">
      <c r="B1045" s="20">
        <v>44950</v>
      </c>
      <c r="C1045" s="59">
        <v>50522169</v>
      </c>
      <c r="D1045" s="55" t="s">
        <v>250</v>
      </c>
      <c r="E1045" s="67">
        <v>563</v>
      </c>
      <c r="F1045" s="67">
        <v>4</v>
      </c>
      <c r="G1045" s="102">
        <f>2134.85+5.95</f>
        <v>2140.8</v>
      </c>
      <c r="H1045" s="56" t="s">
        <v>82</v>
      </c>
      <c r="I1045" s="106"/>
      <c r="K1045" s="56">
        <v>314</v>
      </c>
      <c r="L1045" s="55" t="s">
        <v>176</v>
      </c>
      <c r="M1045" s="55" t="s">
        <v>2824</v>
      </c>
      <c r="N1045" s="4" t="s">
        <v>177</v>
      </c>
      <c r="O1045" s="55" t="s">
        <v>178</v>
      </c>
    </row>
    <row r="1046" spans="2:15">
      <c r="B1046" s="20">
        <v>44950</v>
      </c>
      <c r="C1046" s="59">
        <v>50142281</v>
      </c>
      <c r="D1046" s="55" t="s">
        <v>204</v>
      </c>
      <c r="E1046" s="67">
        <v>450</v>
      </c>
      <c r="F1046" s="67">
        <v>4</v>
      </c>
      <c r="G1046" s="102">
        <v>1800</v>
      </c>
      <c r="H1046" s="56" t="s">
        <v>82</v>
      </c>
      <c r="I1046" s="106"/>
      <c r="K1046" s="56">
        <v>314</v>
      </c>
      <c r="L1046" s="55" t="s">
        <v>176</v>
      </c>
      <c r="M1046" s="55" t="s">
        <v>2824</v>
      </c>
      <c r="N1046" s="4" t="s">
        <v>177</v>
      </c>
      <c r="O1046" s="55" t="s">
        <v>178</v>
      </c>
    </row>
    <row r="1047" spans="2:15">
      <c r="B1047" s="20">
        <v>44950</v>
      </c>
      <c r="C1047" s="59">
        <v>50272278</v>
      </c>
      <c r="D1047" s="55" t="s">
        <v>21</v>
      </c>
      <c r="E1047" s="67">
        <v>500</v>
      </c>
      <c r="F1047" s="67">
        <v>6</v>
      </c>
      <c r="G1047" s="102">
        <v>3000</v>
      </c>
      <c r="H1047" s="56" t="s">
        <v>92</v>
      </c>
      <c r="I1047" s="106"/>
      <c r="K1047" s="56">
        <v>314</v>
      </c>
      <c r="L1047" s="55" t="s">
        <v>176</v>
      </c>
      <c r="M1047" s="55" t="s">
        <v>2824</v>
      </c>
      <c r="N1047" s="4" t="s">
        <v>177</v>
      </c>
      <c r="O1047" s="55" t="s">
        <v>178</v>
      </c>
    </row>
    <row r="1048" spans="2:15">
      <c r="B1048" s="20">
        <v>44950</v>
      </c>
      <c r="C1048" s="59">
        <v>50272278</v>
      </c>
      <c r="D1048" s="55" t="s">
        <v>21</v>
      </c>
      <c r="E1048" s="67">
        <v>500</v>
      </c>
      <c r="F1048" s="67">
        <v>6</v>
      </c>
      <c r="G1048" s="102">
        <v>3000</v>
      </c>
      <c r="H1048" s="56" t="s">
        <v>92</v>
      </c>
      <c r="I1048" s="106"/>
      <c r="K1048" s="56">
        <v>315</v>
      </c>
      <c r="M1048" s="55" t="s">
        <v>326</v>
      </c>
      <c r="O1048" s="55" t="s">
        <v>178</v>
      </c>
    </row>
    <row r="1049" spans="2:15">
      <c r="B1049" s="20">
        <v>44950</v>
      </c>
      <c r="C1049" s="59">
        <v>50145028</v>
      </c>
      <c r="D1049" s="55" t="s">
        <v>23</v>
      </c>
      <c r="E1049" s="67">
        <v>192</v>
      </c>
      <c r="F1049" s="67">
        <v>3</v>
      </c>
      <c r="G1049" s="102">
        <v>576</v>
      </c>
      <c r="H1049" s="56" t="s">
        <v>92</v>
      </c>
      <c r="I1049" s="106"/>
      <c r="K1049" s="56">
        <v>315</v>
      </c>
      <c r="M1049" s="55" t="s">
        <v>326</v>
      </c>
      <c r="O1049" s="55" t="s">
        <v>178</v>
      </c>
    </row>
    <row r="1050" spans="2:15">
      <c r="B1050" s="20">
        <v>44951</v>
      </c>
      <c r="C1050" s="59">
        <v>50272278</v>
      </c>
      <c r="D1050" s="55" t="s">
        <v>21</v>
      </c>
      <c r="E1050" s="67">
        <v>500</v>
      </c>
      <c r="F1050" s="67">
        <v>20</v>
      </c>
      <c r="G1050" s="102">
        <v>10000</v>
      </c>
      <c r="H1050" s="56" t="s">
        <v>92</v>
      </c>
      <c r="I1050" s="106"/>
      <c r="K1050" s="56">
        <v>316</v>
      </c>
      <c r="L1050" s="55" t="s">
        <v>176</v>
      </c>
      <c r="M1050" s="55" t="s">
        <v>2824</v>
      </c>
      <c r="N1050" s="4" t="s">
        <v>177</v>
      </c>
      <c r="O1050" s="55" t="s">
        <v>178</v>
      </c>
    </row>
    <row r="1051" spans="2:15">
      <c r="B1051" s="20">
        <v>44952</v>
      </c>
      <c r="C1051" s="59">
        <v>50272278</v>
      </c>
      <c r="D1051" s="55" t="s">
        <v>21</v>
      </c>
      <c r="E1051" s="67">
        <v>500</v>
      </c>
      <c r="F1051" s="67">
        <v>10</v>
      </c>
      <c r="G1051" s="102">
        <v>5000</v>
      </c>
      <c r="H1051" s="56" t="s">
        <v>92</v>
      </c>
      <c r="I1051" s="106"/>
      <c r="K1051" s="56">
        <v>317</v>
      </c>
      <c r="L1051" s="55" t="s">
        <v>176</v>
      </c>
      <c r="M1051" s="55" t="s">
        <v>2824</v>
      </c>
      <c r="N1051" s="4" t="s">
        <v>177</v>
      </c>
      <c r="O1051" s="55" t="s">
        <v>178</v>
      </c>
    </row>
    <row r="1052" spans="2:15">
      <c r="B1052" s="20">
        <v>44952</v>
      </c>
      <c r="C1052" s="59">
        <v>50522169</v>
      </c>
      <c r="D1052" s="55" t="s">
        <v>250</v>
      </c>
      <c r="E1052" s="67">
        <v>533</v>
      </c>
      <c r="F1052" s="67">
        <v>5</v>
      </c>
      <c r="G1052" s="102">
        <v>2170.9</v>
      </c>
      <c r="H1052" s="56" t="s">
        <v>82</v>
      </c>
      <c r="I1052" s="106"/>
      <c r="K1052" s="56">
        <v>317</v>
      </c>
      <c r="L1052" s="55" t="s">
        <v>176</v>
      </c>
      <c r="M1052" s="55" t="s">
        <v>2824</v>
      </c>
      <c r="N1052" s="4" t="s">
        <v>177</v>
      </c>
      <c r="O1052" s="55" t="s">
        <v>178</v>
      </c>
    </row>
    <row r="1053" spans="2:15">
      <c r="B1053" s="20">
        <v>44952</v>
      </c>
      <c r="C1053" s="59">
        <v>50142237</v>
      </c>
      <c r="D1053" s="55" t="s">
        <v>617</v>
      </c>
      <c r="E1053" s="67">
        <v>1000</v>
      </c>
      <c r="F1053" s="67">
        <v>18</v>
      </c>
      <c r="G1053" s="102">
        <v>18000</v>
      </c>
      <c r="H1053" s="56" t="s">
        <v>92</v>
      </c>
      <c r="I1053" s="106"/>
      <c r="K1053" s="56">
        <v>317</v>
      </c>
      <c r="L1053" s="55" t="s">
        <v>176</v>
      </c>
      <c r="M1053" s="55" t="s">
        <v>2824</v>
      </c>
      <c r="N1053" s="4" t="s">
        <v>177</v>
      </c>
      <c r="O1053" s="55" t="s">
        <v>178</v>
      </c>
    </row>
    <row r="1054" spans="2:15">
      <c r="B1054" s="20">
        <v>44952</v>
      </c>
      <c r="C1054" s="59">
        <v>40011148</v>
      </c>
      <c r="D1054" s="55" t="s">
        <v>86</v>
      </c>
      <c r="E1054" s="67">
        <v>450</v>
      </c>
      <c r="F1054" s="67">
        <v>5</v>
      </c>
      <c r="G1054" s="102">
        <v>2250</v>
      </c>
      <c r="H1054" s="56" t="s">
        <v>80</v>
      </c>
      <c r="I1054" s="106"/>
      <c r="K1054" s="56">
        <v>317</v>
      </c>
      <c r="L1054" s="55" t="s">
        <v>176</v>
      </c>
      <c r="M1054" s="55" t="s">
        <v>2824</v>
      </c>
      <c r="N1054" s="4" t="s">
        <v>177</v>
      </c>
      <c r="O1054" s="55" t="s">
        <v>178</v>
      </c>
    </row>
    <row r="1055" spans="2:15">
      <c r="B1055" s="20">
        <v>44952</v>
      </c>
      <c r="C1055" s="59">
        <v>50141786</v>
      </c>
      <c r="D1055" s="55" t="s">
        <v>188</v>
      </c>
      <c r="E1055" s="67">
        <v>560</v>
      </c>
      <c r="F1055" s="67">
        <v>10</v>
      </c>
      <c r="G1055" s="102">
        <v>5600</v>
      </c>
      <c r="H1055" s="56" t="s">
        <v>82</v>
      </c>
      <c r="I1055" s="106"/>
      <c r="K1055" s="56">
        <v>318</v>
      </c>
      <c r="L1055" s="55" t="s">
        <v>176</v>
      </c>
      <c r="M1055" s="55" t="s">
        <v>2824</v>
      </c>
      <c r="N1055" s="4" t="s">
        <v>177</v>
      </c>
      <c r="O1055" s="55" t="s">
        <v>178</v>
      </c>
    </row>
    <row r="1056" spans="2:15">
      <c r="B1056" s="20">
        <v>44952</v>
      </c>
      <c r="C1056" s="59">
        <v>50143646</v>
      </c>
      <c r="D1056" s="55" t="s">
        <v>191</v>
      </c>
      <c r="E1056" s="67">
        <v>480</v>
      </c>
      <c r="F1056" s="67">
        <v>10</v>
      </c>
      <c r="G1056" s="102">
        <v>4800</v>
      </c>
      <c r="H1056" s="56" t="s">
        <v>82</v>
      </c>
      <c r="I1056" s="106"/>
      <c r="K1056" s="56">
        <v>318</v>
      </c>
      <c r="L1056" s="55" t="s">
        <v>176</v>
      </c>
      <c r="M1056" s="55" t="s">
        <v>2824</v>
      </c>
      <c r="N1056" s="4" t="s">
        <v>177</v>
      </c>
      <c r="O1056" s="55" t="s">
        <v>178</v>
      </c>
    </row>
    <row r="1057" spans="2:15">
      <c r="B1057" s="20">
        <v>44953</v>
      </c>
      <c r="C1057" s="59">
        <v>50470190</v>
      </c>
      <c r="D1057" s="55" t="s">
        <v>12</v>
      </c>
      <c r="E1057" s="67">
        <v>289800</v>
      </c>
      <c r="F1057" s="67">
        <v>16</v>
      </c>
      <c r="G1057" s="102">
        <v>4636800</v>
      </c>
      <c r="H1057" s="56" t="s">
        <v>92</v>
      </c>
      <c r="I1057" s="106"/>
      <c r="K1057" s="56">
        <v>319</v>
      </c>
      <c r="L1057" s="55" t="s">
        <v>176</v>
      </c>
      <c r="M1057" s="55" t="s">
        <v>2824</v>
      </c>
      <c r="N1057" s="4" t="s">
        <v>177</v>
      </c>
      <c r="O1057" s="55" t="s">
        <v>178</v>
      </c>
    </row>
    <row r="1058" spans="2:15">
      <c r="B1058" s="20">
        <v>44953</v>
      </c>
      <c r="C1058" s="59">
        <v>50142327</v>
      </c>
      <c r="D1058" s="55" t="s">
        <v>256</v>
      </c>
      <c r="E1058" s="67">
        <v>681</v>
      </c>
      <c r="F1058" s="67">
        <v>18</v>
      </c>
      <c r="G1058" s="102">
        <v>12258</v>
      </c>
      <c r="H1058" s="56" t="s">
        <v>82</v>
      </c>
      <c r="I1058" s="106"/>
      <c r="K1058" s="56">
        <v>320</v>
      </c>
      <c r="L1058" s="55" t="s">
        <v>326</v>
      </c>
      <c r="M1058" s="55" t="s">
        <v>392</v>
      </c>
      <c r="N1058" s="4" t="s">
        <v>2847</v>
      </c>
      <c r="O1058" s="55" t="s">
        <v>178</v>
      </c>
    </row>
    <row r="1059" spans="2:15">
      <c r="B1059" s="20">
        <v>44953</v>
      </c>
      <c r="C1059" s="59">
        <v>40499</v>
      </c>
      <c r="D1059" s="55" t="s">
        <v>316</v>
      </c>
      <c r="E1059" s="67">
        <v>18</v>
      </c>
      <c r="F1059" s="67">
        <v>18</v>
      </c>
      <c r="G1059" s="102">
        <v>18</v>
      </c>
      <c r="H1059" s="56" t="s">
        <v>92</v>
      </c>
      <c r="I1059" s="106"/>
      <c r="K1059" s="56">
        <v>320</v>
      </c>
      <c r="L1059" s="55" t="s">
        <v>326</v>
      </c>
      <c r="M1059" s="55" t="s">
        <v>392</v>
      </c>
      <c r="N1059" s="4" t="s">
        <v>2847</v>
      </c>
      <c r="O1059" s="55" t="s">
        <v>178</v>
      </c>
    </row>
    <row r="1060" spans="2:15">
      <c r="B1060" s="20">
        <v>44953</v>
      </c>
      <c r="C1060" s="59">
        <v>50272278</v>
      </c>
      <c r="D1060" s="55" t="s">
        <v>21</v>
      </c>
      <c r="E1060" s="67">
        <v>500</v>
      </c>
      <c r="F1060" s="67">
        <v>20</v>
      </c>
      <c r="G1060" s="102">
        <v>10000</v>
      </c>
      <c r="H1060" s="56" t="s">
        <v>92</v>
      </c>
      <c r="I1060" s="106"/>
      <c r="K1060" s="56">
        <v>321</v>
      </c>
      <c r="L1060" s="55" t="s">
        <v>176</v>
      </c>
      <c r="M1060" s="55" t="s">
        <v>2824</v>
      </c>
      <c r="N1060" s="4" t="s">
        <v>177</v>
      </c>
      <c r="O1060" s="55" t="s">
        <v>178</v>
      </c>
    </row>
    <row r="1061" spans="2:15">
      <c r="B1061" s="20">
        <v>44953</v>
      </c>
      <c r="C1061" s="59">
        <v>50507916</v>
      </c>
      <c r="D1061" s="55" t="s">
        <v>406</v>
      </c>
      <c r="E1061" s="67">
        <v>264000</v>
      </c>
      <c r="F1061" s="67">
        <v>6</v>
      </c>
      <c r="G1061" s="102">
        <v>1573000</v>
      </c>
      <c r="H1061" s="56" t="s">
        <v>92</v>
      </c>
      <c r="I1061" s="106"/>
      <c r="K1061" s="56">
        <v>322</v>
      </c>
      <c r="L1061" s="55" t="s">
        <v>176</v>
      </c>
      <c r="M1061" s="55" t="s">
        <v>2824</v>
      </c>
      <c r="N1061" s="4" t="s">
        <v>177</v>
      </c>
      <c r="O1061" s="55" t="s">
        <v>178</v>
      </c>
    </row>
    <row r="1062" spans="2:15">
      <c r="B1062" s="20">
        <v>44953</v>
      </c>
      <c r="C1062" s="59">
        <v>50337816</v>
      </c>
      <c r="D1062" s="55" t="s">
        <v>245</v>
      </c>
      <c r="E1062" s="67">
        <v>264</v>
      </c>
      <c r="F1062" s="67">
        <v>4</v>
      </c>
      <c r="G1062" s="102">
        <v>1056</v>
      </c>
      <c r="H1062" s="56" t="s">
        <v>80</v>
      </c>
      <c r="I1062" s="106"/>
      <c r="K1062" s="56">
        <v>322</v>
      </c>
      <c r="L1062" s="55" t="s">
        <v>176</v>
      </c>
      <c r="M1062" s="55" t="s">
        <v>2824</v>
      </c>
      <c r="N1062" s="4" t="s">
        <v>177</v>
      </c>
      <c r="O1062" s="55" t="s">
        <v>178</v>
      </c>
    </row>
    <row r="1063" spans="2:15">
      <c r="B1063" s="20">
        <v>44953</v>
      </c>
      <c r="C1063" s="59">
        <v>50142327</v>
      </c>
      <c r="D1063" s="55" t="s">
        <v>256</v>
      </c>
      <c r="E1063" s="67">
        <v>681</v>
      </c>
      <c r="F1063" s="67">
        <v>3</v>
      </c>
      <c r="G1063" s="102">
        <v>2043</v>
      </c>
      <c r="H1063" s="56" t="s">
        <v>82</v>
      </c>
      <c r="I1063" s="106"/>
      <c r="K1063" s="56">
        <v>322</v>
      </c>
      <c r="L1063" s="55" t="s">
        <v>176</v>
      </c>
      <c r="M1063" s="55" t="s">
        <v>2824</v>
      </c>
      <c r="N1063" s="4" t="s">
        <v>177</v>
      </c>
      <c r="O1063" s="55" t="s">
        <v>178</v>
      </c>
    </row>
    <row r="1064" spans="2:15">
      <c r="B1064" s="20">
        <v>44953</v>
      </c>
      <c r="C1064" s="59">
        <v>40499</v>
      </c>
      <c r="D1064" s="55" t="s">
        <v>316</v>
      </c>
      <c r="E1064" s="67">
        <v>15</v>
      </c>
      <c r="F1064" s="67">
        <v>15</v>
      </c>
      <c r="G1064" s="102">
        <v>15</v>
      </c>
      <c r="H1064" s="56" t="s">
        <v>92</v>
      </c>
      <c r="I1064" s="106"/>
      <c r="K1064" s="56">
        <v>322</v>
      </c>
      <c r="L1064" s="55" t="s">
        <v>176</v>
      </c>
      <c r="M1064" s="55" t="s">
        <v>2824</v>
      </c>
      <c r="N1064" s="4" t="s">
        <v>177</v>
      </c>
      <c r="O1064" s="55" t="s">
        <v>178</v>
      </c>
    </row>
    <row r="1065" spans="2:15">
      <c r="B1065" s="20">
        <v>44953</v>
      </c>
      <c r="C1065" s="59">
        <v>50142334</v>
      </c>
      <c r="D1065" s="55" t="s">
        <v>257</v>
      </c>
      <c r="E1065" s="67">
        <v>681</v>
      </c>
      <c r="F1065" s="67">
        <v>3</v>
      </c>
      <c r="G1065" s="102">
        <v>2043</v>
      </c>
      <c r="H1065" s="56" t="s">
        <v>82</v>
      </c>
      <c r="I1065" s="106"/>
      <c r="K1065" s="56">
        <v>322</v>
      </c>
      <c r="L1065" s="55" t="s">
        <v>176</v>
      </c>
      <c r="M1065" s="55" t="s">
        <v>2824</v>
      </c>
      <c r="N1065" s="4" t="s">
        <v>177</v>
      </c>
      <c r="O1065" s="55" t="s">
        <v>178</v>
      </c>
    </row>
    <row r="1066" spans="2:15">
      <c r="B1066" s="20">
        <v>44953</v>
      </c>
      <c r="C1066" s="59">
        <v>40007941</v>
      </c>
      <c r="D1066" s="55" t="s">
        <v>211</v>
      </c>
      <c r="E1066" s="67">
        <v>756</v>
      </c>
      <c r="F1066" s="67">
        <v>2</v>
      </c>
      <c r="G1066" s="102">
        <v>1458</v>
      </c>
      <c r="H1066" s="56" t="s">
        <v>80</v>
      </c>
      <c r="I1066" s="106"/>
      <c r="K1066" s="56">
        <v>322</v>
      </c>
      <c r="L1066" s="55" t="s">
        <v>176</v>
      </c>
      <c r="M1066" s="55" t="s">
        <v>2824</v>
      </c>
      <c r="N1066" s="4" t="s">
        <v>177</v>
      </c>
      <c r="O1066" s="55" t="s">
        <v>178</v>
      </c>
    </row>
    <row r="1067" spans="2:15">
      <c r="B1067" s="20">
        <v>44954</v>
      </c>
      <c r="C1067" s="59">
        <v>50142327</v>
      </c>
      <c r="D1067" s="55" t="s">
        <v>256</v>
      </c>
      <c r="E1067" s="67">
        <v>681</v>
      </c>
      <c r="F1067" s="67">
        <v>18</v>
      </c>
      <c r="G1067" s="102">
        <v>12258</v>
      </c>
      <c r="H1067" s="56" t="s">
        <v>82</v>
      </c>
      <c r="I1067" s="106"/>
      <c r="K1067" s="56">
        <v>323</v>
      </c>
      <c r="L1067" s="55" t="s">
        <v>326</v>
      </c>
      <c r="M1067" s="55" t="s">
        <v>392</v>
      </c>
      <c r="N1067" s="4" t="s">
        <v>2843</v>
      </c>
      <c r="O1067" s="55" t="s">
        <v>178</v>
      </c>
    </row>
    <row r="1068" spans="2:15">
      <c r="B1068" s="20">
        <v>44954</v>
      </c>
      <c r="C1068" s="59">
        <v>40499</v>
      </c>
      <c r="D1068" s="55" t="s">
        <v>316</v>
      </c>
      <c r="E1068" s="67">
        <v>18</v>
      </c>
      <c r="F1068" s="67">
        <v>18</v>
      </c>
      <c r="G1068" s="102">
        <v>18</v>
      </c>
      <c r="H1068" s="56" t="s">
        <v>92</v>
      </c>
      <c r="I1068" s="106"/>
      <c r="K1068" s="56">
        <v>323</v>
      </c>
      <c r="L1068" s="55" t="s">
        <v>326</v>
      </c>
      <c r="M1068" s="55" t="s">
        <v>392</v>
      </c>
      <c r="N1068" s="4" t="s">
        <v>2843</v>
      </c>
      <c r="O1068" s="55" t="s">
        <v>178</v>
      </c>
    </row>
    <row r="1069" spans="2:15">
      <c r="B1069" s="20">
        <v>44956</v>
      </c>
      <c r="C1069" s="59">
        <v>50272278</v>
      </c>
      <c r="D1069" s="55" t="s">
        <v>21</v>
      </c>
      <c r="E1069" s="67">
        <v>500</v>
      </c>
      <c r="F1069" s="67">
        <v>10</v>
      </c>
      <c r="G1069" s="102">
        <v>5000</v>
      </c>
      <c r="H1069" s="56" t="s">
        <v>92</v>
      </c>
      <c r="I1069" s="106"/>
      <c r="K1069" s="56">
        <v>324</v>
      </c>
      <c r="L1069" s="55" t="s">
        <v>176</v>
      </c>
      <c r="M1069" s="55" t="s">
        <v>2824</v>
      </c>
      <c r="N1069" s="4" t="s">
        <v>193</v>
      </c>
      <c r="O1069" s="55" t="s">
        <v>178</v>
      </c>
    </row>
    <row r="1070" spans="2:15">
      <c r="B1070" s="20">
        <v>44956</v>
      </c>
      <c r="C1070" s="59">
        <v>50470190</v>
      </c>
      <c r="D1070" s="55" t="s">
        <v>12</v>
      </c>
      <c r="E1070" s="67">
        <v>289800</v>
      </c>
      <c r="F1070" s="67">
        <v>10</v>
      </c>
      <c r="G1070" s="102">
        <v>2898000</v>
      </c>
      <c r="H1070" s="56" t="s">
        <v>92</v>
      </c>
      <c r="I1070" s="106"/>
      <c r="K1070" s="56">
        <v>324</v>
      </c>
      <c r="L1070" s="55" t="s">
        <v>176</v>
      </c>
      <c r="M1070" s="55" t="s">
        <v>2824</v>
      </c>
      <c r="N1070" s="4" t="s">
        <v>193</v>
      </c>
      <c r="O1070" s="55" t="s">
        <v>178</v>
      </c>
    </row>
    <row r="1071" spans="2:15">
      <c r="B1071" s="20">
        <v>44956</v>
      </c>
      <c r="C1071" s="59">
        <v>50272278</v>
      </c>
      <c r="D1071" s="55" t="s">
        <v>21</v>
      </c>
      <c r="E1071" s="67">
        <v>500</v>
      </c>
      <c r="F1071" s="67">
        <v>10</v>
      </c>
      <c r="G1071" s="102">
        <v>5000</v>
      </c>
      <c r="H1071" s="56" t="s">
        <v>92</v>
      </c>
      <c r="I1071" s="106"/>
      <c r="K1071" s="56">
        <v>325</v>
      </c>
      <c r="L1071" s="55" t="s">
        <v>176</v>
      </c>
      <c r="M1071" s="55" t="s">
        <v>2824</v>
      </c>
      <c r="N1071" s="4" t="s">
        <v>193</v>
      </c>
      <c r="O1071" s="55" t="s">
        <v>178</v>
      </c>
    </row>
    <row r="1072" spans="2:15">
      <c r="B1072" s="20">
        <v>44956</v>
      </c>
      <c r="C1072" s="59">
        <v>50470190</v>
      </c>
      <c r="D1072" s="55" t="s">
        <v>12</v>
      </c>
      <c r="E1072" s="67">
        <v>289800</v>
      </c>
      <c r="F1072" s="67">
        <v>10</v>
      </c>
      <c r="G1072" s="102">
        <v>2898000</v>
      </c>
      <c r="H1072" s="56" t="s">
        <v>92</v>
      </c>
      <c r="I1072" s="106"/>
      <c r="K1072" s="56">
        <v>325</v>
      </c>
      <c r="L1072" s="55" t="s">
        <v>176</v>
      </c>
      <c r="M1072" s="55" t="s">
        <v>2824</v>
      </c>
      <c r="N1072" s="4" t="s">
        <v>193</v>
      </c>
      <c r="O1072" s="55" t="s">
        <v>178</v>
      </c>
    </row>
    <row r="1073" spans="2:15">
      <c r="B1073" s="20">
        <v>44956</v>
      </c>
      <c r="C1073" s="59">
        <v>50142551</v>
      </c>
      <c r="D1073" s="55" t="s">
        <v>215</v>
      </c>
      <c r="E1073" s="67">
        <v>25</v>
      </c>
      <c r="G1073" s="102">
        <v>25</v>
      </c>
      <c r="H1073" s="56" t="s">
        <v>92</v>
      </c>
      <c r="I1073" s="106"/>
      <c r="K1073" s="56">
        <v>325</v>
      </c>
      <c r="L1073" s="55" t="s">
        <v>176</v>
      </c>
      <c r="M1073" s="55" t="s">
        <v>2824</v>
      </c>
      <c r="N1073" s="4" t="s">
        <v>193</v>
      </c>
      <c r="O1073" s="55" t="s">
        <v>178</v>
      </c>
    </row>
    <row r="1074" spans="2:15">
      <c r="B1074" s="20">
        <v>44956</v>
      </c>
      <c r="C1074" s="59">
        <v>50010080</v>
      </c>
      <c r="D1074" s="55" t="s">
        <v>354</v>
      </c>
      <c r="E1074" s="67">
        <v>5000</v>
      </c>
      <c r="F1074" s="67">
        <v>5</v>
      </c>
      <c r="G1074" s="102">
        <v>5000</v>
      </c>
      <c r="H1074" s="56" t="s">
        <v>82</v>
      </c>
      <c r="I1074" s="106"/>
      <c r="K1074" s="56">
        <v>326</v>
      </c>
      <c r="L1074" s="55" t="s">
        <v>176</v>
      </c>
      <c r="M1074" s="55" t="s">
        <v>2824</v>
      </c>
      <c r="N1074" s="4" t="s">
        <v>193</v>
      </c>
      <c r="O1074" s="55" t="s">
        <v>178</v>
      </c>
    </row>
    <row r="1075" spans="2:15">
      <c r="B1075" s="20">
        <v>44956</v>
      </c>
      <c r="C1075" s="59">
        <v>50144376</v>
      </c>
      <c r="D1075" s="55" t="s">
        <v>19</v>
      </c>
      <c r="E1075" s="67">
        <v>500</v>
      </c>
      <c r="F1075" s="67">
        <v>10</v>
      </c>
      <c r="G1075" s="102">
        <v>5000</v>
      </c>
      <c r="H1075" s="56" t="s">
        <v>92</v>
      </c>
      <c r="I1075" s="106"/>
      <c r="K1075" s="56">
        <v>326</v>
      </c>
      <c r="L1075" s="55" t="s">
        <v>176</v>
      </c>
      <c r="M1075" s="55" t="s">
        <v>2824</v>
      </c>
      <c r="N1075" s="4" t="s">
        <v>193</v>
      </c>
      <c r="O1075" s="55" t="s">
        <v>178</v>
      </c>
    </row>
    <row r="1076" spans="2:15">
      <c r="B1076" s="20">
        <v>44956</v>
      </c>
      <c r="C1076" s="59">
        <v>50507916</v>
      </c>
      <c r="D1076" s="55" t="s">
        <v>406</v>
      </c>
      <c r="E1076" s="67">
        <v>264000</v>
      </c>
      <c r="F1076" s="67">
        <v>5</v>
      </c>
      <c r="G1076" s="102">
        <v>1320000</v>
      </c>
      <c r="H1076" s="56" t="s">
        <v>92</v>
      </c>
      <c r="I1076" s="106"/>
      <c r="K1076" s="56">
        <v>326</v>
      </c>
      <c r="L1076" s="55" t="s">
        <v>176</v>
      </c>
      <c r="M1076" s="55" t="s">
        <v>2824</v>
      </c>
      <c r="N1076" s="4" t="s">
        <v>193</v>
      </c>
      <c r="O1076" s="55" t="s">
        <v>178</v>
      </c>
    </row>
    <row r="1077" spans="2:15">
      <c r="B1077" s="20">
        <v>44957</v>
      </c>
      <c r="C1077" s="59">
        <v>50144376</v>
      </c>
      <c r="D1077" s="55" t="s">
        <v>19</v>
      </c>
      <c r="E1077" s="67">
        <v>500</v>
      </c>
      <c r="F1077" s="67">
        <v>10</v>
      </c>
      <c r="G1077" s="102">
        <v>10000</v>
      </c>
      <c r="H1077" s="56" t="s">
        <v>92</v>
      </c>
      <c r="I1077" s="106"/>
      <c r="K1077" s="56">
        <v>327</v>
      </c>
      <c r="L1077" s="55" t="s">
        <v>176</v>
      </c>
      <c r="M1077" s="55" t="s">
        <v>2824</v>
      </c>
      <c r="N1077" s="4" t="s">
        <v>177</v>
      </c>
      <c r="O1077" s="55" t="s">
        <v>178</v>
      </c>
    </row>
    <row r="1078" spans="2:15">
      <c r="B1078" s="20">
        <v>44957</v>
      </c>
      <c r="C1078" s="59">
        <v>50142327</v>
      </c>
      <c r="D1078" s="55" t="s">
        <v>256</v>
      </c>
      <c r="E1078" s="67">
        <v>681</v>
      </c>
      <c r="F1078" s="67">
        <v>2</v>
      </c>
      <c r="G1078" s="102">
        <v>1362</v>
      </c>
      <c r="H1078" s="56" t="s">
        <v>82</v>
      </c>
      <c r="I1078" s="106"/>
      <c r="K1078" s="56">
        <v>328</v>
      </c>
      <c r="L1078" s="55" t="s">
        <v>176</v>
      </c>
      <c r="M1078" s="55" t="s">
        <v>2824</v>
      </c>
      <c r="N1078" s="4" t="s">
        <v>177</v>
      </c>
      <c r="O1078" s="55" t="s">
        <v>178</v>
      </c>
    </row>
    <row r="1079" spans="2:15">
      <c r="B1079" s="20">
        <v>44957</v>
      </c>
      <c r="C1079" s="59">
        <v>50142334</v>
      </c>
      <c r="D1079" s="55" t="s">
        <v>257</v>
      </c>
      <c r="E1079" s="67">
        <v>681</v>
      </c>
      <c r="F1079" s="67">
        <v>3</v>
      </c>
      <c r="G1079" s="102">
        <v>2043</v>
      </c>
      <c r="H1079" s="56" t="s">
        <v>82</v>
      </c>
      <c r="I1079" s="106"/>
      <c r="K1079" s="56">
        <v>328</v>
      </c>
      <c r="L1079" s="55" t="s">
        <v>176</v>
      </c>
      <c r="M1079" s="55" t="s">
        <v>2824</v>
      </c>
      <c r="N1079" s="4" t="s">
        <v>177</v>
      </c>
      <c r="O1079" s="55" t="s">
        <v>178</v>
      </c>
    </row>
    <row r="1080" spans="2:15">
      <c r="B1080" s="20">
        <v>44957</v>
      </c>
      <c r="C1080" s="59">
        <v>50337816</v>
      </c>
      <c r="D1080" s="55" t="s">
        <v>245</v>
      </c>
      <c r="E1080" s="67">
        <v>264</v>
      </c>
      <c r="F1080" s="67">
        <v>4</v>
      </c>
      <c r="G1080" s="102">
        <v>1056</v>
      </c>
      <c r="H1080" s="56" t="s">
        <v>80</v>
      </c>
      <c r="I1080" s="106"/>
      <c r="K1080" s="56">
        <v>328</v>
      </c>
      <c r="L1080" s="55" t="s">
        <v>176</v>
      </c>
      <c r="M1080" s="55" t="s">
        <v>2824</v>
      </c>
      <c r="N1080" s="4" t="s">
        <v>177</v>
      </c>
      <c r="O1080" s="55" t="s">
        <v>178</v>
      </c>
    </row>
    <row r="1081" spans="2:15">
      <c r="B1081" s="20">
        <v>44957</v>
      </c>
      <c r="C1081" s="59">
        <v>50145028</v>
      </c>
      <c r="D1081" s="55" t="s">
        <v>23</v>
      </c>
      <c r="E1081" s="67">
        <v>192</v>
      </c>
      <c r="F1081" s="67">
        <v>3</v>
      </c>
      <c r="G1081" s="102">
        <v>576</v>
      </c>
      <c r="H1081" s="56" t="s">
        <v>92</v>
      </c>
      <c r="I1081" s="106"/>
      <c r="K1081" s="56">
        <v>328</v>
      </c>
      <c r="L1081" s="55" t="s">
        <v>176</v>
      </c>
      <c r="M1081" s="55" t="s">
        <v>2824</v>
      </c>
      <c r="N1081" s="4" t="s">
        <v>177</v>
      </c>
      <c r="O1081" s="55" t="s">
        <v>178</v>
      </c>
    </row>
    <row r="1082" spans="2:15">
      <c r="B1082" s="20">
        <v>44957</v>
      </c>
      <c r="C1082" s="59">
        <v>50522169</v>
      </c>
      <c r="D1082" s="55" t="s">
        <v>250</v>
      </c>
      <c r="E1082" s="67">
        <v>502</v>
      </c>
      <c r="F1082" s="67">
        <v>6</v>
      </c>
      <c r="G1082" s="102">
        <v>3133.85</v>
      </c>
      <c r="H1082" s="56" t="s">
        <v>82</v>
      </c>
      <c r="I1082" s="106"/>
      <c r="K1082" s="56">
        <v>328</v>
      </c>
      <c r="L1082" s="55" t="s">
        <v>176</v>
      </c>
      <c r="M1082" s="55" t="s">
        <v>2824</v>
      </c>
      <c r="N1082" s="4" t="s">
        <v>177</v>
      </c>
      <c r="O1082" s="55" t="s">
        <v>178</v>
      </c>
    </row>
    <row r="1083" spans="2:15">
      <c r="B1083" s="20">
        <v>44958</v>
      </c>
      <c r="C1083" s="59">
        <v>50010080</v>
      </c>
      <c r="D1083" s="55" t="s">
        <v>354</v>
      </c>
      <c r="E1083" s="67">
        <v>1000</v>
      </c>
      <c r="F1083" s="67">
        <v>2</v>
      </c>
      <c r="G1083" s="102">
        <v>2000</v>
      </c>
      <c r="H1083" s="56" t="s">
        <v>82</v>
      </c>
      <c r="I1083" s="106"/>
      <c r="K1083" s="56">
        <v>329</v>
      </c>
      <c r="L1083" s="55" t="s">
        <v>176</v>
      </c>
      <c r="M1083" s="55" t="s">
        <v>2824</v>
      </c>
      <c r="N1083" s="4" t="s">
        <v>177</v>
      </c>
      <c r="O1083" s="55" t="s">
        <v>178</v>
      </c>
    </row>
    <row r="1084" spans="2:15">
      <c r="B1084" s="20">
        <v>44958</v>
      </c>
      <c r="C1084" s="59">
        <v>50144376</v>
      </c>
      <c r="D1084" s="55" t="s">
        <v>19</v>
      </c>
      <c r="E1084" s="67">
        <v>500</v>
      </c>
      <c r="F1084" s="67">
        <v>10</v>
      </c>
      <c r="G1084" s="102">
        <v>5000</v>
      </c>
      <c r="H1084" s="56" t="s">
        <v>92</v>
      </c>
      <c r="I1084" s="106"/>
      <c r="K1084" s="56">
        <v>329</v>
      </c>
      <c r="L1084" s="55" t="s">
        <v>176</v>
      </c>
      <c r="M1084" s="55" t="s">
        <v>2824</v>
      </c>
      <c r="N1084" s="4" t="s">
        <v>177</v>
      </c>
      <c r="O1084" s="55" t="s">
        <v>178</v>
      </c>
    </row>
    <row r="1085" spans="2:15">
      <c r="B1085" s="20">
        <v>44958</v>
      </c>
      <c r="C1085" s="59">
        <v>50272278</v>
      </c>
      <c r="D1085" s="55" t="s">
        <v>21</v>
      </c>
      <c r="E1085" s="67">
        <v>500</v>
      </c>
      <c r="F1085" s="67">
        <v>6</v>
      </c>
      <c r="G1085" s="102">
        <v>3000</v>
      </c>
      <c r="H1085" s="56" t="s">
        <v>92</v>
      </c>
      <c r="I1085" s="106"/>
      <c r="K1085" s="56">
        <v>329</v>
      </c>
      <c r="L1085" s="55" t="s">
        <v>176</v>
      </c>
      <c r="M1085" s="55" t="s">
        <v>2824</v>
      </c>
      <c r="N1085" s="4" t="s">
        <v>177</v>
      </c>
      <c r="O1085" s="55" t="s">
        <v>178</v>
      </c>
    </row>
    <row r="1086" spans="2:15">
      <c r="B1086" s="20">
        <v>44958</v>
      </c>
      <c r="C1086" s="59">
        <v>50337816</v>
      </c>
      <c r="D1086" s="55" t="s">
        <v>245</v>
      </c>
      <c r="E1086" s="67">
        <v>264</v>
      </c>
      <c r="F1086" s="67">
        <v>1</v>
      </c>
      <c r="G1086" s="102">
        <v>264</v>
      </c>
      <c r="H1086" s="56" t="s">
        <v>80</v>
      </c>
      <c r="I1086" s="106"/>
      <c r="K1086" s="56">
        <v>329</v>
      </c>
      <c r="L1086" s="55" t="s">
        <v>176</v>
      </c>
      <c r="M1086" s="55" t="s">
        <v>2824</v>
      </c>
      <c r="N1086" s="4" t="s">
        <v>177</v>
      </c>
      <c r="O1086" s="55" t="s">
        <v>178</v>
      </c>
    </row>
    <row r="1087" spans="2:15">
      <c r="B1087" s="20">
        <v>44958</v>
      </c>
      <c r="C1087" s="59">
        <v>50486294</v>
      </c>
      <c r="D1087" s="55" t="s">
        <v>752</v>
      </c>
      <c r="E1087" s="67">
        <v>524.6</v>
      </c>
      <c r="F1087" s="67">
        <v>1</v>
      </c>
      <c r="G1087" s="102">
        <v>524.6</v>
      </c>
      <c r="H1087" s="56" t="s">
        <v>82</v>
      </c>
      <c r="I1087" s="106"/>
      <c r="K1087" s="56">
        <v>329</v>
      </c>
      <c r="L1087" s="55" t="s">
        <v>176</v>
      </c>
      <c r="M1087" s="55" t="s">
        <v>2824</v>
      </c>
      <c r="N1087" s="4" t="s">
        <v>177</v>
      </c>
      <c r="O1087" s="55" t="s">
        <v>178</v>
      </c>
    </row>
    <row r="1088" spans="2:15">
      <c r="B1088" s="20">
        <v>44960</v>
      </c>
      <c r="C1088" s="59">
        <v>50144376</v>
      </c>
      <c r="D1088" s="55" t="s">
        <v>19</v>
      </c>
      <c r="E1088" s="67">
        <v>500</v>
      </c>
      <c r="F1088" s="67">
        <v>5</v>
      </c>
      <c r="G1088" s="102">
        <v>2500</v>
      </c>
      <c r="H1088" s="56" t="s">
        <v>92</v>
      </c>
      <c r="I1088" s="106"/>
      <c r="K1088" s="56">
        <v>330</v>
      </c>
      <c r="L1088" s="55" t="s">
        <v>176</v>
      </c>
      <c r="M1088" s="55" t="s">
        <v>2824</v>
      </c>
      <c r="N1088" s="4" t="s">
        <v>177</v>
      </c>
      <c r="O1088" s="55" t="s">
        <v>178</v>
      </c>
    </row>
    <row r="1089" spans="2:15">
      <c r="B1089" s="20">
        <v>44960</v>
      </c>
      <c r="C1089" s="59">
        <v>50272278</v>
      </c>
      <c r="D1089" s="55" t="s">
        <v>21</v>
      </c>
      <c r="E1089" s="67">
        <v>500</v>
      </c>
      <c r="F1089" s="67">
        <v>15</v>
      </c>
      <c r="G1089" s="102">
        <v>7500</v>
      </c>
      <c r="H1089" s="56" t="s">
        <v>92</v>
      </c>
      <c r="I1089" s="106"/>
      <c r="K1089" s="56">
        <v>330</v>
      </c>
      <c r="L1089" s="55" t="s">
        <v>176</v>
      </c>
      <c r="M1089" s="55" t="s">
        <v>2824</v>
      </c>
      <c r="N1089" s="4" t="s">
        <v>177</v>
      </c>
      <c r="O1089" s="55" t="s">
        <v>178</v>
      </c>
    </row>
    <row r="1090" spans="2:15">
      <c r="B1090" s="20">
        <v>44960</v>
      </c>
      <c r="C1090" s="59">
        <v>40011080</v>
      </c>
      <c r="D1090" s="55" t="s">
        <v>420</v>
      </c>
      <c r="E1090" s="67">
        <v>450</v>
      </c>
      <c r="F1090" s="67">
        <v>5</v>
      </c>
      <c r="G1090" s="102">
        <v>2250</v>
      </c>
      <c r="H1090" s="56" t="s">
        <v>80</v>
      </c>
      <c r="I1090" s="106"/>
      <c r="K1090" s="56">
        <v>331</v>
      </c>
      <c r="L1090" s="55" t="s">
        <v>176</v>
      </c>
      <c r="M1090" s="55" t="s">
        <v>2824</v>
      </c>
      <c r="N1090" s="4" t="s">
        <v>177</v>
      </c>
      <c r="O1090" s="55" t="s">
        <v>178</v>
      </c>
    </row>
    <row r="1091" spans="2:15">
      <c r="B1091" s="20">
        <v>44960</v>
      </c>
      <c r="C1091" s="59">
        <v>50507916</v>
      </c>
      <c r="D1091" s="55" t="s">
        <v>406</v>
      </c>
      <c r="E1091" s="67">
        <v>264000</v>
      </c>
      <c r="F1091" s="67">
        <v>6</v>
      </c>
      <c r="G1091" s="102">
        <v>1584000</v>
      </c>
      <c r="H1091" s="56" t="s">
        <v>92</v>
      </c>
      <c r="I1091" s="106"/>
      <c r="K1091" s="56">
        <v>331</v>
      </c>
      <c r="L1091" s="55" t="s">
        <v>176</v>
      </c>
      <c r="M1091" s="55" t="s">
        <v>2824</v>
      </c>
      <c r="N1091" s="4" t="s">
        <v>177</v>
      </c>
      <c r="O1091" s="55" t="s">
        <v>178</v>
      </c>
    </row>
    <row r="1092" spans="2:15">
      <c r="B1092" s="20">
        <v>44960</v>
      </c>
      <c r="C1092" s="59">
        <v>40009546</v>
      </c>
      <c r="D1092" s="55" t="s">
        <v>174</v>
      </c>
      <c r="E1092" s="67">
        <v>756</v>
      </c>
      <c r="F1092" s="67">
        <v>3</v>
      </c>
      <c r="G1092" s="102">
        <v>2268</v>
      </c>
      <c r="H1092" s="56" t="s">
        <v>80</v>
      </c>
      <c r="I1092" s="106"/>
      <c r="K1092" s="56">
        <v>331</v>
      </c>
      <c r="L1092" s="55" t="s">
        <v>176</v>
      </c>
      <c r="M1092" s="55" t="s">
        <v>2824</v>
      </c>
      <c r="N1092" s="4" t="s">
        <v>177</v>
      </c>
      <c r="O1092" s="55" t="s">
        <v>178</v>
      </c>
    </row>
    <row r="1093" spans="2:15">
      <c r="B1093" s="20">
        <v>44960</v>
      </c>
      <c r="C1093" s="59">
        <v>40010087</v>
      </c>
      <c r="D1093" s="55" t="s">
        <v>387</v>
      </c>
      <c r="E1093" s="67">
        <v>756</v>
      </c>
      <c r="F1093" s="67">
        <v>3</v>
      </c>
      <c r="G1093" s="102">
        <v>2268</v>
      </c>
      <c r="H1093" s="56" t="s">
        <v>80</v>
      </c>
      <c r="I1093" s="106"/>
      <c r="K1093" s="56">
        <v>331</v>
      </c>
      <c r="L1093" s="55" t="s">
        <v>176</v>
      </c>
      <c r="M1093" s="55" t="s">
        <v>2824</v>
      </c>
      <c r="N1093" s="4" t="s">
        <v>177</v>
      </c>
      <c r="O1093" s="55" t="s">
        <v>178</v>
      </c>
    </row>
    <row r="1094" spans="2:15">
      <c r="B1094" s="20">
        <v>44960</v>
      </c>
      <c r="C1094" s="59">
        <v>50142334</v>
      </c>
      <c r="D1094" s="55" t="s">
        <v>257</v>
      </c>
      <c r="E1094" s="67">
        <v>681</v>
      </c>
      <c r="F1094" s="67">
        <v>1</v>
      </c>
      <c r="G1094" s="102">
        <v>681</v>
      </c>
      <c r="H1094" s="56" t="s">
        <v>82</v>
      </c>
      <c r="I1094" s="106"/>
      <c r="K1094" s="56">
        <v>331</v>
      </c>
      <c r="L1094" s="55" t="s">
        <v>176</v>
      </c>
      <c r="M1094" s="55" t="s">
        <v>2824</v>
      </c>
      <c r="N1094" s="4" t="s">
        <v>177</v>
      </c>
      <c r="O1094" s="55" t="s">
        <v>178</v>
      </c>
    </row>
    <row r="1095" spans="2:15">
      <c r="B1095" s="20">
        <v>44960</v>
      </c>
      <c r="C1095" s="59">
        <v>20016185</v>
      </c>
      <c r="D1095" s="55" t="s">
        <v>285</v>
      </c>
      <c r="E1095" s="67">
        <v>10000</v>
      </c>
      <c r="F1095" s="67">
        <v>20</v>
      </c>
      <c r="G1095" s="102">
        <v>20000</v>
      </c>
      <c r="H1095" s="56" t="s">
        <v>92</v>
      </c>
      <c r="I1095" s="106"/>
      <c r="K1095" s="56">
        <v>331</v>
      </c>
      <c r="L1095" s="55" t="s">
        <v>176</v>
      </c>
      <c r="M1095" s="55" t="s">
        <v>2824</v>
      </c>
      <c r="N1095" s="4" t="s">
        <v>177</v>
      </c>
      <c r="O1095" s="55" t="s">
        <v>178</v>
      </c>
    </row>
    <row r="1096" spans="2:15">
      <c r="B1096" s="20">
        <v>44960</v>
      </c>
      <c r="C1096" s="59">
        <v>50143875</v>
      </c>
      <c r="D1096" s="55" t="s">
        <v>713</v>
      </c>
      <c r="E1096" s="67">
        <v>400</v>
      </c>
      <c r="G1096" s="102">
        <v>5200</v>
      </c>
      <c r="H1096" s="56" t="s">
        <v>92</v>
      </c>
      <c r="I1096" s="106"/>
      <c r="K1096" s="56">
        <v>331</v>
      </c>
      <c r="L1096" s="55" t="s">
        <v>176</v>
      </c>
      <c r="M1096" s="55" t="s">
        <v>2824</v>
      </c>
      <c r="N1096" s="4" t="s">
        <v>177</v>
      </c>
      <c r="O1096" s="55" t="s">
        <v>178</v>
      </c>
    </row>
    <row r="1097" spans="2:15">
      <c r="B1097" s="20">
        <v>44963</v>
      </c>
      <c r="C1097" s="59">
        <v>50799770</v>
      </c>
      <c r="D1097" s="55" t="s">
        <v>17</v>
      </c>
      <c r="E1097" s="67">
        <v>500</v>
      </c>
      <c r="F1097" s="67">
        <v>12</v>
      </c>
      <c r="G1097" s="102">
        <v>6000</v>
      </c>
      <c r="H1097" s="56" t="s">
        <v>92</v>
      </c>
      <c r="I1097" s="106"/>
      <c r="K1097" s="56">
        <v>332</v>
      </c>
      <c r="L1097" s="55" t="s">
        <v>176</v>
      </c>
      <c r="M1097" s="55" t="s">
        <v>2824</v>
      </c>
      <c r="N1097" s="4" t="s">
        <v>193</v>
      </c>
      <c r="O1097" s="55" t="s">
        <v>178</v>
      </c>
    </row>
    <row r="1098" spans="2:15">
      <c r="B1098" s="20">
        <v>44963</v>
      </c>
      <c r="C1098" s="59">
        <v>40010080</v>
      </c>
      <c r="D1098" s="55" t="s">
        <v>784</v>
      </c>
      <c r="E1098" s="67">
        <v>1680</v>
      </c>
      <c r="F1098" s="67">
        <v>1</v>
      </c>
      <c r="G1098" s="102">
        <v>1680</v>
      </c>
      <c r="H1098" s="56" t="s">
        <v>80</v>
      </c>
      <c r="I1098" s="106"/>
      <c r="K1098" s="56">
        <v>332</v>
      </c>
      <c r="L1098" s="55" t="s">
        <v>176</v>
      </c>
      <c r="M1098" s="55" t="s">
        <v>2824</v>
      </c>
      <c r="N1098" s="4" t="s">
        <v>193</v>
      </c>
      <c r="O1098" s="55" t="s">
        <v>178</v>
      </c>
    </row>
    <row r="1099" spans="2:15">
      <c r="B1099" s="20">
        <v>44963</v>
      </c>
      <c r="C1099" s="59">
        <v>50509889</v>
      </c>
      <c r="D1099" s="55" t="s">
        <v>671</v>
      </c>
      <c r="E1099" s="67">
        <v>264000</v>
      </c>
      <c r="F1099" s="67">
        <v>2</v>
      </c>
      <c r="G1099" s="102">
        <v>528000</v>
      </c>
      <c r="H1099" s="56" t="s">
        <v>92</v>
      </c>
      <c r="I1099" s="106"/>
      <c r="K1099" s="56">
        <v>332</v>
      </c>
      <c r="L1099" s="55" t="s">
        <v>176</v>
      </c>
      <c r="M1099" s="55" t="s">
        <v>2824</v>
      </c>
      <c r="N1099" s="4" t="s">
        <v>193</v>
      </c>
      <c r="O1099" s="55" t="s">
        <v>178</v>
      </c>
    </row>
    <row r="1100" spans="2:15">
      <c r="B1100" s="20">
        <v>44963</v>
      </c>
      <c r="C1100" s="59">
        <v>50144376</v>
      </c>
      <c r="D1100" s="55" t="s">
        <v>19</v>
      </c>
      <c r="E1100" s="67">
        <v>500</v>
      </c>
      <c r="F1100" s="67">
        <v>5</v>
      </c>
      <c r="G1100" s="102">
        <v>2500</v>
      </c>
      <c r="H1100" s="56" t="s">
        <v>92</v>
      </c>
      <c r="I1100" s="106"/>
      <c r="K1100" s="56">
        <v>332</v>
      </c>
      <c r="L1100" s="55" t="s">
        <v>176</v>
      </c>
      <c r="M1100" s="55" t="s">
        <v>2824</v>
      </c>
      <c r="N1100" s="4" t="s">
        <v>193</v>
      </c>
      <c r="O1100" s="55" t="s">
        <v>178</v>
      </c>
    </row>
    <row r="1101" spans="2:15">
      <c r="B1101" s="20">
        <v>44963</v>
      </c>
      <c r="C1101" s="59">
        <v>50010080</v>
      </c>
      <c r="D1101" s="55" t="s">
        <v>354</v>
      </c>
      <c r="E1101" s="67">
        <v>1000</v>
      </c>
      <c r="F1101" s="67">
        <v>2</v>
      </c>
      <c r="G1101" s="102">
        <v>2000</v>
      </c>
      <c r="H1101" s="56" t="s">
        <v>82</v>
      </c>
      <c r="I1101" s="106"/>
      <c r="K1101" s="56">
        <v>332</v>
      </c>
      <c r="L1101" s="55" t="s">
        <v>176</v>
      </c>
      <c r="M1101" s="55" t="s">
        <v>2824</v>
      </c>
      <c r="N1101" s="4" t="s">
        <v>193</v>
      </c>
      <c r="O1101" s="55" t="s">
        <v>178</v>
      </c>
    </row>
    <row r="1102" spans="2:15">
      <c r="B1102" s="20">
        <v>44964</v>
      </c>
      <c r="C1102" s="59">
        <v>50141786</v>
      </c>
      <c r="D1102" s="55" t="s">
        <v>188</v>
      </c>
      <c r="E1102" s="67">
        <v>560</v>
      </c>
      <c r="F1102" s="67">
        <v>20</v>
      </c>
      <c r="G1102" s="102">
        <v>11200</v>
      </c>
      <c r="H1102" s="56" t="s">
        <v>82</v>
      </c>
      <c r="I1102" s="106"/>
      <c r="K1102" s="56">
        <v>333</v>
      </c>
      <c r="L1102" s="55" t="s">
        <v>176</v>
      </c>
      <c r="M1102" s="55" t="s">
        <v>2824</v>
      </c>
      <c r="N1102" s="4" t="s">
        <v>177</v>
      </c>
      <c r="O1102" s="55" t="s">
        <v>178</v>
      </c>
    </row>
    <row r="1103" spans="2:15">
      <c r="B1103" s="20">
        <v>44964</v>
      </c>
      <c r="C1103" s="59">
        <v>50144376</v>
      </c>
      <c r="D1103" s="55" t="s">
        <v>19</v>
      </c>
      <c r="E1103" s="67">
        <v>500</v>
      </c>
      <c r="F1103" s="67">
        <v>10</v>
      </c>
      <c r="G1103" s="102">
        <v>5000</v>
      </c>
      <c r="H1103" s="56" t="s">
        <v>92</v>
      </c>
      <c r="I1103" s="106"/>
      <c r="K1103" s="56">
        <v>334</v>
      </c>
      <c r="L1103" s="55" t="s">
        <v>176</v>
      </c>
      <c r="M1103" s="55" t="s">
        <v>2824</v>
      </c>
      <c r="N1103" s="4" t="s">
        <v>177</v>
      </c>
      <c r="O1103" s="55" t="s">
        <v>178</v>
      </c>
    </row>
    <row r="1104" spans="2:15">
      <c r="B1104" s="20">
        <v>44964</v>
      </c>
      <c r="C1104" s="59">
        <v>50272278</v>
      </c>
      <c r="D1104" s="55" t="s">
        <v>21</v>
      </c>
      <c r="E1104" s="67">
        <v>500</v>
      </c>
      <c r="F1104" s="67">
        <v>10</v>
      </c>
      <c r="G1104" s="102">
        <v>5000</v>
      </c>
      <c r="H1104" s="56" t="s">
        <v>92</v>
      </c>
      <c r="I1104" s="106"/>
      <c r="K1104" s="56">
        <v>334</v>
      </c>
      <c r="L1104" s="55" t="s">
        <v>176</v>
      </c>
      <c r="M1104" s="55" t="s">
        <v>2824</v>
      </c>
      <c r="N1104" s="4" t="s">
        <v>177</v>
      </c>
      <c r="O1104" s="55" t="s">
        <v>178</v>
      </c>
    </row>
    <row r="1105" spans="2:15">
      <c r="B1105" s="20">
        <v>44965</v>
      </c>
      <c r="C1105" s="59">
        <v>50501722</v>
      </c>
      <c r="D1105" s="55" t="s">
        <v>253</v>
      </c>
      <c r="E1105" s="67">
        <v>560</v>
      </c>
      <c r="F1105" s="67">
        <v>6</v>
      </c>
      <c r="G1105" s="102">
        <v>3201.65</v>
      </c>
      <c r="H1105" s="56" t="s">
        <v>82</v>
      </c>
      <c r="I1105" s="106"/>
      <c r="K1105" s="56">
        <v>335</v>
      </c>
      <c r="L1105" s="55" t="s">
        <v>176</v>
      </c>
      <c r="M1105" s="55" t="s">
        <v>2824</v>
      </c>
      <c r="N1105" s="4" t="s">
        <v>193</v>
      </c>
      <c r="O1105" s="55" t="s">
        <v>178</v>
      </c>
    </row>
    <row r="1106" spans="2:15">
      <c r="B1106" s="20">
        <v>44965</v>
      </c>
      <c r="C1106" s="59">
        <v>50509889</v>
      </c>
      <c r="D1106" s="55" t="s">
        <v>671</v>
      </c>
      <c r="E1106" s="67">
        <v>264000</v>
      </c>
      <c r="F1106" s="67">
        <v>4</v>
      </c>
      <c r="G1106" s="102">
        <v>1056000</v>
      </c>
      <c r="H1106" s="56" t="s">
        <v>92</v>
      </c>
      <c r="I1106" s="106"/>
      <c r="K1106" s="56">
        <v>335</v>
      </c>
      <c r="L1106" s="55" t="s">
        <v>176</v>
      </c>
      <c r="M1106" s="55" t="s">
        <v>2824</v>
      </c>
      <c r="N1106" s="4" t="s">
        <v>193</v>
      </c>
      <c r="O1106" s="55" t="s">
        <v>178</v>
      </c>
    </row>
    <row r="1107" spans="2:15">
      <c r="B1107" s="20">
        <v>44965</v>
      </c>
      <c r="C1107" s="59">
        <v>40009546</v>
      </c>
      <c r="D1107" s="55" t="s">
        <v>174</v>
      </c>
      <c r="E1107" s="67">
        <v>756</v>
      </c>
      <c r="F1107" s="67">
        <v>6</v>
      </c>
      <c r="G1107" s="102">
        <v>4536</v>
      </c>
      <c r="H1107" s="56" t="s">
        <v>80</v>
      </c>
      <c r="I1107" s="106"/>
      <c r="K1107" s="56">
        <v>335</v>
      </c>
      <c r="L1107" s="55" t="s">
        <v>176</v>
      </c>
      <c r="M1107" s="55" t="s">
        <v>2824</v>
      </c>
      <c r="N1107" s="4" t="s">
        <v>193</v>
      </c>
      <c r="O1107" s="55" t="s">
        <v>178</v>
      </c>
    </row>
    <row r="1108" spans="2:15">
      <c r="B1108" s="20">
        <v>44965</v>
      </c>
      <c r="C1108" s="59">
        <v>40011780</v>
      </c>
      <c r="D1108" s="55" t="s">
        <v>584</v>
      </c>
      <c r="E1108" s="67">
        <v>450</v>
      </c>
      <c r="F1108" s="67">
        <v>3</v>
      </c>
      <c r="G1108" s="102">
        <v>1006.4</v>
      </c>
      <c r="H1108" s="56" t="s">
        <v>80</v>
      </c>
      <c r="I1108" s="106"/>
      <c r="K1108" s="56">
        <v>335</v>
      </c>
      <c r="L1108" s="55" t="s">
        <v>176</v>
      </c>
      <c r="M1108" s="55" t="s">
        <v>2824</v>
      </c>
      <c r="N1108" s="4" t="s">
        <v>193</v>
      </c>
      <c r="O1108" s="55" t="s">
        <v>178</v>
      </c>
    </row>
    <row r="1109" spans="2:15">
      <c r="B1109" s="20">
        <v>44965</v>
      </c>
      <c r="C1109" s="59">
        <v>40011148</v>
      </c>
      <c r="D1109" s="55" t="s">
        <v>86</v>
      </c>
      <c r="E1109" s="67">
        <v>450</v>
      </c>
      <c r="F1109" s="67">
        <v>2</v>
      </c>
      <c r="G1109" s="102">
        <v>860</v>
      </c>
      <c r="H1109" s="56" t="s">
        <v>80</v>
      </c>
      <c r="I1109" s="106"/>
      <c r="K1109" s="56">
        <v>335</v>
      </c>
      <c r="L1109" s="55" t="s">
        <v>176</v>
      </c>
      <c r="M1109" s="55" t="s">
        <v>2824</v>
      </c>
      <c r="N1109" s="4" t="s">
        <v>193</v>
      </c>
      <c r="O1109" s="55" t="s">
        <v>178</v>
      </c>
    </row>
    <row r="1110" spans="2:15">
      <c r="B1110" s="20">
        <v>44965</v>
      </c>
      <c r="C1110" s="59">
        <v>50145028</v>
      </c>
      <c r="D1110" s="55" t="s">
        <v>23</v>
      </c>
      <c r="E1110" s="67">
        <v>192</v>
      </c>
      <c r="F1110" s="67">
        <v>3</v>
      </c>
      <c r="G1110" s="102">
        <v>576</v>
      </c>
      <c r="H1110" s="56" t="s">
        <v>92</v>
      </c>
      <c r="I1110" s="106"/>
      <c r="K1110" s="56">
        <v>336</v>
      </c>
      <c r="L1110" s="55" t="s">
        <v>392</v>
      </c>
      <c r="M1110" s="55" t="s">
        <v>392</v>
      </c>
      <c r="N1110" s="4" t="s">
        <v>2848</v>
      </c>
      <c r="O1110" s="55" t="s">
        <v>178</v>
      </c>
    </row>
    <row r="1111" spans="2:15">
      <c r="B1111" s="20">
        <v>44965</v>
      </c>
      <c r="C1111" s="59">
        <v>50144376</v>
      </c>
      <c r="D1111" s="55" t="s">
        <v>19</v>
      </c>
      <c r="E1111" s="67">
        <v>500</v>
      </c>
      <c r="F1111" s="67">
        <v>5</v>
      </c>
      <c r="G1111" s="102">
        <v>2500</v>
      </c>
      <c r="H1111" s="56" t="s">
        <v>92</v>
      </c>
      <c r="I1111" s="106"/>
      <c r="K1111" s="56">
        <v>336</v>
      </c>
      <c r="L1111" s="55" t="s">
        <v>392</v>
      </c>
      <c r="M1111" s="55" t="s">
        <v>392</v>
      </c>
      <c r="N1111" s="4" t="s">
        <v>2848</v>
      </c>
      <c r="O1111" s="55" t="s">
        <v>178</v>
      </c>
    </row>
    <row r="1112" spans="2:15">
      <c r="B1112" s="20">
        <v>44966</v>
      </c>
      <c r="C1112" s="59">
        <v>50010080</v>
      </c>
      <c r="D1112" s="55" t="s">
        <v>354</v>
      </c>
      <c r="E1112" s="67">
        <v>1000</v>
      </c>
      <c r="F1112" s="67">
        <v>2</v>
      </c>
      <c r="G1112" s="102">
        <v>2000</v>
      </c>
      <c r="H1112" s="56" t="s">
        <v>82</v>
      </c>
      <c r="I1112" s="106"/>
      <c r="K1112" s="56">
        <v>337</v>
      </c>
      <c r="L1112" s="55" t="s">
        <v>176</v>
      </c>
      <c r="M1112" s="55" t="s">
        <v>2824</v>
      </c>
      <c r="N1112" s="4" t="s">
        <v>193</v>
      </c>
      <c r="O1112" s="55" t="s">
        <v>178</v>
      </c>
    </row>
    <row r="1113" spans="2:15">
      <c r="B1113" s="20">
        <v>44966</v>
      </c>
      <c r="C1113" s="59">
        <v>50144376</v>
      </c>
      <c r="D1113" s="55" t="s">
        <v>19</v>
      </c>
      <c r="E1113" s="67">
        <v>500</v>
      </c>
      <c r="F1113" s="67">
        <v>10</v>
      </c>
      <c r="G1113" s="102">
        <v>5000</v>
      </c>
      <c r="H1113" s="56" t="s">
        <v>92</v>
      </c>
      <c r="I1113" s="106"/>
      <c r="K1113" s="56">
        <v>337</v>
      </c>
      <c r="L1113" s="55" t="s">
        <v>176</v>
      </c>
      <c r="M1113" s="55" t="s">
        <v>2824</v>
      </c>
      <c r="N1113" s="4" t="s">
        <v>193</v>
      </c>
      <c r="O1113" s="55" t="s">
        <v>178</v>
      </c>
    </row>
    <row r="1114" spans="2:15">
      <c r="B1114" s="20">
        <v>44966</v>
      </c>
      <c r="C1114" s="59">
        <v>50272278</v>
      </c>
      <c r="D1114" s="55" t="s">
        <v>21</v>
      </c>
      <c r="E1114" s="67">
        <v>500</v>
      </c>
      <c r="F1114" s="67">
        <v>10</v>
      </c>
      <c r="G1114" s="102">
        <v>5000</v>
      </c>
      <c r="H1114" s="56" t="s">
        <v>92</v>
      </c>
      <c r="I1114" s="106"/>
      <c r="K1114" s="56">
        <v>337</v>
      </c>
      <c r="L1114" s="55" t="s">
        <v>176</v>
      </c>
      <c r="M1114" s="55" t="s">
        <v>2824</v>
      </c>
      <c r="N1114" s="4" t="s">
        <v>193</v>
      </c>
      <c r="O1114" s="55" t="s">
        <v>178</v>
      </c>
    </row>
    <row r="1115" spans="2:15">
      <c r="B1115" s="20">
        <v>44967</v>
      </c>
      <c r="C1115" s="59">
        <v>50144376</v>
      </c>
      <c r="D1115" s="55" t="s">
        <v>19</v>
      </c>
      <c r="E1115" s="67">
        <v>500</v>
      </c>
      <c r="F1115" s="67">
        <v>10</v>
      </c>
      <c r="G1115" s="102">
        <v>5000</v>
      </c>
      <c r="H1115" s="56" t="s">
        <v>92</v>
      </c>
      <c r="I1115" s="106"/>
      <c r="K1115" s="56">
        <v>338</v>
      </c>
      <c r="L1115" s="55" t="s">
        <v>176</v>
      </c>
      <c r="M1115" s="55" t="s">
        <v>2824</v>
      </c>
      <c r="N1115" s="4" t="s">
        <v>193</v>
      </c>
      <c r="O1115" s="55" t="s">
        <v>178</v>
      </c>
    </row>
    <row r="1116" spans="2:15">
      <c r="B1116" s="20">
        <v>44967</v>
      </c>
      <c r="C1116" s="59">
        <v>50272278</v>
      </c>
      <c r="D1116" s="55" t="s">
        <v>21</v>
      </c>
      <c r="E1116" s="67">
        <v>500</v>
      </c>
      <c r="F1116" s="67">
        <v>10</v>
      </c>
      <c r="G1116" s="102">
        <v>5000</v>
      </c>
      <c r="H1116" s="56" t="s">
        <v>92</v>
      </c>
      <c r="I1116" s="106"/>
      <c r="K1116" s="56">
        <v>338</v>
      </c>
      <c r="L1116" s="55" t="s">
        <v>176</v>
      </c>
      <c r="M1116" s="55" t="s">
        <v>2824</v>
      </c>
      <c r="N1116" s="4" t="s">
        <v>193</v>
      </c>
      <c r="O1116" s="55" t="s">
        <v>178</v>
      </c>
    </row>
    <row r="1117" spans="2:15">
      <c r="B1117" s="20">
        <v>44967</v>
      </c>
      <c r="C1117" s="59">
        <v>50486778</v>
      </c>
      <c r="D1117" s="55" t="s">
        <v>787</v>
      </c>
      <c r="E1117" s="67">
        <v>289800</v>
      </c>
      <c r="F1117" s="67">
        <v>2</v>
      </c>
      <c r="G1117" s="102">
        <v>579600</v>
      </c>
      <c r="H1117" s="56" t="s">
        <v>92</v>
      </c>
      <c r="I1117" s="106"/>
      <c r="K1117" s="56">
        <v>338</v>
      </c>
      <c r="L1117" s="55" t="s">
        <v>176</v>
      </c>
      <c r="M1117" s="55" t="s">
        <v>2824</v>
      </c>
      <c r="N1117" s="4" t="s">
        <v>193</v>
      </c>
      <c r="O1117" s="55" t="s">
        <v>178</v>
      </c>
    </row>
    <row r="1118" spans="2:15">
      <c r="B1118" s="20">
        <v>44967</v>
      </c>
      <c r="C1118" s="59">
        <v>40011080</v>
      </c>
      <c r="D1118" s="55" t="s">
        <v>420</v>
      </c>
      <c r="E1118" s="67">
        <v>450</v>
      </c>
      <c r="F1118" s="67">
        <v>6</v>
      </c>
      <c r="G1118" s="102">
        <v>2700</v>
      </c>
      <c r="H1118" s="56" t="s">
        <v>80</v>
      </c>
      <c r="I1118" s="106"/>
      <c r="K1118" s="56">
        <v>339</v>
      </c>
      <c r="L1118" s="55" t="s">
        <v>176</v>
      </c>
      <c r="M1118" s="55" t="s">
        <v>2824</v>
      </c>
      <c r="N1118" s="4" t="s">
        <v>193</v>
      </c>
      <c r="O1118" s="55" t="s">
        <v>178</v>
      </c>
    </row>
    <row r="1119" spans="2:15">
      <c r="B1119" s="20">
        <v>44967</v>
      </c>
      <c r="C1119" s="59">
        <v>50522169</v>
      </c>
      <c r="D1119" s="55" t="s">
        <v>250</v>
      </c>
      <c r="E1119" s="67">
        <v>546</v>
      </c>
      <c r="F1119" s="67">
        <v>4</v>
      </c>
      <c r="G1119" s="102">
        <v>2097.75</v>
      </c>
      <c r="H1119" s="56" t="s">
        <v>82</v>
      </c>
      <c r="I1119" s="106"/>
      <c r="K1119" s="56">
        <v>339</v>
      </c>
      <c r="L1119" s="55" t="s">
        <v>176</v>
      </c>
      <c r="M1119" s="55" t="s">
        <v>2824</v>
      </c>
      <c r="N1119" s="4" t="s">
        <v>193</v>
      </c>
      <c r="O1119" s="55" t="s">
        <v>178</v>
      </c>
    </row>
    <row r="1120" spans="2:15">
      <c r="B1120" s="20">
        <v>44967</v>
      </c>
      <c r="C1120" s="59">
        <v>50142327</v>
      </c>
      <c r="D1120" s="55" t="s">
        <v>256</v>
      </c>
      <c r="E1120" s="67">
        <v>681</v>
      </c>
      <c r="F1120" s="67">
        <v>2</v>
      </c>
      <c r="G1120" s="102">
        <v>1362</v>
      </c>
      <c r="H1120" s="56" t="s">
        <v>82</v>
      </c>
      <c r="I1120" s="106"/>
      <c r="K1120" s="56">
        <v>339</v>
      </c>
      <c r="L1120" s="55" t="s">
        <v>176</v>
      </c>
      <c r="M1120" s="55" t="s">
        <v>2824</v>
      </c>
      <c r="N1120" s="4" t="s">
        <v>193</v>
      </c>
      <c r="O1120" s="55" t="s">
        <v>178</v>
      </c>
    </row>
    <row r="1121" spans="2:15">
      <c r="B1121" s="20">
        <v>44967</v>
      </c>
      <c r="C1121" s="59">
        <v>50142334</v>
      </c>
      <c r="D1121" s="55" t="s">
        <v>257</v>
      </c>
      <c r="E1121" s="67">
        <v>681</v>
      </c>
      <c r="F1121" s="67">
        <v>1</v>
      </c>
      <c r="G1121" s="102">
        <v>681</v>
      </c>
      <c r="H1121" s="56" t="s">
        <v>82</v>
      </c>
      <c r="I1121" s="106"/>
      <c r="K1121" s="56">
        <v>339</v>
      </c>
      <c r="L1121" s="55" t="s">
        <v>176</v>
      </c>
      <c r="M1121" s="55" t="s">
        <v>2824</v>
      </c>
      <c r="N1121" s="4" t="s">
        <v>193</v>
      </c>
      <c r="O1121" s="55" t="s">
        <v>178</v>
      </c>
    </row>
    <row r="1122" spans="2:15">
      <c r="B1122" s="20">
        <v>44967</v>
      </c>
      <c r="C1122" s="59">
        <v>50144376</v>
      </c>
      <c r="D1122" s="55" t="s">
        <v>19</v>
      </c>
      <c r="E1122" s="67">
        <v>500</v>
      </c>
      <c r="F1122" s="67">
        <v>3</v>
      </c>
      <c r="G1122" s="102">
        <v>1500</v>
      </c>
      <c r="H1122" s="56" t="s">
        <v>92</v>
      </c>
      <c r="I1122" s="106"/>
      <c r="K1122" s="56">
        <v>339</v>
      </c>
      <c r="L1122" s="55" t="s">
        <v>176</v>
      </c>
      <c r="M1122" s="55" t="s">
        <v>2824</v>
      </c>
      <c r="N1122" s="4" t="s">
        <v>193</v>
      </c>
      <c r="O1122" s="55" t="s">
        <v>178</v>
      </c>
    </row>
    <row r="1123" spans="2:15">
      <c r="B1123" s="20">
        <v>44967</v>
      </c>
      <c r="C1123" s="59">
        <v>50272278</v>
      </c>
      <c r="D1123" s="55" t="s">
        <v>21</v>
      </c>
      <c r="E1123" s="67">
        <v>500</v>
      </c>
      <c r="F1123" s="67">
        <v>4</v>
      </c>
      <c r="G1123" s="102">
        <v>2000</v>
      </c>
      <c r="H1123" s="56" t="s">
        <v>92</v>
      </c>
      <c r="I1123" s="106"/>
      <c r="K1123" s="56">
        <v>339</v>
      </c>
      <c r="L1123" s="55" t="s">
        <v>176</v>
      </c>
      <c r="M1123" s="55" t="s">
        <v>2824</v>
      </c>
      <c r="N1123" s="4" t="s">
        <v>193</v>
      </c>
      <c r="O1123" s="55" t="s">
        <v>178</v>
      </c>
    </row>
    <row r="1124" spans="2:15">
      <c r="B1124" s="20">
        <v>44967</v>
      </c>
      <c r="C1124" s="59">
        <v>50144376</v>
      </c>
      <c r="D1124" s="55" t="s">
        <v>19</v>
      </c>
      <c r="E1124" s="67">
        <v>500</v>
      </c>
      <c r="F1124" s="67">
        <v>11</v>
      </c>
      <c r="G1124" s="102">
        <v>10250</v>
      </c>
      <c r="H1124" s="56" t="s">
        <v>92</v>
      </c>
      <c r="I1124" s="106"/>
      <c r="K1124" s="56">
        <v>340</v>
      </c>
      <c r="M1124" s="55" t="s">
        <v>326</v>
      </c>
      <c r="O1124" s="55" t="s">
        <v>178</v>
      </c>
    </row>
    <row r="1125" spans="2:15">
      <c r="B1125" s="20">
        <v>44967</v>
      </c>
      <c r="C1125" s="59">
        <v>50145521</v>
      </c>
      <c r="D1125" s="55" t="s">
        <v>436</v>
      </c>
      <c r="E1125" s="67">
        <v>70000</v>
      </c>
      <c r="F1125" s="67">
        <v>2</v>
      </c>
      <c r="G1125" s="102">
        <v>130000</v>
      </c>
      <c r="H1125" s="56" t="s">
        <v>92</v>
      </c>
      <c r="I1125" s="106"/>
      <c r="K1125" s="56">
        <v>340</v>
      </c>
      <c r="M1125" s="55" t="s">
        <v>326</v>
      </c>
      <c r="O1125" s="55" t="s">
        <v>178</v>
      </c>
    </row>
    <row r="1126" spans="2:15">
      <c r="B1126" s="20">
        <v>44970</v>
      </c>
      <c r="C1126" s="59">
        <v>40011133</v>
      </c>
      <c r="D1126" s="55" t="s">
        <v>634</v>
      </c>
      <c r="E1126" s="67">
        <v>756</v>
      </c>
      <c r="F1126" s="67">
        <v>1</v>
      </c>
      <c r="G1126" s="102">
        <v>756</v>
      </c>
      <c r="H1126" s="56" t="s">
        <v>80</v>
      </c>
      <c r="I1126" s="106"/>
      <c r="K1126" s="56">
        <v>341</v>
      </c>
      <c r="L1126" s="55" t="s">
        <v>176</v>
      </c>
      <c r="M1126" s="55" t="s">
        <v>2824</v>
      </c>
      <c r="N1126" s="4" t="s">
        <v>193</v>
      </c>
      <c r="O1126" s="55" t="s">
        <v>178</v>
      </c>
    </row>
    <row r="1127" spans="2:15">
      <c r="B1127" s="20">
        <v>44970</v>
      </c>
      <c r="C1127" s="59">
        <v>50144376</v>
      </c>
      <c r="D1127" s="55" t="s">
        <v>19</v>
      </c>
      <c r="E1127" s="67">
        <v>500</v>
      </c>
      <c r="F1127" s="67">
        <v>16</v>
      </c>
      <c r="G1127" s="102">
        <v>8000</v>
      </c>
      <c r="H1127" s="56" t="s">
        <v>92</v>
      </c>
      <c r="I1127" s="106"/>
      <c r="K1127" s="56">
        <v>341</v>
      </c>
      <c r="L1127" s="55" t="s">
        <v>176</v>
      </c>
      <c r="M1127" s="55" t="s">
        <v>2824</v>
      </c>
      <c r="N1127" s="4" t="s">
        <v>193</v>
      </c>
      <c r="O1127" s="55" t="s">
        <v>178</v>
      </c>
    </row>
    <row r="1128" spans="2:15">
      <c r="B1128" s="20">
        <v>44970</v>
      </c>
      <c r="C1128" s="59">
        <v>50142237</v>
      </c>
      <c r="D1128" s="55" t="s">
        <v>617</v>
      </c>
      <c r="E1128" s="67">
        <v>1000</v>
      </c>
      <c r="F1128" s="67">
        <v>5</v>
      </c>
      <c r="G1128" s="102">
        <v>5000</v>
      </c>
      <c r="H1128" s="56" t="s">
        <v>92</v>
      </c>
      <c r="I1128" s="106"/>
      <c r="K1128" s="56">
        <v>341</v>
      </c>
      <c r="L1128" s="55" t="s">
        <v>176</v>
      </c>
      <c r="M1128" s="55" t="s">
        <v>2824</v>
      </c>
      <c r="N1128" s="4" t="s">
        <v>193</v>
      </c>
      <c r="O1128" s="55" t="s">
        <v>178</v>
      </c>
    </row>
    <row r="1129" spans="2:15">
      <c r="B1129" s="20">
        <v>44970</v>
      </c>
      <c r="C1129" s="59">
        <v>50534881</v>
      </c>
      <c r="D1129" s="55" t="s">
        <v>227</v>
      </c>
      <c r="E1129" s="67">
        <v>9000</v>
      </c>
      <c r="F1129" s="67">
        <v>4</v>
      </c>
      <c r="G1129" s="102">
        <v>36000</v>
      </c>
      <c r="H1129" s="56" t="s">
        <v>92</v>
      </c>
      <c r="I1129" s="106"/>
      <c r="K1129" s="56">
        <v>341</v>
      </c>
      <c r="L1129" s="55" t="s">
        <v>176</v>
      </c>
      <c r="M1129" s="55" t="s">
        <v>2824</v>
      </c>
      <c r="N1129" s="4" t="s">
        <v>193</v>
      </c>
      <c r="O1129" s="55" t="s">
        <v>178</v>
      </c>
    </row>
    <row r="1130" spans="2:15">
      <c r="B1130" s="20">
        <v>44970</v>
      </c>
      <c r="C1130" s="59">
        <v>40011130</v>
      </c>
      <c r="D1130" s="55" t="s">
        <v>631</v>
      </c>
      <c r="E1130" s="67">
        <v>2660</v>
      </c>
      <c r="F1130" s="67">
        <v>1</v>
      </c>
      <c r="G1130" s="102">
        <v>2660</v>
      </c>
      <c r="H1130" s="56" t="s">
        <v>80</v>
      </c>
      <c r="I1130" s="106"/>
      <c r="K1130" s="56">
        <v>341</v>
      </c>
      <c r="L1130" s="55" t="s">
        <v>176</v>
      </c>
      <c r="M1130" s="55" t="s">
        <v>2824</v>
      </c>
      <c r="N1130" s="4" t="s">
        <v>193</v>
      </c>
      <c r="O1130" s="55" t="s">
        <v>178</v>
      </c>
    </row>
    <row r="1131" spans="2:15">
      <c r="B1131" s="20">
        <v>44971</v>
      </c>
      <c r="C1131" s="59">
        <v>50144376</v>
      </c>
      <c r="D1131" s="55" t="s">
        <v>19</v>
      </c>
      <c r="E1131" s="67">
        <v>500</v>
      </c>
      <c r="F1131" s="67">
        <v>4</v>
      </c>
      <c r="G1131" s="102">
        <v>2000</v>
      </c>
      <c r="H1131" s="56" t="s">
        <v>92</v>
      </c>
      <c r="I1131" s="106"/>
      <c r="K1131" s="56">
        <v>342</v>
      </c>
      <c r="L1131" s="55" t="s">
        <v>176</v>
      </c>
      <c r="M1131" s="55" t="s">
        <v>2824</v>
      </c>
      <c r="N1131" s="4" t="s">
        <v>177</v>
      </c>
      <c r="O1131" s="55" t="s">
        <v>178</v>
      </c>
    </row>
    <row r="1132" spans="2:15">
      <c r="B1132" s="20">
        <v>44971</v>
      </c>
      <c r="C1132" s="59">
        <v>50272278</v>
      </c>
      <c r="D1132" s="55" t="s">
        <v>21</v>
      </c>
      <c r="E1132" s="67">
        <v>500</v>
      </c>
      <c r="F1132" s="67">
        <v>4</v>
      </c>
      <c r="G1132" s="102">
        <v>2000</v>
      </c>
      <c r="H1132" s="56" t="s">
        <v>92</v>
      </c>
      <c r="I1132" s="106"/>
      <c r="K1132" s="56">
        <v>342</v>
      </c>
      <c r="L1132" s="55" t="s">
        <v>176</v>
      </c>
      <c r="M1132" s="55" t="s">
        <v>2824</v>
      </c>
      <c r="N1132" s="4" t="s">
        <v>177</v>
      </c>
      <c r="O1132" s="55" t="s">
        <v>178</v>
      </c>
    </row>
    <row r="1133" spans="2:15">
      <c r="B1133" s="20">
        <v>44971</v>
      </c>
      <c r="C1133" s="59">
        <v>50799770</v>
      </c>
      <c r="D1133" s="55" t="s">
        <v>17</v>
      </c>
      <c r="E1133" s="67">
        <v>500</v>
      </c>
      <c r="F1133" s="67">
        <v>12</v>
      </c>
      <c r="G1133" s="102">
        <v>6000</v>
      </c>
      <c r="H1133" s="56" t="s">
        <v>92</v>
      </c>
      <c r="I1133" s="106"/>
      <c r="K1133" s="56">
        <v>342</v>
      </c>
      <c r="L1133" s="55" t="s">
        <v>176</v>
      </c>
      <c r="M1133" s="55" t="s">
        <v>2824</v>
      </c>
      <c r="N1133" s="4" t="s">
        <v>177</v>
      </c>
      <c r="O1133" s="55" t="s">
        <v>178</v>
      </c>
    </row>
    <row r="1134" spans="2:15">
      <c r="B1134" s="20">
        <v>44971</v>
      </c>
      <c r="C1134" s="59">
        <v>50486778</v>
      </c>
      <c r="D1134" s="55" t="s">
        <v>787</v>
      </c>
      <c r="E1134" s="67">
        <v>289800</v>
      </c>
      <c r="F1134" s="67">
        <v>6</v>
      </c>
      <c r="G1134" s="102">
        <v>1738800</v>
      </c>
      <c r="H1134" s="56" t="s">
        <v>92</v>
      </c>
      <c r="I1134" s="106"/>
      <c r="K1134" s="56">
        <v>343</v>
      </c>
      <c r="L1134" s="55" t="s">
        <v>176</v>
      </c>
      <c r="M1134" s="55" t="s">
        <v>2824</v>
      </c>
      <c r="N1134" s="4" t="s">
        <v>177</v>
      </c>
      <c r="O1134" s="55" t="s">
        <v>178</v>
      </c>
    </row>
    <row r="1135" spans="2:15">
      <c r="B1135" s="20">
        <v>44971</v>
      </c>
      <c r="C1135" s="59">
        <v>50509889</v>
      </c>
      <c r="D1135" s="55" t="s">
        <v>671</v>
      </c>
      <c r="E1135" s="67">
        <v>264000</v>
      </c>
      <c r="F1135" s="67">
        <v>6</v>
      </c>
      <c r="G1135" s="102">
        <v>1662000</v>
      </c>
      <c r="H1135" s="56" t="s">
        <v>92</v>
      </c>
      <c r="I1135" s="106"/>
      <c r="K1135" s="56">
        <v>343</v>
      </c>
      <c r="L1135" s="55" t="s">
        <v>176</v>
      </c>
      <c r="M1135" s="55" t="s">
        <v>2824</v>
      </c>
      <c r="N1135" s="4" t="s">
        <v>177</v>
      </c>
      <c r="O1135" s="55" t="s">
        <v>178</v>
      </c>
    </row>
    <row r="1136" spans="2:15">
      <c r="B1136" s="20">
        <v>44971</v>
      </c>
      <c r="C1136" s="59">
        <v>50144376</v>
      </c>
      <c r="D1136" s="55" t="s">
        <v>19</v>
      </c>
      <c r="E1136" s="67">
        <v>500</v>
      </c>
      <c r="F1136" s="67">
        <v>4</v>
      </c>
      <c r="G1136" s="102">
        <v>2000</v>
      </c>
      <c r="H1136" s="56" t="s">
        <v>92</v>
      </c>
      <c r="I1136" s="106"/>
      <c r="K1136" s="56">
        <v>343</v>
      </c>
      <c r="L1136" s="55" t="s">
        <v>176</v>
      </c>
      <c r="M1136" s="55" t="s">
        <v>2824</v>
      </c>
      <c r="N1136" s="4" t="s">
        <v>177</v>
      </c>
      <c r="O1136" s="55" t="s">
        <v>178</v>
      </c>
    </row>
    <row r="1137" spans="2:15">
      <c r="B1137" s="20">
        <v>44971</v>
      </c>
      <c r="C1137" s="59">
        <v>50272278</v>
      </c>
      <c r="D1137" s="55" t="s">
        <v>21</v>
      </c>
      <c r="E1137" s="67">
        <v>500</v>
      </c>
      <c r="F1137" s="67">
        <v>1</v>
      </c>
      <c r="G1137" s="102">
        <v>1000</v>
      </c>
      <c r="H1137" s="56" t="s">
        <v>92</v>
      </c>
      <c r="I1137" s="106"/>
      <c r="K1137" s="56">
        <v>343</v>
      </c>
      <c r="L1137" s="55" t="s">
        <v>176</v>
      </c>
      <c r="M1137" s="55" t="s">
        <v>2824</v>
      </c>
      <c r="N1137" s="4" t="s">
        <v>177</v>
      </c>
      <c r="O1137" s="55" t="s">
        <v>178</v>
      </c>
    </row>
    <row r="1138" spans="2:15">
      <c r="B1138" s="20">
        <v>44973</v>
      </c>
      <c r="C1138" s="59">
        <v>50144376</v>
      </c>
      <c r="D1138" s="55" t="s">
        <v>19</v>
      </c>
      <c r="E1138" s="67">
        <v>500</v>
      </c>
      <c r="F1138" s="67">
        <v>4</v>
      </c>
      <c r="G1138" s="102">
        <v>2000</v>
      </c>
      <c r="H1138" s="56" t="s">
        <v>92</v>
      </c>
      <c r="I1138" s="106"/>
      <c r="K1138" s="56">
        <v>344</v>
      </c>
      <c r="L1138" s="55" t="s">
        <v>176</v>
      </c>
      <c r="M1138" s="55" t="s">
        <v>2824</v>
      </c>
      <c r="N1138" s="4" t="s">
        <v>193</v>
      </c>
      <c r="O1138" s="55" t="s">
        <v>178</v>
      </c>
    </row>
    <row r="1139" spans="2:15">
      <c r="B1139" s="20">
        <v>44973</v>
      </c>
      <c r="C1139" s="59">
        <v>50534881</v>
      </c>
      <c r="D1139" s="55" t="s">
        <v>227</v>
      </c>
      <c r="E1139" s="67">
        <v>9000</v>
      </c>
      <c r="F1139" s="67">
        <v>18</v>
      </c>
      <c r="G1139" s="102">
        <v>162000</v>
      </c>
      <c r="H1139" s="56" t="s">
        <v>92</v>
      </c>
      <c r="I1139" s="106"/>
      <c r="K1139" s="56">
        <v>344</v>
      </c>
      <c r="L1139" s="55" t="s">
        <v>176</v>
      </c>
      <c r="M1139" s="55" t="s">
        <v>2824</v>
      </c>
      <c r="N1139" s="4" t="s">
        <v>193</v>
      </c>
      <c r="O1139" s="55" t="s">
        <v>178</v>
      </c>
    </row>
    <row r="1140" spans="2:15">
      <c r="B1140" s="20">
        <v>44974</v>
      </c>
      <c r="C1140" s="59">
        <v>50144376</v>
      </c>
      <c r="D1140" s="55" t="s">
        <v>19</v>
      </c>
      <c r="E1140" s="67">
        <v>500</v>
      </c>
      <c r="F1140" s="67">
        <v>5</v>
      </c>
      <c r="G1140" s="102">
        <v>2500</v>
      </c>
      <c r="H1140" s="56" t="s">
        <v>92</v>
      </c>
      <c r="I1140" s="106"/>
      <c r="K1140" s="56">
        <v>345</v>
      </c>
      <c r="L1140" s="55" t="s">
        <v>176</v>
      </c>
      <c r="M1140" s="55" t="s">
        <v>2824</v>
      </c>
      <c r="N1140" s="4" t="s">
        <v>177</v>
      </c>
      <c r="O1140" s="55" t="s">
        <v>178</v>
      </c>
    </row>
    <row r="1141" spans="2:15">
      <c r="B1141" s="20">
        <v>44974</v>
      </c>
      <c r="C1141" s="59">
        <v>50010080</v>
      </c>
      <c r="D1141" s="55" t="s">
        <v>354</v>
      </c>
      <c r="E1141" s="67">
        <v>1000</v>
      </c>
      <c r="F1141" s="67">
        <v>3</v>
      </c>
      <c r="G1141" s="102">
        <v>3000</v>
      </c>
      <c r="H1141" s="56" t="s">
        <v>82</v>
      </c>
      <c r="I1141" s="106"/>
      <c r="K1141" s="56">
        <v>345</v>
      </c>
      <c r="L1141" s="55" t="s">
        <v>176</v>
      </c>
      <c r="M1141" s="55" t="s">
        <v>2824</v>
      </c>
      <c r="N1141" s="4" t="s">
        <v>177</v>
      </c>
      <c r="O1141" s="55" t="s">
        <v>178</v>
      </c>
    </row>
    <row r="1142" spans="2:15">
      <c r="B1142" s="20">
        <v>44974</v>
      </c>
      <c r="C1142" s="59">
        <v>50486294</v>
      </c>
      <c r="D1142" s="55" t="s">
        <v>752</v>
      </c>
      <c r="E1142" s="67">
        <v>534</v>
      </c>
      <c r="F1142" s="67">
        <v>2</v>
      </c>
      <c r="G1142" s="102">
        <v>1043.35</v>
      </c>
      <c r="H1142" s="56" t="s">
        <v>82</v>
      </c>
      <c r="I1142" s="106"/>
      <c r="K1142" s="56">
        <v>345</v>
      </c>
      <c r="L1142" s="55" t="s">
        <v>176</v>
      </c>
      <c r="M1142" s="55" t="s">
        <v>2824</v>
      </c>
      <c r="N1142" s="4" t="s">
        <v>177</v>
      </c>
      <c r="O1142" s="55" t="s">
        <v>178</v>
      </c>
    </row>
    <row r="1143" spans="2:15">
      <c r="B1143" s="20">
        <v>44974</v>
      </c>
      <c r="C1143" s="59">
        <v>50142327</v>
      </c>
      <c r="D1143" s="55" t="s">
        <v>256</v>
      </c>
      <c r="E1143" s="67">
        <v>681</v>
      </c>
      <c r="F1143" s="67">
        <v>1</v>
      </c>
      <c r="G1143" s="102">
        <v>681</v>
      </c>
      <c r="H1143" s="56" t="s">
        <v>82</v>
      </c>
      <c r="I1143" s="106"/>
      <c r="K1143" s="56">
        <v>345</v>
      </c>
      <c r="L1143" s="55" t="s">
        <v>176</v>
      </c>
      <c r="M1143" s="55" t="s">
        <v>2824</v>
      </c>
      <c r="N1143" s="4" t="s">
        <v>177</v>
      </c>
      <c r="O1143" s="55" t="s">
        <v>178</v>
      </c>
    </row>
    <row r="1144" spans="2:15">
      <c r="B1144" s="20">
        <v>44974</v>
      </c>
      <c r="C1144" s="59">
        <v>50272278</v>
      </c>
      <c r="D1144" s="55" t="s">
        <v>21</v>
      </c>
      <c r="E1144" s="67">
        <v>2500</v>
      </c>
      <c r="F1144" s="67">
        <v>5</v>
      </c>
      <c r="G1144" s="102">
        <v>2500</v>
      </c>
      <c r="H1144" s="56" t="s">
        <v>92</v>
      </c>
      <c r="I1144" s="106"/>
      <c r="K1144" s="56">
        <v>345</v>
      </c>
      <c r="L1144" s="55" t="s">
        <v>176</v>
      </c>
      <c r="M1144" s="55" t="s">
        <v>2824</v>
      </c>
      <c r="N1144" s="4" t="s">
        <v>177</v>
      </c>
      <c r="O1144" s="55" t="s">
        <v>178</v>
      </c>
    </row>
    <row r="1145" spans="2:15">
      <c r="B1145" s="20">
        <v>44974</v>
      </c>
      <c r="C1145" s="59">
        <v>50142334</v>
      </c>
      <c r="D1145" s="55" t="s">
        <v>257</v>
      </c>
      <c r="E1145" s="67">
        <v>1362</v>
      </c>
      <c r="F1145" s="67">
        <v>2</v>
      </c>
      <c r="G1145" s="102">
        <v>1362</v>
      </c>
      <c r="H1145" s="56" t="s">
        <v>82</v>
      </c>
      <c r="I1145" s="106"/>
      <c r="K1145" s="56">
        <v>345</v>
      </c>
      <c r="L1145" s="55" t="s">
        <v>176</v>
      </c>
      <c r="M1145" s="55" t="s">
        <v>2824</v>
      </c>
      <c r="N1145" s="4" t="s">
        <v>177</v>
      </c>
      <c r="O1145" s="55" t="s">
        <v>178</v>
      </c>
    </row>
    <row r="1146" spans="2:15">
      <c r="B1146" s="20">
        <v>44977</v>
      </c>
      <c r="C1146" s="59">
        <v>50142055</v>
      </c>
      <c r="D1146" s="55" t="s">
        <v>206</v>
      </c>
      <c r="E1146" s="67">
        <v>600</v>
      </c>
      <c r="F1146" s="67">
        <v>6</v>
      </c>
      <c r="G1146" s="102">
        <v>3600</v>
      </c>
      <c r="H1146" s="56" t="s">
        <v>82</v>
      </c>
      <c r="I1146" s="106"/>
      <c r="K1146" s="56">
        <v>346</v>
      </c>
      <c r="L1146" s="55" t="s">
        <v>176</v>
      </c>
      <c r="M1146" s="55" t="s">
        <v>2824</v>
      </c>
      <c r="N1146" s="4" t="s">
        <v>177</v>
      </c>
      <c r="O1146" s="55" t="s">
        <v>178</v>
      </c>
    </row>
    <row r="1147" spans="2:15">
      <c r="B1147" s="20">
        <v>44977</v>
      </c>
      <c r="C1147" s="59">
        <v>40011080</v>
      </c>
      <c r="D1147" s="55" t="s">
        <v>420</v>
      </c>
      <c r="E1147" s="67">
        <v>450</v>
      </c>
      <c r="F1147" s="67">
        <v>6</v>
      </c>
      <c r="G1147" s="102">
        <v>2700</v>
      </c>
      <c r="H1147" s="56" t="s">
        <v>80</v>
      </c>
      <c r="I1147" s="106"/>
      <c r="K1147" s="56">
        <v>346</v>
      </c>
      <c r="L1147" s="55" t="s">
        <v>176</v>
      </c>
      <c r="M1147" s="55" t="s">
        <v>2824</v>
      </c>
      <c r="N1147" s="4" t="s">
        <v>177</v>
      </c>
      <c r="O1147" s="55" t="s">
        <v>178</v>
      </c>
    </row>
    <row r="1148" spans="2:15">
      <c r="B1148" s="20">
        <v>44977</v>
      </c>
      <c r="C1148" s="59">
        <v>50142237</v>
      </c>
      <c r="D1148" s="55" t="s">
        <v>617</v>
      </c>
      <c r="E1148" s="67">
        <v>1000</v>
      </c>
      <c r="F1148" s="67">
        <v>5</v>
      </c>
      <c r="G1148" s="102">
        <v>5000</v>
      </c>
      <c r="H1148" s="56" t="s">
        <v>92</v>
      </c>
      <c r="I1148" s="106"/>
      <c r="K1148" s="56">
        <v>346</v>
      </c>
      <c r="L1148" s="55" t="s">
        <v>176</v>
      </c>
      <c r="M1148" s="55" t="s">
        <v>2824</v>
      </c>
      <c r="N1148" s="4" t="s">
        <v>177</v>
      </c>
      <c r="O1148" s="55" t="s">
        <v>178</v>
      </c>
    </row>
    <row r="1149" spans="2:15">
      <c r="B1149" s="20">
        <v>44977</v>
      </c>
      <c r="C1149" s="59">
        <v>50272278</v>
      </c>
      <c r="D1149" s="55" t="s">
        <v>21</v>
      </c>
      <c r="E1149" s="67">
        <v>500</v>
      </c>
      <c r="F1149" s="67">
        <v>6</v>
      </c>
      <c r="G1149" s="102">
        <v>3000</v>
      </c>
      <c r="H1149" s="56" t="s">
        <v>92</v>
      </c>
      <c r="I1149" s="106"/>
      <c r="K1149" s="56">
        <v>346</v>
      </c>
      <c r="L1149" s="55" t="s">
        <v>176</v>
      </c>
      <c r="M1149" s="55" t="s">
        <v>2824</v>
      </c>
      <c r="N1149" s="4" t="s">
        <v>177</v>
      </c>
      <c r="O1149" s="55" t="s">
        <v>178</v>
      </c>
    </row>
    <row r="1150" spans="2:15">
      <c r="B1150" s="20">
        <v>44977</v>
      </c>
      <c r="C1150" s="59">
        <v>50145028</v>
      </c>
      <c r="D1150" s="55" t="s">
        <v>23</v>
      </c>
      <c r="E1150" s="67">
        <v>192</v>
      </c>
      <c r="F1150" s="67">
        <v>1</v>
      </c>
      <c r="G1150" s="102">
        <v>192</v>
      </c>
      <c r="H1150" s="56" t="s">
        <v>92</v>
      </c>
      <c r="I1150" s="106"/>
      <c r="K1150" s="56">
        <v>346</v>
      </c>
      <c r="L1150" s="55" t="s">
        <v>176</v>
      </c>
      <c r="M1150" s="55" t="s">
        <v>2824</v>
      </c>
      <c r="N1150" s="4" t="s">
        <v>177</v>
      </c>
      <c r="O1150" s="55" t="s">
        <v>178</v>
      </c>
    </row>
    <row r="1151" spans="2:15">
      <c r="B1151" s="20">
        <v>44977</v>
      </c>
      <c r="C1151" s="59">
        <v>50142631</v>
      </c>
      <c r="D1151" s="55" t="s">
        <v>566</v>
      </c>
      <c r="E1151" s="67">
        <v>500</v>
      </c>
      <c r="F1151" s="67">
        <v>1</v>
      </c>
      <c r="G1151" s="102">
        <v>500</v>
      </c>
      <c r="H1151" s="56" t="s">
        <v>82</v>
      </c>
      <c r="I1151" s="106"/>
      <c r="K1151" s="56">
        <v>346</v>
      </c>
      <c r="L1151" s="55" t="s">
        <v>176</v>
      </c>
      <c r="M1151" s="55" t="s">
        <v>2824</v>
      </c>
      <c r="N1151" s="4" t="s">
        <v>177</v>
      </c>
      <c r="O1151" s="55" t="s">
        <v>178</v>
      </c>
    </row>
    <row r="1152" spans="2:15">
      <c r="B1152" s="20">
        <v>44977</v>
      </c>
      <c r="C1152" s="59">
        <v>40011081</v>
      </c>
      <c r="D1152" s="55" t="s">
        <v>646</v>
      </c>
      <c r="E1152" s="67">
        <v>360</v>
      </c>
      <c r="F1152" s="67">
        <v>3</v>
      </c>
      <c r="G1152" s="102">
        <v>1440</v>
      </c>
      <c r="H1152" s="56" t="s">
        <v>80</v>
      </c>
      <c r="I1152" s="106"/>
      <c r="K1152" s="56">
        <v>347</v>
      </c>
      <c r="L1152" s="55" t="s">
        <v>176</v>
      </c>
      <c r="M1152" s="55" t="s">
        <v>2824</v>
      </c>
      <c r="N1152" s="4" t="s">
        <v>177</v>
      </c>
      <c r="O1152" s="55" t="s">
        <v>178</v>
      </c>
    </row>
    <row r="1153" spans="2:15">
      <c r="B1153" s="20">
        <v>44977</v>
      </c>
      <c r="C1153" s="59">
        <v>50509889</v>
      </c>
      <c r="D1153" s="55" t="s">
        <v>671</v>
      </c>
      <c r="E1153" s="67">
        <v>264000</v>
      </c>
      <c r="F1153" s="67">
        <v>8</v>
      </c>
      <c r="G1153" s="102">
        <v>2112000</v>
      </c>
      <c r="H1153" s="56" t="s">
        <v>92</v>
      </c>
      <c r="I1153" s="106"/>
      <c r="K1153" s="56">
        <v>347</v>
      </c>
      <c r="L1153" s="55" t="s">
        <v>176</v>
      </c>
      <c r="M1153" s="55" t="s">
        <v>2824</v>
      </c>
      <c r="N1153" s="4" t="s">
        <v>177</v>
      </c>
      <c r="O1153" s="55" t="s">
        <v>178</v>
      </c>
    </row>
    <row r="1154" spans="2:15">
      <c r="B1154" s="20">
        <v>44977</v>
      </c>
      <c r="C1154" s="59">
        <v>50522169</v>
      </c>
      <c r="D1154" s="55" t="s">
        <v>250</v>
      </c>
      <c r="E1154" s="67">
        <v>546</v>
      </c>
      <c r="F1154" s="67">
        <v>4</v>
      </c>
      <c r="G1154" s="102">
        <v>2144.65</v>
      </c>
      <c r="H1154" s="56" t="s">
        <v>82</v>
      </c>
      <c r="I1154" s="106"/>
      <c r="K1154" s="56">
        <v>347</v>
      </c>
      <c r="L1154" s="55" t="s">
        <v>176</v>
      </c>
      <c r="M1154" s="55" t="s">
        <v>2824</v>
      </c>
      <c r="N1154" s="4" t="s">
        <v>177</v>
      </c>
      <c r="O1154" s="55" t="s">
        <v>178</v>
      </c>
    </row>
    <row r="1155" spans="2:15">
      <c r="B1155" s="20">
        <v>44977</v>
      </c>
      <c r="C1155" s="59">
        <v>50272278</v>
      </c>
      <c r="D1155" s="55" t="s">
        <v>21</v>
      </c>
      <c r="E1155" s="67">
        <v>500</v>
      </c>
      <c r="F1155" s="67">
        <v>6</v>
      </c>
      <c r="G1155" s="102">
        <v>3000</v>
      </c>
      <c r="H1155" s="56" t="s">
        <v>92</v>
      </c>
      <c r="I1155" s="106"/>
      <c r="K1155" s="56">
        <v>347</v>
      </c>
      <c r="L1155" s="55" t="s">
        <v>176</v>
      </c>
      <c r="M1155" s="55" t="s">
        <v>2824</v>
      </c>
      <c r="N1155" s="4" t="s">
        <v>177</v>
      </c>
      <c r="O1155" s="55" t="s">
        <v>178</v>
      </c>
    </row>
    <row r="1156" spans="2:15">
      <c r="B1156" s="20">
        <v>44978</v>
      </c>
      <c r="C1156" s="59">
        <v>50010080</v>
      </c>
      <c r="D1156" s="55" t="s">
        <v>354</v>
      </c>
      <c r="E1156" s="67">
        <v>1000</v>
      </c>
      <c r="F1156" s="67">
        <v>4</v>
      </c>
      <c r="G1156" s="102">
        <v>4000</v>
      </c>
      <c r="H1156" s="56" t="s">
        <v>82</v>
      </c>
      <c r="I1156" s="106"/>
      <c r="K1156" s="56">
        <v>348</v>
      </c>
      <c r="L1156" s="55" t="s">
        <v>176</v>
      </c>
      <c r="M1156" s="55" t="s">
        <v>2824</v>
      </c>
      <c r="N1156" s="4" t="s">
        <v>177</v>
      </c>
      <c r="O1156" s="55" t="s">
        <v>178</v>
      </c>
    </row>
    <row r="1157" spans="2:15">
      <c r="B1157" s="20">
        <v>44978</v>
      </c>
      <c r="C1157" s="59">
        <v>50142327</v>
      </c>
      <c r="D1157" s="55" t="s">
        <v>256</v>
      </c>
      <c r="E1157" s="67">
        <v>681</v>
      </c>
      <c r="F1157" s="67">
        <v>3</v>
      </c>
      <c r="G1157" s="102">
        <v>2043</v>
      </c>
      <c r="H1157" s="56" t="s">
        <v>82</v>
      </c>
      <c r="I1157" s="106"/>
      <c r="K1157" s="56">
        <v>348</v>
      </c>
      <c r="L1157" s="55" t="s">
        <v>176</v>
      </c>
      <c r="M1157" s="55" t="s">
        <v>2824</v>
      </c>
      <c r="N1157" s="4" t="s">
        <v>177</v>
      </c>
      <c r="O1157" s="55" t="s">
        <v>178</v>
      </c>
    </row>
    <row r="1158" spans="2:15">
      <c r="B1158" s="20">
        <v>44978</v>
      </c>
      <c r="C1158" s="59">
        <v>50522169</v>
      </c>
      <c r="D1158" s="55" t="s">
        <v>250</v>
      </c>
      <c r="E1158" s="67">
        <v>546</v>
      </c>
      <c r="F1158" s="67">
        <v>3</v>
      </c>
      <c r="G1158" s="102">
        <v>1448.6</v>
      </c>
      <c r="H1158" s="56" t="s">
        <v>82</v>
      </c>
      <c r="I1158" s="106"/>
      <c r="K1158" s="56">
        <v>348</v>
      </c>
      <c r="L1158" s="55" t="s">
        <v>176</v>
      </c>
      <c r="M1158" s="55" t="s">
        <v>2824</v>
      </c>
      <c r="N1158" s="4" t="s">
        <v>177</v>
      </c>
      <c r="O1158" s="55" t="s">
        <v>178</v>
      </c>
    </row>
    <row r="1159" spans="2:15">
      <c r="B1159" s="20">
        <v>44978</v>
      </c>
      <c r="C1159" s="59">
        <v>50272278</v>
      </c>
      <c r="D1159" s="55" t="s">
        <v>21</v>
      </c>
      <c r="E1159" s="67">
        <v>500</v>
      </c>
      <c r="F1159" s="67">
        <v>4</v>
      </c>
      <c r="G1159" s="102">
        <v>2000</v>
      </c>
      <c r="H1159" s="56" t="s">
        <v>92</v>
      </c>
      <c r="I1159" s="106"/>
      <c r="K1159" s="56">
        <v>348</v>
      </c>
      <c r="L1159" s="55" t="s">
        <v>176</v>
      </c>
      <c r="M1159" s="55" t="s">
        <v>2824</v>
      </c>
      <c r="N1159" s="4" t="s">
        <v>177</v>
      </c>
      <c r="O1159" s="55" t="s">
        <v>178</v>
      </c>
    </row>
    <row r="1160" spans="2:15">
      <c r="B1160" s="20">
        <v>44978</v>
      </c>
      <c r="C1160" s="59">
        <v>50142334</v>
      </c>
      <c r="D1160" s="55" t="s">
        <v>257</v>
      </c>
      <c r="E1160" s="67">
        <v>681</v>
      </c>
      <c r="F1160" s="67">
        <v>3</v>
      </c>
      <c r="G1160" s="102">
        <v>2043</v>
      </c>
      <c r="H1160" s="56" t="s">
        <v>82</v>
      </c>
      <c r="I1160" s="106"/>
      <c r="K1160" s="56">
        <v>348</v>
      </c>
      <c r="L1160" s="55" t="s">
        <v>176</v>
      </c>
      <c r="M1160" s="55" t="s">
        <v>2824</v>
      </c>
      <c r="N1160" s="4" t="s">
        <v>177</v>
      </c>
      <c r="O1160" s="55" t="s">
        <v>178</v>
      </c>
    </row>
    <row r="1161" spans="2:15">
      <c r="B1161" s="20">
        <v>44978</v>
      </c>
      <c r="C1161" s="59">
        <v>50802525</v>
      </c>
      <c r="D1161" s="55" t="s">
        <v>801</v>
      </c>
      <c r="E1161" s="67">
        <v>148000</v>
      </c>
      <c r="F1161" s="67">
        <v>10</v>
      </c>
      <c r="G1161" s="102">
        <v>148000</v>
      </c>
      <c r="H1161" s="56" t="s">
        <v>92</v>
      </c>
      <c r="I1161" s="106"/>
      <c r="K1161" s="56">
        <v>348</v>
      </c>
      <c r="L1161" s="55" t="s">
        <v>176</v>
      </c>
      <c r="M1161" s="55" t="s">
        <v>2824</v>
      </c>
      <c r="N1161" s="4" t="s">
        <v>177</v>
      </c>
      <c r="O1161" s="55" t="s">
        <v>178</v>
      </c>
    </row>
    <row r="1162" spans="2:15">
      <c r="B1162" s="20">
        <v>44978</v>
      </c>
      <c r="C1162" s="59">
        <v>50802526</v>
      </c>
      <c r="D1162" s="55" t="s">
        <v>804</v>
      </c>
      <c r="E1162" s="67">
        <v>148000</v>
      </c>
      <c r="F1162" s="67">
        <v>1</v>
      </c>
      <c r="G1162" s="102">
        <v>148000</v>
      </c>
      <c r="H1162" s="56" t="s">
        <v>92</v>
      </c>
      <c r="I1162" s="106"/>
      <c r="K1162" s="56">
        <v>348</v>
      </c>
      <c r="L1162" s="55" t="s">
        <v>176</v>
      </c>
      <c r="M1162" s="55" t="s">
        <v>2824</v>
      </c>
      <c r="N1162" s="4" t="s">
        <v>177</v>
      </c>
      <c r="O1162" s="55" t="s">
        <v>178</v>
      </c>
    </row>
    <row r="1163" spans="2:15">
      <c r="B1163" s="20">
        <v>44978</v>
      </c>
      <c r="C1163" s="59">
        <v>50802527</v>
      </c>
      <c r="D1163" s="55" t="s">
        <v>805</v>
      </c>
      <c r="E1163" s="67">
        <v>148000</v>
      </c>
      <c r="F1163" s="67">
        <v>1</v>
      </c>
      <c r="G1163" s="102">
        <v>148000</v>
      </c>
      <c r="H1163" s="56" t="s">
        <v>92</v>
      </c>
      <c r="I1163" s="106"/>
      <c r="K1163" s="56">
        <v>348</v>
      </c>
      <c r="L1163" s="55" t="s">
        <v>176</v>
      </c>
      <c r="M1163" s="55" t="s">
        <v>2824</v>
      </c>
      <c r="N1163" s="4" t="s">
        <v>177</v>
      </c>
      <c r="O1163" s="55" t="s">
        <v>178</v>
      </c>
    </row>
    <row r="1164" spans="2:15">
      <c r="B1164" s="20">
        <v>44979</v>
      </c>
      <c r="C1164" s="59">
        <v>50470190</v>
      </c>
      <c r="D1164" s="55" t="s">
        <v>12</v>
      </c>
      <c r="E1164" s="67">
        <v>289800</v>
      </c>
      <c r="F1164" s="67">
        <v>16</v>
      </c>
      <c r="G1164" s="102">
        <v>4636800</v>
      </c>
      <c r="H1164" s="56" t="s">
        <v>92</v>
      </c>
      <c r="I1164" s="106"/>
      <c r="K1164" s="56">
        <v>349</v>
      </c>
      <c r="L1164" s="55" t="s">
        <v>176</v>
      </c>
      <c r="M1164" s="55" t="s">
        <v>2824</v>
      </c>
      <c r="N1164" s="4" t="s">
        <v>177</v>
      </c>
      <c r="O1164" s="55" t="s">
        <v>178</v>
      </c>
    </row>
    <row r="1165" spans="2:15">
      <c r="B1165" s="20">
        <v>44979</v>
      </c>
      <c r="C1165" s="59">
        <v>50142330</v>
      </c>
      <c r="D1165" s="55" t="s">
        <v>195</v>
      </c>
      <c r="E1165" s="67">
        <v>370.25</v>
      </c>
      <c r="F1165" s="67">
        <v>6</v>
      </c>
      <c r="G1165" s="102">
        <v>718.56</v>
      </c>
      <c r="H1165" s="56" t="s">
        <v>82</v>
      </c>
      <c r="I1165" s="106"/>
      <c r="K1165" s="56">
        <v>350</v>
      </c>
      <c r="L1165" s="55" t="s">
        <v>176</v>
      </c>
      <c r="M1165" s="55" t="s">
        <v>2824</v>
      </c>
      <c r="N1165" s="4" t="s">
        <v>177</v>
      </c>
      <c r="O1165" s="55" t="s">
        <v>178</v>
      </c>
    </row>
    <row r="1166" spans="2:15">
      <c r="B1166" s="20">
        <v>44979</v>
      </c>
      <c r="C1166" s="59">
        <v>50142055</v>
      </c>
      <c r="D1166" s="55" t="s">
        <v>206</v>
      </c>
      <c r="E1166" s="67">
        <v>600</v>
      </c>
      <c r="F1166" s="67">
        <v>3</v>
      </c>
      <c r="G1166" s="102">
        <v>1800</v>
      </c>
      <c r="H1166" s="56" t="s">
        <v>82</v>
      </c>
      <c r="I1166" s="106"/>
      <c r="K1166" s="56">
        <v>350</v>
      </c>
      <c r="L1166" s="55" t="s">
        <v>176</v>
      </c>
      <c r="M1166" s="55" t="s">
        <v>2824</v>
      </c>
      <c r="N1166" s="4" t="s">
        <v>177</v>
      </c>
      <c r="O1166" s="55" t="s">
        <v>178</v>
      </c>
    </row>
    <row r="1167" spans="2:15">
      <c r="B1167" s="20">
        <v>44979</v>
      </c>
      <c r="C1167" s="59">
        <v>50141786</v>
      </c>
      <c r="D1167" s="55" t="s">
        <v>188</v>
      </c>
      <c r="E1167" s="67">
        <v>560</v>
      </c>
      <c r="F1167" s="67">
        <v>15</v>
      </c>
      <c r="G1167" s="102">
        <v>8400</v>
      </c>
      <c r="H1167" s="56" t="s">
        <v>82</v>
      </c>
      <c r="I1167" s="106"/>
      <c r="K1167" s="56">
        <v>350</v>
      </c>
      <c r="L1167" s="55" t="s">
        <v>176</v>
      </c>
      <c r="M1167" s="55" t="s">
        <v>2824</v>
      </c>
      <c r="N1167" s="4" t="s">
        <v>177</v>
      </c>
      <c r="O1167" s="55" t="s">
        <v>178</v>
      </c>
    </row>
    <row r="1168" spans="2:15">
      <c r="B1168" s="20">
        <v>44979</v>
      </c>
      <c r="C1168" s="59">
        <v>50144376</v>
      </c>
      <c r="D1168" s="55" t="s">
        <v>19</v>
      </c>
      <c r="E1168" s="67">
        <v>500</v>
      </c>
      <c r="F1168" s="67">
        <v>10</v>
      </c>
      <c r="G1168" s="102">
        <v>5000</v>
      </c>
      <c r="H1168" s="56" t="s">
        <v>92</v>
      </c>
      <c r="I1168" s="106"/>
      <c r="K1168" s="56">
        <v>351</v>
      </c>
      <c r="L1168" s="55" t="s">
        <v>176</v>
      </c>
      <c r="M1168" s="55" t="s">
        <v>2824</v>
      </c>
      <c r="N1168" s="4" t="s">
        <v>177</v>
      </c>
      <c r="O1168" s="55" t="s">
        <v>178</v>
      </c>
    </row>
    <row r="1169" spans="2:15">
      <c r="B1169" s="20">
        <v>44979</v>
      </c>
      <c r="C1169" s="59">
        <v>50272278</v>
      </c>
      <c r="D1169" s="55" t="s">
        <v>21</v>
      </c>
      <c r="E1169" s="67">
        <v>500</v>
      </c>
      <c r="F1169" s="67">
        <v>10</v>
      </c>
      <c r="G1169" s="102">
        <v>5000</v>
      </c>
      <c r="H1169" s="56" t="s">
        <v>92</v>
      </c>
      <c r="I1169" s="106"/>
      <c r="K1169" s="56">
        <v>351</v>
      </c>
      <c r="L1169" s="55" t="s">
        <v>176</v>
      </c>
      <c r="M1169" s="55" t="s">
        <v>2824</v>
      </c>
      <c r="N1169" s="4" t="s">
        <v>177</v>
      </c>
      <c r="O1169" s="55" t="s">
        <v>178</v>
      </c>
    </row>
    <row r="1170" spans="2:15">
      <c r="B1170" s="20">
        <v>44980</v>
      </c>
      <c r="C1170" s="59">
        <v>50522169</v>
      </c>
      <c r="D1170" s="55" t="s">
        <v>250</v>
      </c>
      <c r="E1170" s="67">
        <v>547.3</v>
      </c>
      <c r="F1170" s="67">
        <v>1</v>
      </c>
      <c r="G1170" s="102">
        <v>547.3</v>
      </c>
      <c r="H1170" s="56" t="s">
        <v>82</v>
      </c>
      <c r="I1170" s="106"/>
      <c r="K1170" s="56">
        <v>352</v>
      </c>
      <c r="L1170" s="55" t="s">
        <v>176</v>
      </c>
      <c r="M1170" s="55" t="s">
        <v>2824</v>
      </c>
      <c r="N1170" s="4" t="s">
        <v>177</v>
      </c>
      <c r="O1170" s="55" t="s">
        <v>178</v>
      </c>
    </row>
    <row r="1171" spans="2:15">
      <c r="B1171" s="20">
        <v>44980</v>
      </c>
      <c r="C1171" s="59">
        <v>50272278</v>
      </c>
      <c r="D1171" s="55" t="s">
        <v>21</v>
      </c>
      <c r="E1171" s="67">
        <v>500</v>
      </c>
      <c r="F1171" s="67">
        <v>1</v>
      </c>
      <c r="G1171" s="102">
        <v>500</v>
      </c>
      <c r="H1171" s="56" t="s">
        <v>92</v>
      </c>
      <c r="I1171" s="106"/>
      <c r="K1171" s="56">
        <v>352</v>
      </c>
      <c r="L1171" s="55" t="s">
        <v>176</v>
      </c>
      <c r="M1171" s="55" t="s">
        <v>2824</v>
      </c>
      <c r="N1171" s="4" t="s">
        <v>177</v>
      </c>
      <c r="O1171" s="55" t="s">
        <v>178</v>
      </c>
    </row>
    <row r="1172" spans="2:15">
      <c r="B1172" s="20">
        <v>44980</v>
      </c>
      <c r="C1172" s="59">
        <v>50369034</v>
      </c>
      <c r="D1172" s="55" t="s">
        <v>322</v>
      </c>
      <c r="E1172" s="67">
        <v>578</v>
      </c>
      <c r="F1172" s="67">
        <v>4</v>
      </c>
      <c r="G1172" s="102">
        <v>2099.6</v>
      </c>
      <c r="H1172" s="56" t="s">
        <v>82</v>
      </c>
      <c r="I1172" s="106"/>
      <c r="K1172" s="56">
        <v>352</v>
      </c>
      <c r="L1172" s="55" t="s">
        <v>176</v>
      </c>
      <c r="M1172" s="55" t="s">
        <v>2824</v>
      </c>
      <c r="N1172" s="4" t="s">
        <v>177</v>
      </c>
      <c r="O1172" s="55" t="s">
        <v>178</v>
      </c>
    </row>
    <row r="1173" spans="2:15">
      <c r="B1173" s="20">
        <v>44980</v>
      </c>
      <c r="C1173" s="59">
        <v>50470190</v>
      </c>
      <c r="D1173" s="55" t="s">
        <v>12</v>
      </c>
      <c r="E1173" s="67">
        <v>289800</v>
      </c>
      <c r="F1173" s="67">
        <v>5</v>
      </c>
      <c r="G1173" s="102">
        <v>1449000</v>
      </c>
      <c r="H1173" s="56" t="s">
        <v>92</v>
      </c>
      <c r="I1173" s="106"/>
      <c r="K1173" s="56">
        <v>352</v>
      </c>
      <c r="L1173" s="55" t="s">
        <v>176</v>
      </c>
      <c r="M1173" s="55" t="s">
        <v>2824</v>
      </c>
      <c r="N1173" s="4" t="s">
        <v>177</v>
      </c>
      <c r="O1173" s="55" t="s">
        <v>178</v>
      </c>
    </row>
    <row r="1174" spans="2:15">
      <c r="B1174" s="20">
        <v>44980</v>
      </c>
      <c r="C1174" s="59">
        <v>40011148</v>
      </c>
      <c r="D1174" s="55" t="s">
        <v>86</v>
      </c>
      <c r="E1174" s="67">
        <v>450</v>
      </c>
      <c r="F1174" s="67">
        <v>3</v>
      </c>
      <c r="G1174" s="102">
        <v>1350</v>
      </c>
      <c r="H1174" s="56" t="s">
        <v>80</v>
      </c>
      <c r="I1174" s="106"/>
      <c r="K1174" s="56">
        <v>352</v>
      </c>
      <c r="L1174" s="55" t="s">
        <v>176</v>
      </c>
      <c r="M1174" s="55" t="s">
        <v>2824</v>
      </c>
      <c r="N1174" s="4" t="s">
        <v>177</v>
      </c>
      <c r="O1174" s="55" t="s">
        <v>178</v>
      </c>
    </row>
    <row r="1175" spans="2:15">
      <c r="B1175" s="20">
        <v>44980</v>
      </c>
      <c r="C1175" s="59">
        <v>40011080</v>
      </c>
      <c r="D1175" s="55" t="s">
        <v>420</v>
      </c>
      <c r="E1175" s="67">
        <v>450</v>
      </c>
      <c r="F1175" s="67">
        <v>5</v>
      </c>
      <c r="G1175" s="102">
        <v>2250</v>
      </c>
      <c r="H1175" s="56" t="s">
        <v>80</v>
      </c>
      <c r="I1175" s="106"/>
      <c r="K1175" s="56">
        <v>352</v>
      </c>
      <c r="L1175" s="55" t="s">
        <v>176</v>
      </c>
      <c r="M1175" s="55" t="s">
        <v>2824</v>
      </c>
      <c r="N1175" s="4" t="s">
        <v>177</v>
      </c>
      <c r="O1175" s="55" t="s">
        <v>178</v>
      </c>
    </row>
    <row r="1176" spans="2:15">
      <c r="B1176" s="20">
        <v>44981</v>
      </c>
      <c r="C1176" s="59">
        <v>50470190</v>
      </c>
      <c r="D1176" s="55" t="s">
        <v>12</v>
      </c>
      <c r="E1176" s="67">
        <v>289800</v>
      </c>
      <c r="F1176" s="67">
        <v>16</v>
      </c>
      <c r="G1176" s="102">
        <v>4636800</v>
      </c>
      <c r="H1176" s="56" t="s">
        <v>92</v>
      </c>
      <c r="I1176" s="106"/>
      <c r="K1176" s="56">
        <v>353</v>
      </c>
      <c r="L1176" s="55" t="s">
        <v>176</v>
      </c>
      <c r="M1176" s="55" t="s">
        <v>2824</v>
      </c>
      <c r="N1176" s="4" t="s">
        <v>177</v>
      </c>
      <c r="O1176" s="55" t="s">
        <v>178</v>
      </c>
    </row>
    <row r="1177" spans="2:15">
      <c r="B1177" s="20">
        <v>44981</v>
      </c>
      <c r="C1177" s="59">
        <v>50470190</v>
      </c>
      <c r="D1177" s="55" t="s">
        <v>12</v>
      </c>
      <c r="E1177" s="67">
        <v>289800</v>
      </c>
      <c r="F1177" s="67">
        <v>8</v>
      </c>
      <c r="G1177" s="102">
        <v>2318400</v>
      </c>
      <c r="H1177" s="56" t="s">
        <v>92</v>
      </c>
      <c r="I1177" s="106"/>
      <c r="K1177" s="56">
        <v>354</v>
      </c>
      <c r="L1177" s="55" t="s">
        <v>176</v>
      </c>
      <c r="M1177" s="55" t="s">
        <v>2824</v>
      </c>
      <c r="N1177" s="4" t="s">
        <v>177</v>
      </c>
      <c r="O1177" s="55" t="s">
        <v>178</v>
      </c>
    </row>
    <row r="1178" spans="2:15">
      <c r="B1178" s="20">
        <v>44981</v>
      </c>
      <c r="C1178" s="59">
        <v>50144376</v>
      </c>
      <c r="D1178" s="55" t="s">
        <v>19</v>
      </c>
      <c r="E1178" s="67">
        <v>500</v>
      </c>
      <c r="F1178" s="67">
        <v>10</v>
      </c>
      <c r="G1178" s="102">
        <v>5000</v>
      </c>
      <c r="H1178" s="56" t="s">
        <v>92</v>
      </c>
      <c r="I1178" s="106"/>
      <c r="K1178" s="56">
        <v>354</v>
      </c>
      <c r="L1178" s="55" t="s">
        <v>176</v>
      </c>
      <c r="M1178" s="55" t="s">
        <v>2824</v>
      </c>
      <c r="N1178" s="4" t="s">
        <v>177</v>
      </c>
      <c r="O1178" s="55" t="s">
        <v>178</v>
      </c>
    </row>
    <row r="1179" spans="2:15">
      <c r="B1179" s="20">
        <v>44981</v>
      </c>
      <c r="C1179" s="59">
        <v>50470190</v>
      </c>
      <c r="D1179" s="55" t="s">
        <v>12</v>
      </c>
      <c r="E1179" s="67">
        <v>289800</v>
      </c>
      <c r="F1179" s="67">
        <v>12</v>
      </c>
      <c r="G1179" s="102">
        <v>3477600</v>
      </c>
      <c r="H1179" s="56" t="s">
        <v>92</v>
      </c>
      <c r="I1179" s="106"/>
      <c r="K1179" s="56">
        <v>355</v>
      </c>
      <c r="L1179" s="55" t="s">
        <v>176</v>
      </c>
      <c r="M1179" s="55" t="s">
        <v>2824</v>
      </c>
      <c r="N1179" s="4" t="s">
        <v>177</v>
      </c>
      <c r="O1179" s="55" t="s">
        <v>178</v>
      </c>
    </row>
    <row r="1180" spans="2:15">
      <c r="B1180" s="20">
        <v>44981</v>
      </c>
      <c r="C1180" s="59">
        <v>50501720</v>
      </c>
      <c r="D1180" s="55" t="s">
        <v>247</v>
      </c>
      <c r="E1180" s="67">
        <v>883</v>
      </c>
      <c r="F1180" s="67">
        <v>2</v>
      </c>
      <c r="G1180" s="102">
        <v>883.95</v>
      </c>
      <c r="H1180" s="56" t="s">
        <v>82</v>
      </c>
      <c r="I1180" s="106"/>
      <c r="K1180" s="56">
        <v>355</v>
      </c>
      <c r="L1180" s="55" t="s">
        <v>176</v>
      </c>
      <c r="M1180" s="55" t="s">
        <v>2824</v>
      </c>
      <c r="N1180" s="4" t="s">
        <v>177</v>
      </c>
      <c r="O1180" s="55" t="s">
        <v>178</v>
      </c>
    </row>
    <row r="1181" spans="2:15">
      <c r="B1181" s="20">
        <v>44981</v>
      </c>
      <c r="C1181" s="59">
        <v>50509889</v>
      </c>
      <c r="D1181" s="55" t="s">
        <v>671</v>
      </c>
      <c r="E1181" s="67">
        <v>264000</v>
      </c>
      <c r="F1181" s="67">
        <v>2</v>
      </c>
      <c r="G1181" s="102">
        <v>528000</v>
      </c>
      <c r="H1181" s="56" t="s">
        <v>92</v>
      </c>
      <c r="I1181" s="106"/>
      <c r="K1181" s="56">
        <v>355</v>
      </c>
      <c r="L1181" s="55" t="s">
        <v>176</v>
      </c>
      <c r="M1181" s="55" t="s">
        <v>2824</v>
      </c>
      <c r="N1181" s="4" t="s">
        <v>177</v>
      </c>
      <c r="O1181" s="55" t="s">
        <v>178</v>
      </c>
    </row>
    <row r="1182" spans="2:15">
      <c r="B1182" s="20">
        <v>44981</v>
      </c>
      <c r="C1182" s="59">
        <v>50369034</v>
      </c>
      <c r="D1182" s="55" t="s">
        <v>322</v>
      </c>
      <c r="E1182" s="67">
        <v>568</v>
      </c>
      <c r="F1182" s="67">
        <v>4</v>
      </c>
      <c r="G1182" s="102">
        <v>2031.85</v>
      </c>
      <c r="H1182" s="56" t="s">
        <v>82</v>
      </c>
      <c r="I1182" s="106"/>
      <c r="K1182" s="56">
        <v>355</v>
      </c>
      <c r="L1182" s="55" t="s">
        <v>176</v>
      </c>
      <c r="M1182" s="55" t="s">
        <v>2824</v>
      </c>
      <c r="N1182" s="4" t="s">
        <v>177</v>
      </c>
      <c r="O1182" s="55" t="s">
        <v>178</v>
      </c>
    </row>
    <row r="1183" spans="2:15">
      <c r="B1183" s="20">
        <v>44981</v>
      </c>
      <c r="C1183" s="59">
        <v>50145028</v>
      </c>
      <c r="D1183" s="55" t="s">
        <v>23</v>
      </c>
      <c r="E1183" s="67">
        <v>192</v>
      </c>
      <c r="F1183" s="67">
        <v>3</v>
      </c>
      <c r="G1183" s="102">
        <v>576</v>
      </c>
      <c r="H1183" s="56" t="s">
        <v>92</v>
      </c>
      <c r="I1183" s="106"/>
      <c r="K1183" s="56">
        <v>356</v>
      </c>
      <c r="L1183" s="55" t="s">
        <v>392</v>
      </c>
      <c r="M1183" s="55" t="s">
        <v>2849</v>
      </c>
      <c r="N1183" s="4" t="s">
        <v>2848</v>
      </c>
      <c r="O1183" s="55" t="s">
        <v>178</v>
      </c>
    </row>
    <row r="1184" spans="2:15">
      <c r="B1184" s="20">
        <v>44981</v>
      </c>
      <c r="C1184" s="59">
        <v>50144376</v>
      </c>
      <c r="D1184" s="55" t="s">
        <v>19</v>
      </c>
      <c r="E1184" s="67">
        <v>500</v>
      </c>
      <c r="F1184" s="67">
        <v>2</v>
      </c>
      <c r="G1184" s="102">
        <v>1000</v>
      </c>
      <c r="H1184" s="56" t="s">
        <v>92</v>
      </c>
      <c r="I1184" s="106"/>
      <c r="K1184" s="56">
        <v>356</v>
      </c>
      <c r="L1184" s="55" t="s">
        <v>392</v>
      </c>
      <c r="M1184" s="55" t="s">
        <v>2849</v>
      </c>
      <c r="N1184" s="4" t="s">
        <v>2848</v>
      </c>
      <c r="O1184" s="55" t="s">
        <v>178</v>
      </c>
    </row>
    <row r="1185" spans="2:15">
      <c r="B1185" s="20">
        <v>44985</v>
      </c>
      <c r="C1185" s="59">
        <v>50272278</v>
      </c>
      <c r="D1185" s="55" t="s">
        <v>21</v>
      </c>
      <c r="E1185" s="67">
        <v>500</v>
      </c>
      <c r="F1185" s="67">
        <v>22</v>
      </c>
      <c r="G1185" s="102">
        <v>11000</v>
      </c>
      <c r="H1185" s="56" t="s">
        <v>92</v>
      </c>
      <c r="I1185" s="106"/>
      <c r="K1185" s="56">
        <v>357</v>
      </c>
      <c r="L1185" s="55" t="s">
        <v>176</v>
      </c>
      <c r="M1185" s="55" t="s">
        <v>2824</v>
      </c>
      <c r="N1185" s="4" t="s">
        <v>193</v>
      </c>
      <c r="O1185" s="55" t="s">
        <v>178</v>
      </c>
    </row>
    <row r="1186" spans="2:15">
      <c r="B1186" s="20">
        <v>44985</v>
      </c>
      <c r="C1186" s="59">
        <v>40007855</v>
      </c>
      <c r="D1186" s="55" t="s">
        <v>84</v>
      </c>
      <c r="E1186" s="67">
        <v>1344</v>
      </c>
      <c r="F1186" s="67">
        <v>4</v>
      </c>
      <c r="G1186" s="102">
        <v>5376</v>
      </c>
      <c r="H1186" s="56" t="s">
        <v>80</v>
      </c>
      <c r="I1186" s="106"/>
      <c r="K1186" s="56">
        <v>358</v>
      </c>
      <c r="L1186" s="55" t="s">
        <v>176</v>
      </c>
      <c r="M1186" s="55" t="s">
        <v>2824</v>
      </c>
      <c r="N1186" s="4" t="s">
        <v>193</v>
      </c>
      <c r="O1186" s="55" t="s">
        <v>178</v>
      </c>
    </row>
    <row r="1187" spans="2:15">
      <c r="B1187" s="20">
        <v>44985</v>
      </c>
      <c r="C1187" s="59">
        <v>40011081</v>
      </c>
      <c r="D1187" s="55" t="s">
        <v>646</v>
      </c>
      <c r="E1187" s="67">
        <v>360</v>
      </c>
      <c r="F1187" s="67">
        <v>3</v>
      </c>
      <c r="G1187" s="102">
        <v>1432</v>
      </c>
      <c r="H1187" s="56" t="s">
        <v>80</v>
      </c>
      <c r="I1187" s="106"/>
      <c r="K1187" s="56">
        <v>358</v>
      </c>
      <c r="L1187" s="55" t="s">
        <v>176</v>
      </c>
      <c r="M1187" s="55" t="s">
        <v>2824</v>
      </c>
      <c r="N1187" s="4" t="s">
        <v>193</v>
      </c>
      <c r="O1187" s="55" t="s">
        <v>178</v>
      </c>
    </row>
    <row r="1188" spans="2:15">
      <c r="B1188" s="20">
        <v>44985</v>
      </c>
      <c r="C1188" s="59">
        <v>40009546</v>
      </c>
      <c r="D1188" s="55" t="s">
        <v>174</v>
      </c>
      <c r="E1188" s="67">
        <v>756</v>
      </c>
      <c r="F1188" s="67">
        <v>5</v>
      </c>
      <c r="G1188" s="102">
        <v>3780</v>
      </c>
      <c r="H1188" s="56" t="s">
        <v>80</v>
      </c>
      <c r="I1188" s="106"/>
      <c r="K1188" s="56">
        <v>358</v>
      </c>
      <c r="L1188" s="55" t="s">
        <v>176</v>
      </c>
      <c r="M1188" s="55" t="s">
        <v>2824</v>
      </c>
      <c r="N1188" s="4" t="s">
        <v>193</v>
      </c>
      <c r="O1188" s="55" t="s">
        <v>178</v>
      </c>
    </row>
    <row r="1189" spans="2:15">
      <c r="B1189" s="20">
        <v>44985</v>
      </c>
      <c r="C1189" s="59">
        <v>50143646</v>
      </c>
      <c r="D1189" s="55" t="s">
        <v>191</v>
      </c>
      <c r="E1189" s="67">
        <v>480</v>
      </c>
      <c r="F1189" s="67">
        <v>4</v>
      </c>
      <c r="G1189" s="102">
        <v>1920</v>
      </c>
      <c r="H1189" s="56" t="s">
        <v>82</v>
      </c>
      <c r="I1189" s="106"/>
      <c r="K1189" s="56">
        <v>358</v>
      </c>
      <c r="L1189" s="55" t="s">
        <v>176</v>
      </c>
      <c r="M1189" s="55" t="s">
        <v>2824</v>
      </c>
      <c r="N1189" s="4" t="s">
        <v>193</v>
      </c>
      <c r="O1189" s="55" t="s">
        <v>178</v>
      </c>
    </row>
    <row r="1190" spans="2:15">
      <c r="B1190" s="20">
        <v>44985</v>
      </c>
      <c r="C1190" s="59">
        <v>50507916</v>
      </c>
      <c r="D1190" s="55" t="s">
        <v>406</v>
      </c>
      <c r="E1190" s="67">
        <v>264000</v>
      </c>
      <c r="F1190" s="67">
        <v>5</v>
      </c>
      <c r="G1190" s="102">
        <v>1320000</v>
      </c>
      <c r="H1190" s="56" t="s">
        <v>92</v>
      </c>
      <c r="I1190" s="106"/>
      <c r="K1190" s="56">
        <v>358</v>
      </c>
      <c r="L1190" s="55" t="s">
        <v>176</v>
      </c>
      <c r="M1190" s="55" t="s">
        <v>2824</v>
      </c>
      <c r="N1190" s="4" t="s">
        <v>193</v>
      </c>
      <c r="O1190" s="55" t="s">
        <v>178</v>
      </c>
    </row>
    <row r="1191" spans="2:15">
      <c r="B1191" s="20">
        <v>44985</v>
      </c>
      <c r="C1191" s="59">
        <v>50145028</v>
      </c>
      <c r="D1191" s="55" t="s">
        <v>23</v>
      </c>
      <c r="E1191" s="67">
        <v>192</v>
      </c>
      <c r="F1191" s="67">
        <v>3</v>
      </c>
      <c r="G1191" s="102">
        <v>576</v>
      </c>
      <c r="H1191" s="56" t="s">
        <v>92</v>
      </c>
      <c r="I1191" s="106"/>
      <c r="K1191" s="56">
        <v>359</v>
      </c>
      <c r="L1191" s="55" t="s">
        <v>176</v>
      </c>
      <c r="M1191" s="55" t="s">
        <v>2824</v>
      </c>
      <c r="N1191" s="4" t="s">
        <v>193</v>
      </c>
      <c r="O1191" s="55" t="s">
        <v>178</v>
      </c>
    </row>
    <row r="1192" spans="2:15">
      <c r="B1192" s="20">
        <v>44985</v>
      </c>
      <c r="C1192" s="59">
        <v>50470190</v>
      </c>
      <c r="D1192" s="55" t="s">
        <v>12</v>
      </c>
      <c r="E1192" s="67">
        <v>289800</v>
      </c>
      <c r="F1192" s="67">
        <v>15</v>
      </c>
      <c r="G1192" s="102">
        <v>4347000</v>
      </c>
      <c r="H1192" s="56" t="s">
        <v>92</v>
      </c>
      <c r="I1192" s="106"/>
      <c r="K1192" s="56">
        <v>359</v>
      </c>
      <c r="L1192" s="55" t="s">
        <v>176</v>
      </c>
      <c r="M1192" s="55" t="s">
        <v>2824</v>
      </c>
      <c r="N1192" s="4" t="s">
        <v>193</v>
      </c>
      <c r="O1192" s="55" t="s">
        <v>178</v>
      </c>
    </row>
    <row r="1193" spans="2:15">
      <c r="B1193" s="20">
        <v>44986</v>
      </c>
      <c r="C1193" s="59">
        <v>50522169</v>
      </c>
      <c r="D1193" s="55" t="s">
        <v>250</v>
      </c>
      <c r="E1193" s="67">
        <v>684</v>
      </c>
      <c r="F1193" s="67">
        <v>10</v>
      </c>
      <c r="G1193" s="102">
        <v>5047.6</v>
      </c>
      <c r="H1193" s="56" t="s">
        <v>82</v>
      </c>
      <c r="I1193" s="106"/>
      <c r="K1193" s="56">
        <v>360</v>
      </c>
      <c r="L1193" s="55" t="s">
        <v>176</v>
      </c>
      <c r="M1193" s="55" t="s">
        <v>2824</v>
      </c>
      <c r="N1193" s="4" t="s">
        <v>177</v>
      </c>
      <c r="O1193" s="55" t="s">
        <v>178</v>
      </c>
    </row>
    <row r="1194" spans="2:15">
      <c r="B1194" s="20">
        <v>44986</v>
      </c>
      <c r="C1194" s="59">
        <v>50272278</v>
      </c>
      <c r="D1194" s="55" t="s">
        <v>21</v>
      </c>
      <c r="E1194" s="67">
        <v>500</v>
      </c>
      <c r="F1194" s="67">
        <v>10</v>
      </c>
      <c r="G1194" s="102">
        <v>5000</v>
      </c>
      <c r="H1194" s="56" t="s">
        <v>92</v>
      </c>
      <c r="I1194" s="106"/>
      <c r="K1194" s="56">
        <v>360</v>
      </c>
      <c r="L1194" s="55" t="s">
        <v>176</v>
      </c>
      <c r="M1194" s="55" t="s">
        <v>2824</v>
      </c>
      <c r="N1194" s="4" t="s">
        <v>177</v>
      </c>
      <c r="O1194" s="55" t="s">
        <v>178</v>
      </c>
    </row>
    <row r="1195" spans="2:15">
      <c r="B1195" s="20">
        <v>44986</v>
      </c>
      <c r="C1195" s="59">
        <v>50369034</v>
      </c>
      <c r="D1195" s="55" t="s">
        <v>322</v>
      </c>
      <c r="E1195" s="67">
        <v>474</v>
      </c>
      <c r="F1195" s="67">
        <v>12</v>
      </c>
      <c r="G1195" s="102">
        <v>5837.45</v>
      </c>
      <c r="H1195" s="56" t="s">
        <v>82</v>
      </c>
      <c r="I1195" s="106"/>
      <c r="K1195" s="56">
        <v>361</v>
      </c>
      <c r="L1195" s="55" t="s">
        <v>176</v>
      </c>
      <c r="M1195" s="55" t="s">
        <v>2824</v>
      </c>
      <c r="N1195" s="4" t="s">
        <v>177</v>
      </c>
      <c r="O1195" s="55" t="s">
        <v>178</v>
      </c>
    </row>
    <row r="1196" spans="2:15">
      <c r="B1196" s="20">
        <v>44986</v>
      </c>
      <c r="C1196" s="59">
        <v>50470190</v>
      </c>
      <c r="D1196" s="55" t="s">
        <v>12</v>
      </c>
      <c r="E1196" s="67">
        <v>289800</v>
      </c>
      <c r="F1196" s="67">
        <v>6</v>
      </c>
      <c r="G1196" s="102">
        <v>1738800</v>
      </c>
      <c r="H1196" s="56" t="s">
        <v>92</v>
      </c>
      <c r="I1196" s="106"/>
      <c r="K1196" s="56">
        <v>361</v>
      </c>
      <c r="L1196" s="55" t="s">
        <v>176</v>
      </c>
      <c r="M1196" s="55" t="s">
        <v>2824</v>
      </c>
      <c r="N1196" s="4" t="s">
        <v>177</v>
      </c>
      <c r="O1196" s="55" t="s">
        <v>178</v>
      </c>
    </row>
    <row r="1197" spans="2:15">
      <c r="B1197" s="20">
        <v>44986</v>
      </c>
      <c r="C1197" s="59">
        <v>50145028</v>
      </c>
      <c r="D1197" s="55" t="s">
        <v>23</v>
      </c>
      <c r="E1197" s="67">
        <v>192</v>
      </c>
      <c r="F1197" s="67">
        <v>2</v>
      </c>
      <c r="G1197" s="102">
        <v>384</v>
      </c>
      <c r="H1197" s="56" t="s">
        <v>92</v>
      </c>
      <c r="I1197" s="106"/>
      <c r="K1197" s="56">
        <v>362</v>
      </c>
      <c r="L1197" s="55" t="s">
        <v>392</v>
      </c>
      <c r="M1197" s="55" t="s">
        <v>392</v>
      </c>
      <c r="N1197" s="4" t="s">
        <v>2841</v>
      </c>
      <c r="O1197" s="55" t="s">
        <v>178</v>
      </c>
    </row>
    <row r="1198" spans="2:15">
      <c r="B1198" s="20">
        <v>44986</v>
      </c>
      <c r="C1198" s="59">
        <v>50272278</v>
      </c>
      <c r="D1198" s="55" t="s">
        <v>21</v>
      </c>
      <c r="E1198" s="67">
        <v>500</v>
      </c>
      <c r="F1198" s="67">
        <v>22</v>
      </c>
      <c r="G1198" s="102">
        <v>11000</v>
      </c>
      <c r="H1198" s="56" t="s">
        <v>92</v>
      </c>
      <c r="I1198" s="106"/>
      <c r="K1198" s="56">
        <v>362</v>
      </c>
      <c r="L1198" s="55" t="s">
        <v>392</v>
      </c>
      <c r="M1198" s="55" t="s">
        <v>392</v>
      </c>
      <c r="N1198" s="4" t="s">
        <v>2841</v>
      </c>
      <c r="O1198" s="55" t="s">
        <v>178</v>
      </c>
    </row>
    <row r="1199" spans="2:15">
      <c r="B1199" s="20">
        <v>44986</v>
      </c>
      <c r="C1199" s="59">
        <v>50142237</v>
      </c>
      <c r="D1199" s="55" t="s">
        <v>617</v>
      </c>
      <c r="E1199" s="67">
        <v>1000</v>
      </c>
      <c r="F1199" s="67">
        <v>36</v>
      </c>
      <c r="G1199" s="102">
        <v>36000</v>
      </c>
      <c r="H1199" s="56" t="s">
        <v>92</v>
      </c>
      <c r="I1199" s="106"/>
      <c r="K1199" s="56">
        <v>363</v>
      </c>
      <c r="L1199" s="55" t="s">
        <v>176</v>
      </c>
      <c r="M1199" s="55" t="s">
        <v>2824</v>
      </c>
      <c r="N1199" s="4" t="s">
        <v>177</v>
      </c>
      <c r="O1199" s="55" t="s">
        <v>178</v>
      </c>
    </row>
    <row r="1200" spans="2:15">
      <c r="B1200" s="20">
        <v>44986</v>
      </c>
      <c r="C1200" s="59">
        <v>50143646</v>
      </c>
      <c r="D1200" s="55" t="s">
        <v>191</v>
      </c>
      <c r="E1200" s="67">
        <v>480</v>
      </c>
      <c r="F1200" s="67">
        <v>18</v>
      </c>
      <c r="G1200" s="102">
        <v>8640</v>
      </c>
      <c r="H1200" s="56" t="s">
        <v>82</v>
      </c>
      <c r="I1200" s="106"/>
      <c r="K1200" s="56">
        <v>363</v>
      </c>
      <c r="L1200" s="55" t="s">
        <v>176</v>
      </c>
      <c r="M1200" s="55" t="s">
        <v>2824</v>
      </c>
      <c r="N1200" s="4" t="s">
        <v>177</v>
      </c>
      <c r="O1200" s="55" t="s">
        <v>178</v>
      </c>
    </row>
    <row r="1201" spans="2:15">
      <c r="B1201" s="20">
        <v>44987</v>
      </c>
      <c r="C1201" s="59">
        <v>50470190</v>
      </c>
      <c r="D1201" s="55" t="s">
        <v>12</v>
      </c>
      <c r="E1201" s="67">
        <v>289800</v>
      </c>
      <c r="F1201" s="67">
        <v>8</v>
      </c>
      <c r="G1201" s="102">
        <v>2318400</v>
      </c>
      <c r="H1201" s="56" t="s">
        <v>92</v>
      </c>
      <c r="I1201" s="106"/>
      <c r="K1201" s="56">
        <v>364</v>
      </c>
      <c r="L1201" s="55" t="s">
        <v>176</v>
      </c>
      <c r="M1201" s="55" t="s">
        <v>2824</v>
      </c>
      <c r="N1201" s="4" t="s">
        <v>177</v>
      </c>
      <c r="O1201" s="55" t="s">
        <v>178</v>
      </c>
    </row>
    <row r="1202" spans="2:15">
      <c r="B1202" s="20">
        <v>44987</v>
      </c>
      <c r="C1202" s="59">
        <v>50144376</v>
      </c>
      <c r="D1202" s="55" t="s">
        <v>19</v>
      </c>
      <c r="E1202" s="67">
        <v>500</v>
      </c>
      <c r="F1202" s="67">
        <v>10</v>
      </c>
      <c r="G1202" s="102">
        <v>5000</v>
      </c>
      <c r="H1202" s="56" t="s">
        <v>92</v>
      </c>
      <c r="I1202" s="106"/>
      <c r="K1202" s="56">
        <v>364</v>
      </c>
      <c r="L1202" s="55" t="s">
        <v>176</v>
      </c>
      <c r="M1202" s="55" t="s">
        <v>2824</v>
      </c>
      <c r="N1202" s="4" t="s">
        <v>177</v>
      </c>
      <c r="O1202" s="55" t="s">
        <v>178</v>
      </c>
    </row>
    <row r="1203" spans="2:15">
      <c r="B1203" s="20">
        <v>44987</v>
      </c>
      <c r="C1203" s="59">
        <v>50142551</v>
      </c>
      <c r="D1203" s="55" t="s">
        <v>215</v>
      </c>
      <c r="E1203" s="67">
        <v>50</v>
      </c>
      <c r="F1203" s="67">
        <v>2</v>
      </c>
      <c r="G1203" s="102">
        <v>50</v>
      </c>
      <c r="H1203" s="56" t="s">
        <v>92</v>
      </c>
      <c r="I1203" s="106"/>
      <c r="K1203" s="56">
        <v>365</v>
      </c>
      <c r="L1203" s="55" t="s">
        <v>176</v>
      </c>
      <c r="M1203" s="55" t="s">
        <v>2824</v>
      </c>
      <c r="N1203" s="4" t="s">
        <v>177</v>
      </c>
      <c r="O1203" s="55" t="s">
        <v>178</v>
      </c>
    </row>
    <row r="1204" spans="2:15">
      <c r="B1204" s="20">
        <v>44987</v>
      </c>
      <c r="C1204" s="59">
        <v>50010080</v>
      </c>
      <c r="D1204" s="55" t="s">
        <v>354</v>
      </c>
      <c r="E1204" s="67">
        <v>1000</v>
      </c>
      <c r="F1204" s="67">
        <v>2</v>
      </c>
      <c r="G1204" s="102">
        <v>2000</v>
      </c>
      <c r="H1204" s="56" t="s">
        <v>82</v>
      </c>
      <c r="I1204" s="106"/>
      <c r="K1204" s="56">
        <v>365</v>
      </c>
      <c r="L1204" s="55" t="s">
        <v>176</v>
      </c>
      <c r="M1204" s="55" t="s">
        <v>2824</v>
      </c>
      <c r="N1204" s="4" t="s">
        <v>177</v>
      </c>
      <c r="O1204" s="55" t="s">
        <v>178</v>
      </c>
    </row>
    <row r="1205" spans="2:15">
      <c r="B1205" s="20">
        <v>44987</v>
      </c>
      <c r="C1205" s="59">
        <v>50144376</v>
      </c>
      <c r="D1205" s="55" t="s">
        <v>19</v>
      </c>
      <c r="E1205" s="67">
        <v>500</v>
      </c>
      <c r="F1205" s="67">
        <v>17</v>
      </c>
      <c r="G1205" s="102">
        <v>8500</v>
      </c>
      <c r="H1205" s="56" t="s">
        <v>92</v>
      </c>
      <c r="I1205" s="106"/>
      <c r="K1205" s="56">
        <v>365</v>
      </c>
      <c r="L1205" s="55" t="s">
        <v>176</v>
      </c>
      <c r="M1205" s="55" t="s">
        <v>2824</v>
      </c>
      <c r="N1205" s="4" t="s">
        <v>177</v>
      </c>
      <c r="O1205" s="55" t="s">
        <v>178</v>
      </c>
    </row>
    <row r="1206" spans="2:15">
      <c r="B1206" s="20">
        <v>44988</v>
      </c>
      <c r="C1206" s="59">
        <v>50470190</v>
      </c>
      <c r="D1206" s="55" t="s">
        <v>12</v>
      </c>
      <c r="E1206" s="67">
        <v>289800</v>
      </c>
      <c r="F1206" s="67">
        <v>16</v>
      </c>
      <c r="G1206" s="102">
        <v>4636800</v>
      </c>
      <c r="H1206" s="56" t="s">
        <v>92</v>
      </c>
      <c r="I1206" s="106"/>
      <c r="K1206" s="56">
        <v>366</v>
      </c>
      <c r="L1206" s="55" t="s">
        <v>176</v>
      </c>
      <c r="M1206" s="55" t="s">
        <v>2824</v>
      </c>
      <c r="N1206" s="4" t="s">
        <v>177</v>
      </c>
      <c r="O1206" s="55" t="s">
        <v>178</v>
      </c>
    </row>
    <row r="1207" spans="2:15">
      <c r="B1207" s="20">
        <v>44988</v>
      </c>
      <c r="C1207" s="59">
        <v>40010086</v>
      </c>
      <c r="D1207" s="55" t="s">
        <v>79</v>
      </c>
      <c r="E1207" s="67">
        <v>2940</v>
      </c>
      <c r="F1207" s="67">
        <v>4</v>
      </c>
      <c r="G1207" s="102">
        <v>9666</v>
      </c>
      <c r="H1207" s="56" t="s">
        <v>80</v>
      </c>
      <c r="I1207" s="106"/>
      <c r="K1207" s="56">
        <v>367</v>
      </c>
      <c r="L1207" s="55" t="s">
        <v>176</v>
      </c>
      <c r="M1207" s="55" t="s">
        <v>2824</v>
      </c>
      <c r="N1207" s="4" t="s">
        <v>177</v>
      </c>
      <c r="O1207" s="55" t="s">
        <v>178</v>
      </c>
    </row>
    <row r="1208" spans="2:15">
      <c r="B1208" s="20">
        <v>44988</v>
      </c>
      <c r="C1208" s="59">
        <v>40010087</v>
      </c>
      <c r="D1208" s="55" t="s">
        <v>387</v>
      </c>
      <c r="E1208" s="67">
        <v>756</v>
      </c>
      <c r="F1208" s="67">
        <v>3</v>
      </c>
      <c r="G1208" s="102">
        <v>3024</v>
      </c>
      <c r="H1208" s="56" t="s">
        <v>80</v>
      </c>
      <c r="I1208" s="106"/>
      <c r="K1208" s="56">
        <v>367</v>
      </c>
      <c r="L1208" s="55" t="s">
        <v>176</v>
      </c>
      <c r="M1208" s="55" t="s">
        <v>2824</v>
      </c>
      <c r="N1208" s="4" t="s">
        <v>177</v>
      </c>
      <c r="O1208" s="55" t="s">
        <v>178</v>
      </c>
    </row>
    <row r="1209" spans="2:15">
      <c r="B1209" s="20">
        <v>44988</v>
      </c>
      <c r="C1209" s="59">
        <v>50144376</v>
      </c>
      <c r="D1209" s="55" t="s">
        <v>19</v>
      </c>
      <c r="E1209" s="67">
        <v>500</v>
      </c>
      <c r="F1209" s="67">
        <v>9</v>
      </c>
      <c r="G1209" s="102">
        <v>4500</v>
      </c>
      <c r="H1209" s="56" t="s">
        <v>92</v>
      </c>
      <c r="I1209" s="106"/>
      <c r="K1209" s="56">
        <v>367</v>
      </c>
      <c r="L1209" s="55" t="s">
        <v>176</v>
      </c>
      <c r="M1209" s="55" t="s">
        <v>2824</v>
      </c>
      <c r="N1209" s="4" t="s">
        <v>177</v>
      </c>
      <c r="O1209" s="55" t="s">
        <v>178</v>
      </c>
    </row>
    <row r="1210" spans="2:15">
      <c r="B1210" s="20">
        <v>44988</v>
      </c>
      <c r="C1210" s="59">
        <v>50142327</v>
      </c>
      <c r="D1210" s="55" t="s">
        <v>256</v>
      </c>
      <c r="E1210" s="67">
        <v>681</v>
      </c>
      <c r="F1210" s="67">
        <v>1</v>
      </c>
      <c r="G1210" s="102">
        <v>681</v>
      </c>
      <c r="H1210" s="56" t="s">
        <v>82</v>
      </c>
      <c r="I1210" s="106"/>
      <c r="K1210" s="56">
        <v>367</v>
      </c>
      <c r="L1210" s="55" t="s">
        <v>176</v>
      </c>
      <c r="M1210" s="55" t="s">
        <v>2824</v>
      </c>
      <c r="N1210" s="4" t="s">
        <v>177</v>
      </c>
      <c r="O1210" s="55" t="s">
        <v>178</v>
      </c>
    </row>
    <row r="1211" spans="2:15">
      <c r="B1211" s="20">
        <v>44988</v>
      </c>
      <c r="C1211" s="59">
        <v>50142334</v>
      </c>
      <c r="D1211" s="55" t="s">
        <v>257</v>
      </c>
      <c r="E1211" s="67">
        <v>681</v>
      </c>
      <c r="F1211" s="67">
        <v>1</v>
      </c>
      <c r="G1211" s="102">
        <v>681</v>
      </c>
      <c r="H1211" s="56" t="s">
        <v>82</v>
      </c>
      <c r="I1211" s="106"/>
      <c r="K1211" s="56">
        <v>367</v>
      </c>
      <c r="L1211" s="55" t="s">
        <v>176</v>
      </c>
      <c r="M1211" s="55" t="s">
        <v>2824</v>
      </c>
      <c r="N1211" s="4" t="s">
        <v>177</v>
      </c>
      <c r="O1211" s="55" t="s">
        <v>178</v>
      </c>
    </row>
    <row r="1212" spans="2:15">
      <c r="B1212" s="20">
        <v>44988</v>
      </c>
      <c r="C1212" s="59">
        <v>50142281</v>
      </c>
      <c r="D1212" s="55" t="s">
        <v>204</v>
      </c>
      <c r="E1212" s="67">
        <v>450</v>
      </c>
      <c r="F1212" s="67">
        <v>1</v>
      </c>
      <c r="G1212" s="102">
        <v>450</v>
      </c>
      <c r="H1212" s="56" t="s">
        <v>82</v>
      </c>
      <c r="I1212" s="106"/>
      <c r="K1212" s="56">
        <v>367</v>
      </c>
      <c r="L1212" s="55" t="s">
        <v>176</v>
      </c>
      <c r="M1212" s="55" t="s">
        <v>2824</v>
      </c>
      <c r="N1212" s="4" t="s">
        <v>177</v>
      </c>
      <c r="O1212" s="55" t="s">
        <v>178</v>
      </c>
    </row>
    <row r="1213" spans="2:15">
      <c r="B1213" s="20">
        <v>44988</v>
      </c>
      <c r="C1213" s="59">
        <v>50142237</v>
      </c>
      <c r="D1213" s="55" t="s">
        <v>617</v>
      </c>
      <c r="E1213" s="67">
        <v>1000</v>
      </c>
      <c r="F1213" s="67">
        <v>7</v>
      </c>
      <c r="G1213" s="102">
        <v>7000</v>
      </c>
      <c r="H1213" s="56" t="s">
        <v>92</v>
      </c>
      <c r="I1213" s="106"/>
      <c r="K1213" s="56">
        <v>368</v>
      </c>
      <c r="L1213" s="55" t="s">
        <v>176</v>
      </c>
      <c r="M1213" s="55" t="s">
        <v>2824</v>
      </c>
      <c r="N1213" s="4" t="s">
        <v>177</v>
      </c>
      <c r="O1213" s="55" t="s">
        <v>178</v>
      </c>
    </row>
    <row r="1214" spans="2:15">
      <c r="B1214" s="20">
        <v>44988</v>
      </c>
      <c r="C1214" s="59">
        <v>50507916</v>
      </c>
      <c r="D1214" s="55" t="s">
        <v>406</v>
      </c>
      <c r="E1214" s="67">
        <v>264000</v>
      </c>
      <c r="F1214" s="67">
        <v>5</v>
      </c>
      <c r="G1214" s="102">
        <v>1320000</v>
      </c>
      <c r="H1214" s="56" t="s">
        <v>92</v>
      </c>
      <c r="I1214" s="106"/>
      <c r="K1214" s="56">
        <v>368</v>
      </c>
      <c r="L1214" s="55" t="s">
        <v>176</v>
      </c>
      <c r="M1214" s="55" t="s">
        <v>2824</v>
      </c>
      <c r="N1214" s="4" t="s">
        <v>177</v>
      </c>
      <c r="O1214" s="55" t="s">
        <v>178</v>
      </c>
    </row>
    <row r="1215" spans="2:15">
      <c r="B1215" s="20">
        <v>44988</v>
      </c>
      <c r="C1215" s="59">
        <v>50010080</v>
      </c>
      <c r="D1215" s="55" t="s">
        <v>354</v>
      </c>
      <c r="E1215" s="67">
        <v>1000</v>
      </c>
      <c r="F1215" s="67">
        <v>3</v>
      </c>
      <c r="G1215" s="102">
        <v>3000</v>
      </c>
      <c r="H1215" s="56" t="s">
        <v>82</v>
      </c>
      <c r="I1215" s="106"/>
      <c r="K1215" s="56">
        <v>368</v>
      </c>
      <c r="L1215" s="55" t="s">
        <v>176</v>
      </c>
      <c r="M1215" s="55" t="s">
        <v>2824</v>
      </c>
      <c r="N1215" s="4" t="s">
        <v>177</v>
      </c>
      <c r="O1215" s="55" t="s">
        <v>178</v>
      </c>
    </row>
    <row r="1216" spans="2:15">
      <c r="B1216" s="20">
        <v>44988</v>
      </c>
      <c r="C1216" s="59">
        <v>50509889</v>
      </c>
      <c r="D1216" s="55" t="s">
        <v>671</v>
      </c>
      <c r="E1216" s="67">
        <v>264000</v>
      </c>
      <c r="F1216" s="67">
        <v>4</v>
      </c>
      <c r="G1216" s="102">
        <v>1056000</v>
      </c>
      <c r="H1216" s="56" t="s">
        <v>92</v>
      </c>
      <c r="I1216" s="106"/>
      <c r="K1216" s="56">
        <v>368</v>
      </c>
      <c r="L1216" s="55" t="s">
        <v>176</v>
      </c>
      <c r="M1216" s="55" t="s">
        <v>2824</v>
      </c>
      <c r="N1216" s="4" t="s">
        <v>177</v>
      </c>
      <c r="O1216" s="55" t="s">
        <v>178</v>
      </c>
    </row>
    <row r="1217" spans="2:15">
      <c r="B1217" s="20">
        <v>44988</v>
      </c>
      <c r="C1217" s="59">
        <v>40011133</v>
      </c>
      <c r="D1217" s="55" t="s">
        <v>634</v>
      </c>
      <c r="E1217" s="67">
        <v>756</v>
      </c>
      <c r="F1217" s="67">
        <v>4</v>
      </c>
      <c r="G1217" s="102">
        <v>2268</v>
      </c>
      <c r="H1217" s="56" t="s">
        <v>80</v>
      </c>
      <c r="I1217" s="106"/>
      <c r="K1217" s="56">
        <v>368</v>
      </c>
      <c r="L1217" s="55" t="s">
        <v>176</v>
      </c>
      <c r="M1217" s="55" t="s">
        <v>2824</v>
      </c>
      <c r="N1217" s="4" t="s">
        <v>177</v>
      </c>
      <c r="O1217" s="55" t="s">
        <v>178</v>
      </c>
    </row>
    <row r="1218" spans="2:15">
      <c r="B1218" s="20">
        <v>44988</v>
      </c>
      <c r="C1218" s="59">
        <v>40011130</v>
      </c>
      <c r="D1218" s="55" t="s">
        <v>631</v>
      </c>
      <c r="E1218" s="67">
        <v>1078</v>
      </c>
      <c r="F1218" s="67">
        <v>1</v>
      </c>
      <c r="G1218" s="102">
        <v>1078</v>
      </c>
      <c r="H1218" s="56" t="s">
        <v>80</v>
      </c>
      <c r="I1218" s="106"/>
      <c r="K1218" s="56">
        <v>368</v>
      </c>
      <c r="L1218" s="55" t="s">
        <v>176</v>
      </c>
      <c r="M1218" s="55" t="s">
        <v>2824</v>
      </c>
      <c r="N1218" s="4" t="s">
        <v>177</v>
      </c>
      <c r="O1218" s="55" t="s">
        <v>178</v>
      </c>
    </row>
    <row r="1219" spans="2:15">
      <c r="B1219" s="20">
        <v>44988</v>
      </c>
      <c r="C1219" s="59">
        <v>50144376</v>
      </c>
      <c r="D1219" s="55" t="s">
        <v>19</v>
      </c>
      <c r="E1219" s="67">
        <v>500</v>
      </c>
      <c r="F1219" s="67">
        <v>3</v>
      </c>
      <c r="G1219" s="102">
        <v>1500</v>
      </c>
      <c r="H1219" s="56" t="s">
        <v>92</v>
      </c>
      <c r="I1219" s="106"/>
      <c r="K1219" s="56">
        <v>368</v>
      </c>
      <c r="L1219" s="55" t="s">
        <v>176</v>
      </c>
      <c r="M1219" s="55" t="s">
        <v>2824</v>
      </c>
      <c r="N1219" s="4" t="s">
        <v>177</v>
      </c>
      <c r="O1219" s="55" t="s">
        <v>178</v>
      </c>
    </row>
    <row r="1220" spans="2:15">
      <c r="B1220" s="20">
        <v>44991</v>
      </c>
      <c r="C1220" s="59">
        <v>50470190</v>
      </c>
      <c r="D1220" s="55" t="s">
        <v>12</v>
      </c>
      <c r="E1220" s="67">
        <v>289800</v>
      </c>
      <c r="F1220" s="67">
        <v>18</v>
      </c>
      <c r="G1220" s="102">
        <v>5216400</v>
      </c>
      <c r="H1220" s="56" t="s">
        <v>92</v>
      </c>
      <c r="I1220" s="106"/>
      <c r="K1220" s="56">
        <v>369</v>
      </c>
      <c r="L1220" s="55" t="s">
        <v>176</v>
      </c>
      <c r="M1220" s="55" t="s">
        <v>2824</v>
      </c>
      <c r="N1220" s="4" t="s">
        <v>193</v>
      </c>
      <c r="O1220" s="55" t="s">
        <v>178</v>
      </c>
    </row>
    <row r="1221" spans="2:15">
      <c r="B1221" s="20">
        <v>44991</v>
      </c>
      <c r="C1221" s="59">
        <v>50144376</v>
      </c>
      <c r="D1221" s="55" t="s">
        <v>19</v>
      </c>
      <c r="E1221" s="67">
        <v>500</v>
      </c>
      <c r="F1221" s="67">
        <v>4</v>
      </c>
      <c r="G1221" s="102">
        <v>2000</v>
      </c>
      <c r="H1221" s="56" t="s">
        <v>92</v>
      </c>
      <c r="I1221" s="106"/>
      <c r="K1221" s="56">
        <v>370</v>
      </c>
      <c r="L1221" s="55" t="s">
        <v>176</v>
      </c>
      <c r="M1221" s="55" t="s">
        <v>2824</v>
      </c>
      <c r="N1221" s="4" t="s">
        <v>193</v>
      </c>
      <c r="O1221" s="55" t="s">
        <v>178</v>
      </c>
    </row>
    <row r="1222" spans="2:15">
      <c r="B1222" s="20">
        <v>44991</v>
      </c>
      <c r="C1222" s="59">
        <v>50272278</v>
      </c>
      <c r="D1222" s="55" t="s">
        <v>21</v>
      </c>
      <c r="E1222" s="67">
        <v>500</v>
      </c>
      <c r="F1222" s="67">
        <v>4</v>
      </c>
      <c r="G1222" s="102">
        <v>2000</v>
      </c>
      <c r="H1222" s="56" t="s">
        <v>92</v>
      </c>
      <c r="I1222" s="106"/>
      <c r="K1222" s="56">
        <v>370</v>
      </c>
      <c r="L1222" s="55" t="s">
        <v>176</v>
      </c>
      <c r="M1222" s="55" t="s">
        <v>2824</v>
      </c>
      <c r="N1222" s="4" t="s">
        <v>193</v>
      </c>
      <c r="O1222" s="55" t="s">
        <v>178</v>
      </c>
    </row>
    <row r="1223" spans="2:15">
      <c r="B1223" s="20">
        <v>44991</v>
      </c>
      <c r="C1223" s="59">
        <v>40007941</v>
      </c>
      <c r="D1223" s="55" t="s">
        <v>211</v>
      </c>
      <c r="E1223" s="67">
        <v>756</v>
      </c>
      <c r="F1223" s="67">
        <v>3</v>
      </c>
      <c r="G1223" s="102">
        <v>1890</v>
      </c>
      <c r="H1223" s="56" t="s">
        <v>80</v>
      </c>
      <c r="I1223" s="106"/>
      <c r="K1223" s="56">
        <v>370</v>
      </c>
      <c r="L1223" s="55" t="s">
        <v>176</v>
      </c>
      <c r="M1223" s="55" t="s">
        <v>2824</v>
      </c>
      <c r="N1223" s="4" t="s">
        <v>193</v>
      </c>
      <c r="O1223" s="55" t="s">
        <v>178</v>
      </c>
    </row>
    <row r="1224" spans="2:15">
      <c r="B1224" s="20">
        <v>44991</v>
      </c>
      <c r="C1224" s="59">
        <v>40011080</v>
      </c>
      <c r="D1224" s="55" t="s">
        <v>420</v>
      </c>
      <c r="E1224" s="67">
        <v>450</v>
      </c>
      <c r="F1224" s="67">
        <v>5</v>
      </c>
      <c r="G1224" s="102">
        <v>2250</v>
      </c>
      <c r="H1224" s="56" t="s">
        <v>80</v>
      </c>
      <c r="I1224" s="106"/>
      <c r="K1224" s="56">
        <v>370</v>
      </c>
      <c r="L1224" s="55" t="s">
        <v>176</v>
      </c>
      <c r="M1224" s="55" t="s">
        <v>2824</v>
      </c>
      <c r="N1224" s="4" t="s">
        <v>193</v>
      </c>
      <c r="O1224" s="55" t="s">
        <v>178</v>
      </c>
    </row>
    <row r="1225" spans="2:15">
      <c r="B1225" s="20">
        <v>44991</v>
      </c>
      <c r="C1225" s="59">
        <v>50337816</v>
      </c>
      <c r="D1225" s="55" t="s">
        <v>245</v>
      </c>
      <c r="E1225" s="67">
        <v>264</v>
      </c>
      <c r="F1225" s="67">
        <v>5</v>
      </c>
      <c r="G1225" s="102">
        <v>1320</v>
      </c>
      <c r="H1225" s="56" t="s">
        <v>80</v>
      </c>
      <c r="I1225" s="106"/>
      <c r="K1225" s="56">
        <v>370</v>
      </c>
      <c r="L1225" s="55" t="s">
        <v>176</v>
      </c>
      <c r="M1225" s="55" t="s">
        <v>2824</v>
      </c>
      <c r="N1225" s="4" t="s">
        <v>193</v>
      </c>
      <c r="O1225" s="55" t="s">
        <v>178</v>
      </c>
    </row>
    <row r="1226" spans="2:15">
      <c r="B1226" s="20">
        <v>44991</v>
      </c>
      <c r="C1226" s="59">
        <v>50142334</v>
      </c>
      <c r="D1226" s="55" t="s">
        <v>257</v>
      </c>
      <c r="E1226" s="67">
        <v>681</v>
      </c>
      <c r="F1226" s="67">
        <v>1</v>
      </c>
      <c r="G1226" s="102">
        <v>681</v>
      </c>
      <c r="H1226" s="56" t="s">
        <v>82</v>
      </c>
      <c r="I1226" s="106"/>
      <c r="K1226" s="56">
        <v>370</v>
      </c>
      <c r="L1226" s="55" t="s">
        <v>176</v>
      </c>
      <c r="M1226" s="55" t="s">
        <v>2824</v>
      </c>
      <c r="N1226" s="4" t="s">
        <v>193</v>
      </c>
      <c r="O1226" s="55" t="s">
        <v>178</v>
      </c>
    </row>
    <row r="1227" spans="2:15">
      <c r="B1227" s="20">
        <v>44992</v>
      </c>
      <c r="C1227" s="59">
        <v>50144376</v>
      </c>
      <c r="D1227" s="55" t="s">
        <v>19</v>
      </c>
      <c r="E1227" s="67">
        <v>500</v>
      </c>
      <c r="F1227" s="67">
        <v>15</v>
      </c>
      <c r="G1227" s="102">
        <v>7500</v>
      </c>
      <c r="H1227" s="56" t="s">
        <v>92</v>
      </c>
      <c r="I1227" s="106"/>
      <c r="K1227" s="56">
        <v>371</v>
      </c>
      <c r="L1227" s="55" t="s">
        <v>176</v>
      </c>
      <c r="M1227" s="55" t="s">
        <v>2824</v>
      </c>
      <c r="N1227" s="4" t="s">
        <v>193</v>
      </c>
      <c r="O1227" s="55" t="s">
        <v>178</v>
      </c>
    </row>
    <row r="1228" spans="2:15">
      <c r="B1228" s="20">
        <v>44992</v>
      </c>
      <c r="C1228" s="59">
        <v>50142334</v>
      </c>
      <c r="D1228" s="55" t="s">
        <v>257</v>
      </c>
      <c r="E1228" s="67">
        <v>681</v>
      </c>
      <c r="F1228" s="67">
        <v>3</v>
      </c>
      <c r="G1228" s="102">
        <v>2043</v>
      </c>
      <c r="H1228" s="56" t="s">
        <v>82</v>
      </c>
      <c r="I1228" s="106"/>
      <c r="K1228" s="56">
        <v>371</v>
      </c>
      <c r="L1228" s="55" t="s">
        <v>176</v>
      </c>
      <c r="M1228" s="55" t="s">
        <v>2824</v>
      </c>
      <c r="N1228" s="4" t="s">
        <v>193</v>
      </c>
      <c r="O1228" s="55" t="s">
        <v>178</v>
      </c>
    </row>
    <row r="1229" spans="2:15">
      <c r="B1229" s="20">
        <v>44992</v>
      </c>
      <c r="C1229" s="59">
        <v>50142327</v>
      </c>
      <c r="D1229" s="55" t="s">
        <v>256</v>
      </c>
      <c r="E1229" s="67">
        <v>681</v>
      </c>
      <c r="F1229" s="67">
        <v>3</v>
      </c>
      <c r="G1229" s="102">
        <v>2043</v>
      </c>
      <c r="H1229" s="56" t="s">
        <v>82</v>
      </c>
      <c r="I1229" s="106"/>
      <c r="K1229" s="56">
        <v>371</v>
      </c>
      <c r="L1229" s="55" t="s">
        <v>176</v>
      </c>
      <c r="M1229" s="55" t="s">
        <v>2824</v>
      </c>
      <c r="N1229" s="4" t="s">
        <v>193</v>
      </c>
      <c r="O1229" s="55" t="s">
        <v>178</v>
      </c>
    </row>
    <row r="1230" spans="2:15">
      <c r="B1230" s="20">
        <v>44993</v>
      </c>
      <c r="C1230" s="59">
        <v>50534881</v>
      </c>
      <c r="D1230" s="55" t="s">
        <v>227</v>
      </c>
      <c r="E1230" s="67">
        <v>9000</v>
      </c>
      <c r="F1230" s="67">
        <v>14</v>
      </c>
      <c r="G1230" s="102">
        <v>126000</v>
      </c>
      <c r="H1230" s="56" t="s">
        <v>92</v>
      </c>
      <c r="I1230" s="106"/>
      <c r="K1230" s="56">
        <v>372</v>
      </c>
      <c r="L1230" s="55" t="s">
        <v>176</v>
      </c>
      <c r="M1230" s="55" t="s">
        <v>2824</v>
      </c>
      <c r="N1230" s="4" t="s">
        <v>193</v>
      </c>
      <c r="O1230" s="55" t="s">
        <v>178</v>
      </c>
    </row>
    <row r="1231" spans="2:15">
      <c r="B1231" s="20">
        <v>44993</v>
      </c>
      <c r="C1231" s="59">
        <v>50144376</v>
      </c>
      <c r="D1231" s="55" t="s">
        <v>19</v>
      </c>
      <c r="E1231" s="67">
        <v>500</v>
      </c>
      <c r="F1231" s="67">
        <v>4</v>
      </c>
      <c r="G1231" s="102">
        <v>2000</v>
      </c>
      <c r="H1231" s="56" t="s">
        <v>92</v>
      </c>
      <c r="I1231" s="106"/>
      <c r="K1231" s="56">
        <v>372</v>
      </c>
      <c r="L1231" s="55" t="s">
        <v>176</v>
      </c>
      <c r="M1231" s="55" t="s">
        <v>2824</v>
      </c>
      <c r="N1231" s="4" t="s">
        <v>193</v>
      </c>
      <c r="O1231" s="55" t="s">
        <v>178</v>
      </c>
    </row>
    <row r="1232" spans="2:15">
      <c r="B1232" s="20">
        <v>44993</v>
      </c>
      <c r="C1232" s="59">
        <v>50272278</v>
      </c>
      <c r="D1232" s="55" t="s">
        <v>21</v>
      </c>
      <c r="E1232" s="67">
        <v>500</v>
      </c>
      <c r="F1232" s="67">
        <v>4</v>
      </c>
      <c r="G1232" s="102">
        <v>2000</v>
      </c>
      <c r="H1232" s="56" t="s">
        <v>92</v>
      </c>
      <c r="I1232" s="106"/>
      <c r="K1232" s="56">
        <v>372</v>
      </c>
      <c r="L1232" s="55" t="s">
        <v>176</v>
      </c>
      <c r="M1232" s="55" t="s">
        <v>2824</v>
      </c>
      <c r="N1232" s="4" t="s">
        <v>193</v>
      </c>
      <c r="O1232" s="55" t="s">
        <v>178</v>
      </c>
    </row>
    <row r="1233" spans="2:15">
      <c r="B1233" s="20">
        <v>44994</v>
      </c>
      <c r="C1233" s="59">
        <v>50534881</v>
      </c>
      <c r="D1233" s="55" t="s">
        <v>227</v>
      </c>
      <c r="E1233" s="67">
        <v>8400</v>
      </c>
      <c r="F1233" s="67">
        <v>12</v>
      </c>
      <c r="G1233" s="102">
        <v>91960</v>
      </c>
      <c r="H1233" s="56" t="s">
        <v>92</v>
      </c>
      <c r="I1233" s="106"/>
      <c r="K1233" s="56">
        <v>373</v>
      </c>
      <c r="L1233" s="55" t="s">
        <v>176</v>
      </c>
      <c r="M1233" s="55" t="s">
        <v>2824</v>
      </c>
      <c r="N1233" s="4" t="s">
        <v>193</v>
      </c>
      <c r="O1233" s="55" t="s">
        <v>178</v>
      </c>
    </row>
    <row r="1234" spans="2:15">
      <c r="B1234" s="20">
        <v>44994</v>
      </c>
      <c r="C1234" s="59">
        <v>50766060</v>
      </c>
      <c r="D1234" s="55" t="s">
        <v>627</v>
      </c>
      <c r="E1234" s="67">
        <v>9000</v>
      </c>
      <c r="F1234" s="67">
        <v>2</v>
      </c>
      <c r="G1234" s="102">
        <v>18000</v>
      </c>
      <c r="H1234" s="56" t="s">
        <v>92</v>
      </c>
      <c r="I1234" s="106"/>
      <c r="K1234" s="56">
        <v>373</v>
      </c>
      <c r="L1234" s="55" t="s">
        <v>176</v>
      </c>
      <c r="M1234" s="55" t="s">
        <v>2824</v>
      </c>
      <c r="N1234" s="4" t="s">
        <v>193</v>
      </c>
      <c r="O1234" s="55" t="s">
        <v>178</v>
      </c>
    </row>
    <row r="1235" spans="2:15">
      <c r="B1235" s="20">
        <v>44994</v>
      </c>
      <c r="C1235" s="59">
        <v>50655374</v>
      </c>
      <c r="D1235" s="55" t="s">
        <v>456</v>
      </c>
      <c r="E1235" s="67">
        <v>767.55</v>
      </c>
      <c r="F1235" s="67">
        <v>1</v>
      </c>
      <c r="G1235" s="102">
        <v>767.55</v>
      </c>
      <c r="H1235" s="56" t="s">
        <v>82</v>
      </c>
      <c r="I1235" s="106"/>
      <c r="K1235" s="56">
        <v>373</v>
      </c>
      <c r="L1235" s="55" t="s">
        <v>176</v>
      </c>
      <c r="M1235" s="55" t="s">
        <v>2824</v>
      </c>
      <c r="N1235" s="4" t="s">
        <v>193</v>
      </c>
      <c r="O1235" s="55" t="s">
        <v>178</v>
      </c>
    </row>
    <row r="1236" spans="2:15">
      <c r="B1236" s="20">
        <v>44994</v>
      </c>
      <c r="C1236" s="59">
        <v>50337816</v>
      </c>
      <c r="D1236" s="55" t="s">
        <v>245</v>
      </c>
      <c r="E1236" s="67">
        <v>264</v>
      </c>
      <c r="F1236" s="67">
        <v>2</v>
      </c>
      <c r="G1236" s="102">
        <v>528</v>
      </c>
      <c r="H1236" s="56" t="s">
        <v>80</v>
      </c>
      <c r="I1236" s="106"/>
      <c r="K1236" s="56">
        <v>373</v>
      </c>
      <c r="L1236" s="55" t="s">
        <v>176</v>
      </c>
      <c r="M1236" s="55" t="s">
        <v>2824</v>
      </c>
      <c r="N1236" s="4" t="s">
        <v>193</v>
      </c>
      <c r="O1236" s="55" t="s">
        <v>178</v>
      </c>
    </row>
    <row r="1237" spans="2:15">
      <c r="B1237" s="20">
        <v>44994</v>
      </c>
      <c r="C1237" s="59">
        <v>50470190</v>
      </c>
      <c r="D1237" s="55" t="s">
        <v>12</v>
      </c>
      <c r="E1237" s="67">
        <v>289800</v>
      </c>
      <c r="F1237" s="67">
        <v>2</v>
      </c>
      <c r="G1237" s="102">
        <v>579600</v>
      </c>
      <c r="H1237" s="56" t="s">
        <v>92</v>
      </c>
      <c r="I1237" s="106"/>
      <c r="K1237" s="56">
        <v>373</v>
      </c>
      <c r="L1237" s="55" t="s">
        <v>176</v>
      </c>
      <c r="M1237" s="55" t="s">
        <v>2824</v>
      </c>
      <c r="N1237" s="4" t="s">
        <v>193</v>
      </c>
      <c r="O1237" s="55" t="s">
        <v>178</v>
      </c>
    </row>
    <row r="1238" spans="2:15">
      <c r="B1238" s="20">
        <v>44994</v>
      </c>
      <c r="C1238" s="59">
        <v>50470190</v>
      </c>
      <c r="D1238" s="55" t="s">
        <v>12</v>
      </c>
      <c r="E1238" s="67">
        <v>289800</v>
      </c>
      <c r="F1238" s="67">
        <v>18</v>
      </c>
      <c r="G1238" s="102">
        <v>5216400</v>
      </c>
      <c r="H1238" s="56" t="s">
        <v>92</v>
      </c>
      <c r="I1238" s="106"/>
      <c r="K1238" s="56">
        <v>374</v>
      </c>
      <c r="L1238" s="55" t="s">
        <v>176</v>
      </c>
      <c r="M1238" s="55" t="s">
        <v>2824</v>
      </c>
      <c r="N1238" s="4" t="s">
        <v>193</v>
      </c>
      <c r="O1238" s="55" t="s">
        <v>178</v>
      </c>
    </row>
    <row r="1239" spans="2:15">
      <c r="B1239" s="20">
        <v>44994</v>
      </c>
      <c r="C1239" s="59">
        <v>50145028</v>
      </c>
      <c r="D1239" s="55" t="s">
        <v>23</v>
      </c>
      <c r="E1239" s="67">
        <v>192</v>
      </c>
      <c r="F1239" s="67">
        <v>3</v>
      </c>
      <c r="G1239" s="102">
        <v>576</v>
      </c>
      <c r="H1239" s="56" t="s">
        <v>92</v>
      </c>
      <c r="I1239" s="106"/>
      <c r="K1239" s="56">
        <v>375</v>
      </c>
      <c r="M1239" s="55" t="s">
        <v>326</v>
      </c>
      <c r="O1239" s="55" t="s">
        <v>178</v>
      </c>
    </row>
    <row r="1240" spans="2:15">
      <c r="B1240" s="20">
        <v>44995</v>
      </c>
      <c r="C1240" s="59">
        <v>50534881</v>
      </c>
      <c r="D1240" s="55" t="s">
        <v>227</v>
      </c>
      <c r="E1240" s="67">
        <v>9000</v>
      </c>
      <c r="F1240" s="67">
        <v>10</v>
      </c>
      <c r="G1240" s="102">
        <v>90000</v>
      </c>
      <c r="H1240" s="56" t="s">
        <v>92</v>
      </c>
      <c r="I1240" s="106"/>
      <c r="K1240" s="56">
        <v>376</v>
      </c>
      <c r="L1240" s="55" t="s">
        <v>326</v>
      </c>
      <c r="M1240" s="55" t="s">
        <v>2824</v>
      </c>
      <c r="N1240" s="4" t="s">
        <v>1832</v>
      </c>
      <c r="O1240" s="55" t="s">
        <v>178</v>
      </c>
    </row>
    <row r="1241" spans="2:15">
      <c r="B1241" s="20">
        <v>44995</v>
      </c>
      <c r="C1241" s="59">
        <v>50470190</v>
      </c>
      <c r="D1241" s="55" t="s">
        <v>12</v>
      </c>
      <c r="E1241" s="67">
        <v>289800</v>
      </c>
      <c r="F1241" s="67">
        <v>18</v>
      </c>
      <c r="G1241" s="102">
        <v>5216400</v>
      </c>
      <c r="H1241" s="56" t="s">
        <v>92</v>
      </c>
      <c r="K1241" s="56">
        <v>377</v>
      </c>
      <c r="L1241" s="55" t="s">
        <v>176</v>
      </c>
      <c r="M1241" s="55" t="s">
        <v>2824</v>
      </c>
      <c r="N1241" s="4" t="s">
        <v>193</v>
      </c>
      <c r="O1241" s="55" t="s">
        <v>178</v>
      </c>
    </row>
    <row r="1242" spans="2:15">
      <c r="B1242" s="20">
        <v>44995</v>
      </c>
      <c r="C1242" s="59">
        <v>50142631</v>
      </c>
      <c r="D1242" s="55" t="s">
        <v>566</v>
      </c>
      <c r="E1242" s="67">
        <v>750</v>
      </c>
      <c r="F1242" s="67">
        <v>1</v>
      </c>
      <c r="G1242" s="102">
        <v>750</v>
      </c>
      <c r="H1242" s="56" t="s">
        <v>82</v>
      </c>
      <c r="K1242" s="56">
        <v>378</v>
      </c>
      <c r="L1242" s="55" t="s">
        <v>176</v>
      </c>
      <c r="M1242" s="55" t="s">
        <v>2824</v>
      </c>
      <c r="N1242" s="4" t="s">
        <v>193</v>
      </c>
      <c r="O1242" s="55" t="s">
        <v>178</v>
      </c>
    </row>
    <row r="1243" spans="2:15">
      <c r="B1243" s="20">
        <v>44995</v>
      </c>
      <c r="C1243" s="59">
        <v>40011080</v>
      </c>
      <c r="D1243" s="55" t="s">
        <v>420</v>
      </c>
      <c r="E1243" s="67">
        <v>450</v>
      </c>
      <c r="F1243" s="67">
        <v>7</v>
      </c>
      <c r="G1243" s="102">
        <v>3150</v>
      </c>
      <c r="H1243" s="56" t="s">
        <v>80</v>
      </c>
      <c r="K1243" s="56">
        <v>378</v>
      </c>
      <c r="L1243" s="55" t="s">
        <v>176</v>
      </c>
      <c r="M1243" s="55" t="s">
        <v>2824</v>
      </c>
      <c r="N1243" s="4" t="s">
        <v>193</v>
      </c>
      <c r="O1243" s="55" t="s">
        <v>178</v>
      </c>
    </row>
    <row r="1244" spans="2:15">
      <c r="B1244" s="20">
        <v>44995</v>
      </c>
      <c r="C1244" s="59">
        <v>50761569</v>
      </c>
      <c r="D1244" s="55" t="s">
        <v>609</v>
      </c>
      <c r="E1244" s="67">
        <v>456</v>
      </c>
      <c r="F1244" s="67">
        <v>4</v>
      </c>
      <c r="G1244" s="102">
        <v>1898.05</v>
      </c>
      <c r="H1244" s="56" t="s">
        <v>82</v>
      </c>
      <c r="K1244" s="56">
        <v>378</v>
      </c>
      <c r="L1244" s="55" t="s">
        <v>176</v>
      </c>
      <c r="M1244" s="55" t="s">
        <v>2824</v>
      </c>
      <c r="N1244" s="4" t="s">
        <v>193</v>
      </c>
      <c r="O1244" s="55" t="s">
        <v>178</v>
      </c>
    </row>
    <row r="1245" spans="2:15">
      <c r="B1245" s="20">
        <v>44995</v>
      </c>
      <c r="C1245" s="59">
        <v>50010080</v>
      </c>
      <c r="D1245" s="55" t="s">
        <v>354</v>
      </c>
      <c r="E1245" s="67">
        <v>1000</v>
      </c>
      <c r="F1245" s="67">
        <v>3</v>
      </c>
      <c r="G1245" s="102">
        <v>3000</v>
      </c>
      <c r="H1245" s="56" t="s">
        <v>82</v>
      </c>
      <c r="K1245" s="56">
        <v>378</v>
      </c>
      <c r="L1245" s="55" t="s">
        <v>176</v>
      </c>
      <c r="M1245" s="55" t="s">
        <v>2824</v>
      </c>
      <c r="N1245" s="4" t="s">
        <v>193</v>
      </c>
      <c r="O1245" s="55" t="s">
        <v>178</v>
      </c>
    </row>
    <row r="1246" spans="2:15">
      <c r="B1246" s="20">
        <v>44995</v>
      </c>
      <c r="C1246" s="59">
        <v>50142237</v>
      </c>
      <c r="D1246" s="55" t="s">
        <v>617</v>
      </c>
      <c r="E1246" s="67">
        <v>1000</v>
      </c>
      <c r="F1246" s="67">
        <v>2</v>
      </c>
      <c r="G1246" s="102">
        <v>2000</v>
      </c>
      <c r="H1246" s="56" t="s">
        <v>92</v>
      </c>
      <c r="K1246" s="56">
        <v>378</v>
      </c>
      <c r="L1246" s="55" t="s">
        <v>176</v>
      </c>
      <c r="M1246" s="55" t="s">
        <v>2824</v>
      </c>
      <c r="N1246" s="4" t="s">
        <v>193</v>
      </c>
      <c r="O1246" s="55" t="s">
        <v>178</v>
      </c>
    </row>
    <row r="1247" spans="2:15">
      <c r="B1247" s="20">
        <v>44995</v>
      </c>
      <c r="C1247" s="59">
        <v>40009546</v>
      </c>
      <c r="D1247" s="55" t="s">
        <v>174</v>
      </c>
      <c r="E1247" s="67">
        <v>756</v>
      </c>
      <c r="F1247" s="67">
        <v>3</v>
      </c>
      <c r="G1247" s="102">
        <v>2268</v>
      </c>
      <c r="H1247" s="56" t="s">
        <v>80</v>
      </c>
      <c r="K1247" s="56">
        <v>378</v>
      </c>
      <c r="L1247" s="55" t="s">
        <v>176</v>
      </c>
      <c r="M1247" s="55" t="s">
        <v>2824</v>
      </c>
      <c r="N1247" s="4" t="s">
        <v>193</v>
      </c>
      <c r="O1247" s="55" t="s">
        <v>178</v>
      </c>
    </row>
    <row r="1248" spans="2:15">
      <c r="B1248" s="20">
        <v>44995</v>
      </c>
      <c r="C1248" s="59">
        <v>40009544</v>
      </c>
      <c r="D1248" s="55" t="s">
        <v>179</v>
      </c>
      <c r="E1248" s="67">
        <v>2940</v>
      </c>
      <c r="F1248" s="67">
        <v>1</v>
      </c>
      <c r="G1248" s="102">
        <v>2940</v>
      </c>
      <c r="H1248" s="56" t="s">
        <v>80</v>
      </c>
      <c r="K1248" s="56">
        <v>378</v>
      </c>
      <c r="L1248" s="55" t="s">
        <v>176</v>
      </c>
      <c r="M1248" s="55" t="s">
        <v>2824</v>
      </c>
      <c r="N1248" s="4" t="s">
        <v>193</v>
      </c>
      <c r="O1248" s="55" t="s">
        <v>178</v>
      </c>
    </row>
    <row r="1249" spans="2:15">
      <c r="B1249" s="20">
        <v>44995</v>
      </c>
      <c r="C1249" s="59">
        <v>50507916</v>
      </c>
      <c r="D1249" s="55" t="s">
        <v>406</v>
      </c>
      <c r="E1249" s="67">
        <v>264000</v>
      </c>
      <c r="F1249" s="67">
        <v>2</v>
      </c>
      <c r="G1249" s="102">
        <v>528000</v>
      </c>
      <c r="H1249" s="56" t="s">
        <v>92</v>
      </c>
    </row>
    <row r="1250" spans="2:15">
      <c r="B1250" s="20">
        <v>44998</v>
      </c>
      <c r="C1250" s="59">
        <v>40011780</v>
      </c>
      <c r="D1250" s="55" t="s">
        <v>584</v>
      </c>
      <c r="E1250" s="67">
        <v>450</v>
      </c>
      <c r="F1250" s="67">
        <v>2</v>
      </c>
      <c r="G1250" s="102">
        <v>1580</v>
      </c>
      <c r="H1250" s="56" t="s">
        <v>80</v>
      </c>
      <c r="K1250" s="56">
        <v>379</v>
      </c>
      <c r="L1250" s="55" t="s">
        <v>176</v>
      </c>
      <c r="M1250" s="55" t="s">
        <v>2824</v>
      </c>
      <c r="N1250" s="4" t="s">
        <v>177</v>
      </c>
      <c r="O1250" s="55" t="s">
        <v>178</v>
      </c>
    </row>
    <row r="1251" spans="2:15">
      <c r="B1251" s="20">
        <v>44998</v>
      </c>
      <c r="C1251" s="59">
        <v>40011081</v>
      </c>
      <c r="D1251" s="55" t="s">
        <v>646</v>
      </c>
      <c r="E1251" s="67">
        <v>450</v>
      </c>
      <c r="F1251" s="67">
        <v>2</v>
      </c>
      <c r="G1251" s="102">
        <v>440</v>
      </c>
      <c r="H1251" s="56" t="s">
        <v>80</v>
      </c>
      <c r="K1251" s="56">
        <v>379</v>
      </c>
      <c r="L1251" s="55" t="s">
        <v>176</v>
      </c>
      <c r="M1251" s="55" t="s">
        <v>2824</v>
      </c>
      <c r="N1251" s="4" t="s">
        <v>177</v>
      </c>
      <c r="O1251" s="55" t="s">
        <v>178</v>
      </c>
    </row>
    <row r="1252" spans="2:15">
      <c r="B1252" s="20">
        <v>44998</v>
      </c>
      <c r="C1252" s="59">
        <v>50802525</v>
      </c>
      <c r="D1252" s="55" t="s">
        <v>801</v>
      </c>
      <c r="E1252" s="67">
        <v>148000</v>
      </c>
      <c r="F1252" s="67">
        <v>10</v>
      </c>
      <c r="G1252" s="102">
        <v>148000</v>
      </c>
      <c r="H1252" s="56" t="s">
        <v>92</v>
      </c>
      <c r="K1252" s="56">
        <v>379</v>
      </c>
      <c r="L1252" s="55" t="s">
        <v>176</v>
      </c>
      <c r="M1252" s="55" t="s">
        <v>2824</v>
      </c>
      <c r="N1252" s="4" t="s">
        <v>177</v>
      </c>
      <c r="O1252" s="55" t="s">
        <v>178</v>
      </c>
    </row>
    <row r="1253" spans="2:15">
      <c r="B1253" s="20">
        <v>44998</v>
      </c>
      <c r="C1253" s="59">
        <v>50802526</v>
      </c>
      <c r="D1253" s="55" t="s">
        <v>804</v>
      </c>
      <c r="E1253" s="67">
        <v>148000</v>
      </c>
      <c r="F1253" s="67">
        <v>1</v>
      </c>
      <c r="G1253" s="102">
        <v>148000</v>
      </c>
      <c r="H1253" s="56" t="s">
        <v>92</v>
      </c>
      <c r="K1253" s="56">
        <v>379</v>
      </c>
      <c r="L1253" s="55" t="s">
        <v>176</v>
      </c>
      <c r="M1253" s="55" t="s">
        <v>2824</v>
      </c>
      <c r="N1253" s="4" t="s">
        <v>177</v>
      </c>
      <c r="O1253" s="55" t="s">
        <v>178</v>
      </c>
    </row>
    <row r="1254" spans="2:15">
      <c r="B1254" s="20">
        <v>44998</v>
      </c>
      <c r="C1254" s="59">
        <v>50802527</v>
      </c>
      <c r="D1254" s="55" t="s">
        <v>805</v>
      </c>
      <c r="E1254" s="67">
        <v>148000</v>
      </c>
      <c r="F1254" s="67">
        <v>1</v>
      </c>
      <c r="G1254" s="102">
        <v>148000</v>
      </c>
      <c r="H1254" s="56" t="s">
        <v>92</v>
      </c>
      <c r="K1254" s="56">
        <v>379</v>
      </c>
      <c r="L1254" s="55" t="s">
        <v>176</v>
      </c>
      <c r="M1254" s="55" t="s">
        <v>2824</v>
      </c>
      <c r="N1254" s="4" t="s">
        <v>177</v>
      </c>
      <c r="O1254" s="55" t="s">
        <v>178</v>
      </c>
    </row>
    <row r="1255" spans="2:15">
      <c r="B1255" s="20">
        <v>44998</v>
      </c>
      <c r="C1255" s="59">
        <v>50142397</v>
      </c>
      <c r="D1255" s="55" t="s">
        <v>557</v>
      </c>
      <c r="E1255" s="67">
        <v>100</v>
      </c>
      <c r="F1255" s="67">
        <v>4</v>
      </c>
      <c r="G1255" s="102">
        <v>100</v>
      </c>
      <c r="H1255" s="56" t="s">
        <v>92</v>
      </c>
      <c r="K1255" s="56">
        <v>379</v>
      </c>
      <c r="L1255" s="55" t="s">
        <v>176</v>
      </c>
      <c r="M1255" s="55" t="s">
        <v>2824</v>
      </c>
      <c r="N1255" s="4" t="s">
        <v>177</v>
      </c>
      <c r="O1255" s="55" t="s">
        <v>178</v>
      </c>
    </row>
    <row r="1256" spans="2:15">
      <c r="B1256" s="20">
        <v>44998</v>
      </c>
      <c r="C1256" s="59">
        <v>40009546</v>
      </c>
      <c r="D1256" s="55" t="s">
        <v>174</v>
      </c>
      <c r="E1256" s="67">
        <v>756</v>
      </c>
      <c r="F1256" s="67">
        <v>5</v>
      </c>
      <c r="G1256" s="102">
        <v>3474</v>
      </c>
      <c r="H1256" s="56" t="s">
        <v>80</v>
      </c>
      <c r="K1256" s="56">
        <v>379</v>
      </c>
      <c r="L1256" s="55" t="s">
        <v>176</v>
      </c>
      <c r="M1256" s="55" t="s">
        <v>2824</v>
      </c>
      <c r="N1256" s="4" t="s">
        <v>177</v>
      </c>
      <c r="O1256" s="55" t="s">
        <v>178</v>
      </c>
    </row>
    <row r="1257" spans="2:15">
      <c r="B1257" s="20">
        <v>44998</v>
      </c>
      <c r="C1257" s="59">
        <v>40009544</v>
      </c>
      <c r="D1257" s="55" t="s">
        <v>179</v>
      </c>
      <c r="E1257" s="67">
        <v>2940</v>
      </c>
      <c r="F1257" s="67">
        <v>5</v>
      </c>
      <c r="G1257" s="102">
        <v>13440</v>
      </c>
      <c r="H1257" s="56" t="s">
        <v>80</v>
      </c>
      <c r="K1257" s="56">
        <v>379</v>
      </c>
      <c r="L1257" s="55" t="s">
        <v>176</v>
      </c>
      <c r="M1257" s="55" t="s">
        <v>2824</v>
      </c>
      <c r="N1257" s="4" t="s">
        <v>177</v>
      </c>
      <c r="O1257" s="55" t="s">
        <v>178</v>
      </c>
    </row>
    <row r="1258" spans="2:15">
      <c r="B1258" s="20">
        <v>44998</v>
      </c>
      <c r="C1258" s="59">
        <v>50142455</v>
      </c>
      <c r="D1258" s="55" t="s">
        <v>560</v>
      </c>
      <c r="E1258" s="67">
        <v>50</v>
      </c>
      <c r="F1258" s="67">
        <v>2</v>
      </c>
      <c r="G1258" s="102">
        <v>50</v>
      </c>
      <c r="H1258" s="56" t="s">
        <v>92</v>
      </c>
      <c r="K1258" s="56">
        <v>379</v>
      </c>
      <c r="L1258" s="55" t="s">
        <v>176</v>
      </c>
      <c r="M1258" s="55" t="s">
        <v>2824</v>
      </c>
      <c r="N1258" s="4" t="s">
        <v>177</v>
      </c>
      <c r="O1258" s="55" t="s">
        <v>178</v>
      </c>
    </row>
    <row r="1259" spans="2:15">
      <c r="B1259" s="20">
        <v>44998</v>
      </c>
      <c r="C1259" s="59">
        <v>40011130</v>
      </c>
      <c r="D1259" s="55" t="s">
        <v>631</v>
      </c>
      <c r="E1259" s="67">
        <v>2940</v>
      </c>
      <c r="F1259" s="67">
        <v>1</v>
      </c>
      <c r="G1259" s="102">
        <v>2940</v>
      </c>
      <c r="H1259" s="56" t="s">
        <v>80</v>
      </c>
      <c r="K1259" s="56">
        <v>379</v>
      </c>
      <c r="L1259" s="55" t="s">
        <v>176</v>
      </c>
      <c r="M1259" s="55" t="s">
        <v>2824</v>
      </c>
      <c r="N1259" s="4" t="s">
        <v>177</v>
      </c>
      <c r="O1259" s="55" t="s">
        <v>178</v>
      </c>
    </row>
    <row r="1260" spans="2:15">
      <c r="B1260" s="20">
        <v>44999</v>
      </c>
      <c r="C1260" s="59">
        <v>50141786</v>
      </c>
      <c r="D1260" s="55" t="s">
        <v>188</v>
      </c>
      <c r="E1260" s="67">
        <v>560</v>
      </c>
      <c r="F1260" s="67">
        <v>15</v>
      </c>
      <c r="G1260" s="102">
        <v>8400</v>
      </c>
      <c r="H1260" s="56" t="s">
        <v>82</v>
      </c>
      <c r="K1260" s="56">
        <v>380</v>
      </c>
      <c r="L1260" s="55" t="s">
        <v>176</v>
      </c>
      <c r="M1260" s="55" t="s">
        <v>2824</v>
      </c>
      <c r="N1260" s="4" t="s">
        <v>193</v>
      </c>
      <c r="O1260" s="55" t="s">
        <v>178</v>
      </c>
    </row>
    <row r="1261" spans="2:15">
      <c r="B1261" s="20">
        <v>44999</v>
      </c>
      <c r="C1261" s="59">
        <v>50142281</v>
      </c>
      <c r="D1261" s="55" t="s">
        <v>204</v>
      </c>
      <c r="E1261" s="67">
        <v>450</v>
      </c>
      <c r="F1261" s="67">
        <v>2</v>
      </c>
      <c r="G1261" s="102">
        <v>900</v>
      </c>
      <c r="H1261" s="56" t="s">
        <v>82</v>
      </c>
      <c r="K1261" s="56">
        <v>380</v>
      </c>
      <c r="L1261" s="55" t="s">
        <v>176</v>
      </c>
      <c r="M1261" s="55" t="s">
        <v>2824</v>
      </c>
      <c r="N1261" s="4" t="s">
        <v>193</v>
      </c>
      <c r="O1261" s="55" t="s">
        <v>178</v>
      </c>
    </row>
    <row r="1262" spans="2:15">
      <c r="B1262" s="20">
        <v>44999</v>
      </c>
      <c r="C1262" s="59">
        <v>50142327</v>
      </c>
      <c r="D1262" s="55" t="s">
        <v>256</v>
      </c>
      <c r="E1262" s="67">
        <v>681</v>
      </c>
      <c r="F1262" s="67">
        <v>2</v>
      </c>
      <c r="G1262" s="102">
        <v>1362</v>
      </c>
      <c r="H1262" s="56" t="s">
        <v>82</v>
      </c>
      <c r="K1262" s="56">
        <v>380</v>
      </c>
      <c r="L1262" s="55" t="s">
        <v>176</v>
      </c>
      <c r="M1262" s="55" t="s">
        <v>2824</v>
      </c>
      <c r="N1262" s="4" t="s">
        <v>193</v>
      </c>
      <c r="O1262" s="55" t="s">
        <v>178</v>
      </c>
    </row>
    <row r="1263" spans="2:15">
      <c r="B1263" s="20">
        <v>44999</v>
      </c>
      <c r="C1263" s="59">
        <v>50142334</v>
      </c>
      <c r="D1263" s="55" t="s">
        <v>257</v>
      </c>
      <c r="E1263" s="67">
        <v>681</v>
      </c>
      <c r="F1263" s="67">
        <v>2</v>
      </c>
      <c r="G1263" s="102">
        <v>1362</v>
      </c>
      <c r="H1263" s="56" t="s">
        <v>82</v>
      </c>
      <c r="K1263" s="56">
        <v>380</v>
      </c>
      <c r="L1263" s="55" t="s">
        <v>176</v>
      </c>
      <c r="M1263" s="55" t="s">
        <v>2824</v>
      </c>
      <c r="N1263" s="4" t="s">
        <v>193</v>
      </c>
      <c r="O1263" s="55" t="s">
        <v>178</v>
      </c>
    </row>
    <row r="1264" spans="2:15">
      <c r="B1264" s="20">
        <v>45001</v>
      </c>
      <c r="C1264" s="59">
        <v>50143646</v>
      </c>
      <c r="D1264" s="55" t="s">
        <v>191</v>
      </c>
      <c r="E1264" s="67">
        <v>480</v>
      </c>
      <c r="F1264" s="67">
        <v>5</v>
      </c>
      <c r="G1264" s="102">
        <v>2400</v>
      </c>
      <c r="H1264" s="56" t="s">
        <v>82</v>
      </c>
      <c r="K1264" s="56">
        <v>381</v>
      </c>
      <c r="L1264" s="55" t="s">
        <v>326</v>
      </c>
      <c r="M1264" s="55" t="s">
        <v>2824</v>
      </c>
      <c r="N1264" s="4" t="s">
        <v>239</v>
      </c>
      <c r="O1264" s="55" t="s">
        <v>178</v>
      </c>
    </row>
    <row r="1265" spans="2:15">
      <c r="B1265" s="20">
        <v>45001</v>
      </c>
      <c r="C1265" s="59">
        <v>50010080</v>
      </c>
      <c r="D1265" s="55" t="s">
        <v>354</v>
      </c>
      <c r="E1265" s="67">
        <v>1000</v>
      </c>
      <c r="F1265" s="67">
        <v>4</v>
      </c>
      <c r="G1265" s="102">
        <v>4000</v>
      </c>
      <c r="H1265" s="56" t="s">
        <v>82</v>
      </c>
      <c r="K1265" s="56">
        <v>381</v>
      </c>
      <c r="L1265" s="55" t="s">
        <v>326</v>
      </c>
      <c r="M1265" s="55" t="s">
        <v>2824</v>
      </c>
      <c r="N1265" s="4" t="s">
        <v>239</v>
      </c>
      <c r="O1265" s="55" t="s">
        <v>178</v>
      </c>
    </row>
    <row r="1266" spans="2:15">
      <c r="B1266" s="20">
        <v>45001</v>
      </c>
      <c r="C1266" s="59">
        <v>50142327</v>
      </c>
      <c r="D1266" s="55" t="s">
        <v>256</v>
      </c>
      <c r="E1266" s="67">
        <v>681</v>
      </c>
      <c r="F1266" s="67">
        <v>1</v>
      </c>
      <c r="G1266" s="102">
        <v>681</v>
      </c>
      <c r="H1266" s="56" t="s">
        <v>82</v>
      </c>
      <c r="K1266" s="56">
        <v>381</v>
      </c>
      <c r="L1266" s="55" t="s">
        <v>326</v>
      </c>
      <c r="M1266" s="55" t="s">
        <v>2824</v>
      </c>
      <c r="N1266" s="4" t="s">
        <v>239</v>
      </c>
      <c r="O1266" s="55" t="s">
        <v>178</v>
      </c>
    </row>
    <row r="1267" spans="2:15">
      <c r="B1267" s="20">
        <v>45001</v>
      </c>
      <c r="C1267" s="59">
        <v>50142334</v>
      </c>
      <c r="D1267" s="55" t="s">
        <v>257</v>
      </c>
      <c r="E1267" s="67">
        <v>681</v>
      </c>
      <c r="F1267" s="67">
        <v>1</v>
      </c>
      <c r="G1267" s="102">
        <v>681</v>
      </c>
      <c r="H1267" s="56" t="s">
        <v>82</v>
      </c>
      <c r="K1267" s="56">
        <v>381</v>
      </c>
      <c r="L1267" s="55" t="s">
        <v>326</v>
      </c>
      <c r="M1267" s="55" t="s">
        <v>2824</v>
      </c>
      <c r="N1267" s="4" t="s">
        <v>239</v>
      </c>
      <c r="O1267" s="55" t="s">
        <v>178</v>
      </c>
    </row>
    <row r="1268" spans="2:15">
      <c r="B1268" s="20">
        <v>45001</v>
      </c>
      <c r="C1268" s="59">
        <v>50145012</v>
      </c>
      <c r="D1268" s="55" t="s">
        <v>504</v>
      </c>
      <c r="E1268" s="67">
        <v>36</v>
      </c>
      <c r="F1268" s="67">
        <v>1</v>
      </c>
      <c r="G1268" s="102">
        <v>36</v>
      </c>
      <c r="H1268" s="56" t="s">
        <v>92</v>
      </c>
      <c r="K1268" s="56">
        <v>381</v>
      </c>
      <c r="L1268" s="55" t="s">
        <v>326</v>
      </c>
      <c r="M1268" s="55" t="s">
        <v>2824</v>
      </c>
      <c r="N1268" s="4" t="s">
        <v>239</v>
      </c>
      <c r="O1268" s="55" t="s">
        <v>178</v>
      </c>
    </row>
    <row r="1269" spans="2:15">
      <c r="B1269" s="20">
        <v>45001</v>
      </c>
      <c r="C1269" s="59">
        <v>50392046</v>
      </c>
      <c r="D1269" s="55" t="s">
        <v>509</v>
      </c>
      <c r="E1269" s="67">
        <v>6</v>
      </c>
      <c r="F1269" s="67">
        <v>1</v>
      </c>
      <c r="G1269" s="102">
        <v>6</v>
      </c>
      <c r="H1269" s="99" t="s">
        <v>505</v>
      </c>
      <c r="K1269" s="56">
        <v>381</v>
      </c>
      <c r="L1269" s="55" t="s">
        <v>326</v>
      </c>
      <c r="M1269" s="55" t="s">
        <v>2824</v>
      </c>
      <c r="N1269" s="4" t="s">
        <v>239</v>
      </c>
      <c r="O1269" s="55" t="s">
        <v>178</v>
      </c>
    </row>
    <row r="1270" spans="2:15">
      <c r="B1270" s="20">
        <v>45001</v>
      </c>
      <c r="C1270" s="59">
        <v>50145029</v>
      </c>
      <c r="D1270" s="55" t="s">
        <v>705</v>
      </c>
      <c r="E1270" s="67">
        <v>72</v>
      </c>
      <c r="F1270" s="67">
        <v>1</v>
      </c>
      <c r="G1270" s="102">
        <v>72</v>
      </c>
      <c r="H1270" s="56" t="s">
        <v>505</v>
      </c>
      <c r="K1270" s="56">
        <v>381</v>
      </c>
      <c r="L1270" s="55" t="s">
        <v>326</v>
      </c>
      <c r="M1270" s="55" t="s">
        <v>2824</v>
      </c>
      <c r="N1270" s="4" t="s">
        <v>239</v>
      </c>
      <c r="O1270" s="55" t="s">
        <v>178</v>
      </c>
    </row>
    <row r="1271" spans="2:15">
      <c r="B1271" s="20">
        <v>45001</v>
      </c>
      <c r="C1271" s="59">
        <v>50392045</v>
      </c>
      <c r="D1271" s="55" t="s">
        <v>707</v>
      </c>
      <c r="E1271" s="67">
        <v>72</v>
      </c>
      <c r="F1271" s="67">
        <v>1</v>
      </c>
      <c r="G1271" s="102">
        <v>72</v>
      </c>
      <c r="H1271" s="56" t="s">
        <v>505</v>
      </c>
      <c r="K1271" s="56">
        <v>381</v>
      </c>
      <c r="L1271" s="55" t="s">
        <v>326</v>
      </c>
      <c r="M1271" s="55" t="s">
        <v>2824</v>
      </c>
      <c r="N1271" s="4" t="s">
        <v>239</v>
      </c>
      <c r="O1271" s="55" t="s">
        <v>178</v>
      </c>
    </row>
    <row r="1272" spans="2:15">
      <c r="B1272" s="20">
        <v>45001</v>
      </c>
      <c r="C1272" s="59">
        <v>50449101</v>
      </c>
      <c r="D1272" s="55" t="s">
        <v>237</v>
      </c>
      <c r="E1272" s="67">
        <v>289800</v>
      </c>
      <c r="F1272" s="67">
        <v>3</v>
      </c>
      <c r="G1272" s="102">
        <v>869400</v>
      </c>
      <c r="H1272" s="56" t="s">
        <v>92</v>
      </c>
      <c r="K1272" s="56">
        <v>381</v>
      </c>
      <c r="L1272" s="55" t="s">
        <v>326</v>
      </c>
      <c r="M1272" s="55" t="s">
        <v>2824</v>
      </c>
      <c r="N1272" s="4" t="s">
        <v>239</v>
      </c>
      <c r="O1272" s="55" t="s">
        <v>178</v>
      </c>
    </row>
    <row r="1273" spans="2:15">
      <c r="B1273" s="20">
        <v>45002</v>
      </c>
      <c r="C1273" s="59">
        <v>50501722</v>
      </c>
      <c r="D1273" s="55" t="s">
        <v>253</v>
      </c>
      <c r="E1273" s="67">
        <v>580</v>
      </c>
      <c r="F1273" s="67">
        <v>2</v>
      </c>
      <c r="G1273" s="102">
        <v>1000.7</v>
      </c>
      <c r="H1273" s="56" t="s">
        <v>82</v>
      </c>
      <c r="K1273" s="56">
        <v>382</v>
      </c>
      <c r="L1273" s="55" t="s">
        <v>176</v>
      </c>
      <c r="M1273" s="55" t="s">
        <v>2824</v>
      </c>
      <c r="N1273" s="4" t="s">
        <v>177</v>
      </c>
      <c r="O1273" s="55" t="s">
        <v>178</v>
      </c>
    </row>
    <row r="1274" spans="2:15">
      <c r="B1274" s="20">
        <v>45002</v>
      </c>
      <c r="C1274" s="59">
        <v>50507916</v>
      </c>
      <c r="D1274" s="55" t="s">
        <v>406</v>
      </c>
      <c r="E1274" s="67">
        <v>264000</v>
      </c>
      <c r="F1274" s="67">
        <v>4</v>
      </c>
      <c r="G1274" s="102">
        <v>1056000</v>
      </c>
      <c r="H1274" s="56" t="s">
        <v>92</v>
      </c>
      <c r="K1274" s="56">
        <v>382</v>
      </c>
      <c r="L1274" s="55" t="s">
        <v>176</v>
      </c>
      <c r="M1274" s="55" t="s">
        <v>2824</v>
      </c>
      <c r="N1274" s="4" t="s">
        <v>177</v>
      </c>
      <c r="O1274" s="55" t="s">
        <v>178</v>
      </c>
    </row>
    <row r="1275" spans="2:15">
      <c r="B1275" s="20">
        <v>45002</v>
      </c>
      <c r="C1275" s="59">
        <v>50470190</v>
      </c>
      <c r="D1275" s="55" t="s">
        <v>12</v>
      </c>
      <c r="E1275" s="67">
        <v>289800</v>
      </c>
      <c r="F1275" s="67">
        <v>11</v>
      </c>
      <c r="G1275" s="102">
        <v>3187800</v>
      </c>
      <c r="H1275" s="56" t="s">
        <v>92</v>
      </c>
      <c r="K1275" s="56">
        <v>382</v>
      </c>
      <c r="L1275" s="55" t="s">
        <v>176</v>
      </c>
      <c r="M1275" s="55" t="s">
        <v>2824</v>
      </c>
      <c r="N1275" s="4" t="s">
        <v>177</v>
      </c>
      <c r="O1275" s="55" t="s">
        <v>178</v>
      </c>
    </row>
    <row r="1276" spans="2:15">
      <c r="B1276" s="20">
        <v>45002</v>
      </c>
      <c r="C1276" s="59">
        <v>50145028</v>
      </c>
      <c r="D1276" s="55" t="s">
        <v>23</v>
      </c>
      <c r="E1276" s="67">
        <v>192</v>
      </c>
      <c r="F1276" s="67">
        <v>4</v>
      </c>
      <c r="G1276" s="102">
        <v>768</v>
      </c>
      <c r="H1276" s="56" t="s">
        <v>92</v>
      </c>
      <c r="K1276" s="56">
        <v>383</v>
      </c>
      <c r="L1276" s="55" t="s">
        <v>392</v>
      </c>
      <c r="M1276" s="55" t="s">
        <v>392</v>
      </c>
      <c r="N1276" s="4" t="s">
        <v>2841</v>
      </c>
      <c r="O1276" s="55" t="s">
        <v>178</v>
      </c>
    </row>
    <row r="1277" spans="2:15">
      <c r="B1277" s="20">
        <v>45002</v>
      </c>
      <c r="C1277" s="59">
        <v>50272278</v>
      </c>
      <c r="D1277" s="55" t="s">
        <v>21</v>
      </c>
      <c r="E1277" s="67">
        <v>500</v>
      </c>
      <c r="F1277" s="67">
        <v>3</v>
      </c>
      <c r="G1277" s="102">
        <v>1500</v>
      </c>
      <c r="H1277" s="56" t="s">
        <v>92</v>
      </c>
      <c r="K1277" s="56">
        <v>383</v>
      </c>
      <c r="L1277" s="55" t="s">
        <v>392</v>
      </c>
      <c r="M1277" s="55" t="s">
        <v>392</v>
      </c>
      <c r="N1277" s="4" t="s">
        <v>2841</v>
      </c>
      <c r="O1277" s="55" t="s">
        <v>178</v>
      </c>
    </row>
    <row r="1278" spans="2:15">
      <c r="B1278" s="20">
        <v>45002</v>
      </c>
      <c r="C1278" s="59">
        <v>50142237</v>
      </c>
      <c r="D1278" s="55" t="s">
        <v>617</v>
      </c>
      <c r="E1278" s="67">
        <v>1000</v>
      </c>
      <c r="F1278" s="67">
        <v>3</v>
      </c>
      <c r="G1278" s="102">
        <v>3000</v>
      </c>
      <c r="H1278" s="56" t="s">
        <v>92</v>
      </c>
      <c r="K1278" s="56">
        <v>383</v>
      </c>
      <c r="L1278" s="55" t="s">
        <v>392</v>
      </c>
      <c r="M1278" s="55" t="s">
        <v>392</v>
      </c>
      <c r="N1278" s="4" t="s">
        <v>2841</v>
      </c>
      <c r="O1278" s="55" t="s">
        <v>178</v>
      </c>
    </row>
    <row r="1279" spans="2:15">
      <c r="B1279" s="20">
        <v>45006</v>
      </c>
      <c r="C1279" s="59">
        <v>50470190</v>
      </c>
      <c r="D1279" s="55" t="s">
        <v>12</v>
      </c>
      <c r="E1279" s="67">
        <v>289800</v>
      </c>
      <c r="F1279" s="67">
        <v>9</v>
      </c>
      <c r="G1279" s="102">
        <v>2608200</v>
      </c>
      <c r="H1279" s="56" t="s">
        <v>92</v>
      </c>
      <c r="K1279" s="56">
        <v>384</v>
      </c>
      <c r="L1279" s="55" t="s">
        <v>176</v>
      </c>
      <c r="M1279" s="55" t="s">
        <v>2824</v>
      </c>
      <c r="N1279" s="4" t="s">
        <v>177</v>
      </c>
      <c r="O1279" s="55" t="s">
        <v>178</v>
      </c>
    </row>
    <row r="1280" spans="2:15">
      <c r="B1280" s="20">
        <v>45006</v>
      </c>
      <c r="C1280" s="59">
        <v>50486294</v>
      </c>
      <c r="D1280" s="55" t="s">
        <v>752</v>
      </c>
      <c r="E1280" s="67">
        <v>423</v>
      </c>
      <c r="F1280" s="67">
        <v>7</v>
      </c>
      <c r="G1280" s="102">
        <v>3547.6</v>
      </c>
      <c r="H1280" s="56" t="s">
        <v>82</v>
      </c>
      <c r="K1280" s="56">
        <v>384</v>
      </c>
      <c r="L1280" s="55" t="s">
        <v>176</v>
      </c>
      <c r="M1280" s="55" t="s">
        <v>2824</v>
      </c>
      <c r="N1280" s="4" t="s">
        <v>177</v>
      </c>
      <c r="O1280" s="55" t="s">
        <v>178</v>
      </c>
    </row>
    <row r="1281" spans="2:15">
      <c r="B1281" s="20">
        <v>45007</v>
      </c>
      <c r="C1281" s="59">
        <v>50142327</v>
      </c>
      <c r="D1281" s="55" t="s">
        <v>256</v>
      </c>
      <c r="E1281" s="67">
        <v>681</v>
      </c>
      <c r="F1281" s="67">
        <v>2</v>
      </c>
      <c r="G1281" s="102">
        <v>1362</v>
      </c>
      <c r="H1281" s="56" t="s">
        <v>82</v>
      </c>
      <c r="K1281" s="56">
        <v>385</v>
      </c>
      <c r="L1281" s="55" t="s">
        <v>176</v>
      </c>
      <c r="M1281" s="55" t="s">
        <v>2824</v>
      </c>
      <c r="N1281" s="4" t="s">
        <v>177</v>
      </c>
      <c r="O1281" s="55" t="s">
        <v>178</v>
      </c>
    </row>
    <row r="1282" spans="2:15">
      <c r="B1282" s="20">
        <v>45007</v>
      </c>
      <c r="C1282" s="59">
        <v>50142334</v>
      </c>
      <c r="D1282" s="55" t="s">
        <v>257</v>
      </c>
      <c r="E1282" s="67">
        <v>681</v>
      </c>
      <c r="F1282" s="67">
        <v>4</v>
      </c>
      <c r="G1282" s="102">
        <v>2724</v>
      </c>
      <c r="H1282" s="56" t="s">
        <v>82</v>
      </c>
      <c r="K1282" s="56">
        <v>385</v>
      </c>
      <c r="L1282" s="55" t="s">
        <v>176</v>
      </c>
      <c r="M1282" s="55" t="s">
        <v>2824</v>
      </c>
      <c r="N1282" s="4" t="s">
        <v>177</v>
      </c>
      <c r="O1282" s="55" t="s">
        <v>178</v>
      </c>
    </row>
    <row r="1283" spans="2:15">
      <c r="B1283" s="20">
        <v>45007</v>
      </c>
      <c r="C1283" s="59">
        <v>50142281</v>
      </c>
      <c r="D1283" s="55" t="s">
        <v>204</v>
      </c>
      <c r="E1283" s="67">
        <v>450</v>
      </c>
      <c r="F1283" s="67">
        <v>2</v>
      </c>
      <c r="G1283" s="102">
        <v>900</v>
      </c>
      <c r="H1283" s="56" t="s">
        <v>82</v>
      </c>
      <c r="K1283" s="56">
        <v>385</v>
      </c>
      <c r="L1283" s="55" t="s">
        <v>176</v>
      </c>
      <c r="M1283" s="55" t="s">
        <v>2824</v>
      </c>
      <c r="N1283" s="4" t="s">
        <v>177</v>
      </c>
      <c r="O1283" s="55" t="s">
        <v>178</v>
      </c>
    </row>
    <row r="1284" spans="2:15">
      <c r="B1284" s="20">
        <v>45007</v>
      </c>
      <c r="C1284" s="59">
        <v>50272278</v>
      </c>
      <c r="D1284" s="55" t="s">
        <v>21</v>
      </c>
      <c r="E1284" s="67">
        <v>500</v>
      </c>
      <c r="F1284" s="67">
        <v>12</v>
      </c>
      <c r="G1284" s="102">
        <v>6000</v>
      </c>
      <c r="H1284" s="56" t="s">
        <v>92</v>
      </c>
      <c r="K1284" s="56">
        <v>385</v>
      </c>
      <c r="L1284" s="55" t="s">
        <v>176</v>
      </c>
      <c r="M1284" s="55" t="s">
        <v>2824</v>
      </c>
      <c r="N1284" s="4" t="s">
        <v>177</v>
      </c>
      <c r="O1284" s="55" t="s">
        <v>178</v>
      </c>
    </row>
    <row r="1285" spans="2:15">
      <c r="B1285" s="20">
        <v>45008</v>
      </c>
      <c r="C1285" s="59">
        <v>40009546</v>
      </c>
      <c r="D1285" s="55" t="s">
        <v>174</v>
      </c>
      <c r="E1285" s="67">
        <v>756</v>
      </c>
      <c r="F1285" s="67">
        <v>3</v>
      </c>
      <c r="G1285" s="102">
        <f>+F1285*E1285</f>
        <v>2268</v>
      </c>
      <c r="H1285" s="56" t="s">
        <v>80</v>
      </c>
      <c r="K1285" s="56">
        <v>386</v>
      </c>
      <c r="L1285" s="55" t="s">
        <v>176</v>
      </c>
      <c r="M1285" s="55" t="s">
        <v>2824</v>
      </c>
      <c r="N1285" s="4" t="s">
        <v>177</v>
      </c>
      <c r="O1285" s="55" t="s">
        <v>533</v>
      </c>
    </row>
    <row r="1286" spans="2:15">
      <c r="B1286" s="20">
        <v>45008</v>
      </c>
      <c r="C1286" s="59">
        <v>50507916</v>
      </c>
      <c r="D1286" s="55" t="s">
        <v>406</v>
      </c>
      <c r="E1286" s="67">
        <v>264000</v>
      </c>
      <c r="F1286" s="67">
        <v>6</v>
      </c>
      <c r="G1286" s="102">
        <v>1584000</v>
      </c>
      <c r="H1286" s="56" t="s">
        <v>92</v>
      </c>
      <c r="K1286" s="56">
        <v>386</v>
      </c>
      <c r="L1286" s="55" t="s">
        <v>176</v>
      </c>
      <c r="M1286" s="55" t="s">
        <v>2824</v>
      </c>
      <c r="N1286" s="4" t="s">
        <v>177</v>
      </c>
      <c r="O1286" s="55" t="s">
        <v>533</v>
      </c>
    </row>
    <row r="1287" spans="2:15">
      <c r="B1287" s="20">
        <v>45008</v>
      </c>
      <c r="C1287" s="59">
        <v>40011148</v>
      </c>
      <c r="D1287" s="55" t="s">
        <v>86</v>
      </c>
      <c r="E1287" s="67">
        <v>450</v>
      </c>
      <c r="F1287" s="67">
        <v>2</v>
      </c>
      <c r="G1287" s="102">
        <v>900</v>
      </c>
      <c r="H1287" s="56" t="s">
        <v>80</v>
      </c>
      <c r="K1287" s="56">
        <v>386</v>
      </c>
      <c r="L1287" s="55" t="s">
        <v>176</v>
      </c>
      <c r="M1287" s="55" t="s">
        <v>2824</v>
      </c>
      <c r="N1287" s="4" t="s">
        <v>177</v>
      </c>
      <c r="O1287" s="55" t="s">
        <v>533</v>
      </c>
    </row>
    <row r="1288" spans="2:15">
      <c r="B1288" s="20">
        <v>45008</v>
      </c>
      <c r="C1288" s="59">
        <v>50272278</v>
      </c>
      <c r="D1288" s="55" t="s">
        <v>21</v>
      </c>
      <c r="E1288" s="67">
        <v>500</v>
      </c>
      <c r="F1288" s="67">
        <v>9</v>
      </c>
      <c r="G1288" s="102">
        <v>4500</v>
      </c>
      <c r="H1288" s="56" t="s">
        <v>92</v>
      </c>
      <c r="K1288" s="56">
        <v>386</v>
      </c>
      <c r="L1288" s="55" t="s">
        <v>176</v>
      </c>
      <c r="M1288" s="55" t="s">
        <v>2824</v>
      </c>
      <c r="N1288" s="4" t="s">
        <v>177</v>
      </c>
      <c r="O1288" s="55" t="s">
        <v>533</v>
      </c>
    </row>
    <row r="1289" spans="2:15">
      <c r="B1289" s="20">
        <v>45008</v>
      </c>
      <c r="C1289" s="59">
        <v>50470190</v>
      </c>
      <c r="D1289" s="55" t="s">
        <v>12</v>
      </c>
      <c r="E1289" s="67">
        <v>289800</v>
      </c>
      <c r="F1289" s="67">
        <v>18</v>
      </c>
      <c r="G1289" s="102">
        <f>18*289800</f>
        <v>5216400</v>
      </c>
      <c r="H1289" s="56" t="s">
        <v>92</v>
      </c>
      <c r="K1289" s="56">
        <v>387</v>
      </c>
      <c r="L1289" s="55" t="s">
        <v>176</v>
      </c>
      <c r="M1289" s="55" t="s">
        <v>2824</v>
      </c>
      <c r="N1289" s="4" t="s">
        <v>177</v>
      </c>
      <c r="O1289" s="55" t="s">
        <v>533</v>
      </c>
    </row>
    <row r="1290" spans="2:15">
      <c r="B1290" s="20">
        <v>45008</v>
      </c>
      <c r="C1290" s="59">
        <v>50145028</v>
      </c>
      <c r="D1290" s="55" t="s">
        <v>23</v>
      </c>
      <c r="E1290" s="67">
        <v>192</v>
      </c>
      <c r="F1290" s="67">
        <v>3</v>
      </c>
      <c r="G1290" s="102">
        <v>576</v>
      </c>
      <c r="H1290" s="56" t="s">
        <v>92</v>
      </c>
      <c r="K1290" s="56">
        <v>388</v>
      </c>
      <c r="L1290" s="55" t="s">
        <v>392</v>
      </c>
      <c r="M1290" s="55" t="s">
        <v>392</v>
      </c>
      <c r="N1290" s="4" t="s">
        <v>2841</v>
      </c>
      <c r="O1290" s="55" t="s">
        <v>533</v>
      </c>
    </row>
    <row r="1291" spans="2:15">
      <c r="B1291" s="20">
        <v>45009</v>
      </c>
      <c r="C1291" s="59">
        <v>50144953</v>
      </c>
      <c r="D1291" s="55" t="s">
        <v>269</v>
      </c>
      <c r="E1291" s="67">
        <v>1000</v>
      </c>
      <c r="F1291" s="67">
        <v>5</v>
      </c>
      <c r="G1291" s="102">
        <v>4875</v>
      </c>
      <c r="H1291" s="56" t="s">
        <v>82</v>
      </c>
      <c r="K1291" s="56">
        <v>389</v>
      </c>
      <c r="L1291" s="55" t="s">
        <v>176</v>
      </c>
      <c r="M1291" s="55" t="s">
        <v>2824</v>
      </c>
      <c r="N1291" s="4" t="s">
        <v>177</v>
      </c>
      <c r="O1291" s="55" t="s">
        <v>533</v>
      </c>
    </row>
    <row r="1292" spans="2:15">
      <c r="B1292" s="20">
        <v>45009</v>
      </c>
      <c r="C1292" s="59">
        <v>50340252</v>
      </c>
      <c r="D1292" s="55" t="s">
        <v>246</v>
      </c>
      <c r="E1292" s="67">
        <v>440000</v>
      </c>
      <c r="F1292" s="67">
        <v>4</v>
      </c>
      <c r="G1292" s="102">
        <v>1540000</v>
      </c>
      <c r="H1292" s="56" t="s">
        <v>92</v>
      </c>
      <c r="K1292" s="56">
        <v>389</v>
      </c>
      <c r="L1292" s="55" t="s">
        <v>176</v>
      </c>
      <c r="M1292" s="55" t="s">
        <v>2824</v>
      </c>
      <c r="N1292" s="4" t="s">
        <v>177</v>
      </c>
      <c r="O1292" s="55" t="s">
        <v>533</v>
      </c>
    </row>
    <row r="1293" spans="2:15">
      <c r="B1293" s="20">
        <v>45009</v>
      </c>
      <c r="C1293" s="59">
        <v>50272278</v>
      </c>
      <c r="D1293" s="55" t="s">
        <v>21</v>
      </c>
      <c r="E1293" s="67">
        <v>500</v>
      </c>
      <c r="F1293" s="67">
        <v>13</v>
      </c>
      <c r="G1293" s="102">
        <v>6500</v>
      </c>
      <c r="H1293" s="56" t="s">
        <v>92</v>
      </c>
      <c r="K1293" s="56">
        <v>389</v>
      </c>
      <c r="L1293" s="55" t="s">
        <v>176</v>
      </c>
      <c r="M1293" s="55" t="s">
        <v>2824</v>
      </c>
      <c r="N1293" s="4" t="s">
        <v>177</v>
      </c>
      <c r="O1293" s="55" t="s">
        <v>533</v>
      </c>
    </row>
    <row r="1294" spans="2:15">
      <c r="B1294" s="20">
        <v>45009</v>
      </c>
      <c r="C1294" s="59">
        <v>40007941</v>
      </c>
      <c r="D1294" s="55" t="s">
        <v>211</v>
      </c>
      <c r="E1294" s="67">
        <v>756</v>
      </c>
      <c r="F1294" s="67">
        <v>4</v>
      </c>
      <c r="G1294" s="102">
        <v>3024</v>
      </c>
      <c r="H1294" s="56" t="s">
        <v>80</v>
      </c>
      <c r="K1294" s="56">
        <v>390</v>
      </c>
      <c r="L1294" s="55" t="s">
        <v>176</v>
      </c>
      <c r="M1294" s="55" t="s">
        <v>2824</v>
      </c>
      <c r="N1294" s="4" t="s">
        <v>177</v>
      </c>
      <c r="O1294" s="55" t="s">
        <v>533</v>
      </c>
    </row>
    <row r="1295" spans="2:15">
      <c r="B1295" s="20">
        <v>45009</v>
      </c>
      <c r="C1295" s="59">
        <v>50337816</v>
      </c>
      <c r="D1295" s="55" t="s">
        <v>245</v>
      </c>
      <c r="E1295" s="67">
        <v>264</v>
      </c>
      <c r="F1295" s="67">
        <v>6</v>
      </c>
      <c r="G1295" s="102">
        <v>1584</v>
      </c>
      <c r="H1295" s="56" t="s">
        <v>80</v>
      </c>
      <c r="K1295" s="56">
        <v>390</v>
      </c>
      <c r="L1295" s="55" t="s">
        <v>176</v>
      </c>
      <c r="M1295" s="55" t="s">
        <v>2824</v>
      </c>
      <c r="N1295" s="4" t="s">
        <v>177</v>
      </c>
      <c r="O1295" s="55" t="s">
        <v>533</v>
      </c>
    </row>
    <row r="1296" spans="2:15">
      <c r="B1296" s="20">
        <v>45009</v>
      </c>
      <c r="C1296" s="59">
        <v>40011080</v>
      </c>
      <c r="D1296" s="55" t="s">
        <v>420</v>
      </c>
      <c r="E1296" s="67">
        <v>450</v>
      </c>
      <c r="F1296" s="67">
        <v>5</v>
      </c>
      <c r="G1296" s="102">
        <v>2100</v>
      </c>
      <c r="H1296" s="56" t="s">
        <v>80</v>
      </c>
      <c r="K1296" s="56">
        <v>390</v>
      </c>
      <c r="L1296" s="55" t="s">
        <v>176</v>
      </c>
      <c r="M1296" s="55" t="s">
        <v>2824</v>
      </c>
      <c r="N1296" s="4" t="s">
        <v>177</v>
      </c>
      <c r="O1296" s="55" t="s">
        <v>533</v>
      </c>
    </row>
    <row r="1297" spans="2:15">
      <c r="B1297" s="20">
        <v>45009</v>
      </c>
      <c r="C1297" s="59">
        <v>40010087</v>
      </c>
      <c r="D1297" s="55" t="s">
        <v>387</v>
      </c>
      <c r="E1297" s="67">
        <v>756</v>
      </c>
      <c r="F1297" s="67">
        <v>3</v>
      </c>
      <c r="G1297" s="102">
        <v>1512</v>
      </c>
      <c r="H1297" s="56" t="s">
        <v>80</v>
      </c>
      <c r="K1297" s="56">
        <v>390</v>
      </c>
      <c r="L1297" s="55" t="s">
        <v>176</v>
      </c>
      <c r="M1297" s="55" t="s">
        <v>2824</v>
      </c>
      <c r="N1297" s="4" t="s">
        <v>177</v>
      </c>
      <c r="O1297" s="55" t="s">
        <v>533</v>
      </c>
    </row>
    <row r="1298" spans="2:15">
      <c r="B1298" s="20">
        <v>45009</v>
      </c>
      <c r="C1298" s="59">
        <v>50272278</v>
      </c>
      <c r="D1298" s="55" t="s">
        <v>21</v>
      </c>
      <c r="E1298" s="67">
        <v>500</v>
      </c>
      <c r="F1298" s="67">
        <v>3</v>
      </c>
      <c r="G1298" s="102">
        <v>1500</v>
      </c>
      <c r="H1298" s="56" t="s">
        <v>92</v>
      </c>
      <c r="K1298" s="56">
        <v>390</v>
      </c>
      <c r="L1298" s="55" t="s">
        <v>176</v>
      </c>
      <c r="M1298" s="55" t="s">
        <v>2824</v>
      </c>
      <c r="N1298" s="4" t="s">
        <v>177</v>
      </c>
      <c r="O1298" s="55" t="s">
        <v>533</v>
      </c>
    </row>
    <row r="1299" spans="2:15">
      <c r="B1299" s="20">
        <v>45012</v>
      </c>
      <c r="C1299" s="59">
        <v>50395897</v>
      </c>
      <c r="D1299" s="55" t="s">
        <v>359</v>
      </c>
      <c r="E1299" s="67">
        <v>504.96</v>
      </c>
      <c r="F1299" s="67">
        <v>1</v>
      </c>
      <c r="G1299" s="102">
        <v>504960</v>
      </c>
      <c r="H1299" s="56" t="s">
        <v>92</v>
      </c>
      <c r="K1299" s="56">
        <v>391</v>
      </c>
      <c r="L1299" s="55" t="s">
        <v>176</v>
      </c>
      <c r="M1299" s="55" t="s">
        <v>2824</v>
      </c>
      <c r="N1299" s="4" t="s">
        <v>177</v>
      </c>
      <c r="O1299" s="55" t="s">
        <v>178</v>
      </c>
    </row>
    <row r="1300" spans="2:15">
      <c r="B1300" s="20">
        <v>45012</v>
      </c>
      <c r="C1300" s="59">
        <v>50551883</v>
      </c>
      <c r="D1300" s="55" t="s">
        <v>223</v>
      </c>
      <c r="E1300" s="67">
        <v>520.995</v>
      </c>
      <c r="F1300" s="67">
        <v>1</v>
      </c>
      <c r="G1300" s="102">
        <v>520.995</v>
      </c>
      <c r="H1300" s="56" t="s">
        <v>92</v>
      </c>
      <c r="K1300" s="56">
        <v>391</v>
      </c>
      <c r="L1300" s="55" t="s">
        <v>176</v>
      </c>
      <c r="M1300" s="55" t="s">
        <v>2824</v>
      </c>
      <c r="N1300" s="4" t="s">
        <v>177</v>
      </c>
      <c r="O1300" s="55" t="s">
        <v>178</v>
      </c>
    </row>
    <row r="1301" spans="2:15">
      <c r="B1301" s="20">
        <v>45012</v>
      </c>
      <c r="C1301" s="59">
        <v>50551884</v>
      </c>
      <c r="D1301" s="55" t="s">
        <v>360</v>
      </c>
      <c r="E1301" s="67">
        <v>1015</v>
      </c>
      <c r="F1301" s="67">
        <v>1</v>
      </c>
      <c r="G1301" s="102">
        <v>1015000</v>
      </c>
      <c r="H1301" s="56" t="s">
        <v>92</v>
      </c>
      <c r="K1301" s="56">
        <v>391</v>
      </c>
      <c r="L1301" s="55" t="s">
        <v>176</v>
      </c>
      <c r="M1301" s="55" t="s">
        <v>2824</v>
      </c>
      <c r="N1301" s="4" t="s">
        <v>177</v>
      </c>
      <c r="O1301" s="55" t="s">
        <v>178</v>
      </c>
    </row>
    <row r="1302" spans="2:15">
      <c r="B1302" s="20">
        <v>45012</v>
      </c>
      <c r="C1302" s="59">
        <v>50804971</v>
      </c>
      <c r="D1302" s="55" t="s">
        <v>855</v>
      </c>
      <c r="E1302" s="67">
        <v>50</v>
      </c>
      <c r="G1302" s="102">
        <v>50</v>
      </c>
      <c r="H1302" s="56" t="s">
        <v>92</v>
      </c>
      <c r="K1302" s="56">
        <v>391</v>
      </c>
      <c r="L1302" s="55" t="s">
        <v>176</v>
      </c>
      <c r="M1302" s="55" t="s">
        <v>2824</v>
      </c>
      <c r="N1302" s="4" t="s">
        <v>177</v>
      </c>
      <c r="O1302" s="55" t="s">
        <v>178</v>
      </c>
    </row>
    <row r="1303" spans="2:15">
      <c r="B1303" s="20">
        <v>45012</v>
      </c>
      <c r="C1303" s="59">
        <v>50804929</v>
      </c>
      <c r="D1303" s="55" t="s">
        <v>856</v>
      </c>
      <c r="E1303" s="67">
        <v>50</v>
      </c>
      <c r="G1303" s="102">
        <v>50</v>
      </c>
      <c r="H1303" s="56" t="s">
        <v>92</v>
      </c>
      <c r="K1303" s="56">
        <v>391</v>
      </c>
      <c r="L1303" s="55" t="s">
        <v>176</v>
      </c>
      <c r="M1303" s="55" t="s">
        <v>2824</v>
      </c>
      <c r="N1303" s="4" t="s">
        <v>177</v>
      </c>
      <c r="O1303" s="55" t="s">
        <v>178</v>
      </c>
    </row>
    <row r="1304" spans="2:15">
      <c r="B1304" s="20">
        <v>45012</v>
      </c>
      <c r="C1304" s="59">
        <v>50804970</v>
      </c>
      <c r="D1304" s="55" t="s">
        <v>857</v>
      </c>
      <c r="E1304" s="67">
        <v>50</v>
      </c>
      <c r="G1304" s="102">
        <v>50</v>
      </c>
      <c r="H1304" s="56" t="s">
        <v>92</v>
      </c>
      <c r="K1304" s="56">
        <v>391</v>
      </c>
      <c r="L1304" s="55" t="s">
        <v>176</v>
      </c>
      <c r="M1304" s="55" t="s">
        <v>2824</v>
      </c>
      <c r="N1304" s="4" t="s">
        <v>177</v>
      </c>
      <c r="O1304" s="55" t="s">
        <v>178</v>
      </c>
    </row>
    <row r="1305" spans="2:15">
      <c r="B1305" s="20">
        <v>45012</v>
      </c>
      <c r="C1305" s="59">
        <v>50470190</v>
      </c>
      <c r="D1305" s="55" t="s">
        <v>12</v>
      </c>
      <c r="E1305" s="67">
        <v>289800</v>
      </c>
      <c r="F1305" s="67">
        <v>12</v>
      </c>
      <c r="G1305" s="102">
        <v>3477600</v>
      </c>
      <c r="H1305" s="56" t="s">
        <v>92</v>
      </c>
      <c r="K1305" s="56">
        <v>391</v>
      </c>
      <c r="L1305" s="55" t="s">
        <v>176</v>
      </c>
      <c r="M1305" s="55" t="s">
        <v>2824</v>
      </c>
      <c r="N1305" s="4" t="s">
        <v>177</v>
      </c>
      <c r="O1305" s="55" t="s">
        <v>178</v>
      </c>
    </row>
    <row r="1306" spans="2:15">
      <c r="B1306" s="20">
        <v>45012</v>
      </c>
      <c r="C1306" s="59">
        <v>40009543</v>
      </c>
      <c r="D1306" s="55" t="s">
        <v>473</v>
      </c>
      <c r="E1306" s="67">
        <v>1380</v>
      </c>
      <c r="F1306" s="67">
        <v>1</v>
      </c>
      <c r="G1306" s="102">
        <v>1380</v>
      </c>
      <c r="H1306" s="56" t="s">
        <v>80</v>
      </c>
      <c r="K1306" s="56">
        <v>391</v>
      </c>
      <c r="L1306" s="55" t="s">
        <v>176</v>
      </c>
      <c r="M1306" s="55" t="s">
        <v>2824</v>
      </c>
      <c r="N1306" s="4" t="s">
        <v>177</v>
      </c>
      <c r="O1306" s="55" t="s">
        <v>178</v>
      </c>
    </row>
    <row r="1307" spans="2:15">
      <c r="B1307" s="20">
        <v>45012</v>
      </c>
      <c r="C1307" s="59">
        <v>50010080</v>
      </c>
      <c r="D1307" s="55" t="s">
        <v>354</v>
      </c>
      <c r="E1307" s="67">
        <v>1000</v>
      </c>
      <c r="F1307" s="67">
        <v>1</v>
      </c>
      <c r="G1307" s="102">
        <v>1000</v>
      </c>
      <c r="H1307" s="56" t="s">
        <v>82</v>
      </c>
      <c r="K1307" s="56">
        <v>391</v>
      </c>
      <c r="L1307" s="55" t="s">
        <v>176</v>
      </c>
      <c r="M1307" s="55" t="s">
        <v>2824</v>
      </c>
      <c r="N1307" s="4" t="s">
        <v>177</v>
      </c>
      <c r="O1307" s="55" t="s">
        <v>178</v>
      </c>
    </row>
    <row r="1308" spans="2:15">
      <c r="B1308" s="20">
        <v>45013</v>
      </c>
      <c r="C1308" s="59">
        <v>50272278</v>
      </c>
      <c r="D1308" s="55" t="s">
        <v>21</v>
      </c>
      <c r="E1308" s="67">
        <v>10000</v>
      </c>
      <c r="G1308" s="102">
        <v>10000</v>
      </c>
      <c r="H1308" s="56" t="s">
        <v>92</v>
      </c>
      <c r="K1308" s="56">
        <v>392</v>
      </c>
      <c r="L1308" s="55" t="s">
        <v>326</v>
      </c>
      <c r="M1308" s="55" t="s">
        <v>2824</v>
      </c>
      <c r="N1308" s="4" t="s">
        <v>239</v>
      </c>
      <c r="O1308" s="55" t="s">
        <v>178</v>
      </c>
    </row>
    <row r="1309" spans="2:15">
      <c r="B1309" s="20">
        <v>45013</v>
      </c>
      <c r="C1309" s="59">
        <v>40499</v>
      </c>
      <c r="D1309" s="55" t="s">
        <v>316</v>
      </c>
      <c r="E1309" s="67">
        <v>28</v>
      </c>
      <c r="F1309" s="67">
        <v>28</v>
      </c>
      <c r="G1309" s="102">
        <v>50</v>
      </c>
      <c r="H1309" s="56" t="s">
        <v>92</v>
      </c>
      <c r="K1309" s="56">
        <v>392</v>
      </c>
      <c r="L1309" s="55" t="s">
        <v>326</v>
      </c>
      <c r="M1309" s="55" t="s">
        <v>2824</v>
      </c>
      <c r="N1309" s="4" t="s">
        <v>239</v>
      </c>
      <c r="O1309" s="55" t="s">
        <v>178</v>
      </c>
    </row>
    <row r="1310" spans="2:15">
      <c r="B1310" s="20">
        <v>45014</v>
      </c>
      <c r="C1310" s="59">
        <v>50010080</v>
      </c>
      <c r="D1310" s="55" t="s">
        <v>354</v>
      </c>
      <c r="E1310" s="67">
        <v>1000</v>
      </c>
      <c r="F1310" s="67">
        <v>2</v>
      </c>
      <c r="G1310" s="102">
        <v>2000</v>
      </c>
      <c r="H1310" s="56" t="s">
        <v>82</v>
      </c>
      <c r="K1310" s="56">
        <v>393</v>
      </c>
      <c r="L1310" s="55" t="s">
        <v>176</v>
      </c>
      <c r="M1310" s="55" t="s">
        <v>2824</v>
      </c>
      <c r="N1310" s="4" t="s">
        <v>177</v>
      </c>
      <c r="O1310" s="55" t="s">
        <v>178</v>
      </c>
    </row>
    <row r="1311" spans="2:15">
      <c r="B1311" s="20">
        <v>45014</v>
      </c>
      <c r="C1311" s="59">
        <v>50272278</v>
      </c>
      <c r="D1311" s="55" t="s">
        <v>21</v>
      </c>
      <c r="E1311" s="67">
        <v>500</v>
      </c>
      <c r="F1311" s="67">
        <v>6</v>
      </c>
      <c r="G1311" s="102">
        <v>3000</v>
      </c>
      <c r="H1311" s="56" t="s">
        <v>92</v>
      </c>
      <c r="K1311" s="56">
        <v>393</v>
      </c>
      <c r="L1311" s="55" t="s">
        <v>176</v>
      </c>
      <c r="M1311" s="55" t="s">
        <v>2824</v>
      </c>
      <c r="N1311" s="4" t="s">
        <v>177</v>
      </c>
      <c r="O1311" s="55" t="s">
        <v>178</v>
      </c>
    </row>
    <row r="1312" spans="2:15">
      <c r="B1312" s="20">
        <v>45014</v>
      </c>
      <c r="C1312" s="59">
        <v>40011588</v>
      </c>
      <c r="D1312" s="55" t="s">
        <v>585</v>
      </c>
      <c r="E1312" s="67">
        <v>450</v>
      </c>
      <c r="F1312" s="67">
        <v>1</v>
      </c>
      <c r="G1312" s="102">
        <v>450</v>
      </c>
      <c r="H1312" s="56" t="s">
        <v>80</v>
      </c>
      <c r="K1312" s="56">
        <v>393</v>
      </c>
      <c r="L1312" s="55" t="s">
        <v>176</v>
      </c>
      <c r="M1312" s="55" t="s">
        <v>2824</v>
      </c>
      <c r="N1312" s="4" t="s">
        <v>177</v>
      </c>
      <c r="O1312" s="55" t="s">
        <v>178</v>
      </c>
    </row>
    <row r="1313" spans="2:15">
      <c r="B1313" s="20">
        <v>45014</v>
      </c>
      <c r="C1313" s="59">
        <v>50470190</v>
      </c>
      <c r="D1313" s="55" t="s">
        <v>12</v>
      </c>
      <c r="E1313" s="67">
        <v>289800</v>
      </c>
      <c r="F1313" s="67">
        <v>10</v>
      </c>
      <c r="G1313" s="102">
        <v>2898000</v>
      </c>
      <c r="H1313" s="56" t="s">
        <v>92</v>
      </c>
      <c r="K1313" s="56">
        <v>393</v>
      </c>
      <c r="L1313" s="55" t="s">
        <v>176</v>
      </c>
      <c r="M1313" s="55" t="s">
        <v>2824</v>
      </c>
      <c r="N1313" s="4" t="s">
        <v>177</v>
      </c>
      <c r="O1313" s="55" t="s">
        <v>178</v>
      </c>
    </row>
    <row r="1314" spans="2:15">
      <c r="B1314" s="20">
        <v>45014</v>
      </c>
      <c r="C1314" s="59">
        <v>40499</v>
      </c>
      <c r="D1314" s="55" t="s">
        <v>316</v>
      </c>
      <c r="E1314" s="67">
        <v>12</v>
      </c>
      <c r="F1314" s="67">
        <v>12</v>
      </c>
      <c r="G1314" s="102">
        <v>12</v>
      </c>
      <c r="H1314" s="56" t="s">
        <v>92</v>
      </c>
      <c r="K1314" s="56">
        <v>393</v>
      </c>
      <c r="L1314" s="55" t="s">
        <v>176</v>
      </c>
      <c r="M1314" s="55" t="s">
        <v>2824</v>
      </c>
      <c r="N1314" s="4" t="s">
        <v>177</v>
      </c>
      <c r="O1314" s="55" t="s">
        <v>178</v>
      </c>
    </row>
    <row r="1315" spans="2:15">
      <c r="B1315" s="20">
        <v>45015</v>
      </c>
      <c r="C1315" s="59">
        <v>50143893</v>
      </c>
      <c r="D1315" s="55" t="s">
        <v>24</v>
      </c>
      <c r="E1315" s="67">
        <v>996</v>
      </c>
      <c r="F1315" s="67">
        <v>2</v>
      </c>
      <c r="G1315" s="102">
        <v>1992</v>
      </c>
      <c r="H1315" s="56" t="s">
        <v>92</v>
      </c>
      <c r="K1315" s="56">
        <v>394</v>
      </c>
      <c r="L1315" s="55" t="s">
        <v>176</v>
      </c>
      <c r="M1315" s="55" t="s">
        <v>2824</v>
      </c>
      <c r="N1315" s="4" t="s">
        <v>177</v>
      </c>
      <c r="O1315" s="55" t="s">
        <v>178</v>
      </c>
    </row>
    <row r="1316" spans="2:15">
      <c r="B1316" s="20">
        <v>45015</v>
      </c>
      <c r="C1316" s="59">
        <v>50272278</v>
      </c>
      <c r="D1316" s="55" t="s">
        <v>21</v>
      </c>
      <c r="E1316" s="67">
        <v>500</v>
      </c>
      <c r="F1316" s="67">
        <v>11</v>
      </c>
      <c r="G1316" s="102">
        <v>5500</v>
      </c>
      <c r="H1316" s="56" t="s">
        <v>92</v>
      </c>
      <c r="K1316" s="56">
        <v>394</v>
      </c>
      <c r="L1316" s="55" t="s">
        <v>176</v>
      </c>
      <c r="M1316" s="55" t="s">
        <v>2824</v>
      </c>
      <c r="N1316" s="4" t="s">
        <v>177</v>
      </c>
      <c r="O1316" s="55" t="s">
        <v>178</v>
      </c>
    </row>
    <row r="1317" spans="2:15">
      <c r="B1317" s="20">
        <v>45015</v>
      </c>
      <c r="C1317" s="59">
        <v>50470190</v>
      </c>
      <c r="D1317" s="55" t="s">
        <v>12</v>
      </c>
      <c r="E1317" s="67">
        <v>289800</v>
      </c>
      <c r="F1317" s="67">
        <v>3</v>
      </c>
      <c r="G1317" s="102">
        <v>869400</v>
      </c>
      <c r="H1317" s="56" t="s">
        <v>92</v>
      </c>
      <c r="K1317" s="56">
        <v>394</v>
      </c>
      <c r="L1317" s="55" t="s">
        <v>176</v>
      </c>
      <c r="M1317" s="55" t="s">
        <v>2824</v>
      </c>
      <c r="N1317" s="4" t="s">
        <v>177</v>
      </c>
      <c r="O1317" s="55" t="s">
        <v>178</v>
      </c>
    </row>
    <row r="1318" spans="2:15">
      <c r="B1318" s="20">
        <v>45015</v>
      </c>
      <c r="C1318" s="59">
        <v>40011588</v>
      </c>
      <c r="D1318" s="55" t="s">
        <v>585</v>
      </c>
      <c r="E1318" s="67">
        <v>450</v>
      </c>
      <c r="F1318" s="67">
        <v>1</v>
      </c>
      <c r="G1318" s="102">
        <v>450</v>
      </c>
      <c r="H1318" s="56" t="s">
        <v>80</v>
      </c>
      <c r="K1318" s="56">
        <v>394</v>
      </c>
      <c r="L1318" s="55" t="s">
        <v>176</v>
      </c>
      <c r="M1318" s="55" t="s">
        <v>2824</v>
      </c>
      <c r="N1318" s="4" t="s">
        <v>177</v>
      </c>
      <c r="O1318" s="55" t="s">
        <v>178</v>
      </c>
    </row>
    <row r="1319" spans="2:15">
      <c r="B1319" s="20">
        <v>45015</v>
      </c>
      <c r="C1319" s="59">
        <v>50142327</v>
      </c>
      <c r="D1319" s="55" t="s">
        <v>256</v>
      </c>
      <c r="E1319" s="67">
        <v>681</v>
      </c>
      <c r="F1319" s="67">
        <v>1</v>
      </c>
      <c r="G1319" s="102">
        <v>681</v>
      </c>
      <c r="H1319" s="56" t="s">
        <v>82</v>
      </c>
      <c r="K1319" s="56">
        <v>394</v>
      </c>
      <c r="L1319" s="55" t="s">
        <v>176</v>
      </c>
      <c r="M1319" s="55" t="s">
        <v>2824</v>
      </c>
      <c r="N1319" s="4" t="s">
        <v>177</v>
      </c>
      <c r="O1319" s="55" t="s">
        <v>178</v>
      </c>
    </row>
    <row r="1320" spans="2:15">
      <c r="B1320" s="20">
        <v>45015</v>
      </c>
      <c r="C1320" s="59">
        <v>50142334</v>
      </c>
      <c r="D1320" s="55" t="s">
        <v>257</v>
      </c>
      <c r="E1320" s="67">
        <v>681</v>
      </c>
      <c r="F1320" s="67">
        <v>2</v>
      </c>
      <c r="G1320" s="102">
        <v>1362</v>
      </c>
      <c r="H1320" s="56" t="s">
        <v>82</v>
      </c>
      <c r="K1320" s="56">
        <v>394</v>
      </c>
      <c r="L1320" s="55" t="s">
        <v>176</v>
      </c>
      <c r="M1320" s="55" t="s">
        <v>2824</v>
      </c>
      <c r="N1320" s="4" t="s">
        <v>177</v>
      </c>
      <c r="O1320" s="55" t="s">
        <v>178</v>
      </c>
    </row>
    <row r="1321" spans="2:15">
      <c r="B1321" s="20">
        <v>45015</v>
      </c>
      <c r="C1321" s="59">
        <v>50142631</v>
      </c>
      <c r="D1321" s="55" t="s">
        <v>566</v>
      </c>
      <c r="E1321" s="67">
        <v>750</v>
      </c>
      <c r="F1321" s="67">
        <v>1</v>
      </c>
      <c r="G1321" s="102">
        <v>750</v>
      </c>
      <c r="H1321" s="56" t="s">
        <v>82</v>
      </c>
      <c r="K1321" s="56">
        <v>395</v>
      </c>
      <c r="L1321" s="55" t="s">
        <v>176</v>
      </c>
      <c r="M1321" s="55" t="s">
        <v>2824</v>
      </c>
      <c r="N1321" s="4" t="s">
        <v>193</v>
      </c>
      <c r="O1321" s="55" t="s">
        <v>178</v>
      </c>
    </row>
    <row r="1322" spans="2:15">
      <c r="B1322" s="20">
        <v>45016</v>
      </c>
      <c r="C1322" s="59">
        <v>50272278</v>
      </c>
      <c r="D1322" s="55" t="s">
        <v>21</v>
      </c>
      <c r="E1322" s="67">
        <v>500</v>
      </c>
      <c r="F1322" s="67">
        <v>20</v>
      </c>
      <c r="G1322" s="102">
        <v>5000</v>
      </c>
      <c r="H1322" s="56" t="s">
        <v>92</v>
      </c>
      <c r="K1322" s="56">
        <v>393</v>
      </c>
      <c r="L1322" s="55" t="s">
        <v>176</v>
      </c>
      <c r="M1322" s="55" t="s">
        <v>2824</v>
      </c>
      <c r="N1322" s="4" t="s">
        <v>177</v>
      </c>
      <c r="O1322" s="55" t="s">
        <v>178</v>
      </c>
    </row>
    <row r="1323" spans="2:15">
      <c r="B1323" s="20">
        <v>45016</v>
      </c>
      <c r="C1323" s="59">
        <v>50470190</v>
      </c>
      <c r="D1323" s="55" t="s">
        <v>12</v>
      </c>
      <c r="E1323" s="67">
        <v>289800</v>
      </c>
      <c r="F1323" s="67">
        <v>10</v>
      </c>
      <c r="G1323" s="102">
        <v>2898000</v>
      </c>
      <c r="H1323" s="56" t="s">
        <v>92</v>
      </c>
      <c r="K1323" s="56">
        <v>393</v>
      </c>
      <c r="L1323" s="55" t="s">
        <v>176</v>
      </c>
      <c r="M1323" s="55" t="s">
        <v>2824</v>
      </c>
      <c r="N1323" s="4" t="s">
        <v>177</v>
      </c>
      <c r="O1323" s="55" t="s">
        <v>178</v>
      </c>
    </row>
    <row r="1324" spans="2:15">
      <c r="B1324" s="20">
        <v>45016</v>
      </c>
      <c r="C1324" s="59">
        <v>40011588</v>
      </c>
      <c r="D1324" s="55" t="s">
        <v>585</v>
      </c>
      <c r="E1324" s="67">
        <v>450</v>
      </c>
      <c r="F1324" s="67">
        <v>2</v>
      </c>
      <c r="G1324" s="102">
        <v>900</v>
      </c>
      <c r="H1324" s="56" t="s">
        <v>80</v>
      </c>
      <c r="K1324" s="56">
        <v>394</v>
      </c>
      <c r="L1324" s="55" t="s">
        <v>176</v>
      </c>
      <c r="M1324" s="55" t="s">
        <v>2824</v>
      </c>
      <c r="N1324" s="4" t="s">
        <v>177</v>
      </c>
      <c r="O1324" s="55" t="s">
        <v>178</v>
      </c>
    </row>
    <row r="1325" spans="2:15">
      <c r="B1325" s="20">
        <v>45016</v>
      </c>
      <c r="C1325" s="59">
        <v>50272278</v>
      </c>
      <c r="D1325" s="55" t="s">
        <v>21</v>
      </c>
      <c r="E1325" s="67">
        <v>500</v>
      </c>
      <c r="F1325" s="67">
        <v>38</v>
      </c>
      <c r="G1325" s="102">
        <v>9000</v>
      </c>
      <c r="H1325" s="56" t="s">
        <v>92</v>
      </c>
      <c r="K1325" s="56">
        <v>394</v>
      </c>
      <c r="L1325" s="55" t="s">
        <v>176</v>
      </c>
      <c r="M1325" s="55" t="s">
        <v>2824</v>
      </c>
      <c r="N1325" s="4" t="s">
        <v>177</v>
      </c>
      <c r="O1325" s="55" t="s">
        <v>178</v>
      </c>
    </row>
    <row r="1326" spans="2:15">
      <c r="B1326" s="20">
        <v>45016</v>
      </c>
      <c r="C1326" s="59">
        <v>50010080</v>
      </c>
      <c r="D1326" s="55" t="s">
        <v>354</v>
      </c>
      <c r="E1326" s="67">
        <v>1000</v>
      </c>
      <c r="F1326" s="67">
        <v>2</v>
      </c>
      <c r="G1326" s="102">
        <v>2000</v>
      </c>
      <c r="H1326" s="56" t="s">
        <v>82</v>
      </c>
      <c r="K1326" s="56">
        <v>394</v>
      </c>
      <c r="L1326" s="55" t="s">
        <v>176</v>
      </c>
      <c r="M1326" s="55" t="s">
        <v>2824</v>
      </c>
      <c r="N1326" s="4" t="s">
        <v>177</v>
      </c>
      <c r="O1326" s="55" t="s">
        <v>178</v>
      </c>
    </row>
    <row r="1327" spans="2:15">
      <c r="B1327" s="20">
        <v>45016</v>
      </c>
      <c r="C1327" s="59">
        <v>40499</v>
      </c>
      <c r="D1327" s="55" t="s">
        <v>316</v>
      </c>
      <c r="E1327" s="67">
        <v>58</v>
      </c>
      <c r="F1327" s="67">
        <v>58</v>
      </c>
      <c r="G1327" s="102">
        <v>58</v>
      </c>
      <c r="H1327" s="56" t="s">
        <v>92</v>
      </c>
      <c r="K1327" s="56">
        <v>394</v>
      </c>
      <c r="L1327" s="55" t="s">
        <v>176</v>
      </c>
      <c r="M1327" s="55" t="s">
        <v>2824</v>
      </c>
      <c r="N1327" s="4" t="s">
        <v>177</v>
      </c>
      <c r="O1327" s="55" t="s">
        <v>178</v>
      </c>
    </row>
    <row r="1328" spans="2:15">
      <c r="B1328" s="20">
        <v>45019</v>
      </c>
      <c r="C1328" s="59">
        <v>50142584</v>
      </c>
      <c r="D1328" s="55" t="s">
        <v>846</v>
      </c>
      <c r="E1328" s="67">
        <v>50</v>
      </c>
      <c r="F1328" s="67">
        <v>1</v>
      </c>
      <c r="G1328" s="102">
        <v>50</v>
      </c>
      <c r="H1328" s="56" t="s">
        <v>82</v>
      </c>
      <c r="K1328" s="56">
        <v>397</v>
      </c>
      <c r="L1328" s="55" t="s">
        <v>176</v>
      </c>
      <c r="M1328" s="55" t="s">
        <v>2824</v>
      </c>
      <c r="N1328" s="4" t="s">
        <v>193</v>
      </c>
      <c r="O1328" s="55" t="s">
        <v>178</v>
      </c>
    </row>
    <row r="1329" spans="2:15">
      <c r="B1329" s="20">
        <v>45019</v>
      </c>
      <c r="C1329" s="59">
        <v>50272278</v>
      </c>
      <c r="D1329" s="55" t="s">
        <v>21</v>
      </c>
      <c r="E1329" s="67">
        <v>500</v>
      </c>
      <c r="F1329" s="67">
        <v>15</v>
      </c>
      <c r="G1329" s="102">
        <v>11500</v>
      </c>
      <c r="H1329" s="56" t="s">
        <v>92</v>
      </c>
      <c r="K1329" s="56">
        <v>397</v>
      </c>
      <c r="L1329" s="55" t="s">
        <v>176</v>
      </c>
      <c r="M1329" s="55" t="s">
        <v>2824</v>
      </c>
      <c r="N1329" s="4" t="s">
        <v>193</v>
      </c>
      <c r="O1329" s="55" t="s">
        <v>178</v>
      </c>
    </row>
    <row r="1330" spans="2:15">
      <c r="B1330" s="20">
        <v>45019</v>
      </c>
      <c r="C1330" s="59">
        <v>40499</v>
      </c>
      <c r="D1330" s="55" t="s">
        <v>316</v>
      </c>
      <c r="E1330" s="67">
        <v>34</v>
      </c>
      <c r="F1330" s="67">
        <v>34</v>
      </c>
      <c r="G1330" s="102">
        <v>34</v>
      </c>
      <c r="H1330" s="56" t="s">
        <v>92</v>
      </c>
      <c r="K1330" s="56">
        <v>397</v>
      </c>
      <c r="L1330" s="55" t="s">
        <v>176</v>
      </c>
      <c r="M1330" s="55" t="s">
        <v>2824</v>
      </c>
      <c r="N1330" s="4" t="s">
        <v>193</v>
      </c>
      <c r="O1330" s="55" t="s">
        <v>178</v>
      </c>
    </row>
    <row r="1331" spans="2:15">
      <c r="B1331" s="20">
        <v>45019</v>
      </c>
      <c r="C1331" s="59">
        <v>50010080</v>
      </c>
      <c r="D1331" s="55" t="s">
        <v>354</v>
      </c>
      <c r="E1331" s="67">
        <v>1000</v>
      </c>
      <c r="F1331" s="67">
        <v>3</v>
      </c>
      <c r="G1331" s="102">
        <v>3000</v>
      </c>
      <c r="H1331" s="56" t="s">
        <v>82</v>
      </c>
      <c r="K1331" s="56">
        <v>397</v>
      </c>
      <c r="L1331" s="55" t="s">
        <v>176</v>
      </c>
      <c r="M1331" s="55" t="s">
        <v>2824</v>
      </c>
      <c r="N1331" s="4" t="s">
        <v>193</v>
      </c>
      <c r="O1331" s="55" t="s">
        <v>178</v>
      </c>
    </row>
    <row r="1332" spans="2:15">
      <c r="B1332" s="20">
        <v>45019</v>
      </c>
      <c r="C1332" s="59">
        <v>50270855</v>
      </c>
      <c r="D1332" s="55" t="s">
        <v>740</v>
      </c>
      <c r="E1332" s="67">
        <v>264000</v>
      </c>
      <c r="F1332" s="67">
        <v>2</v>
      </c>
      <c r="G1332" s="102">
        <v>528000</v>
      </c>
      <c r="H1332" s="56" t="s">
        <v>92</v>
      </c>
      <c r="K1332" s="56">
        <v>397</v>
      </c>
      <c r="L1332" s="55" t="s">
        <v>176</v>
      </c>
      <c r="M1332" s="55" t="s">
        <v>2824</v>
      </c>
      <c r="N1332" s="4" t="s">
        <v>193</v>
      </c>
      <c r="O1332" s="55" t="s">
        <v>178</v>
      </c>
    </row>
    <row r="1333" spans="2:15">
      <c r="B1333" s="20">
        <v>45019</v>
      </c>
      <c r="C1333" s="59">
        <v>50770580</v>
      </c>
      <c r="D1333" s="55" t="s">
        <v>861</v>
      </c>
      <c r="E1333" s="67">
        <v>232.43</v>
      </c>
      <c r="F1333" s="67">
        <v>1</v>
      </c>
      <c r="G1333" s="102">
        <v>232.43</v>
      </c>
      <c r="H1333" s="56" t="s">
        <v>92</v>
      </c>
      <c r="K1333" s="56">
        <v>397</v>
      </c>
      <c r="L1333" s="55" t="s">
        <v>176</v>
      </c>
      <c r="M1333" s="55" t="s">
        <v>2824</v>
      </c>
      <c r="N1333" s="4" t="s">
        <v>193</v>
      </c>
      <c r="O1333" s="55" t="s">
        <v>178</v>
      </c>
    </row>
    <row r="1334" spans="2:15">
      <c r="B1334" s="20">
        <v>45019</v>
      </c>
      <c r="C1334" s="59">
        <v>50142281</v>
      </c>
      <c r="D1334" s="55" t="s">
        <v>204</v>
      </c>
      <c r="E1334" s="67">
        <v>450</v>
      </c>
      <c r="F1334" s="67">
        <v>2</v>
      </c>
      <c r="G1334" s="102">
        <v>900</v>
      </c>
      <c r="H1334" s="56" t="s">
        <v>82</v>
      </c>
      <c r="K1334" s="56">
        <v>397</v>
      </c>
      <c r="L1334" s="55" t="s">
        <v>176</v>
      </c>
      <c r="M1334" s="55" t="s">
        <v>2824</v>
      </c>
      <c r="N1334" s="4" t="s">
        <v>193</v>
      </c>
      <c r="O1334" s="55" t="s">
        <v>178</v>
      </c>
    </row>
    <row r="1335" spans="2:15">
      <c r="B1335" s="20">
        <v>45019</v>
      </c>
      <c r="C1335" s="59">
        <v>50145028</v>
      </c>
      <c r="D1335" s="55" t="s">
        <v>23</v>
      </c>
      <c r="E1335" s="67">
        <v>192</v>
      </c>
      <c r="F1335" s="67">
        <v>3</v>
      </c>
      <c r="G1335" s="102">
        <v>576</v>
      </c>
      <c r="H1335" s="56" t="s">
        <v>92</v>
      </c>
      <c r="K1335" s="56">
        <v>398</v>
      </c>
      <c r="L1335" s="55" t="s">
        <v>176</v>
      </c>
      <c r="M1335" s="55" t="s">
        <v>2824</v>
      </c>
      <c r="N1335" s="4" t="s">
        <v>193</v>
      </c>
      <c r="O1335" s="55" t="s">
        <v>178</v>
      </c>
    </row>
    <row r="1336" spans="2:15">
      <c r="B1336" s="20">
        <v>45019</v>
      </c>
      <c r="C1336" s="59">
        <v>50143893</v>
      </c>
      <c r="D1336" s="55" t="s">
        <v>24</v>
      </c>
      <c r="E1336" s="67">
        <v>996</v>
      </c>
      <c r="F1336" s="67">
        <v>3</v>
      </c>
      <c r="G1336" s="102">
        <v>2988</v>
      </c>
      <c r="H1336" s="56" t="s">
        <v>92</v>
      </c>
      <c r="K1336" s="56">
        <v>398</v>
      </c>
      <c r="L1336" s="55" t="s">
        <v>176</v>
      </c>
      <c r="M1336" s="55" t="s">
        <v>2824</v>
      </c>
      <c r="N1336" s="4" t="s">
        <v>193</v>
      </c>
      <c r="O1336" s="55" t="s">
        <v>178</v>
      </c>
    </row>
    <row r="1337" spans="2:15">
      <c r="B1337" s="20">
        <v>45019</v>
      </c>
      <c r="C1337" s="59">
        <v>50794589</v>
      </c>
      <c r="D1337" s="55" t="s">
        <v>594</v>
      </c>
      <c r="E1337" s="67">
        <v>487</v>
      </c>
      <c r="F1337" s="67">
        <v>10</v>
      </c>
      <c r="G1337" s="102">
        <v>7262.75</v>
      </c>
      <c r="H1337" s="56" t="s">
        <v>82</v>
      </c>
      <c r="K1337" s="56">
        <v>398</v>
      </c>
      <c r="L1337" s="55" t="s">
        <v>176</v>
      </c>
      <c r="M1337" s="55" t="s">
        <v>2824</v>
      </c>
      <c r="N1337" s="4" t="s">
        <v>193</v>
      </c>
      <c r="O1337" s="55" t="s">
        <v>178</v>
      </c>
    </row>
    <row r="1338" spans="2:15">
      <c r="B1338" s="20">
        <v>45020</v>
      </c>
      <c r="C1338" s="59">
        <v>50470190</v>
      </c>
      <c r="D1338" s="55" t="s">
        <v>12</v>
      </c>
      <c r="E1338" s="67">
        <v>289800</v>
      </c>
      <c r="F1338" s="67">
        <v>18</v>
      </c>
      <c r="G1338" s="102">
        <v>5216400</v>
      </c>
      <c r="H1338" s="56" t="s">
        <v>92</v>
      </c>
      <c r="K1338" s="56">
        <v>399</v>
      </c>
      <c r="L1338" s="55" t="s">
        <v>176</v>
      </c>
      <c r="M1338" s="55" t="s">
        <v>2824</v>
      </c>
      <c r="N1338" s="4" t="s">
        <v>193</v>
      </c>
      <c r="O1338" s="55" t="s">
        <v>178</v>
      </c>
    </row>
    <row r="1339" spans="2:15">
      <c r="B1339" s="20">
        <v>45020</v>
      </c>
      <c r="C1339" s="59">
        <v>50145028</v>
      </c>
      <c r="D1339" s="55" t="s">
        <v>23</v>
      </c>
      <c r="E1339" s="67">
        <v>192</v>
      </c>
      <c r="F1339" s="67">
        <v>5</v>
      </c>
      <c r="G1339" s="102">
        <v>960</v>
      </c>
      <c r="H1339" s="56" t="s">
        <v>92</v>
      </c>
      <c r="K1339" s="56">
        <v>400</v>
      </c>
      <c r="L1339" s="55" t="s">
        <v>392</v>
      </c>
      <c r="M1339" s="55" t="s">
        <v>392</v>
      </c>
      <c r="N1339" s="4" t="s">
        <v>2850</v>
      </c>
      <c r="O1339" s="55" t="s">
        <v>178</v>
      </c>
    </row>
    <row r="1340" spans="2:15">
      <c r="B1340" s="20">
        <v>45020</v>
      </c>
      <c r="C1340" s="59">
        <v>50272278</v>
      </c>
      <c r="D1340" s="55" t="s">
        <v>21</v>
      </c>
      <c r="E1340" s="67">
        <v>500</v>
      </c>
      <c r="F1340" s="67">
        <v>18</v>
      </c>
      <c r="G1340" s="102">
        <v>9000</v>
      </c>
      <c r="H1340" s="56" t="s">
        <v>92</v>
      </c>
      <c r="K1340" s="56">
        <v>400</v>
      </c>
      <c r="L1340" s="55" t="s">
        <v>392</v>
      </c>
      <c r="M1340" s="55" t="s">
        <v>392</v>
      </c>
      <c r="N1340" s="4" t="s">
        <v>2850</v>
      </c>
      <c r="O1340" s="55" t="s">
        <v>178</v>
      </c>
    </row>
    <row r="1341" spans="2:15">
      <c r="B1341" s="20">
        <v>45020</v>
      </c>
      <c r="C1341" s="59">
        <v>50142237</v>
      </c>
      <c r="D1341" s="55" t="s">
        <v>617</v>
      </c>
      <c r="E1341" s="67">
        <v>1000</v>
      </c>
      <c r="F1341" s="67">
        <v>3</v>
      </c>
      <c r="G1341" s="102">
        <v>3000</v>
      </c>
      <c r="H1341" s="56" t="s">
        <v>92</v>
      </c>
      <c r="K1341" s="56">
        <v>400</v>
      </c>
      <c r="L1341" s="55" t="s">
        <v>392</v>
      </c>
      <c r="M1341" s="55" t="s">
        <v>392</v>
      </c>
      <c r="N1341" s="4" t="s">
        <v>2850</v>
      </c>
      <c r="O1341" s="55" t="s">
        <v>178</v>
      </c>
    </row>
    <row r="1342" spans="2:15">
      <c r="B1342" s="20">
        <v>45020</v>
      </c>
      <c r="C1342" s="59">
        <v>50794589</v>
      </c>
      <c r="D1342" s="55" t="s">
        <v>594</v>
      </c>
      <c r="E1342" s="67">
        <v>4856</v>
      </c>
      <c r="F1342" s="67">
        <v>5</v>
      </c>
      <c r="G1342" s="102">
        <v>2931.2</v>
      </c>
      <c r="H1342" s="56" t="s">
        <v>82</v>
      </c>
      <c r="K1342" s="56">
        <v>401</v>
      </c>
      <c r="L1342" s="55" t="s">
        <v>176</v>
      </c>
      <c r="M1342" s="55" t="s">
        <v>2824</v>
      </c>
      <c r="N1342" s="4" t="s">
        <v>193</v>
      </c>
      <c r="O1342" s="55" t="s">
        <v>178</v>
      </c>
    </row>
    <row r="1343" spans="2:15">
      <c r="B1343" s="20">
        <v>45020</v>
      </c>
      <c r="C1343" s="59">
        <v>50142424</v>
      </c>
      <c r="D1343" s="55" t="s">
        <v>33</v>
      </c>
      <c r="E1343" s="67">
        <v>1000</v>
      </c>
      <c r="F1343" s="67">
        <v>6</v>
      </c>
      <c r="G1343" s="102">
        <v>6000</v>
      </c>
      <c r="H1343" s="56" t="s">
        <v>82</v>
      </c>
      <c r="K1343" s="56">
        <v>401</v>
      </c>
      <c r="L1343" s="55" t="s">
        <v>176</v>
      </c>
      <c r="M1343" s="55" t="s">
        <v>2824</v>
      </c>
      <c r="N1343" s="4" t="s">
        <v>193</v>
      </c>
      <c r="O1343" s="55" t="s">
        <v>178</v>
      </c>
    </row>
    <row r="1344" spans="2:15">
      <c r="B1344" s="20">
        <v>45020</v>
      </c>
      <c r="C1344" s="59">
        <v>50142551</v>
      </c>
      <c r="D1344" s="55" t="s">
        <v>215</v>
      </c>
      <c r="E1344" s="67">
        <v>25</v>
      </c>
      <c r="F1344" s="67">
        <v>9</v>
      </c>
      <c r="G1344" s="102">
        <v>225</v>
      </c>
      <c r="H1344" s="56" t="s">
        <v>92</v>
      </c>
      <c r="K1344" s="56">
        <v>401</v>
      </c>
      <c r="L1344" s="55" t="s">
        <v>176</v>
      </c>
      <c r="M1344" s="55" t="s">
        <v>2824</v>
      </c>
      <c r="N1344" s="4" t="s">
        <v>193</v>
      </c>
      <c r="O1344" s="55" t="s">
        <v>178</v>
      </c>
    </row>
    <row r="1345" spans="2:15">
      <c r="B1345" s="20">
        <v>45020</v>
      </c>
      <c r="C1345" s="59">
        <v>50142397</v>
      </c>
      <c r="D1345" s="55" t="s">
        <v>557</v>
      </c>
      <c r="E1345" s="67">
        <v>25</v>
      </c>
      <c r="F1345" s="67">
        <v>2</v>
      </c>
      <c r="G1345" s="102">
        <v>40</v>
      </c>
      <c r="H1345" s="56" t="s">
        <v>92</v>
      </c>
      <c r="K1345" s="56">
        <v>401</v>
      </c>
      <c r="L1345" s="55" t="s">
        <v>176</v>
      </c>
      <c r="M1345" s="55" t="s">
        <v>2824</v>
      </c>
      <c r="N1345" s="4" t="s">
        <v>193</v>
      </c>
      <c r="O1345" s="55" t="s">
        <v>178</v>
      </c>
    </row>
    <row r="1346" spans="2:15">
      <c r="B1346" s="20">
        <v>45020</v>
      </c>
      <c r="C1346" s="59">
        <v>50142455</v>
      </c>
      <c r="D1346" s="55" t="s">
        <v>560</v>
      </c>
      <c r="E1346" s="67">
        <v>25</v>
      </c>
      <c r="F1346" s="67">
        <v>4</v>
      </c>
      <c r="G1346" s="102">
        <v>100</v>
      </c>
      <c r="H1346" s="56" t="s">
        <v>92</v>
      </c>
      <c r="K1346" s="56">
        <v>401</v>
      </c>
      <c r="L1346" s="55" t="s">
        <v>176</v>
      </c>
      <c r="M1346" s="55" t="s">
        <v>2824</v>
      </c>
      <c r="N1346" s="4" t="s">
        <v>193</v>
      </c>
      <c r="O1346" s="55" t="s">
        <v>178</v>
      </c>
    </row>
    <row r="1347" spans="2:15">
      <c r="B1347" s="20">
        <v>45020</v>
      </c>
      <c r="C1347" s="59">
        <v>40011588</v>
      </c>
      <c r="D1347" s="55" t="s">
        <v>585</v>
      </c>
      <c r="E1347" s="67">
        <v>450</v>
      </c>
      <c r="F1347" s="67">
        <v>3</v>
      </c>
      <c r="G1347" s="102">
        <v>1350</v>
      </c>
      <c r="H1347" s="56" t="s">
        <v>80</v>
      </c>
      <c r="K1347" s="56">
        <v>401</v>
      </c>
      <c r="L1347" s="55" t="s">
        <v>176</v>
      </c>
      <c r="M1347" s="55" t="s">
        <v>2824</v>
      </c>
      <c r="N1347" s="4" t="s">
        <v>193</v>
      </c>
      <c r="O1347" s="55" t="s">
        <v>178</v>
      </c>
    </row>
    <row r="1348" spans="2:15">
      <c r="B1348" s="20">
        <v>45020</v>
      </c>
      <c r="C1348" s="59">
        <v>40011080</v>
      </c>
      <c r="D1348" s="55" t="s">
        <v>420</v>
      </c>
      <c r="E1348" s="67">
        <v>450</v>
      </c>
      <c r="F1348" s="67">
        <v>2</v>
      </c>
      <c r="G1348" s="102">
        <v>900</v>
      </c>
      <c r="H1348" s="56" t="s">
        <v>80</v>
      </c>
      <c r="K1348" s="56">
        <v>401</v>
      </c>
      <c r="L1348" s="55" t="s">
        <v>176</v>
      </c>
      <c r="M1348" s="55" t="s">
        <v>2824</v>
      </c>
      <c r="N1348" s="4" t="s">
        <v>193</v>
      </c>
      <c r="O1348" s="55" t="s">
        <v>178</v>
      </c>
    </row>
    <row r="1349" spans="2:15">
      <c r="B1349" s="20">
        <v>45020</v>
      </c>
      <c r="C1349" s="59">
        <v>50482948</v>
      </c>
      <c r="D1349" s="55" t="s">
        <v>378</v>
      </c>
      <c r="E1349" s="67">
        <v>12000</v>
      </c>
      <c r="F1349" s="67">
        <v>3</v>
      </c>
      <c r="G1349" s="102">
        <v>30000</v>
      </c>
      <c r="H1349" s="56" t="s">
        <v>92</v>
      </c>
      <c r="K1349" s="56">
        <v>402</v>
      </c>
      <c r="L1349" s="55" t="s">
        <v>326</v>
      </c>
      <c r="M1349" s="55" t="s">
        <v>326</v>
      </c>
      <c r="N1349" s="4" t="s">
        <v>345</v>
      </c>
      <c r="O1349" s="55" t="s">
        <v>178</v>
      </c>
    </row>
    <row r="1350" spans="2:15">
      <c r="B1350" s="20">
        <v>45020</v>
      </c>
      <c r="C1350" s="59">
        <v>50145028</v>
      </c>
      <c r="D1350" s="55" t="s">
        <v>23</v>
      </c>
      <c r="E1350" s="67">
        <v>192</v>
      </c>
      <c r="F1350" s="67">
        <v>3</v>
      </c>
      <c r="G1350" s="102">
        <v>576</v>
      </c>
      <c r="H1350" s="56" t="s">
        <v>92</v>
      </c>
      <c r="K1350" s="56">
        <v>402</v>
      </c>
      <c r="L1350" s="55" t="s">
        <v>326</v>
      </c>
      <c r="M1350" s="55" t="s">
        <v>326</v>
      </c>
      <c r="N1350" s="4" t="s">
        <v>345</v>
      </c>
      <c r="O1350" s="55" t="s">
        <v>178</v>
      </c>
    </row>
    <row r="1351" spans="2:15">
      <c r="B1351" s="20">
        <v>45020</v>
      </c>
      <c r="C1351" s="59">
        <v>50272278</v>
      </c>
      <c r="D1351" s="55" t="s">
        <v>21</v>
      </c>
      <c r="E1351" s="67">
        <v>500</v>
      </c>
      <c r="F1351" s="67">
        <v>3</v>
      </c>
      <c r="G1351" s="102">
        <v>3000</v>
      </c>
      <c r="H1351" s="56" t="s">
        <v>92</v>
      </c>
      <c r="K1351" s="56">
        <v>402</v>
      </c>
      <c r="L1351" s="55" t="s">
        <v>326</v>
      </c>
      <c r="M1351" s="55" t="s">
        <v>326</v>
      </c>
      <c r="N1351" s="4" t="s">
        <v>345</v>
      </c>
      <c r="O1351" s="55" t="s">
        <v>178</v>
      </c>
    </row>
    <row r="1352" spans="2:15">
      <c r="B1352" s="20">
        <v>45020</v>
      </c>
      <c r="C1352" s="59">
        <v>40499</v>
      </c>
      <c r="D1352" s="55" t="s">
        <v>316</v>
      </c>
      <c r="E1352" s="67">
        <v>12</v>
      </c>
      <c r="F1352" s="67">
        <v>12</v>
      </c>
      <c r="G1352" s="102">
        <v>74</v>
      </c>
      <c r="H1352" s="56" t="s">
        <v>92</v>
      </c>
      <c r="K1352" s="56">
        <v>402</v>
      </c>
      <c r="L1352" s="55" t="s">
        <v>326</v>
      </c>
      <c r="M1352" s="55" t="s">
        <v>326</v>
      </c>
      <c r="N1352" s="4" t="s">
        <v>345</v>
      </c>
      <c r="O1352" s="55" t="s">
        <v>178</v>
      </c>
    </row>
    <row r="1353" spans="2:15">
      <c r="B1353" s="20">
        <v>45021</v>
      </c>
      <c r="C1353" s="59">
        <v>50501722</v>
      </c>
      <c r="D1353" s="55" t="s">
        <v>253</v>
      </c>
      <c r="E1353" s="67">
        <v>512</v>
      </c>
      <c r="F1353" s="67">
        <v>8</v>
      </c>
      <c r="G1353" s="102">
        <v>3948.3</v>
      </c>
      <c r="H1353" s="56" t="s">
        <v>82</v>
      </c>
      <c r="K1353" s="56">
        <v>403</v>
      </c>
      <c r="L1353" s="55" t="s">
        <v>176</v>
      </c>
      <c r="M1353" s="55" t="s">
        <v>2824</v>
      </c>
      <c r="N1353" s="4" t="s">
        <v>193</v>
      </c>
      <c r="O1353" s="55" t="s">
        <v>178</v>
      </c>
    </row>
    <row r="1354" spans="2:15">
      <c r="B1354" s="20">
        <v>45021</v>
      </c>
      <c r="C1354" s="59">
        <v>50142327</v>
      </c>
      <c r="D1354" s="55" t="s">
        <v>256</v>
      </c>
      <c r="E1354" s="67">
        <v>681</v>
      </c>
      <c r="F1354" s="67">
        <v>1</v>
      </c>
      <c r="G1354" s="102">
        <v>681</v>
      </c>
      <c r="H1354" s="56" t="s">
        <v>82</v>
      </c>
      <c r="K1354" s="56">
        <v>403</v>
      </c>
      <c r="L1354" s="55" t="s">
        <v>176</v>
      </c>
      <c r="M1354" s="55" t="s">
        <v>2824</v>
      </c>
      <c r="N1354" s="4" t="s">
        <v>193</v>
      </c>
      <c r="O1354" s="55" t="s">
        <v>178</v>
      </c>
    </row>
    <row r="1355" spans="2:15">
      <c r="B1355" s="20">
        <v>45021</v>
      </c>
      <c r="C1355" s="59">
        <v>50470190</v>
      </c>
      <c r="D1355" s="55" t="s">
        <v>12</v>
      </c>
      <c r="E1355" s="67">
        <v>289800</v>
      </c>
      <c r="F1355" s="67">
        <v>5</v>
      </c>
      <c r="G1355" s="102">
        <v>1449000</v>
      </c>
      <c r="H1355" s="56" t="s">
        <v>92</v>
      </c>
      <c r="K1355" s="56">
        <v>403</v>
      </c>
      <c r="L1355" s="55" t="s">
        <v>176</v>
      </c>
      <c r="M1355" s="55" t="s">
        <v>2824</v>
      </c>
      <c r="N1355" s="4" t="s">
        <v>193</v>
      </c>
      <c r="O1355" s="55" t="s">
        <v>178</v>
      </c>
    </row>
    <row r="1356" spans="2:15">
      <c r="B1356" s="20">
        <v>45021</v>
      </c>
      <c r="C1356" s="59">
        <v>50144376</v>
      </c>
      <c r="D1356" s="55" t="s">
        <v>19</v>
      </c>
      <c r="E1356" s="67">
        <v>500</v>
      </c>
      <c r="F1356" s="67">
        <v>8</v>
      </c>
      <c r="G1356" s="102">
        <v>4000</v>
      </c>
      <c r="H1356" s="56" t="s">
        <v>92</v>
      </c>
      <c r="K1356" s="56">
        <v>403</v>
      </c>
      <c r="L1356" s="55" t="s">
        <v>176</v>
      </c>
      <c r="M1356" s="55" t="s">
        <v>2824</v>
      </c>
      <c r="N1356" s="4" t="s">
        <v>193</v>
      </c>
      <c r="O1356" s="55" t="s">
        <v>178</v>
      </c>
    </row>
    <row r="1357" spans="2:15">
      <c r="B1357" s="20">
        <v>45027</v>
      </c>
      <c r="C1357" s="59">
        <v>50470190</v>
      </c>
      <c r="D1357" s="55" t="s">
        <v>12</v>
      </c>
      <c r="E1357" s="67">
        <v>289800</v>
      </c>
      <c r="F1357" s="67">
        <v>18</v>
      </c>
      <c r="G1357" s="102">
        <v>5216400</v>
      </c>
      <c r="H1357" s="56" t="s">
        <v>92</v>
      </c>
      <c r="K1357" s="56">
        <v>404</v>
      </c>
      <c r="L1357" s="55" t="s">
        <v>176</v>
      </c>
      <c r="M1357" s="55" t="s">
        <v>2824</v>
      </c>
      <c r="N1357" s="4" t="s">
        <v>177</v>
      </c>
      <c r="O1357" s="55" t="s">
        <v>178</v>
      </c>
    </row>
    <row r="1358" spans="2:15">
      <c r="B1358" s="20">
        <v>45027</v>
      </c>
      <c r="C1358" s="59">
        <v>50315365</v>
      </c>
      <c r="D1358" s="55" t="s">
        <v>584</v>
      </c>
      <c r="E1358" s="67">
        <v>264</v>
      </c>
      <c r="F1358" s="67">
        <v>3</v>
      </c>
      <c r="G1358" s="102">
        <v>792</v>
      </c>
      <c r="H1358" s="56" t="s">
        <v>80</v>
      </c>
      <c r="K1358" s="56">
        <v>405</v>
      </c>
      <c r="L1358" s="55" t="s">
        <v>176</v>
      </c>
      <c r="M1358" s="55" t="s">
        <v>2824</v>
      </c>
      <c r="N1358" s="4" t="s">
        <v>177</v>
      </c>
      <c r="O1358" s="55" t="s">
        <v>178</v>
      </c>
    </row>
    <row r="1359" spans="2:15">
      <c r="B1359" s="20">
        <v>45027</v>
      </c>
      <c r="C1359" s="59">
        <v>50143875</v>
      </c>
      <c r="D1359" s="55" t="s">
        <v>713</v>
      </c>
      <c r="E1359" s="67">
        <v>4800</v>
      </c>
      <c r="G1359" s="102">
        <v>4800</v>
      </c>
      <c r="H1359" s="56" t="s">
        <v>92</v>
      </c>
      <c r="K1359" s="56">
        <v>405</v>
      </c>
      <c r="L1359" s="55" t="s">
        <v>176</v>
      </c>
      <c r="M1359" s="55" t="s">
        <v>2824</v>
      </c>
      <c r="N1359" s="4" t="s">
        <v>177</v>
      </c>
      <c r="O1359" s="55" t="s">
        <v>178</v>
      </c>
    </row>
    <row r="1360" spans="2:15">
      <c r="B1360" s="20">
        <v>45027</v>
      </c>
      <c r="C1360" s="59">
        <v>50010080</v>
      </c>
      <c r="D1360" s="55" t="s">
        <v>354</v>
      </c>
      <c r="E1360" s="67">
        <v>1000</v>
      </c>
      <c r="F1360" s="67">
        <v>2</v>
      </c>
      <c r="G1360" s="102">
        <v>2000</v>
      </c>
      <c r="H1360" s="56" t="s">
        <v>82</v>
      </c>
      <c r="K1360" s="56">
        <v>405</v>
      </c>
      <c r="L1360" s="55" t="s">
        <v>176</v>
      </c>
      <c r="M1360" s="55" t="s">
        <v>2824</v>
      </c>
      <c r="N1360" s="4" t="s">
        <v>177</v>
      </c>
      <c r="O1360" s="55" t="s">
        <v>178</v>
      </c>
    </row>
    <row r="1361" spans="2:15">
      <c r="B1361" s="20">
        <v>45027</v>
      </c>
      <c r="C1361" s="59">
        <v>40011080</v>
      </c>
      <c r="D1361" s="55" t="s">
        <v>420</v>
      </c>
      <c r="E1361" s="67">
        <v>450</v>
      </c>
      <c r="F1361" s="67">
        <v>2</v>
      </c>
      <c r="G1361" s="102">
        <v>900</v>
      </c>
      <c r="H1361" s="56" t="s">
        <v>80</v>
      </c>
      <c r="K1361" s="56">
        <v>405</v>
      </c>
      <c r="L1361" s="55" t="s">
        <v>176</v>
      </c>
      <c r="M1361" s="55" t="s">
        <v>2824</v>
      </c>
      <c r="N1361" s="4" t="s">
        <v>177</v>
      </c>
      <c r="O1361" s="55" t="s">
        <v>178</v>
      </c>
    </row>
    <row r="1362" spans="2:15">
      <c r="B1362" s="20">
        <v>45027</v>
      </c>
      <c r="C1362" s="59">
        <v>40010087</v>
      </c>
      <c r="D1362" s="55" t="s">
        <v>387</v>
      </c>
      <c r="E1362" s="67">
        <v>756</v>
      </c>
      <c r="F1362" s="67">
        <v>5</v>
      </c>
      <c r="G1362" s="102">
        <v>3401</v>
      </c>
      <c r="H1362" s="56" t="s">
        <v>80</v>
      </c>
      <c r="K1362" s="56">
        <v>405</v>
      </c>
      <c r="L1362" s="55" t="s">
        <v>176</v>
      </c>
      <c r="M1362" s="55" t="s">
        <v>2824</v>
      </c>
      <c r="N1362" s="4" t="s">
        <v>177</v>
      </c>
      <c r="O1362" s="55" t="s">
        <v>178</v>
      </c>
    </row>
    <row r="1363" spans="2:15">
      <c r="B1363" s="20">
        <v>45027</v>
      </c>
      <c r="C1363" s="59">
        <v>40009543</v>
      </c>
      <c r="D1363" s="55" t="s">
        <v>473</v>
      </c>
      <c r="E1363" s="67">
        <v>1680</v>
      </c>
      <c r="F1363" s="67">
        <v>3</v>
      </c>
      <c r="G1363" s="102">
        <v>4393</v>
      </c>
      <c r="H1363" s="56" t="s">
        <v>80</v>
      </c>
      <c r="K1363" s="56">
        <v>405</v>
      </c>
      <c r="L1363" s="55" t="s">
        <v>176</v>
      </c>
      <c r="M1363" s="55" t="s">
        <v>2824</v>
      </c>
      <c r="N1363" s="4" t="s">
        <v>177</v>
      </c>
      <c r="O1363" s="55" t="s">
        <v>178</v>
      </c>
    </row>
    <row r="1364" spans="2:15">
      <c r="B1364" s="20">
        <v>45027</v>
      </c>
      <c r="C1364" s="59">
        <v>40009541</v>
      </c>
      <c r="D1364" s="55" t="s">
        <v>685</v>
      </c>
      <c r="E1364" s="67">
        <v>3750</v>
      </c>
      <c r="F1364" s="67">
        <v>2</v>
      </c>
      <c r="G1364" s="102">
        <v>7203</v>
      </c>
      <c r="H1364" s="56" t="s">
        <v>80</v>
      </c>
      <c r="K1364" s="56">
        <v>405</v>
      </c>
      <c r="L1364" s="55" t="s">
        <v>176</v>
      </c>
      <c r="M1364" s="55" t="s">
        <v>2824</v>
      </c>
      <c r="N1364" s="4" t="s">
        <v>177</v>
      </c>
      <c r="O1364" s="55" t="s">
        <v>178</v>
      </c>
    </row>
    <row r="1365" spans="2:15">
      <c r="B1365" s="20">
        <v>45027</v>
      </c>
      <c r="C1365" s="59">
        <v>40009546</v>
      </c>
      <c r="D1365" s="55" t="s">
        <v>174</v>
      </c>
      <c r="E1365" s="67">
        <v>756</v>
      </c>
      <c r="F1365" s="67">
        <v>2</v>
      </c>
      <c r="G1365" s="102">
        <v>1512</v>
      </c>
      <c r="H1365" s="56" t="s">
        <v>80</v>
      </c>
      <c r="K1365" s="56">
        <v>405</v>
      </c>
      <c r="L1365" s="55" t="s">
        <v>176</v>
      </c>
      <c r="M1365" s="55" t="s">
        <v>2824</v>
      </c>
      <c r="N1365" s="4" t="s">
        <v>177</v>
      </c>
      <c r="O1365" s="55" t="s">
        <v>178</v>
      </c>
    </row>
    <row r="1366" spans="2:15">
      <c r="B1366" s="20">
        <v>45028</v>
      </c>
      <c r="C1366" s="59">
        <v>50142334</v>
      </c>
      <c r="D1366" s="55" t="s">
        <v>257</v>
      </c>
      <c r="E1366" s="67">
        <v>681</v>
      </c>
      <c r="F1366" s="67">
        <v>5</v>
      </c>
      <c r="G1366" s="102">
        <v>3405</v>
      </c>
      <c r="H1366" s="56" t="s">
        <v>82</v>
      </c>
      <c r="K1366" s="56">
        <v>406</v>
      </c>
      <c r="L1366" s="55" t="s">
        <v>176</v>
      </c>
      <c r="M1366" s="55" t="s">
        <v>2824</v>
      </c>
      <c r="N1366" s="4" t="s">
        <v>193</v>
      </c>
      <c r="O1366" s="55" t="s">
        <v>178</v>
      </c>
    </row>
    <row r="1367" spans="2:15">
      <c r="B1367" s="20">
        <v>45028</v>
      </c>
      <c r="C1367" s="59">
        <v>50522169</v>
      </c>
      <c r="D1367" s="55" t="s">
        <v>250</v>
      </c>
      <c r="E1367" s="67">
        <v>456</v>
      </c>
      <c r="F1367" s="67">
        <v>5</v>
      </c>
      <c r="G1367" s="102">
        <v>2467.6</v>
      </c>
      <c r="H1367" s="56" t="s">
        <v>82</v>
      </c>
      <c r="K1367" s="56">
        <v>406</v>
      </c>
      <c r="L1367" s="55" t="s">
        <v>176</v>
      </c>
      <c r="M1367" s="55" t="s">
        <v>2824</v>
      </c>
      <c r="N1367" s="4" t="s">
        <v>193</v>
      </c>
      <c r="O1367" s="55" t="s">
        <v>178</v>
      </c>
    </row>
    <row r="1368" spans="2:15">
      <c r="B1368" s="20">
        <v>45028</v>
      </c>
      <c r="C1368" s="59">
        <v>50142327</v>
      </c>
      <c r="D1368" s="55" t="s">
        <v>256</v>
      </c>
      <c r="E1368" s="67">
        <v>681</v>
      </c>
      <c r="F1368" s="67">
        <v>2</v>
      </c>
      <c r="G1368" s="102">
        <v>1362</v>
      </c>
      <c r="H1368" s="56" t="s">
        <v>82</v>
      </c>
      <c r="K1368" s="56">
        <v>406</v>
      </c>
      <c r="L1368" s="55" t="s">
        <v>176</v>
      </c>
      <c r="M1368" s="55" t="s">
        <v>2824</v>
      </c>
      <c r="N1368" s="4" t="s">
        <v>193</v>
      </c>
      <c r="O1368" s="55" t="s">
        <v>178</v>
      </c>
    </row>
    <row r="1369" spans="2:15">
      <c r="B1369" s="20">
        <v>45028</v>
      </c>
      <c r="C1369" s="59">
        <v>40011080</v>
      </c>
      <c r="D1369" s="55" t="s">
        <v>420</v>
      </c>
      <c r="E1369" s="67">
        <v>450</v>
      </c>
      <c r="F1369" s="67">
        <v>1</v>
      </c>
      <c r="G1369" s="102">
        <v>450</v>
      </c>
      <c r="H1369" s="56" t="s">
        <v>80</v>
      </c>
      <c r="K1369" s="56">
        <v>406</v>
      </c>
      <c r="L1369" s="55" t="s">
        <v>176</v>
      </c>
      <c r="M1369" s="55" t="s">
        <v>2824</v>
      </c>
      <c r="N1369" s="4" t="s">
        <v>193</v>
      </c>
      <c r="O1369" s="55" t="s">
        <v>178</v>
      </c>
    </row>
    <row r="1370" spans="2:15">
      <c r="B1370" s="20">
        <v>45028</v>
      </c>
      <c r="C1370" s="59">
        <v>20016185</v>
      </c>
      <c r="D1370" s="55" t="s">
        <v>285</v>
      </c>
      <c r="E1370" s="67">
        <v>1000</v>
      </c>
      <c r="F1370" s="67">
        <v>5</v>
      </c>
      <c r="G1370" s="102">
        <v>5000</v>
      </c>
      <c r="H1370" s="56" t="s">
        <v>92</v>
      </c>
      <c r="K1370" s="56">
        <v>406</v>
      </c>
      <c r="L1370" s="55" t="s">
        <v>176</v>
      </c>
      <c r="M1370" s="55" t="s">
        <v>2824</v>
      </c>
      <c r="N1370" s="4" t="s">
        <v>193</v>
      </c>
      <c r="O1370" s="55" t="s">
        <v>178</v>
      </c>
    </row>
    <row r="1371" spans="2:15">
      <c r="B1371" s="20">
        <v>45028</v>
      </c>
      <c r="C1371" s="59">
        <v>40011133</v>
      </c>
      <c r="D1371" s="55" t="s">
        <v>634</v>
      </c>
      <c r="E1371" s="67">
        <v>756</v>
      </c>
      <c r="F1371" s="67">
        <v>4</v>
      </c>
      <c r="G1371" s="102">
        <v>2475</v>
      </c>
      <c r="H1371" s="56" t="s">
        <v>80</v>
      </c>
      <c r="K1371" s="56">
        <v>406</v>
      </c>
      <c r="L1371" s="55" t="s">
        <v>176</v>
      </c>
      <c r="M1371" s="55" t="s">
        <v>2824</v>
      </c>
      <c r="N1371" s="4" t="s">
        <v>193</v>
      </c>
      <c r="O1371" s="55" t="s">
        <v>178</v>
      </c>
    </row>
    <row r="1372" spans="2:15">
      <c r="B1372" s="20">
        <v>45028</v>
      </c>
      <c r="C1372" s="59">
        <v>50337816</v>
      </c>
      <c r="D1372" s="55" t="s">
        <v>245</v>
      </c>
      <c r="E1372" s="67">
        <v>264</v>
      </c>
      <c r="F1372" s="67">
        <v>2</v>
      </c>
      <c r="G1372" s="102">
        <v>528</v>
      </c>
      <c r="H1372" s="56" t="s">
        <v>80</v>
      </c>
      <c r="K1372" s="56">
        <v>406</v>
      </c>
      <c r="L1372" s="55" t="s">
        <v>176</v>
      </c>
      <c r="M1372" s="55" t="s">
        <v>2824</v>
      </c>
      <c r="N1372" s="4" t="s">
        <v>193</v>
      </c>
      <c r="O1372" s="55" t="s">
        <v>178</v>
      </c>
    </row>
    <row r="1373" spans="2:15">
      <c r="B1373" s="20">
        <v>45028</v>
      </c>
      <c r="C1373" s="59">
        <v>40011588</v>
      </c>
      <c r="D1373" s="55" t="s">
        <v>585</v>
      </c>
      <c r="E1373" s="67">
        <v>450</v>
      </c>
      <c r="F1373" s="67">
        <v>1</v>
      </c>
      <c r="G1373" s="102">
        <v>450</v>
      </c>
      <c r="H1373" s="56" t="s">
        <v>80</v>
      </c>
      <c r="K1373" s="56">
        <v>406</v>
      </c>
      <c r="L1373" s="55" t="s">
        <v>176</v>
      </c>
      <c r="M1373" s="55" t="s">
        <v>2824</v>
      </c>
      <c r="N1373" s="4" t="s">
        <v>193</v>
      </c>
      <c r="O1373" s="55" t="s">
        <v>178</v>
      </c>
    </row>
    <row r="1374" spans="2:15">
      <c r="B1374" s="20">
        <v>45028</v>
      </c>
      <c r="C1374" s="59">
        <v>50144334</v>
      </c>
      <c r="D1374" s="55" t="s">
        <v>426</v>
      </c>
      <c r="E1374" s="67">
        <v>530</v>
      </c>
      <c r="F1374" s="67">
        <v>1</v>
      </c>
      <c r="G1374" s="102">
        <v>530</v>
      </c>
      <c r="H1374" s="56" t="s">
        <v>82</v>
      </c>
      <c r="K1374" s="56">
        <v>407</v>
      </c>
      <c r="M1374" s="55" t="s">
        <v>326</v>
      </c>
      <c r="O1374" s="55" t="s">
        <v>178</v>
      </c>
    </row>
    <row r="1375" spans="2:15">
      <c r="B1375" s="20">
        <v>45030</v>
      </c>
      <c r="C1375" s="59">
        <v>50470190</v>
      </c>
      <c r="D1375" s="55" t="s">
        <v>12</v>
      </c>
      <c r="E1375" s="67">
        <v>289800</v>
      </c>
      <c r="F1375" s="67">
        <v>18</v>
      </c>
      <c r="G1375" s="102">
        <v>5216400</v>
      </c>
      <c r="H1375" s="56" t="s">
        <v>92</v>
      </c>
      <c r="K1375" s="56">
        <v>407</v>
      </c>
      <c r="L1375" s="55" t="s">
        <v>176</v>
      </c>
      <c r="M1375" s="55" t="s">
        <v>2824</v>
      </c>
      <c r="N1375" s="4" t="s">
        <v>193</v>
      </c>
      <c r="O1375" s="55" t="s">
        <v>178</v>
      </c>
    </row>
    <row r="1376" spans="2:15">
      <c r="B1376" s="20">
        <v>45030</v>
      </c>
      <c r="C1376" s="59">
        <v>50142055</v>
      </c>
      <c r="D1376" s="55" t="s">
        <v>206</v>
      </c>
      <c r="E1376" s="67">
        <v>600</v>
      </c>
      <c r="F1376" s="67">
        <v>4</v>
      </c>
      <c r="G1376" s="102">
        <v>2400</v>
      </c>
      <c r="H1376" s="56" t="s">
        <v>82</v>
      </c>
      <c r="K1376" s="56">
        <v>408</v>
      </c>
      <c r="L1376" s="55" t="s">
        <v>176</v>
      </c>
      <c r="M1376" s="55" t="s">
        <v>2824</v>
      </c>
      <c r="N1376" s="4" t="s">
        <v>193</v>
      </c>
      <c r="O1376" s="55" t="s">
        <v>178</v>
      </c>
    </row>
    <row r="1377" spans="2:15">
      <c r="B1377" s="20">
        <v>45030</v>
      </c>
      <c r="C1377" s="59">
        <v>50010080</v>
      </c>
      <c r="D1377" s="55" t="s">
        <v>354</v>
      </c>
      <c r="E1377" s="67">
        <v>1000</v>
      </c>
      <c r="F1377" s="67">
        <v>3</v>
      </c>
      <c r="G1377" s="102">
        <v>3000</v>
      </c>
      <c r="H1377" s="56" t="s">
        <v>82</v>
      </c>
      <c r="K1377" s="56">
        <v>408</v>
      </c>
      <c r="L1377" s="55" t="s">
        <v>176</v>
      </c>
      <c r="M1377" s="55" t="s">
        <v>2824</v>
      </c>
      <c r="N1377" s="4" t="s">
        <v>193</v>
      </c>
      <c r="O1377" s="55" t="s">
        <v>178</v>
      </c>
    </row>
    <row r="1378" spans="2:15">
      <c r="B1378" s="20">
        <v>45030</v>
      </c>
      <c r="C1378" s="59">
        <v>40007941</v>
      </c>
      <c r="D1378" s="55" t="s">
        <v>211</v>
      </c>
      <c r="E1378" s="67">
        <v>756</v>
      </c>
      <c r="F1378" s="67">
        <v>2</v>
      </c>
      <c r="G1378" s="102">
        <v>1512</v>
      </c>
      <c r="H1378" s="56" t="s">
        <v>80</v>
      </c>
      <c r="K1378" s="56">
        <v>408</v>
      </c>
      <c r="L1378" s="55" t="s">
        <v>176</v>
      </c>
      <c r="M1378" s="55" t="s">
        <v>2824</v>
      </c>
      <c r="N1378" s="4" t="s">
        <v>193</v>
      </c>
      <c r="O1378" s="55" t="s">
        <v>178</v>
      </c>
    </row>
    <row r="1379" spans="2:15">
      <c r="B1379" s="20">
        <v>45030</v>
      </c>
      <c r="C1379" s="59">
        <v>50337816</v>
      </c>
      <c r="D1379" s="55" t="s">
        <v>245</v>
      </c>
      <c r="E1379" s="67">
        <v>264</v>
      </c>
      <c r="F1379" s="67">
        <v>3</v>
      </c>
      <c r="G1379" s="102">
        <v>792</v>
      </c>
      <c r="H1379" s="56" t="s">
        <v>80</v>
      </c>
      <c r="K1379" s="56">
        <v>408</v>
      </c>
      <c r="L1379" s="55" t="s">
        <v>176</v>
      </c>
      <c r="M1379" s="55" t="s">
        <v>2824</v>
      </c>
      <c r="N1379" s="4" t="s">
        <v>193</v>
      </c>
      <c r="O1379" s="55" t="s">
        <v>178</v>
      </c>
    </row>
    <row r="1380" spans="2:15">
      <c r="B1380" s="20">
        <v>45030</v>
      </c>
      <c r="C1380" s="59">
        <v>50509889</v>
      </c>
      <c r="D1380" s="55" t="s">
        <v>671</v>
      </c>
      <c r="E1380" s="67">
        <v>264</v>
      </c>
      <c r="F1380" s="67">
        <v>3</v>
      </c>
      <c r="G1380" s="102">
        <v>792000</v>
      </c>
      <c r="H1380" s="56" t="s">
        <v>92</v>
      </c>
      <c r="K1380" s="56">
        <v>408</v>
      </c>
      <c r="L1380" s="55" t="s">
        <v>176</v>
      </c>
      <c r="M1380" s="55" t="s">
        <v>2824</v>
      </c>
      <c r="N1380" s="4" t="s">
        <v>193</v>
      </c>
      <c r="O1380" s="55" t="s">
        <v>178</v>
      </c>
    </row>
    <row r="1381" spans="2:15">
      <c r="B1381" s="20">
        <v>45030</v>
      </c>
      <c r="C1381" s="59">
        <v>40009546</v>
      </c>
      <c r="D1381" s="55" t="s">
        <v>174</v>
      </c>
      <c r="E1381" s="67">
        <v>756</v>
      </c>
      <c r="F1381" s="67">
        <v>3</v>
      </c>
      <c r="G1381" s="102">
        <v>1854</v>
      </c>
      <c r="H1381" s="56" t="s">
        <v>80</v>
      </c>
      <c r="K1381" s="56">
        <v>408</v>
      </c>
      <c r="L1381" s="55" t="s">
        <v>176</v>
      </c>
      <c r="M1381" s="55" t="s">
        <v>2824</v>
      </c>
      <c r="N1381" s="4" t="s">
        <v>193</v>
      </c>
      <c r="O1381" s="55" t="s">
        <v>178</v>
      </c>
    </row>
    <row r="1382" spans="2:15">
      <c r="B1382" s="20">
        <v>45030</v>
      </c>
      <c r="C1382" s="59">
        <v>50142327</v>
      </c>
      <c r="D1382" s="55" t="s">
        <v>256</v>
      </c>
      <c r="E1382" s="67">
        <v>22.7</v>
      </c>
      <c r="F1382" s="67">
        <v>1</v>
      </c>
      <c r="G1382" s="102">
        <v>612.9</v>
      </c>
      <c r="H1382" s="56" t="s">
        <v>82</v>
      </c>
      <c r="K1382" s="56">
        <v>408</v>
      </c>
      <c r="L1382" s="55" t="s">
        <v>176</v>
      </c>
      <c r="M1382" s="55" t="s">
        <v>2824</v>
      </c>
      <c r="N1382" s="4" t="s">
        <v>193</v>
      </c>
      <c r="O1382" s="55" t="s">
        <v>178</v>
      </c>
    </row>
    <row r="1383" spans="2:15">
      <c r="B1383" s="20">
        <v>45030</v>
      </c>
      <c r="C1383" s="59">
        <v>50142334</v>
      </c>
      <c r="D1383" s="55" t="s">
        <v>257</v>
      </c>
      <c r="E1383" s="67">
        <v>681</v>
      </c>
      <c r="G1383" s="102">
        <v>612.9</v>
      </c>
      <c r="H1383" s="56" t="s">
        <v>82</v>
      </c>
      <c r="K1383" s="56">
        <v>408</v>
      </c>
      <c r="L1383" s="55" t="s">
        <v>176</v>
      </c>
      <c r="M1383" s="55" t="s">
        <v>2824</v>
      </c>
      <c r="N1383" s="4" t="s">
        <v>193</v>
      </c>
      <c r="O1383" s="55" t="s">
        <v>178</v>
      </c>
    </row>
    <row r="1384" spans="2:15">
      <c r="B1384" s="20">
        <v>45034</v>
      </c>
      <c r="C1384" s="59">
        <v>40011080</v>
      </c>
      <c r="D1384" s="55" t="s">
        <v>420</v>
      </c>
      <c r="E1384" s="67">
        <v>450</v>
      </c>
      <c r="F1384" s="67">
        <v>7</v>
      </c>
      <c r="G1384" s="102">
        <v>3016</v>
      </c>
      <c r="H1384" s="56" t="s">
        <v>80</v>
      </c>
      <c r="K1384" s="56">
        <v>409</v>
      </c>
      <c r="L1384" s="55" t="s">
        <v>176</v>
      </c>
      <c r="M1384" s="55" t="s">
        <v>2824</v>
      </c>
      <c r="N1384" s="4" t="s">
        <v>193</v>
      </c>
      <c r="O1384" s="55" t="s">
        <v>178</v>
      </c>
    </row>
    <row r="1385" spans="2:15">
      <c r="B1385" s="20">
        <v>45034</v>
      </c>
      <c r="C1385" s="59">
        <v>40011588</v>
      </c>
      <c r="D1385" s="55" t="s">
        <v>585</v>
      </c>
      <c r="E1385" s="67">
        <v>450</v>
      </c>
      <c r="F1385" s="67">
        <v>5</v>
      </c>
      <c r="G1385" s="102">
        <v>1895.7</v>
      </c>
      <c r="H1385" s="56" t="s">
        <v>80</v>
      </c>
      <c r="K1385" s="56">
        <v>409</v>
      </c>
      <c r="L1385" s="55" t="s">
        <v>176</v>
      </c>
      <c r="M1385" s="55" t="s">
        <v>2824</v>
      </c>
      <c r="N1385" s="4" t="s">
        <v>193</v>
      </c>
      <c r="O1385" s="55" t="s">
        <v>178</v>
      </c>
    </row>
    <row r="1386" spans="2:15">
      <c r="B1386" s="20">
        <v>45034</v>
      </c>
      <c r="C1386" s="59">
        <v>50522169</v>
      </c>
      <c r="D1386" s="55" t="s">
        <v>250</v>
      </c>
      <c r="E1386" s="67">
        <v>482.15</v>
      </c>
      <c r="F1386" s="67">
        <v>1</v>
      </c>
      <c r="G1386" s="102">
        <v>482.15</v>
      </c>
      <c r="H1386" s="56" t="s">
        <v>82</v>
      </c>
      <c r="K1386" s="56">
        <v>409</v>
      </c>
      <c r="L1386" s="55" t="s">
        <v>176</v>
      </c>
      <c r="M1386" s="55" t="s">
        <v>2824</v>
      </c>
      <c r="N1386" s="4" t="s">
        <v>193</v>
      </c>
      <c r="O1386" s="55" t="s">
        <v>178</v>
      </c>
    </row>
    <row r="1387" spans="2:15">
      <c r="B1387" s="20">
        <v>45034</v>
      </c>
      <c r="C1387" s="59">
        <v>40009546</v>
      </c>
      <c r="D1387" s="55" t="s">
        <v>174</v>
      </c>
      <c r="E1387" s="67">
        <v>756</v>
      </c>
      <c r="F1387" s="67">
        <v>4</v>
      </c>
      <c r="G1387" s="102">
        <v>2817</v>
      </c>
      <c r="H1387" s="56" t="s">
        <v>80</v>
      </c>
      <c r="K1387" s="56">
        <v>409</v>
      </c>
      <c r="L1387" s="55" t="s">
        <v>176</v>
      </c>
      <c r="M1387" s="55" t="s">
        <v>2824</v>
      </c>
      <c r="N1387" s="4" t="s">
        <v>193</v>
      </c>
      <c r="O1387" s="55" t="s">
        <v>178</v>
      </c>
    </row>
    <row r="1388" spans="2:15">
      <c r="B1388" s="20">
        <v>45034</v>
      </c>
      <c r="C1388" s="59">
        <v>50509889</v>
      </c>
      <c r="D1388" s="55" t="s">
        <v>671</v>
      </c>
      <c r="E1388" s="67">
        <v>264000</v>
      </c>
      <c r="F1388" s="67">
        <v>3</v>
      </c>
      <c r="G1388" s="102">
        <v>792000</v>
      </c>
      <c r="H1388" s="56" t="s">
        <v>92</v>
      </c>
      <c r="K1388" s="56">
        <v>409</v>
      </c>
      <c r="L1388" s="55" t="s">
        <v>176</v>
      </c>
      <c r="M1388" s="55" t="s">
        <v>2824</v>
      </c>
      <c r="N1388" s="4" t="s">
        <v>193</v>
      </c>
      <c r="O1388" s="55" t="s">
        <v>178</v>
      </c>
    </row>
    <row r="1389" spans="2:15">
      <c r="B1389" s="20">
        <v>45034</v>
      </c>
      <c r="C1389" s="59">
        <v>50144376</v>
      </c>
      <c r="D1389" s="55" t="s">
        <v>19</v>
      </c>
      <c r="E1389" s="67">
        <v>500</v>
      </c>
      <c r="F1389" s="67">
        <v>2</v>
      </c>
      <c r="G1389" s="102">
        <v>1000</v>
      </c>
      <c r="H1389" s="56" t="s">
        <v>92</v>
      </c>
      <c r="K1389" s="56">
        <v>409</v>
      </c>
      <c r="L1389" s="55" t="s">
        <v>176</v>
      </c>
      <c r="M1389" s="55" t="s">
        <v>2824</v>
      </c>
      <c r="N1389" s="4" t="s">
        <v>193</v>
      </c>
      <c r="O1389" s="55" t="s">
        <v>178</v>
      </c>
    </row>
    <row r="1390" spans="2:15">
      <c r="B1390" s="20">
        <v>45035</v>
      </c>
      <c r="C1390" s="59">
        <v>50010080</v>
      </c>
      <c r="D1390" s="55" t="s">
        <v>354</v>
      </c>
      <c r="E1390" s="67">
        <v>1000</v>
      </c>
      <c r="F1390" s="67">
        <v>2</v>
      </c>
      <c r="G1390" s="102">
        <v>2000</v>
      </c>
      <c r="H1390" s="56" t="s">
        <v>82</v>
      </c>
      <c r="K1390" s="56">
        <v>410</v>
      </c>
      <c r="L1390" s="55" t="s">
        <v>326</v>
      </c>
      <c r="M1390" s="55" t="s">
        <v>2824</v>
      </c>
      <c r="N1390" s="4" t="s">
        <v>345</v>
      </c>
      <c r="O1390" s="55" t="s">
        <v>178</v>
      </c>
    </row>
    <row r="1391" spans="2:15">
      <c r="B1391" s="20">
        <v>45035</v>
      </c>
      <c r="C1391" s="59">
        <v>50369034</v>
      </c>
      <c r="D1391" s="55" t="s">
        <v>322</v>
      </c>
      <c r="E1391" s="67">
        <v>489</v>
      </c>
      <c r="F1391" s="67">
        <v>3</v>
      </c>
      <c r="G1391" s="102">
        <v>1518.95</v>
      </c>
      <c r="H1391" s="56" t="s">
        <v>82</v>
      </c>
      <c r="K1391" s="56">
        <v>410</v>
      </c>
      <c r="L1391" s="55" t="s">
        <v>326</v>
      </c>
      <c r="M1391" s="55" t="s">
        <v>2824</v>
      </c>
      <c r="N1391" s="4" t="s">
        <v>345</v>
      </c>
      <c r="O1391" s="55" t="s">
        <v>178</v>
      </c>
    </row>
    <row r="1392" spans="2:15">
      <c r="B1392" s="20">
        <v>45035</v>
      </c>
      <c r="C1392" s="59">
        <v>50498013</v>
      </c>
      <c r="D1392" s="55" t="s">
        <v>595</v>
      </c>
      <c r="E1392" s="67">
        <v>507</v>
      </c>
      <c r="F1392" s="67">
        <v>4</v>
      </c>
      <c r="G1392" s="102">
        <v>2233</v>
      </c>
      <c r="H1392" s="56" t="s">
        <v>82</v>
      </c>
      <c r="K1392" s="56">
        <v>410</v>
      </c>
      <c r="L1392" s="55" t="s">
        <v>326</v>
      </c>
      <c r="M1392" s="55" t="s">
        <v>2824</v>
      </c>
      <c r="N1392" s="4" t="s">
        <v>345</v>
      </c>
      <c r="O1392" s="55" t="s">
        <v>178</v>
      </c>
    </row>
    <row r="1393" spans="2:16">
      <c r="B1393" s="20">
        <v>45035</v>
      </c>
      <c r="C1393" s="59">
        <v>50144376</v>
      </c>
      <c r="D1393" s="55" t="s">
        <v>19</v>
      </c>
      <c r="E1393" s="67">
        <v>500</v>
      </c>
      <c r="F1393" s="67">
        <v>10</v>
      </c>
      <c r="G1393" s="102">
        <v>5000</v>
      </c>
      <c r="H1393" s="56" t="s">
        <v>92</v>
      </c>
      <c r="K1393" s="56">
        <v>410</v>
      </c>
      <c r="L1393" s="55" t="s">
        <v>326</v>
      </c>
      <c r="M1393" s="55" t="s">
        <v>2824</v>
      </c>
      <c r="N1393" s="4" t="s">
        <v>345</v>
      </c>
      <c r="O1393" s="55" t="s">
        <v>178</v>
      </c>
    </row>
    <row r="1394" spans="2:16">
      <c r="B1394" s="111">
        <v>45036</v>
      </c>
      <c r="C1394" s="59">
        <v>40011133</v>
      </c>
      <c r="D1394" s="55" t="s">
        <v>634</v>
      </c>
      <c r="E1394" s="67">
        <v>756</v>
      </c>
      <c r="F1394" s="67">
        <v>3</v>
      </c>
      <c r="G1394" s="102">
        <v>1476</v>
      </c>
      <c r="H1394" s="56" t="s">
        <v>80</v>
      </c>
      <c r="I1394" s="112"/>
      <c r="K1394" s="113">
        <v>411</v>
      </c>
      <c r="L1394" s="114" t="s">
        <v>176</v>
      </c>
      <c r="M1394" s="114" t="s">
        <v>2824</v>
      </c>
      <c r="N1394" s="115" t="s">
        <v>177</v>
      </c>
      <c r="O1394" s="114" t="s">
        <v>178</v>
      </c>
      <c r="P1394" s="115"/>
    </row>
    <row r="1395" spans="2:16">
      <c r="B1395" s="111">
        <v>45036</v>
      </c>
      <c r="C1395" s="59">
        <v>40007941</v>
      </c>
      <c r="D1395" s="55" t="s">
        <v>211</v>
      </c>
      <c r="E1395" s="67">
        <v>756</v>
      </c>
      <c r="F1395" s="67">
        <v>3</v>
      </c>
      <c r="G1395" s="102">
        <v>1843</v>
      </c>
      <c r="H1395" s="116" t="s">
        <v>80</v>
      </c>
      <c r="I1395" s="112"/>
      <c r="K1395" s="113">
        <v>411</v>
      </c>
      <c r="L1395" s="114" t="s">
        <v>176</v>
      </c>
      <c r="M1395" s="114" t="s">
        <v>2824</v>
      </c>
      <c r="N1395" s="115" t="s">
        <v>177</v>
      </c>
      <c r="O1395" s="114" t="s">
        <v>178</v>
      </c>
      <c r="P1395" s="115"/>
    </row>
    <row r="1396" spans="2:16">
      <c r="B1396" s="111">
        <v>45036</v>
      </c>
      <c r="C1396" s="59">
        <v>40011080</v>
      </c>
      <c r="D1396" s="55" t="s">
        <v>420</v>
      </c>
      <c r="E1396" s="67">
        <v>480</v>
      </c>
      <c r="F1396" s="67">
        <v>5</v>
      </c>
      <c r="G1396" s="102">
        <v>2250</v>
      </c>
      <c r="H1396" s="116" t="s">
        <v>80</v>
      </c>
      <c r="I1396" s="112"/>
      <c r="K1396" s="113">
        <v>411</v>
      </c>
      <c r="L1396" s="114" t="s">
        <v>176</v>
      </c>
      <c r="M1396" s="114" t="s">
        <v>2824</v>
      </c>
      <c r="N1396" s="115" t="s">
        <v>177</v>
      </c>
      <c r="O1396" s="114" t="s">
        <v>178</v>
      </c>
      <c r="P1396" s="115"/>
    </row>
    <row r="1397" spans="2:16">
      <c r="B1397" s="111">
        <v>45036</v>
      </c>
      <c r="C1397" s="59">
        <v>50143646</v>
      </c>
      <c r="D1397" s="55" t="s">
        <v>191</v>
      </c>
      <c r="E1397" s="67">
        <v>480</v>
      </c>
      <c r="F1397" s="67">
        <v>10</v>
      </c>
      <c r="G1397" s="102">
        <v>4800</v>
      </c>
      <c r="H1397" s="116" t="s">
        <v>82</v>
      </c>
      <c r="I1397" s="112"/>
      <c r="K1397" s="113">
        <v>411</v>
      </c>
      <c r="L1397" s="114" t="s">
        <v>176</v>
      </c>
      <c r="M1397" s="114" t="s">
        <v>2824</v>
      </c>
      <c r="N1397" s="115" t="s">
        <v>177</v>
      </c>
      <c r="O1397" s="114" t="s">
        <v>178</v>
      </c>
      <c r="P1397" s="115"/>
    </row>
    <row r="1398" spans="2:16">
      <c r="B1398" s="111">
        <v>45037</v>
      </c>
      <c r="C1398" s="59">
        <v>50470190</v>
      </c>
      <c r="D1398" s="55" t="s">
        <v>12</v>
      </c>
      <c r="E1398" s="67">
        <v>289800</v>
      </c>
      <c r="F1398" s="67">
        <v>18</v>
      </c>
      <c r="G1398" s="102">
        <v>5216400</v>
      </c>
      <c r="H1398" s="116" t="s">
        <v>92</v>
      </c>
      <c r="I1398" s="112"/>
      <c r="K1398" s="113">
        <v>412</v>
      </c>
      <c r="L1398" s="114" t="s">
        <v>176</v>
      </c>
      <c r="M1398" s="114" t="s">
        <v>2824</v>
      </c>
      <c r="N1398" s="115" t="s">
        <v>177</v>
      </c>
      <c r="O1398" s="114" t="s">
        <v>178</v>
      </c>
      <c r="P1398" s="115"/>
    </row>
    <row r="1399" spans="2:16">
      <c r="B1399" s="111">
        <v>45037</v>
      </c>
      <c r="C1399" s="59">
        <v>50369034</v>
      </c>
      <c r="D1399" s="55" t="s">
        <v>322</v>
      </c>
      <c r="E1399" s="67">
        <v>546</v>
      </c>
      <c r="F1399" s="67">
        <v>5</v>
      </c>
      <c r="G1399" s="102">
        <v>2542.85</v>
      </c>
      <c r="H1399" s="116" t="s">
        <v>82</v>
      </c>
      <c r="I1399" s="112"/>
      <c r="K1399" s="113">
        <v>413</v>
      </c>
      <c r="L1399" s="114" t="s">
        <v>176</v>
      </c>
      <c r="M1399" s="114" t="s">
        <v>2824</v>
      </c>
      <c r="N1399" s="115" t="s">
        <v>177</v>
      </c>
      <c r="O1399" s="114" t="s">
        <v>178</v>
      </c>
      <c r="P1399" s="115"/>
    </row>
    <row r="1400" spans="2:16">
      <c r="B1400" s="111">
        <v>45037</v>
      </c>
      <c r="C1400" s="59">
        <v>50435419</v>
      </c>
      <c r="D1400" s="55" t="s">
        <v>656</v>
      </c>
      <c r="E1400" s="67">
        <v>896</v>
      </c>
      <c r="F1400" s="67">
        <v>2</v>
      </c>
      <c r="G1400" s="102">
        <v>1792</v>
      </c>
      <c r="H1400" s="116" t="s">
        <v>82</v>
      </c>
      <c r="I1400" s="112"/>
      <c r="K1400" s="113">
        <v>413</v>
      </c>
      <c r="L1400" s="114" t="s">
        <v>176</v>
      </c>
      <c r="M1400" s="114" t="s">
        <v>2824</v>
      </c>
      <c r="N1400" s="115" t="s">
        <v>177</v>
      </c>
      <c r="O1400" s="114" t="s">
        <v>178</v>
      </c>
      <c r="P1400" s="115"/>
    </row>
    <row r="1401" spans="2:16">
      <c r="B1401" s="111">
        <v>45037</v>
      </c>
      <c r="C1401" s="59">
        <v>50751654</v>
      </c>
      <c r="D1401" s="55" t="s">
        <v>874</v>
      </c>
      <c r="E1401" s="67">
        <v>896</v>
      </c>
      <c r="F1401" s="67">
        <v>2</v>
      </c>
      <c r="G1401" s="102">
        <v>1792</v>
      </c>
      <c r="H1401" s="116" t="s">
        <v>82</v>
      </c>
      <c r="I1401" s="112"/>
      <c r="K1401" s="113">
        <v>413</v>
      </c>
      <c r="L1401" s="114" t="s">
        <v>176</v>
      </c>
      <c r="M1401" s="114" t="s">
        <v>2824</v>
      </c>
      <c r="N1401" s="115" t="s">
        <v>177</v>
      </c>
      <c r="O1401" s="114" t="s">
        <v>178</v>
      </c>
      <c r="P1401" s="115"/>
    </row>
    <row r="1402" spans="2:16">
      <c r="B1402" s="111">
        <v>45037</v>
      </c>
      <c r="C1402" s="59">
        <v>50144376</v>
      </c>
      <c r="D1402" s="55" t="s">
        <v>19</v>
      </c>
      <c r="E1402" s="67">
        <v>500</v>
      </c>
      <c r="F1402" s="67">
        <v>6</v>
      </c>
      <c r="G1402" s="102">
        <v>3000</v>
      </c>
      <c r="H1402" s="56" t="s">
        <v>92</v>
      </c>
      <c r="I1402" s="112"/>
      <c r="K1402" s="113">
        <v>413</v>
      </c>
      <c r="L1402" s="114" t="s">
        <v>176</v>
      </c>
      <c r="M1402" s="114" t="s">
        <v>2824</v>
      </c>
      <c r="N1402" s="115" t="s">
        <v>177</v>
      </c>
      <c r="O1402" s="114" t="s">
        <v>178</v>
      </c>
      <c r="P1402" s="115"/>
    </row>
    <row r="1403" spans="2:16">
      <c r="B1403" s="111">
        <v>45037</v>
      </c>
      <c r="C1403" s="59">
        <v>50272278</v>
      </c>
      <c r="D1403" s="55" t="s">
        <v>21</v>
      </c>
      <c r="E1403" s="67">
        <v>500</v>
      </c>
      <c r="F1403" s="67">
        <v>5</v>
      </c>
      <c r="G1403" s="102">
        <v>2500</v>
      </c>
      <c r="H1403" s="116" t="s">
        <v>92</v>
      </c>
      <c r="I1403" s="112"/>
      <c r="K1403" s="113">
        <v>413</v>
      </c>
      <c r="L1403" s="114" t="s">
        <v>176</v>
      </c>
      <c r="M1403" s="114" t="s">
        <v>2824</v>
      </c>
      <c r="N1403" s="115" t="s">
        <v>177</v>
      </c>
      <c r="O1403" s="114" t="s">
        <v>178</v>
      </c>
      <c r="P1403" s="115"/>
    </row>
    <row r="1404" spans="2:16">
      <c r="B1404" s="111">
        <v>45038</v>
      </c>
      <c r="C1404" s="59">
        <v>50144376</v>
      </c>
      <c r="D1404" s="55" t="s">
        <v>19</v>
      </c>
      <c r="E1404" s="67">
        <v>500</v>
      </c>
      <c r="F1404" s="67">
        <v>5</v>
      </c>
      <c r="G1404" s="102">
        <v>2500</v>
      </c>
      <c r="H1404" s="56" t="s">
        <v>92</v>
      </c>
      <c r="I1404" s="112"/>
      <c r="K1404" s="113">
        <v>414</v>
      </c>
      <c r="L1404" s="114" t="s">
        <v>176</v>
      </c>
      <c r="M1404" s="114" t="s">
        <v>2824</v>
      </c>
      <c r="N1404" s="115" t="s">
        <v>177</v>
      </c>
      <c r="O1404" s="114" t="s">
        <v>178</v>
      </c>
      <c r="P1404" s="115"/>
    </row>
    <row r="1405" spans="2:16">
      <c r="B1405" s="111">
        <v>45038</v>
      </c>
      <c r="C1405" s="59">
        <v>50272278</v>
      </c>
      <c r="D1405" s="55" t="s">
        <v>21</v>
      </c>
      <c r="E1405" s="67">
        <v>500</v>
      </c>
      <c r="F1405" s="67">
        <v>5</v>
      </c>
      <c r="G1405" s="102">
        <v>2500</v>
      </c>
      <c r="H1405" s="116" t="s">
        <v>92</v>
      </c>
      <c r="I1405" s="112"/>
      <c r="K1405" s="113">
        <v>414</v>
      </c>
      <c r="L1405" s="114" t="s">
        <v>176</v>
      </c>
      <c r="M1405" s="114" t="s">
        <v>2824</v>
      </c>
      <c r="N1405" s="115" t="s">
        <v>177</v>
      </c>
      <c r="O1405" s="114" t="s">
        <v>178</v>
      </c>
      <c r="P1405" s="115"/>
    </row>
    <row r="1406" spans="2:16">
      <c r="B1406" s="111">
        <v>45038</v>
      </c>
      <c r="C1406" s="59">
        <v>50470190</v>
      </c>
      <c r="D1406" s="55" t="s">
        <v>12</v>
      </c>
      <c r="E1406" s="67">
        <v>289800</v>
      </c>
      <c r="F1406" s="67">
        <v>5</v>
      </c>
      <c r="G1406" s="102">
        <v>1449000</v>
      </c>
      <c r="H1406" s="116" t="s">
        <v>92</v>
      </c>
      <c r="I1406" s="112"/>
      <c r="K1406" s="113">
        <v>414</v>
      </c>
      <c r="L1406" s="114" t="s">
        <v>176</v>
      </c>
      <c r="M1406" s="114" t="s">
        <v>2824</v>
      </c>
      <c r="N1406" s="115" t="s">
        <v>177</v>
      </c>
      <c r="O1406" s="114" t="s">
        <v>178</v>
      </c>
      <c r="P1406" s="115"/>
    </row>
    <row r="1407" spans="2:16">
      <c r="B1407" s="111">
        <v>45038</v>
      </c>
      <c r="C1407" s="59">
        <v>50392470</v>
      </c>
      <c r="D1407" s="55" t="s">
        <v>841</v>
      </c>
      <c r="E1407" s="67">
        <v>264000</v>
      </c>
      <c r="F1407" s="67">
        <v>5</v>
      </c>
      <c r="G1407" s="102">
        <v>1133000</v>
      </c>
      <c r="H1407" s="116" t="s">
        <v>92</v>
      </c>
      <c r="I1407" s="112"/>
      <c r="K1407" s="113">
        <v>414</v>
      </c>
      <c r="L1407" s="114" t="s">
        <v>176</v>
      </c>
      <c r="M1407" s="114" t="s">
        <v>2824</v>
      </c>
      <c r="N1407" s="115" t="s">
        <v>177</v>
      </c>
      <c r="O1407" s="114" t="s">
        <v>178</v>
      </c>
      <c r="P1407" s="115"/>
    </row>
    <row r="1408" spans="2:16">
      <c r="B1408" s="111">
        <v>45038</v>
      </c>
      <c r="C1408" s="59">
        <v>40010080</v>
      </c>
      <c r="D1408" s="55" t="s">
        <v>784</v>
      </c>
      <c r="E1408" s="67">
        <v>351</v>
      </c>
      <c r="F1408" s="67">
        <v>1</v>
      </c>
      <c r="G1408" s="102">
        <v>351</v>
      </c>
      <c r="H1408" s="116" t="s">
        <v>80</v>
      </c>
      <c r="I1408" s="112"/>
      <c r="K1408" s="113">
        <v>414</v>
      </c>
      <c r="L1408" s="114" t="s">
        <v>176</v>
      </c>
      <c r="M1408" s="114" t="s">
        <v>2824</v>
      </c>
      <c r="N1408" s="115" t="s">
        <v>177</v>
      </c>
      <c r="O1408" s="114" t="s">
        <v>178</v>
      </c>
      <c r="P1408" s="115"/>
    </row>
    <row r="1409" spans="2:16">
      <c r="B1409" s="111">
        <v>45040</v>
      </c>
      <c r="C1409" s="59">
        <v>50142327</v>
      </c>
      <c r="D1409" s="55" t="s">
        <v>256</v>
      </c>
      <c r="E1409" s="67">
        <v>681</v>
      </c>
      <c r="F1409" s="67">
        <v>2</v>
      </c>
      <c r="G1409" s="102">
        <v>1362</v>
      </c>
      <c r="H1409" s="116" t="s">
        <v>82</v>
      </c>
      <c r="I1409" s="112"/>
      <c r="K1409" s="113">
        <v>415</v>
      </c>
      <c r="L1409" s="114" t="s">
        <v>176</v>
      </c>
      <c r="M1409" s="114" t="s">
        <v>2824</v>
      </c>
      <c r="N1409" s="115" t="s">
        <v>177</v>
      </c>
      <c r="O1409" s="114" t="s">
        <v>178</v>
      </c>
      <c r="P1409" s="115"/>
    </row>
    <row r="1410" spans="2:16">
      <c r="B1410" s="111">
        <v>45040</v>
      </c>
      <c r="C1410" s="59">
        <v>50142334</v>
      </c>
      <c r="D1410" s="55" t="s">
        <v>257</v>
      </c>
      <c r="E1410" s="67">
        <v>681</v>
      </c>
      <c r="F1410" s="67">
        <v>2</v>
      </c>
      <c r="G1410" s="102">
        <v>1362</v>
      </c>
      <c r="H1410" s="116" t="s">
        <v>82</v>
      </c>
      <c r="I1410" s="112"/>
      <c r="K1410" s="113">
        <v>415</v>
      </c>
      <c r="L1410" s="114" t="s">
        <v>176</v>
      </c>
      <c r="M1410" s="114" t="s">
        <v>2824</v>
      </c>
      <c r="N1410" s="115" t="s">
        <v>177</v>
      </c>
      <c r="O1410" s="114" t="s">
        <v>178</v>
      </c>
      <c r="P1410" s="115"/>
    </row>
    <row r="1411" spans="2:16">
      <c r="B1411" s="111">
        <v>45040</v>
      </c>
      <c r="C1411" s="59">
        <v>50470190</v>
      </c>
      <c r="D1411" s="55" t="s">
        <v>12</v>
      </c>
      <c r="E1411" s="67">
        <v>289800</v>
      </c>
      <c r="F1411" s="67">
        <v>4</v>
      </c>
      <c r="G1411" s="102">
        <v>1159200</v>
      </c>
      <c r="H1411" s="116" t="s">
        <v>92</v>
      </c>
      <c r="I1411" s="112"/>
      <c r="K1411" s="113">
        <v>415</v>
      </c>
      <c r="L1411" s="114" t="s">
        <v>176</v>
      </c>
      <c r="M1411" s="114" t="s">
        <v>2824</v>
      </c>
      <c r="N1411" s="115" t="s">
        <v>177</v>
      </c>
      <c r="O1411" s="114" t="s">
        <v>178</v>
      </c>
      <c r="P1411" s="115"/>
    </row>
    <row r="1412" spans="2:16">
      <c r="B1412" s="111">
        <v>45040</v>
      </c>
      <c r="C1412" s="59">
        <v>50144376</v>
      </c>
      <c r="D1412" s="55" t="s">
        <v>19</v>
      </c>
      <c r="E1412" s="67">
        <v>500</v>
      </c>
      <c r="F1412" s="67">
        <v>10</v>
      </c>
      <c r="G1412" s="102">
        <v>5000</v>
      </c>
      <c r="H1412" s="56" t="s">
        <v>92</v>
      </c>
      <c r="I1412" s="112"/>
      <c r="K1412" s="113">
        <v>415</v>
      </c>
      <c r="L1412" s="114" t="s">
        <v>176</v>
      </c>
      <c r="M1412" s="114" t="s">
        <v>2824</v>
      </c>
      <c r="N1412" s="115" t="s">
        <v>177</v>
      </c>
      <c r="O1412" s="114" t="s">
        <v>178</v>
      </c>
      <c r="P1412" s="115"/>
    </row>
    <row r="1413" spans="2:16">
      <c r="B1413" s="111">
        <v>45042</v>
      </c>
      <c r="C1413" s="59">
        <v>50272278</v>
      </c>
      <c r="D1413" s="55" t="s">
        <v>21</v>
      </c>
      <c r="E1413" s="67">
        <v>500</v>
      </c>
      <c r="F1413" s="67">
        <v>22</v>
      </c>
      <c r="G1413" s="102">
        <v>11000</v>
      </c>
      <c r="H1413" s="116" t="s">
        <v>92</v>
      </c>
      <c r="I1413" s="112"/>
      <c r="K1413" s="113">
        <v>416</v>
      </c>
      <c r="L1413" s="114" t="s">
        <v>176</v>
      </c>
      <c r="M1413" s="114" t="s">
        <v>2824</v>
      </c>
      <c r="N1413" s="115" t="s">
        <v>177</v>
      </c>
      <c r="O1413" s="114" t="s">
        <v>178</v>
      </c>
      <c r="P1413" s="115"/>
    </row>
    <row r="1414" spans="2:16">
      <c r="B1414" s="111">
        <v>45042</v>
      </c>
      <c r="C1414" s="59">
        <v>50144376</v>
      </c>
      <c r="D1414" s="55" t="s">
        <v>19</v>
      </c>
      <c r="E1414" s="67">
        <v>500</v>
      </c>
      <c r="F1414" s="67">
        <v>8</v>
      </c>
      <c r="G1414" s="102">
        <v>4000</v>
      </c>
      <c r="H1414" s="56" t="s">
        <v>92</v>
      </c>
      <c r="I1414" s="112"/>
      <c r="K1414" s="113">
        <v>417</v>
      </c>
      <c r="L1414" s="114" t="s">
        <v>176</v>
      </c>
      <c r="M1414" s="114" t="s">
        <v>2824</v>
      </c>
      <c r="N1414" s="115" t="s">
        <v>177</v>
      </c>
      <c r="O1414" s="114" t="s">
        <v>178</v>
      </c>
      <c r="P1414" s="115"/>
    </row>
    <row r="1415" spans="2:16">
      <c r="B1415" s="111">
        <v>45042</v>
      </c>
      <c r="C1415" s="59">
        <v>40011129</v>
      </c>
      <c r="D1415" s="55" t="s">
        <v>79</v>
      </c>
      <c r="E1415" s="67">
        <v>3528</v>
      </c>
      <c r="F1415" s="67">
        <v>3</v>
      </c>
      <c r="G1415" s="102">
        <v>9609</v>
      </c>
      <c r="H1415" s="116" t="s">
        <v>80</v>
      </c>
      <c r="I1415" s="112"/>
      <c r="K1415" s="113">
        <v>417</v>
      </c>
      <c r="L1415" s="114" t="s">
        <v>176</v>
      </c>
      <c r="M1415" s="114" t="s">
        <v>2824</v>
      </c>
      <c r="N1415" s="115" t="s">
        <v>177</v>
      </c>
      <c r="O1415" s="114" t="s">
        <v>178</v>
      </c>
      <c r="P1415" s="115"/>
    </row>
    <row r="1416" spans="2:16">
      <c r="B1416" s="111">
        <v>45042</v>
      </c>
      <c r="C1416" s="59">
        <v>40011080</v>
      </c>
      <c r="D1416" s="55" t="s">
        <v>420</v>
      </c>
      <c r="E1416" s="67">
        <v>450</v>
      </c>
      <c r="F1416" s="67">
        <v>4</v>
      </c>
      <c r="G1416" s="102">
        <v>1800</v>
      </c>
      <c r="H1416" s="116" t="s">
        <v>80</v>
      </c>
      <c r="I1416" s="112"/>
      <c r="K1416" s="113">
        <v>417</v>
      </c>
      <c r="L1416" s="114" t="s">
        <v>176</v>
      </c>
      <c r="M1416" s="114" t="s">
        <v>2824</v>
      </c>
      <c r="N1416" s="115" t="s">
        <v>177</v>
      </c>
      <c r="O1416" s="114" t="s">
        <v>178</v>
      </c>
      <c r="P1416" s="115"/>
    </row>
    <row r="1417" spans="2:16">
      <c r="B1417" s="111">
        <v>45042</v>
      </c>
      <c r="C1417" s="59">
        <v>50507916</v>
      </c>
      <c r="D1417" s="55" t="s">
        <v>406</v>
      </c>
      <c r="E1417" s="67">
        <v>264000</v>
      </c>
      <c r="F1417" s="67">
        <v>2</v>
      </c>
      <c r="G1417" s="102">
        <v>528000</v>
      </c>
      <c r="H1417" s="56" t="s">
        <v>92</v>
      </c>
      <c r="I1417" s="112"/>
      <c r="K1417" s="113">
        <v>417</v>
      </c>
      <c r="L1417" s="114" t="s">
        <v>176</v>
      </c>
      <c r="M1417" s="114" t="s">
        <v>2824</v>
      </c>
      <c r="N1417" s="115" t="s">
        <v>177</v>
      </c>
      <c r="O1417" s="114" t="s">
        <v>178</v>
      </c>
      <c r="P1417" s="115"/>
    </row>
    <row r="1418" spans="2:16">
      <c r="B1418" s="111">
        <v>45042</v>
      </c>
      <c r="C1418" s="59">
        <v>40009546</v>
      </c>
      <c r="D1418" s="55" t="s">
        <v>174</v>
      </c>
      <c r="E1418" s="67">
        <v>756</v>
      </c>
      <c r="F1418" s="67">
        <v>5</v>
      </c>
      <c r="G1418" s="102">
        <v>3544</v>
      </c>
      <c r="H1418" s="116" t="s">
        <v>80</v>
      </c>
      <c r="I1418" s="112"/>
      <c r="K1418" s="113">
        <v>417</v>
      </c>
      <c r="L1418" s="114" t="s">
        <v>176</v>
      </c>
      <c r="M1418" s="114" t="s">
        <v>2824</v>
      </c>
      <c r="N1418" s="115" t="s">
        <v>177</v>
      </c>
      <c r="O1418" s="114" t="s">
        <v>178</v>
      </c>
      <c r="P1418" s="115"/>
    </row>
    <row r="1419" spans="2:16">
      <c r="B1419" s="111">
        <v>45043</v>
      </c>
      <c r="C1419" s="59">
        <v>50470190</v>
      </c>
      <c r="D1419" s="55" t="s">
        <v>12</v>
      </c>
      <c r="E1419" s="67">
        <v>289800</v>
      </c>
      <c r="F1419" s="67">
        <v>18</v>
      </c>
      <c r="G1419" s="102">
        <v>5216400</v>
      </c>
      <c r="H1419" s="116" t="s">
        <v>92</v>
      </c>
      <c r="I1419" s="112"/>
      <c r="K1419" s="113">
        <v>418</v>
      </c>
      <c r="L1419" s="114" t="s">
        <v>176</v>
      </c>
      <c r="M1419" s="114" t="s">
        <v>2824</v>
      </c>
      <c r="N1419" s="115" t="s">
        <v>177</v>
      </c>
      <c r="O1419" s="114" t="s">
        <v>178</v>
      </c>
      <c r="P1419" s="115"/>
    </row>
    <row r="1420" spans="2:16">
      <c r="B1420" s="111">
        <v>45043</v>
      </c>
      <c r="C1420" s="59">
        <v>50144376</v>
      </c>
      <c r="D1420" s="55" t="s">
        <v>19</v>
      </c>
      <c r="E1420" s="67">
        <v>500</v>
      </c>
      <c r="F1420" s="67">
        <v>15</v>
      </c>
      <c r="G1420" s="102">
        <v>7500</v>
      </c>
      <c r="H1420" s="56" t="s">
        <v>92</v>
      </c>
      <c r="I1420" s="112"/>
      <c r="K1420" s="113">
        <v>419</v>
      </c>
      <c r="L1420" s="114" t="s">
        <v>176</v>
      </c>
      <c r="M1420" s="114" t="s">
        <v>2824</v>
      </c>
      <c r="N1420" s="115" t="s">
        <v>177</v>
      </c>
      <c r="O1420" s="114" t="s">
        <v>178</v>
      </c>
      <c r="P1420" s="115"/>
    </row>
    <row r="1421" spans="2:16">
      <c r="B1421" s="111">
        <v>45043</v>
      </c>
      <c r="C1421" s="59">
        <v>50142334</v>
      </c>
      <c r="D1421" s="55" t="s">
        <v>257</v>
      </c>
      <c r="E1421" s="67">
        <v>681</v>
      </c>
      <c r="F1421" s="67">
        <v>3</v>
      </c>
      <c r="G1421" s="102">
        <v>2043</v>
      </c>
      <c r="H1421" s="116" t="s">
        <v>82</v>
      </c>
      <c r="I1421" s="112"/>
      <c r="K1421" s="113">
        <v>419</v>
      </c>
      <c r="L1421" s="114" t="s">
        <v>176</v>
      </c>
      <c r="M1421" s="114" t="s">
        <v>2824</v>
      </c>
      <c r="N1421" s="115" t="s">
        <v>177</v>
      </c>
      <c r="O1421" s="114" t="s">
        <v>178</v>
      </c>
      <c r="P1421" s="115"/>
    </row>
    <row r="1422" spans="2:16">
      <c r="B1422" s="111">
        <v>45043</v>
      </c>
      <c r="C1422" s="59">
        <v>50142281</v>
      </c>
      <c r="D1422" s="55" t="s">
        <v>204</v>
      </c>
      <c r="E1422" s="67">
        <v>450</v>
      </c>
      <c r="F1422" s="67">
        <v>2</v>
      </c>
      <c r="G1422" s="102">
        <v>900</v>
      </c>
      <c r="H1422" s="116" t="s">
        <v>82</v>
      </c>
      <c r="I1422" s="112"/>
      <c r="K1422" s="113">
        <v>419</v>
      </c>
      <c r="L1422" s="114" t="s">
        <v>176</v>
      </c>
      <c r="M1422" s="114" t="s">
        <v>2824</v>
      </c>
      <c r="N1422" s="115" t="s">
        <v>177</v>
      </c>
      <c r="O1422" s="114" t="s">
        <v>178</v>
      </c>
      <c r="P1422" s="115"/>
    </row>
    <row r="1423" spans="2:16">
      <c r="B1423" s="111">
        <v>45044</v>
      </c>
      <c r="C1423" s="59">
        <v>50470190</v>
      </c>
      <c r="D1423" s="55" t="s">
        <v>12</v>
      </c>
      <c r="E1423" s="67">
        <v>289800</v>
      </c>
      <c r="F1423" s="67">
        <v>12</v>
      </c>
      <c r="G1423" s="102">
        <v>3477600</v>
      </c>
      <c r="H1423" s="116" t="s">
        <v>92</v>
      </c>
      <c r="I1423" s="112"/>
      <c r="K1423" s="113">
        <v>420</v>
      </c>
      <c r="L1423" s="114" t="s">
        <v>176</v>
      </c>
      <c r="M1423" s="114" t="s">
        <v>2824</v>
      </c>
      <c r="N1423" s="115" t="s">
        <v>177</v>
      </c>
      <c r="O1423" s="114" t="s">
        <v>178</v>
      </c>
      <c r="P1423" s="115"/>
    </row>
    <row r="1424" spans="2:16">
      <c r="B1424" s="111">
        <v>45044</v>
      </c>
      <c r="C1424" s="59">
        <v>50272278</v>
      </c>
      <c r="D1424" s="55" t="s">
        <v>21</v>
      </c>
      <c r="E1424" s="67">
        <v>500</v>
      </c>
      <c r="F1424" s="67">
        <v>8</v>
      </c>
      <c r="G1424" s="102">
        <v>4000</v>
      </c>
      <c r="H1424" s="116" t="s">
        <v>92</v>
      </c>
      <c r="I1424" s="112"/>
      <c r="K1424" s="113">
        <v>420</v>
      </c>
      <c r="L1424" s="114" t="s">
        <v>176</v>
      </c>
      <c r="M1424" s="114" t="s">
        <v>2824</v>
      </c>
      <c r="N1424" s="115" t="s">
        <v>177</v>
      </c>
      <c r="O1424" s="114" t="s">
        <v>178</v>
      </c>
      <c r="P1424" s="115"/>
    </row>
    <row r="1425" spans="2:16">
      <c r="B1425" s="111">
        <v>45044</v>
      </c>
      <c r="C1425" s="59">
        <v>50272278</v>
      </c>
      <c r="D1425" s="55" t="s">
        <v>21</v>
      </c>
      <c r="E1425" s="67">
        <v>500</v>
      </c>
      <c r="F1425" s="67">
        <v>5</v>
      </c>
      <c r="G1425" s="102">
        <v>3944</v>
      </c>
      <c r="H1425" s="116" t="s">
        <v>92</v>
      </c>
      <c r="I1425" s="112"/>
      <c r="K1425" s="113">
        <v>421</v>
      </c>
      <c r="L1425" s="114" t="s">
        <v>392</v>
      </c>
      <c r="M1425" s="114" t="s">
        <v>392</v>
      </c>
      <c r="N1425" s="115" t="s">
        <v>2850</v>
      </c>
      <c r="O1425" s="114" t="s">
        <v>178</v>
      </c>
      <c r="P1425" s="115"/>
    </row>
    <row r="1426" spans="2:16">
      <c r="B1426" s="111">
        <v>45044</v>
      </c>
      <c r="C1426" s="59">
        <v>50144376</v>
      </c>
      <c r="D1426" s="55" t="s">
        <v>19</v>
      </c>
      <c r="E1426" s="67">
        <v>500</v>
      </c>
      <c r="F1426" s="67">
        <v>2</v>
      </c>
      <c r="G1426" s="102">
        <v>1556</v>
      </c>
      <c r="H1426" s="56" t="s">
        <v>92</v>
      </c>
      <c r="I1426" s="112"/>
      <c r="K1426" s="113">
        <v>421</v>
      </c>
      <c r="L1426" s="114" t="s">
        <v>392</v>
      </c>
      <c r="M1426" s="114" t="s">
        <v>392</v>
      </c>
      <c r="N1426" s="115" t="s">
        <v>2850</v>
      </c>
      <c r="O1426" s="114" t="s">
        <v>178</v>
      </c>
      <c r="P1426" s="115"/>
    </row>
    <row r="1427" spans="2:16">
      <c r="B1427" s="111">
        <v>45044</v>
      </c>
      <c r="C1427" s="59">
        <v>50145028</v>
      </c>
      <c r="D1427" s="55" t="s">
        <v>23</v>
      </c>
      <c r="E1427" s="67">
        <v>192</v>
      </c>
      <c r="F1427" s="67">
        <v>5</v>
      </c>
      <c r="G1427" s="102">
        <v>960</v>
      </c>
      <c r="H1427" s="116" t="s">
        <v>92</v>
      </c>
      <c r="I1427" s="112"/>
      <c r="K1427" s="113">
        <v>421</v>
      </c>
      <c r="L1427" s="114" t="s">
        <v>392</v>
      </c>
      <c r="M1427" s="114" t="s">
        <v>392</v>
      </c>
      <c r="N1427" s="115" t="s">
        <v>2850</v>
      </c>
      <c r="O1427" s="114" t="s">
        <v>178</v>
      </c>
      <c r="P1427" s="115"/>
    </row>
    <row r="1428" spans="2:16">
      <c r="B1428" s="111">
        <v>45044</v>
      </c>
      <c r="C1428" s="59">
        <v>50142237</v>
      </c>
      <c r="D1428" s="55" t="s">
        <v>617</v>
      </c>
      <c r="E1428" s="67">
        <v>1000</v>
      </c>
      <c r="F1428" s="67">
        <v>5</v>
      </c>
      <c r="G1428" s="102">
        <v>5000</v>
      </c>
      <c r="H1428" s="116" t="s">
        <v>92</v>
      </c>
      <c r="I1428" s="112"/>
      <c r="K1428" s="113">
        <v>421</v>
      </c>
      <c r="L1428" s="114" t="s">
        <v>392</v>
      </c>
      <c r="M1428" s="114" t="s">
        <v>392</v>
      </c>
      <c r="N1428" s="115" t="s">
        <v>2850</v>
      </c>
      <c r="O1428" s="114" t="s">
        <v>178</v>
      </c>
      <c r="P1428" s="115"/>
    </row>
    <row r="1429" spans="2:16">
      <c r="B1429" s="111">
        <v>45048</v>
      </c>
      <c r="C1429" s="59">
        <v>50010080</v>
      </c>
      <c r="D1429" s="55" t="s">
        <v>354</v>
      </c>
      <c r="E1429" s="67">
        <v>1000</v>
      </c>
      <c r="F1429" s="67">
        <v>6</v>
      </c>
      <c r="G1429" s="102">
        <v>6000</v>
      </c>
      <c r="H1429" s="116" t="s">
        <v>82</v>
      </c>
      <c r="I1429" s="112"/>
      <c r="K1429" s="113">
        <v>422</v>
      </c>
      <c r="L1429" s="114" t="s">
        <v>176</v>
      </c>
      <c r="M1429" s="114" t="s">
        <v>2824</v>
      </c>
      <c r="N1429" s="115" t="s">
        <v>177</v>
      </c>
      <c r="O1429" s="114" t="s">
        <v>178</v>
      </c>
      <c r="P1429" s="115"/>
    </row>
    <row r="1430" spans="2:16">
      <c r="B1430" s="111">
        <v>45048</v>
      </c>
      <c r="C1430" s="59">
        <v>50369034</v>
      </c>
      <c r="D1430" s="55" t="s">
        <v>322</v>
      </c>
      <c r="E1430" s="67">
        <v>507</v>
      </c>
      <c r="F1430" s="67">
        <v>4</v>
      </c>
      <c r="G1430" s="102">
        <v>2035.25</v>
      </c>
      <c r="H1430" s="116" t="s">
        <v>82</v>
      </c>
      <c r="I1430" s="112"/>
      <c r="K1430" s="113">
        <v>422</v>
      </c>
      <c r="L1430" s="114" t="s">
        <v>176</v>
      </c>
      <c r="M1430" s="114" t="s">
        <v>2824</v>
      </c>
      <c r="N1430" s="115" t="s">
        <v>177</v>
      </c>
      <c r="O1430" s="114" t="s">
        <v>178</v>
      </c>
      <c r="P1430" s="115"/>
    </row>
    <row r="1431" spans="2:16">
      <c r="B1431" s="111">
        <v>45048</v>
      </c>
      <c r="C1431" s="59">
        <v>50272278</v>
      </c>
      <c r="D1431" s="55" t="s">
        <v>21</v>
      </c>
      <c r="E1431" s="67">
        <v>500</v>
      </c>
      <c r="F1431" s="67">
        <v>10</v>
      </c>
      <c r="G1431" s="102">
        <v>5000</v>
      </c>
      <c r="H1431" s="116" t="s">
        <v>92</v>
      </c>
      <c r="I1431" s="112"/>
      <c r="K1431" s="113">
        <v>422</v>
      </c>
      <c r="L1431" s="114" t="s">
        <v>176</v>
      </c>
      <c r="M1431" s="114" t="s">
        <v>2824</v>
      </c>
      <c r="N1431" s="115" t="s">
        <v>177</v>
      </c>
      <c r="O1431" s="114" t="s">
        <v>178</v>
      </c>
      <c r="P1431" s="115"/>
    </row>
    <row r="1432" spans="2:16">
      <c r="B1432" s="111">
        <v>45049</v>
      </c>
      <c r="C1432" s="59">
        <v>40009544</v>
      </c>
      <c r="D1432" s="55" t="s">
        <v>179</v>
      </c>
      <c r="E1432" s="67">
        <v>2940</v>
      </c>
      <c r="F1432" s="67">
        <v>2</v>
      </c>
      <c r="G1432" s="102">
        <v>4480</v>
      </c>
      <c r="H1432" s="113" t="s">
        <v>80</v>
      </c>
      <c r="I1432" s="112"/>
      <c r="K1432" s="113">
        <v>423</v>
      </c>
      <c r="L1432" s="114" t="s">
        <v>176</v>
      </c>
      <c r="M1432" s="114" t="s">
        <v>2824</v>
      </c>
      <c r="N1432" s="115" t="s">
        <v>177</v>
      </c>
      <c r="O1432" s="114" t="s">
        <v>178</v>
      </c>
      <c r="P1432" s="115"/>
    </row>
    <row r="1433" spans="2:16">
      <c r="B1433" s="111">
        <v>45049</v>
      </c>
      <c r="C1433" s="59">
        <v>50272278</v>
      </c>
      <c r="D1433" s="55" t="s">
        <v>21</v>
      </c>
      <c r="E1433" s="67">
        <v>500</v>
      </c>
      <c r="F1433" s="67">
        <v>3</v>
      </c>
      <c r="G1433" s="102">
        <v>1500</v>
      </c>
      <c r="H1433" s="113" t="s">
        <v>92</v>
      </c>
      <c r="I1433" s="112"/>
      <c r="K1433" s="113">
        <v>423</v>
      </c>
      <c r="L1433" s="114" t="s">
        <v>176</v>
      </c>
      <c r="M1433" s="114" t="s">
        <v>2824</v>
      </c>
      <c r="N1433" s="115" t="s">
        <v>177</v>
      </c>
      <c r="O1433" s="114" t="s">
        <v>178</v>
      </c>
      <c r="P1433" s="115"/>
    </row>
    <row r="1434" spans="2:16">
      <c r="B1434" s="111">
        <v>45049</v>
      </c>
      <c r="C1434" s="59">
        <v>40011149</v>
      </c>
      <c r="D1434" s="55" t="s">
        <v>37</v>
      </c>
      <c r="E1434" s="67">
        <v>360</v>
      </c>
      <c r="F1434" s="67">
        <v>1</v>
      </c>
      <c r="G1434" s="102">
        <v>264</v>
      </c>
      <c r="H1434" s="113" t="s">
        <v>80</v>
      </c>
      <c r="I1434" s="112"/>
      <c r="K1434" s="113">
        <v>423</v>
      </c>
      <c r="L1434" s="114" t="s">
        <v>176</v>
      </c>
      <c r="M1434" s="114" t="s">
        <v>2824</v>
      </c>
      <c r="N1434" s="115" t="s">
        <v>177</v>
      </c>
      <c r="O1434" s="114" t="s">
        <v>178</v>
      </c>
      <c r="P1434" s="115"/>
    </row>
    <row r="1435" spans="2:16">
      <c r="B1435" s="111">
        <v>45049</v>
      </c>
      <c r="C1435" s="59">
        <v>50470190</v>
      </c>
      <c r="D1435" s="55" t="s">
        <v>12</v>
      </c>
      <c r="E1435" s="67">
        <v>289800</v>
      </c>
      <c r="F1435" s="67">
        <v>14</v>
      </c>
      <c r="G1435" s="102">
        <v>4057200</v>
      </c>
      <c r="H1435" s="113" t="s">
        <v>92</v>
      </c>
      <c r="I1435" s="112"/>
      <c r="K1435" s="113">
        <v>423</v>
      </c>
      <c r="L1435" s="114" t="s">
        <v>176</v>
      </c>
      <c r="M1435" s="114" t="s">
        <v>2824</v>
      </c>
      <c r="N1435" s="115" t="s">
        <v>177</v>
      </c>
      <c r="O1435" s="114" t="s">
        <v>178</v>
      </c>
      <c r="P1435" s="115"/>
    </row>
    <row r="1436" spans="2:16">
      <c r="B1436" s="111">
        <v>45049</v>
      </c>
      <c r="C1436" s="59">
        <v>50144376</v>
      </c>
      <c r="D1436" s="55" t="s">
        <v>19</v>
      </c>
      <c r="E1436" s="67">
        <v>500</v>
      </c>
      <c r="F1436" s="67">
        <v>10</v>
      </c>
      <c r="G1436" s="102">
        <v>5000</v>
      </c>
      <c r="H1436" s="56" t="s">
        <v>92</v>
      </c>
      <c r="I1436" s="112"/>
      <c r="K1436" s="113">
        <v>424</v>
      </c>
      <c r="L1436" s="114" t="s">
        <v>392</v>
      </c>
      <c r="M1436" s="114" t="s">
        <v>392</v>
      </c>
      <c r="N1436" s="115" t="s">
        <v>2841</v>
      </c>
      <c r="O1436" s="114" t="s">
        <v>178</v>
      </c>
      <c r="P1436" s="115"/>
    </row>
    <row r="1437" spans="2:16">
      <c r="B1437" s="111">
        <v>45049</v>
      </c>
      <c r="C1437" s="59">
        <v>50145028</v>
      </c>
      <c r="D1437" s="55" t="s">
        <v>23</v>
      </c>
      <c r="E1437" s="67">
        <v>192</v>
      </c>
      <c r="F1437" s="67">
        <v>5</v>
      </c>
      <c r="G1437" s="102">
        <v>960</v>
      </c>
      <c r="H1437" s="113" t="s">
        <v>92</v>
      </c>
      <c r="I1437" s="112"/>
      <c r="K1437" s="113">
        <v>424</v>
      </c>
      <c r="L1437" s="114" t="s">
        <v>392</v>
      </c>
      <c r="M1437" s="114" t="s">
        <v>392</v>
      </c>
      <c r="N1437" s="115" t="s">
        <v>2841</v>
      </c>
      <c r="O1437" s="114" t="s">
        <v>178</v>
      </c>
      <c r="P1437" s="115"/>
    </row>
    <row r="1438" spans="2:16">
      <c r="B1438" s="111">
        <v>45049</v>
      </c>
      <c r="C1438" s="59">
        <v>50142237</v>
      </c>
      <c r="D1438" s="55" t="s">
        <v>617</v>
      </c>
      <c r="E1438" s="67">
        <v>1000</v>
      </c>
      <c r="F1438" s="67">
        <v>2</v>
      </c>
      <c r="G1438" s="102">
        <v>2000</v>
      </c>
      <c r="H1438" s="113" t="s">
        <v>92</v>
      </c>
      <c r="I1438" s="112"/>
      <c r="K1438" s="113">
        <v>424</v>
      </c>
      <c r="L1438" s="114" t="s">
        <v>392</v>
      </c>
      <c r="M1438" s="114" t="s">
        <v>392</v>
      </c>
      <c r="N1438" s="115" t="s">
        <v>2841</v>
      </c>
      <c r="O1438" s="114" t="s">
        <v>178</v>
      </c>
      <c r="P1438" s="115"/>
    </row>
    <row r="1439" spans="2:16">
      <c r="B1439" s="111">
        <v>45050</v>
      </c>
      <c r="C1439" s="59">
        <v>50802526</v>
      </c>
      <c r="D1439" s="55" t="s">
        <v>804</v>
      </c>
      <c r="E1439" s="67">
        <v>64000</v>
      </c>
      <c r="F1439" s="67">
        <v>1</v>
      </c>
      <c r="G1439" s="102">
        <v>148000</v>
      </c>
      <c r="H1439" s="103" t="s">
        <v>92</v>
      </c>
      <c r="I1439" s="112"/>
      <c r="K1439" s="113">
        <v>425</v>
      </c>
      <c r="L1439" s="114" t="s">
        <v>176</v>
      </c>
      <c r="M1439" s="114" t="s">
        <v>2824</v>
      </c>
      <c r="N1439" s="115" t="s">
        <v>177</v>
      </c>
      <c r="O1439" s="114" t="s">
        <v>178</v>
      </c>
      <c r="P1439" s="115"/>
    </row>
    <row r="1440" spans="2:16">
      <c r="B1440" s="111">
        <v>45050</v>
      </c>
      <c r="C1440" s="59">
        <v>50802527</v>
      </c>
      <c r="D1440" s="55" t="s">
        <v>805</v>
      </c>
      <c r="E1440" s="67">
        <v>24000</v>
      </c>
      <c r="F1440" s="67">
        <v>1</v>
      </c>
      <c r="G1440" s="102">
        <v>148000</v>
      </c>
      <c r="H1440" s="103" t="s">
        <v>92</v>
      </c>
      <c r="I1440" s="112"/>
      <c r="K1440" s="113">
        <v>425</v>
      </c>
      <c r="L1440" s="114" t="s">
        <v>176</v>
      </c>
      <c r="M1440" s="114" t="s">
        <v>2824</v>
      </c>
      <c r="N1440" s="115" t="s">
        <v>177</v>
      </c>
      <c r="O1440" s="114" t="s">
        <v>178</v>
      </c>
      <c r="P1440" s="115"/>
    </row>
    <row r="1441" spans="2:16">
      <c r="B1441" s="111">
        <v>45050</v>
      </c>
      <c r="C1441" s="59">
        <v>50802525</v>
      </c>
      <c r="D1441" s="55" t="s">
        <v>801</v>
      </c>
      <c r="E1441" s="67">
        <v>16000</v>
      </c>
      <c r="F1441" s="67">
        <v>10</v>
      </c>
      <c r="G1441" s="102">
        <v>148000</v>
      </c>
      <c r="H1441" s="103" t="s">
        <v>92</v>
      </c>
      <c r="I1441" s="112"/>
      <c r="K1441" s="113">
        <v>425</v>
      </c>
      <c r="L1441" s="114" t="s">
        <v>176</v>
      </c>
      <c r="M1441" s="114" t="s">
        <v>2824</v>
      </c>
      <c r="N1441" s="115" t="s">
        <v>177</v>
      </c>
      <c r="O1441" s="114" t="s">
        <v>178</v>
      </c>
      <c r="P1441" s="115"/>
    </row>
    <row r="1442" spans="2:16">
      <c r="B1442" s="111">
        <v>45050</v>
      </c>
      <c r="C1442" s="59">
        <v>50272278</v>
      </c>
      <c r="D1442" s="55" t="s">
        <v>21</v>
      </c>
      <c r="E1442" s="67">
        <v>500</v>
      </c>
      <c r="F1442" s="67">
        <v>21</v>
      </c>
      <c r="G1442" s="102">
        <v>10500</v>
      </c>
      <c r="H1442" s="103" t="s">
        <v>92</v>
      </c>
      <c r="I1442" s="112"/>
      <c r="K1442" s="113">
        <v>425</v>
      </c>
      <c r="L1442" s="114" t="s">
        <v>176</v>
      </c>
      <c r="M1442" s="114" t="s">
        <v>2824</v>
      </c>
      <c r="N1442" s="115" t="s">
        <v>177</v>
      </c>
      <c r="O1442" s="114" t="s">
        <v>178</v>
      </c>
      <c r="P1442" s="115"/>
    </row>
    <row r="1443" spans="2:16">
      <c r="B1443" s="111">
        <v>45051</v>
      </c>
      <c r="C1443" s="59">
        <v>50766060</v>
      </c>
      <c r="D1443" s="55" t="s">
        <v>627</v>
      </c>
      <c r="E1443" s="67">
        <v>9000</v>
      </c>
      <c r="F1443" s="67">
        <v>5</v>
      </c>
      <c r="G1443" s="102">
        <v>45000</v>
      </c>
      <c r="H1443" s="113" t="s">
        <v>92</v>
      </c>
      <c r="I1443" s="112"/>
      <c r="K1443" s="113">
        <v>426</v>
      </c>
      <c r="L1443" s="114" t="s">
        <v>176</v>
      </c>
      <c r="M1443" s="114" t="s">
        <v>2824</v>
      </c>
      <c r="N1443" s="115" t="s">
        <v>177</v>
      </c>
      <c r="O1443" s="114" t="s">
        <v>178</v>
      </c>
      <c r="P1443" s="115"/>
    </row>
    <row r="1444" spans="2:16">
      <c r="B1444" s="111">
        <v>45051</v>
      </c>
      <c r="C1444" s="108">
        <v>50522168</v>
      </c>
      <c r="D1444" s="55" t="s">
        <v>252</v>
      </c>
      <c r="E1444" s="67">
        <v>533</v>
      </c>
      <c r="F1444" s="67">
        <v>2</v>
      </c>
      <c r="G1444" s="102">
        <v>1067.75</v>
      </c>
      <c r="H1444" s="113" t="s">
        <v>82</v>
      </c>
      <c r="I1444" s="112"/>
      <c r="K1444" s="113">
        <v>426</v>
      </c>
      <c r="L1444" s="114" t="s">
        <v>176</v>
      </c>
      <c r="M1444" s="114" t="s">
        <v>2824</v>
      </c>
      <c r="N1444" s="115" t="s">
        <v>177</v>
      </c>
      <c r="O1444" s="114" t="s">
        <v>178</v>
      </c>
      <c r="P1444" s="115"/>
    </row>
    <row r="1445" spans="2:16">
      <c r="B1445" s="111">
        <v>45051</v>
      </c>
      <c r="C1445" s="59">
        <v>50470190</v>
      </c>
      <c r="D1445" s="55" t="s">
        <v>12</v>
      </c>
      <c r="E1445" s="67">
        <v>289800</v>
      </c>
      <c r="F1445" s="67">
        <v>12</v>
      </c>
      <c r="G1445" s="102">
        <v>3477600</v>
      </c>
      <c r="H1445" s="113" t="s">
        <v>92</v>
      </c>
      <c r="I1445" s="112"/>
      <c r="K1445" s="113">
        <v>426</v>
      </c>
      <c r="L1445" s="114" t="s">
        <v>176</v>
      </c>
      <c r="M1445" s="114" t="s">
        <v>2824</v>
      </c>
      <c r="N1445" s="115" t="s">
        <v>177</v>
      </c>
      <c r="O1445" s="114" t="s">
        <v>178</v>
      </c>
      <c r="P1445" s="115"/>
    </row>
    <row r="1446" spans="2:16">
      <c r="B1446" s="111">
        <v>45051</v>
      </c>
      <c r="C1446" s="59">
        <v>50142327</v>
      </c>
      <c r="D1446" s="55" t="s">
        <v>256</v>
      </c>
      <c r="E1446" s="67">
        <v>681</v>
      </c>
      <c r="F1446" s="67">
        <v>1</v>
      </c>
      <c r="G1446" s="102">
        <v>681</v>
      </c>
      <c r="H1446" s="113" t="s">
        <v>82</v>
      </c>
      <c r="I1446" s="112"/>
      <c r="K1446" s="113">
        <v>426</v>
      </c>
      <c r="L1446" s="114" t="s">
        <v>176</v>
      </c>
      <c r="M1446" s="114" t="s">
        <v>2824</v>
      </c>
      <c r="N1446" s="115" t="s">
        <v>177</v>
      </c>
      <c r="O1446" s="114" t="s">
        <v>178</v>
      </c>
      <c r="P1446" s="115"/>
    </row>
    <row r="1447" spans="2:16">
      <c r="B1447" s="111">
        <v>45054</v>
      </c>
      <c r="C1447" s="59">
        <v>50141786</v>
      </c>
      <c r="D1447" s="55" t="s">
        <v>188</v>
      </c>
      <c r="E1447" s="67">
        <v>560</v>
      </c>
      <c r="F1447" s="67">
        <v>4</v>
      </c>
      <c r="G1447" s="102">
        <v>2240</v>
      </c>
      <c r="H1447" s="113" t="s">
        <v>82</v>
      </c>
      <c r="I1447" s="112"/>
      <c r="K1447" s="113">
        <v>427</v>
      </c>
      <c r="L1447" s="114" t="s">
        <v>176</v>
      </c>
      <c r="M1447" s="114" t="s">
        <v>2824</v>
      </c>
      <c r="N1447" s="115" t="s">
        <v>193</v>
      </c>
      <c r="O1447" s="114" t="s">
        <v>178</v>
      </c>
      <c r="P1447" s="115"/>
    </row>
    <row r="1448" spans="2:16">
      <c r="B1448" s="111">
        <v>45054</v>
      </c>
      <c r="C1448" s="59">
        <v>50799770</v>
      </c>
      <c r="D1448" s="55" t="s">
        <v>17</v>
      </c>
      <c r="E1448" s="67">
        <v>500</v>
      </c>
      <c r="F1448" s="67">
        <v>12</v>
      </c>
      <c r="G1448" s="102">
        <v>6000</v>
      </c>
      <c r="H1448" s="113" t="s">
        <v>92</v>
      </c>
      <c r="I1448" s="112"/>
      <c r="K1448" s="113">
        <v>427</v>
      </c>
      <c r="L1448" s="114" t="s">
        <v>176</v>
      </c>
      <c r="M1448" s="114" t="s">
        <v>2824</v>
      </c>
      <c r="N1448" s="115" t="s">
        <v>193</v>
      </c>
      <c r="O1448" s="114" t="s">
        <v>178</v>
      </c>
      <c r="P1448" s="115"/>
    </row>
    <row r="1449" spans="2:16">
      <c r="B1449" s="111">
        <v>45054</v>
      </c>
      <c r="C1449" s="108">
        <v>50522168</v>
      </c>
      <c r="D1449" s="55" t="s">
        <v>252</v>
      </c>
      <c r="E1449" s="67">
        <v>456</v>
      </c>
      <c r="F1449" s="67">
        <v>6</v>
      </c>
      <c r="G1449" s="102">
        <v>3182.9</v>
      </c>
      <c r="H1449" s="113" t="s">
        <v>82</v>
      </c>
      <c r="I1449" s="112"/>
      <c r="K1449" s="113">
        <v>427</v>
      </c>
      <c r="L1449" s="114" t="s">
        <v>176</v>
      </c>
      <c r="M1449" s="114" t="s">
        <v>2824</v>
      </c>
      <c r="N1449" s="115" t="s">
        <v>193</v>
      </c>
      <c r="O1449" s="114" t="s">
        <v>178</v>
      </c>
      <c r="P1449" s="115"/>
    </row>
    <row r="1450" spans="2:16">
      <c r="B1450" s="111">
        <v>45055</v>
      </c>
      <c r="C1450" s="59">
        <v>50766060</v>
      </c>
      <c r="D1450" s="55" t="s">
        <v>627</v>
      </c>
      <c r="E1450" s="67">
        <v>9000</v>
      </c>
      <c r="F1450" s="67">
        <v>9</v>
      </c>
      <c r="G1450" s="102">
        <v>66900</v>
      </c>
      <c r="H1450" s="113" t="s">
        <v>92</v>
      </c>
      <c r="I1450" s="112"/>
      <c r="K1450" s="113">
        <v>428</v>
      </c>
      <c r="L1450" s="114" t="s">
        <v>176</v>
      </c>
      <c r="M1450" s="114" t="s">
        <v>2824</v>
      </c>
      <c r="N1450" s="115" t="s">
        <v>177</v>
      </c>
      <c r="O1450" s="114" t="s">
        <v>178</v>
      </c>
      <c r="P1450" s="115"/>
    </row>
    <row r="1451" spans="2:16">
      <c r="B1451" s="111">
        <v>45055</v>
      </c>
      <c r="C1451" s="108">
        <v>50522168</v>
      </c>
      <c r="D1451" s="55" t="s">
        <v>252</v>
      </c>
      <c r="E1451" s="67">
        <v>564</v>
      </c>
      <c r="F1451" s="67">
        <v>2</v>
      </c>
      <c r="G1451" s="102">
        <v>961.65</v>
      </c>
      <c r="H1451" s="113" t="s">
        <v>82</v>
      </c>
      <c r="I1451" s="112"/>
      <c r="K1451" s="113">
        <v>428</v>
      </c>
      <c r="L1451" s="114" t="s">
        <v>176</v>
      </c>
      <c r="M1451" s="114" t="s">
        <v>2824</v>
      </c>
      <c r="N1451" s="115" t="s">
        <v>177</v>
      </c>
      <c r="O1451" s="114" t="s">
        <v>178</v>
      </c>
      <c r="P1451" s="115"/>
    </row>
    <row r="1452" spans="2:16">
      <c r="B1452" s="111">
        <v>45055</v>
      </c>
      <c r="C1452" s="59">
        <v>50369034</v>
      </c>
      <c r="D1452" s="55" t="s">
        <v>322</v>
      </c>
      <c r="E1452" s="67">
        <v>400</v>
      </c>
      <c r="F1452" s="67">
        <v>3</v>
      </c>
      <c r="G1452" s="102">
        <v>1530.5</v>
      </c>
      <c r="H1452" s="113" t="s">
        <v>82</v>
      </c>
      <c r="I1452" s="112"/>
      <c r="K1452" s="113">
        <v>428</v>
      </c>
      <c r="L1452" s="114" t="s">
        <v>176</v>
      </c>
      <c r="M1452" s="114" t="s">
        <v>2824</v>
      </c>
      <c r="N1452" s="115" t="s">
        <v>177</v>
      </c>
      <c r="O1452" s="114" t="s">
        <v>178</v>
      </c>
      <c r="P1452" s="115"/>
    </row>
    <row r="1453" spans="2:16">
      <c r="B1453" s="111">
        <v>45055</v>
      </c>
      <c r="C1453" s="59">
        <v>50266247</v>
      </c>
      <c r="D1453" s="55" t="s">
        <v>614</v>
      </c>
      <c r="E1453" s="67">
        <v>6400</v>
      </c>
      <c r="F1453" s="67">
        <v>1</v>
      </c>
      <c r="G1453" s="102">
        <v>6400</v>
      </c>
      <c r="H1453" s="113" t="s">
        <v>92</v>
      </c>
      <c r="I1453" s="112"/>
      <c r="K1453" s="113">
        <v>428</v>
      </c>
      <c r="L1453" s="114" t="s">
        <v>176</v>
      </c>
      <c r="M1453" s="114" t="s">
        <v>2824</v>
      </c>
      <c r="N1453" s="115" t="s">
        <v>177</v>
      </c>
      <c r="O1453" s="114" t="s">
        <v>178</v>
      </c>
      <c r="P1453" s="115"/>
    </row>
    <row r="1454" spans="2:16">
      <c r="B1454" s="111">
        <v>45055</v>
      </c>
      <c r="C1454" s="59">
        <v>50141786</v>
      </c>
      <c r="D1454" s="55" t="s">
        <v>188</v>
      </c>
      <c r="E1454" s="67">
        <v>560</v>
      </c>
      <c r="F1454" s="67">
        <v>5</v>
      </c>
      <c r="G1454" s="102">
        <v>2800</v>
      </c>
      <c r="H1454" s="113" t="s">
        <v>82</v>
      </c>
      <c r="I1454" s="112"/>
      <c r="K1454" s="113">
        <v>428</v>
      </c>
      <c r="L1454" s="114" t="s">
        <v>176</v>
      </c>
      <c r="M1454" s="114" t="s">
        <v>2824</v>
      </c>
      <c r="N1454" s="115" t="s">
        <v>177</v>
      </c>
      <c r="O1454" s="114" t="s">
        <v>178</v>
      </c>
      <c r="P1454" s="115"/>
    </row>
    <row r="1455" spans="2:16">
      <c r="B1455" s="111">
        <v>45057</v>
      </c>
      <c r="C1455" s="59">
        <v>50470190</v>
      </c>
      <c r="D1455" s="55" t="s">
        <v>12</v>
      </c>
      <c r="E1455" s="67">
        <v>289800</v>
      </c>
      <c r="F1455" s="67">
        <v>16</v>
      </c>
      <c r="G1455" s="102">
        <v>4636800</v>
      </c>
      <c r="H1455" s="113" t="s">
        <v>92</v>
      </c>
      <c r="I1455" s="112"/>
      <c r="K1455" s="113">
        <v>429</v>
      </c>
      <c r="L1455" s="114" t="s">
        <v>176</v>
      </c>
      <c r="M1455" s="114" t="s">
        <v>2824</v>
      </c>
      <c r="N1455" s="115" t="s">
        <v>177</v>
      </c>
      <c r="O1455" s="114" t="s">
        <v>178</v>
      </c>
      <c r="P1455" s="115"/>
    </row>
    <row r="1456" spans="2:16">
      <c r="B1456" s="111">
        <v>45057</v>
      </c>
      <c r="C1456" s="59">
        <v>50010080</v>
      </c>
      <c r="D1456" s="55" t="s">
        <v>354</v>
      </c>
      <c r="E1456" s="67">
        <v>1000</v>
      </c>
      <c r="F1456" s="67">
        <v>2</v>
      </c>
      <c r="G1456" s="102">
        <v>2000</v>
      </c>
      <c r="H1456" s="113" t="s">
        <v>82</v>
      </c>
      <c r="I1456" s="112"/>
      <c r="K1456" s="113">
        <v>430</v>
      </c>
      <c r="L1456" s="114" t="s">
        <v>176</v>
      </c>
      <c r="M1456" s="114" t="s">
        <v>2824</v>
      </c>
      <c r="N1456" s="115" t="s">
        <v>177</v>
      </c>
      <c r="O1456" s="114" t="s">
        <v>178</v>
      </c>
      <c r="P1456" s="115"/>
    </row>
    <row r="1457" spans="2:16">
      <c r="B1457" s="111">
        <v>45057</v>
      </c>
      <c r="C1457" s="59">
        <v>50142137</v>
      </c>
      <c r="D1457" s="55" t="s">
        <v>840</v>
      </c>
      <c r="E1457" s="67">
        <v>1200</v>
      </c>
      <c r="F1457" s="67">
        <v>1</v>
      </c>
      <c r="G1457" s="102">
        <v>1200</v>
      </c>
      <c r="H1457" s="113" t="s">
        <v>82</v>
      </c>
      <c r="I1457" s="112"/>
      <c r="K1457" s="113">
        <v>430</v>
      </c>
      <c r="L1457" s="114" t="s">
        <v>176</v>
      </c>
      <c r="M1457" s="114" t="s">
        <v>2824</v>
      </c>
      <c r="N1457" s="115" t="s">
        <v>177</v>
      </c>
      <c r="O1457" s="114" t="s">
        <v>178</v>
      </c>
      <c r="P1457" s="115"/>
    </row>
    <row r="1458" spans="2:16">
      <c r="B1458" s="111">
        <v>45057</v>
      </c>
      <c r="C1458" s="59">
        <v>50802526</v>
      </c>
      <c r="D1458" s="55" t="s">
        <v>804</v>
      </c>
      <c r="E1458" s="67">
        <v>356000</v>
      </c>
      <c r="F1458" s="67">
        <v>1</v>
      </c>
      <c r="G1458" s="102">
        <v>356000</v>
      </c>
      <c r="H1458" s="113" t="s">
        <v>92</v>
      </c>
      <c r="I1458" s="112"/>
      <c r="K1458" s="113">
        <v>430</v>
      </c>
      <c r="L1458" s="114" t="s">
        <v>176</v>
      </c>
      <c r="M1458" s="114" t="s">
        <v>2824</v>
      </c>
      <c r="N1458" s="115" t="s">
        <v>177</v>
      </c>
      <c r="O1458" s="114" t="s">
        <v>178</v>
      </c>
      <c r="P1458" s="115"/>
    </row>
    <row r="1459" spans="2:16">
      <c r="B1459" s="111">
        <v>45057</v>
      </c>
      <c r="C1459" s="59">
        <v>50802527</v>
      </c>
      <c r="D1459" s="55" t="s">
        <v>805</v>
      </c>
      <c r="E1459" s="67">
        <v>356000</v>
      </c>
      <c r="F1459" s="67">
        <v>1</v>
      </c>
      <c r="G1459" s="102">
        <v>356000</v>
      </c>
      <c r="H1459" s="113" t="s">
        <v>92</v>
      </c>
      <c r="I1459" s="112"/>
      <c r="K1459" s="113">
        <v>430</v>
      </c>
      <c r="L1459" s="114" t="s">
        <v>176</v>
      </c>
      <c r="M1459" s="114" t="s">
        <v>2824</v>
      </c>
      <c r="N1459" s="115" t="s">
        <v>177</v>
      </c>
      <c r="O1459" s="114" t="s">
        <v>178</v>
      </c>
      <c r="P1459" s="115"/>
    </row>
    <row r="1460" spans="2:16">
      <c r="B1460" s="111">
        <v>45057</v>
      </c>
      <c r="C1460" s="59">
        <v>50802525</v>
      </c>
      <c r="D1460" s="55" t="s">
        <v>801</v>
      </c>
      <c r="E1460" s="67">
        <v>356000</v>
      </c>
      <c r="F1460" s="67">
        <v>23</v>
      </c>
      <c r="G1460" s="102">
        <v>356000</v>
      </c>
      <c r="H1460" s="113" t="s">
        <v>92</v>
      </c>
      <c r="I1460" s="112"/>
      <c r="K1460" s="113">
        <v>430</v>
      </c>
      <c r="L1460" s="114" t="s">
        <v>176</v>
      </c>
      <c r="M1460" s="114" t="s">
        <v>2824</v>
      </c>
      <c r="N1460" s="115" t="s">
        <v>177</v>
      </c>
      <c r="O1460" s="114" t="s">
        <v>178</v>
      </c>
      <c r="P1460" s="115"/>
    </row>
    <row r="1461" spans="2:16">
      <c r="B1461" s="111">
        <v>45057</v>
      </c>
      <c r="C1461" s="59">
        <v>50141533</v>
      </c>
      <c r="D1461" s="55" t="s">
        <v>494</v>
      </c>
      <c r="E1461" s="67">
        <v>1250</v>
      </c>
      <c r="F1461" s="67">
        <v>1</v>
      </c>
      <c r="G1461" s="102">
        <v>1250</v>
      </c>
      <c r="H1461" s="113" t="s">
        <v>82</v>
      </c>
      <c r="I1461" s="112"/>
      <c r="K1461" s="113">
        <v>430</v>
      </c>
      <c r="L1461" s="114" t="s">
        <v>176</v>
      </c>
      <c r="M1461" s="114" t="s">
        <v>2824</v>
      </c>
      <c r="N1461" s="115" t="s">
        <v>177</v>
      </c>
      <c r="O1461" s="114" t="s">
        <v>178</v>
      </c>
      <c r="P1461" s="115"/>
    </row>
    <row r="1462" spans="2:16">
      <c r="B1462" s="111">
        <v>45057</v>
      </c>
      <c r="C1462" s="59">
        <v>40011148</v>
      </c>
      <c r="D1462" s="55" t="s">
        <v>86</v>
      </c>
      <c r="E1462" s="67">
        <v>450</v>
      </c>
      <c r="F1462" s="67">
        <v>4</v>
      </c>
      <c r="G1462" s="102">
        <v>1800</v>
      </c>
      <c r="H1462" s="56" t="s">
        <v>80</v>
      </c>
      <c r="I1462" s="112"/>
      <c r="K1462" s="113">
        <v>430</v>
      </c>
      <c r="L1462" s="114" t="s">
        <v>176</v>
      </c>
      <c r="M1462" s="114" t="s">
        <v>2824</v>
      </c>
      <c r="N1462" s="115" t="s">
        <v>177</v>
      </c>
      <c r="O1462" s="114" t="s">
        <v>178</v>
      </c>
      <c r="P1462" s="115"/>
    </row>
    <row r="1463" spans="2:16">
      <c r="B1463" s="111">
        <v>45057</v>
      </c>
      <c r="C1463" s="59">
        <v>50470190</v>
      </c>
      <c r="D1463" s="55" t="s">
        <v>12</v>
      </c>
      <c r="E1463" s="67">
        <v>289800</v>
      </c>
      <c r="F1463" s="67">
        <v>5</v>
      </c>
      <c r="G1463" s="102">
        <v>1449000</v>
      </c>
      <c r="H1463" s="113" t="s">
        <v>92</v>
      </c>
      <c r="I1463" s="112"/>
      <c r="K1463" s="113">
        <v>430</v>
      </c>
      <c r="L1463" s="114" t="s">
        <v>176</v>
      </c>
      <c r="M1463" s="114" t="s">
        <v>2824</v>
      </c>
      <c r="N1463" s="115" t="s">
        <v>177</v>
      </c>
      <c r="O1463" s="114" t="s">
        <v>178</v>
      </c>
      <c r="P1463" s="115"/>
    </row>
    <row r="1464" spans="2:16">
      <c r="B1464" s="111">
        <v>45057</v>
      </c>
      <c r="C1464" s="59">
        <v>50142327</v>
      </c>
      <c r="D1464" s="55" t="s">
        <v>256</v>
      </c>
      <c r="E1464" s="67">
        <v>681</v>
      </c>
      <c r="F1464" s="67">
        <v>1</v>
      </c>
      <c r="G1464" s="102">
        <v>681</v>
      </c>
      <c r="H1464" s="113" t="s">
        <v>82</v>
      </c>
      <c r="I1464" s="112"/>
      <c r="K1464" s="113">
        <v>430</v>
      </c>
      <c r="L1464" s="114" t="s">
        <v>176</v>
      </c>
      <c r="M1464" s="114" t="s">
        <v>2824</v>
      </c>
      <c r="N1464" s="115" t="s">
        <v>177</v>
      </c>
      <c r="O1464" s="114" t="s">
        <v>178</v>
      </c>
      <c r="P1464" s="115"/>
    </row>
    <row r="1465" spans="2:16">
      <c r="B1465" s="111">
        <v>45057</v>
      </c>
      <c r="C1465" s="59">
        <v>50142334</v>
      </c>
      <c r="D1465" s="55" t="s">
        <v>257</v>
      </c>
      <c r="E1465" s="67">
        <v>681</v>
      </c>
      <c r="F1465" s="67">
        <v>2</v>
      </c>
      <c r="G1465" s="102">
        <v>1362</v>
      </c>
      <c r="H1465" s="113" t="s">
        <v>82</v>
      </c>
      <c r="I1465" s="112"/>
      <c r="K1465" s="113">
        <v>430</v>
      </c>
      <c r="L1465" s="114" t="s">
        <v>176</v>
      </c>
      <c r="M1465" s="114" t="s">
        <v>2824</v>
      </c>
      <c r="N1465" s="115" t="s">
        <v>177</v>
      </c>
      <c r="O1465" s="114" t="s">
        <v>178</v>
      </c>
      <c r="P1465" s="115"/>
    </row>
    <row r="1466" spans="2:16">
      <c r="B1466" s="111">
        <v>45058</v>
      </c>
      <c r="C1466" s="59">
        <v>50145028</v>
      </c>
      <c r="D1466" s="55" t="s">
        <v>23</v>
      </c>
      <c r="E1466" s="67">
        <v>192</v>
      </c>
      <c r="F1466" s="67">
        <v>4</v>
      </c>
      <c r="G1466" s="102">
        <v>768</v>
      </c>
      <c r="H1466" s="113" t="s">
        <v>92</v>
      </c>
      <c r="I1466" s="112"/>
      <c r="K1466" s="113">
        <v>431</v>
      </c>
      <c r="L1466" s="114" t="s">
        <v>416</v>
      </c>
      <c r="M1466" s="114" t="s">
        <v>416</v>
      </c>
      <c r="N1466" s="4" t="s">
        <v>236</v>
      </c>
      <c r="O1466" s="114" t="s">
        <v>178</v>
      </c>
      <c r="P1466" s="115"/>
    </row>
    <row r="1467" spans="2:16">
      <c r="B1467" s="111">
        <v>45058</v>
      </c>
      <c r="C1467" s="59">
        <v>50144376</v>
      </c>
      <c r="D1467" s="55" t="s">
        <v>19</v>
      </c>
      <c r="E1467" s="67">
        <v>500</v>
      </c>
      <c r="F1467" s="67">
        <v>2</v>
      </c>
      <c r="G1467" s="102">
        <v>1770</v>
      </c>
      <c r="H1467" s="56" t="s">
        <v>92</v>
      </c>
      <c r="I1467" s="112"/>
      <c r="K1467" s="113">
        <v>431</v>
      </c>
      <c r="L1467" s="114" t="s">
        <v>416</v>
      </c>
      <c r="M1467" s="114" t="s">
        <v>416</v>
      </c>
      <c r="N1467" s="4" t="s">
        <v>236</v>
      </c>
      <c r="O1467" s="114" t="s">
        <v>178</v>
      </c>
      <c r="P1467" s="115"/>
    </row>
    <row r="1468" spans="2:16">
      <c r="B1468" s="111">
        <v>45058</v>
      </c>
      <c r="C1468" s="59">
        <v>50272278</v>
      </c>
      <c r="D1468" s="55" t="s">
        <v>21</v>
      </c>
      <c r="E1468" s="67">
        <v>500</v>
      </c>
      <c r="F1468" s="67">
        <v>5</v>
      </c>
      <c r="G1468" s="102">
        <v>3543</v>
      </c>
      <c r="H1468" s="113" t="s">
        <v>92</v>
      </c>
      <c r="I1468" s="112"/>
      <c r="K1468" s="113">
        <v>431</v>
      </c>
      <c r="L1468" s="114" t="s">
        <v>416</v>
      </c>
      <c r="M1468" s="114" t="s">
        <v>416</v>
      </c>
      <c r="N1468" s="4" t="s">
        <v>236</v>
      </c>
      <c r="O1468" s="114" t="s">
        <v>178</v>
      </c>
      <c r="P1468" s="115"/>
    </row>
    <row r="1469" spans="2:16">
      <c r="B1469" s="111">
        <v>45058</v>
      </c>
      <c r="C1469" s="59">
        <v>50272278</v>
      </c>
      <c r="D1469" s="55" t="s">
        <v>21</v>
      </c>
      <c r="E1469" s="67">
        <v>500</v>
      </c>
      <c r="F1469" s="67">
        <v>5</v>
      </c>
      <c r="G1469" s="102">
        <v>2500</v>
      </c>
      <c r="H1469" s="113" t="s">
        <v>92</v>
      </c>
      <c r="I1469" s="112"/>
      <c r="K1469" s="113">
        <v>432</v>
      </c>
      <c r="L1469" s="114" t="s">
        <v>176</v>
      </c>
      <c r="M1469" s="114" t="s">
        <v>2824</v>
      </c>
      <c r="N1469" s="115" t="s">
        <v>193</v>
      </c>
      <c r="O1469" s="114" t="s">
        <v>178</v>
      </c>
      <c r="P1469" s="115"/>
    </row>
    <row r="1470" spans="2:16">
      <c r="B1470" s="111">
        <v>45058</v>
      </c>
      <c r="C1470" s="59">
        <v>40009543</v>
      </c>
      <c r="D1470" s="55" t="s">
        <v>473</v>
      </c>
      <c r="E1470" s="67">
        <v>1680</v>
      </c>
      <c r="F1470" s="67">
        <v>2</v>
      </c>
      <c r="G1470" s="102">
        <v>3360</v>
      </c>
      <c r="H1470" s="113" t="s">
        <v>80</v>
      </c>
      <c r="I1470" s="112"/>
      <c r="K1470" s="113">
        <v>432</v>
      </c>
      <c r="L1470" s="114" t="s">
        <v>176</v>
      </c>
      <c r="M1470" s="114" t="s">
        <v>2824</v>
      </c>
      <c r="N1470" s="115" t="s">
        <v>193</v>
      </c>
      <c r="O1470" s="114" t="s">
        <v>178</v>
      </c>
      <c r="P1470" s="115"/>
    </row>
    <row r="1471" spans="2:16">
      <c r="B1471" s="111">
        <v>45058</v>
      </c>
      <c r="C1471" s="59">
        <v>50470190</v>
      </c>
      <c r="D1471" s="55" t="s">
        <v>12</v>
      </c>
      <c r="E1471" s="67">
        <v>289800</v>
      </c>
      <c r="F1471" s="67">
        <v>13</v>
      </c>
      <c r="G1471" s="102">
        <v>3767400</v>
      </c>
      <c r="H1471" s="113" t="s">
        <v>92</v>
      </c>
      <c r="I1471" s="112"/>
      <c r="K1471" s="113">
        <v>432</v>
      </c>
      <c r="L1471" s="114" t="s">
        <v>176</v>
      </c>
      <c r="M1471" s="114" t="s">
        <v>2824</v>
      </c>
      <c r="N1471" s="115" t="s">
        <v>193</v>
      </c>
      <c r="O1471" s="114" t="s">
        <v>178</v>
      </c>
      <c r="P1471" s="115"/>
    </row>
    <row r="1472" spans="2:16">
      <c r="B1472" s="111">
        <v>45058</v>
      </c>
      <c r="C1472" s="59">
        <v>502360907</v>
      </c>
      <c r="D1472" s="55" t="s">
        <v>897</v>
      </c>
      <c r="E1472" s="67">
        <v>700</v>
      </c>
      <c r="F1472" s="67">
        <v>18</v>
      </c>
      <c r="G1472" s="102">
        <v>204.12</v>
      </c>
      <c r="H1472" s="113" t="s">
        <v>898</v>
      </c>
      <c r="I1472" s="112"/>
      <c r="K1472" s="113">
        <v>433</v>
      </c>
      <c r="L1472" s="114" t="s">
        <v>176</v>
      </c>
      <c r="M1472" s="114" t="s">
        <v>2824</v>
      </c>
      <c r="N1472" s="115" t="s">
        <v>177</v>
      </c>
      <c r="O1472" s="114" t="s">
        <v>178</v>
      </c>
      <c r="P1472" s="115"/>
    </row>
    <row r="1473" spans="2:16">
      <c r="B1473" s="111">
        <v>45058</v>
      </c>
      <c r="C1473" s="59">
        <v>50272278</v>
      </c>
      <c r="D1473" s="55" t="s">
        <v>21</v>
      </c>
      <c r="E1473" s="67">
        <v>500</v>
      </c>
      <c r="F1473" s="67">
        <v>2</v>
      </c>
      <c r="G1473" s="102">
        <v>1000</v>
      </c>
      <c r="H1473" s="113" t="s">
        <v>92</v>
      </c>
      <c r="I1473" s="112"/>
      <c r="K1473" s="113">
        <v>433</v>
      </c>
      <c r="L1473" s="114" t="s">
        <v>176</v>
      </c>
      <c r="M1473" s="114" t="s">
        <v>2824</v>
      </c>
      <c r="N1473" s="115" t="s">
        <v>177</v>
      </c>
      <c r="O1473" s="114" t="s">
        <v>178</v>
      </c>
      <c r="P1473" s="115"/>
    </row>
    <row r="1474" spans="2:16">
      <c r="B1474" s="20">
        <v>45062</v>
      </c>
      <c r="C1474" s="59">
        <v>40010087</v>
      </c>
      <c r="D1474" s="55" t="s">
        <v>387</v>
      </c>
      <c r="E1474" s="67">
        <v>756</v>
      </c>
      <c r="F1474" s="67">
        <v>6</v>
      </c>
      <c r="G1474" s="102">
        <v>4455</v>
      </c>
      <c r="H1474" s="56" t="s">
        <v>80</v>
      </c>
      <c r="K1474" s="56">
        <v>434</v>
      </c>
      <c r="L1474" s="114" t="s">
        <v>176</v>
      </c>
      <c r="M1474" s="114" t="s">
        <v>2824</v>
      </c>
      <c r="N1474" s="115" t="s">
        <v>193</v>
      </c>
      <c r="O1474" s="114" t="s">
        <v>178</v>
      </c>
      <c r="P1474" s="115"/>
    </row>
    <row r="1475" spans="2:16">
      <c r="B1475" s="20">
        <v>45062</v>
      </c>
      <c r="C1475" s="59">
        <v>50272278</v>
      </c>
      <c r="D1475" s="55" t="s">
        <v>21</v>
      </c>
      <c r="E1475" s="67">
        <v>500</v>
      </c>
      <c r="F1475" s="67">
        <v>16</v>
      </c>
      <c r="G1475" s="102">
        <v>8000</v>
      </c>
      <c r="H1475" s="56" t="s">
        <v>92</v>
      </c>
      <c r="K1475" s="56">
        <v>434</v>
      </c>
      <c r="L1475" s="114" t="s">
        <v>176</v>
      </c>
      <c r="M1475" s="114" t="s">
        <v>2824</v>
      </c>
      <c r="N1475" s="115" t="s">
        <v>193</v>
      </c>
      <c r="O1475" s="114" t="s">
        <v>178</v>
      </c>
      <c r="P1475" s="115"/>
    </row>
    <row r="1476" spans="2:16">
      <c r="B1476" s="20">
        <v>45062</v>
      </c>
      <c r="C1476" s="59">
        <v>50145521</v>
      </c>
      <c r="D1476" s="55" t="s">
        <v>436</v>
      </c>
      <c r="E1476" s="67">
        <v>70000</v>
      </c>
      <c r="F1476" s="67">
        <v>5</v>
      </c>
      <c r="G1476" s="102">
        <v>350000</v>
      </c>
      <c r="H1476" s="56" t="s">
        <v>92</v>
      </c>
      <c r="K1476" s="56">
        <v>435</v>
      </c>
      <c r="M1476" s="55" t="s">
        <v>326</v>
      </c>
      <c r="O1476" s="114" t="s">
        <v>178</v>
      </c>
      <c r="P1476" s="115"/>
    </row>
    <row r="1477" spans="2:16">
      <c r="B1477" s="20">
        <v>45063</v>
      </c>
      <c r="C1477" s="59">
        <v>50143646</v>
      </c>
      <c r="D1477" s="55" t="s">
        <v>191</v>
      </c>
      <c r="E1477" s="67">
        <v>480</v>
      </c>
      <c r="F1477" s="67">
        <v>8</v>
      </c>
      <c r="G1477" s="102">
        <v>3840</v>
      </c>
      <c r="H1477" s="56" t="s">
        <v>82</v>
      </c>
      <c r="K1477" s="56">
        <v>436</v>
      </c>
      <c r="L1477" s="114" t="s">
        <v>176</v>
      </c>
      <c r="M1477" s="114" t="s">
        <v>2824</v>
      </c>
      <c r="N1477" s="115" t="s">
        <v>177</v>
      </c>
      <c r="O1477" s="114" t="s">
        <v>178</v>
      </c>
      <c r="P1477" s="115"/>
    </row>
    <row r="1478" spans="2:16">
      <c r="B1478" s="20">
        <v>45063</v>
      </c>
      <c r="C1478" s="59">
        <v>50141786</v>
      </c>
      <c r="D1478" s="55" t="s">
        <v>188</v>
      </c>
      <c r="E1478" s="67">
        <v>560</v>
      </c>
      <c r="F1478" s="67">
        <v>8</v>
      </c>
      <c r="G1478" s="102">
        <v>4480</v>
      </c>
      <c r="H1478" s="56" t="s">
        <v>82</v>
      </c>
      <c r="K1478" s="56">
        <v>436</v>
      </c>
      <c r="L1478" s="114" t="s">
        <v>176</v>
      </c>
      <c r="M1478" s="114" t="s">
        <v>2824</v>
      </c>
      <c r="N1478" s="115" t="s">
        <v>177</v>
      </c>
      <c r="O1478" s="114" t="s">
        <v>178</v>
      </c>
      <c r="P1478" s="115"/>
    </row>
    <row r="1479" spans="2:16">
      <c r="B1479" s="20">
        <v>45063</v>
      </c>
      <c r="C1479" s="59">
        <v>50010080</v>
      </c>
      <c r="D1479" s="55" t="s">
        <v>354</v>
      </c>
      <c r="E1479" s="67">
        <v>1000</v>
      </c>
      <c r="F1479" s="67">
        <v>1</v>
      </c>
      <c r="G1479" s="102">
        <v>1000</v>
      </c>
      <c r="H1479" s="56" t="s">
        <v>82</v>
      </c>
      <c r="K1479" s="56">
        <v>436</v>
      </c>
      <c r="L1479" s="114" t="s">
        <v>176</v>
      </c>
      <c r="M1479" s="114" t="s">
        <v>2824</v>
      </c>
      <c r="N1479" s="115" t="s">
        <v>177</v>
      </c>
      <c r="O1479" s="114" t="s">
        <v>178</v>
      </c>
      <c r="P1479" s="115"/>
    </row>
    <row r="1480" spans="2:16">
      <c r="B1480" s="20">
        <v>45063</v>
      </c>
      <c r="C1480" s="59">
        <v>50507916</v>
      </c>
      <c r="D1480" s="55" t="s">
        <v>406</v>
      </c>
      <c r="E1480" s="67">
        <v>240000</v>
      </c>
      <c r="F1480" s="67">
        <v>3</v>
      </c>
      <c r="G1480" s="102">
        <v>792000</v>
      </c>
      <c r="H1480" s="56" t="s">
        <v>92</v>
      </c>
      <c r="K1480" s="56">
        <v>436</v>
      </c>
      <c r="L1480" s="114" t="s">
        <v>176</v>
      </c>
      <c r="M1480" s="114" t="s">
        <v>2824</v>
      </c>
      <c r="N1480" s="115" t="s">
        <v>177</v>
      </c>
      <c r="O1480" s="114" t="s">
        <v>178</v>
      </c>
      <c r="P1480" s="115"/>
    </row>
    <row r="1481" spans="2:16">
      <c r="B1481" s="20">
        <v>45063</v>
      </c>
      <c r="C1481" s="59">
        <v>50486294</v>
      </c>
      <c r="D1481" s="55" t="s">
        <v>752</v>
      </c>
      <c r="E1481" s="101">
        <v>3698.9</v>
      </c>
      <c r="G1481" s="102">
        <v>3698.9</v>
      </c>
      <c r="H1481" s="56" t="s">
        <v>82</v>
      </c>
      <c r="K1481" s="56">
        <v>437</v>
      </c>
      <c r="L1481" s="114" t="s">
        <v>176</v>
      </c>
      <c r="M1481" s="114" t="s">
        <v>2824</v>
      </c>
      <c r="N1481" s="115" t="s">
        <v>177</v>
      </c>
      <c r="O1481" s="114" t="s">
        <v>178</v>
      </c>
      <c r="P1481" s="115"/>
    </row>
    <row r="1482" spans="2:16">
      <c r="B1482" s="20">
        <v>45063</v>
      </c>
      <c r="C1482" s="59">
        <v>50142237</v>
      </c>
      <c r="D1482" s="55" t="s">
        <v>617</v>
      </c>
      <c r="E1482" s="67">
        <v>1000</v>
      </c>
      <c r="F1482" s="67">
        <v>10</v>
      </c>
      <c r="G1482" s="102">
        <v>10000</v>
      </c>
      <c r="H1482" s="56" t="s">
        <v>92</v>
      </c>
      <c r="K1482" s="56">
        <v>437</v>
      </c>
      <c r="L1482" s="114" t="s">
        <v>176</v>
      </c>
      <c r="M1482" s="114" t="s">
        <v>2824</v>
      </c>
      <c r="N1482" s="115" t="s">
        <v>177</v>
      </c>
      <c r="O1482" s="114" t="s">
        <v>178</v>
      </c>
      <c r="P1482" s="115"/>
    </row>
    <row r="1483" spans="2:16">
      <c r="B1483" s="20">
        <v>45064</v>
      </c>
      <c r="C1483" s="59">
        <v>50272278</v>
      </c>
      <c r="D1483" s="55" t="s">
        <v>21</v>
      </c>
      <c r="E1483" s="67">
        <v>500</v>
      </c>
      <c r="F1483" s="67">
        <v>22</v>
      </c>
      <c r="G1483" s="102">
        <v>11000</v>
      </c>
      <c r="H1483" s="56" t="s">
        <v>92</v>
      </c>
      <c r="K1483" s="56">
        <v>438</v>
      </c>
      <c r="L1483" s="114" t="s">
        <v>176</v>
      </c>
      <c r="M1483" s="114" t="s">
        <v>2824</v>
      </c>
      <c r="N1483" s="115" t="s">
        <v>193</v>
      </c>
      <c r="O1483" s="114" t="s">
        <v>178</v>
      </c>
      <c r="P1483" s="115"/>
    </row>
    <row r="1484" spans="2:16">
      <c r="B1484" s="20">
        <v>45064</v>
      </c>
      <c r="C1484" s="59">
        <v>50470190</v>
      </c>
      <c r="D1484" s="55" t="s">
        <v>12</v>
      </c>
      <c r="E1484" s="67">
        <v>289800</v>
      </c>
      <c r="F1484" s="67">
        <v>18</v>
      </c>
      <c r="G1484" s="102">
        <v>5216400</v>
      </c>
      <c r="H1484" s="56" t="s">
        <v>92</v>
      </c>
      <c r="K1484" s="56">
        <v>439</v>
      </c>
      <c r="L1484" s="114" t="s">
        <v>176</v>
      </c>
      <c r="M1484" s="114" t="s">
        <v>2824</v>
      </c>
      <c r="N1484" s="115" t="s">
        <v>193</v>
      </c>
      <c r="O1484" s="114" t="s">
        <v>178</v>
      </c>
      <c r="P1484" s="115"/>
    </row>
    <row r="1485" spans="2:16">
      <c r="B1485" s="20">
        <v>45065</v>
      </c>
      <c r="C1485" s="59">
        <v>50010080</v>
      </c>
      <c r="D1485" s="55" t="s">
        <v>354</v>
      </c>
      <c r="E1485" s="67">
        <v>1000</v>
      </c>
      <c r="F1485" s="67">
        <v>2</v>
      </c>
      <c r="G1485" s="102">
        <v>2000</v>
      </c>
      <c r="H1485" s="56" t="s">
        <v>82</v>
      </c>
      <c r="K1485" s="56">
        <v>440</v>
      </c>
      <c r="L1485" s="114" t="s">
        <v>176</v>
      </c>
      <c r="M1485" s="114" t="s">
        <v>2824</v>
      </c>
      <c r="N1485" s="115" t="s">
        <v>177</v>
      </c>
      <c r="O1485" s="114" t="s">
        <v>178</v>
      </c>
      <c r="P1485" s="115"/>
    </row>
    <row r="1486" spans="2:16">
      <c r="B1486" s="20">
        <v>45065</v>
      </c>
      <c r="C1486" s="59">
        <v>50144376</v>
      </c>
      <c r="D1486" s="55" t="s">
        <v>19</v>
      </c>
      <c r="E1486" s="67">
        <v>500</v>
      </c>
      <c r="F1486" s="67">
        <v>6</v>
      </c>
      <c r="G1486" s="102">
        <v>3000</v>
      </c>
      <c r="H1486" s="56" t="s">
        <v>92</v>
      </c>
      <c r="K1486" s="56">
        <v>440</v>
      </c>
      <c r="L1486" s="114" t="s">
        <v>176</v>
      </c>
      <c r="M1486" s="114" t="s">
        <v>2824</v>
      </c>
      <c r="N1486" s="115" t="s">
        <v>177</v>
      </c>
      <c r="O1486" s="114" t="s">
        <v>178</v>
      </c>
      <c r="P1486" s="115"/>
    </row>
    <row r="1487" spans="2:16">
      <c r="B1487" s="20">
        <v>45065</v>
      </c>
      <c r="C1487" s="59">
        <v>50272278</v>
      </c>
      <c r="D1487" s="55" t="s">
        <v>21</v>
      </c>
      <c r="E1487" s="67">
        <v>500</v>
      </c>
      <c r="F1487" s="67">
        <v>6</v>
      </c>
      <c r="G1487" s="102">
        <v>3000</v>
      </c>
      <c r="H1487" s="56" t="s">
        <v>92</v>
      </c>
      <c r="K1487" s="56">
        <v>440</v>
      </c>
      <c r="L1487" s="114" t="s">
        <v>176</v>
      </c>
      <c r="M1487" s="114" t="s">
        <v>2824</v>
      </c>
      <c r="N1487" s="115" t="s">
        <v>177</v>
      </c>
      <c r="O1487" s="114" t="s">
        <v>178</v>
      </c>
      <c r="P1487" s="115"/>
    </row>
    <row r="1488" spans="2:16">
      <c r="B1488" s="20">
        <v>45065</v>
      </c>
      <c r="C1488" s="59">
        <v>50142327</v>
      </c>
      <c r="D1488" s="55" t="s">
        <v>256</v>
      </c>
      <c r="E1488" s="67">
        <v>681</v>
      </c>
      <c r="F1488" s="67">
        <v>2</v>
      </c>
      <c r="G1488" s="102">
        <v>1362</v>
      </c>
      <c r="H1488" s="56" t="s">
        <v>82</v>
      </c>
      <c r="K1488" s="56">
        <v>440</v>
      </c>
      <c r="L1488" s="114" t="s">
        <v>176</v>
      </c>
      <c r="M1488" s="114" t="s">
        <v>2824</v>
      </c>
      <c r="N1488" s="115" t="s">
        <v>177</v>
      </c>
      <c r="O1488" s="114" t="s">
        <v>178</v>
      </c>
      <c r="P1488" s="115"/>
    </row>
    <row r="1489" spans="2:16">
      <c r="B1489" s="20">
        <v>45065</v>
      </c>
      <c r="C1489" s="59">
        <v>50142334</v>
      </c>
      <c r="D1489" s="55" t="s">
        <v>257</v>
      </c>
      <c r="E1489" s="67">
        <v>681</v>
      </c>
      <c r="F1489" s="67">
        <v>2</v>
      </c>
      <c r="G1489" s="102">
        <v>1362</v>
      </c>
      <c r="H1489" s="56" t="s">
        <v>82</v>
      </c>
      <c r="K1489" s="56">
        <v>440</v>
      </c>
      <c r="L1489" s="114" t="s">
        <v>176</v>
      </c>
      <c r="M1489" s="114" t="s">
        <v>2824</v>
      </c>
      <c r="N1489" s="115" t="s">
        <v>177</v>
      </c>
      <c r="O1489" s="114" t="s">
        <v>178</v>
      </c>
      <c r="P1489" s="115"/>
    </row>
    <row r="1490" spans="2:16">
      <c r="B1490" s="20">
        <v>45068</v>
      </c>
      <c r="C1490" s="59">
        <v>40010084</v>
      </c>
      <c r="D1490" s="55" t="s">
        <v>81</v>
      </c>
      <c r="E1490" s="67">
        <v>1344</v>
      </c>
      <c r="F1490" s="67">
        <v>3</v>
      </c>
      <c r="G1490" s="102">
        <v>3528</v>
      </c>
      <c r="H1490" s="56" t="s">
        <v>80</v>
      </c>
      <c r="K1490" s="56">
        <v>441</v>
      </c>
      <c r="L1490" s="114" t="s">
        <v>176</v>
      </c>
      <c r="M1490" s="114" t="s">
        <v>2824</v>
      </c>
      <c r="N1490" s="115" t="s">
        <v>177</v>
      </c>
      <c r="O1490" s="114" t="s">
        <v>178</v>
      </c>
      <c r="P1490" s="115"/>
    </row>
    <row r="1491" spans="2:16">
      <c r="B1491" s="20">
        <v>45068</v>
      </c>
      <c r="C1491" s="59">
        <v>40010083</v>
      </c>
      <c r="D1491" s="55" t="s">
        <v>85</v>
      </c>
      <c r="E1491" s="67">
        <v>3248</v>
      </c>
      <c r="F1491" s="67">
        <v>1</v>
      </c>
      <c r="G1491" s="102">
        <v>3248</v>
      </c>
      <c r="H1491" s="56" t="s">
        <v>80</v>
      </c>
      <c r="K1491" s="56">
        <v>441</v>
      </c>
      <c r="L1491" s="114" t="s">
        <v>176</v>
      </c>
      <c r="M1491" s="114" t="s">
        <v>2824</v>
      </c>
      <c r="N1491" s="115" t="s">
        <v>177</v>
      </c>
      <c r="O1491" s="114" t="s">
        <v>178</v>
      </c>
      <c r="P1491" s="115"/>
    </row>
    <row r="1492" spans="2:16">
      <c r="B1492" s="20">
        <v>45068</v>
      </c>
      <c r="C1492" s="59">
        <v>50470190</v>
      </c>
      <c r="D1492" s="55" t="s">
        <v>12</v>
      </c>
      <c r="E1492" s="67">
        <v>289800</v>
      </c>
      <c r="F1492" s="67">
        <v>10</v>
      </c>
      <c r="G1492" s="102">
        <v>2898000</v>
      </c>
      <c r="H1492" s="56" t="s">
        <v>92</v>
      </c>
      <c r="K1492" s="56">
        <v>441</v>
      </c>
      <c r="L1492" s="114" t="s">
        <v>176</v>
      </c>
      <c r="M1492" s="114" t="s">
        <v>2824</v>
      </c>
      <c r="N1492" s="115" t="s">
        <v>177</v>
      </c>
      <c r="O1492" s="114" t="s">
        <v>178</v>
      </c>
      <c r="P1492" s="115"/>
    </row>
    <row r="1493" spans="2:16">
      <c r="B1493" s="20">
        <v>45068</v>
      </c>
      <c r="C1493" s="59">
        <v>50315365</v>
      </c>
      <c r="D1493" s="55" t="s">
        <v>584</v>
      </c>
      <c r="E1493" s="67">
        <v>264</v>
      </c>
      <c r="F1493" s="67">
        <v>3</v>
      </c>
      <c r="G1493" s="102">
        <v>792</v>
      </c>
      <c r="H1493" s="56" t="s">
        <v>80</v>
      </c>
      <c r="K1493" s="56">
        <v>441</v>
      </c>
      <c r="L1493" s="114" t="s">
        <v>176</v>
      </c>
      <c r="M1493" s="114" t="s">
        <v>2824</v>
      </c>
      <c r="N1493" s="115" t="s">
        <v>177</v>
      </c>
      <c r="O1493" s="114" t="s">
        <v>178</v>
      </c>
      <c r="P1493" s="115"/>
    </row>
    <row r="1494" spans="2:16">
      <c r="B1494" s="20">
        <v>45069</v>
      </c>
      <c r="C1494" s="59">
        <v>50144376</v>
      </c>
      <c r="D1494" s="55" t="s">
        <v>19</v>
      </c>
      <c r="E1494" s="67">
        <v>500</v>
      </c>
      <c r="F1494" s="67">
        <v>10</v>
      </c>
      <c r="G1494" s="102">
        <v>5000</v>
      </c>
      <c r="H1494" s="56" t="s">
        <v>92</v>
      </c>
      <c r="K1494" s="56">
        <v>442</v>
      </c>
      <c r="L1494" s="114" t="s">
        <v>176</v>
      </c>
      <c r="M1494" s="114" t="s">
        <v>2824</v>
      </c>
      <c r="N1494" s="115" t="s">
        <v>177</v>
      </c>
      <c r="O1494" s="114" t="s">
        <v>178</v>
      </c>
      <c r="P1494" s="115"/>
    </row>
    <row r="1495" spans="2:16">
      <c r="B1495" s="20">
        <v>45069</v>
      </c>
      <c r="C1495" s="59">
        <v>50272278</v>
      </c>
      <c r="D1495" s="55" t="s">
        <v>21</v>
      </c>
      <c r="E1495" s="67">
        <v>500</v>
      </c>
      <c r="F1495" s="67">
        <v>10</v>
      </c>
      <c r="G1495" s="102">
        <v>5000</v>
      </c>
      <c r="H1495" s="56" t="s">
        <v>92</v>
      </c>
      <c r="K1495" s="56">
        <v>442</v>
      </c>
      <c r="L1495" s="114" t="s">
        <v>176</v>
      </c>
      <c r="M1495" s="114" t="s">
        <v>2824</v>
      </c>
      <c r="N1495" s="115" t="s">
        <v>177</v>
      </c>
      <c r="O1495" s="114" t="s">
        <v>178</v>
      </c>
      <c r="P1495" s="115"/>
    </row>
    <row r="1496" spans="2:16">
      <c r="B1496" s="20">
        <v>45069</v>
      </c>
      <c r="C1496" s="59">
        <v>40011080</v>
      </c>
      <c r="D1496" s="55" t="s">
        <v>420</v>
      </c>
      <c r="E1496" s="67">
        <v>450</v>
      </c>
      <c r="F1496" s="67">
        <v>5</v>
      </c>
      <c r="G1496" s="102">
        <v>2250</v>
      </c>
      <c r="H1496" s="56" t="s">
        <v>80</v>
      </c>
      <c r="K1496" s="56">
        <v>443</v>
      </c>
      <c r="L1496" s="114" t="s">
        <v>176</v>
      </c>
      <c r="M1496" s="114" t="s">
        <v>2824</v>
      </c>
      <c r="N1496" s="115" t="s">
        <v>177</v>
      </c>
      <c r="O1496" s="114" t="s">
        <v>178</v>
      </c>
      <c r="P1496" s="115"/>
    </row>
    <row r="1497" spans="2:16">
      <c r="B1497" s="20">
        <v>45069</v>
      </c>
      <c r="C1497" s="59">
        <v>40011149</v>
      </c>
      <c r="D1497" s="55" t="s">
        <v>37</v>
      </c>
      <c r="E1497" s="67">
        <v>360</v>
      </c>
      <c r="F1497" s="67">
        <v>3</v>
      </c>
      <c r="G1497" s="102">
        <v>1080</v>
      </c>
      <c r="H1497" s="56" t="s">
        <v>80</v>
      </c>
      <c r="K1497" s="56">
        <v>443</v>
      </c>
      <c r="L1497" s="114" t="s">
        <v>176</v>
      </c>
      <c r="M1497" s="114" t="s">
        <v>2824</v>
      </c>
      <c r="N1497" s="115" t="s">
        <v>177</v>
      </c>
      <c r="O1497" s="114" t="s">
        <v>178</v>
      </c>
      <c r="P1497" s="115"/>
    </row>
    <row r="1498" spans="2:16">
      <c r="B1498" s="20">
        <v>45069</v>
      </c>
      <c r="C1498" s="59">
        <v>50507916</v>
      </c>
      <c r="D1498" s="55" t="s">
        <v>406</v>
      </c>
      <c r="E1498" s="67">
        <v>264</v>
      </c>
      <c r="F1498" s="67">
        <v>2</v>
      </c>
      <c r="G1498" s="102">
        <v>528000</v>
      </c>
      <c r="H1498" s="56" t="s">
        <v>92</v>
      </c>
      <c r="K1498" s="56">
        <v>443</v>
      </c>
      <c r="L1498" s="114" t="s">
        <v>176</v>
      </c>
      <c r="M1498" s="114" t="s">
        <v>2824</v>
      </c>
      <c r="N1498" s="115" t="s">
        <v>177</v>
      </c>
      <c r="O1498" s="114" t="s">
        <v>178</v>
      </c>
      <c r="P1498" s="115"/>
    </row>
    <row r="1499" spans="2:16">
      <c r="B1499" s="20">
        <v>45069</v>
      </c>
      <c r="C1499" s="59">
        <v>50315365</v>
      </c>
      <c r="D1499" s="55" t="s">
        <v>584</v>
      </c>
      <c r="E1499" s="67">
        <v>264</v>
      </c>
      <c r="F1499" s="67">
        <v>3</v>
      </c>
      <c r="G1499" s="102">
        <v>792</v>
      </c>
      <c r="H1499" s="56" t="s">
        <v>80</v>
      </c>
      <c r="K1499" s="56">
        <v>443</v>
      </c>
      <c r="L1499" s="114" t="s">
        <v>176</v>
      </c>
      <c r="M1499" s="114" t="s">
        <v>2824</v>
      </c>
      <c r="N1499" s="115" t="s">
        <v>177</v>
      </c>
      <c r="O1499" s="114" t="s">
        <v>178</v>
      </c>
      <c r="P1499" s="115"/>
    </row>
    <row r="1500" spans="2:16">
      <c r="B1500" s="20">
        <v>45069</v>
      </c>
      <c r="C1500" s="59">
        <v>50509889</v>
      </c>
      <c r="D1500" s="55" t="s">
        <v>671</v>
      </c>
      <c r="E1500" s="67">
        <v>264</v>
      </c>
      <c r="F1500" s="67">
        <v>4</v>
      </c>
      <c r="G1500" s="102">
        <v>1001000</v>
      </c>
      <c r="H1500" s="56" t="s">
        <v>92</v>
      </c>
      <c r="K1500" s="56">
        <v>443</v>
      </c>
      <c r="L1500" s="114" t="s">
        <v>176</v>
      </c>
      <c r="M1500" s="114" t="s">
        <v>2824</v>
      </c>
      <c r="N1500" s="115" t="s">
        <v>177</v>
      </c>
      <c r="O1500" s="114" t="s">
        <v>178</v>
      </c>
      <c r="P1500" s="115"/>
    </row>
    <row r="1501" spans="2:16">
      <c r="B1501" s="20">
        <v>45069</v>
      </c>
      <c r="C1501" s="59">
        <v>50142327</v>
      </c>
      <c r="D1501" s="55" t="s">
        <v>256</v>
      </c>
      <c r="E1501" s="67">
        <v>681</v>
      </c>
      <c r="F1501" s="67">
        <v>1</v>
      </c>
      <c r="G1501" s="102">
        <v>681</v>
      </c>
      <c r="H1501" s="56" t="s">
        <v>82</v>
      </c>
      <c r="K1501" s="56">
        <v>443</v>
      </c>
      <c r="L1501" s="114" t="s">
        <v>176</v>
      </c>
      <c r="M1501" s="114" t="s">
        <v>2824</v>
      </c>
      <c r="N1501" s="115" t="s">
        <v>177</v>
      </c>
      <c r="O1501" s="114" t="s">
        <v>178</v>
      </c>
      <c r="P1501" s="115"/>
    </row>
    <row r="1502" spans="2:16">
      <c r="B1502" s="20">
        <v>45069</v>
      </c>
      <c r="C1502" s="59">
        <v>50142334</v>
      </c>
      <c r="D1502" s="55" t="s">
        <v>257</v>
      </c>
      <c r="E1502" s="67">
        <v>681</v>
      </c>
      <c r="F1502" s="67">
        <v>1</v>
      </c>
      <c r="G1502" s="102">
        <v>681</v>
      </c>
      <c r="H1502" s="56" t="s">
        <v>82</v>
      </c>
      <c r="K1502" s="56">
        <v>443</v>
      </c>
      <c r="L1502" s="114" t="s">
        <v>176</v>
      </c>
      <c r="M1502" s="114" t="s">
        <v>2824</v>
      </c>
      <c r="N1502" s="115" t="s">
        <v>177</v>
      </c>
      <c r="O1502" s="114" t="s">
        <v>178</v>
      </c>
      <c r="P1502" s="115"/>
    </row>
    <row r="1503" spans="2:16">
      <c r="B1503" s="20">
        <v>45069</v>
      </c>
      <c r="C1503" s="59">
        <v>50144376</v>
      </c>
      <c r="D1503" s="55" t="s">
        <v>19</v>
      </c>
      <c r="E1503" s="67">
        <v>500</v>
      </c>
      <c r="F1503" s="67">
        <v>8</v>
      </c>
      <c r="G1503" s="102">
        <v>4000</v>
      </c>
      <c r="H1503" s="56" t="s">
        <v>92</v>
      </c>
      <c r="K1503" s="56">
        <v>444</v>
      </c>
      <c r="L1503" s="55" t="s">
        <v>326</v>
      </c>
      <c r="M1503" s="114" t="s">
        <v>2824</v>
      </c>
      <c r="N1503" s="4" t="s">
        <v>327</v>
      </c>
      <c r="O1503" s="114" t="s">
        <v>178</v>
      </c>
      <c r="P1503" s="115"/>
    </row>
    <row r="1504" spans="2:16">
      <c r="B1504" s="20">
        <v>45069</v>
      </c>
      <c r="C1504" s="59">
        <v>50010080</v>
      </c>
      <c r="D1504" s="55" t="s">
        <v>354</v>
      </c>
      <c r="E1504" s="67">
        <v>1000</v>
      </c>
      <c r="F1504" s="67">
        <v>4</v>
      </c>
      <c r="G1504" s="102">
        <v>4000</v>
      </c>
      <c r="H1504" s="56" t="s">
        <v>82</v>
      </c>
      <c r="K1504" s="56">
        <v>444</v>
      </c>
      <c r="L1504" s="55" t="s">
        <v>326</v>
      </c>
      <c r="M1504" s="114" t="s">
        <v>2824</v>
      </c>
      <c r="N1504" s="4" t="s">
        <v>327</v>
      </c>
      <c r="O1504" s="114" t="s">
        <v>178</v>
      </c>
      <c r="P1504" s="115"/>
    </row>
    <row r="1505" spans="2:16">
      <c r="B1505" s="20">
        <v>45069</v>
      </c>
      <c r="C1505" s="59">
        <v>50142619</v>
      </c>
      <c r="D1505" s="55" t="s">
        <v>433</v>
      </c>
      <c r="E1505" s="67">
        <v>660</v>
      </c>
      <c r="F1505" s="67">
        <v>8</v>
      </c>
      <c r="G1505" s="102">
        <v>5236</v>
      </c>
      <c r="H1505" s="56" t="s">
        <v>82</v>
      </c>
      <c r="K1505" s="56">
        <v>444</v>
      </c>
      <c r="L1505" s="55" t="s">
        <v>326</v>
      </c>
      <c r="M1505" s="114" t="s">
        <v>2824</v>
      </c>
      <c r="N1505" s="4" t="s">
        <v>327</v>
      </c>
      <c r="O1505" s="114" t="s">
        <v>178</v>
      </c>
      <c r="P1505" s="115"/>
    </row>
    <row r="1506" spans="2:16">
      <c r="B1506" s="20">
        <v>45071</v>
      </c>
      <c r="C1506" s="59">
        <v>50470190</v>
      </c>
      <c r="D1506" s="55" t="s">
        <v>12</v>
      </c>
      <c r="E1506" s="67">
        <v>289800</v>
      </c>
      <c r="F1506" s="67">
        <v>16</v>
      </c>
      <c r="G1506" s="102">
        <v>4636800</v>
      </c>
      <c r="H1506" s="56" t="s">
        <v>92</v>
      </c>
      <c r="K1506" s="56">
        <v>445</v>
      </c>
      <c r="L1506" s="114" t="s">
        <v>176</v>
      </c>
      <c r="M1506" s="114" t="s">
        <v>2824</v>
      </c>
      <c r="N1506" s="115" t="s">
        <v>177</v>
      </c>
      <c r="O1506" s="114" t="s">
        <v>178</v>
      </c>
      <c r="P1506" s="115"/>
    </row>
    <row r="1507" spans="2:16">
      <c r="B1507" s="20">
        <v>45071</v>
      </c>
      <c r="C1507" s="59">
        <v>50144376</v>
      </c>
      <c r="D1507" s="55" t="s">
        <v>19</v>
      </c>
      <c r="E1507" s="67">
        <v>500</v>
      </c>
      <c r="F1507" s="67">
        <v>10</v>
      </c>
      <c r="G1507" s="102">
        <v>5000</v>
      </c>
      <c r="H1507" s="56" t="s">
        <v>92</v>
      </c>
      <c r="K1507" s="56">
        <v>446</v>
      </c>
      <c r="L1507" s="114" t="s">
        <v>176</v>
      </c>
      <c r="M1507" s="114" t="s">
        <v>2824</v>
      </c>
      <c r="N1507" s="115" t="s">
        <v>177</v>
      </c>
      <c r="O1507" s="114" t="s">
        <v>178</v>
      </c>
      <c r="P1507" s="115"/>
    </row>
    <row r="1508" spans="2:16">
      <c r="B1508" s="20">
        <v>45071</v>
      </c>
      <c r="C1508" s="59">
        <v>50272278</v>
      </c>
      <c r="D1508" s="55" t="s">
        <v>21</v>
      </c>
      <c r="E1508" s="67">
        <v>500</v>
      </c>
      <c r="F1508" s="67">
        <v>10</v>
      </c>
      <c r="G1508" s="102">
        <v>5000</v>
      </c>
      <c r="H1508" s="56" t="s">
        <v>92</v>
      </c>
      <c r="K1508" s="56">
        <v>446</v>
      </c>
      <c r="L1508" s="114" t="s">
        <v>176</v>
      </c>
      <c r="M1508" s="114" t="s">
        <v>2824</v>
      </c>
      <c r="N1508" s="115" t="s">
        <v>177</v>
      </c>
      <c r="O1508" s="114" t="s">
        <v>178</v>
      </c>
      <c r="P1508" s="115"/>
    </row>
    <row r="1509" spans="2:16">
      <c r="B1509" s="20">
        <v>45071</v>
      </c>
      <c r="C1509" s="59">
        <v>50515253</v>
      </c>
      <c r="D1509" s="55" t="s">
        <v>912</v>
      </c>
      <c r="E1509" s="67">
        <v>1</v>
      </c>
      <c r="G1509" s="102">
        <v>1</v>
      </c>
      <c r="H1509" s="56" t="s">
        <v>92</v>
      </c>
      <c r="K1509" s="56">
        <v>446</v>
      </c>
      <c r="L1509" s="114" t="s">
        <v>176</v>
      </c>
      <c r="M1509" s="114" t="s">
        <v>2824</v>
      </c>
      <c r="N1509" s="115" t="s">
        <v>177</v>
      </c>
      <c r="O1509" s="114" t="s">
        <v>178</v>
      </c>
      <c r="P1509" s="115"/>
    </row>
    <row r="1510" spans="2:16">
      <c r="B1510" s="20">
        <v>45071</v>
      </c>
      <c r="C1510" s="59">
        <v>50515254</v>
      </c>
      <c r="D1510" s="55" t="s">
        <v>913</v>
      </c>
      <c r="E1510" s="67">
        <v>6</v>
      </c>
      <c r="G1510" s="102">
        <v>6</v>
      </c>
      <c r="H1510" s="56" t="s">
        <v>92</v>
      </c>
      <c r="K1510" s="56">
        <v>446</v>
      </c>
      <c r="L1510" s="114" t="s">
        <v>176</v>
      </c>
      <c r="M1510" s="114" t="s">
        <v>2824</v>
      </c>
      <c r="N1510" s="115" t="s">
        <v>177</v>
      </c>
      <c r="O1510" s="114" t="s">
        <v>178</v>
      </c>
      <c r="P1510" s="115"/>
    </row>
    <row r="1511" spans="2:16">
      <c r="B1511" s="20">
        <v>45072</v>
      </c>
      <c r="C1511" s="59">
        <v>50470190</v>
      </c>
      <c r="D1511" s="55" t="s">
        <v>12</v>
      </c>
      <c r="E1511" s="67">
        <v>289800</v>
      </c>
      <c r="F1511" s="67">
        <v>16</v>
      </c>
      <c r="G1511" s="102">
        <v>4636800</v>
      </c>
      <c r="H1511" s="56" t="s">
        <v>92</v>
      </c>
      <c r="K1511" s="56">
        <v>447</v>
      </c>
      <c r="L1511" s="114" t="s">
        <v>176</v>
      </c>
      <c r="M1511" s="114" t="s">
        <v>2824</v>
      </c>
      <c r="N1511" s="115" t="s">
        <v>177</v>
      </c>
      <c r="O1511" s="114" t="s">
        <v>178</v>
      </c>
      <c r="P1511" s="115"/>
    </row>
    <row r="1512" spans="2:16">
      <c r="B1512" s="20">
        <v>45076</v>
      </c>
      <c r="C1512" s="59">
        <v>40009544</v>
      </c>
      <c r="D1512" s="55" t="s">
        <v>179</v>
      </c>
      <c r="E1512" s="67">
        <v>2940</v>
      </c>
      <c r="F1512" s="67">
        <v>3</v>
      </c>
      <c r="G1512" s="102">
        <v>8820</v>
      </c>
      <c r="H1512" s="56" t="s">
        <v>80</v>
      </c>
      <c r="K1512" s="56">
        <v>448</v>
      </c>
      <c r="L1512" s="114" t="s">
        <v>176</v>
      </c>
      <c r="M1512" s="114" t="s">
        <v>2824</v>
      </c>
      <c r="N1512" s="115" t="s">
        <v>193</v>
      </c>
      <c r="O1512" s="114" t="s">
        <v>178</v>
      </c>
      <c r="P1512" s="115"/>
    </row>
    <row r="1513" spans="2:16">
      <c r="B1513" s="20">
        <v>45076</v>
      </c>
      <c r="C1513" s="59">
        <v>40009546</v>
      </c>
      <c r="D1513" s="55" t="s">
        <v>174</v>
      </c>
      <c r="E1513" s="67">
        <v>756</v>
      </c>
      <c r="F1513" s="67">
        <v>2</v>
      </c>
      <c r="G1513" s="102">
        <v>1512</v>
      </c>
      <c r="H1513" s="56" t="s">
        <v>80</v>
      </c>
      <c r="K1513" s="56">
        <v>448</v>
      </c>
      <c r="L1513" s="114" t="s">
        <v>176</v>
      </c>
      <c r="M1513" s="114" t="s">
        <v>2824</v>
      </c>
      <c r="N1513" s="115" t="s">
        <v>193</v>
      </c>
      <c r="O1513" s="114" t="s">
        <v>178</v>
      </c>
      <c r="P1513" s="115"/>
    </row>
    <row r="1514" spans="2:16">
      <c r="B1514" s="20">
        <v>45076</v>
      </c>
      <c r="C1514" s="59">
        <v>50522169</v>
      </c>
      <c r="D1514" s="55" t="s">
        <v>250</v>
      </c>
      <c r="E1514" s="67">
        <v>456</v>
      </c>
      <c r="F1514" s="67">
        <v>5</v>
      </c>
      <c r="G1514" s="102">
        <v>2300.35</v>
      </c>
      <c r="H1514" s="56" t="s">
        <v>82</v>
      </c>
      <c r="K1514" s="56">
        <v>448</v>
      </c>
      <c r="L1514" s="114" t="s">
        <v>176</v>
      </c>
      <c r="M1514" s="114" t="s">
        <v>2824</v>
      </c>
      <c r="N1514" s="115" t="s">
        <v>193</v>
      </c>
      <c r="O1514" s="114" t="s">
        <v>178</v>
      </c>
      <c r="P1514" s="115"/>
    </row>
    <row r="1515" spans="2:16">
      <c r="B1515" s="20">
        <v>45076</v>
      </c>
      <c r="C1515" s="59">
        <v>50507916</v>
      </c>
      <c r="D1515" s="55" t="s">
        <v>406</v>
      </c>
      <c r="E1515" s="67">
        <v>264</v>
      </c>
      <c r="F1515" s="67">
        <v>5</v>
      </c>
      <c r="G1515" s="102">
        <v>1320000</v>
      </c>
      <c r="H1515" s="56" t="s">
        <v>92</v>
      </c>
      <c r="K1515" s="56">
        <v>448</v>
      </c>
      <c r="L1515" s="114" t="s">
        <v>176</v>
      </c>
      <c r="M1515" s="114" t="s">
        <v>2824</v>
      </c>
      <c r="N1515" s="115" t="s">
        <v>193</v>
      </c>
      <c r="O1515" s="114" t="s">
        <v>178</v>
      </c>
      <c r="P1515" s="115"/>
    </row>
    <row r="1516" spans="2:16">
      <c r="B1516" s="20">
        <v>45076</v>
      </c>
      <c r="C1516" s="59">
        <v>50337816</v>
      </c>
      <c r="D1516" s="55" t="s">
        <v>245</v>
      </c>
      <c r="E1516" s="67">
        <v>264</v>
      </c>
      <c r="F1516" s="67">
        <v>4</v>
      </c>
      <c r="G1516" s="102">
        <v>1056</v>
      </c>
      <c r="H1516" s="56" t="s">
        <v>80</v>
      </c>
      <c r="K1516" s="56">
        <v>448</v>
      </c>
      <c r="L1516" s="114" t="s">
        <v>176</v>
      </c>
      <c r="M1516" s="114" t="s">
        <v>2824</v>
      </c>
      <c r="N1516" s="115" t="s">
        <v>193</v>
      </c>
      <c r="O1516" s="114" t="s">
        <v>178</v>
      </c>
      <c r="P1516" s="115"/>
    </row>
    <row r="1517" spans="2:16">
      <c r="B1517" s="20">
        <v>45076</v>
      </c>
      <c r="C1517" s="59">
        <v>50315365</v>
      </c>
      <c r="D1517" s="55" t="s">
        <v>584</v>
      </c>
      <c r="E1517" s="67">
        <v>264</v>
      </c>
      <c r="F1517" s="67">
        <v>1</v>
      </c>
      <c r="G1517" s="102">
        <v>264</v>
      </c>
      <c r="H1517" s="56" t="s">
        <v>80</v>
      </c>
      <c r="K1517" s="56">
        <v>448</v>
      </c>
      <c r="L1517" s="114" t="s">
        <v>176</v>
      </c>
      <c r="M1517" s="114" t="s">
        <v>2824</v>
      </c>
      <c r="N1517" s="115" t="s">
        <v>193</v>
      </c>
      <c r="O1517" s="114" t="s">
        <v>178</v>
      </c>
      <c r="P1517" s="115"/>
    </row>
    <row r="1518" spans="2:16">
      <c r="B1518" s="20">
        <v>45076</v>
      </c>
      <c r="C1518" s="59">
        <v>50809353</v>
      </c>
      <c r="D1518" s="55" t="s">
        <v>905</v>
      </c>
      <c r="E1518" s="67">
        <v>200</v>
      </c>
      <c r="F1518" s="67">
        <v>3</v>
      </c>
      <c r="G1518" s="102">
        <v>500</v>
      </c>
      <c r="H1518" s="56" t="s">
        <v>82</v>
      </c>
      <c r="K1518" s="56">
        <v>448</v>
      </c>
      <c r="L1518" s="114" t="s">
        <v>176</v>
      </c>
      <c r="M1518" s="114" t="s">
        <v>2824</v>
      </c>
      <c r="N1518" s="115" t="s">
        <v>193</v>
      </c>
      <c r="O1518" s="114" t="s">
        <v>178</v>
      </c>
      <c r="P1518" s="115"/>
    </row>
    <row r="1519" spans="2:16">
      <c r="B1519" s="20">
        <v>45077</v>
      </c>
      <c r="C1519" s="59">
        <v>50522169</v>
      </c>
      <c r="D1519" s="55" t="s">
        <v>250</v>
      </c>
      <c r="E1519" s="67">
        <v>456</v>
      </c>
      <c r="F1519" s="67">
        <v>8</v>
      </c>
      <c r="G1519" s="102">
        <v>4830.65</v>
      </c>
      <c r="H1519" s="56" t="s">
        <v>82</v>
      </c>
      <c r="K1519" s="56">
        <v>449</v>
      </c>
      <c r="L1519" s="114" t="s">
        <v>176</v>
      </c>
      <c r="M1519" s="114" t="s">
        <v>2824</v>
      </c>
      <c r="N1519" s="115" t="s">
        <v>177</v>
      </c>
      <c r="O1519" s="114" t="s">
        <v>178</v>
      </c>
      <c r="P1519" s="115"/>
    </row>
    <row r="1520" spans="2:16">
      <c r="B1520" s="20">
        <v>45077</v>
      </c>
      <c r="C1520" s="59">
        <v>50470190</v>
      </c>
      <c r="D1520" s="55" t="s">
        <v>12</v>
      </c>
      <c r="E1520" s="67">
        <v>289800</v>
      </c>
      <c r="F1520" s="67">
        <v>8</v>
      </c>
      <c r="G1520" s="102">
        <v>2318400</v>
      </c>
      <c r="H1520" s="56" t="s">
        <v>92</v>
      </c>
      <c r="K1520" s="56">
        <v>449</v>
      </c>
      <c r="L1520" s="114" t="s">
        <v>176</v>
      </c>
      <c r="M1520" s="114" t="s">
        <v>2824</v>
      </c>
      <c r="N1520" s="115" t="s">
        <v>177</v>
      </c>
      <c r="O1520" s="114" t="s">
        <v>178</v>
      </c>
      <c r="P1520" s="115"/>
    </row>
    <row r="1521" spans="2:16">
      <c r="B1521" s="20">
        <v>45077</v>
      </c>
      <c r="C1521" s="59">
        <v>50510331</v>
      </c>
      <c r="D1521" s="55" t="s">
        <v>242</v>
      </c>
      <c r="E1521" s="67">
        <v>81.8</v>
      </c>
      <c r="G1521" s="102">
        <v>81.8</v>
      </c>
      <c r="H1521" s="56" t="s">
        <v>82</v>
      </c>
      <c r="K1521" s="56">
        <v>449</v>
      </c>
      <c r="L1521" s="114" t="s">
        <v>176</v>
      </c>
      <c r="M1521" s="114" t="s">
        <v>2824</v>
      </c>
      <c r="N1521" s="115" t="s">
        <v>177</v>
      </c>
      <c r="O1521" s="114" t="s">
        <v>178</v>
      </c>
      <c r="P1521" s="115"/>
    </row>
    <row r="1522" spans="2:16">
      <c r="B1522" s="20">
        <v>45078</v>
      </c>
      <c r="C1522" s="59">
        <v>40010087</v>
      </c>
      <c r="D1522" s="55" t="s">
        <v>387</v>
      </c>
      <c r="E1522" s="67">
        <v>756</v>
      </c>
      <c r="F1522" s="67">
        <v>3</v>
      </c>
      <c r="G1522" s="102">
        <v>1512</v>
      </c>
      <c r="H1522" s="56" t="s">
        <v>80</v>
      </c>
      <c r="K1522" s="56">
        <v>450</v>
      </c>
      <c r="L1522" s="114" t="s">
        <v>176</v>
      </c>
      <c r="M1522" s="114" t="s">
        <v>2824</v>
      </c>
      <c r="N1522" s="115" t="s">
        <v>193</v>
      </c>
      <c r="O1522" s="114" t="s">
        <v>178</v>
      </c>
      <c r="P1522" s="115"/>
    </row>
    <row r="1523" spans="2:16">
      <c r="B1523" s="20">
        <v>45078</v>
      </c>
      <c r="C1523" s="59">
        <v>50272278</v>
      </c>
      <c r="D1523" s="55" t="s">
        <v>21</v>
      </c>
      <c r="E1523" s="67">
        <v>500</v>
      </c>
      <c r="F1523" s="67">
        <v>16</v>
      </c>
      <c r="G1523" s="102">
        <v>8000</v>
      </c>
      <c r="H1523" s="56" t="s">
        <v>92</v>
      </c>
      <c r="K1523" s="56">
        <v>450</v>
      </c>
      <c r="L1523" s="114" t="s">
        <v>176</v>
      </c>
      <c r="M1523" s="114" t="s">
        <v>2824</v>
      </c>
      <c r="N1523" s="115" t="s">
        <v>193</v>
      </c>
      <c r="O1523" s="114" t="s">
        <v>178</v>
      </c>
      <c r="P1523" s="115"/>
    </row>
    <row r="1524" spans="2:16">
      <c r="B1524" s="20">
        <v>45078</v>
      </c>
      <c r="C1524" s="59">
        <v>40004887</v>
      </c>
      <c r="D1524" s="55" t="s">
        <v>272</v>
      </c>
      <c r="E1524" s="67">
        <v>441</v>
      </c>
      <c r="F1524" s="67">
        <v>2</v>
      </c>
      <c r="G1524" s="102">
        <v>882</v>
      </c>
      <c r="H1524" s="56" t="s">
        <v>80</v>
      </c>
      <c r="K1524" s="56">
        <v>450</v>
      </c>
      <c r="L1524" s="114" t="s">
        <v>176</v>
      </c>
      <c r="M1524" s="114" t="s">
        <v>2824</v>
      </c>
      <c r="N1524" s="115" t="s">
        <v>193</v>
      </c>
      <c r="O1524" s="114" t="s">
        <v>178</v>
      </c>
      <c r="P1524" s="115"/>
    </row>
    <row r="1525" spans="2:16">
      <c r="B1525" s="20">
        <v>45078</v>
      </c>
      <c r="C1525" s="59">
        <v>40011661</v>
      </c>
      <c r="D1525" s="55" t="s">
        <v>608</v>
      </c>
      <c r="E1525" s="67">
        <v>450</v>
      </c>
      <c r="F1525" s="67">
        <v>2</v>
      </c>
      <c r="G1525" s="102">
        <v>890</v>
      </c>
      <c r="H1525" s="56" t="s">
        <v>80</v>
      </c>
      <c r="K1525" s="56">
        <v>450</v>
      </c>
      <c r="L1525" s="114" t="s">
        <v>176</v>
      </c>
      <c r="M1525" s="114" t="s">
        <v>2824</v>
      </c>
      <c r="N1525" s="115" t="s">
        <v>193</v>
      </c>
      <c r="O1525" s="114" t="s">
        <v>178</v>
      </c>
      <c r="P1525" s="115"/>
    </row>
    <row r="1526" spans="2:16">
      <c r="B1526" s="20">
        <v>45079</v>
      </c>
      <c r="C1526" s="59">
        <v>50010080</v>
      </c>
      <c r="D1526" s="55" t="s">
        <v>354</v>
      </c>
      <c r="E1526" s="67">
        <v>1000</v>
      </c>
      <c r="F1526" s="67">
        <v>5</v>
      </c>
      <c r="G1526" s="102">
        <v>5000</v>
      </c>
      <c r="H1526" s="56" t="s">
        <v>82</v>
      </c>
      <c r="K1526" s="56">
        <v>451</v>
      </c>
      <c r="L1526" s="114" t="s">
        <v>176</v>
      </c>
      <c r="M1526" s="114" t="s">
        <v>2824</v>
      </c>
      <c r="N1526" s="115" t="s">
        <v>177</v>
      </c>
      <c r="O1526" s="114" t="s">
        <v>178</v>
      </c>
      <c r="P1526" s="115"/>
    </row>
    <row r="1527" spans="2:16">
      <c r="B1527" s="20">
        <v>45079</v>
      </c>
      <c r="C1527" s="59">
        <v>50794589</v>
      </c>
      <c r="D1527" s="55" t="s">
        <v>594</v>
      </c>
      <c r="E1527" s="67">
        <v>286</v>
      </c>
      <c r="F1527" s="67">
        <v>3</v>
      </c>
      <c r="G1527" s="102">
        <v>1527.6</v>
      </c>
      <c r="H1527" s="56" t="s">
        <v>82</v>
      </c>
      <c r="K1527" s="56">
        <v>451</v>
      </c>
      <c r="L1527" s="114" t="s">
        <v>176</v>
      </c>
      <c r="M1527" s="114" t="s">
        <v>2824</v>
      </c>
      <c r="N1527" s="115" t="s">
        <v>177</v>
      </c>
      <c r="O1527" s="114" t="s">
        <v>178</v>
      </c>
      <c r="P1527" s="115"/>
    </row>
    <row r="1528" spans="2:16">
      <c r="B1528" s="20">
        <v>45079</v>
      </c>
      <c r="C1528" s="59">
        <v>50142551</v>
      </c>
      <c r="D1528" s="55" t="s">
        <v>215</v>
      </c>
      <c r="E1528" s="67">
        <v>255</v>
      </c>
      <c r="G1528" s="102">
        <v>255</v>
      </c>
      <c r="H1528" s="56" t="s">
        <v>92</v>
      </c>
      <c r="K1528" s="56">
        <v>451</v>
      </c>
      <c r="L1528" s="114" t="s">
        <v>176</v>
      </c>
      <c r="M1528" s="114" t="s">
        <v>2824</v>
      </c>
      <c r="N1528" s="115" t="s">
        <v>177</v>
      </c>
      <c r="O1528" s="114" t="s">
        <v>178</v>
      </c>
      <c r="P1528" s="115"/>
    </row>
    <row r="1529" spans="2:16">
      <c r="B1529" s="20">
        <v>45079</v>
      </c>
      <c r="C1529" s="59">
        <v>50142281</v>
      </c>
      <c r="D1529" s="55" t="s">
        <v>204</v>
      </c>
      <c r="E1529" s="67">
        <v>450</v>
      </c>
      <c r="F1529" s="67">
        <v>3</v>
      </c>
      <c r="G1529" s="102">
        <v>1350</v>
      </c>
      <c r="H1529" s="56" t="s">
        <v>82</v>
      </c>
      <c r="K1529" s="56">
        <v>451</v>
      </c>
      <c r="L1529" s="114" t="s">
        <v>176</v>
      </c>
      <c r="M1529" s="114" t="s">
        <v>2824</v>
      </c>
      <c r="N1529" s="115" t="s">
        <v>177</v>
      </c>
      <c r="O1529" s="114" t="s">
        <v>178</v>
      </c>
      <c r="P1529" s="115"/>
    </row>
    <row r="1530" spans="2:16">
      <c r="B1530" s="20">
        <v>45079</v>
      </c>
      <c r="C1530" s="59">
        <v>50142327</v>
      </c>
      <c r="D1530" s="55" t="s">
        <v>256</v>
      </c>
      <c r="E1530" s="67">
        <v>681</v>
      </c>
      <c r="F1530" s="67">
        <v>3</v>
      </c>
      <c r="G1530" s="102">
        <v>2043</v>
      </c>
      <c r="H1530" s="56" t="s">
        <v>82</v>
      </c>
      <c r="K1530" s="56">
        <v>451</v>
      </c>
      <c r="L1530" s="114" t="s">
        <v>176</v>
      </c>
      <c r="M1530" s="114" t="s">
        <v>2824</v>
      </c>
      <c r="N1530" s="115" t="s">
        <v>177</v>
      </c>
      <c r="O1530" s="114" t="s">
        <v>178</v>
      </c>
      <c r="P1530" s="115"/>
    </row>
    <row r="1531" spans="2:16">
      <c r="B1531" s="20">
        <v>45079</v>
      </c>
      <c r="C1531" s="59">
        <v>50142334</v>
      </c>
      <c r="D1531" s="55" t="s">
        <v>257</v>
      </c>
      <c r="E1531" s="67">
        <v>681</v>
      </c>
      <c r="F1531" s="67">
        <v>3</v>
      </c>
      <c r="G1531" s="102">
        <v>2043</v>
      </c>
      <c r="H1531" s="56" t="s">
        <v>82</v>
      </c>
      <c r="K1531" s="56">
        <v>451</v>
      </c>
      <c r="L1531" s="114" t="s">
        <v>176</v>
      </c>
      <c r="M1531" s="114" t="s">
        <v>2824</v>
      </c>
      <c r="N1531" s="115" t="s">
        <v>177</v>
      </c>
      <c r="O1531" s="114" t="s">
        <v>178</v>
      </c>
      <c r="P1531" s="115"/>
    </row>
    <row r="1532" spans="2:16">
      <c r="B1532" s="20">
        <v>45079</v>
      </c>
      <c r="C1532" s="59">
        <v>50142237</v>
      </c>
      <c r="D1532" s="55" t="s">
        <v>617</v>
      </c>
      <c r="E1532" s="67">
        <v>1000</v>
      </c>
      <c r="F1532" s="67">
        <v>10</v>
      </c>
      <c r="G1532" s="102">
        <v>10000</v>
      </c>
      <c r="H1532" s="56" t="s">
        <v>92</v>
      </c>
      <c r="K1532" s="56">
        <v>452</v>
      </c>
      <c r="L1532" s="55" t="s">
        <v>392</v>
      </c>
      <c r="M1532" s="55" t="s">
        <v>392</v>
      </c>
      <c r="N1532" s="4" t="s">
        <v>2851</v>
      </c>
      <c r="O1532" s="114" t="s">
        <v>178</v>
      </c>
      <c r="P1532" s="115"/>
    </row>
    <row r="1533" spans="2:16">
      <c r="B1533" s="20">
        <v>45085</v>
      </c>
      <c r="C1533" s="59">
        <v>50802526</v>
      </c>
      <c r="D1533" s="55" t="s">
        <v>804</v>
      </c>
      <c r="E1533" s="67">
        <v>1000</v>
      </c>
      <c r="F1533" s="67">
        <v>1</v>
      </c>
      <c r="G1533" s="102">
        <v>1000</v>
      </c>
      <c r="H1533" s="56" t="s">
        <v>92</v>
      </c>
      <c r="K1533" s="56">
        <v>453</v>
      </c>
      <c r="L1533" s="114" t="s">
        <v>176</v>
      </c>
      <c r="M1533" s="114" t="s">
        <v>2824</v>
      </c>
      <c r="N1533" s="115" t="s">
        <v>177</v>
      </c>
      <c r="O1533" s="114" t="s">
        <v>178</v>
      </c>
      <c r="P1533" s="115"/>
    </row>
    <row r="1534" spans="2:16">
      <c r="B1534" s="20">
        <v>45085</v>
      </c>
      <c r="C1534" s="59">
        <v>40009546</v>
      </c>
      <c r="D1534" s="55" t="s">
        <v>174</v>
      </c>
      <c r="E1534" s="67">
        <v>756</v>
      </c>
      <c r="F1534" s="67">
        <v>2</v>
      </c>
      <c r="G1534" s="102">
        <v>1512</v>
      </c>
      <c r="H1534" s="56" t="s">
        <v>80</v>
      </c>
      <c r="K1534" s="56">
        <v>453</v>
      </c>
      <c r="L1534" s="114" t="s">
        <v>176</v>
      </c>
      <c r="M1534" s="114" t="s">
        <v>2824</v>
      </c>
      <c r="N1534" s="115" t="s">
        <v>177</v>
      </c>
      <c r="O1534" s="114" t="s">
        <v>178</v>
      </c>
      <c r="P1534" s="115"/>
    </row>
    <row r="1535" spans="2:16">
      <c r="B1535" s="20">
        <v>45085</v>
      </c>
      <c r="C1535" s="59">
        <v>50794589</v>
      </c>
      <c r="D1535" s="55" t="s">
        <v>594</v>
      </c>
      <c r="E1535" s="67">
        <v>489</v>
      </c>
      <c r="F1535" s="67">
        <v>5</v>
      </c>
      <c r="G1535" s="102">
        <v>2388.45</v>
      </c>
      <c r="H1535" s="56" t="s">
        <v>82</v>
      </c>
      <c r="K1535" s="56">
        <v>453</v>
      </c>
      <c r="L1535" s="114" t="s">
        <v>176</v>
      </c>
      <c r="M1535" s="114" t="s">
        <v>2824</v>
      </c>
      <c r="N1535" s="115" t="s">
        <v>177</v>
      </c>
      <c r="O1535" s="114" t="s">
        <v>178</v>
      </c>
      <c r="P1535" s="115"/>
    </row>
    <row r="1536" spans="2:16">
      <c r="B1536" s="20">
        <v>45085</v>
      </c>
      <c r="C1536" s="59">
        <v>50144376</v>
      </c>
      <c r="D1536" s="55" t="s">
        <v>19</v>
      </c>
      <c r="E1536" s="67">
        <v>500</v>
      </c>
      <c r="F1536" s="67">
        <v>12</v>
      </c>
      <c r="G1536" s="102">
        <v>6000</v>
      </c>
      <c r="H1536" s="56" t="s">
        <v>92</v>
      </c>
      <c r="K1536" s="56">
        <v>453</v>
      </c>
      <c r="L1536" s="114" t="s">
        <v>176</v>
      </c>
      <c r="M1536" s="114" t="s">
        <v>2824</v>
      </c>
      <c r="N1536" s="115" t="s">
        <v>177</v>
      </c>
      <c r="O1536" s="114" t="s">
        <v>178</v>
      </c>
      <c r="P1536" s="115"/>
    </row>
    <row r="1537" spans="2:16">
      <c r="B1537" s="20">
        <v>45085</v>
      </c>
      <c r="C1537" s="59">
        <v>50805963</v>
      </c>
      <c r="D1537" s="55" t="s">
        <v>914</v>
      </c>
      <c r="E1537" s="67">
        <v>2940</v>
      </c>
      <c r="F1537" s="67">
        <v>1</v>
      </c>
      <c r="G1537" s="102">
        <v>2940</v>
      </c>
      <c r="H1537" s="56" t="s">
        <v>80</v>
      </c>
      <c r="K1537" s="56">
        <v>453</v>
      </c>
      <c r="L1537" s="114" t="s">
        <v>176</v>
      </c>
      <c r="M1537" s="114" t="s">
        <v>2824</v>
      </c>
      <c r="N1537" s="115" t="s">
        <v>177</v>
      </c>
      <c r="O1537" s="114" t="s">
        <v>178</v>
      </c>
      <c r="P1537" s="115"/>
    </row>
    <row r="1538" spans="2:16">
      <c r="B1538" s="20">
        <v>45086</v>
      </c>
      <c r="C1538" s="59">
        <v>50802527</v>
      </c>
      <c r="D1538" s="55" t="s">
        <v>805</v>
      </c>
      <c r="E1538" s="67">
        <v>980.4</v>
      </c>
      <c r="F1538" s="67">
        <v>1</v>
      </c>
      <c r="G1538" s="102">
        <f>980.4</f>
        <v>980.4</v>
      </c>
      <c r="H1538" s="56" t="s">
        <v>92</v>
      </c>
      <c r="K1538" s="56">
        <v>454</v>
      </c>
      <c r="L1538" s="114" t="s">
        <v>176</v>
      </c>
      <c r="M1538" s="114" t="s">
        <v>2824</v>
      </c>
      <c r="N1538" s="115" t="s">
        <v>193</v>
      </c>
      <c r="O1538" s="114" t="s">
        <v>178</v>
      </c>
      <c r="P1538" s="115"/>
    </row>
    <row r="1539" spans="2:16">
      <c r="B1539" s="20">
        <v>45086</v>
      </c>
      <c r="C1539" s="59">
        <v>50470190</v>
      </c>
      <c r="D1539" s="55" t="s">
        <v>12</v>
      </c>
      <c r="E1539" s="67">
        <v>289800</v>
      </c>
      <c r="F1539" s="67">
        <v>12</v>
      </c>
      <c r="G1539" s="102">
        <v>3477600</v>
      </c>
      <c r="H1539" s="56" t="s">
        <v>92</v>
      </c>
      <c r="K1539" s="56">
        <v>454</v>
      </c>
      <c r="L1539" s="114" t="s">
        <v>176</v>
      </c>
      <c r="M1539" s="114" t="s">
        <v>2824</v>
      </c>
      <c r="N1539" s="115" t="s">
        <v>193</v>
      </c>
      <c r="O1539" s="114" t="s">
        <v>178</v>
      </c>
      <c r="P1539" s="115"/>
    </row>
    <row r="1540" spans="2:16">
      <c r="B1540" s="20">
        <v>45086</v>
      </c>
      <c r="C1540" s="59">
        <v>50144376</v>
      </c>
      <c r="D1540" s="55" t="s">
        <v>19</v>
      </c>
      <c r="E1540" s="67">
        <v>500</v>
      </c>
      <c r="F1540" s="67">
        <v>4</v>
      </c>
      <c r="G1540" s="102">
        <v>2000</v>
      </c>
      <c r="H1540" s="56" t="s">
        <v>92</v>
      </c>
      <c r="K1540" s="56">
        <v>454</v>
      </c>
      <c r="L1540" s="114" t="s">
        <v>176</v>
      </c>
      <c r="M1540" s="114" t="s">
        <v>2824</v>
      </c>
      <c r="N1540" s="115" t="s">
        <v>193</v>
      </c>
      <c r="O1540" s="114" t="s">
        <v>178</v>
      </c>
      <c r="P1540" s="115"/>
    </row>
    <row r="1541" spans="2:16">
      <c r="B1541" s="20">
        <v>45086</v>
      </c>
      <c r="C1541" s="59">
        <v>50802525</v>
      </c>
      <c r="D1541" s="55" t="s">
        <v>801</v>
      </c>
      <c r="E1541" s="67">
        <v>992.77</v>
      </c>
      <c r="F1541" s="67">
        <v>1</v>
      </c>
      <c r="G1541" s="102">
        <v>992.77</v>
      </c>
      <c r="H1541" s="56" t="s">
        <v>92</v>
      </c>
      <c r="K1541" s="56">
        <v>454</v>
      </c>
      <c r="L1541" s="114" t="s">
        <v>176</v>
      </c>
      <c r="M1541" s="114" t="s">
        <v>2824</v>
      </c>
      <c r="N1541" s="115" t="s">
        <v>193</v>
      </c>
      <c r="O1541" s="114" t="s">
        <v>178</v>
      </c>
      <c r="P1541" s="115"/>
    </row>
    <row r="1542" spans="2:16">
      <c r="B1542" s="20">
        <v>45086</v>
      </c>
      <c r="C1542" s="59">
        <v>50144376</v>
      </c>
      <c r="D1542" s="55" t="s">
        <v>19</v>
      </c>
      <c r="E1542" s="67">
        <v>500</v>
      </c>
      <c r="F1542" s="67">
        <v>4</v>
      </c>
      <c r="G1542" s="102">
        <v>1500</v>
      </c>
      <c r="H1542" s="56" t="s">
        <v>92</v>
      </c>
      <c r="K1542" s="56">
        <v>455</v>
      </c>
      <c r="L1542" s="114" t="s">
        <v>176</v>
      </c>
      <c r="M1542" s="114" t="s">
        <v>2824</v>
      </c>
      <c r="N1542" s="115" t="s">
        <v>193</v>
      </c>
      <c r="O1542" s="114" t="s">
        <v>178</v>
      </c>
      <c r="P1542" s="115"/>
    </row>
    <row r="1543" spans="2:16">
      <c r="B1543" s="20">
        <v>45086</v>
      </c>
      <c r="C1543" s="59">
        <v>40011080</v>
      </c>
      <c r="D1543" s="55" t="s">
        <v>420</v>
      </c>
      <c r="E1543" s="67">
        <v>450</v>
      </c>
      <c r="F1543" s="67">
        <v>5</v>
      </c>
      <c r="G1543" s="102">
        <v>2250</v>
      </c>
      <c r="H1543" s="56" t="s">
        <v>80</v>
      </c>
      <c r="K1543" s="56">
        <v>455</v>
      </c>
      <c r="L1543" s="114" t="s">
        <v>176</v>
      </c>
      <c r="M1543" s="114" t="s">
        <v>2824</v>
      </c>
      <c r="N1543" s="115" t="s">
        <v>193</v>
      </c>
      <c r="O1543" s="114" t="s">
        <v>178</v>
      </c>
      <c r="P1543" s="115"/>
    </row>
    <row r="1544" spans="2:16">
      <c r="B1544" s="20">
        <v>45086</v>
      </c>
      <c r="C1544" s="59">
        <v>50507916</v>
      </c>
      <c r="D1544" s="55" t="s">
        <v>406</v>
      </c>
      <c r="E1544" s="67">
        <v>264000</v>
      </c>
      <c r="F1544" s="67">
        <v>4</v>
      </c>
      <c r="G1544" s="102">
        <v>1056000</v>
      </c>
      <c r="H1544" s="56" t="s">
        <v>92</v>
      </c>
      <c r="K1544" s="56">
        <v>455</v>
      </c>
      <c r="L1544" s="114" t="s">
        <v>176</v>
      </c>
      <c r="M1544" s="114" t="s">
        <v>2824</v>
      </c>
      <c r="N1544" s="115" t="s">
        <v>193</v>
      </c>
      <c r="O1544" s="114" t="s">
        <v>178</v>
      </c>
      <c r="P1544" s="115"/>
    </row>
    <row r="1545" spans="2:16">
      <c r="B1545" s="20">
        <v>45086</v>
      </c>
      <c r="C1545" s="59">
        <v>40009546</v>
      </c>
      <c r="D1545" s="55" t="s">
        <v>174</v>
      </c>
      <c r="E1545" s="67">
        <v>756</v>
      </c>
      <c r="F1545" s="67">
        <v>2</v>
      </c>
      <c r="G1545" s="102">
        <v>1512</v>
      </c>
      <c r="H1545" s="56" t="s">
        <v>80</v>
      </c>
      <c r="K1545" s="56">
        <v>455</v>
      </c>
      <c r="L1545" s="114" t="s">
        <v>176</v>
      </c>
      <c r="M1545" s="114" t="s">
        <v>2824</v>
      </c>
      <c r="N1545" s="115" t="s">
        <v>193</v>
      </c>
      <c r="O1545" s="114" t="s">
        <v>178</v>
      </c>
      <c r="P1545" s="115"/>
    </row>
    <row r="1546" spans="2:16">
      <c r="B1546" s="20">
        <v>45086</v>
      </c>
      <c r="C1546" s="59">
        <v>50277308</v>
      </c>
      <c r="D1546" s="55" t="s">
        <v>339</v>
      </c>
      <c r="E1546" s="67">
        <v>715</v>
      </c>
      <c r="F1546" s="67">
        <v>5</v>
      </c>
      <c r="G1546" s="102">
        <v>3467.4</v>
      </c>
      <c r="H1546" s="56" t="s">
        <v>82</v>
      </c>
      <c r="K1546" s="56">
        <v>455</v>
      </c>
      <c r="L1546" s="114" t="s">
        <v>176</v>
      </c>
      <c r="M1546" s="114" t="s">
        <v>2824</v>
      </c>
      <c r="N1546" s="115" t="s">
        <v>193</v>
      </c>
      <c r="O1546" s="114" t="s">
        <v>178</v>
      </c>
      <c r="P1546" s="115"/>
    </row>
    <row r="1547" spans="2:16">
      <c r="B1547" s="20">
        <v>45086</v>
      </c>
      <c r="C1547" s="59">
        <v>50794589</v>
      </c>
      <c r="D1547" s="55" t="s">
        <v>594</v>
      </c>
      <c r="E1547" s="67">
        <v>203.5</v>
      </c>
      <c r="F1547" s="67">
        <v>1</v>
      </c>
      <c r="G1547" s="102">
        <v>203.05</v>
      </c>
      <c r="H1547" s="56" t="s">
        <v>82</v>
      </c>
      <c r="K1547" s="56">
        <v>455</v>
      </c>
      <c r="L1547" s="114" t="s">
        <v>176</v>
      </c>
      <c r="M1547" s="114" t="s">
        <v>2824</v>
      </c>
      <c r="N1547" s="115" t="s">
        <v>193</v>
      </c>
      <c r="O1547" s="114" t="s">
        <v>178</v>
      </c>
      <c r="P1547" s="115"/>
    </row>
    <row r="1548" spans="2:16">
      <c r="B1548" s="20">
        <v>45090</v>
      </c>
      <c r="C1548" s="59">
        <v>50272278</v>
      </c>
      <c r="D1548" s="55" t="s">
        <v>21</v>
      </c>
      <c r="E1548" s="67">
        <v>500</v>
      </c>
      <c r="F1548" s="67">
        <v>22</v>
      </c>
      <c r="G1548" s="102">
        <v>11000</v>
      </c>
      <c r="H1548" s="56" t="s">
        <v>92</v>
      </c>
      <c r="K1548" s="56">
        <v>456</v>
      </c>
      <c r="L1548" s="114" t="s">
        <v>176</v>
      </c>
      <c r="M1548" s="114" t="s">
        <v>2824</v>
      </c>
      <c r="N1548" s="115" t="s">
        <v>177</v>
      </c>
      <c r="O1548" s="114" t="s">
        <v>178</v>
      </c>
      <c r="P1548" s="115"/>
    </row>
    <row r="1549" spans="2:16">
      <c r="B1549" s="20">
        <v>45090</v>
      </c>
      <c r="C1549" s="59">
        <v>50470190</v>
      </c>
      <c r="D1549" s="55" t="s">
        <v>12</v>
      </c>
      <c r="E1549" s="67">
        <v>289800</v>
      </c>
      <c r="F1549" s="67">
        <v>18</v>
      </c>
      <c r="G1549" s="102">
        <v>5216400</v>
      </c>
      <c r="H1549" s="56" t="s">
        <v>92</v>
      </c>
      <c r="K1549" s="56">
        <v>457</v>
      </c>
      <c r="L1549" s="114" t="s">
        <v>176</v>
      </c>
      <c r="M1549" s="114" t="s">
        <v>2824</v>
      </c>
      <c r="N1549" s="115" t="s">
        <v>177</v>
      </c>
      <c r="O1549" s="114" t="s">
        <v>178</v>
      </c>
      <c r="P1549" s="115"/>
    </row>
    <row r="1550" spans="2:16">
      <c r="B1550" s="20">
        <v>45091</v>
      </c>
      <c r="C1550" s="59">
        <v>50272278</v>
      </c>
      <c r="D1550" s="55" t="s">
        <v>21</v>
      </c>
      <c r="E1550" s="67">
        <v>500</v>
      </c>
      <c r="F1550" s="67">
        <v>10</v>
      </c>
      <c r="G1550" s="102">
        <v>5000</v>
      </c>
      <c r="H1550" s="56" t="s">
        <v>92</v>
      </c>
      <c r="K1550" s="56">
        <v>458</v>
      </c>
      <c r="L1550" s="114" t="s">
        <v>176</v>
      </c>
      <c r="M1550" s="114" t="s">
        <v>2824</v>
      </c>
      <c r="N1550" s="115" t="s">
        <v>177</v>
      </c>
      <c r="O1550" s="114" t="s">
        <v>178</v>
      </c>
      <c r="P1550" s="115"/>
    </row>
    <row r="1551" spans="2:16">
      <c r="B1551" s="20">
        <v>45091</v>
      </c>
      <c r="C1551" s="59">
        <v>50470190</v>
      </c>
      <c r="D1551" s="55" t="s">
        <v>12</v>
      </c>
      <c r="E1551" s="67">
        <v>289800</v>
      </c>
      <c r="F1551" s="67">
        <v>10</v>
      </c>
      <c r="G1551" s="102">
        <v>2898000</v>
      </c>
      <c r="H1551" s="56" t="s">
        <v>92</v>
      </c>
      <c r="K1551" s="56">
        <v>458</v>
      </c>
      <c r="L1551" s="114" t="s">
        <v>176</v>
      </c>
      <c r="M1551" s="114" t="s">
        <v>2824</v>
      </c>
      <c r="N1551" s="115" t="s">
        <v>177</v>
      </c>
      <c r="O1551" s="114" t="s">
        <v>178</v>
      </c>
      <c r="P1551" s="115"/>
    </row>
    <row r="1552" spans="2:16">
      <c r="B1552" s="20">
        <v>45091</v>
      </c>
      <c r="C1552" s="59">
        <v>50010080</v>
      </c>
      <c r="D1552" s="55" t="s">
        <v>354</v>
      </c>
      <c r="E1552" s="67">
        <v>1000</v>
      </c>
      <c r="F1552" s="67">
        <v>3</v>
      </c>
      <c r="G1552" s="102">
        <v>3000</v>
      </c>
      <c r="H1552" s="56" t="s">
        <v>82</v>
      </c>
      <c r="K1552" s="56">
        <v>459</v>
      </c>
      <c r="L1552" s="114" t="s">
        <v>176</v>
      </c>
      <c r="M1552" s="114" t="s">
        <v>2824</v>
      </c>
      <c r="N1552" s="115" t="s">
        <v>177</v>
      </c>
      <c r="O1552" s="114" t="s">
        <v>178</v>
      </c>
      <c r="P1552" s="115"/>
    </row>
    <row r="1553" spans="2:16">
      <c r="B1553" s="20">
        <v>45091</v>
      </c>
      <c r="C1553" s="59">
        <v>50272278</v>
      </c>
      <c r="D1553" s="55" t="s">
        <v>21</v>
      </c>
      <c r="E1553" s="67">
        <v>500</v>
      </c>
      <c r="F1553" s="67">
        <v>6</v>
      </c>
      <c r="G1553" s="102">
        <v>3000</v>
      </c>
      <c r="H1553" s="56" t="s">
        <v>92</v>
      </c>
      <c r="K1553" s="56">
        <v>459</v>
      </c>
      <c r="L1553" s="114" t="s">
        <v>176</v>
      </c>
      <c r="M1553" s="114" t="s">
        <v>2824</v>
      </c>
      <c r="N1553" s="115" t="s">
        <v>177</v>
      </c>
      <c r="O1553" s="114" t="s">
        <v>178</v>
      </c>
      <c r="P1553" s="115"/>
    </row>
    <row r="1554" spans="2:16">
      <c r="B1554" s="20">
        <v>45091</v>
      </c>
      <c r="C1554" s="59">
        <v>50507916</v>
      </c>
      <c r="D1554" s="55" t="s">
        <v>406</v>
      </c>
      <c r="E1554" s="67">
        <v>264000</v>
      </c>
      <c r="F1554" s="67">
        <v>2</v>
      </c>
      <c r="G1554" s="102">
        <v>528000</v>
      </c>
      <c r="H1554" s="56" t="s">
        <v>92</v>
      </c>
      <c r="K1554" s="56">
        <v>459</v>
      </c>
      <c r="L1554" s="114" t="s">
        <v>176</v>
      </c>
      <c r="M1554" s="114" t="s">
        <v>2824</v>
      </c>
      <c r="N1554" s="115" t="s">
        <v>177</v>
      </c>
      <c r="O1554" s="114" t="s">
        <v>178</v>
      </c>
      <c r="P1554" s="115"/>
    </row>
    <row r="1555" spans="2:16">
      <c r="B1555" s="20">
        <v>45091</v>
      </c>
      <c r="C1555" s="59">
        <v>50470190</v>
      </c>
      <c r="D1555" s="55" t="s">
        <v>12</v>
      </c>
      <c r="E1555" s="67">
        <v>289800</v>
      </c>
      <c r="F1555" s="67">
        <v>4</v>
      </c>
      <c r="G1555" s="102">
        <v>1159200</v>
      </c>
      <c r="H1555" s="56" t="s">
        <v>92</v>
      </c>
      <c r="K1555" s="56">
        <v>459</v>
      </c>
      <c r="L1555" s="114" t="s">
        <v>176</v>
      </c>
      <c r="M1555" s="114" t="s">
        <v>2824</v>
      </c>
      <c r="N1555" s="115" t="s">
        <v>177</v>
      </c>
      <c r="O1555" s="114" t="s">
        <v>178</v>
      </c>
      <c r="P1555" s="115"/>
    </row>
    <row r="1556" spans="2:16">
      <c r="B1556" s="20">
        <v>45091</v>
      </c>
      <c r="C1556" s="59">
        <v>50805963</v>
      </c>
      <c r="D1556" s="55" t="s">
        <v>914</v>
      </c>
      <c r="E1556" s="67">
        <v>2940</v>
      </c>
      <c r="F1556" s="67">
        <v>2</v>
      </c>
      <c r="G1556" s="102">
        <v>4166</v>
      </c>
      <c r="H1556" s="56" t="s">
        <v>80</v>
      </c>
      <c r="K1556" s="56">
        <v>459</v>
      </c>
      <c r="L1556" s="114" t="s">
        <v>176</v>
      </c>
      <c r="M1556" s="114" t="s">
        <v>2824</v>
      </c>
      <c r="N1556" s="115" t="s">
        <v>177</v>
      </c>
      <c r="O1556" s="114" t="s">
        <v>178</v>
      </c>
      <c r="P1556" s="115"/>
    </row>
    <row r="1557" spans="2:16">
      <c r="B1557" s="20">
        <v>45096</v>
      </c>
      <c r="C1557" s="59">
        <v>50272278</v>
      </c>
      <c r="D1557" s="55" t="s">
        <v>21</v>
      </c>
      <c r="E1557" s="67">
        <v>500</v>
      </c>
      <c r="F1557" s="67">
        <v>22</v>
      </c>
      <c r="G1557" s="102">
        <v>11000</v>
      </c>
      <c r="H1557" s="56" t="s">
        <v>92</v>
      </c>
      <c r="K1557" s="56">
        <v>460</v>
      </c>
      <c r="L1557" s="114" t="s">
        <v>176</v>
      </c>
      <c r="M1557" s="114" t="s">
        <v>2824</v>
      </c>
      <c r="N1557" s="115" t="s">
        <v>177</v>
      </c>
      <c r="O1557" s="114" t="s">
        <v>178</v>
      </c>
      <c r="P1557" s="115"/>
    </row>
    <row r="1558" spans="2:16">
      <c r="B1558" s="20">
        <v>45096</v>
      </c>
      <c r="C1558" s="59">
        <v>50010080</v>
      </c>
      <c r="D1558" s="55" t="s">
        <v>354</v>
      </c>
      <c r="E1558" s="67">
        <v>1000</v>
      </c>
      <c r="F1558" s="67">
        <v>2</v>
      </c>
      <c r="G1558" s="102">
        <v>2000</v>
      </c>
      <c r="H1558" s="56" t="s">
        <v>82</v>
      </c>
      <c r="K1558" s="56">
        <v>461</v>
      </c>
      <c r="L1558" s="114" t="s">
        <v>176</v>
      </c>
      <c r="M1558" s="114" t="s">
        <v>2824</v>
      </c>
      <c r="N1558" s="115" t="s">
        <v>177</v>
      </c>
      <c r="O1558" s="114" t="s">
        <v>178</v>
      </c>
      <c r="P1558" s="115"/>
    </row>
    <row r="1559" spans="2:16">
      <c r="B1559" s="20">
        <v>45096</v>
      </c>
      <c r="C1559" s="59">
        <v>50142334</v>
      </c>
      <c r="D1559" s="55" t="s">
        <v>257</v>
      </c>
      <c r="E1559" s="67">
        <v>681</v>
      </c>
      <c r="F1559" s="67">
        <v>1</v>
      </c>
      <c r="G1559" s="102">
        <v>681</v>
      </c>
      <c r="H1559" s="56" t="s">
        <v>82</v>
      </c>
      <c r="K1559" s="56">
        <v>461</v>
      </c>
      <c r="L1559" s="114" t="s">
        <v>176</v>
      </c>
      <c r="M1559" s="114" t="s">
        <v>2824</v>
      </c>
      <c r="N1559" s="115" t="s">
        <v>177</v>
      </c>
      <c r="O1559" s="114" t="s">
        <v>178</v>
      </c>
      <c r="P1559" s="115"/>
    </row>
    <row r="1560" spans="2:16">
      <c r="B1560" s="20">
        <v>45096</v>
      </c>
      <c r="C1560" s="59">
        <v>50470190</v>
      </c>
      <c r="D1560" s="55" t="s">
        <v>12</v>
      </c>
      <c r="E1560" s="67">
        <v>289800</v>
      </c>
      <c r="F1560" s="67">
        <v>9</v>
      </c>
      <c r="G1560" s="102">
        <v>2608200</v>
      </c>
      <c r="H1560" s="56" t="s">
        <v>92</v>
      </c>
      <c r="K1560" s="56">
        <v>461</v>
      </c>
      <c r="L1560" s="114" t="s">
        <v>176</v>
      </c>
      <c r="M1560" s="114" t="s">
        <v>2824</v>
      </c>
      <c r="N1560" s="115" t="s">
        <v>177</v>
      </c>
      <c r="O1560" s="114" t="s">
        <v>178</v>
      </c>
      <c r="P1560" s="115"/>
    </row>
    <row r="1561" spans="2:16">
      <c r="B1561" s="20">
        <v>45096</v>
      </c>
      <c r="C1561" s="59">
        <v>40011661</v>
      </c>
      <c r="D1561" s="55" t="s">
        <v>608</v>
      </c>
      <c r="E1561" s="67">
        <v>450</v>
      </c>
      <c r="F1561" s="67">
        <v>5</v>
      </c>
      <c r="G1561" s="102">
        <v>2250</v>
      </c>
      <c r="H1561" s="56" t="s">
        <v>80</v>
      </c>
      <c r="K1561" s="56">
        <v>461</v>
      </c>
      <c r="L1561" s="114" t="s">
        <v>176</v>
      </c>
      <c r="M1561" s="114" t="s">
        <v>2824</v>
      </c>
      <c r="N1561" s="115" t="s">
        <v>177</v>
      </c>
      <c r="O1561" s="114" t="s">
        <v>178</v>
      </c>
      <c r="P1561" s="115"/>
    </row>
    <row r="1562" spans="2:16">
      <c r="B1562" s="20">
        <v>45096</v>
      </c>
      <c r="C1562" s="59">
        <v>40011660</v>
      </c>
      <c r="D1562" s="55" t="s">
        <v>528</v>
      </c>
      <c r="E1562" s="67">
        <v>450</v>
      </c>
      <c r="F1562" s="67">
        <v>1</v>
      </c>
      <c r="G1562" s="102">
        <v>450</v>
      </c>
      <c r="H1562" s="56" t="s">
        <v>80</v>
      </c>
      <c r="K1562" s="56">
        <v>461</v>
      </c>
      <c r="L1562" s="114" t="s">
        <v>176</v>
      </c>
      <c r="M1562" s="114" t="s">
        <v>2824</v>
      </c>
      <c r="N1562" s="115" t="s">
        <v>177</v>
      </c>
      <c r="O1562" s="114" t="s">
        <v>178</v>
      </c>
      <c r="P1562" s="115"/>
    </row>
    <row r="1563" spans="2:16">
      <c r="B1563" s="20">
        <v>45096</v>
      </c>
      <c r="C1563" s="59">
        <v>50509889</v>
      </c>
      <c r="D1563" s="55" t="s">
        <v>671</v>
      </c>
      <c r="E1563" s="67">
        <v>264000</v>
      </c>
      <c r="F1563" s="67">
        <v>1</v>
      </c>
      <c r="G1563" s="102">
        <v>264000</v>
      </c>
      <c r="H1563" s="56" t="s">
        <v>92</v>
      </c>
      <c r="K1563" s="56">
        <v>461</v>
      </c>
      <c r="L1563" s="114" t="s">
        <v>176</v>
      </c>
      <c r="M1563" s="114" t="s">
        <v>2824</v>
      </c>
      <c r="N1563" s="115" t="s">
        <v>177</v>
      </c>
      <c r="O1563" s="114" t="s">
        <v>178</v>
      </c>
      <c r="P1563" s="115"/>
    </row>
    <row r="1564" spans="2:16">
      <c r="B1564" s="20">
        <v>45097</v>
      </c>
      <c r="C1564" s="59">
        <v>50272278</v>
      </c>
      <c r="D1564" s="55" t="s">
        <v>21</v>
      </c>
      <c r="E1564" s="67">
        <v>500</v>
      </c>
      <c r="F1564" s="67">
        <v>22</v>
      </c>
      <c r="G1564" s="102">
        <v>11000</v>
      </c>
      <c r="H1564" s="56" t="s">
        <v>92</v>
      </c>
      <c r="K1564" s="56">
        <v>462</v>
      </c>
      <c r="L1564" s="114" t="s">
        <v>176</v>
      </c>
      <c r="M1564" s="114" t="s">
        <v>2824</v>
      </c>
      <c r="N1564" s="115" t="s">
        <v>177</v>
      </c>
      <c r="O1564" s="114" t="s">
        <v>178</v>
      </c>
      <c r="P1564" s="115"/>
    </row>
    <row r="1565" spans="2:16">
      <c r="B1565" s="20">
        <v>45098</v>
      </c>
      <c r="C1565" s="59">
        <v>50272278</v>
      </c>
      <c r="D1565" s="55" t="s">
        <v>21</v>
      </c>
      <c r="E1565" s="67">
        <v>500</v>
      </c>
      <c r="F1565" s="67">
        <v>22</v>
      </c>
      <c r="G1565" s="102">
        <v>11000</v>
      </c>
      <c r="H1565" s="56" t="s">
        <v>92</v>
      </c>
      <c r="K1565" s="56">
        <v>463</v>
      </c>
      <c r="L1565" s="114" t="s">
        <v>176</v>
      </c>
      <c r="M1565" s="114" t="s">
        <v>2824</v>
      </c>
      <c r="N1565" s="115" t="s">
        <v>177</v>
      </c>
      <c r="O1565" s="114" t="s">
        <v>178</v>
      </c>
      <c r="P1565" s="115"/>
    </row>
    <row r="1566" spans="2:16">
      <c r="B1566" s="20">
        <v>45098</v>
      </c>
      <c r="C1566" s="59">
        <v>50470190</v>
      </c>
      <c r="D1566" s="55" t="s">
        <v>12</v>
      </c>
      <c r="E1566" s="67">
        <v>289800</v>
      </c>
      <c r="F1566" s="67">
        <v>18</v>
      </c>
      <c r="G1566" s="102">
        <v>5216400</v>
      </c>
      <c r="H1566" s="56" t="s">
        <v>92</v>
      </c>
      <c r="K1566" s="56">
        <v>464</v>
      </c>
      <c r="L1566" s="114" t="s">
        <v>176</v>
      </c>
      <c r="M1566" s="114" t="s">
        <v>2824</v>
      </c>
      <c r="N1566" s="115" t="s">
        <v>177</v>
      </c>
      <c r="O1566" s="114" t="s">
        <v>178</v>
      </c>
      <c r="P1566" s="115"/>
    </row>
    <row r="1567" spans="2:16">
      <c r="B1567" s="20">
        <v>45099</v>
      </c>
      <c r="C1567" s="59">
        <v>50144334</v>
      </c>
      <c r="D1567" s="55" t="s">
        <v>426</v>
      </c>
      <c r="E1567" s="67">
        <v>760</v>
      </c>
      <c r="F1567" s="67">
        <v>1</v>
      </c>
      <c r="G1567" s="102">
        <v>760</v>
      </c>
      <c r="H1567" s="56" t="s">
        <v>82</v>
      </c>
      <c r="K1567" s="56">
        <v>465</v>
      </c>
      <c r="L1567" s="55" t="s">
        <v>326</v>
      </c>
      <c r="M1567" s="55" t="s">
        <v>326</v>
      </c>
      <c r="N1567" s="4" t="s">
        <v>239</v>
      </c>
      <c r="O1567" s="114" t="s">
        <v>178</v>
      </c>
      <c r="P1567" s="115"/>
    </row>
    <row r="1568" spans="2:16">
      <c r="B1568" s="20">
        <v>45099</v>
      </c>
      <c r="C1568" s="59">
        <v>50145028</v>
      </c>
      <c r="D1568" s="55" t="s">
        <v>23</v>
      </c>
      <c r="E1568" s="67">
        <v>192</v>
      </c>
      <c r="F1568" s="67">
        <v>2</v>
      </c>
      <c r="G1568" s="102">
        <v>384</v>
      </c>
      <c r="H1568" s="56" t="s">
        <v>92</v>
      </c>
      <c r="K1568" s="56">
        <v>465</v>
      </c>
      <c r="L1568" s="55" t="s">
        <v>326</v>
      </c>
      <c r="M1568" s="55" t="s">
        <v>326</v>
      </c>
      <c r="N1568" s="4" t="s">
        <v>239</v>
      </c>
      <c r="O1568" s="114" t="s">
        <v>178</v>
      </c>
      <c r="P1568" s="115"/>
    </row>
    <row r="1569" spans="2:16">
      <c r="B1569" s="20">
        <v>45100</v>
      </c>
      <c r="C1569" s="59">
        <v>50010080</v>
      </c>
      <c r="D1569" s="55" t="s">
        <v>354</v>
      </c>
      <c r="E1569" s="67">
        <v>1000</v>
      </c>
      <c r="F1569" s="67">
        <v>2</v>
      </c>
      <c r="G1569" s="102">
        <v>2000</v>
      </c>
      <c r="H1569" s="56" t="s">
        <v>82</v>
      </c>
      <c r="K1569" s="56">
        <v>466</v>
      </c>
      <c r="L1569" s="114" t="s">
        <v>176</v>
      </c>
      <c r="M1569" s="114" t="s">
        <v>2824</v>
      </c>
      <c r="N1569" s="115" t="s">
        <v>177</v>
      </c>
      <c r="O1569" s="114" t="s">
        <v>178</v>
      </c>
      <c r="P1569" s="115"/>
    </row>
    <row r="1570" spans="2:16">
      <c r="B1570" s="20">
        <v>45100</v>
      </c>
      <c r="C1570" s="59">
        <v>50142137</v>
      </c>
      <c r="D1570" s="55" t="s">
        <v>840</v>
      </c>
      <c r="E1570" s="67">
        <v>1200</v>
      </c>
      <c r="F1570" s="67">
        <v>1</v>
      </c>
      <c r="G1570" s="102">
        <v>1200</v>
      </c>
      <c r="H1570" s="56" t="s">
        <v>82</v>
      </c>
      <c r="K1570" s="56">
        <v>466</v>
      </c>
      <c r="L1570" s="114" t="s">
        <v>176</v>
      </c>
      <c r="M1570" s="114" t="s">
        <v>2824</v>
      </c>
      <c r="N1570" s="115" t="s">
        <v>177</v>
      </c>
      <c r="O1570" s="114" t="s">
        <v>178</v>
      </c>
      <c r="P1570" s="115"/>
    </row>
    <row r="1571" spans="2:16">
      <c r="B1571" s="20">
        <v>45100</v>
      </c>
      <c r="C1571" s="59">
        <v>50369034</v>
      </c>
      <c r="D1571" s="55" t="s">
        <v>322</v>
      </c>
      <c r="E1571" s="67">
        <v>456</v>
      </c>
      <c r="F1571" s="67">
        <v>4</v>
      </c>
      <c r="G1571" s="102">
        <v>2041.95</v>
      </c>
      <c r="H1571" s="56" t="s">
        <v>82</v>
      </c>
      <c r="K1571" s="56">
        <v>466</v>
      </c>
      <c r="L1571" s="114" t="s">
        <v>176</v>
      </c>
      <c r="M1571" s="114" t="s">
        <v>2824</v>
      </c>
      <c r="N1571" s="115" t="s">
        <v>177</v>
      </c>
      <c r="O1571" s="114" t="s">
        <v>178</v>
      </c>
      <c r="P1571" s="115"/>
    </row>
    <row r="1572" spans="2:16">
      <c r="B1572" s="20">
        <v>45100</v>
      </c>
      <c r="C1572" s="59">
        <v>50143875</v>
      </c>
      <c r="D1572" s="55" t="s">
        <v>713</v>
      </c>
      <c r="E1572" s="67">
        <v>5600</v>
      </c>
      <c r="F1572" s="67">
        <v>1</v>
      </c>
      <c r="G1572" s="102">
        <v>5600</v>
      </c>
      <c r="H1572" s="56" t="s">
        <v>92</v>
      </c>
      <c r="K1572" s="56">
        <v>466</v>
      </c>
      <c r="L1572" s="114" t="s">
        <v>176</v>
      </c>
      <c r="M1572" s="114" t="s">
        <v>2824</v>
      </c>
      <c r="N1572" s="115" t="s">
        <v>177</v>
      </c>
      <c r="O1572" s="114" t="s">
        <v>178</v>
      </c>
      <c r="P1572" s="115"/>
    </row>
    <row r="1573" spans="2:16">
      <c r="B1573" s="20">
        <v>45100</v>
      </c>
      <c r="C1573" s="59">
        <v>50145029</v>
      </c>
      <c r="D1573" s="55" t="s">
        <v>705</v>
      </c>
      <c r="E1573" s="67">
        <v>12</v>
      </c>
      <c r="G1573" s="102">
        <v>12</v>
      </c>
      <c r="H1573" s="56" t="s">
        <v>505</v>
      </c>
      <c r="K1573" s="56">
        <v>466</v>
      </c>
      <c r="L1573" s="114" t="s">
        <v>176</v>
      </c>
      <c r="M1573" s="114" t="s">
        <v>2824</v>
      </c>
      <c r="N1573" s="115" t="s">
        <v>177</v>
      </c>
      <c r="O1573" s="114" t="s">
        <v>178</v>
      </c>
      <c r="P1573" s="115"/>
    </row>
    <row r="1574" spans="2:16">
      <c r="B1574" s="20">
        <v>45100</v>
      </c>
      <c r="C1574" s="59">
        <v>50392045</v>
      </c>
      <c r="D1574" s="55" t="s">
        <v>707</v>
      </c>
      <c r="E1574" s="67">
        <v>24</v>
      </c>
      <c r="G1574" s="102">
        <v>24</v>
      </c>
      <c r="H1574" s="56" t="s">
        <v>505</v>
      </c>
      <c r="K1574" s="56">
        <v>466</v>
      </c>
      <c r="L1574" s="114" t="s">
        <v>176</v>
      </c>
      <c r="M1574" s="114" t="s">
        <v>2824</v>
      </c>
      <c r="N1574" s="115" t="s">
        <v>177</v>
      </c>
      <c r="O1574" s="114" t="s">
        <v>178</v>
      </c>
      <c r="P1574" s="115"/>
    </row>
    <row r="1575" spans="2:16">
      <c r="B1575" s="20">
        <v>45100</v>
      </c>
      <c r="C1575" s="59">
        <v>40011080</v>
      </c>
      <c r="D1575" s="55" t="s">
        <v>420</v>
      </c>
      <c r="E1575" s="67">
        <v>450</v>
      </c>
      <c r="F1575" s="67">
        <v>5</v>
      </c>
      <c r="G1575" s="102">
        <v>2250</v>
      </c>
      <c r="H1575" s="56" t="s">
        <v>80</v>
      </c>
      <c r="K1575" s="56">
        <v>466</v>
      </c>
      <c r="L1575" s="114" t="s">
        <v>176</v>
      </c>
      <c r="M1575" s="114" t="s">
        <v>2824</v>
      </c>
      <c r="N1575" s="115" t="s">
        <v>177</v>
      </c>
      <c r="O1575" s="114" t="s">
        <v>178</v>
      </c>
      <c r="P1575" s="115"/>
    </row>
    <row r="1576" spans="2:16">
      <c r="B1576" s="20">
        <v>45100</v>
      </c>
      <c r="C1576" s="59">
        <v>50337814</v>
      </c>
      <c r="D1576" s="55" t="s">
        <v>669</v>
      </c>
      <c r="E1576" s="67">
        <v>264</v>
      </c>
      <c r="F1576" s="67">
        <v>3</v>
      </c>
      <c r="G1576" s="102">
        <v>786</v>
      </c>
      <c r="H1576" s="56" t="s">
        <v>80</v>
      </c>
      <c r="K1576" s="56">
        <v>466</v>
      </c>
      <c r="L1576" s="114" t="s">
        <v>176</v>
      </c>
      <c r="M1576" s="114" t="s">
        <v>2824</v>
      </c>
      <c r="N1576" s="115" t="s">
        <v>177</v>
      </c>
      <c r="O1576" s="114" t="s">
        <v>178</v>
      </c>
      <c r="P1576" s="115"/>
    </row>
    <row r="1577" spans="2:16">
      <c r="B1577" s="20">
        <v>45100</v>
      </c>
      <c r="C1577" s="59">
        <v>50337816</v>
      </c>
      <c r="D1577" s="55" t="s">
        <v>245</v>
      </c>
      <c r="E1577" s="67">
        <v>264</v>
      </c>
      <c r="F1577" s="67">
        <v>2</v>
      </c>
      <c r="G1577" s="102">
        <v>528</v>
      </c>
      <c r="H1577" s="56" t="s">
        <v>80</v>
      </c>
      <c r="K1577" s="56">
        <v>466</v>
      </c>
      <c r="L1577" s="114" t="s">
        <v>176</v>
      </c>
      <c r="M1577" s="114" t="s">
        <v>2824</v>
      </c>
      <c r="N1577" s="115" t="s">
        <v>177</v>
      </c>
      <c r="O1577" s="114" t="s">
        <v>178</v>
      </c>
      <c r="P1577" s="115"/>
    </row>
    <row r="1578" spans="2:16">
      <c r="B1578" s="20">
        <v>45100</v>
      </c>
      <c r="C1578" s="59">
        <v>50142334</v>
      </c>
      <c r="D1578" s="55" t="s">
        <v>257</v>
      </c>
      <c r="E1578" s="67">
        <v>681</v>
      </c>
      <c r="F1578" s="67">
        <v>2</v>
      </c>
      <c r="G1578" s="102">
        <v>1362</v>
      </c>
      <c r="H1578" s="56" t="s">
        <v>82</v>
      </c>
      <c r="K1578" s="56">
        <v>466</v>
      </c>
      <c r="L1578" s="114" t="s">
        <v>176</v>
      </c>
      <c r="M1578" s="114" t="s">
        <v>2824</v>
      </c>
      <c r="N1578" s="115" t="s">
        <v>177</v>
      </c>
      <c r="O1578" s="114" t="s">
        <v>178</v>
      </c>
      <c r="P1578" s="115"/>
    </row>
    <row r="1579" spans="2:16">
      <c r="B1579" s="20">
        <v>45100</v>
      </c>
      <c r="C1579" s="59">
        <v>50145012</v>
      </c>
      <c r="D1579" s="55" t="s">
        <v>504</v>
      </c>
      <c r="E1579" s="67">
        <v>12</v>
      </c>
      <c r="G1579" s="102">
        <v>12</v>
      </c>
      <c r="H1579" s="56" t="s">
        <v>92</v>
      </c>
      <c r="K1579" s="56">
        <v>466</v>
      </c>
      <c r="L1579" s="114" t="s">
        <v>176</v>
      </c>
      <c r="M1579" s="114" t="s">
        <v>2824</v>
      </c>
      <c r="N1579" s="115" t="s">
        <v>177</v>
      </c>
      <c r="O1579" s="114" t="s">
        <v>178</v>
      </c>
      <c r="P1579" s="115"/>
    </row>
    <row r="1580" spans="2:16">
      <c r="B1580" s="20">
        <v>45100</v>
      </c>
      <c r="C1580" s="59">
        <v>50392046</v>
      </c>
      <c r="D1580" s="55" t="s">
        <v>509</v>
      </c>
      <c r="E1580" s="67">
        <v>24</v>
      </c>
      <c r="G1580" s="102">
        <v>24</v>
      </c>
      <c r="H1580" s="99" t="s">
        <v>505</v>
      </c>
      <c r="K1580" s="56">
        <v>466</v>
      </c>
      <c r="L1580" s="114" t="s">
        <v>176</v>
      </c>
      <c r="M1580" s="114" t="s">
        <v>2824</v>
      </c>
      <c r="N1580" s="115" t="s">
        <v>177</v>
      </c>
      <c r="O1580" s="114" t="s">
        <v>178</v>
      </c>
      <c r="P1580" s="115"/>
    </row>
    <row r="1581" spans="2:16">
      <c r="B1581" s="20">
        <v>45100</v>
      </c>
      <c r="C1581" s="59">
        <v>50142055</v>
      </c>
      <c r="D1581" s="55" t="s">
        <v>206</v>
      </c>
      <c r="E1581" s="67">
        <v>600</v>
      </c>
      <c r="F1581" s="67">
        <v>6</v>
      </c>
      <c r="G1581" s="102">
        <v>3600</v>
      </c>
      <c r="H1581" s="56" t="s">
        <v>82</v>
      </c>
      <c r="K1581" s="56">
        <v>467</v>
      </c>
      <c r="L1581" s="114" t="s">
        <v>176</v>
      </c>
      <c r="M1581" s="114" t="s">
        <v>2824</v>
      </c>
      <c r="N1581" s="115" t="s">
        <v>177</v>
      </c>
      <c r="O1581" s="114" t="s">
        <v>178</v>
      </c>
      <c r="P1581" s="115"/>
    </row>
    <row r="1582" spans="2:16">
      <c r="B1582" s="20">
        <v>45100</v>
      </c>
      <c r="C1582" s="59">
        <v>50010080</v>
      </c>
      <c r="D1582" s="55" t="s">
        <v>354</v>
      </c>
      <c r="E1582" s="67">
        <v>1000</v>
      </c>
      <c r="F1582" s="67">
        <v>1</v>
      </c>
      <c r="G1582" s="102">
        <v>1000</v>
      </c>
      <c r="H1582" s="56" t="s">
        <v>82</v>
      </c>
      <c r="K1582" s="56">
        <v>467</v>
      </c>
      <c r="L1582" s="114" t="s">
        <v>176</v>
      </c>
      <c r="M1582" s="114" t="s">
        <v>2824</v>
      </c>
      <c r="N1582" s="115" t="s">
        <v>177</v>
      </c>
      <c r="O1582" s="114" t="s">
        <v>178</v>
      </c>
      <c r="P1582" s="115"/>
    </row>
    <row r="1583" spans="2:16">
      <c r="B1583" s="20">
        <v>45100</v>
      </c>
      <c r="C1583" s="59">
        <v>40009546</v>
      </c>
      <c r="D1583" s="55" t="s">
        <v>174</v>
      </c>
      <c r="E1583" s="67">
        <v>756</v>
      </c>
      <c r="F1583" s="67">
        <v>2</v>
      </c>
      <c r="G1583" s="102">
        <v>1512</v>
      </c>
      <c r="H1583" s="56" t="s">
        <v>80</v>
      </c>
      <c r="K1583" s="56">
        <v>467</v>
      </c>
      <c r="L1583" s="114" t="s">
        <v>176</v>
      </c>
      <c r="M1583" s="114" t="s">
        <v>2824</v>
      </c>
      <c r="N1583" s="115" t="s">
        <v>177</v>
      </c>
      <c r="O1583" s="114" t="s">
        <v>178</v>
      </c>
      <c r="P1583" s="115"/>
    </row>
    <row r="1584" spans="2:16">
      <c r="B1584" s="20">
        <v>45100</v>
      </c>
      <c r="C1584" s="59">
        <v>50369034</v>
      </c>
      <c r="D1584" s="55" t="s">
        <v>322</v>
      </c>
      <c r="E1584" s="67">
        <v>456</v>
      </c>
      <c r="F1584" s="67">
        <v>2</v>
      </c>
      <c r="G1584" s="102">
        <v>1080.05</v>
      </c>
      <c r="H1584" s="56" t="s">
        <v>82</v>
      </c>
      <c r="K1584" s="56">
        <v>467</v>
      </c>
      <c r="L1584" s="114" t="s">
        <v>176</v>
      </c>
      <c r="M1584" s="114" t="s">
        <v>2824</v>
      </c>
      <c r="N1584" s="115" t="s">
        <v>177</v>
      </c>
      <c r="O1584" s="114" t="s">
        <v>178</v>
      </c>
      <c r="P1584" s="115"/>
    </row>
    <row r="1585" spans="2:16">
      <c r="B1585" s="20">
        <v>45100</v>
      </c>
      <c r="C1585" s="59">
        <v>50272278</v>
      </c>
      <c r="D1585" s="55" t="s">
        <v>21</v>
      </c>
      <c r="E1585" s="67">
        <v>500</v>
      </c>
      <c r="F1585" s="67">
        <v>7</v>
      </c>
      <c r="G1585" s="102">
        <v>3500</v>
      </c>
      <c r="H1585" s="56" t="s">
        <v>92</v>
      </c>
      <c r="K1585" s="56">
        <v>467</v>
      </c>
      <c r="L1585" s="114" t="s">
        <v>176</v>
      </c>
      <c r="M1585" s="114" t="s">
        <v>2824</v>
      </c>
      <c r="N1585" s="115" t="s">
        <v>177</v>
      </c>
      <c r="O1585" s="114" t="s">
        <v>178</v>
      </c>
      <c r="P1585" s="115"/>
    </row>
    <row r="1586" spans="2:16">
      <c r="B1586" s="20">
        <v>45100</v>
      </c>
      <c r="C1586" s="59">
        <v>50141533</v>
      </c>
      <c r="D1586" s="55" t="s">
        <v>494</v>
      </c>
      <c r="E1586" s="67">
        <v>1250</v>
      </c>
      <c r="F1586" s="67">
        <v>1</v>
      </c>
      <c r="G1586" s="102">
        <v>1250</v>
      </c>
      <c r="H1586" s="56" t="s">
        <v>82</v>
      </c>
      <c r="K1586" s="56">
        <v>467</v>
      </c>
      <c r="L1586" s="114" t="s">
        <v>176</v>
      </c>
      <c r="M1586" s="114" t="s">
        <v>2824</v>
      </c>
      <c r="N1586" s="115" t="s">
        <v>177</v>
      </c>
      <c r="O1586" s="114" t="s">
        <v>178</v>
      </c>
      <c r="P1586" s="115"/>
    </row>
    <row r="1587" spans="2:16">
      <c r="B1587" s="20">
        <v>45100</v>
      </c>
      <c r="C1587" s="59">
        <v>50337816</v>
      </c>
      <c r="D1587" s="55" t="s">
        <v>245</v>
      </c>
      <c r="E1587" s="67">
        <v>264</v>
      </c>
      <c r="F1587" s="67">
        <v>2</v>
      </c>
      <c r="G1587" s="102">
        <v>528</v>
      </c>
      <c r="H1587" s="56" t="s">
        <v>80</v>
      </c>
      <c r="K1587" s="56">
        <v>467</v>
      </c>
      <c r="L1587" s="114" t="s">
        <v>176</v>
      </c>
      <c r="M1587" s="114" t="s">
        <v>2824</v>
      </c>
      <c r="N1587" s="115" t="s">
        <v>177</v>
      </c>
      <c r="O1587" s="114" t="s">
        <v>178</v>
      </c>
      <c r="P1587" s="115"/>
    </row>
    <row r="1588" spans="2:16">
      <c r="B1588" s="20">
        <v>45100</v>
      </c>
      <c r="C1588" s="59">
        <v>50805963</v>
      </c>
      <c r="D1588" s="55" t="s">
        <v>914</v>
      </c>
      <c r="E1588" s="67">
        <v>2940</v>
      </c>
      <c r="F1588" s="67">
        <v>1</v>
      </c>
      <c r="G1588" s="102">
        <v>2940</v>
      </c>
      <c r="H1588" s="56" t="s">
        <v>80</v>
      </c>
      <c r="K1588" s="56">
        <v>467</v>
      </c>
      <c r="L1588" s="114" t="s">
        <v>176</v>
      </c>
      <c r="M1588" s="114" t="s">
        <v>2824</v>
      </c>
      <c r="N1588" s="115" t="s">
        <v>177</v>
      </c>
      <c r="O1588" s="114" t="s">
        <v>178</v>
      </c>
      <c r="P1588" s="115"/>
    </row>
    <row r="1589" spans="2:16">
      <c r="B1589" s="20">
        <v>45103</v>
      </c>
      <c r="C1589" s="59">
        <v>50272278</v>
      </c>
      <c r="D1589" s="55" t="s">
        <v>21</v>
      </c>
      <c r="E1589" s="67">
        <v>500</v>
      </c>
      <c r="F1589" s="67">
        <v>10</v>
      </c>
      <c r="G1589" s="102">
        <v>5000</v>
      </c>
      <c r="H1589" s="56" t="s">
        <v>92</v>
      </c>
      <c r="K1589" s="56">
        <v>468</v>
      </c>
      <c r="L1589" s="114" t="s">
        <v>176</v>
      </c>
      <c r="M1589" s="114" t="s">
        <v>2824</v>
      </c>
      <c r="N1589" s="115" t="s">
        <v>177</v>
      </c>
      <c r="O1589" s="114" t="s">
        <v>178</v>
      </c>
      <c r="P1589" s="115"/>
    </row>
    <row r="1590" spans="2:16">
      <c r="B1590" s="20">
        <v>45103</v>
      </c>
      <c r="C1590" s="59">
        <v>50470190</v>
      </c>
      <c r="D1590" s="55" t="s">
        <v>12</v>
      </c>
      <c r="E1590" s="67">
        <v>289800</v>
      </c>
      <c r="F1590" s="67">
        <v>10</v>
      </c>
      <c r="G1590" s="102">
        <v>2898000</v>
      </c>
      <c r="H1590" s="56" t="s">
        <v>92</v>
      </c>
      <c r="K1590" s="56">
        <v>468</v>
      </c>
      <c r="L1590" s="114" t="s">
        <v>176</v>
      </c>
      <c r="M1590" s="114" t="s">
        <v>2824</v>
      </c>
      <c r="N1590" s="115" t="s">
        <v>177</v>
      </c>
      <c r="O1590" s="114" t="s">
        <v>178</v>
      </c>
      <c r="P1590" s="115"/>
    </row>
    <row r="1591" spans="2:16">
      <c r="B1591" s="20">
        <v>45103</v>
      </c>
      <c r="C1591" s="59">
        <v>50010080</v>
      </c>
      <c r="D1591" s="55" t="s">
        <v>354</v>
      </c>
      <c r="E1591" s="67">
        <v>1000</v>
      </c>
      <c r="F1591" s="67">
        <v>2</v>
      </c>
      <c r="G1591" s="102">
        <v>2000</v>
      </c>
      <c r="H1591" s="56" t="s">
        <v>82</v>
      </c>
      <c r="K1591" s="56">
        <v>469</v>
      </c>
      <c r="L1591" s="114" t="s">
        <v>176</v>
      </c>
      <c r="M1591" s="114" t="s">
        <v>2824</v>
      </c>
      <c r="N1591" s="115" t="s">
        <v>177</v>
      </c>
      <c r="O1591" s="114" t="s">
        <v>178</v>
      </c>
      <c r="P1591" s="115"/>
    </row>
    <row r="1592" spans="2:16">
      <c r="B1592" s="20">
        <v>45103</v>
      </c>
      <c r="C1592" s="59">
        <v>50663978</v>
      </c>
      <c r="D1592" s="55" t="s">
        <v>376</v>
      </c>
      <c r="E1592" s="67">
        <v>573</v>
      </c>
      <c r="F1592" s="67">
        <v>1</v>
      </c>
      <c r="G1592" s="102">
        <v>573</v>
      </c>
      <c r="H1592" s="56" t="s">
        <v>92</v>
      </c>
      <c r="K1592" s="56">
        <v>469</v>
      </c>
      <c r="L1592" s="114" t="s">
        <v>176</v>
      </c>
      <c r="M1592" s="114" t="s">
        <v>2824</v>
      </c>
      <c r="N1592" s="115" t="s">
        <v>177</v>
      </c>
      <c r="O1592" s="114" t="s">
        <v>178</v>
      </c>
      <c r="P1592" s="115"/>
    </row>
    <row r="1593" spans="2:16">
      <c r="B1593" s="20">
        <v>45103</v>
      </c>
      <c r="C1593" s="59">
        <v>50550702</v>
      </c>
      <c r="D1593" s="55" t="s">
        <v>375</v>
      </c>
      <c r="E1593" s="67">
        <v>2940</v>
      </c>
      <c r="F1593" s="67">
        <v>1</v>
      </c>
      <c r="G1593" s="102">
        <v>2940</v>
      </c>
      <c r="H1593" s="56" t="s">
        <v>92</v>
      </c>
      <c r="K1593" s="56">
        <v>469</v>
      </c>
      <c r="L1593" s="114" t="s">
        <v>176</v>
      </c>
      <c r="M1593" s="114" t="s">
        <v>2824</v>
      </c>
      <c r="N1593" s="115" t="s">
        <v>177</v>
      </c>
      <c r="O1593" s="114" t="s">
        <v>178</v>
      </c>
      <c r="P1593" s="115"/>
    </row>
    <row r="1594" spans="2:16">
      <c r="B1594" s="20">
        <v>45103</v>
      </c>
      <c r="C1594" s="59">
        <v>50458295</v>
      </c>
      <c r="D1594" s="55" t="s">
        <v>370</v>
      </c>
      <c r="E1594" s="67">
        <v>4800</v>
      </c>
      <c r="F1594" s="67">
        <v>1</v>
      </c>
      <c r="G1594" s="102">
        <v>4800</v>
      </c>
      <c r="H1594" s="56" t="s">
        <v>92</v>
      </c>
      <c r="K1594" s="56">
        <v>469</v>
      </c>
      <c r="L1594" s="114" t="s">
        <v>176</v>
      </c>
      <c r="M1594" s="114" t="s">
        <v>2824</v>
      </c>
      <c r="N1594" s="115" t="s">
        <v>177</v>
      </c>
      <c r="O1594" s="114" t="s">
        <v>178</v>
      </c>
      <c r="P1594" s="115"/>
    </row>
    <row r="1595" spans="2:16">
      <c r="B1595" s="20">
        <v>45103</v>
      </c>
      <c r="C1595" s="59">
        <v>40009546</v>
      </c>
      <c r="D1595" s="55" t="s">
        <v>174</v>
      </c>
      <c r="E1595" s="67">
        <v>756</v>
      </c>
      <c r="F1595" s="67">
        <v>3</v>
      </c>
      <c r="G1595" s="102">
        <v>1764</v>
      </c>
      <c r="H1595" s="56" t="s">
        <v>80</v>
      </c>
      <c r="K1595" s="56">
        <v>469</v>
      </c>
      <c r="L1595" s="114" t="s">
        <v>176</v>
      </c>
      <c r="M1595" s="114" t="s">
        <v>2824</v>
      </c>
      <c r="N1595" s="115" t="s">
        <v>177</v>
      </c>
      <c r="O1595" s="114" t="s">
        <v>178</v>
      </c>
      <c r="P1595" s="115"/>
    </row>
    <row r="1596" spans="2:16">
      <c r="B1596" s="20">
        <v>45103</v>
      </c>
      <c r="C1596" s="59">
        <v>40010087</v>
      </c>
      <c r="D1596" s="55" t="s">
        <v>387</v>
      </c>
      <c r="E1596" s="67">
        <v>756</v>
      </c>
      <c r="F1596" s="67">
        <v>5</v>
      </c>
      <c r="G1596" s="102">
        <v>3780</v>
      </c>
      <c r="H1596" s="56" t="s">
        <v>80</v>
      </c>
      <c r="K1596" s="56">
        <v>469</v>
      </c>
      <c r="L1596" s="114" t="s">
        <v>176</v>
      </c>
      <c r="M1596" s="114" t="s">
        <v>2824</v>
      </c>
      <c r="N1596" s="115" t="s">
        <v>177</v>
      </c>
      <c r="O1596" s="114" t="s">
        <v>178</v>
      </c>
      <c r="P1596" s="115"/>
    </row>
    <row r="1597" spans="2:16">
      <c r="B1597" s="20">
        <v>45103</v>
      </c>
      <c r="C1597" s="59">
        <v>50507916</v>
      </c>
      <c r="D1597" s="55" t="s">
        <v>406</v>
      </c>
      <c r="E1597" s="67">
        <v>264</v>
      </c>
      <c r="F1597" s="67">
        <v>5</v>
      </c>
      <c r="G1597" s="102">
        <v>1320000</v>
      </c>
      <c r="H1597" s="56" t="s">
        <v>92</v>
      </c>
      <c r="K1597" s="56">
        <v>469</v>
      </c>
      <c r="L1597" s="114" t="s">
        <v>176</v>
      </c>
      <c r="M1597" s="114" t="s">
        <v>2824</v>
      </c>
      <c r="N1597" s="115" t="s">
        <v>177</v>
      </c>
      <c r="O1597" s="114" t="s">
        <v>178</v>
      </c>
      <c r="P1597" s="115"/>
    </row>
    <row r="1598" spans="2:16">
      <c r="B1598" s="20">
        <v>45103</v>
      </c>
      <c r="C1598" s="59">
        <v>50315365</v>
      </c>
      <c r="D1598" s="55" t="s">
        <v>584</v>
      </c>
      <c r="E1598" s="67">
        <v>264</v>
      </c>
      <c r="F1598" s="67">
        <v>2</v>
      </c>
      <c r="G1598" s="102">
        <v>528</v>
      </c>
      <c r="H1598" s="56" t="s">
        <v>80</v>
      </c>
      <c r="K1598" s="56">
        <v>469</v>
      </c>
      <c r="L1598" s="114" t="s">
        <v>176</v>
      </c>
      <c r="M1598" s="114" t="s">
        <v>2824</v>
      </c>
      <c r="N1598" s="115" t="s">
        <v>177</v>
      </c>
      <c r="O1598" s="114" t="s">
        <v>178</v>
      </c>
      <c r="P1598" s="115"/>
    </row>
    <row r="1599" spans="2:16">
      <c r="B1599" s="20">
        <v>45104</v>
      </c>
      <c r="C1599" s="59">
        <v>50272278</v>
      </c>
      <c r="D1599" s="55" t="s">
        <v>21</v>
      </c>
      <c r="E1599" s="67">
        <v>500</v>
      </c>
      <c r="F1599" s="67">
        <v>6</v>
      </c>
      <c r="G1599" s="102">
        <v>3000</v>
      </c>
      <c r="H1599" s="56" t="s">
        <v>92</v>
      </c>
      <c r="K1599" s="56">
        <v>470</v>
      </c>
      <c r="L1599" s="114" t="s">
        <v>176</v>
      </c>
      <c r="M1599" s="114" t="s">
        <v>2824</v>
      </c>
      <c r="N1599" s="115" t="s">
        <v>177</v>
      </c>
      <c r="O1599" s="114" t="s">
        <v>178</v>
      </c>
      <c r="P1599" s="115"/>
    </row>
    <row r="1600" spans="2:16">
      <c r="B1600" s="20">
        <v>45104</v>
      </c>
      <c r="C1600" s="59">
        <v>40011080</v>
      </c>
      <c r="D1600" s="55" t="s">
        <v>420</v>
      </c>
      <c r="E1600" s="67">
        <v>450</v>
      </c>
      <c r="F1600" s="67">
        <v>3</v>
      </c>
      <c r="G1600" s="102">
        <v>700</v>
      </c>
      <c r="H1600" s="56" t="s">
        <v>80</v>
      </c>
      <c r="K1600" s="56">
        <v>470</v>
      </c>
      <c r="L1600" s="114" t="s">
        <v>176</v>
      </c>
      <c r="M1600" s="114" t="s">
        <v>2824</v>
      </c>
      <c r="N1600" s="115" t="s">
        <v>177</v>
      </c>
      <c r="O1600" s="114" t="s">
        <v>178</v>
      </c>
      <c r="P1600" s="115"/>
    </row>
    <row r="1601" spans="2:16">
      <c r="B1601" s="20">
        <v>45104</v>
      </c>
      <c r="C1601" s="59">
        <v>50470190</v>
      </c>
      <c r="D1601" s="55" t="s">
        <v>12</v>
      </c>
      <c r="E1601" s="67">
        <v>289800</v>
      </c>
      <c r="F1601" s="67">
        <v>11</v>
      </c>
      <c r="G1601" s="102">
        <v>3187800</v>
      </c>
      <c r="H1601" s="56" t="s">
        <v>92</v>
      </c>
      <c r="K1601" s="56">
        <v>470</v>
      </c>
      <c r="L1601" s="114" t="s">
        <v>176</v>
      </c>
      <c r="M1601" s="114" t="s">
        <v>2824</v>
      </c>
      <c r="N1601" s="115" t="s">
        <v>177</v>
      </c>
      <c r="O1601" s="114" t="s">
        <v>178</v>
      </c>
      <c r="P1601" s="115"/>
    </row>
    <row r="1602" spans="2:16">
      <c r="B1602" s="20">
        <v>45106</v>
      </c>
      <c r="C1602" s="59">
        <v>50272278</v>
      </c>
      <c r="D1602" s="55" t="s">
        <v>21</v>
      </c>
      <c r="E1602" s="67">
        <v>500</v>
      </c>
      <c r="F1602" s="67">
        <v>21</v>
      </c>
      <c r="G1602" s="102">
        <v>10200</v>
      </c>
      <c r="H1602" s="56" t="s">
        <v>92</v>
      </c>
      <c r="K1602" s="56">
        <v>471</v>
      </c>
      <c r="L1602" s="114" t="s">
        <v>176</v>
      </c>
      <c r="M1602" s="114" t="s">
        <v>2824</v>
      </c>
      <c r="N1602" s="115" t="s">
        <v>177</v>
      </c>
      <c r="O1602" s="114" t="s">
        <v>178</v>
      </c>
      <c r="P1602" s="115"/>
    </row>
    <row r="1603" spans="2:16">
      <c r="B1603" s="20">
        <v>45106</v>
      </c>
      <c r="C1603" s="59">
        <v>50142237</v>
      </c>
      <c r="D1603" s="55" t="s">
        <v>617</v>
      </c>
      <c r="E1603" s="67">
        <v>1000</v>
      </c>
      <c r="F1603" s="67">
        <v>10</v>
      </c>
      <c r="G1603" s="102">
        <v>10000</v>
      </c>
      <c r="H1603" s="56" t="s">
        <v>92</v>
      </c>
      <c r="K1603" s="56">
        <v>471</v>
      </c>
      <c r="L1603" s="114" t="s">
        <v>176</v>
      </c>
      <c r="M1603" s="114" t="s">
        <v>2824</v>
      </c>
      <c r="N1603" s="115" t="s">
        <v>177</v>
      </c>
      <c r="O1603" s="114" t="s">
        <v>178</v>
      </c>
      <c r="P1603" s="115"/>
    </row>
    <row r="1604" spans="2:16">
      <c r="B1604" s="20">
        <v>45107</v>
      </c>
      <c r="C1604" s="59">
        <v>50144376</v>
      </c>
      <c r="D1604" s="55" t="s">
        <v>19</v>
      </c>
      <c r="E1604" s="67">
        <v>500</v>
      </c>
      <c r="F1604" s="67">
        <v>12</v>
      </c>
      <c r="G1604" s="102">
        <v>6000</v>
      </c>
      <c r="H1604" s="56" t="s">
        <v>92</v>
      </c>
      <c r="K1604" s="56">
        <v>472</v>
      </c>
      <c r="L1604" s="114" t="s">
        <v>176</v>
      </c>
      <c r="M1604" s="114" t="s">
        <v>2824</v>
      </c>
      <c r="N1604" s="115" t="s">
        <v>177</v>
      </c>
      <c r="O1604" s="114" t="s">
        <v>178</v>
      </c>
      <c r="P1604" s="115"/>
    </row>
    <row r="1605" spans="2:16">
      <c r="B1605" s="20">
        <v>45107</v>
      </c>
      <c r="C1605" s="59">
        <v>50470190</v>
      </c>
      <c r="D1605" s="55" t="s">
        <v>12</v>
      </c>
      <c r="E1605" s="67">
        <v>289800</v>
      </c>
      <c r="F1605" s="67">
        <v>8</v>
      </c>
      <c r="G1605" s="102">
        <v>2318400</v>
      </c>
      <c r="H1605" s="56" t="s">
        <v>92</v>
      </c>
      <c r="K1605" s="56">
        <v>472</v>
      </c>
      <c r="L1605" s="114" t="s">
        <v>176</v>
      </c>
      <c r="M1605" s="114" t="s">
        <v>2824</v>
      </c>
      <c r="N1605" s="115" t="s">
        <v>177</v>
      </c>
      <c r="O1605" s="114" t="s">
        <v>178</v>
      </c>
      <c r="P1605" s="115"/>
    </row>
    <row r="1606" spans="2:16">
      <c r="B1606" s="20">
        <v>45107</v>
      </c>
      <c r="C1606" s="59">
        <v>50809148</v>
      </c>
      <c r="D1606" s="55" t="s">
        <v>929</v>
      </c>
      <c r="E1606" s="67">
        <v>485</v>
      </c>
      <c r="F1606" s="67">
        <v>11</v>
      </c>
      <c r="G1606" s="102">
        <v>5260.05</v>
      </c>
      <c r="H1606" s="56" t="s">
        <v>82</v>
      </c>
      <c r="K1606" s="56">
        <v>473</v>
      </c>
      <c r="L1606" s="114" t="s">
        <v>176</v>
      </c>
      <c r="M1606" s="114" t="s">
        <v>2824</v>
      </c>
      <c r="N1606" s="115" t="s">
        <v>177</v>
      </c>
      <c r="O1606" s="114" t="s">
        <v>178</v>
      </c>
      <c r="P1606" s="115"/>
    </row>
    <row r="1607" spans="2:16">
      <c r="B1607" s="20">
        <v>45107</v>
      </c>
      <c r="C1607" s="59">
        <v>40011080</v>
      </c>
      <c r="D1607" s="55" t="s">
        <v>420</v>
      </c>
      <c r="E1607" s="67">
        <v>450</v>
      </c>
      <c r="F1607" s="67">
        <v>4</v>
      </c>
      <c r="G1607" s="102">
        <v>1800</v>
      </c>
      <c r="H1607" s="56" t="s">
        <v>80</v>
      </c>
      <c r="K1607" s="56">
        <v>473</v>
      </c>
      <c r="L1607" s="114" t="s">
        <v>176</v>
      </c>
      <c r="M1607" s="114" t="s">
        <v>2824</v>
      </c>
      <c r="N1607" s="115" t="s">
        <v>177</v>
      </c>
      <c r="O1607" s="114" t="s">
        <v>178</v>
      </c>
      <c r="P1607" s="115"/>
    </row>
    <row r="1608" spans="2:16">
      <c r="B1608" s="20">
        <v>45107</v>
      </c>
      <c r="C1608" s="59">
        <v>40009546</v>
      </c>
      <c r="D1608" s="55" t="s">
        <v>174</v>
      </c>
      <c r="E1608" s="67">
        <v>756</v>
      </c>
      <c r="F1608" s="67">
        <v>4</v>
      </c>
      <c r="G1608" s="102">
        <v>3024</v>
      </c>
      <c r="H1608" s="56" t="s">
        <v>80</v>
      </c>
      <c r="K1608" s="56">
        <v>473</v>
      </c>
      <c r="L1608" s="114" t="s">
        <v>176</v>
      </c>
      <c r="M1608" s="114" t="s">
        <v>2824</v>
      </c>
      <c r="N1608" s="115" t="s">
        <v>177</v>
      </c>
      <c r="O1608" s="114" t="s">
        <v>178</v>
      </c>
      <c r="P1608" s="115"/>
    </row>
    <row r="1609" spans="2:16">
      <c r="B1609" s="20">
        <v>45107</v>
      </c>
      <c r="C1609" s="59">
        <v>50470190</v>
      </c>
      <c r="D1609" s="55" t="s">
        <v>12</v>
      </c>
      <c r="E1609" s="67">
        <v>289800</v>
      </c>
      <c r="F1609" s="67">
        <v>2</v>
      </c>
      <c r="G1609" s="102">
        <v>579600</v>
      </c>
      <c r="H1609" s="56" t="s">
        <v>92</v>
      </c>
      <c r="K1609" s="56">
        <v>473</v>
      </c>
      <c r="L1609" s="114" t="s">
        <v>176</v>
      </c>
      <c r="M1609" s="114" t="s">
        <v>2824</v>
      </c>
      <c r="N1609" s="115" t="s">
        <v>177</v>
      </c>
      <c r="O1609" s="114" t="s">
        <v>178</v>
      </c>
      <c r="P1609" s="115"/>
    </row>
    <row r="1610" spans="2:16">
      <c r="B1610" s="20">
        <v>45110</v>
      </c>
      <c r="C1610" s="59">
        <v>50809147</v>
      </c>
      <c r="D1610" s="55" t="s">
        <v>930</v>
      </c>
      <c r="E1610" s="67">
        <v>456</v>
      </c>
      <c r="F1610" s="67">
        <v>4</v>
      </c>
      <c r="G1610" s="102">
        <f>2497.7</f>
        <v>2497.7</v>
      </c>
      <c r="H1610" s="56" t="s">
        <v>82</v>
      </c>
      <c r="K1610" s="56">
        <v>474</v>
      </c>
      <c r="L1610" s="114" t="s">
        <v>176</v>
      </c>
      <c r="M1610" s="114" t="s">
        <v>2824</v>
      </c>
      <c r="N1610" s="115" t="s">
        <v>177</v>
      </c>
      <c r="O1610" s="114" t="s">
        <v>178</v>
      </c>
      <c r="P1610" s="115"/>
    </row>
    <row r="1611" spans="2:16">
      <c r="B1611" s="20">
        <v>45110</v>
      </c>
      <c r="C1611" s="59">
        <v>50369034</v>
      </c>
      <c r="D1611" s="55" t="s">
        <v>322</v>
      </c>
      <c r="E1611" s="67">
        <v>785</v>
      </c>
      <c r="F1611" s="67">
        <v>4</v>
      </c>
      <c r="G1611" s="102">
        <v>2614.8</v>
      </c>
      <c r="H1611" s="56" t="s">
        <v>82</v>
      </c>
      <c r="K1611" s="56">
        <v>474</v>
      </c>
      <c r="L1611" s="114" t="s">
        <v>176</v>
      </c>
      <c r="M1611" s="114" t="s">
        <v>2824</v>
      </c>
      <c r="N1611" s="115" t="s">
        <v>177</v>
      </c>
      <c r="O1611" s="114" t="s">
        <v>178</v>
      </c>
      <c r="P1611" s="115"/>
    </row>
    <row r="1612" spans="2:16">
      <c r="B1612" s="20">
        <v>45110</v>
      </c>
      <c r="C1612" s="59">
        <v>50272278</v>
      </c>
      <c r="D1612" s="55" t="s">
        <v>21</v>
      </c>
      <c r="E1612" s="67">
        <v>500</v>
      </c>
      <c r="F1612" s="67">
        <v>12</v>
      </c>
      <c r="G1612" s="102">
        <v>6000</v>
      </c>
      <c r="H1612" s="56" t="s">
        <v>92</v>
      </c>
      <c r="K1612" s="56">
        <v>474</v>
      </c>
      <c r="L1612" s="114" t="s">
        <v>176</v>
      </c>
      <c r="M1612" s="114" t="s">
        <v>2824</v>
      </c>
      <c r="N1612" s="115" t="s">
        <v>177</v>
      </c>
      <c r="O1612" s="114" t="s">
        <v>178</v>
      </c>
      <c r="P1612" s="115"/>
    </row>
    <row r="1613" spans="2:16">
      <c r="B1613" s="20">
        <v>45111</v>
      </c>
      <c r="C1613" s="59">
        <v>50272278</v>
      </c>
      <c r="D1613" s="55" t="s">
        <v>21</v>
      </c>
      <c r="E1613" s="67">
        <v>500</v>
      </c>
      <c r="F1613" s="67">
        <v>20</v>
      </c>
      <c r="G1613" s="102">
        <v>8800</v>
      </c>
      <c r="H1613" s="56" t="s">
        <v>92</v>
      </c>
      <c r="K1613" s="56">
        <v>475</v>
      </c>
      <c r="L1613" s="114" t="s">
        <v>176</v>
      </c>
      <c r="M1613" s="114" t="s">
        <v>2824</v>
      </c>
      <c r="N1613" s="115" t="s">
        <v>177</v>
      </c>
      <c r="O1613" s="114" t="s">
        <v>178</v>
      </c>
      <c r="P1613" s="115"/>
    </row>
    <row r="1614" spans="2:16">
      <c r="B1614" s="20">
        <v>45111</v>
      </c>
      <c r="C1614" s="59">
        <v>50142327</v>
      </c>
      <c r="D1614" s="55" t="s">
        <v>256</v>
      </c>
      <c r="E1614" s="67">
        <v>681</v>
      </c>
      <c r="F1614" s="67">
        <v>1</v>
      </c>
      <c r="G1614" s="102">
        <v>681</v>
      </c>
      <c r="H1614" s="56" t="s">
        <v>82</v>
      </c>
      <c r="K1614" s="56">
        <v>475</v>
      </c>
      <c r="L1614" s="114" t="s">
        <v>176</v>
      </c>
      <c r="M1614" s="114" t="s">
        <v>2824</v>
      </c>
      <c r="N1614" s="115" t="s">
        <v>177</v>
      </c>
      <c r="O1614" s="114" t="s">
        <v>178</v>
      </c>
      <c r="P1614" s="115"/>
    </row>
    <row r="1615" spans="2:16">
      <c r="B1615" s="20">
        <v>45111</v>
      </c>
      <c r="C1615" s="59">
        <v>50142334</v>
      </c>
      <c r="D1615" s="55" t="s">
        <v>257</v>
      </c>
      <c r="E1615" s="67">
        <v>681</v>
      </c>
      <c r="F1615" s="67">
        <v>1</v>
      </c>
      <c r="G1615" s="102">
        <v>681</v>
      </c>
      <c r="H1615" s="56" t="s">
        <v>82</v>
      </c>
      <c r="K1615" s="56">
        <v>475</v>
      </c>
      <c r="L1615" s="114" t="s">
        <v>176</v>
      </c>
      <c r="M1615" s="114" t="s">
        <v>2824</v>
      </c>
      <c r="N1615" s="115" t="s">
        <v>177</v>
      </c>
      <c r="O1615" s="114" t="s">
        <v>178</v>
      </c>
      <c r="P1615" s="115"/>
    </row>
    <row r="1616" spans="2:16">
      <c r="B1616" s="20">
        <v>45111</v>
      </c>
      <c r="C1616" s="59">
        <v>50010080</v>
      </c>
      <c r="D1616" s="55" t="s">
        <v>354</v>
      </c>
      <c r="E1616" s="67">
        <v>1000</v>
      </c>
      <c r="F1616" s="67">
        <v>5</v>
      </c>
      <c r="G1616" s="102">
        <v>5000</v>
      </c>
      <c r="H1616" s="56" t="s">
        <v>82</v>
      </c>
      <c r="K1616" s="56">
        <v>476</v>
      </c>
      <c r="L1616" s="114" t="s">
        <v>176</v>
      </c>
      <c r="M1616" s="114" t="s">
        <v>2824</v>
      </c>
      <c r="N1616" s="115" t="s">
        <v>177</v>
      </c>
      <c r="O1616" s="114" t="s">
        <v>178</v>
      </c>
      <c r="P1616" s="115"/>
    </row>
    <row r="1617" spans="2:16">
      <c r="B1617" s="20">
        <v>45111</v>
      </c>
      <c r="C1617" s="59">
        <v>50809147</v>
      </c>
      <c r="D1617" s="55" t="s">
        <v>930</v>
      </c>
      <c r="E1617" s="67">
        <v>515.65</v>
      </c>
      <c r="F1617" s="67">
        <v>1</v>
      </c>
      <c r="G1617" s="102">
        <v>515.65</v>
      </c>
      <c r="H1617" s="56" t="s">
        <v>82</v>
      </c>
      <c r="K1617" s="56">
        <v>476</v>
      </c>
      <c r="L1617" s="114" t="s">
        <v>176</v>
      </c>
      <c r="M1617" s="114" t="s">
        <v>2824</v>
      </c>
      <c r="N1617" s="115" t="s">
        <v>177</v>
      </c>
      <c r="O1617" s="114" t="s">
        <v>178</v>
      </c>
      <c r="P1617" s="115"/>
    </row>
    <row r="1618" spans="2:16">
      <c r="B1618" s="20">
        <v>45111</v>
      </c>
      <c r="C1618" s="59">
        <v>40011080</v>
      </c>
      <c r="D1618" s="55" t="s">
        <v>420</v>
      </c>
      <c r="E1618" s="67">
        <v>450</v>
      </c>
      <c r="F1618" s="67">
        <v>4</v>
      </c>
      <c r="G1618" s="102">
        <v>1800</v>
      </c>
      <c r="H1618" s="56" t="s">
        <v>80</v>
      </c>
      <c r="K1618" s="56">
        <v>476</v>
      </c>
      <c r="L1618" s="114" t="s">
        <v>176</v>
      </c>
      <c r="M1618" s="114" t="s">
        <v>2824</v>
      </c>
      <c r="N1618" s="115" t="s">
        <v>177</v>
      </c>
      <c r="O1618" s="114" t="s">
        <v>178</v>
      </c>
      <c r="P1618" s="115"/>
    </row>
    <row r="1619" spans="2:16">
      <c r="B1619" s="20">
        <v>45111</v>
      </c>
      <c r="C1619" s="59">
        <v>40011148</v>
      </c>
      <c r="D1619" s="55" t="s">
        <v>86</v>
      </c>
      <c r="E1619" s="67">
        <v>450</v>
      </c>
      <c r="F1619" s="67">
        <v>1</v>
      </c>
      <c r="G1619" s="102">
        <v>450</v>
      </c>
      <c r="H1619" s="56" t="s">
        <v>80</v>
      </c>
      <c r="K1619" s="56">
        <v>476</v>
      </c>
      <c r="L1619" s="114" t="s">
        <v>176</v>
      </c>
      <c r="M1619" s="114" t="s">
        <v>2824</v>
      </c>
      <c r="N1619" s="115" t="s">
        <v>177</v>
      </c>
      <c r="O1619" s="114" t="s">
        <v>178</v>
      </c>
      <c r="P1619" s="115"/>
    </row>
    <row r="1620" spans="2:16">
      <c r="B1620" s="20">
        <v>45111</v>
      </c>
      <c r="C1620" s="59">
        <v>50470190</v>
      </c>
      <c r="D1620" s="55" t="s">
        <v>12</v>
      </c>
      <c r="E1620" s="67">
        <v>289800</v>
      </c>
      <c r="F1620" s="67">
        <v>8</v>
      </c>
      <c r="G1620" s="102">
        <v>2318400</v>
      </c>
      <c r="H1620" s="56" t="s">
        <v>92</v>
      </c>
      <c r="K1620" s="56">
        <v>476</v>
      </c>
      <c r="L1620" s="114" t="s">
        <v>176</v>
      </c>
      <c r="M1620" s="114" t="s">
        <v>2824</v>
      </c>
      <c r="N1620" s="115" t="s">
        <v>177</v>
      </c>
      <c r="O1620" s="114" t="s">
        <v>178</v>
      </c>
      <c r="P1620" s="115"/>
    </row>
    <row r="1621" spans="2:16">
      <c r="B1621" s="20">
        <v>45112</v>
      </c>
      <c r="C1621" s="59">
        <v>50272278</v>
      </c>
      <c r="D1621" s="55" t="s">
        <v>21</v>
      </c>
      <c r="E1621" s="67">
        <v>500</v>
      </c>
      <c r="F1621" s="67">
        <v>16</v>
      </c>
      <c r="G1621" s="102">
        <v>8800</v>
      </c>
      <c r="H1621" s="56" t="s">
        <v>92</v>
      </c>
      <c r="K1621" s="56">
        <v>477</v>
      </c>
      <c r="L1621" s="114" t="s">
        <v>176</v>
      </c>
      <c r="M1621" s="114" t="s">
        <v>2824</v>
      </c>
      <c r="N1621" s="115" t="s">
        <v>177</v>
      </c>
      <c r="O1621" s="114" t="s">
        <v>178</v>
      </c>
      <c r="P1621" s="115"/>
    </row>
    <row r="1622" spans="2:16">
      <c r="B1622" s="20">
        <v>45112</v>
      </c>
      <c r="C1622" s="59">
        <v>50141786</v>
      </c>
      <c r="D1622" s="55" t="s">
        <v>188</v>
      </c>
      <c r="E1622" s="67">
        <v>560</v>
      </c>
      <c r="F1622" s="67">
        <v>9</v>
      </c>
      <c r="G1622" s="102">
        <v>5040</v>
      </c>
      <c r="H1622" s="56" t="s">
        <v>82</v>
      </c>
      <c r="K1622" s="56">
        <v>478</v>
      </c>
      <c r="L1622" s="114" t="s">
        <v>176</v>
      </c>
      <c r="M1622" s="114" t="s">
        <v>2824</v>
      </c>
      <c r="N1622" s="115" t="s">
        <v>177</v>
      </c>
      <c r="O1622" s="114" t="s">
        <v>178</v>
      </c>
      <c r="P1622" s="115"/>
    </row>
    <row r="1623" spans="2:16">
      <c r="B1623" s="20">
        <v>45112</v>
      </c>
      <c r="C1623" s="59">
        <v>50272278</v>
      </c>
      <c r="D1623" s="55" t="s">
        <v>21</v>
      </c>
      <c r="E1623" s="67">
        <v>500</v>
      </c>
      <c r="F1623" s="67">
        <v>12</v>
      </c>
      <c r="G1623" s="102">
        <v>6000</v>
      </c>
      <c r="H1623" s="56" t="s">
        <v>92</v>
      </c>
      <c r="K1623" s="56">
        <v>478</v>
      </c>
      <c r="L1623" s="114" t="s">
        <v>176</v>
      </c>
      <c r="M1623" s="114" t="s">
        <v>2824</v>
      </c>
      <c r="N1623" s="115" t="s">
        <v>177</v>
      </c>
      <c r="O1623" s="114" t="s">
        <v>178</v>
      </c>
      <c r="P1623" s="115"/>
    </row>
    <row r="1624" spans="2:16">
      <c r="B1624" s="20">
        <v>45113</v>
      </c>
      <c r="C1624" s="59">
        <v>40009546</v>
      </c>
      <c r="D1624" s="55" t="s">
        <v>174</v>
      </c>
      <c r="E1624" s="67">
        <v>756</v>
      </c>
      <c r="F1624" s="67">
        <v>1</v>
      </c>
      <c r="G1624" s="102">
        <v>756</v>
      </c>
      <c r="H1624" s="56" t="s">
        <v>80</v>
      </c>
      <c r="K1624" s="56">
        <v>479</v>
      </c>
      <c r="L1624" s="114" t="s">
        <v>176</v>
      </c>
      <c r="M1624" s="114" t="s">
        <v>2824</v>
      </c>
      <c r="N1624" s="115" t="s">
        <v>177</v>
      </c>
      <c r="O1624" s="114" t="s">
        <v>178</v>
      </c>
      <c r="P1624" s="115"/>
    </row>
    <row r="1625" spans="2:16">
      <c r="B1625" s="20">
        <v>45113</v>
      </c>
      <c r="C1625" s="59">
        <v>40010087</v>
      </c>
      <c r="D1625" s="55" t="s">
        <v>387</v>
      </c>
      <c r="E1625" s="67">
        <v>756</v>
      </c>
      <c r="F1625" s="67">
        <v>1</v>
      </c>
      <c r="G1625" s="102">
        <v>756</v>
      </c>
      <c r="H1625" s="56" t="s">
        <v>80</v>
      </c>
      <c r="K1625" s="56">
        <v>479</v>
      </c>
      <c r="L1625" s="114" t="s">
        <v>176</v>
      </c>
      <c r="M1625" s="114" t="s">
        <v>2824</v>
      </c>
      <c r="N1625" s="115" t="s">
        <v>177</v>
      </c>
      <c r="O1625" s="114" t="s">
        <v>178</v>
      </c>
      <c r="P1625" s="115"/>
    </row>
    <row r="1626" spans="2:16">
      <c r="B1626" s="20">
        <v>45113</v>
      </c>
      <c r="C1626" s="59">
        <v>50272278</v>
      </c>
      <c r="D1626" s="55" t="s">
        <v>21</v>
      </c>
      <c r="E1626" s="67">
        <v>500</v>
      </c>
      <c r="F1626" s="67">
        <v>4</v>
      </c>
      <c r="G1626" s="102">
        <v>2000</v>
      </c>
      <c r="H1626" s="56" t="s">
        <v>92</v>
      </c>
      <c r="K1626" s="56">
        <v>479</v>
      </c>
      <c r="L1626" s="114" t="s">
        <v>176</v>
      </c>
      <c r="M1626" s="114" t="s">
        <v>2824</v>
      </c>
      <c r="N1626" s="115" t="s">
        <v>177</v>
      </c>
      <c r="O1626" s="114" t="s">
        <v>178</v>
      </c>
      <c r="P1626" s="115"/>
    </row>
    <row r="1627" spans="2:16">
      <c r="B1627" s="20">
        <v>45113</v>
      </c>
      <c r="C1627" s="59">
        <v>40011080</v>
      </c>
      <c r="D1627" s="55" t="s">
        <v>420</v>
      </c>
      <c r="E1627" s="67">
        <v>450</v>
      </c>
      <c r="F1627" s="67">
        <v>2</v>
      </c>
      <c r="G1627" s="102">
        <v>900</v>
      </c>
      <c r="H1627" s="56" t="s">
        <v>80</v>
      </c>
      <c r="K1627" s="56">
        <v>479</v>
      </c>
      <c r="L1627" s="114" t="s">
        <v>176</v>
      </c>
      <c r="M1627" s="114" t="s">
        <v>2824</v>
      </c>
      <c r="N1627" s="115" t="s">
        <v>177</v>
      </c>
      <c r="O1627" s="114" t="s">
        <v>178</v>
      </c>
      <c r="P1627" s="115"/>
    </row>
    <row r="1628" spans="2:16">
      <c r="B1628" s="20">
        <v>45113</v>
      </c>
      <c r="C1628" s="59">
        <v>40011148</v>
      </c>
      <c r="D1628" s="55" t="s">
        <v>86</v>
      </c>
      <c r="E1628" s="67">
        <v>450</v>
      </c>
      <c r="F1628" s="67">
        <v>1</v>
      </c>
      <c r="G1628" s="102">
        <v>450</v>
      </c>
      <c r="H1628" s="56" t="s">
        <v>80</v>
      </c>
      <c r="K1628" s="56">
        <v>479</v>
      </c>
      <c r="L1628" s="114" t="s">
        <v>176</v>
      </c>
      <c r="M1628" s="114" t="s">
        <v>2824</v>
      </c>
      <c r="N1628" s="115" t="s">
        <v>177</v>
      </c>
      <c r="O1628" s="114" t="s">
        <v>178</v>
      </c>
      <c r="P1628" s="115"/>
    </row>
    <row r="1629" spans="2:16">
      <c r="B1629" s="20">
        <v>45113</v>
      </c>
      <c r="C1629" s="59">
        <v>50507916</v>
      </c>
      <c r="D1629" s="55" t="s">
        <v>406</v>
      </c>
      <c r="E1629" s="67">
        <v>264000</v>
      </c>
      <c r="F1629" s="67">
        <v>1</v>
      </c>
      <c r="G1629" s="102">
        <v>264000</v>
      </c>
      <c r="H1629" s="56" t="s">
        <v>92</v>
      </c>
      <c r="K1629" s="56">
        <v>479</v>
      </c>
      <c r="L1629" s="114" t="s">
        <v>176</v>
      </c>
      <c r="M1629" s="114" t="s">
        <v>2824</v>
      </c>
      <c r="N1629" s="115" t="s">
        <v>177</v>
      </c>
      <c r="O1629" s="114" t="s">
        <v>178</v>
      </c>
      <c r="P1629" s="115"/>
    </row>
    <row r="1630" spans="2:16">
      <c r="B1630" s="20">
        <v>45113</v>
      </c>
      <c r="C1630" s="59">
        <v>50470190</v>
      </c>
      <c r="D1630" s="55" t="s">
        <v>12</v>
      </c>
      <c r="E1630" s="67">
        <v>289800</v>
      </c>
      <c r="F1630" s="67">
        <v>10</v>
      </c>
      <c r="G1630" s="102">
        <v>2898000</v>
      </c>
      <c r="H1630" s="56" t="s">
        <v>92</v>
      </c>
      <c r="K1630" s="56">
        <v>479</v>
      </c>
      <c r="L1630" s="114" t="s">
        <v>176</v>
      </c>
      <c r="M1630" s="114" t="s">
        <v>2824</v>
      </c>
      <c r="N1630" s="115" t="s">
        <v>177</v>
      </c>
      <c r="O1630" s="114" t="s">
        <v>178</v>
      </c>
      <c r="P1630" s="115"/>
    </row>
    <row r="1631" spans="2:16">
      <c r="B1631" s="20">
        <v>45114</v>
      </c>
      <c r="C1631" s="59">
        <v>50272278</v>
      </c>
      <c r="D1631" s="55" t="s">
        <v>21</v>
      </c>
      <c r="E1631" s="67">
        <v>500</v>
      </c>
      <c r="F1631" s="67">
        <v>3</v>
      </c>
      <c r="G1631" s="102">
        <v>1500</v>
      </c>
      <c r="H1631" s="56" t="s">
        <v>92</v>
      </c>
      <c r="K1631" s="56">
        <v>480</v>
      </c>
      <c r="L1631" s="114" t="s">
        <v>176</v>
      </c>
      <c r="M1631" s="114" t="s">
        <v>2824</v>
      </c>
      <c r="N1631" s="115" t="s">
        <v>177</v>
      </c>
      <c r="O1631" s="114" t="s">
        <v>178</v>
      </c>
      <c r="P1631" s="115"/>
    </row>
    <row r="1632" spans="2:16">
      <c r="B1632" s="20">
        <v>45114</v>
      </c>
      <c r="C1632" s="59">
        <v>40011080</v>
      </c>
      <c r="D1632" s="55" t="s">
        <v>420</v>
      </c>
      <c r="E1632" s="67">
        <v>450</v>
      </c>
      <c r="F1632" s="67">
        <v>1</v>
      </c>
      <c r="G1632" s="102">
        <v>450</v>
      </c>
      <c r="H1632" s="56" t="s">
        <v>80</v>
      </c>
      <c r="K1632" s="56">
        <v>480</v>
      </c>
      <c r="L1632" s="114" t="s">
        <v>176</v>
      </c>
      <c r="M1632" s="114" t="s">
        <v>2824</v>
      </c>
      <c r="N1632" s="115" t="s">
        <v>177</v>
      </c>
      <c r="O1632" s="114" t="s">
        <v>178</v>
      </c>
      <c r="P1632" s="115"/>
    </row>
    <row r="1633" spans="2:16">
      <c r="B1633" s="20">
        <v>45114</v>
      </c>
      <c r="C1633" s="59">
        <v>50470190</v>
      </c>
      <c r="D1633" s="55" t="s">
        <v>12</v>
      </c>
      <c r="E1633" s="67">
        <v>289800</v>
      </c>
      <c r="F1633" s="67">
        <v>15</v>
      </c>
      <c r="G1633" s="102">
        <v>4347000</v>
      </c>
      <c r="H1633" s="56" t="s">
        <v>92</v>
      </c>
      <c r="K1633" s="56">
        <v>480</v>
      </c>
      <c r="L1633" s="114" t="s">
        <v>176</v>
      </c>
      <c r="M1633" s="114" t="s">
        <v>2824</v>
      </c>
      <c r="N1633" s="115" t="s">
        <v>177</v>
      </c>
      <c r="O1633" s="114" t="s">
        <v>178</v>
      </c>
      <c r="P1633" s="115"/>
    </row>
    <row r="1634" spans="2:16">
      <c r="B1634" s="20">
        <v>45117</v>
      </c>
      <c r="C1634" s="59">
        <v>50369034</v>
      </c>
      <c r="D1634" s="55" t="s">
        <v>322</v>
      </c>
      <c r="E1634" s="67">
        <v>518.7</v>
      </c>
      <c r="F1634" s="67">
        <v>1</v>
      </c>
      <c r="G1634" s="102">
        <v>518.7</v>
      </c>
      <c r="H1634" s="56" t="s">
        <v>82</v>
      </c>
      <c r="K1634" s="56">
        <v>481</v>
      </c>
      <c r="L1634" s="114" t="s">
        <v>176</v>
      </c>
      <c r="M1634" s="114" t="s">
        <v>2824</v>
      </c>
      <c r="N1634" s="115" t="s">
        <v>177</v>
      </c>
      <c r="O1634" s="114" t="s">
        <v>178</v>
      </c>
      <c r="P1634" s="115"/>
    </row>
    <row r="1635" spans="2:16">
      <c r="B1635" s="20">
        <v>45117</v>
      </c>
      <c r="C1635" s="59">
        <v>50272278</v>
      </c>
      <c r="D1635" s="55" t="s">
        <v>21</v>
      </c>
      <c r="E1635" s="67">
        <v>500</v>
      </c>
      <c r="F1635" s="67">
        <v>10</v>
      </c>
      <c r="G1635" s="102">
        <v>5000</v>
      </c>
      <c r="H1635" s="56" t="s">
        <v>92</v>
      </c>
      <c r="K1635" s="56">
        <v>481</v>
      </c>
      <c r="L1635" s="114" t="s">
        <v>176</v>
      </c>
      <c r="M1635" s="114" t="s">
        <v>2824</v>
      </c>
      <c r="N1635" s="115" t="s">
        <v>177</v>
      </c>
      <c r="O1635" s="114" t="s">
        <v>178</v>
      </c>
      <c r="P1635" s="115"/>
    </row>
    <row r="1636" spans="2:16">
      <c r="B1636" s="20">
        <v>45117</v>
      </c>
      <c r="C1636" s="59">
        <v>40011080</v>
      </c>
      <c r="D1636" s="55" t="s">
        <v>420</v>
      </c>
      <c r="E1636" s="67">
        <v>450</v>
      </c>
      <c r="F1636" s="67">
        <v>2</v>
      </c>
      <c r="G1636" s="102">
        <v>900</v>
      </c>
      <c r="H1636" s="56" t="s">
        <v>80</v>
      </c>
      <c r="K1636" s="56">
        <v>481</v>
      </c>
      <c r="L1636" s="114" t="s">
        <v>176</v>
      </c>
      <c r="M1636" s="114" t="s">
        <v>2824</v>
      </c>
      <c r="N1636" s="115" t="s">
        <v>177</v>
      </c>
      <c r="O1636" s="114" t="s">
        <v>178</v>
      </c>
      <c r="P1636" s="115"/>
    </row>
    <row r="1637" spans="2:16">
      <c r="B1637" s="20">
        <v>45117</v>
      </c>
      <c r="C1637" s="59">
        <v>40011148</v>
      </c>
      <c r="D1637" s="55" t="s">
        <v>86</v>
      </c>
      <c r="E1637" s="67">
        <v>450</v>
      </c>
      <c r="F1637" s="67">
        <v>3</v>
      </c>
      <c r="G1637" s="102">
        <v>1310</v>
      </c>
      <c r="H1637" s="56" t="s">
        <v>80</v>
      </c>
      <c r="K1637" s="56">
        <v>481</v>
      </c>
      <c r="L1637" s="114" t="s">
        <v>176</v>
      </c>
      <c r="M1637" s="114" t="s">
        <v>2824</v>
      </c>
      <c r="N1637" s="115" t="s">
        <v>177</v>
      </c>
      <c r="O1637" s="114" t="s">
        <v>178</v>
      </c>
      <c r="P1637" s="115"/>
    </row>
    <row r="1638" spans="2:16">
      <c r="B1638" s="20">
        <v>45117</v>
      </c>
      <c r="C1638" s="59">
        <v>40011149</v>
      </c>
      <c r="D1638" s="55" t="s">
        <v>37</v>
      </c>
      <c r="E1638" s="67">
        <v>360</v>
      </c>
      <c r="F1638" s="67">
        <v>2</v>
      </c>
      <c r="G1638" s="102">
        <v>720</v>
      </c>
      <c r="H1638" s="56" t="s">
        <v>80</v>
      </c>
      <c r="K1638" s="56">
        <v>481</v>
      </c>
      <c r="L1638" s="114" t="s">
        <v>176</v>
      </c>
      <c r="M1638" s="114" t="s">
        <v>2824</v>
      </c>
      <c r="N1638" s="115" t="s">
        <v>177</v>
      </c>
      <c r="O1638" s="114" t="s">
        <v>178</v>
      </c>
      <c r="P1638" s="115"/>
    </row>
    <row r="1639" spans="2:16">
      <c r="B1639" s="20">
        <v>45117</v>
      </c>
      <c r="C1639" s="59">
        <v>50507916</v>
      </c>
      <c r="D1639" s="55" t="s">
        <v>406</v>
      </c>
      <c r="E1639" s="67">
        <v>264000</v>
      </c>
      <c r="F1639" s="67">
        <v>3</v>
      </c>
      <c r="G1639" s="102">
        <v>792000</v>
      </c>
      <c r="H1639" s="56" t="s">
        <v>92</v>
      </c>
      <c r="K1639" s="56">
        <v>481</v>
      </c>
      <c r="L1639" s="114" t="s">
        <v>176</v>
      </c>
      <c r="M1639" s="114" t="s">
        <v>2824</v>
      </c>
      <c r="N1639" s="115" t="s">
        <v>177</v>
      </c>
      <c r="O1639" s="114" t="s">
        <v>178</v>
      </c>
      <c r="P1639" s="115"/>
    </row>
    <row r="1640" spans="2:16">
      <c r="B1640" s="20">
        <v>45117</v>
      </c>
      <c r="C1640" s="59">
        <v>50337816</v>
      </c>
      <c r="D1640" s="55" t="s">
        <v>245</v>
      </c>
      <c r="E1640" s="67">
        <v>264000</v>
      </c>
      <c r="F1640" s="67">
        <v>1</v>
      </c>
      <c r="G1640" s="102">
        <v>264</v>
      </c>
      <c r="H1640" s="56" t="s">
        <v>80</v>
      </c>
      <c r="K1640" s="56">
        <v>481</v>
      </c>
      <c r="L1640" s="114" t="s">
        <v>176</v>
      </c>
      <c r="M1640" s="114" t="s">
        <v>2824</v>
      </c>
      <c r="N1640" s="115" t="s">
        <v>177</v>
      </c>
      <c r="O1640" s="114" t="s">
        <v>178</v>
      </c>
      <c r="P1640" s="115"/>
    </row>
    <row r="1641" spans="2:16">
      <c r="B1641" s="20">
        <v>45117</v>
      </c>
      <c r="C1641" s="59">
        <v>50141786</v>
      </c>
      <c r="D1641" s="55" t="s">
        <v>188</v>
      </c>
      <c r="E1641" s="67">
        <v>560</v>
      </c>
      <c r="F1641" s="67">
        <v>21</v>
      </c>
      <c r="G1641" s="102">
        <v>11760</v>
      </c>
      <c r="H1641" s="56" t="s">
        <v>82</v>
      </c>
      <c r="K1641" s="56">
        <v>482</v>
      </c>
      <c r="L1641" s="114" t="s">
        <v>176</v>
      </c>
      <c r="M1641" s="114" t="s">
        <v>2824</v>
      </c>
      <c r="N1641" s="115" t="s">
        <v>177</v>
      </c>
      <c r="O1641" s="114" t="s">
        <v>178</v>
      </c>
      <c r="P1641" s="115"/>
    </row>
    <row r="1642" spans="2:16">
      <c r="B1642" s="20">
        <v>45117</v>
      </c>
      <c r="C1642" s="59">
        <v>50270855</v>
      </c>
      <c r="D1642" s="55" t="s">
        <v>740</v>
      </c>
      <c r="E1642" s="67">
        <v>264000</v>
      </c>
      <c r="F1642" s="67">
        <v>1</v>
      </c>
      <c r="G1642" s="102">
        <v>264000</v>
      </c>
      <c r="H1642" s="56" t="s">
        <v>92</v>
      </c>
      <c r="K1642" s="56">
        <v>482</v>
      </c>
      <c r="L1642" s="114" t="s">
        <v>176</v>
      </c>
      <c r="M1642" s="114" t="s">
        <v>2824</v>
      </c>
      <c r="N1642" s="115" t="s">
        <v>177</v>
      </c>
      <c r="O1642" s="114" t="s">
        <v>178</v>
      </c>
      <c r="P1642" s="115"/>
    </row>
    <row r="1643" spans="2:16">
      <c r="B1643" s="20">
        <v>45119</v>
      </c>
      <c r="C1643" s="59">
        <v>50272278</v>
      </c>
      <c r="D1643" s="55" t="s">
        <v>21</v>
      </c>
      <c r="E1643" s="67">
        <v>500</v>
      </c>
      <c r="F1643" s="67">
        <v>22</v>
      </c>
      <c r="G1643" s="102">
        <v>11000</v>
      </c>
      <c r="H1643" s="56" t="s">
        <v>92</v>
      </c>
      <c r="K1643" s="56">
        <v>483</v>
      </c>
      <c r="L1643" s="114" t="s">
        <v>176</v>
      </c>
      <c r="M1643" s="114" t="s">
        <v>2824</v>
      </c>
      <c r="N1643" s="115" t="s">
        <v>177</v>
      </c>
      <c r="O1643" s="114" t="s">
        <v>178</v>
      </c>
      <c r="P1643" s="115"/>
    </row>
    <row r="1644" spans="2:16">
      <c r="B1644" s="20">
        <v>45119</v>
      </c>
      <c r="C1644" s="59">
        <v>50171162</v>
      </c>
      <c r="D1644" s="55" t="s">
        <v>741</v>
      </c>
      <c r="E1644" s="67">
        <v>43.2</v>
      </c>
      <c r="F1644" s="67">
        <v>9</v>
      </c>
      <c r="G1644" s="102">
        <v>388.8</v>
      </c>
      <c r="H1644" s="56" t="s">
        <v>898</v>
      </c>
      <c r="K1644" s="56">
        <v>484</v>
      </c>
      <c r="L1644" s="114" t="s">
        <v>176</v>
      </c>
      <c r="M1644" s="114" t="s">
        <v>2824</v>
      </c>
      <c r="N1644" s="115" t="s">
        <v>177</v>
      </c>
      <c r="O1644" s="114" t="s">
        <v>178</v>
      </c>
      <c r="P1644" s="115"/>
    </row>
    <row r="1645" spans="2:16">
      <c r="B1645" s="20">
        <v>45119</v>
      </c>
      <c r="C1645" s="59">
        <v>50337814</v>
      </c>
      <c r="D1645" s="55" t="s">
        <v>669</v>
      </c>
      <c r="E1645" s="67">
        <v>264</v>
      </c>
      <c r="F1645" s="67">
        <v>9</v>
      </c>
      <c r="G1645" s="102">
        <v>792</v>
      </c>
      <c r="H1645" s="56" t="s">
        <v>80</v>
      </c>
      <c r="K1645" s="56">
        <v>484</v>
      </c>
      <c r="L1645" s="114" t="s">
        <v>176</v>
      </c>
      <c r="M1645" s="114" t="s">
        <v>2824</v>
      </c>
      <c r="N1645" s="115" t="s">
        <v>177</v>
      </c>
      <c r="O1645" s="114" t="s">
        <v>178</v>
      </c>
      <c r="P1645" s="115"/>
    </row>
    <row r="1646" spans="2:16">
      <c r="B1646" s="20">
        <v>45119</v>
      </c>
      <c r="C1646" s="59">
        <v>50315365</v>
      </c>
      <c r="D1646" s="55" t="s">
        <v>584</v>
      </c>
      <c r="E1646" s="67">
        <v>264</v>
      </c>
      <c r="F1646" s="67">
        <v>3</v>
      </c>
      <c r="G1646" s="102">
        <v>792</v>
      </c>
      <c r="H1646" s="56" t="s">
        <v>80</v>
      </c>
      <c r="K1646" s="56">
        <v>484</v>
      </c>
      <c r="L1646" s="114" t="s">
        <v>176</v>
      </c>
      <c r="M1646" s="114" t="s">
        <v>2824</v>
      </c>
      <c r="N1646" s="115" t="s">
        <v>177</v>
      </c>
      <c r="O1646" s="114" t="s">
        <v>178</v>
      </c>
      <c r="P1646" s="115"/>
    </row>
    <row r="1647" spans="2:16">
      <c r="B1647" s="20">
        <v>45119</v>
      </c>
      <c r="C1647" s="59">
        <v>50142327</v>
      </c>
      <c r="D1647" s="55" t="s">
        <v>256</v>
      </c>
      <c r="E1647" s="67">
        <v>681</v>
      </c>
      <c r="F1647" s="67">
        <v>3</v>
      </c>
      <c r="G1647" s="102">
        <v>2043</v>
      </c>
      <c r="H1647" s="56" t="s">
        <v>82</v>
      </c>
      <c r="K1647" s="56">
        <v>484</v>
      </c>
      <c r="L1647" s="114" t="s">
        <v>176</v>
      </c>
      <c r="M1647" s="114" t="s">
        <v>2824</v>
      </c>
      <c r="N1647" s="115" t="s">
        <v>177</v>
      </c>
      <c r="O1647" s="114" t="s">
        <v>178</v>
      </c>
      <c r="P1647" s="115"/>
    </row>
    <row r="1648" spans="2:16">
      <c r="B1648" s="20">
        <v>45119</v>
      </c>
      <c r="C1648" s="59">
        <v>50142334</v>
      </c>
      <c r="D1648" s="55" t="s">
        <v>257</v>
      </c>
      <c r="E1648" s="67">
        <v>681</v>
      </c>
      <c r="F1648" s="67">
        <v>3</v>
      </c>
      <c r="G1648" s="102">
        <v>2043</v>
      </c>
      <c r="H1648" s="56" t="s">
        <v>82</v>
      </c>
      <c r="K1648" s="56">
        <v>484</v>
      </c>
      <c r="L1648" s="114" t="s">
        <v>176</v>
      </c>
      <c r="M1648" s="114" t="s">
        <v>2824</v>
      </c>
      <c r="N1648" s="115" t="s">
        <v>177</v>
      </c>
      <c r="O1648" s="114" t="s">
        <v>178</v>
      </c>
      <c r="P1648" s="115"/>
    </row>
    <row r="1649" spans="2:16">
      <c r="B1649" s="20">
        <v>45119</v>
      </c>
      <c r="C1649" s="59">
        <v>50123456</v>
      </c>
      <c r="D1649" s="55" t="s">
        <v>943</v>
      </c>
      <c r="E1649" s="67">
        <v>1</v>
      </c>
      <c r="F1649" s="67">
        <v>1</v>
      </c>
      <c r="G1649" s="102">
        <v>1</v>
      </c>
      <c r="H1649" s="56" t="s">
        <v>92</v>
      </c>
      <c r="K1649" s="56">
        <v>484</v>
      </c>
      <c r="L1649" s="114" t="s">
        <v>176</v>
      </c>
      <c r="M1649" s="114" t="s">
        <v>2824</v>
      </c>
      <c r="N1649" s="115" t="s">
        <v>177</v>
      </c>
      <c r="O1649" s="114" t="s">
        <v>178</v>
      </c>
      <c r="P1649" s="115"/>
    </row>
    <row r="1650" spans="2:16">
      <c r="B1650" s="20">
        <v>45119</v>
      </c>
      <c r="C1650" s="59">
        <v>50369034</v>
      </c>
      <c r="D1650" s="55" t="s">
        <v>322</v>
      </c>
      <c r="E1650" s="67">
        <v>543.2</v>
      </c>
      <c r="F1650" s="67">
        <v>1</v>
      </c>
      <c r="G1650" s="102">
        <v>543.2</v>
      </c>
      <c r="H1650" s="56" t="s">
        <v>82</v>
      </c>
      <c r="K1650" s="56">
        <v>484</v>
      </c>
      <c r="L1650" s="114" t="s">
        <v>176</v>
      </c>
      <c r="M1650" s="114" t="s">
        <v>2824</v>
      </c>
      <c r="N1650" s="115" t="s">
        <v>177</v>
      </c>
      <c r="O1650" s="114" t="s">
        <v>178</v>
      </c>
      <c r="P1650" s="115"/>
    </row>
    <row r="1651" spans="2:16">
      <c r="B1651" s="20">
        <v>45120</v>
      </c>
      <c r="C1651" s="59">
        <v>50143646</v>
      </c>
      <c r="D1651" s="55" t="s">
        <v>191</v>
      </c>
      <c r="E1651" s="67">
        <v>480</v>
      </c>
      <c r="F1651" s="67">
        <v>22</v>
      </c>
      <c r="G1651" s="102">
        <v>10560</v>
      </c>
      <c r="H1651" s="56" t="s">
        <v>82</v>
      </c>
      <c r="K1651" s="56">
        <v>485</v>
      </c>
      <c r="L1651" s="114" t="s">
        <v>176</v>
      </c>
      <c r="M1651" s="114" t="s">
        <v>2824</v>
      </c>
      <c r="N1651" s="115" t="s">
        <v>177</v>
      </c>
      <c r="O1651" s="114" t="s">
        <v>178</v>
      </c>
      <c r="P1651" s="115"/>
    </row>
    <row r="1652" spans="2:16">
      <c r="B1652" s="20">
        <v>45120</v>
      </c>
      <c r="C1652" s="59">
        <v>40009546</v>
      </c>
      <c r="D1652" s="55" t="s">
        <v>174</v>
      </c>
      <c r="E1652" s="67">
        <v>756</v>
      </c>
      <c r="F1652" s="67">
        <v>3</v>
      </c>
      <c r="G1652" s="102">
        <v>2268</v>
      </c>
      <c r="H1652" s="56" t="s">
        <v>80</v>
      </c>
      <c r="K1652" s="56">
        <v>486</v>
      </c>
      <c r="L1652" s="114" t="s">
        <v>176</v>
      </c>
      <c r="M1652" s="114" t="s">
        <v>2824</v>
      </c>
      <c r="N1652" s="115" t="s">
        <v>177</v>
      </c>
      <c r="O1652" s="114" t="s">
        <v>178</v>
      </c>
      <c r="P1652" s="115"/>
    </row>
    <row r="1653" spans="2:16">
      <c r="B1653" s="20">
        <v>45120</v>
      </c>
      <c r="C1653" s="59">
        <v>50507916</v>
      </c>
      <c r="D1653" s="55" t="s">
        <v>406</v>
      </c>
      <c r="E1653" s="67">
        <v>264000</v>
      </c>
      <c r="F1653" s="67">
        <v>1</v>
      </c>
      <c r="G1653" s="102">
        <v>264000</v>
      </c>
      <c r="H1653" s="56" t="s">
        <v>92</v>
      </c>
      <c r="K1653" s="56">
        <v>486</v>
      </c>
      <c r="L1653" s="114" t="s">
        <v>176</v>
      </c>
      <c r="M1653" s="114" t="s">
        <v>2824</v>
      </c>
      <c r="N1653" s="115" t="s">
        <v>177</v>
      </c>
      <c r="O1653" s="114" t="s">
        <v>178</v>
      </c>
      <c r="P1653" s="115"/>
    </row>
    <row r="1654" spans="2:16">
      <c r="B1654" s="20">
        <v>45120</v>
      </c>
      <c r="C1654" s="59">
        <v>50337814</v>
      </c>
      <c r="D1654" s="55" t="s">
        <v>669</v>
      </c>
      <c r="E1654" s="67">
        <v>264</v>
      </c>
      <c r="F1654" s="67">
        <v>2</v>
      </c>
      <c r="G1654" s="102">
        <v>528</v>
      </c>
      <c r="H1654" s="56" t="s">
        <v>80</v>
      </c>
      <c r="K1654" s="56">
        <v>486</v>
      </c>
      <c r="L1654" s="114" t="s">
        <v>176</v>
      </c>
      <c r="M1654" s="114" t="s">
        <v>2824</v>
      </c>
      <c r="N1654" s="115" t="s">
        <v>177</v>
      </c>
      <c r="O1654" s="114" t="s">
        <v>178</v>
      </c>
      <c r="P1654" s="115"/>
    </row>
    <row r="1655" spans="2:16">
      <c r="B1655" s="20">
        <v>45120</v>
      </c>
      <c r="C1655" s="59">
        <v>50315365</v>
      </c>
      <c r="D1655" s="55" t="s">
        <v>584</v>
      </c>
      <c r="E1655" s="67">
        <v>264</v>
      </c>
      <c r="F1655" s="67">
        <v>2</v>
      </c>
      <c r="G1655" s="102">
        <v>528</v>
      </c>
      <c r="H1655" s="56" t="s">
        <v>80</v>
      </c>
      <c r="K1655" s="56">
        <v>486</v>
      </c>
      <c r="L1655" s="114" t="s">
        <v>176</v>
      </c>
      <c r="M1655" s="114" t="s">
        <v>2824</v>
      </c>
      <c r="N1655" s="115" t="s">
        <v>177</v>
      </c>
      <c r="O1655" s="114" t="s">
        <v>178</v>
      </c>
      <c r="P1655" s="115"/>
    </row>
    <row r="1656" spans="2:16">
      <c r="B1656" s="20">
        <v>45120</v>
      </c>
      <c r="C1656" s="59">
        <v>40011660</v>
      </c>
      <c r="D1656" s="55" t="s">
        <v>528</v>
      </c>
      <c r="E1656" s="67">
        <v>450</v>
      </c>
      <c r="F1656" s="67">
        <v>1</v>
      </c>
      <c r="G1656" s="102">
        <v>450</v>
      </c>
      <c r="H1656" s="56" t="s">
        <v>80</v>
      </c>
      <c r="K1656" s="56">
        <v>486</v>
      </c>
      <c r="L1656" s="114" t="s">
        <v>176</v>
      </c>
      <c r="M1656" s="114" t="s">
        <v>2824</v>
      </c>
      <c r="N1656" s="115" t="s">
        <v>177</v>
      </c>
      <c r="O1656" s="114" t="s">
        <v>178</v>
      </c>
      <c r="P1656" s="115"/>
    </row>
    <row r="1657" spans="2:16">
      <c r="B1657" s="20">
        <v>45120</v>
      </c>
      <c r="C1657" s="59">
        <v>50812974</v>
      </c>
      <c r="D1657" s="55" t="s">
        <v>822</v>
      </c>
      <c r="E1657" s="67">
        <v>289800</v>
      </c>
      <c r="F1657" s="67">
        <v>6</v>
      </c>
      <c r="G1657" s="102">
        <v>1738800</v>
      </c>
      <c r="H1657" s="56" t="s">
        <v>92</v>
      </c>
      <c r="K1657" s="56">
        <v>486</v>
      </c>
      <c r="L1657" s="114" t="s">
        <v>176</v>
      </c>
      <c r="M1657" s="114" t="s">
        <v>2824</v>
      </c>
      <c r="N1657" s="115" t="s">
        <v>177</v>
      </c>
      <c r="O1657" s="114" t="s">
        <v>178</v>
      </c>
      <c r="P1657" s="115"/>
    </row>
    <row r="1658" spans="2:16">
      <c r="B1658" s="20">
        <v>45120</v>
      </c>
      <c r="C1658" s="59">
        <v>50802401</v>
      </c>
      <c r="D1658" s="55" t="s">
        <v>13</v>
      </c>
      <c r="E1658" s="67">
        <v>289800</v>
      </c>
      <c r="F1658" s="67">
        <v>4</v>
      </c>
      <c r="G1658" s="102">
        <v>1159200</v>
      </c>
      <c r="H1658" s="56" t="s">
        <v>92</v>
      </c>
      <c r="K1658" s="56">
        <v>486</v>
      </c>
      <c r="L1658" s="114" t="s">
        <v>176</v>
      </c>
      <c r="M1658" s="114" t="s">
        <v>2824</v>
      </c>
      <c r="N1658" s="115" t="s">
        <v>177</v>
      </c>
      <c r="O1658" s="114" t="s">
        <v>178</v>
      </c>
      <c r="P1658" s="115"/>
    </row>
    <row r="1659" spans="2:16">
      <c r="B1659" s="20">
        <v>45121</v>
      </c>
      <c r="C1659" s="59">
        <v>40011130</v>
      </c>
      <c r="D1659" s="55" t="s">
        <v>631</v>
      </c>
      <c r="E1659" s="67">
        <v>2940</v>
      </c>
      <c r="F1659" s="67">
        <v>3</v>
      </c>
      <c r="G1659" s="102">
        <v>7974</v>
      </c>
      <c r="H1659" s="56" t="s">
        <v>80</v>
      </c>
      <c r="K1659" s="56">
        <v>487</v>
      </c>
      <c r="L1659" s="114" t="s">
        <v>176</v>
      </c>
      <c r="M1659" s="114" t="s">
        <v>2824</v>
      </c>
      <c r="N1659" s="115" t="s">
        <v>177</v>
      </c>
      <c r="O1659" s="114" t="s">
        <v>178</v>
      </c>
      <c r="P1659" s="115"/>
    </row>
    <row r="1660" spans="2:16">
      <c r="B1660" s="20">
        <v>45121</v>
      </c>
      <c r="C1660" s="59">
        <v>40011133</v>
      </c>
      <c r="D1660" s="55" t="s">
        <v>634</v>
      </c>
      <c r="E1660" s="67">
        <v>756</v>
      </c>
      <c r="F1660" s="67">
        <v>7</v>
      </c>
      <c r="G1660" s="102">
        <v>6222</v>
      </c>
      <c r="H1660" s="56" t="s">
        <v>80</v>
      </c>
      <c r="K1660" s="56">
        <v>487</v>
      </c>
      <c r="L1660" s="114" t="s">
        <v>176</v>
      </c>
      <c r="M1660" s="114" t="s">
        <v>2824</v>
      </c>
      <c r="N1660" s="115" t="s">
        <v>177</v>
      </c>
      <c r="O1660" s="114" t="s">
        <v>178</v>
      </c>
      <c r="P1660" s="115"/>
    </row>
    <row r="1661" spans="2:16">
      <c r="B1661" s="20">
        <v>45121</v>
      </c>
      <c r="C1661" s="59">
        <v>50809148</v>
      </c>
      <c r="D1661" s="55" t="s">
        <v>929</v>
      </c>
      <c r="E1661" s="67">
        <v>486</v>
      </c>
      <c r="F1661" s="67">
        <v>4</v>
      </c>
      <c r="G1661" s="102">
        <v>2246</v>
      </c>
      <c r="H1661" s="56" t="s">
        <v>82</v>
      </c>
      <c r="K1661" s="56">
        <v>487</v>
      </c>
      <c r="L1661" s="114" t="s">
        <v>176</v>
      </c>
      <c r="M1661" s="114" t="s">
        <v>2824</v>
      </c>
      <c r="N1661" s="115" t="s">
        <v>177</v>
      </c>
      <c r="O1661" s="114" t="s">
        <v>178</v>
      </c>
      <c r="P1661" s="115"/>
    </row>
    <row r="1662" spans="2:16">
      <c r="B1662" s="20">
        <v>45121</v>
      </c>
      <c r="C1662" s="59">
        <v>50144376</v>
      </c>
      <c r="D1662" s="55" t="s">
        <v>19</v>
      </c>
      <c r="E1662" s="67">
        <v>500</v>
      </c>
      <c r="F1662" s="67">
        <v>4</v>
      </c>
      <c r="G1662" s="102">
        <v>2000</v>
      </c>
      <c r="H1662" s="56" t="s">
        <v>92</v>
      </c>
      <c r="K1662" s="56">
        <v>487</v>
      </c>
      <c r="L1662" s="114" t="s">
        <v>176</v>
      </c>
      <c r="M1662" s="114" t="s">
        <v>2824</v>
      </c>
      <c r="N1662" s="115" t="s">
        <v>177</v>
      </c>
      <c r="O1662" s="114" t="s">
        <v>178</v>
      </c>
      <c r="P1662" s="115"/>
    </row>
    <row r="1663" spans="2:16">
      <c r="B1663" s="20">
        <v>45121</v>
      </c>
      <c r="C1663" s="59">
        <v>50142281</v>
      </c>
      <c r="D1663" s="55" t="s">
        <v>204</v>
      </c>
      <c r="E1663" s="67">
        <v>900</v>
      </c>
      <c r="F1663" s="67">
        <v>2</v>
      </c>
      <c r="G1663" s="102">
        <v>900</v>
      </c>
      <c r="H1663" s="56" t="s">
        <v>82</v>
      </c>
      <c r="K1663" s="56">
        <v>487</v>
      </c>
      <c r="L1663" s="114" t="s">
        <v>176</v>
      </c>
      <c r="M1663" s="114" t="s">
        <v>2824</v>
      </c>
      <c r="N1663" s="115" t="s">
        <v>177</v>
      </c>
      <c r="O1663" s="114" t="s">
        <v>178</v>
      </c>
      <c r="P1663" s="115"/>
    </row>
    <row r="1664" spans="2:16">
      <c r="B1664" s="20">
        <v>45124</v>
      </c>
      <c r="C1664" s="59">
        <v>50142631</v>
      </c>
      <c r="D1664" s="55" t="s">
        <v>566</v>
      </c>
      <c r="E1664" s="67">
        <v>1500</v>
      </c>
      <c r="F1664" s="67">
        <v>2</v>
      </c>
      <c r="G1664" s="102">
        <v>1500</v>
      </c>
      <c r="H1664" s="56" t="s">
        <v>82</v>
      </c>
      <c r="K1664" s="56">
        <v>488</v>
      </c>
      <c r="L1664" s="114" t="s">
        <v>176</v>
      </c>
      <c r="M1664" s="114" t="s">
        <v>2824</v>
      </c>
      <c r="N1664" s="115" t="s">
        <v>177</v>
      </c>
      <c r="O1664" s="114" t="s">
        <v>178</v>
      </c>
      <c r="P1664" s="115"/>
    </row>
    <row r="1665" spans="2:16">
      <c r="B1665" s="20">
        <v>45124</v>
      </c>
      <c r="C1665" s="59">
        <v>50449101</v>
      </c>
      <c r="D1665" s="55" t="s">
        <v>237</v>
      </c>
      <c r="E1665" s="67">
        <v>289800</v>
      </c>
      <c r="F1665" s="67">
        <v>1</v>
      </c>
      <c r="G1665" s="102">
        <v>289800</v>
      </c>
      <c r="H1665" s="56" t="s">
        <v>92</v>
      </c>
      <c r="K1665" s="56">
        <v>488</v>
      </c>
      <c r="L1665" s="114" t="s">
        <v>176</v>
      </c>
      <c r="M1665" s="114" t="s">
        <v>2824</v>
      </c>
      <c r="N1665" s="115" t="s">
        <v>177</v>
      </c>
      <c r="O1665" s="114" t="s">
        <v>178</v>
      </c>
      <c r="P1665" s="115"/>
    </row>
    <row r="1666" spans="2:16">
      <c r="B1666" s="20">
        <v>45124</v>
      </c>
      <c r="C1666" s="59">
        <v>50809148</v>
      </c>
      <c r="D1666" s="55" t="s">
        <v>929</v>
      </c>
      <c r="E1666" s="67">
        <v>550</v>
      </c>
      <c r="F1666" s="67">
        <v>1</v>
      </c>
      <c r="G1666" s="102">
        <v>583.6</v>
      </c>
      <c r="H1666" s="56" t="s">
        <v>82</v>
      </c>
      <c r="K1666" s="56">
        <v>488</v>
      </c>
      <c r="L1666" s="114" t="s">
        <v>176</v>
      </c>
      <c r="M1666" s="114" t="s">
        <v>2824</v>
      </c>
      <c r="N1666" s="115" t="s">
        <v>177</v>
      </c>
      <c r="O1666" s="114" t="s">
        <v>178</v>
      </c>
      <c r="P1666" s="115"/>
    </row>
    <row r="1667" spans="2:16">
      <c r="B1667" s="20">
        <v>45124</v>
      </c>
      <c r="C1667" s="59">
        <v>20016185</v>
      </c>
      <c r="D1667" s="55" t="s">
        <v>285</v>
      </c>
      <c r="E1667" s="67">
        <v>1000</v>
      </c>
      <c r="F1667" s="67">
        <v>1</v>
      </c>
      <c r="G1667" s="102">
        <v>10000</v>
      </c>
      <c r="H1667" s="56" t="s">
        <v>92</v>
      </c>
      <c r="K1667" s="56">
        <v>488</v>
      </c>
      <c r="L1667" s="114" t="s">
        <v>176</v>
      </c>
      <c r="M1667" s="114" t="s">
        <v>2824</v>
      </c>
      <c r="N1667" s="115" t="s">
        <v>177</v>
      </c>
      <c r="O1667" s="114" t="s">
        <v>178</v>
      </c>
      <c r="P1667" s="115"/>
    </row>
    <row r="1668" spans="2:16">
      <c r="B1668" s="20">
        <v>45124</v>
      </c>
      <c r="C1668" s="59">
        <v>50144376</v>
      </c>
      <c r="D1668" s="55" t="s">
        <v>19</v>
      </c>
      <c r="E1668" s="67">
        <v>500</v>
      </c>
      <c r="F1668" s="67">
        <v>15</v>
      </c>
      <c r="G1668" s="102">
        <v>7500</v>
      </c>
      <c r="H1668" s="56" t="s">
        <v>92</v>
      </c>
      <c r="K1668" s="56">
        <v>488</v>
      </c>
      <c r="L1668" s="114" t="s">
        <v>176</v>
      </c>
      <c r="M1668" s="114" t="s">
        <v>2824</v>
      </c>
      <c r="N1668" s="115" t="s">
        <v>177</v>
      </c>
      <c r="O1668" s="114" t="s">
        <v>178</v>
      </c>
      <c r="P1668" s="115"/>
    </row>
    <row r="1669" spans="2:16">
      <c r="B1669" s="20">
        <v>45124</v>
      </c>
      <c r="C1669" s="59">
        <v>50507916</v>
      </c>
      <c r="D1669" s="55" t="s">
        <v>406</v>
      </c>
      <c r="E1669" s="67">
        <v>264</v>
      </c>
      <c r="F1669" s="67">
        <v>3</v>
      </c>
      <c r="G1669" s="102">
        <v>792000</v>
      </c>
      <c r="H1669" s="56" t="s">
        <v>92</v>
      </c>
      <c r="K1669" s="56">
        <v>488</v>
      </c>
      <c r="L1669" s="114" t="s">
        <v>176</v>
      </c>
      <c r="M1669" s="114" t="s">
        <v>2824</v>
      </c>
      <c r="N1669" s="115" t="s">
        <v>177</v>
      </c>
      <c r="O1669" s="114" t="s">
        <v>178</v>
      </c>
      <c r="P1669" s="115"/>
    </row>
    <row r="1670" spans="2:16">
      <c r="B1670" s="20">
        <v>45124</v>
      </c>
      <c r="C1670" s="59">
        <v>50337816</v>
      </c>
      <c r="D1670" s="55" t="s">
        <v>245</v>
      </c>
      <c r="E1670" s="67">
        <v>264</v>
      </c>
      <c r="F1670" s="67">
        <v>4</v>
      </c>
      <c r="G1670" s="102">
        <v>1027</v>
      </c>
      <c r="H1670" s="56" t="s">
        <v>80</v>
      </c>
      <c r="K1670" s="56">
        <v>489</v>
      </c>
      <c r="L1670" s="114" t="s">
        <v>176</v>
      </c>
      <c r="M1670" s="114" t="s">
        <v>2824</v>
      </c>
      <c r="N1670" s="115" t="s">
        <v>177</v>
      </c>
      <c r="O1670" s="114" t="s">
        <v>178</v>
      </c>
      <c r="P1670" s="115"/>
    </row>
    <row r="1671" spans="2:16">
      <c r="B1671" s="20">
        <v>45124</v>
      </c>
      <c r="C1671" s="59">
        <v>50010080</v>
      </c>
      <c r="D1671" s="55" t="s">
        <v>354</v>
      </c>
      <c r="E1671" s="67">
        <v>1000</v>
      </c>
      <c r="F1671" s="67">
        <v>5</v>
      </c>
      <c r="G1671" s="102">
        <v>5000</v>
      </c>
      <c r="H1671" s="56" t="s">
        <v>82</v>
      </c>
      <c r="K1671" s="56">
        <v>489</v>
      </c>
      <c r="L1671" s="114" t="s">
        <v>176</v>
      </c>
      <c r="M1671" s="114" t="s">
        <v>2824</v>
      </c>
      <c r="N1671" s="115" t="s">
        <v>177</v>
      </c>
      <c r="O1671" s="114" t="s">
        <v>178</v>
      </c>
      <c r="P1671" s="115"/>
    </row>
    <row r="1672" spans="2:16">
      <c r="B1672" s="20">
        <v>45124</v>
      </c>
      <c r="C1672" s="59">
        <v>50809152</v>
      </c>
      <c r="D1672" s="55" t="s">
        <v>953</v>
      </c>
      <c r="E1672" s="67">
        <v>456</v>
      </c>
      <c r="F1672" s="67">
        <v>3</v>
      </c>
      <c r="G1672" s="102">
        <v>1402.45</v>
      </c>
      <c r="H1672" s="56" t="s">
        <v>82</v>
      </c>
      <c r="K1672" s="56">
        <v>489</v>
      </c>
      <c r="L1672" s="114" t="s">
        <v>176</v>
      </c>
      <c r="M1672" s="114" t="s">
        <v>2824</v>
      </c>
      <c r="N1672" s="115" t="s">
        <v>177</v>
      </c>
      <c r="O1672" s="114" t="s">
        <v>178</v>
      </c>
      <c r="P1672" s="115"/>
    </row>
    <row r="1673" spans="2:16">
      <c r="B1673" s="20">
        <v>45124</v>
      </c>
      <c r="C1673" s="59">
        <v>50144376</v>
      </c>
      <c r="D1673" s="55" t="s">
        <v>19</v>
      </c>
      <c r="E1673" s="67">
        <v>500</v>
      </c>
      <c r="F1673" s="67">
        <v>5</v>
      </c>
      <c r="G1673" s="102">
        <v>2500</v>
      </c>
      <c r="H1673" s="56" t="s">
        <v>92</v>
      </c>
      <c r="K1673" s="56">
        <v>489</v>
      </c>
      <c r="L1673" s="114" t="s">
        <v>176</v>
      </c>
      <c r="M1673" s="114" t="s">
        <v>2824</v>
      </c>
      <c r="N1673" s="115" t="s">
        <v>177</v>
      </c>
      <c r="O1673" s="114" t="s">
        <v>178</v>
      </c>
      <c r="P1673" s="115"/>
    </row>
    <row r="1674" spans="2:16">
      <c r="B1674" s="20">
        <v>45124</v>
      </c>
      <c r="C1674" s="59">
        <v>50809148</v>
      </c>
      <c r="D1674" s="55" t="s">
        <v>929</v>
      </c>
      <c r="E1674" s="67">
        <v>550</v>
      </c>
      <c r="F1674" s="67">
        <v>4</v>
      </c>
      <c r="G1674" s="102">
        <v>2202.9</v>
      </c>
      <c r="H1674" s="56" t="s">
        <v>82</v>
      </c>
      <c r="K1674" s="56">
        <v>489</v>
      </c>
      <c r="L1674" s="114" t="s">
        <v>176</v>
      </c>
      <c r="M1674" s="114" t="s">
        <v>2824</v>
      </c>
      <c r="N1674" s="115" t="s">
        <v>177</v>
      </c>
      <c r="O1674" s="114" t="s">
        <v>178</v>
      </c>
      <c r="P1674" s="115"/>
    </row>
    <row r="1675" spans="2:16">
      <c r="B1675" s="20">
        <v>45126</v>
      </c>
      <c r="C1675" s="59">
        <v>50144376</v>
      </c>
      <c r="D1675" s="55" t="s">
        <v>19</v>
      </c>
      <c r="E1675" s="67">
        <v>5000</v>
      </c>
      <c r="F1675" s="67">
        <v>10</v>
      </c>
      <c r="G1675" s="102">
        <v>5000</v>
      </c>
      <c r="H1675" s="56" t="s">
        <v>92</v>
      </c>
      <c r="K1675" s="56">
        <v>490</v>
      </c>
      <c r="L1675" s="114" t="s">
        <v>176</v>
      </c>
      <c r="M1675" s="114" t="s">
        <v>2824</v>
      </c>
      <c r="N1675" s="115" t="s">
        <v>177</v>
      </c>
      <c r="O1675" s="114" t="s">
        <v>178</v>
      </c>
      <c r="P1675" s="115"/>
    </row>
    <row r="1676" spans="2:16">
      <c r="B1676" s="20">
        <v>45126</v>
      </c>
      <c r="C1676" s="59">
        <v>50507916</v>
      </c>
      <c r="D1676" s="55" t="s">
        <v>406</v>
      </c>
      <c r="E1676" s="67">
        <v>264000</v>
      </c>
      <c r="F1676" s="67">
        <v>3</v>
      </c>
      <c r="G1676" s="102">
        <v>792000</v>
      </c>
      <c r="H1676" s="56" t="s">
        <v>92</v>
      </c>
      <c r="K1676" s="56">
        <v>490</v>
      </c>
      <c r="L1676" s="114" t="s">
        <v>176</v>
      </c>
      <c r="M1676" s="114" t="s">
        <v>2824</v>
      </c>
      <c r="N1676" s="115" t="s">
        <v>177</v>
      </c>
      <c r="O1676" s="114" t="s">
        <v>178</v>
      </c>
      <c r="P1676" s="115"/>
    </row>
    <row r="1677" spans="2:16">
      <c r="B1677" s="20">
        <v>45126</v>
      </c>
      <c r="C1677" s="59">
        <v>50470190</v>
      </c>
      <c r="D1677" s="55" t="s">
        <v>12</v>
      </c>
      <c r="E1677" s="67">
        <v>289800</v>
      </c>
      <c r="F1677" s="67">
        <v>4</v>
      </c>
      <c r="G1677" s="102">
        <v>1159200</v>
      </c>
      <c r="H1677" s="56" t="s">
        <v>92</v>
      </c>
      <c r="K1677" s="56">
        <v>490</v>
      </c>
      <c r="L1677" s="114" t="s">
        <v>176</v>
      </c>
      <c r="M1677" s="114" t="s">
        <v>2824</v>
      </c>
      <c r="N1677" s="115" t="s">
        <v>177</v>
      </c>
      <c r="O1677" s="114" t="s">
        <v>178</v>
      </c>
      <c r="P1677" s="115"/>
    </row>
    <row r="1678" spans="2:16">
      <c r="B1678" s="20">
        <v>45126</v>
      </c>
      <c r="C1678" s="59">
        <v>40011661</v>
      </c>
      <c r="D1678" s="55" t="s">
        <v>608</v>
      </c>
      <c r="E1678" s="67">
        <v>450</v>
      </c>
      <c r="F1678" s="67">
        <v>3</v>
      </c>
      <c r="G1678" s="102">
        <v>1800</v>
      </c>
      <c r="H1678" s="56" t="s">
        <v>80</v>
      </c>
      <c r="K1678" s="56">
        <v>490</v>
      </c>
      <c r="L1678" s="114" t="s">
        <v>176</v>
      </c>
      <c r="M1678" s="114" t="s">
        <v>2824</v>
      </c>
      <c r="N1678" s="115" t="s">
        <v>177</v>
      </c>
      <c r="O1678" s="114" t="s">
        <v>178</v>
      </c>
      <c r="P1678" s="115"/>
    </row>
    <row r="1679" spans="2:16">
      <c r="B1679" s="20">
        <v>45128</v>
      </c>
      <c r="C1679" s="59">
        <v>50142137</v>
      </c>
      <c r="D1679" s="55" t="s">
        <v>840</v>
      </c>
      <c r="E1679" s="67">
        <v>1200</v>
      </c>
      <c r="F1679" s="67">
        <v>2</v>
      </c>
      <c r="G1679" s="102">
        <v>2400</v>
      </c>
      <c r="H1679" s="56" t="s">
        <v>82</v>
      </c>
      <c r="K1679" s="56">
        <v>491</v>
      </c>
      <c r="L1679" s="114" t="s">
        <v>176</v>
      </c>
      <c r="M1679" s="114" t="s">
        <v>2824</v>
      </c>
      <c r="N1679" s="115" t="s">
        <v>177</v>
      </c>
      <c r="O1679" s="114" t="s">
        <v>178</v>
      </c>
      <c r="P1679" s="115"/>
    </row>
    <row r="1680" spans="2:16">
      <c r="B1680" s="20">
        <v>45128</v>
      </c>
      <c r="C1680" s="59">
        <v>50144376</v>
      </c>
      <c r="D1680" s="55" t="s">
        <v>19</v>
      </c>
      <c r="E1680" s="67">
        <v>500</v>
      </c>
      <c r="F1680" s="67">
        <v>8</v>
      </c>
      <c r="G1680" s="102">
        <v>4000</v>
      </c>
      <c r="H1680" s="56" t="s">
        <v>92</v>
      </c>
      <c r="K1680" s="56">
        <v>491</v>
      </c>
      <c r="L1680" s="114" t="s">
        <v>176</v>
      </c>
      <c r="M1680" s="114" t="s">
        <v>2824</v>
      </c>
      <c r="N1680" s="115" t="s">
        <v>177</v>
      </c>
      <c r="O1680" s="114" t="s">
        <v>178</v>
      </c>
      <c r="P1680" s="115"/>
    </row>
    <row r="1681" spans="2:16">
      <c r="B1681" s="20">
        <v>45128</v>
      </c>
      <c r="C1681" s="59">
        <v>50142237</v>
      </c>
      <c r="D1681" s="55" t="s">
        <v>617</v>
      </c>
      <c r="E1681" s="67">
        <v>1000</v>
      </c>
      <c r="G1681" s="102">
        <v>10000</v>
      </c>
      <c r="H1681" s="56" t="s">
        <v>92</v>
      </c>
      <c r="K1681" s="56">
        <v>491</v>
      </c>
      <c r="L1681" s="114" t="s">
        <v>176</v>
      </c>
      <c r="M1681" s="114" t="s">
        <v>2824</v>
      </c>
      <c r="N1681" s="115" t="s">
        <v>177</v>
      </c>
      <c r="O1681" s="114" t="s">
        <v>178</v>
      </c>
      <c r="P1681" s="115"/>
    </row>
    <row r="1682" spans="2:16">
      <c r="B1682" s="20">
        <v>45128</v>
      </c>
      <c r="C1682" s="59">
        <v>40007941</v>
      </c>
      <c r="D1682" s="55" t="s">
        <v>211</v>
      </c>
      <c r="E1682" s="67">
        <v>756</v>
      </c>
      <c r="F1682" s="67">
        <v>2</v>
      </c>
      <c r="G1682" s="102">
        <v>1512</v>
      </c>
      <c r="H1682" s="56" t="s">
        <v>80</v>
      </c>
      <c r="K1682" s="56">
        <v>491</v>
      </c>
      <c r="L1682" s="114" t="s">
        <v>176</v>
      </c>
      <c r="M1682" s="114" t="s">
        <v>2824</v>
      </c>
      <c r="N1682" s="115" t="s">
        <v>177</v>
      </c>
      <c r="O1682" s="114" t="s">
        <v>178</v>
      </c>
      <c r="P1682" s="115"/>
    </row>
    <row r="1683" spans="2:16">
      <c r="B1683" s="20">
        <v>45128</v>
      </c>
      <c r="C1683" s="59">
        <v>50507916</v>
      </c>
      <c r="D1683" s="55" t="s">
        <v>406</v>
      </c>
      <c r="E1683" s="67">
        <v>264000</v>
      </c>
      <c r="F1683" s="67">
        <v>2</v>
      </c>
      <c r="G1683" s="102">
        <v>528000</v>
      </c>
      <c r="H1683" s="56" t="s">
        <v>92</v>
      </c>
      <c r="K1683" s="56">
        <v>491</v>
      </c>
      <c r="L1683" s="114" t="s">
        <v>176</v>
      </c>
      <c r="M1683" s="114" t="s">
        <v>2824</v>
      </c>
      <c r="N1683" s="115" t="s">
        <v>177</v>
      </c>
      <c r="O1683" s="114" t="s">
        <v>178</v>
      </c>
      <c r="P1683" s="115"/>
    </row>
    <row r="1684" spans="2:16">
      <c r="B1684" s="20">
        <v>45128</v>
      </c>
      <c r="C1684" s="59">
        <v>50470190</v>
      </c>
      <c r="D1684" s="55" t="s">
        <v>12</v>
      </c>
      <c r="E1684" s="67">
        <v>289800</v>
      </c>
      <c r="F1684" s="67">
        <v>4</v>
      </c>
      <c r="G1684" s="102">
        <v>1159200</v>
      </c>
      <c r="H1684" s="56" t="s">
        <v>92</v>
      </c>
      <c r="K1684" s="56">
        <v>491</v>
      </c>
      <c r="L1684" s="114" t="s">
        <v>176</v>
      </c>
      <c r="M1684" s="114" t="s">
        <v>2824</v>
      </c>
      <c r="N1684" s="115" t="s">
        <v>177</v>
      </c>
      <c r="O1684" s="114" t="s">
        <v>178</v>
      </c>
      <c r="P1684" s="115"/>
    </row>
    <row r="1685" spans="2:16">
      <c r="B1685" s="20">
        <v>45128</v>
      </c>
      <c r="C1685" s="59">
        <v>40011661</v>
      </c>
      <c r="D1685" s="55" t="s">
        <v>608</v>
      </c>
      <c r="E1685" s="67">
        <v>450</v>
      </c>
      <c r="F1685" s="67">
        <v>1</v>
      </c>
      <c r="G1685" s="102">
        <v>450</v>
      </c>
      <c r="H1685" s="56" t="s">
        <v>80</v>
      </c>
      <c r="K1685" s="56">
        <v>491</v>
      </c>
      <c r="L1685" s="114" t="s">
        <v>176</v>
      </c>
      <c r="M1685" s="114" t="s">
        <v>2824</v>
      </c>
      <c r="N1685" s="115" t="s">
        <v>177</v>
      </c>
      <c r="O1685" s="114" t="s">
        <v>178</v>
      </c>
      <c r="P1685" s="115"/>
    </row>
    <row r="1686" spans="2:16">
      <c r="B1686" s="20">
        <v>45128</v>
      </c>
      <c r="C1686" s="59">
        <v>50142334</v>
      </c>
      <c r="D1686" s="55" t="s">
        <v>257</v>
      </c>
      <c r="E1686" s="67">
        <v>681</v>
      </c>
      <c r="F1686" s="67">
        <v>1</v>
      </c>
      <c r="G1686" s="102">
        <v>681</v>
      </c>
      <c r="H1686" s="56" t="s">
        <v>82</v>
      </c>
      <c r="K1686" s="56">
        <v>491</v>
      </c>
      <c r="L1686" s="114" t="s">
        <v>176</v>
      </c>
      <c r="M1686" s="114" t="s">
        <v>2824</v>
      </c>
      <c r="N1686" s="115" t="s">
        <v>177</v>
      </c>
      <c r="O1686" s="114" t="s">
        <v>178</v>
      </c>
      <c r="P1686" s="115"/>
    </row>
    <row r="1687" spans="2:16">
      <c r="B1687" s="20">
        <v>45131</v>
      </c>
      <c r="C1687" s="59">
        <v>50470190</v>
      </c>
      <c r="D1687" s="55" t="s">
        <v>12</v>
      </c>
      <c r="E1687" s="67">
        <v>289800</v>
      </c>
      <c r="F1687" s="67">
        <v>18</v>
      </c>
      <c r="G1687" s="102">
        <v>5216400</v>
      </c>
      <c r="H1687" s="56" t="s">
        <v>92</v>
      </c>
      <c r="K1687" s="56">
        <v>492</v>
      </c>
      <c r="L1687" s="114" t="s">
        <v>176</v>
      </c>
      <c r="M1687" s="114" t="s">
        <v>2824</v>
      </c>
      <c r="N1687" s="115" t="s">
        <v>177</v>
      </c>
      <c r="O1687" s="114" t="s">
        <v>178</v>
      </c>
      <c r="P1687" s="115"/>
    </row>
    <row r="1688" spans="2:16">
      <c r="B1688" s="20">
        <v>45131</v>
      </c>
      <c r="C1688" s="59">
        <v>50144376</v>
      </c>
      <c r="D1688" s="55" t="s">
        <v>19</v>
      </c>
      <c r="E1688" s="67">
        <v>500</v>
      </c>
      <c r="F1688" s="67">
        <v>4</v>
      </c>
      <c r="G1688" s="102">
        <v>2000</v>
      </c>
      <c r="H1688" s="56" t="s">
        <v>92</v>
      </c>
      <c r="K1688" s="56">
        <v>493</v>
      </c>
      <c r="L1688" s="114" t="s">
        <v>176</v>
      </c>
      <c r="M1688" s="114" t="s">
        <v>2824</v>
      </c>
      <c r="N1688" s="115" t="s">
        <v>177</v>
      </c>
      <c r="O1688" s="114" t="s">
        <v>178</v>
      </c>
      <c r="P1688" s="115"/>
    </row>
    <row r="1689" spans="2:16">
      <c r="B1689" s="20">
        <v>45131</v>
      </c>
      <c r="C1689" s="59">
        <v>40011149</v>
      </c>
      <c r="D1689" s="55" t="s">
        <v>37</v>
      </c>
      <c r="E1689" s="67">
        <v>360</v>
      </c>
      <c r="F1689" s="67">
        <v>2</v>
      </c>
      <c r="G1689" s="102">
        <v>600</v>
      </c>
      <c r="H1689" s="56" t="s">
        <v>80</v>
      </c>
      <c r="K1689" s="56">
        <v>493</v>
      </c>
      <c r="L1689" s="114" t="s">
        <v>176</v>
      </c>
      <c r="M1689" s="114" t="s">
        <v>2824</v>
      </c>
      <c r="N1689" s="115" t="s">
        <v>177</v>
      </c>
      <c r="O1689" s="114" t="s">
        <v>178</v>
      </c>
      <c r="P1689" s="115"/>
    </row>
    <row r="1690" spans="2:16">
      <c r="B1690" s="20">
        <v>45131</v>
      </c>
      <c r="C1690" s="59">
        <v>50507916</v>
      </c>
      <c r="D1690" s="55" t="s">
        <v>406</v>
      </c>
      <c r="E1690" s="67">
        <v>264</v>
      </c>
      <c r="F1690" s="67">
        <v>10</v>
      </c>
      <c r="G1690" s="102">
        <v>2637000</v>
      </c>
      <c r="H1690" s="56" t="s">
        <v>92</v>
      </c>
      <c r="K1690" s="56">
        <v>493</v>
      </c>
      <c r="L1690" s="114" t="s">
        <v>176</v>
      </c>
      <c r="M1690" s="114" t="s">
        <v>2824</v>
      </c>
      <c r="N1690" s="115" t="s">
        <v>177</v>
      </c>
      <c r="O1690" s="114" t="s">
        <v>178</v>
      </c>
      <c r="P1690" s="115"/>
    </row>
    <row r="1691" spans="2:16">
      <c r="B1691" s="20">
        <v>45131</v>
      </c>
      <c r="C1691" s="59">
        <v>50337816</v>
      </c>
      <c r="D1691" s="55" t="s">
        <v>245</v>
      </c>
      <c r="E1691" s="67">
        <v>264</v>
      </c>
      <c r="F1691" s="67">
        <v>3</v>
      </c>
      <c r="G1691" s="102">
        <v>792</v>
      </c>
      <c r="H1691" s="56" t="s">
        <v>80</v>
      </c>
      <c r="K1691" s="56">
        <v>493</v>
      </c>
      <c r="L1691" s="114" t="s">
        <v>176</v>
      </c>
      <c r="M1691" s="114" t="s">
        <v>2824</v>
      </c>
      <c r="N1691" s="115" t="s">
        <v>177</v>
      </c>
      <c r="O1691" s="114" t="s">
        <v>178</v>
      </c>
      <c r="P1691" s="115"/>
    </row>
    <row r="1692" spans="2:16">
      <c r="B1692" s="20">
        <v>45131</v>
      </c>
      <c r="C1692" s="59">
        <v>50270855</v>
      </c>
      <c r="D1692" s="55" t="s">
        <v>740</v>
      </c>
      <c r="E1692" s="67">
        <v>264</v>
      </c>
      <c r="F1692" s="67">
        <v>3</v>
      </c>
      <c r="G1692" s="102">
        <v>792000</v>
      </c>
      <c r="H1692" s="56" t="s">
        <v>92</v>
      </c>
      <c r="K1692" s="56">
        <v>493</v>
      </c>
      <c r="L1692" s="114" t="s">
        <v>176</v>
      </c>
      <c r="M1692" s="114" t="s">
        <v>2824</v>
      </c>
      <c r="N1692" s="115" t="s">
        <v>177</v>
      </c>
      <c r="O1692" s="114" t="s">
        <v>178</v>
      </c>
      <c r="P1692" s="115"/>
    </row>
    <row r="1693" spans="2:16">
      <c r="B1693" s="20">
        <v>45132</v>
      </c>
      <c r="C1693" s="59">
        <v>50470190</v>
      </c>
      <c r="D1693" s="55" t="s">
        <v>12</v>
      </c>
      <c r="E1693" s="67">
        <v>289800</v>
      </c>
      <c r="F1693" s="67">
        <v>18</v>
      </c>
      <c r="G1693" s="102">
        <v>5216400</v>
      </c>
      <c r="H1693" s="56" t="s">
        <v>92</v>
      </c>
      <c r="K1693" s="56">
        <v>494</v>
      </c>
      <c r="L1693" s="114" t="s">
        <v>176</v>
      </c>
      <c r="M1693" s="114" t="s">
        <v>2824</v>
      </c>
      <c r="N1693" s="115" t="s">
        <v>177</v>
      </c>
      <c r="O1693" s="114" t="s">
        <v>178</v>
      </c>
      <c r="P1693" s="115"/>
    </row>
    <row r="1694" spans="2:16">
      <c r="B1694" s="20">
        <v>45132</v>
      </c>
      <c r="C1694" s="59">
        <v>50144376</v>
      </c>
      <c r="D1694" s="55" t="s">
        <v>19</v>
      </c>
      <c r="E1694" s="67">
        <v>500</v>
      </c>
      <c r="F1694" s="67">
        <v>7</v>
      </c>
      <c r="G1694" s="102">
        <v>3500</v>
      </c>
      <c r="H1694" s="56" t="s">
        <v>92</v>
      </c>
      <c r="K1694" s="56">
        <v>495</v>
      </c>
      <c r="L1694" s="114" t="s">
        <v>176</v>
      </c>
      <c r="M1694" s="114" t="s">
        <v>2824</v>
      </c>
      <c r="N1694" s="115" t="s">
        <v>177</v>
      </c>
      <c r="O1694" s="114" t="s">
        <v>178</v>
      </c>
      <c r="P1694" s="115"/>
    </row>
    <row r="1695" spans="2:16">
      <c r="B1695" s="20">
        <v>45132</v>
      </c>
      <c r="C1695" s="59">
        <v>50272278</v>
      </c>
      <c r="D1695" s="55" t="s">
        <v>21</v>
      </c>
      <c r="E1695" s="67">
        <v>500</v>
      </c>
      <c r="F1695" s="67">
        <v>7</v>
      </c>
      <c r="G1695" s="102">
        <v>3500</v>
      </c>
      <c r="H1695" s="56" t="s">
        <v>92</v>
      </c>
      <c r="K1695" s="56">
        <v>495</v>
      </c>
      <c r="L1695" s="114" t="s">
        <v>176</v>
      </c>
      <c r="M1695" s="114" t="s">
        <v>2824</v>
      </c>
      <c r="N1695" s="115" t="s">
        <v>177</v>
      </c>
      <c r="O1695" s="114" t="s">
        <v>178</v>
      </c>
      <c r="P1695" s="115"/>
    </row>
    <row r="1696" spans="2:16">
      <c r="B1696" s="20">
        <v>45132</v>
      </c>
      <c r="C1696" s="59">
        <v>50758307</v>
      </c>
      <c r="D1696" s="55" t="s">
        <v>593</v>
      </c>
      <c r="E1696" s="67">
        <v>9000</v>
      </c>
      <c r="F1696" s="67">
        <v>8</v>
      </c>
      <c r="G1696" s="102">
        <v>58082</v>
      </c>
      <c r="H1696" s="56" t="s">
        <v>92</v>
      </c>
      <c r="K1696" s="56">
        <v>495</v>
      </c>
      <c r="L1696" s="114" t="s">
        <v>176</v>
      </c>
      <c r="M1696" s="114" t="s">
        <v>2824</v>
      </c>
      <c r="N1696" s="115" t="s">
        <v>177</v>
      </c>
      <c r="O1696" s="114" t="s">
        <v>178</v>
      </c>
      <c r="P1696" s="115"/>
    </row>
    <row r="1697" spans="2:16">
      <c r="B1697" s="20">
        <v>45133</v>
      </c>
      <c r="C1697" s="59">
        <v>50144376</v>
      </c>
      <c r="D1697" s="55" t="s">
        <v>19</v>
      </c>
      <c r="E1697" s="67">
        <v>500</v>
      </c>
      <c r="F1697" s="67">
        <v>11</v>
      </c>
      <c r="G1697" s="102">
        <v>5500</v>
      </c>
      <c r="H1697" s="56" t="s">
        <v>92</v>
      </c>
      <c r="K1697" s="56">
        <v>496</v>
      </c>
      <c r="L1697" s="114" t="s">
        <v>176</v>
      </c>
      <c r="M1697" s="114" t="s">
        <v>2824</v>
      </c>
      <c r="N1697" s="115" t="s">
        <v>177</v>
      </c>
      <c r="O1697" s="114" t="s">
        <v>178</v>
      </c>
      <c r="P1697" s="115"/>
    </row>
    <row r="1698" spans="2:16">
      <c r="B1698" s="20">
        <v>45133</v>
      </c>
      <c r="C1698" s="59">
        <v>50272278</v>
      </c>
      <c r="D1698" s="55" t="s">
        <v>21</v>
      </c>
      <c r="E1698" s="67">
        <v>500</v>
      </c>
      <c r="F1698" s="67">
        <v>11</v>
      </c>
      <c r="G1698" s="102">
        <v>5383</v>
      </c>
      <c r="H1698" s="56" t="s">
        <v>92</v>
      </c>
      <c r="K1698" s="56">
        <v>496</v>
      </c>
      <c r="L1698" s="114" t="s">
        <v>176</v>
      </c>
      <c r="M1698" s="114" t="s">
        <v>2824</v>
      </c>
      <c r="N1698" s="115" t="s">
        <v>177</v>
      </c>
      <c r="O1698" s="114" t="s">
        <v>178</v>
      </c>
      <c r="P1698" s="115"/>
    </row>
    <row r="1699" spans="2:16">
      <c r="B1699" s="20">
        <v>45134</v>
      </c>
      <c r="C1699" s="59">
        <v>50144376</v>
      </c>
      <c r="D1699" s="55" t="s">
        <v>19</v>
      </c>
      <c r="E1699" s="67">
        <v>500</v>
      </c>
      <c r="F1699" s="67">
        <v>9</v>
      </c>
      <c r="G1699" s="102">
        <v>4500</v>
      </c>
      <c r="H1699" s="56" t="s">
        <v>92</v>
      </c>
      <c r="K1699" s="56">
        <v>497</v>
      </c>
      <c r="L1699" s="114" t="s">
        <v>176</v>
      </c>
      <c r="M1699" s="114" t="s">
        <v>2824</v>
      </c>
      <c r="N1699" s="115" t="s">
        <v>177</v>
      </c>
      <c r="O1699" s="114" t="s">
        <v>178</v>
      </c>
      <c r="P1699" s="115"/>
    </row>
    <row r="1700" spans="2:16">
      <c r="B1700" s="20">
        <v>45134</v>
      </c>
      <c r="C1700" s="59">
        <v>50272278</v>
      </c>
      <c r="D1700" s="55" t="s">
        <v>21</v>
      </c>
      <c r="E1700" s="67">
        <v>500</v>
      </c>
      <c r="F1700" s="67">
        <v>9</v>
      </c>
      <c r="G1700" s="102">
        <v>4413</v>
      </c>
      <c r="H1700" s="56" t="s">
        <v>92</v>
      </c>
      <c r="K1700" s="56">
        <v>497</v>
      </c>
      <c r="L1700" s="114" t="s">
        <v>176</v>
      </c>
      <c r="M1700" s="114" t="s">
        <v>2824</v>
      </c>
      <c r="N1700" s="115" t="s">
        <v>177</v>
      </c>
      <c r="O1700" s="114" t="s">
        <v>178</v>
      </c>
      <c r="P1700" s="115"/>
    </row>
    <row r="1701" spans="2:16">
      <c r="B1701" s="20">
        <v>45134</v>
      </c>
      <c r="C1701" s="59">
        <v>50522169</v>
      </c>
      <c r="D1701" s="55" t="s">
        <v>250</v>
      </c>
      <c r="E1701" s="67">
        <v>245</v>
      </c>
      <c r="F1701" s="67">
        <v>4</v>
      </c>
      <c r="G1701" s="102">
        <v>2117.05</v>
      </c>
      <c r="H1701" s="56" t="s">
        <v>82</v>
      </c>
      <c r="K1701" s="56">
        <v>497</v>
      </c>
      <c r="L1701" s="114" t="s">
        <v>176</v>
      </c>
      <c r="M1701" s="114" t="s">
        <v>2824</v>
      </c>
      <c r="N1701" s="115" t="s">
        <v>177</v>
      </c>
      <c r="O1701" s="114" t="s">
        <v>178</v>
      </c>
      <c r="P1701" s="115"/>
    </row>
    <row r="1702" spans="2:16">
      <c r="B1702" s="20">
        <v>45134</v>
      </c>
      <c r="C1702" s="59">
        <v>50470190</v>
      </c>
      <c r="D1702" s="55" t="s">
        <v>12</v>
      </c>
      <c r="E1702" s="67">
        <v>289800</v>
      </c>
      <c r="F1702" s="67">
        <v>18</v>
      </c>
      <c r="G1702" s="102">
        <v>5216400</v>
      </c>
      <c r="H1702" s="56" t="s">
        <v>92</v>
      </c>
      <c r="K1702" s="56">
        <v>498</v>
      </c>
      <c r="L1702" s="114" t="s">
        <v>176</v>
      </c>
      <c r="M1702" s="114" t="s">
        <v>2824</v>
      </c>
      <c r="N1702" s="115" t="s">
        <v>177</v>
      </c>
      <c r="O1702" s="114" t="s">
        <v>178</v>
      </c>
      <c r="P1702" s="115"/>
    </row>
    <row r="1703" spans="2:16">
      <c r="B1703" s="20">
        <v>45135</v>
      </c>
      <c r="C1703" s="59">
        <v>50144376</v>
      </c>
      <c r="D1703" s="55" t="s">
        <v>19</v>
      </c>
      <c r="E1703" s="67">
        <v>500</v>
      </c>
      <c r="F1703" s="67">
        <v>7</v>
      </c>
      <c r="G1703" s="102">
        <v>3500</v>
      </c>
      <c r="H1703" s="56" t="s">
        <v>92</v>
      </c>
      <c r="K1703" s="56">
        <v>499</v>
      </c>
      <c r="L1703" s="114" t="s">
        <v>176</v>
      </c>
      <c r="M1703" s="114" t="s">
        <v>2824</v>
      </c>
      <c r="N1703" s="115" t="s">
        <v>177</v>
      </c>
      <c r="O1703" s="114" t="s">
        <v>178</v>
      </c>
      <c r="P1703" s="115"/>
    </row>
    <row r="1704" spans="2:16">
      <c r="B1704" s="20">
        <v>45135</v>
      </c>
      <c r="C1704" s="59">
        <v>40010083</v>
      </c>
      <c r="D1704" s="55" t="s">
        <v>85</v>
      </c>
      <c r="E1704" s="67">
        <v>3787</v>
      </c>
      <c r="F1704" s="67">
        <v>1</v>
      </c>
      <c r="G1704" s="102">
        <v>3787</v>
      </c>
      <c r="H1704" s="56" t="s">
        <v>80</v>
      </c>
      <c r="K1704" s="56">
        <v>499</v>
      </c>
      <c r="L1704" s="114" t="s">
        <v>176</v>
      </c>
      <c r="M1704" s="114" t="s">
        <v>2824</v>
      </c>
      <c r="N1704" s="115" t="s">
        <v>177</v>
      </c>
      <c r="O1704" s="114" t="s">
        <v>178</v>
      </c>
      <c r="P1704" s="115"/>
    </row>
    <row r="1705" spans="2:16">
      <c r="B1705" s="20">
        <v>45135</v>
      </c>
      <c r="C1705" s="59">
        <v>50470190</v>
      </c>
      <c r="D1705" s="55" t="s">
        <v>12</v>
      </c>
      <c r="E1705" s="67">
        <v>289800</v>
      </c>
      <c r="F1705" s="67">
        <v>4</v>
      </c>
      <c r="G1705" s="102">
        <v>1159200</v>
      </c>
      <c r="H1705" s="56" t="s">
        <v>92</v>
      </c>
      <c r="K1705" s="56">
        <v>499</v>
      </c>
      <c r="L1705" s="114" t="s">
        <v>176</v>
      </c>
      <c r="M1705" s="114" t="s">
        <v>2824</v>
      </c>
      <c r="N1705" s="115" t="s">
        <v>177</v>
      </c>
      <c r="O1705" s="114" t="s">
        <v>178</v>
      </c>
      <c r="P1705" s="115"/>
    </row>
    <row r="1706" spans="2:16">
      <c r="B1706" s="20">
        <v>45135</v>
      </c>
      <c r="C1706" s="59">
        <v>50142327</v>
      </c>
      <c r="D1706" s="55" t="s">
        <v>256</v>
      </c>
      <c r="E1706" s="67">
        <v>681</v>
      </c>
      <c r="F1706" s="67">
        <v>3</v>
      </c>
      <c r="G1706" s="102">
        <v>2043</v>
      </c>
      <c r="H1706" s="56" t="s">
        <v>82</v>
      </c>
      <c r="K1706" s="56">
        <v>499</v>
      </c>
      <c r="L1706" s="114" t="s">
        <v>176</v>
      </c>
      <c r="M1706" s="114" t="s">
        <v>2824</v>
      </c>
      <c r="N1706" s="115" t="s">
        <v>177</v>
      </c>
      <c r="O1706" s="114" t="s">
        <v>178</v>
      </c>
      <c r="P1706" s="115"/>
    </row>
    <row r="1707" spans="2:16">
      <c r="B1707" s="20">
        <v>45135</v>
      </c>
      <c r="C1707" s="59">
        <v>50142334</v>
      </c>
      <c r="D1707" s="55" t="s">
        <v>257</v>
      </c>
      <c r="E1707" s="67">
        <v>681</v>
      </c>
      <c r="F1707" s="67">
        <v>4</v>
      </c>
      <c r="G1707" s="102">
        <v>2724</v>
      </c>
      <c r="H1707" s="56" t="s">
        <v>82</v>
      </c>
      <c r="K1707" s="56">
        <v>499</v>
      </c>
      <c r="L1707" s="114" t="s">
        <v>176</v>
      </c>
      <c r="M1707" s="114" t="s">
        <v>2824</v>
      </c>
      <c r="N1707" s="115" t="s">
        <v>177</v>
      </c>
      <c r="O1707" s="114" t="s">
        <v>178</v>
      </c>
      <c r="P1707" s="115"/>
    </row>
    <row r="1708" spans="2:16">
      <c r="B1708" s="20">
        <v>45135</v>
      </c>
      <c r="C1708" s="59">
        <v>50522169</v>
      </c>
      <c r="D1708" s="55" t="s">
        <v>250</v>
      </c>
      <c r="E1708" s="67">
        <v>564</v>
      </c>
      <c r="F1708" s="67">
        <v>1</v>
      </c>
      <c r="G1708" s="102">
        <v>531.45</v>
      </c>
      <c r="H1708" s="56" t="s">
        <v>82</v>
      </c>
      <c r="K1708" s="56">
        <v>500</v>
      </c>
      <c r="L1708" s="114" t="s">
        <v>176</v>
      </c>
      <c r="M1708" s="114" t="s">
        <v>2824</v>
      </c>
      <c r="N1708" s="115" t="s">
        <v>177</v>
      </c>
      <c r="O1708" s="114" t="s">
        <v>178</v>
      </c>
      <c r="P1708" s="115"/>
    </row>
    <row r="1709" spans="2:16">
      <c r="B1709" s="20">
        <v>45135</v>
      </c>
      <c r="C1709" s="59">
        <v>50141786</v>
      </c>
      <c r="D1709" s="55" t="s">
        <v>188</v>
      </c>
      <c r="E1709" s="67">
        <v>560</v>
      </c>
      <c r="F1709" s="67">
        <v>19</v>
      </c>
      <c r="G1709" s="102">
        <v>10640</v>
      </c>
      <c r="H1709" s="56" t="s">
        <v>82</v>
      </c>
      <c r="K1709" s="56">
        <v>500</v>
      </c>
      <c r="L1709" s="114" t="s">
        <v>176</v>
      </c>
      <c r="M1709" s="114" t="s">
        <v>2824</v>
      </c>
      <c r="N1709" s="115" t="s">
        <v>177</v>
      </c>
      <c r="O1709" s="114" t="s">
        <v>178</v>
      </c>
      <c r="P1709" s="115"/>
    </row>
    <row r="1710" spans="2:16">
      <c r="B1710" s="20">
        <v>45135</v>
      </c>
      <c r="C1710" s="59">
        <v>50501722</v>
      </c>
      <c r="D1710" s="55" t="s">
        <v>253</v>
      </c>
      <c r="E1710" s="67">
        <v>455</v>
      </c>
      <c r="F1710" s="67">
        <v>2</v>
      </c>
      <c r="G1710" s="102">
        <v>1076.15</v>
      </c>
      <c r="H1710" s="56" t="s">
        <v>82</v>
      </c>
      <c r="K1710" s="56">
        <v>500</v>
      </c>
      <c r="L1710" s="114" t="s">
        <v>176</v>
      </c>
      <c r="M1710" s="114" t="s">
        <v>2824</v>
      </c>
      <c r="N1710" s="115" t="s">
        <v>177</v>
      </c>
      <c r="O1710" s="114" t="s">
        <v>178</v>
      </c>
      <c r="P1710" s="115"/>
    </row>
    <row r="1711" spans="2:16">
      <c r="B1711" s="20">
        <v>45135</v>
      </c>
      <c r="C1711" s="59">
        <v>50143646</v>
      </c>
      <c r="D1711" s="55" t="s">
        <v>191</v>
      </c>
      <c r="E1711" s="67">
        <v>480</v>
      </c>
      <c r="F1711" s="67">
        <v>22</v>
      </c>
      <c r="G1711" s="102">
        <v>10560</v>
      </c>
      <c r="H1711" s="56" t="s">
        <v>82</v>
      </c>
      <c r="K1711" s="56">
        <v>501</v>
      </c>
      <c r="L1711" s="114" t="s">
        <v>176</v>
      </c>
      <c r="M1711" s="114" t="s">
        <v>2824</v>
      </c>
      <c r="N1711" s="115" t="s">
        <v>177</v>
      </c>
      <c r="O1711" s="114" t="s">
        <v>178</v>
      </c>
      <c r="P1711" s="115"/>
    </row>
    <row r="1712" spans="2:16">
      <c r="B1712" s="20">
        <v>45138</v>
      </c>
      <c r="C1712" s="59">
        <v>50144376</v>
      </c>
      <c r="D1712" s="55" t="s">
        <v>19</v>
      </c>
      <c r="E1712" s="67">
        <v>500</v>
      </c>
      <c r="F1712" s="67">
        <v>14</v>
      </c>
      <c r="G1712" s="102">
        <v>7000</v>
      </c>
      <c r="H1712" s="56" t="s">
        <v>92</v>
      </c>
      <c r="K1712" s="56">
        <v>502</v>
      </c>
      <c r="L1712" s="114" t="s">
        <v>176</v>
      </c>
      <c r="M1712" s="114" t="s">
        <v>2824</v>
      </c>
      <c r="N1712" s="115" t="s">
        <v>177</v>
      </c>
      <c r="O1712" s="114" t="s">
        <v>178</v>
      </c>
      <c r="P1712" s="115"/>
    </row>
    <row r="1713" spans="2:16">
      <c r="B1713" s="20">
        <v>45138</v>
      </c>
      <c r="C1713" s="59">
        <v>50272278</v>
      </c>
      <c r="D1713" s="55" t="s">
        <v>21</v>
      </c>
      <c r="E1713" s="67">
        <v>500</v>
      </c>
      <c r="F1713" s="67">
        <v>8</v>
      </c>
      <c r="G1713" s="102">
        <v>3952</v>
      </c>
      <c r="H1713" s="56" t="s">
        <v>92</v>
      </c>
      <c r="K1713" s="56">
        <v>502</v>
      </c>
      <c r="L1713" s="114" t="s">
        <v>176</v>
      </c>
      <c r="M1713" s="114" t="s">
        <v>2824</v>
      </c>
      <c r="N1713" s="115" t="s">
        <v>177</v>
      </c>
      <c r="O1713" s="114" t="s">
        <v>178</v>
      </c>
      <c r="P1713" s="115"/>
    </row>
    <row r="1714" spans="2:16">
      <c r="B1714" s="20">
        <v>45138</v>
      </c>
      <c r="C1714" s="59">
        <v>50470190</v>
      </c>
      <c r="D1714" s="55" t="s">
        <v>12</v>
      </c>
      <c r="E1714" s="67">
        <v>289800</v>
      </c>
      <c r="F1714" s="67">
        <v>18</v>
      </c>
      <c r="G1714" s="102">
        <v>5216400</v>
      </c>
      <c r="H1714" s="56" t="s">
        <v>92</v>
      </c>
      <c r="K1714" s="56">
        <v>503</v>
      </c>
      <c r="L1714" s="114" t="s">
        <v>176</v>
      </c>
      <c r="M1714" s="114" t="s">
        <v>2824</v>
      </c>
      <c r="N1714" s="115" t="s">
        <v>177</v>
      </c>
      <c r="O1714" s="114" t="s">
        <v>178</v>
      </c>
      <c r="P1714" s="115"/>
    </row>
    <row r="1715" spans="2:16">
      <c r="B1715" s="20">
        <v>45141</v>
      </c>
      <c r="C1715" s="59">
        <v>50010080</v>
      </c>
      <c r="D1715" s="55" t="s">
        <v>354</v>
      </c>
      <c r="E1715" s="67">
        <v>1000</v>
      </c>
      <c r="F1715" s="67">
        <v>3</v>
      </c>
      <c r="G1715" s="102">
        <v>3000</v>
      </c>
      <c r="H1715" s="56" t="s">
        <v>82</v>
      </c>
      <c r="K1715" s="56">
        <v>504</v>
      </c>
      <c r="L1715" s="55" t="s">
        <v>416</v>
      </c>
      <c r="M1715" s="55" t="s">
        <v>2824</v>
      </c>
      <c r="N1715" s="4" t="s">
        <v>417</v>
      </c>
      <c r="O1715" s="55" t="s">
        <v>178</v>
      </c>
    </row>
    <row r="1716" spans="2:16">
      <c r="B1716" s="20">
        <v>45141</v>
      </c>
      <c r="C1716" s="59">
        <v>50522169</v>
      </c>
      <c r="D1716" s="55" t="s">
        <v>250</v>
      </c>
      <c r="E1716" s="67">
        <v>546</v>
      </c>
      <c r="F1716" s="67">
        <v>3</v>
      </c>
      <c r="G1716" s="102">
        <v>1339.85</v>
      </c>
      <c r="H1716" s="56" t="s">
        <v>82</v>
      </c>
      <c r="K1716" s="56">
        <v>504</v>
      </c>
      <c r="L1716" s="55" t="s">
        <v>416</v>
      </c>
      <c r="M1716" s="55" t="s">
        <v>2824</v>
      </c>
      <c r="N1716" s="4" t="s">
        <v>417</v>
      </c>
      <c r="O1716" s="55" t="s">
        <v>178</v>
      </c>
    </row>
    <row r="1717" spans="2:16">
      <c r="B1717" s="20">
        <v>45141</v>
      </c>
      <c r="C1717" s="59">
        <v>50501722</v>
      </c>
      <c r="D1717" s="55" t="s">
        <v>253</v>
      </c>
      <c r="E1717" s="67">
        <v>489</v>
      </c>
      <c r="F1717" s="67">
        <v>6</v>
      </c>
      <c r="G1717" s="102">
        <v>3170.79</v>
      </c>
      <c r="H1717" s="56" t="s">
        <v>82</v>
      </c>
      <c r="K1717" s="56">
        <v>504</v>
      </c>
      <c r="L1717" s="55" t="s">
        <v>416</v>
      </c>
      <c r="M1717" s="55" t="s">
        <v>2824</v>
      </c>
      <c r="N1717" s="4" t="s">
        <v>417</v>
      </c>
      <c r="O1717" s="55" t="s">
        <v>178</v>
      </c>
    </row>
    <row r="1718" spans="2:16">
      <c r="B1718" s="20">
        <v>45141</v>
      </c>
      <c r="C1718" s="59">
        <v>50145028</v>
      </c>
      <c r="D1718" s="55" t="s">
        <v>23</v>
      </c>
      <c r="E1718" s="67">
        <v>192</v>
      </c>
      <c r="F1718" s="67">
        <v>1</v>
      </c>
      <c r="G1718" s="102">
        <v>192</v>
      </c>
      <c r="H1718" s="56" t="s">
        <v>92</v>
      </c>
      <c r="K1718" s="56">
        <v>504</v>
      </c>
      <c r="L1718" s="55" t="s">
        <v>416</v>
      </c>
      <c r="M1718" s="55" t="s">
        <v>2824</v>
      </c>
      <c r="N1718" s="4" t="s">
        <v>417</v>
      </c>
      <c r="O1718" s="55" t="s">
        <v>178</v>
      </c>
    </row>
    <row r="1719" spans="2:16">
      <c r="B1719" s="20">
        <v>45141</v>
      </c>
      <c r="C1719" s="59">
        <v>50142281</v>
      </c>
      <c r="D1719" s="55" t="s">
        <v>204</v>
      </c>
      <c r="E1719" s="67">
        <v>450</v>
      </c>
      <c r="F1719" s="67">
        <v>2</v>
      </c>
      <c r="G1719" s="102">
        <v>900</v>
      </c>
      <c r="H1719" s="56" t="s">
        <v>82</v>
      </c>
      <c r="K1719" s="56">
        <v>504</v>
      </c>
      <c r="L1719" s="55" t="s">
        <v>416</v>
      </c>
      <c r="M1719" s="55" t="s">
        <v>2824</v>
      </c>
      <c r="N1719" s="4" t="s">
        <v>417</v>
      </c>
      <c r="O1719" s="55" t="s">
        <v>178</v>
      </c>
    </row>
    <row r="1720" spans="2:16">
      <c r="B1720" s="20">
        <v>45141</v>
      </c>
      <c r="C1720" s="59">
        <v>40011080</v>
      </c>
      <c r="D1720" s="55" t="s">
        <v>420</v>
      </c>
      <c r="E1720" s="67">
        <v>450</v>
      </c>
      <c r="F1720" s="67">
        <v>4</v>
      </c>
      <c r="G1720" s="102">
        <v>1800</v>
      </c>
      <c r="H1720" s="56" t="s">
        <v>80</v>
      </c>
      <c r="K1720" s="56">
        <v>504</v>
      </c>
      <c r="L1720" s="55" t="s">
        <v>416</v>
      </c>
      <c r="M1720" s="55" t="s">
        <v>2824</v>
      </c>
      <c r="N1720" s="4" t="s">
        <v>417</v>
      </c>
      <c r="O1720" s="55" t="s">
        <v>178</v>
      </c>
    </row>
    <row r="1721" spans="2:16">
      <c r="B1721" s="20">
        <v>45141</v>
      </c>
      <c r="C1721" s="59">
        <v>50507916</v>
      </c>
      <c r="D1721" s="55" t="s">
        <v>406</v>
      </c>
      <c r="E1721" s="67">
        <v>264000</v>
      </c>
      <c r="F1721" s="67">
        <v>2</v>
      </c>
      <c r="G1721" s="102">
        <v>528000</v>
      </c>
      <c r="H1721" s="56" t="s">
        <v>92</v>
      </c>
      <c r="K1721" s="56">
        <v>504</v>
      </c>
      <c r="L1721" s="55" t="s">
        <v>416</v>
      </c>
      <c r="M1721" s="55" t="s">
        <v>2824</v>
      </c>
      <c r="N1721" s="4" t="s">
        <v>417</v>
      </c>
      <c r="O1721" s="55" t="s">
        <v>178</v>
      </c>
    </row>
    <row r="1722" spans="2:16">
      <c r="B1722" s="20">
        <v>45141</v>
      </c>
      <c r="C1722" s="59">
        <v>50144376</v>
      </c>
      <c r="D1722" s="55" t="s">
        <v>19</v>
      </c>
      <c r="E1722" s="67">
        <v>500</v>
      </c>
      <c r="F1722" s="67">
        <v>11</v>
      </c>
      <c r="G1722" s="102">
        <v>5500</v>
      </c>
      <c r="H1722" s="56" t="s">
        <v>92</v>
      </c>
      <c r="K1722" s="56">
        <v>505</v>
      </c>
      <c r="L1722" s="114" t="s">
        <v>176</v>
      </c>
      <c r="M1722" s="114" t="s">
        <v>2824</v>
      </c>
      <c r="N1722" s="115" t="s">
        <v>177</v>
      </c>
      <c r="O1722" s="114" t="s">
        <v>178</v>
      </c>
      <c r="P1722" s="115"/>
    </row>
    <row r="1723" spans="2:16">
      <c r="B1723" s="20">
        <v>45142</v>
      </c>
      <c r="C1723" s="59">
        <v>50272278</v>
      </c>
      <c r="D1723" s="55" t="s">
        <v>21</v>
      </c>
      <c r="E1723" s="67">
        <v>500</v>
      </c>
      <c r="F1723" s="67">
        <v>11</v>
      </c>
      <c r="G1723" s="102">
        <v>5500</v>
      </c>
      <c r="H1723" s="56" t="s">
        <v>92</v>
      </c>
      <c r="K1723" s="56">
        <v>505</v>
      </c>
      <c r="L1723" s="114" t="s">
        <v>176</v>
      </c>
      <c r="M1723" s="114" t="s">
        <v>2824</v>
      </c>
      <c r="N1723" s="115" t="s">
        <v>177</v>
      </c>
      <c r="O1723" s="114" t="s">
        <v>178</v>
      </c>
      <c r="P1723" s="115"/>
    </row>
    <row r="1724" spans="2:16">
      <c r="B1724" s="20">
        <v>45142</v>
      </c>
      <c r="C1724" s="59">
        <v>50802526</v>
      </c>
      <c r="D1724" s="55" t="s">
        <v>804</v>
      </c>
      <c r="E1724" s="78">
        <v>2499690</v>
      </c>
      <c r="F1724" s="67">
        <v>1</v>
      </c>
      <c r="G1724" s="102">
        <v>2499690</v>
      </c>
      <c r="H1724" s="56" t="s">
        <v>92</v>
      </c>
      <c r="K1724" s="56">
        <v>506</v>
      </c>
      <c r="L1724" s="114" t="s">
        <v>176</v>
      </c>
      <c r="M1724" s="114" t="s">
        <v>2824</v>
      </c>
      <c r="N1724" s="115" t="s">
        <v>177</v>
      </c>
      <c r="O1724" s="114" t="s">
        <v>178</v>
      </c>
      <c r="P1724" s="115"/>
    </row>
    <row r="1725" spans="2:16">
      <c r="B1725" s="20">
        <v>45142</v>
      </c>
      <c r="C1725" s="59">
        <v>50143894</v>
      </c>
      <c r="D1725" s="55" t="s">
        <v>944</v>
      </c>
      <c r="E1725" s="78">
        <v>5000</v>
      </c>
      <c r="F1725" s="67">
        <v>1</v>
      </c>
      <c r="G1725" s="102">
        <v>5000</v>
      </c>
      <c r="H1725" s="56" t="s">
        <v>92</v>
      </c>
      <c r="K1725" s="56">
        <v>506</v>
      </c>
      <c r="L1725" s="114" t="s">
        <v>176</v>
      </c>
      <c r="M1725" s="114" t="s">
        <v>2824</v>
      </c>
      <c r="N1725" s="115" t="s">
        <v>177</v>
      </c>
      <c r="O1725" s="114" t="s">
        <v>178</v>
      </c>
      <c r="P1725" s="115"/>
    </row>
    <row r="1726" spans="2:16">
      <c r="B1726" s="20">
        <v>45142</v>
      </c>
      <c r="C1726" s="59">
        <v>50802527</v>
      </c>
      <c r="D1726" s="55" t="s">
        <v>805</v>
      </c>
      <c r="E1726" s="78">
        <v>2475000</v>
      </c>
      <c r="F1726" s="67">
        <v>3</v>
      </c>
      <c r="G1726" s="102">
        <v>2475000</v>
      </c>
      <c r="H1726" s="56" t="s">
        <v>92</v>
      </c>
      <c r="K1726" s="56">
        <v>506</v>
      </c>
      <c r="L1726" s="114" t="s">
        <v>176</v>
      </c>
      <c r="M1726" s="114" t="s">
        <v>2824</v>
      </c>
      <c r="N1726" s="115" t="s">
        <v>177</v>
      </c>
      <c r="O1726" s="114" t="s">
        <v>178</v>
      </c>
      <c r="P1726" s="115"/>
    </row>
    <row r="1727" spans="2:16">
      <c r="B1727" s="20">
        <v>45142</v>
      </c>
      <c r="C1727" s="59">
        <v>50802525</v>
      </c>
      <c r="D1727" s="55" t="s">
        <v>801</v>
      </c>
      <c r="E1727" s="78">
        <v>2482050</v>
      </c>
      <c r="F1727" s="67">
        <v>6</v>
      </c>
      <c r="G1727" s="102">
        <v>2482050</v>
      </c>
      <c r="H1727" s="56" t="s">
        <v>92</v>
      </c>
      <c r="K1727" s="56">
        <v>506</v>
      </c>
      <c r="L1727" s="114" t="s">
        <v>176</v>
      </c>
      <c r="M1727" s="114" t="s">
        <v>2824</v>
      </c>
      <c r="N1727" s="115" t="s">
        <v>177</v>
      </c>
      <c r="O1727" s="114" t="s">
        <v>178</v>
      </c>
      <c r="P1727" s="115"/>
    </row>
    <row r="1728" spans="2:16">
      <c r="B1728" s="20">
        <v>45142</v>
      </c>
      <c r="C1728" s="59">
        <v>50501722</v>
      </c>
      <c r="D1728" s="55" t="s">
        <v>253</v>
      </c>
      <c r="E1728" s="67">
        <v>456</v>
      </c>
      <c r="F1728" s="67">
        <v>4</v>
      </c>
      <c r="G1728" s="102">
        <v>2140.75</v>
      </c>
      <c r="H1728" s="56" t="s">
        <v>82</v>
      </c>
      <c r="K1728" s="56">
        <v>506</v>
      </c>
      <c r="L1728" s="114" t="s">
        <v>176</v>
      </c>
      <c r="M1728" s="114" t="s">
        <v>2824</v>
      </c>
      <c r="N1728" s="115" t="s">
        <v>177</v>
      </c>
      <c r="O1728" s="114" t="s">
        <v>178</v>
      </c>
      <c r="P1728" s="115"/>
    </row>
    <row r="1729" spans="2:16">
      <c r="B1729" s="20">
        <v>45142</v>
      </c>
      <c r="C1729" s="59">
        <v>50813995</v>
      </c>
      <c r="D1729" s="55" t="s">
        <v>960</v>
      </c>
      <c r="E1729" s="67">
        <v>444</v>
      </c>
      <c r="F1729" s="67">
        <v>2</v>
      </c>
      <c r="G1729" s="102">
        <v>1173.65</v>
      </c>
      <c r="H1729" s="56" t="s">
        <v>82</v>
      </c>
      <c r="K1729" s="56">
        <v>506</v>
      </c>
      <c r="L1729" s="114" t="s">
        <v>176</v>
      </c>
      <c r="M1729" s="114" t="s">
        <v>2824</v>
      </c>
      <c r="N1729" s="115" t="s">
        <v>177</v>
      </c>
      <c r="O1729" s="114" t="s">
        <v>178</v>
      </c>
      <c r="P1729" s="115"/>
    </row>
    <row r="1730" spans="2:16">
      <c r="B1730" s="20">
        <v>45142</v>
      </c>
      <c r="C1730" s="59">
        <v>50812974</v>
      </c>
      <c r="D1730" s="55" t="s">
        <v>822</v>
      </c>
      <c r="E1730" s="67">
        <v>289800</v>
      </c>
      <c r="F1730" s="67">
        <v>4</v>
      </c>
      <c r="G1730" s="102">
        <v>1159200</v>
      </c>
      <c r="H1730" s="56" t="s">
        <v>92</v>
      </c>
      <c r="K1730" s="56">
        <v>506</v>
      </c>
      <c r="L1730" s="114" t="s">
        <v>176</v>
      </c>
      <c r="M1730" s="114" t="s">
        <v>2824</v>
      </c>
      <c r="N1730" s="115" t="s">
        <v>177</v>
      </c>
      <c r="O1730" s="114" t="s">
        <v>178</v>
      </c>
      <c r="P1730" s="115"/>
    </row>
    <row r="1731" spans="2:16">
      <c r="B1731" s="20">
        <v>45142</v>
      </c>
      <c r="C1731" s="59">
        <v>50470190</v>
      </c>
      <c r="D1731" s="55" t="s">
        <v>12</v>
      </c>
      <c r="E1731" s="67">
        <v>289800</v>
      </c>
      <c r="F1731" s="67">
        <v>12</v>
      </c>
      <c r="G1731" s="102">
        <v>3477600</v>
      </c>
      <c r="H1731" s="56" t="s">
        <v>92</v>
      </c>
      <c r="K1731" s="56">
        <v>507</v>
      </c>
      <c r="L1731" s="114" t="s">
        <v>176</v>
      </c>
      <c r="M1731" s="114" t="s">
        <v>2824</v>
      </c>
      <c r="N1731" s="115" t="s">
        <v>177</v>
      </c>
      <c r="O1731" s="114" t="s">
        <v>178</v>
      </c>
      <c r="P1731" s="115"/>
    </row>
    <row r="1732" spans="2:16">
      <c r="B1732" s="20">
        <v>45142</v>
      </c>
      <c r="C1732" s="59">
        <v>50272278</v>
      </c>
      <c r="D1732" s="55" t="s">
        <v>21</v>
      </c>
      <c r="E1732" s="67">
        <v>500</v>
      </c>
      <c r="F1732" s="67">
        <v>8</v>
      </c>
      <c r="G1732" s="102">
        <v>4000</v>
      </c>
      <c r="H1732" s="56" t="s">
        <v>92</v>
      </c>
      <c r="K1732" s="56">
        <v>507</v>
      </c>
      <c r="L1732" s="114" t="s">
        <v>176</v>
      </c>
      <c r="M1732" s="114" t="s">
        <v>2824</v>
      </c>
      <c r="N1732" s="115" t="s">
        <v>177</v>
      </c>
      <c r="O1732" s="114" t="s">
        <v>178</v>
      </c>
      <c r="P1732" s="115"/>
    </row>
    <row r="1733" spans="2:16">
      <c r="B1733" s="20">
        <v>45145</v>
      </c>
      <c r="C1733" s="59">
        <v>50522169</v>
      </c>
      <c r="D1733" s="55" t="s">
        <v>250</v>
      </c>
      <c r="E1733" s="67">
        <v>456</v>
      </c>
      <c r="F1733" s="67">
        <v>4</v>
      </c>
      <c r="G1733" s="102">
        <v>2149.4</v>
      </c>
      <c r="H1733" s="56" t="s">
        <v>82</v>
      </c>
      <c r="K1733" s="56">
        <v>508</v>
      </c>
      <c r="L1733" s="114" t="s">
        <v>176</v>
      </c>
      <c r="M1733" s="114" t="s">
        <v>2824</v>
      </c>
      <c r="N1733" s="115" t="s">
        <v>177</v>
      </c>
      <c r="O1733" s="114" t="s">
        <v>178</v>
      </c>
      <c r="P1733" s="115"/>
    </row>
    <row r="1734" spans="2:16">
      <c r="B1734" s="20">
        <v>45145</v>
      </c>
      <c r="C1734" s="59">
        <v>50144376</v>
      </c>
      <c r="D1734" s="55" t="s">
        <v>19</v>
      </c>
      <c r="E1734" s="67">
        <v>500</v>
      </c>
      <c r="F1734" s="67">
        <v>5</v>
      </c>
      <c r="G1734" s="102">
        <v>2500</v>
      </c>
      <c r="H1734" s="56" t="s">
        <v>92</v>
      </c>
      <c r="K1734" s="56">
        <v>508</v>
      </c>
      <c r="L1734" s="114" t="s">
        <v>176</v>
      </c>
      <c r="M1734" s="114" t="s">
        <v>2824</v>
      </c>
      <c r="N1734" s="115" t="s">
        <v>177</v>
      </c>
      <c r="O1734" s="114" t="s">
        <v>178</v>
      </c>
      <c r="P1734" s="115"/>
    </row>
    <row r="1735" spans="2:16">
      <c r="B1735" s="20">
        <v>45145</v>
      </c>
      <c r="C1735" s="59">
        <v>50272278</v>
      </c>
      <c r="D1735" s="55" t="s">
        <v>21</v>
      </c>
      <c r="E1735" s="67">
        <v>500</v>
      </c>
      <c r="F1735" s="67">
        <v>10</v>
      </c>
      <c r="G1735" s="102">
        <v>5000</v>
      </c>
      <c r="H1735" s="56" t="s">
        <v>92</v>
      </c>
      <c r="K1735" s="56">
        <v>508</v>
      </c>
      <c r="L1735" s="114" t="s">
        <v>176</v>
      </c>
      <c r="M1735" s="114" t="s">
        <v>2824</v>
      </c>
      <c r="N1735" s="115" t="s">
        <v>177</v>
      </c>
      <c r="O1735" s="114" t="s">
        <v>178</v>
      </c>
      <c r="P1735" s="115"/>
    </row>
    <row r="1736" spans="2:16">
      <c r="B1736" s="20">
        <v>45145</v>
      </c>
      <c r="C1736" s="59">
        <v>40011149</v>
      </c>
      <c r="D1736" s="55" t="s">
        <v>37</v>
      </c>
      <c r="E1736" s="67">
        <v>360</v>
      </c>
      <c r="F1736" s="67">
        <v>2</v>
      </c>
      <c r="G1736" s="102">
        <v>720</v>
      </c>
      <c r="H1736" s="56" t="s">
        <v>80</v>
      </c>
      <c r="K1736" s="56">
        <v>508</v>
      </c>
      <c r="L1736" s="114" t="s">
        <v>176</v>
      </c>
      <c r="M1736" s="114" t="s">
        <v>2824</v>
      </c>
      <c r="N1736" s="115" t="s">
        <v>177</v>
      </c>
      <c r="O1736" s="114" t="s">
        <v>178</v>
      </c>
      <c r="P1736" s="115"/>
    </row>
    <row r="1737" spans="2:16">
      <c r="B1737" s="20">
        <v>45146</v>
      </c>
      <c r="C1737" s="59">
        <v>50141786</v>
      </c>
      <c r="D1737" s="55" t="s">
        <v>188</v>
      </c>
      <c r="E1737" s="67">
        <v>560</v>
      </c>
      <c r="F1737" s="67">
        <v>10</v>
      </c>
      <c r="G1737" s="102">
        <v>5600</v>
      </c>
      <c r="H1737" s="56" t="s">
        <v>82</v>
      </c>
      <c r="K1737" s="56">
        <v>509</v>
      </c>
      <c r="L1737" s="114" t="s">
        <v>176</v>
      </c>
      <c r="M1737" s="114" t="s">
        <v>2824</v>
      </c>
      <c r="N1737" s="115" t="s">
        <v>177</v>
      </c>
      <c r="O1737" s="114" t="s">
        <v>178</v>
      </c>
      <c r="P1737" s="115"/>
    </row>
    <row r="1738" spans="2:16">
      <c r="B1738" s="20">
        <v>45146</v>
      </c>
      <c r="C1738" s="59">
        <v>50144376</v>
      </c>
      <c r="D1738" s="55" t="s">
        <v>19</v>
      </c>
      <c r="E1738" s="67">
        <v>500</v>
      </c>
      <c r="F1738" s="67">
        <v>12</v>
      </c>
      <c r="G1738" s="102">
        <v>6000</v>
      </c>
      <c r="H1738" s="56" t="s">
        <v>92</v>
      </c>
      <c r="K1738" s="56">
        <v>509</v>
      </c>
      <c r="L1738" s="114" t="s">
        <v>176</v>
      </c>
      <c r="M1738" s="114" t="s">
        <v>2824</v>
      </c>
      <c r="N1738" s="115" t="s">
        <v>177</v>
      </c>
      <c r="O1738" s="114" t="s">
        <v>178</v>
      </c>
      <c r="P1738" s="115"/>
    </row>
    <row r="1739" spans="2:16">
      <c r="B1739" s="20">
        <v>45146</v>
      </c>
      <c r="C1739" s="59">
        <v>40009546</v>
      </c>
      <c r="D1739" s="55" t="s">
        <v>174</v>
      </c>
      <c r="E1739" s="67">
        <v>756</v>
      </c>
      <c r="F1739" s="67">
        <v>4</v>
      </c>
      <c r="G1739" s="102">
        <v>3024</v>
      </c>
      <c r="H1739" s="56" t="s">
        <v>80</v>
      </c>
      <c r="K1739" s="56">
        <v>510</v>
      </c>
      <c r="L1739" s="114" t="s">
        <v>176</v>
      </c>
      <c r="M1739" s="114" t="s">
        <v>2824</v>
      </c>
      <c r="N1739" s="115" t="s">
        <v>177</v>
      </c>
      <c r="O1739" s="114" t="s">
        <v>178</v>
      </c>
      <c r="P1739" s="115"/>
    </row>
    <row r="1740" spans="2:16">
      <c r="B1740" s="20">
        <v>45146</v>
      </c>
      <c r="C1740" s="59">
        <v>50501722</v>
      </c>
      <c r="D1740" s="55" t="s">
        <v>253</v>
      </c>
      <c r="E1740" s="67">
        <v>456</v>
      </c>
      <c r="F1740" s="67">
        <v>1</v>
      </c>
      <c r="G1740" s="102">
        <v>536.85</v>
      </c>
      <c r="H1740" s="56" t="s">
        <v>82</v>
      </c>
      <c r="K1740" s="56">
        <v>510</v>
      </c>
      <c r="L1740" s="114" t="s">
        <v>176</v>
      </c>
      <c r="M1740" s="114" t="s">
        <v>2824</v>
      </c>
      <c r="N1740" s="115" t="s">
        <v>177</v>
      </c>
      <c r="O1740" s="114" t="s">
        <v>178</v>
      </c>
      <c r="P1740" s="115"/>
    </row>
    <row r="1741" spans="2:16">
      <c r="B1741" s="20">
        <v>45146</v>
      </c>
      <c r="C1741" s="59">
        <v>40011080</v>
      </c>
      <c r="D1741" s="55" t="s">
        <v>420</v>
      </c>
      <c r="E1741" s="67">
        <v>450</v>
      </c>
      <c r="F1741" s="67">
        <v>4</v>
      </c>
      <c r="G1741" s="102">
        <v>1800</v>
      </c>
      <c r="H1741" s="56" t="s">
        <v>80</v>
      </c>
      <c r="K1741" s="56">
        <v>510</v>
      </c>
      <c r="L1741" s="114" t="s">
        <v>176</v>
      </c>
      <c r="M1741" s="114" t="s">
        <v>2824</v>
      </c>
      <c r="N1741" s="115" t="s">
        <v>177</v>
      </c>
      <c r="O1741" s="114" t="s">
        <v>178</v>
      </c>
      <c r="P1741" s="115"/>
    </row>
    <row r="1742" spans="2:16">
      <c r="B1742" s="20">
        <v>45146</v>
      </c>
      <c r="C1742" s="59">
        <v>50507916</v>
      </c>
      <c r="D1742" s="55" t="s">
        <v>406</v>
      </c>
      <c r="E1742" s="67">
        <v>264000</v>
      </c>
      <c r="F1742" s="67">
        <v>4</v>
      </c>
      <c r="G1742" s="102">
        <v>1056000</v>
      </c>
      <c r="H1742" s="56" t="s">
        <v>92</v>
      </c>
      <c r="K1742" s="56">
        <v>510</v>
      </c>
      <c r="L1742" s="114" t="s">
        <v>176</v>
      </c>
      <c r="M1742" s="114" t="s">
        <v>2824</v>
      </c>
      <c r="N1742" s="115" t="s">
        <v>177</v>
      </c>
      <c r="O1742" s="114" t="s">
        <v>178</v>
      </c>
      <c r="P1742" s="115"/>
    </row>
    <row r="1743" spans="2:16">
      <c r="B1743" s="20">
        <v>45146</v>
      </c>
      <c r="C1743" s="59">
        <v>40011659</v>
      </c>
      <c r="D1743" s="55" t="s">
        <v>89</v>
      </c>
      <c r="E1743" s="67">
        <v>360</v>
      </c>
      <c r="F1743" s="67">
        <v>3</v>
      </c>
      <c r="G1743" s="102">
        <v>912</v>
      </c>
      <c r="H1743" s="56" t="s">
        <v>80</v>
      </c>
      <c r="K1743" s="56">
        <v>510</v>
      </c>
      <c r="L1743" s="114" t="s">
        <v>176</v>
      </c>
      <c r="M1743" s="114" t="s">
        <v>2824</v>
      </c>
      <c r="N1743" s="115" t="s">
        <v>177</v>
      </c>
      <c r="O1743" s="114" t="s">
        <v>178</v>
      </c>
      <c r="P1743" s="115"/>
    </row>
    <row r="1744" spans="2:16">
      <c r="B1744" s="20">
        <v>45146</v>
      </c>
      <c r="C1744" s="59">
        <v>50142327</v>
      </c>
      <c r="D1744" s="55" t="s">
        <v>256</v>
      </c>
      <c r="E1744" s="67">
        <v>681</v>
      </c>
      <c r="F1744" s="67">
        <v>1</v>
      </c>
      <c r="G1744" s="102">
        <v>681</v>
      </c>
      <c r="H1744" s="56" t="s">
        <v>82</v>
      </c>
      <c r="K1744" s="56">
        <v>510</v>
      </c>
      <c r="L1744" s="114" t="s">
        <v>176</v>
      </c>
      <c r="M1744" s="114" t="s">
        <v>2824</v>
      </c>
      <c r="N1744" s="115" t="s">
        <v>177</v>
      </c>
      <c r="O1744" s="114" t="s">
        <v>178</v>
      </c>
      <c r="P1744" s="115"/>
    </row>
    <row r="1745" spans="2:16">
      <c r="B1745" s="20">
        <v>45146</v>
      </c>
      <c r="C1745" s="59">
        <v>50142334</v>
      </c>
      <c r="D1745" s="55" t="s">
        <v>257</v>
      </c>
      <c r="E1745" s="67">
        <v>681</v>
      </c>
      <c r="F1745" s="67">
        <v>1</v>
      </c>
      <c r="G1745" s="102">
        <v>681</v>
      </c>
      <c r="H1745" s="56" t="s">
        <v>82</v>
      </c>
      <c r="K1745" s="56">
        <v>510</v>
      </c>
      <c r="L1745" s="114" t="s">
        <v>176</v>
      </c>
      <c r="M1745" s="114" t="s">
        <v>2824</v>
      </c>
      <c r="N1745" s="115" t="s">
        <v>177</v>
      </c>
      <c r="O1745" s="114" t="s">
        <v>178</v>
      </c>
      <c r="P1745" s="115"/>
    </row>
    <row r="1746" spans="2:16">
      <c r="B1746" s="20">
        <v>45146</v>
      </c>
      <c r="C1746" s="59">
        <v>50812974</v>
      </c>
      <c r="D1746" s="55" t="s">
        <v>822</v>
      </c>
      <c r="E1746" s="67">
        <v>289800</v>
      </c>
      <c r="F1746" s="67">
        <v>2</v>
      </c>
      <c r="G1746" s="102">
        <v>579600</v>
      </c>
      <c r="H1746" s="56" t="s">
        <v>92</v>
      </c>
      <c r="K1746" s="56">
        <v>510</v>
      </c>
      <c r="L1746" s="114" t="s">
        <v>176</v>
      </c>
      <c r="M1746" s="114" t="s">
        <v>2824</v>
      </c>
      <c r="N1746" s="115" t="s">
        <v>177</v>
      </c>
      <c r="O1746" s="114" t="s">
        <v>178</v>
      </c>
      <c r="P1746" s="115"/>
    </row>
    <row r="1747" spans="2:16">
      <c r="B1747" s="20">
        <v>45147</v>
      </c>
      <c r="C1747" s="59">
        <v>50813995</v>
      </c>
      <c r="D1747" s="55" t="s">
        <v>960</v>
      </c>
      <c r="E1747" s="67">
        <v>564</v>
      </c>
      <c r="G1747" s="102">
        <v>6094.16</v>
      </c>
      <c r="H1747" s="56" t="s">
        <v>82</v>
      </c>
      <c r="K1747" s="56">
        <v>511</v>
      </c>
      <c r="L1747" s="114" t="s">
        <v>176</v>
      </c>
      <c r="M1747" s="114" t="s">
        <v>2824</v>
      </c>
      <c r="N1747" s="115" t="s">
        <v>177</v>
      </c>
      <c r="O1747" s="114" t="s">
        <v>178</v>
      </c>
      <c r="P1747" s="115"/>
    </row>
    <row r="1748" spans="2:16">
      <c r="B1748" s="20">
        <v>45147</v>
      </c>
      <c r="C1748" s="59">
        <v>50812974</v>
      </c>
      <c r="D1748" s="55" t="s">
        <v>822</v>
      </c>
      <c r="E1748" s="67">
        <v>289800</v>
      </c>
      <c r="F1748" s="67">
        <v>8</v>
      </c>
      <c r="G1748" s="102">
        <v>2318400</v>
      </c>
      <c r="H1748" s="56" t="s">
        <v>92</v>
      </c>
      <c r="K1748" s="56">
        <v>511</v>
      </c>
      <c r="L1748" s="114" t="s">
        <v>176</v>
      </c>
      <c r="M1748" s="114" t="s">
        <v>2824</v>
      </c>
      <c r="N1748" s="115" t="s">
        <v>177</v>
      </c>
      <c r="O1748" s="114" t="s">
        <v>178</v>
      </c>
      <c r="P1748" s="115"/>
    </row>
    <row r="1749" spans="2:16">
      <c r="B1749" s="20">
        <v>45147</v>
      </c>
      <c r="C1749" s="59">
        <v>50145028</v>
      </c>
      <c r="D1749" s="55" t="s">
        <v>23</v>
      </c>
      <c r="E1749" s="67">
        <v>192</v>
      </c>
      <c r="G1749" s="102">
        <v>384</v>
      </c>
      <c r="H1749" s="56" t="s">
        <v>92</v>
      </c>
      <c r="K1749" s="56">
        <v>512</v>
      </c>
      <c r="L1749" s="55" t="s">
        <v>326</v>
      </c>
      <c r="M1749" s="55" t="s">
        <v>326</v>
      </c>
      <c r="N1749" s="4" t="s">
        <v>327</v>
      </c>
      <c r="O1749" s="114" t="s">
        <v>178</v>
      </c>
      <c r="P1749" s="115"/>
    </row>
    <row r="1750" spans="2:16">
      <c r="B1750" s="20">
        <v>45147</v>
      </c>
      <c r="C1750" s="59">
        <v>50272278</v>
      </c>
      <c r="D1750" s="55" t="s">
        <v>21</v>
      </c>
      <c r="E1750" s="67">
        <v>500</v>
      </c>
      <c r="G1750" s="102">
        <v>7700</v>
      </c>
      <c r="H1750" s="56" t="s">
        <v>92</v>
      </c>
      <c r="K1750" s="56">
        <v>512</v>
      </c>
      <c r="L1750" s="55" t="s">
        <v>326</v>
      </c>
      <c r="M1750" s="55" t="s">
        <v>326</v>
      </c>
      <c r="N1750" s="4" t="s">
        <v>327</v>
      </c>
      <c r="O1750" s="114" t="s">
        <v>178</v>
      </c>
      <c r="P1750" s="115"/>
    </row>
    <row r="1751" spans="2:16">
      <c r="B1751" s="20">
        <v>45147</v>
      </c>
      <c r="C1751" s="59">
        <v>50145521</v>
      </c>
      <c r="D1751" s="55" t="s">
        <v>436</v>
      </c>
      <c r="E1751" s="67">
        <v>70000</v>
      </c>
      <c r="F1751" s="67">
        <v>1</v>
      </c>
      <c r="G1751" s="102">
        <v>210000</v>
      </c>
      <c r="H1751" s="56" t="s">
        <v>92</v>
      </c>
      <c r="K1751" s="56">
        <v>512</v>
      </c>
      <c r="L1751" s="55" t="s">
        <v>326</v>
      </c>
      <c r="M1751" s="55" t="s">
        <v>326</v>
      </c>
      <c r="N1751" s="4" t="s">
        <v>327</v>
      </c>
      <c r="O1751" s="114" t="s">
        <v>178</v>
      </c>
      <c r="P1751" s="115"/>
    </row>
    <row r="1752" spans="2:16">
      <c r="B1752" s="20">
        <v>45148</v>
      </c>
      <c r="C1752" s="59">
        <v>50141786</v>
      </c>
      <c r="D1752" s="55" t="s">
        <v>188</v>
      </c>
      <c r="E1752" s="67">
        <v>560</v>
      </c>
      <c r="F1752" s="67">
        <v>10</v>
      </c>
      <c r="G1752" s="102">
        <v>5600</v>
      </c>
      <c r="H1752" s="56" t="s">
        <v>82</v>
      </c>
      <c r="K1752" s="56">
        <v>513</v>
      </c>
      <c r="L1752" s="114" t="s">
        <v>176</v>
      </c>
      <c r="M1752" s="114" t="s">
        <v>2824</v>
      </c>
      <c r="N1752" s="115" t="s">
        <v>177</v>
      </c>
      <c r="O1752" s="114" t="s">
        <v>178</v>
      </c>
      <c r="P1752" s="115"/>
    </row>
    <row r="1753" spans="2:16">
      <c r="B1753" s="20">
        <v>45148</v>
      </c>
      <c r="C1753" s="59">
        <v>50010080</v>
      </c>
      <c r="D1753" s="55" t="s">
        <v>354</v>
      </c>
      <c r="E1753" s="67">
        <v>1000</v>
      </c>
      <c r="F1753" s="67">
        <v>4</v>
      </c>
      <c r="G1753" s="102">
        <v>4000</v>
      </c>
      <c r="H1753" s="56" t="s">
        <v>82</v>
      </c>
      <c r="K1753" s="56">
        <v>513</v>
      </c>
      <c r="L1753" s="114" t="s">
        <v>176</v>
      </c>
      <c r="M1753" s="114" t="s">
        <v>2824</v>
      </c>
      <c r="N1753" s="115" t="s">
        <v>177</v>
      </c>
      <c r="O1753" s="114" t="s">
        <v>178</v>
      </c>
      <c r="P1753" s="115"/>
    </row>
    <row r="1754" spans="2:16">
      <c r="B1754" s="20">
        <v>45148</v>
      </c>
      <c r="C1754" s="59">
        <v>40011080</v>
      </c>
      <c r="D1754" s="55" t="s">
        <v>420</v>
      </c>
      <c r="E1754" s="67">
        <v>450</v>
      </c>
      <c r="F1754" s="67">
        <v>2</v>
      </c>
      <c r="G1754" s="102">
        <v>900</v>
      </c>
      <c r="H1754" s="56" t="s">
        <v>80</v>
      </c>
      <c r="K1754" s="56">
        <v>513</v>
      </c>
      <c r="L1754" s="114" t="s">
        <v>176</v>
      </c>
      <c r="M1754" s="114" t="s">
        <v>2824</v>
      </c>
      <c r="N1754" s="115" t="s">
        <v>177</v>
      </c>
      <c r="O1754" s="114" t="s">
        <v>178</v>
      </c>
      <c r="P1754" s="115"/>
    </row>
    <row r="1755" spans="2:16">
      <c r="B1755" s="20">
        <v>45148</v>
      </c>
      <c r="C1755" s="59">
        <v>50142327</v>
      </c>
      <c r="D1755" s="55" t="s">
        <v>256</v>
      </c>
      <c r="E1755" s="67">
        <v>681</v>
      </c>
      <c r="F1755" s="67">
        <v>2</v>
      </c>
      <c r="G1755" s="102">
        <v>1362</v>
      </c>
      <c r="H1755" s="56" t="s">
        <v>82</v>
      </c>
      <c r="K1755" s="56">
        <v>513</v>
      </c>
      <c r="L1755" s="114" t="s">
        <v>176</v>
      </c>
      <c r="M1755" s="114" t="s">
        <v>2824</v>
      </c>
      <c r="N1755" s="115" t="s">
        <v>177</v>
      </c>
      <c r="O1755" s="114" t="s">
        <v>178</v>
      </c>
      <c r="P1755" s="115"/>
    </row>
    <row r="1756" spans="2:16">
      <c r="B1756" s="20">
        <v>45148</v>
      </c>
      <c r="C1756" s="59">
        <v>50142334</v>
      </c>
      <c r="D1756" s="55" t="s">
        <v>257</v>
      </c>
      <c r="E1756" s="67">
        <v>681</v>
      </c>
      <c r="F1756" s="67">
        <v>2</v>
      </c>
      <c r="G1756" s="102">
        <v>1362</v>
      </c>
      <c r="H1756" s="56" t="s">
        <v>82</v>
      </c>
      <c r="K1756" s="56">
        <v>513</v>
      </c>
      <c r="L1756" s="114" t="s">
        <v>176</v>
      </c>
      <c r="M1756" s="114" t="s">
        <v>2824</v>
      </c>
      <c r="N1756" s="115" t="s">
        <v>177</v>
      </c>
      <c r="O1756" s="114" t="s">
        <v>178</v>
      </c>
      <c r="P1756" s="115"/>
    </row>
    <row r="1757" spans="2:16">
      <c r="B1757" s="20">
        <v>45149</v>
      </c>
      <c r="C1757" s="59">
        <v>50142262</v>
      </c>
      <c r="D1757" s="55" t="s">
        <v>779</v>
      </c>
      <c r="E1757" s="67">
        <v>6</v>
      </c>
      <c r="F1757" s="67">
        <v>1</v>
      </c>
      <c r="G1757" s="102">
        <v>452</v>
      </c>
      <c r="H1757" s="56" t="s">
        <v>82</v>
      </c>
      <c r="K1757" s="56">
        <v>514</v>
      </c>
      <c r="L1757" s="114" t="s">
        <v>176</v>
      </c>
      <c r="M1757" s="114" t="s">
        <v>2824</v>
      </c>
      <c r="N1757" s="115" t="s">
        <v>177</v>
      </c>
      <c r="O1757" s="114" t="s">
        <v>178</v>
      </c>
      <c r="P1757" s="115"/>
    </row>
    <row r="1758" spans="2:16">
      <c r="B1758" s="20">
        <v>45149</v>
      </c>
      <c r="C1758" s="59">
        <v>50142137</v>
      </c>
      <c r="D1758" s="55" t="s">
        <v>840</v>
      </c>
      <c r="E1758" s="67">
        <v>1200</v>
      </c>
      <c r="F1758" s="67">
        <v>2</v>
      </c>
      <c r="G1758" s="102">
        <v>2400</v>
      </c>
      <c r="H1758" s="56" t="s">
        <v>82</v>
      </c>
      <c r="K1758" s="56">
        <v>514</v>
      </c>
      <c r="L1758" s="114" t="s">
        <v>176</v>
      </c>
      <c r="M1758" s="114" t="s">
        <v>2824</v>
      </c>
      <c r="N1758" s="115" t="s">
        <v>177</v>
      </c>
      <c r="O1758" s="114" t="s">
        <v>178</v>
      </c>
      <c r="P1758" s="115"/>
    </row>
    <row r="1759" spans="2:16">
      <c r="B1759" s="20">
        <v>45149</v>
      </c>
      <c r="C1759" s="59">
        <v>40009546</v>
      </c>
      <c r="D1759" s="55" t="s">
        <v>174</v>
      </c>
      <c r="E1759" s="67">
        <v>756</v>
      </c>
      <c r="F1759" s="67">
        <v>2</v>
      </c>
      <c r="G1759" s="102">
        <v>1512</v>
      </c>
      <c r="H1759" s="56" t="s">
        <v>80</v>
      </c>
      <c r="K1759" s="56">
        <v>514</v>
      </c>
      <c r="L1759" s="114" t="s">
        <v>176</v>
      </c>
      <c r="M1759" s="114" t="s">
        <v>2824</v>
      </c>
      <c r="N1759" s="115" t="s">
        <v>177</v>
      </c>
      <c r="O1759" s="114" t="s">
        <v>178</v>
      </c>
      <c r="P1759" s="115"/>
    </row>
    <row r="1760" spans="2:16">
      <c r="B1760" s="20">
        <v>45149</v>
      </c>
      <c r="C1760" s="59">
        <v>50144376</v>
      </c>
      <c r="D1760" s="55" t="s">
        <v>19</v>
      </c>
      <c r="E1760" s="67">
        <v>500</v>
      </c>
      <c r="F1760" s="67">
        <v>12</v>
      </c>
      <c r="G1760" s="102">
        <v>6000</v>
      </c>
      <c r="H1760" s="56" t="s">
        <v>92</v>
      </c>
      <c r="K1760" s="56">
        <v>514</v>
      </c>
      <c r="L1760" s="114" t="s">
        <v>176</v>
      </c>
      <c r="M1760" s="114" t="s">
        <v>2824</v>
      </c>
      <c r="N1760" s="115" t="s">
        <v>177</v>
      </c>
      <c r="O1760" s="114" t="s">
        <v>178</v>
      </c>
      <c r="P1760" s="115"/>
    </row>
    <row r="1761" spans="2:16">
      <c r="B1761" s="20">
        <v>45149</v>
      </c>
      <c r="C1761" s="59">
        <v>50143875</v>
      </c>
      <c r="D1761" s="55" t="s">
        <v>713</v>
      </c>
      <c r="E1761" s="67">
        <v>4400</v>
      </c>
      <c r="F1761" s="67">
        <v>1</v>
      </c>
      <c r="G1761" s="102">
        <v>4400</v>
      </c>
      <c r="H1761" s="56" t="s">
        <v>92</v>
      </c>
      <c r="K1761" s="56">
        <v>514</v>
      </c>
      <c r="L1761" s="114" t="s">
        <v>176</v>
      </c>
      <c r="M1761" s="114" t="s">
        <v>2824</v>
      </c>
      <c r="N1761" s="115" t="s">
        <v>177</v>
      </c>
      <c r="O1761" s="114" t="s">
        <v>178</v>
      </c>
      <c r="P1761" s="115"/>
    </row>
    <row r="1762" spans="2:16">
      <c r="B1762" s="20">
        <v>45149</v>
      </c>
      <c r="C1762" s="59">
        <v>50142237</v>
      </c>
      <c r="D1762" s="55" t="s">
        <v>617</v>
      </c>
      <c r="E1762" s="67">
        <v>1000</v>
      </c>
      <c r="F1762" s="67">
        <v>1</v>
      </c>
      <c r="G1762" s="102">
        <v>10000</v>
      </c>
      <c r="H1762" s="56" t="s">
        <v>92</v>
      </c>
      <c r="K1762" s="56">
        <v>514</v>
      </c>
      <c r="L1762" s="114" t="s">
        <v>176</v>
      </c>
      <c r="M1762" s="114" t="s">
        <v>2824</v>
      </c>
      <c r="N1762" s="115" t="s">
        <v>177</v>
      </c>
      <c r="O1762" s="114" t="s">
        <v>178</v>
      </c>
      <c r="P1762" s="115"/>
    </row>
    <row r="1763" spans="2:16">
      <c r="B1763" s="20">
        <v>45149</v>
      </c>
      <c r="C1763" s="59">
        <v>40011080</v>
      </c>
      <c r="D1763" s="55" t="s">
        <v>420</v>
      </c>
      <c r="E1763" s="67">
        <v>450</v>
      </c>
      <c r="F1763" s="67">
        <v>4</v>
      </c>
      <c r="G1763" s="102">
        <f>1800+1800</f>
        <v>3600</v>
      </c>
      <c r="H1763" s="56" t="s">
        <v>80</v>
      </c>
      <c r="K1763" s="56">
        <v>514</v>
      </c>
      <c r="L1763" s="114" t="s">
        <v>176</v>
      </c>
      <c r="M1763" s="114" t="s">
        <v>2824</v>
      </c>
      <c r="N1763" s="115" t="s">
        <v>177</v>
      </c>
      <c r="O1763" s="114" t="s">
        <v>178</v>
      </c>
      <c r="P1763" s="115"/>
    </row>
    <row r="1764" spans="2:16">
      <c r="B1764" s="20">
        <v>45152</v>
      </c>
      <c r="C1764" s="59">
        <v>50272278</v>
      </c>
      <c r="D1764" s="55" t="s">
        <v>21</v>
      </c>
      <c r="E1764" s="67">
        <v>500</v>
      </c>
      <c r="F1764" s="67">
        <v>4</v>
      </c>
      <c r="G1764" s="102">
        <v>2000</v>
      </c>
      <c r="H1764" s="56" t="s">
        <v>92</v>
      </c>
      <c r="K1764" s="56">
        <v>515</v>
      </c>
      <c r="L1764" s="114" t="s">
        <v>176</v>
      </c>
      <c r="M1764" s="114" t="s">
        <v>2824</v>
      </c>
      <c r="N1764" s="115" t="s">
        <v>177</v>
      </c>
      <c r="O1764" s="114" t="s">
        <v>178</v>
      </c>
      <c r="P1764" s="115"/>
    </row>
    <row r="1765" spans="2:16">
      <c r="B1765" s="20">
        <v>45152</v>
      </c>
      <c r="C1765" s="59">
        <v>50171162</v>
      </c>
      <c r="D1765" s="55" t="s">
        <v>741</v>
      </c>
      <c r="E1765" s="67">
        <v>282.6</v>
      </c>
      <c r="F1765" s="67">
        <v>1</v>
      </c>
      <c r="G1765" s="102">
        <v>282.6</v>
      </c>
      <c r="H1765" s="56" t="s">
        <v>898</v>
      </c>
      <c r="K1765" s="56">
        <v>515</v>
      </c>
      <c r="L1765" s="114" t="s">
        <v>176</v>
      </c>
      <c r="M1765" s="114" t="s">
        <v>2824</v>
      </c>
      <c r="N1765" s="115" t="s">
        <v>177</v>
      </c>
      <c r="O1765" s="114" t="s">
        <v>178</v>
      </c>
      <c r="P1765" s="115"/>
    </row>
    <row r="1766" spans="2:16">
      <c r="B1766" s="20">
        <v>45152</v>
      </c>
      <c r="C1766" s="59">
        <v>50486778</v>
      </c>
      <c r="D1766" s="55" t="s">
        <v>787</v>
      </c>
      <c r="E1766" s="67">
        <v>289800</v>
      </c>
      <c r="F1766" s="67">
        <v>6</v>
      </c>
      <c r="G1766" s="102">
        <v>1728300</v>
      </c>
      <c r="H1766" s="56" t="s">
        <v>92</v>
      </c>
      <c r="K1766" s="56">
        <v>515</v>
      </c>
      <c r="L1766" s="114" t="s">
        <v>176</v>
      </c>
      <c r="M1766" s="114" t="s">
        <v>2824</v>
      </c>
      <c r="N1766" s="115" t="s">
        <v>177</v>
      </c>
      <c r="O1766" s="114" t="s">
        <v>178</v>
      </c>
      <c r="P1766" s="115"/>
    </row>
    <row r="1767" spans="2:16">
      <c r="B1767" s="20">
        <v>45152</v>
      </c>
      <c r="C1767" s="59">
        <v>50470190</v>
      </c>
      <c r="D1767" s="55" t="s">
        <v>12</v>
      </c>
      <c r="E1767" s="67">
        <v>289800</v>
      </c>
      <c r="F1767" s="67">
        <v>3</v>
      </c>
      <c r="G1767" s="102">
        <v>869400</v>
      </c>
      <c r="H1767" s="56" t="s">
        <v>92</v>
      </c>
      <c r="K1767" s="56">
        <v>515</v>
      </c>
      <c r="L1767" s="114" t="s">
        <v>176</v>
      </c>
      <c r="M1767" s="114" t="s">
        <v>2824</v>
      </c>
      <c r="N1767" s="115" t="s">
        <v>177</v>
      </c>
      <c r="O1767" s="114" t="s">
        <v>178</v>
      </c>
      <c r="P1767" s="115"/>
    </row>
    <row r="1768" spans="2:16">
      <c r="B1768" s="20">
        <v>45152</v>
      </c>
      <c r="C1768" s="59">
        <v>50809152</v>
      </c>
      <c r="D1768" s="55" t="s">
        <v>953</v>
      </c>
      <c r="E1768" s="67">
        <v>456</v>
      </c>
      <c r="F1768" s="67">
        <v>15</v>
      </c>
      <c r="G1768" s="102">
        <v>7273.75</v>
      </c>
      <c r="H1768" s="56" t="s">
        <v>82</v>
      </c>
      <c r="K1768" s="56">
        <v>516</v>
      </c>
      <c r="L1768" s="55" t="s">
        <v>392</v>
      </c>
      <c r="M1768" s="55" t="s">
        <v>2824</v>
      </c>
      <c r="O1768" s="55" t="s">
        <v>178</v>
      </c>
    </row>
    <row r="1769" spans="2:16">
      <c r="B1769" s="20">
        <v>45154</v>
      </c>
      <c r="C1769" s="59">
        <v>50142055</v>
      </c>
      <c r="D1769" s="55" t="s">
        <v>206</v>
      </c>
      <c r="E1769" s="67">
        <v>600</v>
      </c>
      <c r="F1769" s="67">
        <v>3</v>
      </c>
      <c r="G1769" s="102">
        <v>1800</v>
      </c>
      <c r="H1769" s="56" t="s">
        <v>82</v>
      </c>
      <c r="K1769" s="56">
        <v>517</v>
      </c>
      <c r="L1769" s="114" t="s">
        <v>176</v>
      </c>
      <c r="M1769" s="114" t="s">
        <v>2824</v>
      </c>
      <c r="N1769" s="115" t="s">
        <v>177</v>
      </c>
      <c r="O1769" s="114" t="s">
        <v>178</v>
      </c>
      <c r="P1769" s="115"/>
    </row>
    <row r="1770" spans="2:16">
      <c r="B1770" s="20">
        <v>45154</v>
      </c>
      <c r="C1770" s="59">
        <v>40009546</v>
      </c>
      <c r="D1770" s="55" t="s">
        <v>174</v>
      </c>
      <c r="E1770" s="67">
        <v>756</v>
      </c>
      <c r="F1770" s="67">
        <v>3</v>
      </c>
      <c r="G1770" s="102">
        <v>2268</v>
      </c>
      <c r="H1770" s="56" t="s">
        <v>80</v>
      </c>
      <c r="K1770" s="56">
        <v>517</v>
      </c>
      <c r="L1770" s="114" t="s">
        <v>176</v>
      </c>
      <c r="M1770" s="114" t="s">
        <v>2824</v>
      </c>
      <c r="N1770" s="115" t="s">
        <v>177</v>
      </c>
      <c r="O1770" s="114" t="s">
        <v>178</v>
      </c>
      <c r="P1770" s="115"/>
    </row>
    <row r="1771" spans="2:16">
      <c r="B1771" s="20">
        <v>45154</v>
      </c>
      <c r="C1771" s="59">
        <v>50272278</v>
      </c>
      <c r="D1771" s="55" t="s">
        <v>21</v>
      </c>
      <c r="E1771" s="67">
        <v>500</v>
      </c>
      <c r="F1771" s="67">
        <v>2</v>
      </c>
      <c r="G1771" s="102">
        <v>1000</v>
      </c>
      <c r="H1771" s="56" t="s">
        <v>92</v>
      </c>
      <c r="K1771" s="56">
        <v>517</v>
      </c>
      <c r="L1771" s="114" t="s">
        <v>176</v>
      </c>
      <c r="M1771" s="114" t="s">
        <v>2824</v>
      </c>
      <c r="N1771" s="115" t="s">
        <v>177</v>
      </c>
      <c r="O1771" s="114" t="s">
        <v>178</v>
      </c>
      <c r="P1771" s="115"/>
    </row>
    <row r="1772" spans="2:16">
      <c r="B1772" s="20">
        <v>45154</v>
      </c>
      <c r="C1772" s="59">
        <v>50142281</v>
      </c>
      <c r="D1772" s="55" t="s">
        <v>204</v>
      </c>
      <c r="E1772" s="67">
        <v>450</v>
      </c>
      <c r="F1772" s="67">
        <v>3</v>
      </c>
      <c r="G1772" s="102">
        <v>1350</v>
      </c>
      <c r="H1772" s="56" t="s">
        <v>82</v>
      </c>
      <c r="K1772" s="56">
        <v>517</v>
      </c>
      <c r="L1772" s="114" t="s">
        <v>176</v>
      </c>
      <c r="M1772" s="114" t="s">
        <v>2824</v>
      </c>
      <c r="N1772" s="115" t="s">
        <v>177</v>
      </c>
      <c r="O1772" s="114" t="s">
        <v>178</v>
      </c>
      <c r="P1772" s="115"/>
    </row>
    <row r="1773" spans="2:16">
      <c r="B1773" s="20">
        <v>45154</v>
      </c>
      <c r="C1773" s="59">
        <v>50756640</v>
      </c>
      <c r="D1773" s="55" t="s">
        <v>945</v>
      </c>
      <c r="E1773" s="67">
        <v>500</v>
      </c>
      <c r="F1773" s="67">
        <v>1</v>
      </c>
      <c r="G1773" s="102">
        <v>500</v>
      </c>
      <c r="H1773" s="56" t="s">
        <v>92</v>
      </c>
      <c r="K1773" s="56">
        <v>517</v>
      </c>
      <c r="L1773" s="114" t="s">
        <v>176</v>
      </c>
      <c r="M1773" s="114" t="s">
        <v>2824</v>
      </c>
      <c r="N1773" s="115" t="s">
        <v>177</v>
      </c>
      <c r="O1773" s="114" t="s">
        <v>178</v>
      </c>
      <c r="P1773" s="115"/>
    </row>
    <row r="1774" spans="2:16">
      <c r="B1774" s="20">
        <v>45154</v>
      </c>
      <c r="C1774" s="59">
        <v>50812974</v>
      </c>
      <c r="D1774" s="55" t="s">
        <v>822</v>
      </c>
      <c r="E1774" s="67">
        <v>289800</v>
      </c>
      <c r="F1774" s="67">
        <v>8</v>
      </c>
      <c r="G1774" s="102">
        <v>2318400</v>
      </c>
      <c r="H1774" s="56" t="s">
        <v>92</v>
      </c>
      <c r="K1774" s="56">
        <v>517</v>
      </c>
      <c r="L1774" s="114" t="s">
        <v>176</v>
      </c>
      <c r="M1774" s="114" t="s">
        <v>2824</v>
      </c>
      <c r="N1774" s="115" t="s">
        <v>177</v>
      </c>
      <c r="O1774" s="114" t="s">
        <v>178</v>
      </c>
      <c r="P1774" s="115"/>
    </row>
    <row r="1775" spans="2:16">
      <c r="B1775" s="20">
        <v>45155</v>
      </c>
      <c r="C1775" s="59">
        <v>50470190</v>
      </c>
      <c r="D1775" s="55" t="s">
        <v>12</v>
      </c>
      <c r="E1775" s="67">
        <v>289800</v>
      </c>
      <c r="F1775" s="67">
        <v>18</v>
      </c>
      <c r="G1775" s="102">
        <v>5216400</v>
      </c>
      <c r="H1775" s="56" t="s">
        <v>92</v>
      </c>
      <c r="K1775" s="56">
        <v>518</v>
      </c>
      <c r="L1775" s="114" t="s">
        <v>176</v>
      </c>
      <c r="M1775" s="114" t="s">
        <v>2824</v>
      </c>
      <c r="N1775" s="115" t="s">
        <v>177</v>
      </c>
      <c r="O1775" s="114" t="s">
        <v>178</v>
      </c>
      <c r="P1775" s="115"/>
    </row>
    <row r="1776" spans="2:16">
      <c r="B1776" s="20">
        <v>45155</v>
      </c>
      <c r="C1776" s="59">
        <v>50272278</v>
      </c>
      <c r="D1776" s="55" t="s">
        <v>21</v>
      </c>
      <c r="E1776" s="67">
        <v>500</v>
      </c>
      <c r="F1776" s="67">
        <v>12</v>
      </c>
      <c r="G1776" s="102">
        <v>6000</v>
      </c>
      <c r="H1776" s="56" t="s">
        <v>92</v>
      </c>
      <c r="K1776" s="56">
        <v>519</v>
      </c>
      <c r="L1776" s="114" t="s">
        <v>176</v>
      </c>
      <c r="M1776" s="114" t="s">
        <v>2824</v>
      </c>
      <c r="N1776" s="115" t="s">
        <v>177</v>
      </c>
      <c r="O1776" s="114" t="s">
        <v>178</v>
      </c>
      <c r="P1776" s="115"/>
    </row>
    <row r="1777" spans="2:16">
      <c r="B1777" s="20">
        <v>45180</v>
      </c>
      <c r="C1777" s="59">
        <v>40011080</v>
      </c>
      <c r="D1777" s="55" t="s">
        <v>420</v>
      </c>
      <c r="E1777" s="67">
        <v>450</v>
      </c>
      <c r="F1777" s="67">
        <v>4</v>
      </c>
      <c r="G1777" s="102">
        <v>1800</v>
      </c>
      <c r="H1777" s="56" t="s">
        <v>80</v>
      </c>
      <c r="K1777" s="56">
        <v>519</v>
      </c>
      <c r="L1777" s="114" t="s">
        <v>176</v>
      </c>
      <c r="M1777" s="114" t="s">
        <v>2824</v>
      </c>
      <c r="N1777" s="115" t="s">
        <v>177</v>
      </c>
      <c r="O1777" s="114" t="s">
        <v>178</v>
      </c>
      <c r="P1777" s="115"/>
    </row>
    <row r="1778" spans="2:16">
      <c r="B1778" s="20">
        <v>45155</v>
      </c>
      <c r="C1778" s="59">
        <v>50337814</v>
      </c>
      <c r="D1778" s="55" t="s">
        <v>669</v>
      </c>
      <c r="E1778" s="67">
        <v>264</v>
      </c>
      <c r="F1778" s="67">
        <v>2</v>
      </c>
      <c r="G1778" s="102">
        <v>384</v>
      </c>
      <c r="H1778" s="56" t="s">
        <v>80</v>
      </c>
      <c r="K1778" s="56">
        <v>519</v>
      </c>
      <c r="L1778" s="114" t="s">
        <v>176</v>
      </c>
      <c r="M1778" s="114" t="s">
        <v>2824</v>
      </c>
      <c r="N1778" s="115" t="s">
        <v>177</v>
      </c>
      <c r="O1778" s="114" t="s">
        <v>178</v>
      </c>
      <c r="P1778" s="115"/>
    </row>
    <row r="1779" spans="2:16">
      <c r="B1779" s="20">
        <v>45155</v>
      </c>
      <c r="C1779" s="59">
        <v>50315365</v>
      </c>
      <c r="D1779" s="55" t="s">
        <v>584</v>
      </c>
      <c r="E1779" s="67">
        <v>264</v>
      </c>
      <c r="F1779" s="67">
        <v>2</v>
      </c>
      <c r="G1779" s="102">
        <v>528</v>
      </c>
      <c r="H1779" s="56" t="s">
        <v>80</v>
      </c>
      <c r="K1779" s="56">
        <v>519</v>
      </c>
      <c r="L1779" s="114" t="s">
        <v>176</v>
      </c>
      <c r="M1779" s="114" t="s">
        <v>2824</v>
      </c>
      <c r="N1779" s="115" t="s">
        <v>177</v>
      </c>
      <c r="O1779" s="114" t="s">
        <v>178</v>
      </c>
      <c r="P1779" s="115"/>
    </row>
    <row r="1780" spans="2:16">
      <c r="B1780" s="20">
        <v>45155</v>
      </c>
      <c r="C1780" s="59">
        <v>50809145</v>
      </c>
      <c r="D1780" s="55" t="s">
        <v>946</v>
      </c>
      <c r="E1780" s="67">
        <v>328.8</v>
      </c>
      <c r="F1780" s="67">
        <v>1</v>
      </c>
      <c r="G1780" s="102">
        <v>328.8</v>
      </c>
      <c r="H1780" s="56" t="s">
        <v>82</v>
      </c>
      <c r="K1780" s="56">
        <v>519</v>
      </c>
      <c r="L1780" s="114" t="s">
        <v>176</v>
      </c>
      <c r="M1780" s="114" t="s">
        <v>2824</v>
      </c>
      <c r="N1780" s="115" t="s">
        <v>177</v>
      </c>
      <c r="O1780" s="114" t="s">
        <v>178</v>
      </c>
      <c r="P1780" s="115"/>
    </row>
    <row r="1781" spans="2:16">
      <c r="B1781" s="20">
        <v>45155</v>
      </c>
      <c r="C1781" s="59">
        <v>123458</v>
      </c>
      <c r="D1781" s="55" t="s">
        <v>977</v>
      </c>
      <c r="E1781" s="67">
        <v>40</v>
      </c>
      <c r="F1781" s="67">
        <v>1</v>
      </c>
      <c r="G1781" s="102">
        <v>40</v>
      </c>
      <c r="H1781" s="56" t="s">
        <v>82</v>
      </c>
      <c r="K1781" s="56">
        <v>519</v>
      </c>
      <c r="L1781" s="114" t="s">
        <v>176</v>
      </c>
      <c r="M1781" s="114" t="s">
        <v>2824</v>
      </c>
      <c r="N1781" s="115" t="s">
        <v>177</v>
      </c>
      <c r="O1781" s="114" t="s">
        <v>178</v>
      </c>
      <c r="P1781" s="115"/>
    </row>
    <row r="1782" spans="2:16">
      <c r="B1782" s="20">
        <v>45156</v>
      </c>
      <c r="C1782" s="59">
        <v>50272278</v>
      </c>
      <c r="D1782" s="55" t="s">
        <v>21</v>
      </c>
      <c r="E1782" s="101">
        <v>500</v>
      </c>
      <c r="F1782" s="67">
        <v>22</v>
      </c>
      <c r="G1782" s="102">
        <v>11000</v>
      </c>
      <c r="H1782" s="56" t="s">
        <v>92</v>
      </c>
      <c r="K1782" s="56">
        <v>520</v>
      </c>
      <c r="L1782" s="114" t="s">
        <v>176</v>
      </c>
      <c r="M1782" s="114" t="s">
        <v>2824</v>
      </c>
      <c r="N1782" s="115" t="s">
        <v>177</v>
      </c>
      <c r="O1782" s="114" t="s">
        <v>178</v>
      </c>
      <c r="P1782" s="115"/>
    </row>
    <row r="1783" spans="2:16">
      <c r="B1783" s="20">
        <v>45156</v>
      </c>
      <c r="C1783" s="59">
        <v>50010080</v>
      </c>
      <c r="D1783" s="55" t="s">
        <v>354</v>
      </c>
      <c r="E1783" s="67">
        <v>1000</v>
      </c>
      <c r="F1783" s="67">
        <v>4</v>
      </c>
      <c r="G1783" s="102">
        <v>3950</v>
      </c>
      <c r="H1783" s="56" t="s">
        <v>82</v>
      </c>
      <c r="K1783" s="56">
        <v>521</v>
      </c>
      <c r="L1783" s="114" t="s">
        <v>176</v>
      </c>
      <c r="M1783" s="114" t="s">
        <v>2824</v>
      </c>
      <c r="N1783" s="115" t="s">
        <v>177</v>
      </c>
      <c r="O1783" s="114" t="s">
        <v>178</v>
      </c>
      <c r="P1783" s="115"/>
    </row>
    <row r="1784" spans="2:16">
      <c r="B1784" s="20">
        <v>45156</v>
      </c>
      <c r="C1784" s="59">
        <v>50369034</v>
      </c>
      <c r="D1784" s="55" t="s">
        <v>322</v>
      </c>
      <c r="E1784" s="67">
        <v>456</v>
      </c>
      <c r="F1784" s="67">
        <v>3</v>
      </c>
      <c r="G1784" s="102">
        <v>1497.55</v>
      </c>
      <c r="H1784" s="56" t="s">
        <v>82</v>
      </c>
      <c r="K1784" s="56">
        <v>521</v>
      </c>
      <c r="L1784" s="114" t="s">
        <v>176</v>
      </c>
      <c r="M1784" s="114" t="s">
        <v>2824</v>
      </c>
      <c r="N1784" s="115" t="s">
        <v>177</v>
      </c>
      <c r="O1784" s="114" t="s">
        <v>178</v>
      </c>
      <c r="P1784" s="115"/>
    </row>
    <row r="1785" spans="2:16">
      <c r="B1785" s="20">
        <v>45156</v>
      </c>
      <c r="C1785" s="59">
        <v>50272278</v>
      </c>
      <c r="D1785" s="55" t="s">
        <v>21</v>
      </c>
      <c r="E1785" s="67">
        <v>500</v>
      </c>
      <c r="F1785" s="67">
        <v>10</v>
      </c>
      <c r="G1785" s="102">
        <v>5000</v>
      </c>
      <c r="H1785" s="56" t="s">
        <v>92</v>
      </c>
      <c r="K1785" s="56">
        <v>521</v>
      </c>
      <c r="L1785" s="114" t="s">
        <v>176</v>
      </c>
      <c r="M1785" s="114" t="s">
        <v>2824</v>
      </c>
      <c r="N1785" s="115" t="s">
        <v>177</v>
      </c>
      <c r="O1785" s="114" t="s">
        <v>178</v>
      </c>
      <c r="P1785" s="115"/>
    </row>
    <row r="1786" spans="2:16">
      <c r="B1786" s="20">
        <v>45156</v>
      </c>
      <c r="C1786" s="59">
        <v>50142327</v>
      </c>
      <c r="D1786" s="55" t="s">
        <v>256</v>
      </c>
      <c r="E1786" s="67">
        <v>681</v>
      </c>
      <c r="F1786" s="67">
        <v>1</v>
      </c>
      <c r="G1786" s="102">
        <v>681</v>
      </c>
      <c r="H1786" s="56" t="s">
        <v>82</v>
      </c>
      <c r="K1786" s="56">
        <v>521</v>
      </c>
      <c r="L1786" s="114" t="s">
        <v>176</v>
      </c>
      <c r="M1786" s="114" t="s">
        <v>2824</v>
      </c>
      <c r="N1786" s="115" t="s">
        <v>177</v>
      </c>
      <c r="O1786" s="114" t="s">
        <v>178</v>
      </c>
      <c r="P1786" s="115"/>
    </row>
    <row r="1787" spans="2:16">
      <c r="B1787" s="20">
        <v>45156</v>
      </c>
      <c r="C1787" s="59">
        <v>50142334</v>
      </c>
      <c r="D1787" s="55" t="s">
        <v>257</v>
      </c>
      <c r="E1787" s="67">
        <v>681</v>
      </c>
      <c r="F1787" s="67">
        <v>1</v>
      </c>
      <c r="G1787" s="102">
        <v>681</v>
      </c>
      <c r="H1787" s="56" t="s">
        <v>82</v>
      </c>
      <c r="K1787" s="56">
        <v>521</v>
      </c>
      <c r="L1787" s="114" t="s">
        <v>176</v>
      </c>
      <c r="M1787" s="114" t="s">
        <v>2824</v>
      </c>
      <c r="N1787" s="115" t="s">
        <v>177</v>
      </c>
      <c r="O1787" s="114" t="s">
        <v>178</v>
      </c>
      <c r="P1787" s="115"/>
    </row>
    <row r="1788" spans="2:16">
      <c r="B1788" s="20">
        <v>45156</v>
      </c>
      <c r="C1788" s="59">
        <v>40011659</v>
      </c>
      <c r="D1788" s="55" t="s">
        <v>89</v>
      </c>
      <c r="E1788" s="67">
        <v>360</v>
      </c>
      <c r="F1788" s="67">
        <v>1</v>
      </c>
      <c r="G1788" s="102">
        <v>360</v>
      </c>
      <c r="H1788" s="56" t="s">
        <v>80</v>
      </c>
      <c r="K1788" s="56">
        <v>521</v>
      </c>
      <c r="L1788" s="114" t="s">
        <v>176</v>
      </c>
      <c r="M1788" s="114" t="s">
        <v>2824</v>
      </c>
      <c r="N1788" s="115" t="s">
        <v>177</v>
      </c>
      <c r="O1788" s="114" t="s">
        <v>178</v>
      </c>
      <c r="P1788" s="115"/>
    </row>
    <row r="1789" spans="2:16">
      <c r="B1789" s="20">
        <v>45159</v>
      </c>
      <c r="C1789" s="59">
        <v>50272278</v>
      </c>
      <c r="D1789" s="55" t="s">
        <v>21</v>
      </c>
      <c r="E1789" s="67">
        <v>500</v>
      </c>
      <c r="F1789" s="67">
        <v>12</v>
      </c>
      <c r="G1789" s="102">
        <v>6000</v>
      </c>
      <c r="H1789" s="56" t="s">
        <v>92</v>
      </c>
      <c r="K1789" s="56">
        <v>522</v>
      </c>
      <c r="L1789" s="114" t="s">
        <v>176</v>
      </c>
      <c r="M1789" s="114" t="s">
        <v>2824</v>
      </c>
      <c r="N1789" s="115" t="s">
        <v>177</v>
      </c>
      <c r="O1789" s="114" t="s">
        <v>178</v>
      </c>
      <c r="P1789" s="115"/>
    </row>
    <row r="1790" spans="2:16">
      <c r="B1790" s="20">
        <v>45159</v>
      </c>
      <c r="C1790" s="59">
        <v>50142237</v>
      </c>
      <c r="D1790" s="55" t="s">
        <v>617</v>
      </c>
      <c r="E1790" s="67">
        <v>1000</v>
      </c>
      <c r="F1790" s="67">
        <v>1</v>
      </c>
      <c r="G1790" s="102">
        <v>10000</v>
      </c>
      <c r="H1790" s="56" t="s">
        <v>92</v>
      </c>
      <c r="K1790" s="56">
        <v>522</v>
      </c>
      <c r="L1790" s="114" t="s">
        <v>176</v>
      </c>
      <c r="M1790" s="114" t="s">
        <v>2824</v>
      </c>
      <c r="N1790" s="115" t="s">
        <v>177</v>
      </c>
      <c r="O1790" s="114" t="s">
        <v>178</v>
      </c>
      <c r="P1790" s="115"/>
    </row>
    <row r="1791" spans="2:16">
      <c r="B1791" s="20">
        <v>45159</v>
      </c>
      <c r="C1791" s="59">
        <v>40007941</v>
      </c>
      <c r="D1791" s="55" t="s">
        <v>211</v>
      </c>
      <c r="E1791" s="67">
        <v>756</v>
      </c>
      <c r="F1791" s="67">
        <v>2</v>
      </c>
      <c r="G1791" s="102">
        <v>1512</v>
      </c>
      <c r="H1791" s="56" t="s">
        <v>80</v>
      </c>
      <c r="K1791" s="56">
        <v>522</v>
      </c>
      <c r="L1791" s="114" t="s">
        <v>176</v>
      </c>
      <c r="M1791" s="114" t="s">
        <v>2824</v>
      </c>
      <c r="N1791" s="115" t="s">
        <v>177</v>
      </c>
      <c r="O1791" s="114" t="s">
        <v>178</v>
      </c>
      <c r="P1791" s="115"/>
    </row>
    <row r="1792" spans="2:16">
      <c r="B1792" s="20">
        <v>45159</v>
      </c>
      <c r="C1792" s="59">
        <v>40011148</v>
      </c>
      <c r="D1792" s="55" t="s">
        <v>86</v>
      </c>
      <c r="E1792" s="67">
        <v>450</v>
      </c>
      <c r="F1792" s="67">
        <v>1</v>
      </c>
      <c r="G1792" s="102">
        <v>450</v>
      </c>
      <c r="H1792" s="56" t="s">
        <v>80</v>
      </c>
      <c r="K1792" s="56">
        <v>522</v>
      </c>
      <c r="L1792" s="114" t="s">
        <v>176</v>
      </c>
      <c r="M1792" s="114" t="s">
        <v>2824</v>
      </c>
      <c r="N1792" s="115" t="s">
        <v>177</v>
      </c>
      <c r="O1792" s="114" t="s">
        <v>178</v>
      </c>
      <c r="P1792" s="115"/>
    </row>
    <row r="1793" spans="2:16">
      <c r="B1793" s="20">
        <v>45159</v>
      </c>
      <c r="C1793" s="59">
        <v>50315365</v>
      </c>
      <c r="D1793" s="55" t="s">
        <v>584</v>
      </c>
      <c r="E1793" s="67">
        <v>264</v>
      </c>
      <c r="F1793" s="67">
        <v>2</v>
      </c>
      <c r="G1793" s="102">
        <v>528</v>
      </c>
      <c r="H1793" s="56" t="s">
        <v>80</v>
      </c>
      <c r="K1793" s="56">
        <v>522</v>
      </c>
      <c r="L1793" s="114" t="s">
        <v>176</v>
      </c>
      <c r="M1793" s="114" t="s">
        <v>2824</v>
      </c>
      <c r="N1793" s="115" t="s">
        <v>177</v>
      </c>
      <c r="O1793" s="114" t="s">
        <v>178</v>
      </c>
      <c r="P1793" s="115"/>
    </row>
    <row r="1794" spans="2:16">
      <c r="B1794" s="20">
        <v>45159</v>
      </c>
      <c r="C1794" s="59">
        <v>40011661</v>
      </c>
      <c r="D1794" s="55" t="s">
        <v>608</v>
      </c>
      <c r="E1794" s="67">
        <v>450</v>
      </c>
      <c r="F1794" s="67">
        <v>3</v>
      </c>
      <c r="G1794" s="102">
        <v>992.35</v>
      </c>
      <c r="H1794" s="56" t="s">
        <v>80</v>
      </c>
      <c r="K1794" s="56">
        <v>522</v>
      </c>
      <c r="L1794" s="114" t="s">
        <v>176</v>
      </c>
      <c r="M1794" s="114" t="s">
        <v>2824</v>
      </c>
      <c r="N1794" s="115" t="s">
        <v>177</v>
      </c>
      <c r="O1794" s="114" t="s">
        <v>178</v>
      </c>
      <c r="P1794" s="115"/>
    </row>
    <row r="1795" spans="2:16">
      <c r="B1795" s="20">
        <v>45159</v>
      </c>
      <c r="C1795" s="59">
        <v>50142327</v>
      </c>
      <c r="D1795" s="55" t="s">
        <v>256</v>
      </c>
      <c r="E1795" s="67">
        <v>681</v>
      </c>
      <c r="F1795" s="67">
        <v>1</v>
      </c>
      <c r="G1795" s="102">
        <v>681</v>
      </c>
      <c r="H1795" s="56" t="s">
        <v>82</v>
      </c>
      <c r="K1795" s="56">
        <v>522</v>
      </c>
      <c r="L1795" s="114" t="s">
        <v>176</v>
      </c>
      <c r="M1795" s="114" t="s">
        <v>2824</v>
      </c>
      <c r="N1795" s="115" t="s">
        <v>177</v>
      </c>
      <c r="O1795" s="114" t="s">
        <v>178</v>
      </c>
      <c r="P1795" s="115"/>
    </row>
    <row r="1796" spans="2:16">
      <c r="B1796" s="20">
        <v>45159</v>
      </c>
      <c r="C1796" s="59">
        <v>50142334</v>
      </c>
      <c r="D1796" s="55" t="s">
        <v>257</v>
      </c>
      <c r="E1796" s="67">
        <v>681</v>
      </c>
      <c r="F1796" s="67">
        <v>1</v>
      </c>
      <c r="G1796" s="102">
        <v>681</v>
      </c>
      <c r="H1796" s="56" t="s">
        <v>82</v>
      </c>
      <c r="K1796" s="56">
        <v>522</v>
      </c>
      <c r="L1796" s="114" t="s">
        <v>176</v>
      </c>
      <c r="M1796" s="114" t="s">
        <v>2824</v>
      </c>
      <c r="N1796" s="115" t="s">
        <v>177</v>
      </c>
      <c r="O1796" s="114" t="s">
        <v>178</v>
      </c>
      <c r="P1796" s="115"/>
    </row>
    <row r="1797" spans="2:16">
      <c r="B1797" s="20">
        <v>45160</v>
      </c>
      <c r="C1797" s="59">
        <v>40009546</v>
      </c>
      <c r="D1797" s="55" t="s">
        <v>174</v>
      </c>
      <c r="E1797" s="67">
        <v>756</v>
      </c>
      <c r="F1797" s="67">
        <v>2</v>
      </c>
      <c r="G1797" s="102">
        <v>1512</v>
      </c>
      <c r="H1797" s="56" t="s">
        <v>80</v>
      </c>
      <c r="K1797" s="56">
        <v>523</v>
      </c>
      <c r="L1797" s="114" t="s">
        <v>176</v>
      </c>
      <c r="M1797" s="114" t="s">
        <v>2824</v>
      </c>
      <c r="N1797" s="115" t="s">
        <v>177</v>
      </c>
      <c r="O1797" s="114" t="s">
        <v>178</v>
      </c>
      <c r="P1797" s="115"/>
    </row>
    <row r="1798" spans="2:16">
      <c r="B1798" s="20">
        <v>45160</v>
      </c>
      <c r="C1798" s="59">
        <v>50272278</v>
      </c>
      <c r="D1798" s="55" t="s">
        <v>21</v>
      </c>
      <c r="E1798" s="67">
        <v>500</v>
      </c>
      <c r="F1798" s="67">
        <v>4</v>
      </c>
      <c r="G1798" s="102">
        <v>2000</v>
      </c>
      <c r="H1798" s="56" t="s">
        <v>92</v>
      </c>
      <c r="K1798" s="56">
        <v>523</v>
      </c>
      <c r="L1798" s="114" t="s">
        <v>176</v>
      </c>
      <c r="M1798" s="114" t="s">
        <v>2824</v>
      </c>
      <c r="N1798" s="115" t="s">
        <v>177</v>
      </c>
      <c r="O1798" s="114" t="s">
        <v>178</v>
      </c>
      <c r="P1798" s="115"/>
    </row>
    <row r="1799" spans="2:16">
      <c r="B1799" s="20">
        <v>45160</v>
      </c>
      <c r="C1799" s="59">
        <v>40011080</v>
      </c>
      <c r="D1799" s="55" t="s">
        <v>420</v>
      </c>
      <c r="E1799" s="67">
        <v>450</v>
      </c>
      <c r="F1799" s="67">
        <v>1</v>
      </c>
      <c r="G1799" s="102">
        <v>450</v>
      </c>
      <c r="H1799" s="56" t="s">
        <v>80</v>
      </c>
      <c r="K1799" s="56">
        <v>523</v>
      </c>
      <c r="L1799" s="114" t="s">
        <v>176</v>
      </c>
      <c r="M1799" s="114" t="s">
        <v>2824</v>
      </c>
      <c r="N1799" s="115" t="s">
        <v>177</v>
      </c>
      <c r="O1799" s="114" t="s">
        <v>178</v>
      </c>
      <c r="P1799" s="115"/>
    </row>
    <row r="1800" spans="2:16">
      <c r="B1800" s="20">
        <v>45160</v>
      </c>
      <c r="C1800" s="59">
        <v>50470190</v>
      </c>
      <c r="D1800" s="55" t="s">
        <v>12</v>
      </c>
      <c r="E1800" s="67">
        <v>289800</v>
      </c>
      <c r="F1800" s="67">
        <v>10</v>
      </c>
      <c r="G1800" s="102">
        <v>2898000</v>
      </c>
      <c r="H1800" s="56" t="s">
        <v>92</v>
      </c>
      <c r="K1800" s="56">
        <v>523</v>
      </c>
      <c r="L1800" s="114" t="s">
        <v>176</v>
      </c>
      <c r="M1800" s="114" t="s">
        <v>2824</v>
      </c>
      <c r="N1800" s="115" t="s">
        <v>177</v>
      </c>
      <c r="O1800" s="114" t="s">
        <v>178</v>
      </c>
      <c r="P1800" s="115"/>
    </row>
    <row r="1801" spans="2:16">
      <c r="B1801" s="20">
        <v>45160</v>
      </c>
      <c r="C1801" s="59">
        <v>50809145</v>
      </c>
      <c r="D1801" s="55" t="s">
        <v>946</v>
      </c>
      <c r="E1801" s="67">
        <v>412</v>
      </c>
      <c r="F1801" s="67">
        <v>3</v>
      </c>
      <c r="G1801" s="102">
        <v>1477.2</v>
      </c>
      <c r="H1801" s="56" t="s">
        <v>82</v>
      </c>
      <c r="K1801" s="56">
        <v>523</v>
      </c>
      <c r="L1801" s="114" t="s">
        <v>176</v>
      </c>
      <c r="M1801" s="114" t="s">
        <v>2824</v>
      </c>
      <c r="N1801" s="115" t="s">
        <v>177</v>
      </c>
      <c r="O1801" s="114" t="s">
        <v>178</v>
      </c>
      <c r="P1801" s="115"/>
    </row>
    <row r="1802" spans="2:16">
      <c r="B1802" s="20">
        <v>45161</v>
      </c>
      <c r="C1802" s="59">
        <v>40009546</v>
      </c>
      <c r="D1802" s="55" t="s">
        <v>174</v>
      </c>
      <c r="E1802" s="67">
        <v>756</v>
      </c>
      <c r="F1802" s="67">
        <v>5</v>
      </c>
      <c r="G1802" s="102">
        <v>3780</v>
      </c>
      <c r="H1802" s="56" t="s">
        <v>80</v>
      </c>
      <c r="K1802" s="56">
        <v>524</v>
      </c>
      <c r="L1802" s="114" t="s">
        <v>176</v>
      </c>
      <c r="M1802" s="114" t="s">
        <v>2824</v>
      </c>
      <c r="N1802" s="115" t="s">
        <v>177</v>
      </c>
      <c r="O1802" s="114" t="s">
        <v>178</v>
      </c>
      <c r="P1802" s="115"/>
    </row>
    <row r="1803" spans="2:16">
      <c r="B1803" s="20">
        <v>45161</v>
      </c>
      <c r="C1803" s="59">
        <v>50144376</v>
      </c>
      <c r="D1803" s="55" t="s">
        <v>19</v>
      </c>
      <c r="E1803" s="67">
        <v>500</v>
      </c>
      <c r="F1803" s="67">
        <v>10</v>
      </c>
      <c r="G1803" s="102">
        <v>5000</v>
      </c>
      <c r="H1803" s="56" t="s">
        <v>92</v>
      </c>
      <c r="K1803" s="56">
        <v>524</v>
      </c>
      <c r="L1803" s="114" t="s">
        <v>176</v>
      </c>
      <c r="M1803" s="114" t="s">
        <v>2824</v>
      </c>
      <c r="N1803" s="115" t="s">
        <v>177</v>
      </c>
      <c r="O1803" s="114" t="s">
        <v>178</v>
      </c>
      <c r="P1803" s="115"/>
    </row>
    <row r="1804" spans="2:16">
      <c r="B1804" s="20">
        <v>45161</v>
      </c>
      <c r="C1804" s="59">
        <v>40007938</v>
      </c>
      <c r="D1804" s="55" t="s">
        <v>202</v>
      </c>
      <c r="E1804" s="67">
        <v>3940</v>
      </c>
      <c r="F1804" s="67">
        <v>1</v>
      </c>
      <c r="G1804" s="102">
        <v>3869</v>
      </c>
      <c r="H1804" s="56" t="s">
        <v>80</v>
      </c>
      <c r="K1804" s="56">
        <v>524</v>
      </c>
      <c r="L1804" s="114" t="s">
        <v>176</v>
      </c>
      <c r="M1804" s="114" t="s">
        <v>2824</v>
      </c>
      <c r="N1804" s="115" t="s">
        <v>177</v>
      </c>
      <c r="O1804" s="114" t="s">
        <v>178</v>
      </c>
      <c r="P1804" s="115"/>
    </row>
    <row r="1805" spans="2:16">
      <c r="B1805" s="20">
        <v>45161</v>
      </c>
      <c r="C1805" s="59">
        <v>40007855</v>
      </c>
      <c r="D1805" s="55" t="s">
        <v>84</v>
      </c>
      <c r="E1805" s="67">
        <v>588</v>
      </c>
      <c r="F1805" s="67">
        <v>1</v>
      </c>
      <c r="G1805" s="102">
        <v>588</v>
      </c>
      <c r="H1805" s="56" t="s">
        <v>80</v>
      </c>
      <c r="K1805" s="56">
        <v>524</v>
      </c>
      <c r="L1805" s="114" t="s">
        <v>176</v>
      </c>
      <c r="M1805" s="114" t="s">
        <v>2824</v>
      </c>
      <c r="N1805" s="115" t="s">
        <v>177</v>
      </c>
      <c r="O1805" s="114" t="s">
        <v>178</v>
      </c>
      <c r="P1805" s="115"/>
    </row>
    <row r="1806" spans="2:16">
      <c r="B1806" s="20">
        <v>45161</v>
      </c>
      <c r="C1806" s="59">
        <v>50337814</v>
      </c>
      <c r="D1806" s="55" t="s">
        <v>669</v>
      </c>
      <c r="E1806" s="67">
        <v>264</v>
      </c>
      <c r="F1806" s="67">
        <v>2</v>
      </c>
      <c r="G1806" s="102">
        <v>528</v>
      </c>
      <c r="H1806" s="56" t="s">
        <v>80</v>
      </c>
      <c r="K1806" s="56">
        <v>524</v>
      </c>
      <c r="L1806" s="114" t="s">
        <v>176</v>
      </c>
      <c r="M1806" s="114" t="s">
        <v>2824</v>
      </c>
      <c r="N1806" s="115" t="s">
        <v>177</v>
      </c>
      <c r="O1806" s="114" t="s">
        <v>178</v>
      </c>
      <c r="P1806" s="115"/>
    </row>
    <row r="1807" spans="2:16">
      <c r="B1807" s="20">
        <v>45161</v>
      </c>
      <c r="C1807" s="59">
        <v>40011659</v>
      </c>
      <c r="D1807" s="55" t="s">
        <v>89</v>
      </c>
      <c r="E1807" s="67">
        <v>360</v>
      </c>
      <c r="F1807" s="67">
        <v>3</v>
      </c>
      <c r="G1807" s="102">
        <v>1080</v>
      </c>
      <c r="H1807" s="56" t="s">
        <v>80</v>
      </c>
      <c r="K1807" s="56">
        <v>524</v>
      </c>
      <c r="L1807" s="114" t="s">
        <v>176</v>
      </c>
      <c r="M1807" s="114" t="s">
        <v>2824</v>
      </c>
      <c r="N1807" s="115" t="s">
        <v>177</v>
      </c>
      <c r="O1807" s="114" t="s">
        <v>178</v>
      </c>
      <c r="P1807" s="115"/>
    </row>
    <row r="1808" spans="2:16">
      <c r="B1808" s="20">
        <v>45162</v>
      </c>
      <c r="C1808" s="59">
        <v>50142055</v>
      </c>
      <c r="D1808" s="55" t="s">
        <v>206</v>
      </c>
      <c r="E1808" s="67">
        <v>600</v>
      </c>
      <c r="F1808" s="67">
        <v>5</v>
      </c>
      <c r="G1808" s="102">
        <v>3000</v>
      </c>
      <c r="H1808" s="56" t="s">
        <v>82</v>
      </c>
      <c r="K1808" s="56">
        <v>525</v>
      </c>
      <c r="L1808" s="114" t="s">
        <v>176</v>
      </c>
      <c r="M1808" s="114" t="s">
        <v>2824</v>
      </c>
      <c r="N1808" s="115" t="s">
        <v>177</v>
      </c>
      <c r="O1808" s="114" t="s">
        <v>178</v>
      </c>
      <c r="P1808" s="115"/>
    </row>
    <row r="1809" spans="2:16">
      <c r="B1809" s="20">
        <v>45162</v>
      </c>
      <c r="C1809" s="59">
        <v>50010080</v>
      </c>
      <c r="D1809" s="55" t="s">
        <v>354</v>
      </c>
      <c r="E1809" s="67">
        <v>1000</v>
      </c>
      <c r="F1809" s="67">
        <v>2</v>
      </c>
      <c r="G1809" s="102">
        <v>2000</v>
      </c>
      <c r="H1809" s="56" t="s">
        <v>82</v>
      </c>
      <c r="K1809" s="56">
        <v>525</v>
      </c>
      <c r="L1809" s="114" t="s">
        <v>176</v>
      </c>
      <c r="M1809" s="114" t="s">
        <v>2824</v>
      </c>
      <c r="N1809" s="115" t="s">
        <v>177</v>
      </c>
      <c r="O1809" s="114" t="s">
        <v>178</v>
      </c>
      <c r="P1809" s="115"/>
    </row>
    <row r="1810" spans="2:16">
      <c r="B1810" s="20">
        <v>45162</v>
      </c>
      <c r="C1810" s="59">
        <v>50272278</v>
      </c>
      <c r="D1810" s="55" t="s">
        <v>21</v>
      </c>
      <c r="E1810" s="67">
        <v>500</v>
      </c>
      <c r="F1810" s="67">
        <v>5</v>
      </c>
      <c r="G1810" s="102">
        <v>2500</v>
      </c>
      <c r="H1810" s="56" t="s">
        <v>92</v>
      </c>
      <c r="K1810" s="56">
        <v>525</v>
      </c>
      <c r="L1810" s="114" t="s">
        <v>176</v>
      </c>
      <c r="M1810" s="114" t="s">
        <v>2824</v>
      </c>
      <c r="N1810" s="115" t="s">
        <v>177</v>
      </c>
      <c r="O1810" s="114" t="s">
        <v>178</v>
      </c>
      <c r="P1810" s="115"/>
    </row>
    <row r="1811" spans="2:16">
      <c r="B1811" s="20">
        <v>45162</v>
      </c>
      <c r="C1811" s="59">
        <v>50232060</v>
      </c>
      <c r="D1811" s="55" t="s">
        <v>361</v>
      </c>
      <c r="E1811" s="67">
        <v>264</v>
      </c>
      <c r="F1811" s="67">
        <v>3</v>
      </c>
      <c r="G1811" s="102">
        <v>792000</v>
      </c>
      <c r="H1811" s="56" t="s">
        <v>92</v>
      </c>
      <c r="K1811" s="56">
        <v>525</v>
      </c>
      <c r="L1811" s="114" t="s">
        <v>176</v>
      </c>
      <c r="M1811" s="114" t="s">
        <v>2824</v>
      </c>
      <c r="N1811" s="115" t="s">
        <v>177</v>
      </c>
      <c r="O1811" s="114" t="s">
        <v>178</v>
      </c>
      <c r="P1811" s="115"/>
    </row>
    <row r="1812" spans="2:16">
      <c r="B1812" s="20">
        <v>45162</v>
      </c>
      <c r="C1812" s="59">
        <v>50142327</v>
      </c>
      <c r="D1812" s="55" t="s">
        <v>256</v>
      </c>
      <c r="E1812" s="67">
        <v>681</v>
      </c>
      <c r="F1812" s="67">
        <v>1</v>
      </c>
      <c r="G1812" s="102">
        <v>681</v>
      </c>
      <c r="H1812" s="56" t="s">
        <v>82</v>
      </c>
      <c r="K1812" s="56">
        <v>525</v>
      </c>
      <c r="L1812" s="114" t="s">
        <v>176</v>
      </c>
      <c r="M1812" s="114" t="s">
        <v>2824</v>
      </c>
      <c r="N1812" s="115" t="s">
        <v>177</v>
      </c>
      <c r="O1812" s="114" t="s">
        <v>178</v>
      </c>
      <c r="P1812" s="115"/>
    </row>
    <row r="1813" spans="2:16">
      <c r="B1813" s="20">
        <v>45162</v>
      </c>
      <c r="C1813" s="59">
        <v>50142334</v>
      </c>
      <c r="D1813" s="55" t="s">
        <v>257</v>
      </c>
      <c r="E1813" s="67">
        <v>681</v>
      </c>
      <c r="F1813" s="67">
        <v>1</v>
      </c>
      <c r="G1813" s="102">
        <v>681</v>
      </c>
      <c r="H1813" s="56" t="s">
        <v>82</v>
      </c>
      <c r="K1813" s="56">
        <v>525</v>
      </c>
      <c r="L1813" s="114" t="s">
        <v>176</v>
      </c>
      <c r="M1813" s="114" t="s">
        <v>2824</v>
      </c>
      <c r="N1813" s="115" t="s">
        <v>177</v>
      </c>
      <c r="O1813" s="114" t="s">
        <v>178</v>
      </c>
      <c r="P1813" s="115"/>
    </row>
    <row r="1814" spans="2:16">
      <c r="B1814" s="20">
        <v>45162</v>
      </c>
      <c r="C1814" s="59">
        <v>50812974</v>
      </c>
      <c r="D1814" s="55" t="s">
        <v>822</v>
      </c>
      <c r="E1814" s="67">
        <v>289800</v>
      </c>
      <c r="F1814" s="67">
        <v>4</v>
      </c>
      <c r="G1814" s="102">
        <v>1159200</v>
      </c>
      <c r="H1814" s="56" t="s">
        <v>92</v>
      </c>
      <c r="K1814" s="56">
        <v>525</v>
      </c>
      <c r="L1814" s="114" t="s">
        <v>176</v>
      </c>
      <c r="M1814" s="114" t="s">
        <v>2824</v>
      </c>
      <c r="N1814" s="115" t="s">
        <v>177</v>
      </c>
      <c r="O1814" s="114" t="s">
        <v>178</v>
      </c>
      <c r="P1814" s="115"/>
    </row>
    <row r="1815" spans="2:16">
      <c r="B1815" s="20">
        <v>45162</v>
      </c>
      <c r="C1815" s="59">
        <v>50010080</v>
      </c>
      <c r="D1815" s="55" t="s">
        <v>354</v>
      </c>
      <c r="E1815" s="67">
        <v>1000</v>
      </c>
      <c r="F1815" s="67">
        <v>1</v>
      </c>
      <c r="G1815" s="102">
        <v>1000</v>
      </c>
      <c r="H1815" s="56" t="s">
        <v>82</v>
      </c>
      <c r="K1815" s="56">
        <v>526</v>
      </c>
      <c r="L1815" s="114" t="s">
        <v>176</v>
      </c>
      <c r="M1815" s="114" t="s">
        <v>2824</v>
      </c>
      <c r="N1815" s="115" t="s">
        <v>177</v>
      </c>
      <c r="O1815" s="114" t="s">
        <v>178</v>
      </c>
      <c r="P1815" s="115"/>
    </row>
    <row r="1816" spans="2:16">
      <c r="B1816" s="20">
        <v>45162</v>
      </c>
      <c r="C1816" s="59">
        <v>50369034</v>
      </c>
      <c r="D1816" s="55" t="s">
        <v>322</v>
      </c>
      <c r="E1816" s="67">
        <v>489</v>
      </c>
      <c r="F1816" s="67">
        <v>8</v>
      </c>
      <c r="G1816" s="102">
        <v>4008.4</v>
      </c>
      <c r="H1816" s="56" t="s">
        <v>82</v>
      </c>
      <c r="K1816" s="56">
        <v>526</v>
      </c>
      <c r="L1816" s="114" t="s">
        <v>176</v>
      </c>
      <c r="M1816" s="114" t="s">
        <v>2824</v>
      </c>
      <c r="N1816" s="115" t="s">
        <v>177</v>
      </c>
      <c r="O1816" s="114" t="s">
        <v>178</v>
      </c>
      <c r="P1816" s="115"/>
    </row>
    <row r="1817" spans="2:16">
      <c r="B1817" s="20">
        <v>45162</v>
      </c>
      <c r="C1817" s="59">
        <v>50277308</v>
      </c>
      <c r="D1817" s="55" t="s">
        <v>339</v>
      </c>
      <c r="E1817" s="67">
        <v>272</v>
      </c>
      <c r="F1817" s="67">
        <v>1</v>
      </c>
      <c r="G1817" s="102">
        <v>272</v>
      </c>
      <c r="H1817" s="56" t="s">
        <v>82</v>
      </c>
      <c r="K1817" s="56">
        <v>526</v>
      </c>
      <c r="L1817" s="114" t="s">
        <v>176</v>
      </c>
      <c r="M1817" s="114" t="s">
        <v>2824</v>
      </c>
      <c r="N1817" s="115" t="s">
        <v>177</v>
      </c>
      <c r="O1817" s="114" t="s">
        <v>178</v>
      </c>
      <c r="P1817" s="115"/>
    </row>
    <row r="1818" spans="2:16">
      <c r="B1818" s="20">
        <v>45162</v>
      </c>
      <c r="C1818" s="59">
        <v>50142551</v>
      </c>
      <c r="D1818" s="55" t="s">
        <v>215</v>
      </c>
      <c r="E1818" s="67">
        <v>100</v>
      </c>
      <c r="F1818" s="67">
        <v>1</v>
      </c>
      <c r="G1818" s="102">
        <v>100</v>
      </c>
      <c r="H1818" s="56" t="s">
        <v>92</v>
      </c>
      <c r="K1818" s="56">
        <v>526</v>
      </c>
      <c r="L1818" s="114" t="s">
        <v>176</v>
      </c>
      <c r="M1818" s="114" t="s">
        <v>2824</v>
      </c>
      <c r="N1818" s="115" t="s">
        <v>177</v>
      </c>
      <c r="O1818" s="114" t="s">
        <v>178</v>
      </c>
      <c r="P1818" s="115"/>
    </row>
    <row r="1819" spans="2:16">
      <c r="B1819" s="20">
        <v>45162</v>
      </c>
      <c r="C1819" s="59">
        <v>50142455</v>
      </c>
      <c r="D1819" s="55" t="s">
        <v>560</v>
      </c>
      <c r="E1819" s="67">
        <v>100</v>
      </c>
      <c r="F1819" s="67">
        <v>1</v>
      </c>
      <c r="G1819" s="102">
        <v>100</v>
      </c>
      <c r="H1819" s="56" t="s">
        <v>92</v>
      </c>
      <c r="K1819" s="56">
        <v>526</v>
      </c>
      <c r="L1819" s="114" t="s">
        <v>176</v>
      </c>
      <c r="M1819" s="114" t="s">
        <v>2824</v>
      </c>
      <c r="N1819" s="115" t="s">
        <v>177</v>
      </c>
      <c r="O1819" s="114" t="s">
        <v>178</v>
      </c>
      <c r="P1819" s="115"/>
    </row>
    <row r="1820" spans="2:16">
      <c r="B1820" s="20">
        <v>45162</v>
      </c>
      <c r="C1820" s="59">
        <v>40011148</v>
      </c>
      <c r="D1820" s="55" t="s">
        <v>86</v>
      </c>
      <c r="E1820" s="67">
        <v>450</v>
      </c>
      <c r="F1820" s="67">
        <v>4</v>
      </c>
      <c r="G1820" s="102">
        <v>1800</v>
      </c>
      <c r="H1820" s="56" t="s">
        <v>80</v>
      </c>
      <c r="K1820" s="56">
        <v>526</v>
      </c>
      <c r="L1820" s="114" t="s">
        <v>176</v>
      </c>
      <c r="M1820" s="114" t="s">
        <v>2824</v>
      </c>
      <c r="N1820" s="115" t="s">
        <v>177</v>
      </c>
      <c r="O1820" s="114" t="s">
        <v>178</v>
      </c>
      <c r="P1820" s="115"/>
    </row>
    <row r="1821" spans="2:16">
      <c r="B1821" s="20">
        <v>45162</v>
      </c>
      <c r="C1821" s="59">
        <v>50507916</v>
      </c>
      <c r="D1821" s="55" t="s">
        <v>406</v>
      </c>
      <c r="E1821" s="67">
        <v>264</v>
      </c>
      <c r="F1821" s="67">
        <v>6</v>
      </c>
      <c r="G1821" s="102">
        <v>1543000</v>
      </c>
      <c r="H1821" s="56" t="s">
        <v>92</v>
      </c>
      <c r="K1821" s="56">
        <v>526</v>
      </c>
      <c r="L1821" s="114" t="s">
        <v>176</v>
      </c>
      <c r="M1821" s="114" t="s">
        <v>2824</v>
      </c>
      <c r="N1821" s="115" t="s">
        <v>177</v>
      </c>
      <c r="O1821" s="114" t="s">
        <v>178</v>
      </c>
      <c r="P1821" s="115"/>
    </row>
    <row r="1822" spans="2:16">
      <c r="B1822" s="20">
        <v>45163</v>
      </c>
      <c r="C1822" s="59">
        <v>50522164</v>
      </c>
      <c r="D1822" s="55" t="s">
        <v>439</v>
      </c>
      <c r="E1822" s="67">
        <v>662.25</v>
      </c>
      <c r="F1822" s="67">
        <v>1</v>
      </c>
      <c r="G1822" s="102">
        <v>662.25</v>
      </c>
      <c r="H1822" s="56" t="s">
        <v>82</v>
      </c>
      <c r="K1822" s="56">
        <v>527</v>
      </c>
      <c r="L1822" s="114" t="s">
        <v>176</v>
      </c>
      <c r="M1822" s="114" t="s">
        <v>2824</v>
      </c>
      <c r="N1822" s="115" t="s">
        <v>177</v>
      </c>
      <c r="O1822" s="114" t="s">
        <v>178</v>
      </c>
      <c r="P1822" s="115"/>
    </row>
    <row r="1823" spans="2:16">
      <c r="B1823" s="20">
        <v>45163</v>
      </c>
      <c r="C1823" s="59">
        <v>50145028</v>
      </c>
      <c r="D1823" s="55" t="s">
        <v>23</v>
      </c>
      <c r="E1823" s="67">
        <v>192</v>
      </c>
      <c r="F1823" s="67">
        <v>1</v>
      </c>
      <c r="G1823" s="102">
        <v>192</v>
      </c>
      <c r="H1823" s="56" t="s">
        <v>92</v>
      </c>
      <c r="K1823" s="56">
        <v>527</v>
      </c>
      <c r="L1823" s="114" t="s">
        <v>176</v>
      </c>
      <c r="M1823" s="114" t="s">
        <v>2824</v>
      </c>
      <c r="N1823" s="115" t="s">
        <v>177</v>
      </c>
      <c r="O1823" s="114" t="s">
        <v>178</v>
      </c>
      <c r="P1823" s="115"/>
    </row>
    <row r="1824" spans="2:16">
      <c r="B1824" s="20">
        <v>45163</v>
      </c>
      <c r="C1824" s="59">
        <v>20016185</v>
      </c>
      <c r="D1824" s="55" t="s">
        <v>285</v>
      </c>
      <c r="E1824" s="67">
        <v>1000</v>
      </c>
      <c r="F1824" s="67">
        <v>1</v>
      </c>
      <c r="G1824" s="102">
        <v>10000</v>
      </c>
      <c r="H1824" s="56" t="s">
        <v>92</v>
      </c>
      <c r="K1824" s="56">
        <v>527</v>
      </c>
      <c r="L1824" s="114" t="s">
        <v>176</v>
      </c>
      <c r="M1824" s="114" t="s">
        <v>2824</v>
      </c>
      <c r="N1824" s="115" t="s">
        <v>177</v>
      </c>
      <c r="O1824" s="114" t="s">
        <v>178</v>
      </c>
      <c r="P1824" s="115"/>
    </row>
    <row r="1825" spans="2:16">
      <c r="B1825" s="20">
        <v>45163</v>
      </c>
      <c r="C1825" s="59">
        <v>50144376</v>
      </c>
      <c r="D1825" s="55" t="s">
        <v>19</v>
      </c>
      <c r="E1825" s="67">
        <v>500</v>
      </c>
      <c r="F1825" s="67">
        <v>9</v>
      </c>
      <c r="G1825" s="102">
        <v>4500</v>
      </c>
      <c r="H1825" s="56" t="s">
        <v>92</v>
      </c>
      <c r="K1825" s="56">
        <v>527</v>
      </c>
      <c r="L1825" s="114" t="s">
        <v>176</v>
      </c>
      <c r="M1825" s="114" t="s">
        <v>2824</v>
      </c>
      <c r="N1825" s="115" t="s">
        <v>177</v>
      </c>
      <c r="O1825" s="114" t="s">
        <v>178</v>
      </c>
      <c r="P1825" s="115"/>
    </row>
    <row r="1826" spans="2:16">
      <c r="B1826" s="20">
        <v>45163</v>
      </c>
      <c r="C1826" s="59">
        <v>50141533</v>
      </c>
      <c r="D1826" s="55" t="s">
        <v>494</v>
      </c>
      <c r="E1826" s="67">
        <v>1250</v>
      </c>
      <c r="F1826" s="67">
        <v>1</v>
      </c>
      <c r="G1826" s="102">
        <v>1250</v>
      </c>
      <c r="H1826" s="56" t="s">
        <v>82</v>
      </c>
      <c r="K1826" s="56">
        <v>527</v>
      </c>
      <c r="L1826" s="114" t="s">
        <v>176</v>
      </c>
      <c r="M1826" s="114" t="s">
        <v>2824</v>
      </c>
      <c r="N1826" s="115" t="s">
        <v>177</v>
      </c>
      <c r="O1826" s="114" t="s">
        <v>178</v>
      </c>
      <c r="P1826" s="115"/>
    </row>
    <row r="1827" spans="2:16">
      <c r="B1827" s="20">
        <v>45163</v>
      </c>
      <c r="C1827" s="59">
        <v>50145029</v>
      </c>
      <c r="D1827" s="55" t="s">
        <v>705</v>
      </c>
      <c r="E1827" s="67">
        <v>24</v>
      </c>
      <c r="F1827" s="67">
        <v>1</v>
      </c>
      <c r="G1827" s="102">
        <v>24</v>
      </c>
      <c r="H1827" s="56" t="s">
        <v>505</v>
      </c>
      <c r="K1827" s="56">
        <v>527</v>
      </c>
      <c r="L1827" s="114" t="s">
        <v>176</v>
      </c>
      <c r="M1827" s="114" t="s">
        <v>2824</v>
      </c>
      <c r="N1827" s="115" t="s">
        <v>177</v>
      </c>
      <c r="O1827" s="114" t="s">
        <v>178</v>
      </c>
      <c r="P1827" s="115"/>
    </row>
    <row r="1828" spans="2:16">
      <c r="B1828" s="20">
        <v>45163</v>
      </c>
      <c r="C1828" s="59">
        <v>50392046</v>
      </c>
      <c r="D1828" s="55" t="s">
        <v>509</v>
      </c>
      <c r="E1828" s="67">
        <v>24</v>
      </c>
      <c r="F1828" s="67">
        <v>1</v>
      </c>
      <c r="G1828" s="102">
        <v>24</v>
      </c>
      <c r="H1828" s="99" t="s">
        <v>505</v>
      </c>
      <c r="K1828" s="56">
        <v>527</v>
      </c>
      <c r="L1828" s="114" t="s">
        <v>176</v>
      </c>
      <c r="M1828" s="114" t="s">
        <v>2824</v>
      </c>
      <c r="N1828" s="115" t="s">
        <v>177</v>
      </c>
      <c r="O1828" s="114" t="s">
        <v>178</v>
      </c>
      <c r="P1828" s="115"/>
    </row>
    <row r="1829" spans="2:16">
      <c r="B1829" s="20">
        <v>45163</v>
      </c>
      <c r="C1829" s="59">
        <v>50809145</v>
      </c>
      <c r="D1829" s="55" t="s">
        <v>946</v>
      </c>
      <c r="E1829" s="67">
        <v>456</v>
      </c>
      <c r="F1829" s="67">
        <v>10</v>
      </c>
      <c r="G1829" s="102">
        <v>4972.95</v>
      </c>
      <c r="H1829" s="56" t="s">
        <v>82</v>
      </c>
      <c r="K1829" s="56">
        <v>527</v>
      </c>
      <c r="L1829" s="114" t="s">
        <v>176</v>
      </c>
      <c r="M1829" s="114" t="s">
        <v>2824</v>
      </c>
      <c r="N1829" s="115" t="s">
        <v>177</v>
      </c>
      <c r="O1829" s="114" t="s">
        <v>178</v>
      </c>
      <c r="P1829" s="115"/>
    </row>
    <row r="1830" spans="2:16">
      <c r="B1830" s="20">
        <v>45166</v>
      </c>
      <c r="C1830" s="59">
        <v>50144376</v>
      </c>
      <c r="D1830" s="55" t="s">
        <v>19</v>
      </c>
      <c r="E1830" s="67">
        <v>500</v>
      </c>
      <c r="F1830" s="67">
        <v>8</v>
      </c>
      <c r="G1830" s="102">
        <v>4000</v>
      </c>
      <c r="H1830" s="56" t="s">
        <v>92</v>
      </c>
      <c r="K1830" s="56">
        <v>528</v>
      </c>
      <c r="L1830" s="114" t="s">
        <v>176</v>
      </c>
      <c r="M1830" s="114" t="s">
        <v>2824</v>
      </c>
      <c r="N1830" s="115" t="s">
        <v>177</v>
      </c>
      <c r="O1830" s="114" t="s">
        <v>178</v>
      </c>
      <c r="P1830" s="115"/>
    </row>
    <row r="1831" spans="2:16">
      <c r="B1831" s="20">
        <v>45166</v>
      </c>
      <c r="C1831" s="59">
        <v>50272278</v>
      </c>
      <c r="D1831" s="55" t="s">
        <v>21</v>
      </c>
      <c r="E1831" s="67">
        <v>500</v>
      </c>
      <c r="F1831" s="67">
        <v>14</v>
      </c>
      <c r="G1831" s="102">
        <v>7000</v>
      </c>
      <c r="H1831" s="56" t="s">
        <v>92</v>
      </c>
      <c r="K1831" s="56">
        <v>529</v>
      </c>
      <c r="L1831" s="114" t="s">
        <v>176</v>
      </c>
      <c r="M1831" s="114" t="s">
        <v>2824</v>
      </c>
      <c r="N1831" s="115" t="s">
        <v>177</v>
      </c>
      <c r="O1831" s="114" t="s">
        <v>178</v>
      </c>
      <c r="P1831" s="115"/>
    </row>
    <row r="1832" spans="2:16">
      <c r="B1832" s="20">
        <v>45166</v>
      </c>
      <c r="C1832" s="59">
        <v>50142631</v>
      </c>
      <c r="D1832" s="55" t="s">
        <v>566</v>
      </c>
      <c r="E1832" s="67">
        <v>1500</v>
      </c>
      <c r="F1832" s="67">
        <v>2</v>
      </c>
      <c r="G1832" s="102">
        <v>1500</v>
      </c>
      <c r="H1832" s="56" t="s">
        <v>82</v>
      </c>
      <c r="K1832" s="56">
        <v>529</v>
      </c>
      <c r="L1832" s="114" t="s">
        <v>176</v>
      </c>
      <c r="M1832" s="114" t="s">
        <v>2824</v>
      </c>
      <c r="N1832" s="115" t="s">
        <v>177</v>
      </c>
      <c r="O1832" s="114" t="s">
        <v>178</v>
      </c>
      <c r="P1832" s="115"/>
    </row>
    <row r="1833" spans="2:16">
      <c r="B1833" s="20">
        <v>45166</v>
      </c>
      <c r="C1833" s="59">
        <v>50144376</v>
      </c>
      <c r="D1833" s="55" t="s">
        <v>19</v>
      </c>
      <c r="E1833" s="67">
        <v>500</v>
      </c>
      <c r="F1833" s="67">
        <v>4</v>
      </c>
      <c r="G1833" s="102">
        <v>2000</v>
      </c>
      <c r="H1833" s="56" t="s">
        <v>92</v>
      </c>
      <c r="K1833" s="56">
        <v>529</v>
      </c>
      <c r="L1833" s="114" t="s">
        <v>176</v>
      </c>
      <c r="M1833" s="114" t="s">
        <v>2824</v>
      </c>
      <c r="N1833" s="115" t="s">
        <v>177</v>
      </c>
      <c r="O1833" s="114" t="s">
        <v>178</v>
      </c>
      <c r="P1833" s="115"/>
    </row>
    <row r="1834" spans="2:16">
      <c r="B1834" s="20">
        <v>45166</v>
      </c>
      <c r="C1834" s="59">
        <v>50272278</v>
      </c>
      <c r="D1834" s="55" t="s">
        <v>21</v>
      </c>
      <c r="E1834" s="67">
        <v>500</v>
      </c>
      <c r="F1834" s="67">
        <v>5</v>
      </c>
      <c r="G1834" s="102">
        <v>2500</v>
      </c>
      <c r="H1834" s="56" t="s">
        <v>92</v>
      </c>
      <c r="K1834" s="56">
        <v>529</v>
      </c>
      <c r="L1834" s="114" t="s">
        <v>176</v>
      </c>
      <c r="M1834" s="114" t="s">
        <v>2824</v>
      </c>
      <c r="N1834" s="115" t="s">
        <v>177</v>
      </c>
      <c r="O1834" s="114" t="s">
        <v>178</v>
      </c>
      <c r="P1834" s="115"/>
    </row>
    <row r="1835" spans="2:16">
      <c r="B1835" s="20">
        <v>45166</v>
      </c>
      <c r="C1835" s="59">
        <v>50470190</v>
      </c>
      <c r="D1835" s="55" t="s">
        <v>12</v>
      </c>
      <c r="E1835" s="67">
        <v>289800</v>
      </c>
      <c r="F1835" s="67">
        <v>6</v>
      </c>
      <c r="G1835" s="102">
        <v>1738800</v>
      </c>
      <c r="H1835" s="56" t="s">
        <v>92</v>
      </c>
      <c r="K1835" s="56">
        <v>529</v>
      </c>
      <c r="L1835" s="114" t="s">
        <v>176</v>
      </c>
      <c r="M1835" s="114" t="s">
        <v>2824</v>
      </c>
      <c r="N1835" s="115" t="s">
        <v>177</v>
      </c>
      <c r="O1835" s="114" t="s">
        <v>178</v>
      </c>
      <c r="P1835" s="115"/>
    </row>
    <row r="1836" spans="2:16">
      <c r="B1836" s="20">
        <v>45166</v>
      </c>
      <c r="C1836" s="59">
        <v>50812974</v>
      </c>
      <c r="D1836" s="55" t="s">
        <v>822</v>
      </c>
      <c r="E1836" s="67">
        <v>289800</v>
      </c>
      <c r="F1836" s="67">
        <v>3</v>
      </c>
      <c r="G1836" s="102">
        <v>869400</v>
      </c>
      <c r="H1836" s="56" t="s">
        <v>92</v>
      </c>
      <c r="K1836" s="56">
        <v>529</v>
      </c>
      <c r="L1836" s="114" t="s">
        <v>176</v>
      </c>
      <c r="M1836" s="114" t="s">
        <v>2824</v>
      </c>
      <c r="N1836" s="115" t="s">
        <v>177</v>
      </c>
      <c r="O1836" s="114" t="s">
        <v>178</v>
      </c>
      <c r="P1836" s="115"/>
    </row>
    <row r="1837" spans="2:16">
      <c r="B1837" s="20">
        <v>45167</v>
      </c>
      <c r="C1837" s="59">
        <v>50144376</v>
      </c>
      <c r="D1837" s="55" t="s">
        <v>19</v>
      </c>
      <c r="E1837" s="67">
        <v>500</v>
      </c>
      <c r="F1837" s="67">
        <v>11</v>
      </c>
      <c r="G1837" s="102">
        <v>5500</v>
      </c>
      <c r="H1837" s="56" t="s">
        <v>92</v>
      </c>
      <c r="K1837" s="56">
        <v>530</v>
      </c>
      <c r="L1837" s="114" t="s">
        <v>176</v>
      </c>
      <c r="M1837" s="114" t="s">
        <v>2824</v>
      </c>
      <c r="N1837" s="115" t="s">
        <v>177</v>
      </c>
      <c r="O1837" s="114" t="s">
        <v>178</v>
      </c>
      <c r="P1837" s="115"/>
    </row>
    <row r="1838" spans="2:16">
      <c r="B1838" s="20">
        <v>45167</v>
      </c>
      <c r="C1838" s="59">
        <v>50507916</v>
      </c>
      <c r="D1838" s="55" t="s">
        <v>406</v>
      </c>
      <c r="E1838" s="67">
        <v>264000</v>
      </c>
      <c r="F1838" s="67">
        <v>8</v>
      </c>
      <c r="G1838" s="102">
        <v>2112000</v>
      </c>
      <c r="H1838" s="56" t="s">
        <v>92</v>
      </c>
      <c r="K1838" s="56">
        <v>530</v>
      </c>
      <c r="L1838" s="114" t="s">
        <v>176</v>
      </c>
      <c r="M1838" s="114" t="s">
        <v>2824</v>
      </c>
      <c r="N1838" s="115" t="s">
        <v>177</v>
      </c>
      <c r="O1838" s="114" t="s">
        <v>178</v>
      </c>
      <c r="P1838" s="115"/>
    </row>
    <row r="1839" spans="2:16">
      <c r="B1839" s="20">
        <v>45167</v>
      </c>
      <c r="C1839" s="59">
        <v>50142327</v>
      </c>
      <c r="D1839" s="55" t="s">
        <v>256</v>
      </c>
      <c r="E1839" s="67">
        <v>681</v>
      </c>
      <c r="F1839" s="67">
        <v>1</v>
      </c>
      <c r="G1839" s="102">
        <v>681</v>
      </c>
      <c r="H1839" s="56" t="s">
        <v>82</v>
      </c>
      <c r="K1839" s="56">
        <v>530</v>
      </c>
      <c r="L1839" s="114" t="s">
        <v>176</v>
      </c>
      <c r="M1839" s="114" t="s">
        <v>2824</v>
      </c>
      <c r="N1839" s="115" t="s">
        <v>177</v>
      </c>
      <c r="O1839" s="114" t="s">
        <v>178</v>
      </c>
      <c r="P1839" s="115"/>
    </row>
    <row r="1840" spans="2:16">
      <c r="B1840" s="20">
        <v>45167</v>
      </c>
      <c r="C1840" s="59">
        <v>50142334</v>
      </c>
      <c r="D1840" s="55" t="s">
        <v>257</v>
      </c>
      <c r="E1840" s="67">
        <v>681</v>
      </c>
      <c r="F1840" s="67">
        <v>2</v>
      </c>
      <c r="G1840" s="102">
        <v>1362</v>
      </c>
      <c r="H1840" s="56" t="s">
        <v>82</v>
      </c>
      <c r="K1840" s="56">
        <v>530</v>
      </c>
      <c r="L1840" s="114" t="s">
        <v>176</v>
      </c>
      <c r="M1840" s="114" t="s">
        <v>2824</v>
      </c>
      <c r="N1840" s="115" t="s">
        <v>177</v>
      </c>
      <c r="O1840" s="114" t="s">
        <v>178</v>
      </c>
      <c r="P1840" s="115"/>
    </row>
    <row r="1841" spans="2:16">
      <c r="B1841" s="20">
        <v>45168</v>
      </c>
      <c r="C1841" s="59">
        <v>50272278</v>
      </c>
      <c r="D1841" s="55" t="s">
        <v>21</v>
      </c>
      <c r="E1841" s="67">
        <v>500</v>
      </c>
      <c r="F1841" s="67">
        <v>10</v>
      </c>
      <c r="G1841" s="102">
        <v>5000</v>
      </c>
      <c r="H1841" s="56" t="s">
        <v>92</v>
      </c>
      <c r="K1841" s="56">
        <v>531</v>
      </c>
      <c r="L1841" s="114" t="s">
        <v>176</v>
      </c>
      <c r="M1841" s="114" t="s">
        <v>2824</v>
      </c>
      <c r="N1841" s="115" t="s">
        <v>177</v>
      </c>
      <c r="O1841" s="114" t="s">
        <v>178</v>
      </c>
      <c r="P1841" s="115"/>
    </row>
    <row r="1842" spans="2:16">
      <c r="B1842" s="20">
        <v>45168</v>
      </c>
      <c r="C1842" s="59">
        <v>50470190</v>
      </c>
      <c r="D1842" s="55" t="s">
        <v>12</v>
      </c>
      <c r="E1842" s="67">
        <v>289800</v>
      </c>
      <c r="F1842" s="67">
        <v>10</v>
      </c>
      <c r="G1842" s="102">
        <v>2898000</v>
      </c>
      <c r="H1842" s="56" t="s">
        <v>92</v>
      </c>
      <c r="K1842" s="56">
        <v>531</v>
      </c>
      <c r="L1842" s="114" t="s">
        <v>176</v>
      </c>
      <c r="M1842" s="114" t="s">
        <v>2824</v>
      </c>
      <c r="N1842" s="115" t="s">
        <v>177</v>
      </c>
      <c r="O1842" s="114" t="s">
        <v>178</v>
      </c>
      <c r="P1842" s="115"/>
    </row>
    <row r="1843" spans="2:16">
      <c r="B1843" s="20">
        <v>45169</v>
      </c>
      <c r="C1843" s="59">
        <v>40010086</v>
      </c>
      <c r="D1843" s="55" t="s">
        <v>79</v>
      </c>
      <c r="E1843" s="67">
        <v>1344</v>
      </c>
      <c r="F1843" s="67">
        <v>3</v>
      </c>
      <c r="G1843" s="102">
        <v>8375</v>
      </c>
      <c r="H1843" s="56" t="s">
        <v>80</v>
      </c>
      <c r="K1843" s="56">
        <v>532</v>
      </c>
      <c r="L1843" s="114" t="s">
        <v>176</v>
      </c>
      <c r="M1843" s="114" t="s">
        <v>2824</v>
      </c>
      <c r="N1843" s="115" t="s">
        <v>177</v>
      </c>
      <c r="O1843" s="114" t="s">
        <v>178</v>
      </c>
      <c r="P1843" s="115"/>
    </row>
    <row r="1844" spans="2:16">
      <c r="B1844" s="20">
        <v>45169</v>
      </c>
      <c r="C1844" s="59">
        <v>40010084</v>
      </c>
      <c r="D1844" s="55" t="s">
        <v>81</v>
      </c>
      <c r="E1844" s="67">
        <v>756</v>
      </c>
      <c r="F1844" s="67">
        <v>3</v>
      </c>
      <c r="G1844" s="102">
        <v>4941</v>
      </c>
      <c r="H1844" s="56" t="s">
        <v>80</v>
      </c>
      <c r="K1844" s="56">
        <v>532</v>
      </c>
      <c r="L1844" s="114" t="s">
        <v>176</v>
      </c>
      <c r="M1844" s="114" t="s">
        <v>2824</v>
      </c>
      <c r="N1844" s="115" t="s">
        <v>177</v>
      </c>
      <c r="O1844" s="114" t="s">
        <v>178</v>
      </c>
      <c r="P1844" s="115"/>
    </row>
    <row r="1845" spans="2:16">
      <c r="B1845" s="20">
        <v>45169</v>
      </c>
      <c r="C1845" s="59">
        <v>50144376</v>
      </c>
      <c r="D1845" s="55" t="s">
        <v>19</v>
      </c>
      <c r="E1845" s="67">
        <v>500</v>
      </c>
      <c r="F1845" s="67">
        <v>1</v>
      </c>
      <c r="G1845" s="102">
        <v>500</v>
      </c>
      <c r="H1845" s="56" t="s">
        <v>92</v>
      </c>
      <c r="K1845" s="56">
        <v>532</v>
      </c>
      <c r="L1845" s="114" t="s">
        <v>176</v>
      </c>
      <c r="M1845" s="114" t="s">
        <v>2824</v>
      </c>
      <c r="N1845" s="115" t="s">
        <v>177</v>
      </c>
      <c r="O1845" s="114" t="s">
        <v>178</v>
      </c>
      <c r="P1845" s="115"/>
    </row>
    <row r="1846" spans="2:16">
      <c r="B1846" s="20">
        <v>45169</v>
      </c>
      <c r="C1846" s="59">
        <v>50272278</v>
      </c>
      <c r="D1846" s="55" t="s">
        <v>21</v>
      </c>
      <c r="E1846" s="67">
        <v>500</v>
      </c>
      <c r="F1846" s="67">
        <v>2</v>
      </c>
      <c r="G1846" s="102">
        <v>1000</v>
      </c>
      <c r="H1846" s="56" t="s">
        <v>92</v>
      </c>
      <c r="K1846" s="56">
        <v>532</v>
      </c>
      <c r="L1846" s="114" t="s">
        <v>176</v>
      </c>
      <c r="M1846" s="114" t="s">
        <v>2824</v>
      </c>
      <c r="N1846" s="115" t="s">
        <v>177</v>
      </c>
      <c r="O1846" s="114" t="s">
        <v>178</v>
      </c>
      <c r="P1846" s="115"/>
    </row>
    <row r="1847" spans="2:16">
      <c r="B1847" s="20">
        <v>45169</v>
      </c>
      <c r="C1847" s="59">
        <v>40010083</v>
      </c>
      <c r="D1847" s="55" t="s">
        <v>85</v>
      </c>
      <c r="E1847" s="67">
        <v>1897</v>
      </c>
      <c r="F1847" s="67">
        <v>1</v>
      </c>
      <c r="G1847" s="102">
        <v>1897</v>
      </c>
      <c r="H1847" s="56" t="s">
        <v>80</v>
      </c>
      <c r="K1847" s="56">
        <v>532</v>
      </c>
      <c r="L1847" s="114" t="s">
        <v>176</v>
      </c>
      <c r="M1847" s="114" t="s">
        <v>2824</v>
      </c>
      <c r="N1847" s="115" t="s">
        <v>177</v>
      </c>
      <c r="O1847" s="114" t="s">
        <v>178</v>
      </c>
      <c r="P1847" s="115"/>
    </row>
    <row r="1848" spans="2:16">
      <c r="B1848" s="20">
        <v>45169</v>
      </c>
      <c r="C1848" s="59">
        <v>50507916</v>
      </c>
      <c r="D1848" s="55" t="s">
        <v>406</v>
      </c>
      <c r="E1848" s="67">
        <v>264000</v>
      </c>
      <c r="F1848" s="67">
        <v>6</v>
      </c>
      <c r="G1848" s="102">
        <v>1584000</v>
      </c>
      <c r="H1848" s="56" t="s">
        <v>92</v>
      </c>
      <c r="K1848" s="56">
        <v>532</v>
      </c>
      <c r="L1848" s="114" t="s">
        <v>176</v>
      </c>
      <c r="M1848" s="114" t="s">
        <v>2824</v>
      </c>
      <c r="N1848" s="115" t="s">
        <v>177</v>
      </c>
      <c r="O1848" s="114" t="s">
        <v>178</v>
      </c>
      <c r="P1848" s="115"/>
    </row>
    <row r="1849" spans="2:16">
      <c r="B1849" s="20">
        <v>45169</v>
      </c>
      <c r="C1849" s="59">
        <v>50315365</v>
      </c>
      <c r="D1849" s="55" t="s">
        <v>584</v>
      </c>
      <c r="E1849" s="67">
        <v>264</v>
      </c>
      <c r="F1849" s="67">
        <v>3</v>
      </c>
      <c r="G1849" s="102">
        <v>792</v>
      </c>
      <c r="H1849" s="56" t="s">
        <v>80</v>
      </c>
      <c r="K1849" s="56">
        <v>532</v>
      </c>
      <c r="L1849" s="114" t="s">
        <v>176</v>
      </c>
      <c r="M1849" s="114" t="s">
        <v>2824</v>
      </c>
      <c r="N1849" s="115" t="s">
        <v>177</v>
      </c>
      <c r="O1849" s="114" t="s">
        <v>178</v>
      </c>
      <c r="P1849" s="115"/>
    </row>
    <row r="1850" spans="2:16">
      <c r="B1850" s="20">
        <v>45169</v>
      </c>
      <c r="C1850" s="59">
        <v>50142350</v>
      </c>
      <c r="D1850" s="55" t="s">
        <v>212</v>
      </c>
      <c r="E1850" s="67">
        <v>278</v>
      </c>
      <c r="F1850" s="67">
        <v>2</v>
      </c>
      <c r="G1850" s="102">
        <v>519.8</v>
      </c>
      <c r="H1850" s="56" t="s">
        <v>82</v>
      </c>
      <c r="K1850" s="56">
        <v>532</v>
      </c>
      <c r="L1850" s="114" t="s">
        <v>176</v>
      </c>
      <c r="M1850" s="114" t="s">
        <v>2824</v>
      </c>
      <c r="N1850" s="115" t="s">
        <v>177</v>
      </c>
      <c r="O1850" s="114" t="s">
        <v>178</v>
      </c>
      <c r="P1850" s="115"/>
    </row>
    <row r="1851" spans="2:16">
      <c r="B1851" s="20">
        <v>45169</v>
      </c>
      <c r="C1851" s="59">
        <v>50470190</v>
      </c>
      <c r="D1851" s="55" t="s">
        <v>12</v>
      </c>
      <c r="E1851" s="67">
        <v>289800</v>
      </c>
      <c r="F1851" s="67">
        <v>18</v>
      </c>
      <c r="G1851" s="102">
        <v>5216400</v>
      </c>
      <c r="H1851" s="56" t="s">
        <v>92</v>
      </c>
      <c r="K1851" s="56">
        <v>533</v>
      </c>
      <c r="L1851" s="114" t="s">
        <v>176</v>
      </c>
      <c r="M1851" s="114" t="s">
        <v>2824</v>
      </c>
      <c r="N1851" s="115" t="s">
        <v>177</v>
      </c>
      <c r="O1851" s="114" t="s">
        <v>178</v>
      </c>
      <c r="P1851" s="115"/>
    </row>
    <row r="1852" spans="2:16">
      <c r="B1852" s="20">
        <v>45170</v>
      </c>
      <c r="C1852" s="59">
        <v>50010080</v>
      </c>
      <c r="D1852" s="55" t="s">
        <v>354</v>
      </c>
      <c r="E1852" s="67">
        <v>1000</v>
      </c>
      <c r="F1852" s="67">
        <v>5</v>
      </c>
      <c r="G1852" s="102">
        <v>5000</v>
      </c>
      <c r="H1852" s="56" t="s">
        <v>82</v>
      </c>
      <c r="K1852" s="56">
        <v>534</v>
      </c>
      <c r="L1852" s="114" t="s">
        <v>176</v>
      </c>
      <c r="M1852" s="114" t="s">
        <v>2824</v>
      </c>
      <c r="N1852" s="115" t="s">
        <v>177</v>
      </c>
      <c r="O1852" s="114" t="s">
        <v>178</v>
      </c>
      <c r="P1852" s="115"/>
    </row>
    <row r="1853" spans="2:16">
      <c r="B1853" s="20">
        <v>45170</v>
      </c>
      <c r="C1853" s="59">
        <v>50144376</v>
      </c>
      <c r="D1853" s="55" t="s">
        <v>19</v>
      </c>
      <c r="E1853" s="67">
        <v>500</v>
      </c>
      <c r="F1853" s="67">
        <v>4</v>
      </c>
      <c r="G1853" s="102">
        <v>2000</v>
      </c>
      <c r="H1853" s="56" t="s">
        <v>92</v>
      </c>
      <c r="K1853" s="56">
        <v>534</v>
      </c>
      <c r="L1853" s="114" t="s">
        <v>176</v>
      </c>
      <c r="M1853" s="114" t="s">
        <v>2824</v>
      </c>
      <c r="N1853" s="115" t="s">
        <v>177</v>
      </c>
      <c r="O1853" s="114" t="s">
        <v>178</v>
      </c>
      <c r="P1853" s="115"/>
    </row>
    <row r="1854" spans="2:16">
      <c r="B1854" s="20">
        <v>45170</v>
      </c>
      <c r="C1854" s="59">
        <v>50272278</v>
      </c>
      <c r="D1854" s="55" t="s">
        <v>21</v>
      </c>
      <c r="E1854" s="67">
        <v>500</v>
      </c>
      <c r="F1854" s="67">
        <v>3</v>
      </c>
      <c r="G1854" s="102">
        <v>1500</v>
      </c>
      <c r="H1854" s="56" t="s">
        <v>92</v>
      </c>
      <c r="K1854" s="56">
        <v>534</v>
      </c>
      <c r="L1854" s="114" t="s">
        <v>176</v>
      </c>
      <c r="M1854" s="114" t="s">
        <v>2824</v>
      </c>
      <c r="N1854" s="115" t="s">
        <v>177</v>
      </c>
      <c r="O1854" s="114" t="s">
        <v>178</v>
      </c>
      <c r="P1854" s="115"/>
    </row>
    <row r="1855" spans="2:16">
      <c r="B1855" s="20">
        <v>45170</v>
      </c>
      <c r="C1855" s="59">
        <v>50470190</v>
      </c>
      <c r="D1855" s="55" t="s">
        <v>12</v>
      </c>
      <c r="E1855" s="67">
        <v>289800</v>
      </c>
      <c r="F1855" s="67">
        <v>4</v>
      </c>
      <c r="G1855" s="102">
        <v>1159200</v>
      </c>
      <c r="H1855" s="56" t="s">
        <v>92</v>
      </c>
      <c r="K1855" s="56">
        <v>534</v>
      </c>
      <c r="L1855" s="114" t="s">
        <v>176</v>
      </c>
      <c r="M1855" s="114" t="s">
        <v>2824</v>
      </c>
      <c r="N1855" s="115" t="s">
        <v>177</v>
      </c>
      <c r="O1855" s="114" t="s">
        <v>178</v>
      </c>
      <c r="P1855" s="115"/>
    </row>
    <row r="1856" spans="2:16">
      <c r="B1856" s="20">
        <v>45170</v>
      </c>
      <c r="C1856" s="59">
        <v>50812974</v>
      </c>
      <c r="D1856" s="55" t="s">
        <v>822</v>
      </c>
      <c r="E1856" s="67">
        <v>289800</v>
      </c>
      <c r="F1856" s="67">
        <v>2</v>
      </c>
      <c r="G1856" s="102">
        <v>579600</v>
      </c>
      <c r="H1856" s="56" t="s">
        <v>92</v>
      </c>
      <c r="K1856" s="56">
        <v>534</v>
      </c>
      <c r="L1856" s="114" t="s">
        <v>176</v>
      </c>
      <c r="M1856" s="114" t="s">
        <v>2824</v>
      </c>
      <c r="N1856" s="115" t="s">
        <v>177</v>
      </c>
      <c r="O1856" s="114" t="s">
        <v>178</v>
      </c>
      <c r="P1856" s="115"/>
    </row>
    <row r="1857" spans="2:16">
      <c r="B1857" s="20">
        <v>45170</v>
      </c>
      <c r="C1857" s="59">
        <v>50814036</v>
      </c>
      <c r="D1857" s="55" t="s">
        <v>986</v>
      </c>
      <c r="E1857" s="67">
        <v>456</v>
      </c>
      <c r="F1857" s="67">
        <v>2</v>
      </c>
      <c r="G1857" s="102">
        <v>1090.7</v>
      </c>
      <c r="H1857" s="56" t="s">
        <v>82</v>
      </c>
      <c r="K1857" s="56">
        <v>534</v>
      </c>
      <c r="L1857" s="114" t="s">
        <v>176</v>
      </c>
      <c r="M1857" s="114" t="s">
        <v>2824</v>
      </c>
      <c r="N1857" s="115" t="s">
        <v>177</v>
      </c>
      <c r="O1857" s="114" t="s">
        <v>178</v>
      </c>
      <c r="P1857" s="115"/>
    </row>
    <row r="1858" spans="2:16">
      <c r="B1858" s="20">
        <v>45173</v>
      </c>
      <c r="C1858" s="59">
        <v>50144376</v>
      </c>
      <c r="D1858" s="55" t="s">
        <v>19</v>
      </c>
      <c r="E1858" s="67">
        <v>500</v>
      </c>
      <c r="F1858" s="67">
        <v>10</v>
      </c>
      <c r="G1858" s="102">
        <v>5000</v>
      </c>
      <c r="H1858" s="56" t="s">
        <v>92</v>
      </c>
      <c r="K1858" s="56">
        <v>535</v>
      </c>
      <c r="L1858" s="114" t="s">
        <v>176</v>
      </c>
      <c r="M1858" s="114" t="s">
        <v>2824</v>
      </c>
      <c r="N1858" s="115" t="s">
        <v>177</v>
      </c>
      <c r="O1858" s="114" t="s">
        <v>178</v>
      </c>
      <c r="P1858" s="115"/>
    </row>
    <row r="1859" spans="2:16">
      <c r="B1859" s="20">
        <v>45173</v>
      </c>
      <c r="C1859" s="59">
        <v>50272278</v>
      </c>
      <c r="D1859" s="55" t="s">
        <v>21</v>
      </c>
      <c r="E1859" s="67">
        <v>500</v>
      </c>
      <c r="F1859" s="67">
        <v>10</v>
      </c>
      <c r="G1859" s="102">
        <v>5000</v>
      </c>
      <c r="H1859" s="56" t="s">
        <v>92</v>
      </c>
      <c r="K1859" s="56">
        <v>535</v>
      </c>
      <c r="L1859" s="114" t="s">
        <v>176</v>
      </c>
      <c r="M1859" s="114" t="s">
        <v>2824</v>
      </c>
      <c r="N1859" s="115" t="s">
        <v>177</v>
      </c>
      <c r="O1859" s="114" t="s">
        <v>178</v>
      </c>
      <c r="P1859" s="115"/>
    </row>
    <row r="1860" spans="2:16">
      <c r="B1860" s="20">
        <v>45173</v>
      </c>
      <c r="C1860" s="59">
        <v>50505001</v>
      </c>
      <c r="D1860" s="55" t="s">
        <v>990</v>
      </c>
      <c r="E1860" s="67">
        <v>240000</v>
      </c>
      <c r="F1860" s="67">
        <v>1</v>
      </c>
      <c r="G1860" s="102">
        <v>240000</v>
      </c>
      <c r="H1860" s="56" t="s">
        <v>92</v>
      </c>
      <c r="K1860" s="56">
        <v>535</v>
      </c>
      <c r="L1860" s="114" t="s">
        <v>176</v>
      </c>
      <c r="M1860" s="114" t="s">
        <v>2824</v>
      </c>
      <c r="N1860" s="115" t="s">
        <v>177</v>
      </c>
      <c r="O1860" s="114" t="s">
        <v>178</v>
      </c>
      <c r="P1860" s="115"/>
    </row>
    <row r="1861" spans="2:16">
      <c r="B1861" s="20">
        <v>45173</v>
      </c>
      <c r="C1861" s="59">
        <v>50505002</v>
      </c>
      <c r="D1861" s="55" t="s">
        <v>993</v>
      </c>
      <c r="E1861" s="67">
        <v>213000</v>
      </c>
      <c r="F1861" s="67">
        <v>1</v>
      </c>
      <c r="G1861" s="102">
        <v>213000</v>
      </c>
      <c r="H1861" s="56" t="s">
        <v>92</v>
      </c>
      <c r="K1861" s="56">
        <v>535</v>
      </c>
      <c r="L1861" s="114" t="s">
        <v>176</v>
      </c>
      <c r="M1861" s="114" t="s">
        <v>2824</v>
      </c>
      <c r="N1861" s="115" t="s">
        <v>177</v>
      </c>
      <c r="O1861" s="114" t="s">
        <v>178</v>
      </c>
      <c r="P1861" s="115"/>
    </row>
    <row r="1862" spans="2:16">
      <c r="B1862" s="20">
        <v>45173</v>
      </c>
      <c r="C1862" s="59">
        <v>50145028</v>
      </c>
      <c r="D1862" s="55" t="s">
        <v>23</v>
      </c>
      <c r="E1862" s="67">
        <v>192</v>
      </c>
      <c r="F1862" s="67">
        <v>4</v>
      </c>
      <c r="G1862" s="102">
        <v>768</v>
      </c>
      <c r="H1862" s="56" t="s">
        <v>92</v>
      </c>
      <c r="K1862" s="56">
        <v>536</v>
      </c>
      <c r="L1862" s="55" t="s">
        <v>392</v>
      </c>
      <c r="M1862" s="55" t="s">
        <v>392</v>
      </c>
      <c r="N1862" s="4" t="s">
        <v>2852</v>
      </c>
      <c r="O1862" s="114" t="s">
        <v>178</v>
      </c>
      <c r="P1862" s="115"/>
    </row>
    <row r="1863" spans="2:16">
      <c r="B1863" s="20">
        <v>45173</v>
      </c>
      <c r="C1863" s="59">
        <v>50142237</v>
      </c>
      <c r="D1863" s="55" t="s">
        <v>617</v>
      </c>
      <c r="E1863" s="67">
        <v>1000</v>
      </c>
      <c r="F1863" s="67">
        <v>5</v>
      </c>
      <c r="G1863" s="102">
        <v>5000</v>
      </c>
      <c r="H1863" s="56" t="s">
        <v>92</v>
      </c>
      <c r="K1863" s="56">
        <v>536</v>
      </c>
      <c r="L1863" s="55" t="s">
        <v>392</v>
      </c>
      <c r="M1863" s="55" t="s">
        <v>392</v>
      </c>
      <c r="N1863" s="4" t="s">
        <v>2852</v>
      </c>
      <c r="O1863" s="114" t="s">
        <v>178</v>
      </c>
      <c r="P1863" s="115"/>
    </row>
    <row r="1864" spans="2:16">
      <c r="B1864" s="20">
        <v>45174</v>
      </c>
      <c r="C1864" s="59">
        <v>50144376</v>
      </c>
      <c r="D1864" s="55" t="s">
        <v>19</v>
      </c>
      <c r="E1864" s="67">
        <v>500</v>
      </c>
      <c r="F1864" s="67">
        <v>12</v>
      </c>
      <c r="G1864" s="102">
        <v>6000</v>
      </c>
      <c r="H1864" s="56" t="s">
        <v>92</v>
      </c>
      <c r="K1864" s="56">
        <v>537</v>
      </c>
      <c r="L1864" s="114" t="s">
        <v>176</v>
      </c>
      <c r="M1864" s="114" t="s">
        <v>2824</v>
      </c>
      <c r="N1864" s="115" t="s">
        <v>177</v>
      </c>
      <c r="O1864" s="114" t="s">
        <v>178</v>
      </c>
      <c r="P1864" s="115"/>
    </row>
    <row r="1865" spans="2:16">
      <c r="B1865" s="20">
        <v>45174</v>
      </c>
      <c r="C1865" s="59">
        <v>50272278</v>
      </c>
      <c r="D1865" s="55" t="s">
        <v>21</v>
      </c>
      <c r="E1865" s="67">
        <v>500</v>
      </c>
      <c r="F1865" s="67">
        <v>8</v>
      </c>
      <c r="G1865" s="102">
        <v>4000</v>
      </c>
      <c r="H1865" s="56" t="s">
        <v>92</v>
      </c>
      <c r="K1865" s="56">
        <v>537</v>
      </c>
      <c r="L1865" s="114" t="s">
        <v>176</v>
      </c>
      <c r="M1865" s="114" t="s">
        <v>2824</v>
      </c>
      <c r="N1865" s="115" t="s">
        <v>177</v>
      </c>
      <c r="O1865" s="114" t="s">
        <v>178</v>
      </c>
      <c r="P1865" s="115"/>
    </row>
    <row r="1866" spans="2:16">
      <c r="B1866" s="20">
        <v>45174</v>
      </c>
      <c r="C1866" s="59">
        <v>40007855</v>
      </c>
      <c r="D1866" s="55" t="s">
        <v>84</v>
      </c>
      <c r="E1866" s="67">
        <v>1344</v>
      </c>
      <c r="F1866" s="67">
        <v>1</v>
      </c>
      <c r="G1866" s="102">
        <v>1344</v>
      </c>
      <c r="H1866" s="56" t="s">
        <v>80</v>
      </c>
      <c r="K1866" s="56">
        <v>537</v>
      </c>
      <c r="L1866" s="114" t="s">
        <v>176</v>
      </c>
      <c r="M1866" s="114" t="s">
        <v>2824</v>
      </c>
      <c r="N1866" s="115" t="s">
        <v>177</v>
      </c>
      <c r="O1866" s="114" t="s">
        <v>178</v>
      </c>
      <c r="P1866" s="115"/>
    </row>
    <row r="1867" spans="2:16">
      <c r="B1867" s="20">
        <v>45174</v>
      </c>
      <c r="C1867" s="59">
        <v>40011661</v>
      </c>
      <c r="D1867" s="55" t="s">
        <v>608</v>
      </c>
      <c r="E1867" s="67">
        <v>450</v>
      </c>
      <c r="F1867" s="67">
        <v>1</v>
      </c>
      <c r="G1867" s="102">
        <v>450</v>
      </c>
      <c r="H1867" s="56" t="s">
        <v>80</v>
      </c>
      <c r="K1867" s="56">
        <v>537</v>
      </c>
      <c r="L1867" s="114" t="s">
        <v>176</v>
      </c>
      <c r="M1867" s="114" t="s">
        <v>2824</v>
      </c>
      <c r="N1867" s="115" t="s">
        <v>177</v>
      </c>
      <c r="O1867" s="114" t="s">
        <v>178</v>
      </c>
      <c r="P1867" s="115"/>
    </row>
    <row r="1868" spans="2:16">
      <c r="B1868" s="20">
        <v>45174</v>
      </c>
      <c r="C1868" s="59">
        <v>50470190</v>
      </c>
      <c r="D1868" s="55" t="s">
        <v>12</v>
      </c>
      <c r="E1868" s="67">
        <v>289800</v>
      </c>
      <c r="F1868" s="67">
        <v>18</v>
      </c>
      <c r="G1868" s="102">
        <v>5216400</v>
      </c>
      <c r="H1868" s="56" t="s">
        <v>92</v>
      </c>
      <c r="K1868" s="56">
        <v>538</v>
      </c>
      <c r="L1868" s="114" t="s">
        <v>176</v>
      </c>
      <c r="M1868" s="114" t="s">
        <v>2824</v>
      </c>
      <c r="N1868" s="115" t="s">
        <v>177</v>
      </c>
      <c r="O1868" s="114" t="s">
        <v>178</v>
      </c>
      <c r="P1868" s="115"/>
    </row>
    <row r="1869" spans="2:16">
      <c r="B1869" s="20">
        <v>45175</v>
      </c>
      <c r="C1869" s="59">
        <v>50522164</v>
      </c>
      <c r="D1869" s="55" t="s">
        <v>439</v>
      </c>
      <c r="E1869" s="67">
        <v>456</v>
      </c>
      <c r="F1869" s="67">
        <v>2</v>
      </c>
      <c r="G1869" s="102">
        <v>1142.85</v>
      </c>
      <c r="H1869" s="56" t="s">
        <v>82</v>
      </c>
      <c r="K1869" s="56">
        <v>539</v>
      </c>
      <c r="L1869" s="114" t="s">
        <v>176</v>
      </c>
      <c r="M1869" s="114" t="s">
        <v>2824</v>
      </c>
      <c r="N1869" s="115" t="s">
        <v>177</v>
      </c>
      <c r="O1869" s="114" t="s">
        <v>178</v>
      </c>
      <c r="P1869" s="115"/>
    </row>
    <row r="1870" spans="2:16">
      <c r="B1870" s="20">
        <v>45175</v>
      </c>
      <c r="C1870" s="59">
        <v>50813995</v>
      </c>
      <c r="D1870" s="55" t="s">
        <v>960</v>
      </c>
      <c r="E1870" s="67">
        <v>856</v>
      </c>
      <c r="F1870" s="67">
        <v>8</v>
      </c>
      <c r="G1870" s="102">
        <f>4470.15+1.04</f>
        <v>4471.19</v>
      </c>
      <c r="H1870" s="56" t="s">
        <v>82</v>
      </c>
      <c r="K1870" s="56">
        <v>539</v>
      </c>
      <c r="L1870" s="114" t="s">
        <v>176</v>
      </c>
      <c r="M1870" s="114" t="s">
        <v>2824</v>
      </c>
      <c r="N1870" s="115" t="s">
        <v>177</v>
      </c>
      <c r="O1870" s="114" t="s">
        <v>178</v>
      </c>
      <c r="P1870" s="115"/>
    </row>
    <row r="1871" spans="2:16">
      <c r="B1871" s="20">
        <v>45175</v>
      </c>
      <c r="C1871" s="59">
        <v>50145028</v>
      </c>
      <c r="D1871" s="55" t="s">
        <v>23</v>
      </c>
      <c r="E1871" s="67">
        <v>192</v>
      </c>
      <c r="F1871" s="67">
        <v>1</v>
      </c>
      <c r="G1871" s="102">
        <v>192</v>
      </c>
      <c r="H1871" s="56" t="s">
        <v>92</v>
      </c>
      <c r="K1871" s="56">
        <v>539</v>
      </c>
      <c r="L1871" s="114" t="s">
        <v>176</v>
      </c>
      <c r="M1871" s="114" t="s">
        <v>2824</v>
      </c>
      <c r="N1871" s="115" t="s">
        <v>177</v>
      </c>
      <c r="O1871" s="114" t="s">
        <v>178</v>
      </c>
      <c r="P1871" s="115"/>
    </row>
    <row r="1872" spans="2:16">
      <c r="B1872" s="20">
        <v>45175</v>
      </c>
      <c r="C1872" s="59">
        <v>50232060</v>
      </c>
      <c r="D1872" s="55" t="s">
        <v>361</v>
      </c>
      <c r="E1872" s="67">
        <v>264000</v>
      </c>
      <c r="F1872" s="67">
        <v>3</v>
      </c>
      <c r="G1872" s="102">
        <v>792000</v>
      </c>
      <c r="H1872" s="56" t="s">
        <v>92</v>
      </c>
      <c r="K1872" s="56">
        <v>539</v>
      </c>
      <c r="L1872" s="114" t="s">
        <v>176</v>
      </c>
      <c r="M1872" s="114" t="s">
        <v>2824</v>
      </c>
      <c r="N1872" s="115" t="s">
        <v>177</v>
      </c>
      <c r="O1872" s="114" t="s">
        <v>178</v>
      </c>
      <c r="P1872" s="115"/>
    </row>
    <row r="1873" spans="2:16">
      <c r="B1873" s="20">
        <v>45175</v>
      </c>
      <c r="C1873" s="59">
        <v>50142327</v>
      </c>
      <c r="D1873" s="55" t="s">
        <v>256</v>
      </c>
      <c r="E1873" s="67">
        <v>681</v>
      </c>
      <c r="F1873" s="67">
        <v>3</v>
      </c>
      <c r="G1873" s="102">
        <v>2043</v>
      </c>
      <c r="H1873" s="56" t="s">
        <v>82</v>
      </c>
      <c r="K1873" s="56">
        <v>539</v>
      </c>
      <c r="L1873" s="114" t="s">
        <v>176</v>
      </c>
      <c r="M1873" s="114" t="s">
        <v>2824</v>
      </c>
      <c r="N1873" s="115" t="s">
        <v>177</v>
      </c>
      <c r="O1873" s="114" t="s">
        <v>178</v>
      </c>
      <c r="P1873" s="115"/>
    </row>
    <row r="1874" spans="2:16">
      <c r="B1874" s="20">
        <v>45175</v>
      </c>
      <c r="C1874" s="59">
        <v>50142334</v>
      </c>
      <c r="D1874" s="55" t="s">
        <v>257</v>
      </c>
      <c r="E1874" s="67">
        <v>681</v>
      </c>
      <c r="F1874" s="67">
        <v>3</v>
      </c>
      <c r="G1874" s="102">
        <v>2043</v>
      </c>
      <c r="H1874" s="56" t="s">
        <v>82</v>
      </c>
      <c r="K1874" s="56">
        <v>539</v>
      </c>
      <c r="L1874" s="114" t="s">
        <v>176</v>
      </c>
      <c r="M1874" s="114" t="s">
        <v>2824</v>
      </c>
      <c r="N1874" s="115" t="s">
        <v>177</v>
      </c>
      <c r="O1874" s="114" t="s">
        <v>178</v>
      </c>
      <c r="P1874" s="115"/>
    </row>
    <row r="1875" spans="2:16">
      <c r="B1875" s="20">
        <v>45175</v>
      </c>
      <c r="C1875" s="59">
        <v>40011133</v>
      </c>
      <c r="D1875" s="55" t="s">
        <v>634</v>
      </c>
      <c r="E1875" s="67">
        <v>756</v>
      </c>
      <c r="F1875" s="67">
        <v>1</v>
      </c>
      <c r="G1875" s="102">
        <v>756</v>
      </c>
      <c r="H1875" s="56" t="s">
        <v>80</v>
      </c>
      <c r="K1875" s="56">
        <v>540</v>
      </c>
      <c r="L1875" s="114" t="s">
        <v>176</v>
      </c>
      <c r="M1875" s="114" t="s">
        <v>2824</v>
      </c>
      <c r="N1875" s="115" t="s">
        <v>177</v>
      </c>
      <c r="O1875" s="114" t="s">
        <v>178</v>
      </c>
      <c r="P1875" s="115"/>
    </row>
    <row r="1876" spans="2:16">
      <c r="B1876" s="20">
        <v>45175</v>
      </c>
      <c r="C1876" s="59">
        <v>50813995</v>
      </c>
      <c r="D1876" s="55" t="s">
        <v>960</v>
      </c>
      <c r="E1876" s="67">
        <v>456</v>
      </c>
      <c r="F1876" s="67">
        <v>7</v>
      </c>
      <c r="G1876" s="102">
        <v>3531.45</v>
      </c>
      <c r="H1876" s="56" t="s">
        <v>82</v>
      </c>
      <c r="K1876" s="56">
        <v>540</v>
      </c>
      <c r="L1876" s="114" t="s">
        <v>176</v>
      </c>
      <c r="M1876" s="114" t="s">
        <v>2824</v>
      </c>
      <c r="N1876" s="115" t="s">
        <v>177</v>
      </c>
      <c r="O1876" s="114" t="s">
        <v>178</v>
      </c>
      <c r="P1876" s="115"/>
    </row>
    <row r="1877" spans="2:16">
      <c r="B1877" s="20">
        <v>45175</v>
      </c>
      <c r="C1877" s="59">
        <v>50272278</v>
      </c>
      <c r="D1877" s="55" t="s">
        <v>21</v>
      </c>
      <c r="E1877" s="67">
        <v>500</v>
      </c>
      <c r="F1877" s="67">
        <v>5</v>
      </c>
      <c r="G1877" s="102">
        <v>2500</v>
      </c>
      <c r="H1877" s="56" t="s">
        <v>92</v>
      </c>
      <c r="K1877" s="56">
        <v>540</v>
      </c>
      <c r="L1877" s="114" t="s">
        <v>176</v>
      </c>
      <c r="M1877" s="114" t="s">
        <v>2824</v>
      </c>
      <c r="N1877" s="115" t="s">
        <v>177</v>
      </c>
      <c r="O1877" s="114" t="s">
        <v>178</v>
      </c>
      <c r="P1877" s="115"/>
    </row>
    <row r="1878" spans="2:16">
      <c r="B1878" s="20">
        <v>45175</v>
      </c>
      <c r="C1878" s="59">
        <v>50144376</v>
      </c>
      <c r="D1878" s="55" t="s">
        <v>19</v>
      </c>
      <c r="E1878" s="67">
        <v>500</v>
      </c>
      <c r="F1878" s="67">
        <v>8</v>
      </c>
      <c r="G1878" s="102">
        <v>4000</v>
      </c>
      <c r="H1878" s="56" t="s">
        <v>92</v>
      </c>
      <c r="K1878" s="56">
        <v>540</v>
      </c>
      <c r="L1878" s="114" t="s">
        <v>176</v>
      </c>
      <c r="M1878" s="114" t="s">
        <v>2824</v>
      </c>
      <c r="N1878" s="115" t="s">
        <v>177</v>
      </c>
      <c r="O1878" s="114" t="s">
        <v>178</v>
      </c>
      <c r="P1878" s="115"/>
    </row>
    <row r="1879" spans="2:16">
      <c r="B1879" s="20">
        <v>45175</v>
      </c>
      <c r="C1879" s="59">
        <v>40004887</v>
      </c>
      <c r="D1879" s="55" t="s">
        <v>272</v>
      </c>
      <c r="E1879" s="67">
        <v>441</v>
      </c>
      <c r="F1879" s="67">
        <v>1</v>
      </c>
      <c r="G1879" s="102">
        <v>441</v>
      </c>
      <c r="H1879" s="56" t="s">
        <v>80</v>
      </c>
      <c r="K1879" s="56">
        <v>540</v>
      </c>
      <c r="L1879" s="114" t="s">
        <v>176</v>
      </c>
      <c r="M1879" s="114" t="s">
        <v>2824</v>
      </c>
      <c r="N1879" s="115" t="s">
        <v>177</v>
      </c>
      <c r="O1879" s="114" t="s">
        <v>178</v>
      </c>
      <c r="P1879" s="115"/>
    </row>
    <row r="1880" spans="2:16">
      <c r="B1880" s="20">
        <v>45176</v>
      </c>
      <c r="C1880" s="59">
        <v>50144376</v>
      </c>
      <c r="D1880" s="55" t="s">
        <v>19</v>
      </c>
      <c r="E1880" s="67">
        <v>500</v>
      </c>
      <c r="F1880" s="67">
        <v>6</v>
      </c>
      <c r="G1880" s="102">
        <v>3000</v>
      </c>
      <c r="H1880" s="56" t="s">
        <v>92</v>
      </c>
      <c r="K1880" s="56">
        <v>541</v>
      </c>
      <c r="L1880" s="114" t="s">
        <v>176</v>
      </c>
      <c r="M1880" s="114" t="s">
        <v>2824</v>
      </c>
      <c r="N1880" s="115" t="s">
        <v>177</v>
      </c>
      <c r="O1880" s="114" t="s">
        <v>178</v>
      </c>
      <c r="P1880" s="115"/>
    </row>
    <row r="1881" spans="2:16">
      <c r="B1881" s="20">
        <v>45176</v>
      </c>
      <c r="C1881" s="59">
        <v>50272278</v>
      </c>
      <c r="D1881" s="55" t="s">
        <v>21</v>
      </c>
      <c r="E1881" s="67">
        <v>500</v>
      </c>
      <c r="F1881" s="67">
        <v>6</v>
      </c>
      <c r="G1881" s="102">
        <v>3000</v>
      </c>
      <c r="H1881" s="56" t="s">
        <v>92</v>
      </c>
      <c r="K1881" s="56">
        <v>541</v>
      </c>
      <c r="L1881" s="114" t="s">
        <v>176</v>
      </c>
      <c r="M1881" s="114" t="s">
        <v>2824</v>
      </c>
      <c r="N1881" s="115" t="s">
        <v>177</v>
      </c>
      <c r="O1881" s="114" t="s">
        <v>178</v>
      </c>
      <c r="P1881" s="115"/>
    </row>
    <row r="1882" spans="2:16">
      <c r="B1882" s="20">
        <v>45176</v>
      </c>
      <c r="C1882" s="59">
        <v>50142237</v>
      </c>
      <c r="D1882" s="55" t="s">
        <v>617</v>
      </c>
      <c r="E1882" s="67">
        <v>1000</v>
      </c>
      <c r="F1882" s="67">
        <v>10</v>
      </c>
      <c r="G1882" s="102">
        <v>10000</v>
      </c>
      <c r="H1882" s="56" t="s">
        <v>92</v>
      </c>
      <c r="K1882" s="56">
        <v>541</v>
      </c>
      <c r="L1882" s="114" t="s">
        <v>176</v>
      </c>
      <c r="M1882" s="114" t="s">
        <v>2824</v>
      </c>
      <c r="N1882" s="115" t="s">
        <v>177</v>
      </c>
      <c r="O1882" s="114" t="s">
        <v>178</v>
      </c>
      <c r="P1882" s="115"/>
    </row>
    <row r="1883" spans="2:16">
      <c r="B1883" s="20">
        <v>45176</v>
      </c>
      <c r="C1883" s="59">
        <v>40011149</v>
      </c>
      <c r="D1883" s="55" t="s">
        <v>37</v>
      </c>
      <c r="E1883" s="67">
        <v>360</v>
      </c>
      <c r="F1883" s="67">
        <v>3</v>
      </c>
      <c r="G1883" s="102">
        <v>1064</v>
      </c>
      <c r="H1883" s="56" t="s">
        <v>80</v>
      </c>
      <c r="K1883" s="56">
        <v>541</v>
      </c>
      <c r="L1883" s="114" t="s">
        <v>176</v>
      </c>
      <c r="M1883" s="114" t="s">
        <v>2824</v>
      </c>
      <c r="N1883" s="115" t="s">
        <v>177</v>
      </c>
      <c r="O1883" s="114" t="s">
        <v>178</v>
      </c>
      <c r="P1883" s="115"/>
    </row>
    <row r="1884" spans="2:16">
      <c r="B1884" s="20">
        <v>45176</v>
      </c>
      <c r="C1884" s="59">
        <v>50470190</v>
      </c>
      <c r="D1884" s="55" t="s">
        <v>12</v>
      </c>
      <c r="E1884" s="67">
        <v>289800</v>
      </c>
      <c r="F1884" s="67">
        <v>1</v>
      </c>
      <c r="G1884" s="102">
        <v>289800</v>
      </c>
      <c r="H1884" s="56" t="s">
        <v>92</v>
      </c>
      <c r="K1884" s="56">
        <v>541</v>
      </c>
      <c r="L1884" s="114" t="s">
        <v>176</v>
      </c>
      <c r="M1884" s="114" t="s">
        <v>2824</v>
      </c>
      <c r="N1884" s="115" t="s">
        <v>177</v>
      </c>
      <c r="O1884" s="114" t="s">
        <v>178</v>
      </c>
      <c r="P1884" s="115"/>
    </row>
    <row r="1885" spans="2:16">
      <c r="B1885" s="20">
        <v>45176</v>
      </c>
      <c r="C1885" s="59">
        <v>40011661</v>
      </c>
      <c r="D1885" s="55" t="s">
        <v>608</v>
      </c>
      <c r="E1885" s="67">
        <v>450</v>
      </c>
      <c r="F1885" s="67">
        <v>5</v>
      </c>
      <c r="G1885" s="102">
        <v>2250</v>
      </c>
      <c r="H1885" s="56" t="s">
        <v>80</v>
      </c>
      <c r="K1885" s="56">
        <v>541</v>
      </c>
      <c r="L1885" s="114" t="s">
        <v>176</v>
      </c>
      <c r="M1885" s="114" t="s">
        <v>2824</v>
      </c>
      <c r="N1885" s="115" t="s">
        <v>177</v>
      </c>
      <c r="O1885" s="114" t="s">
        <v>178</v>
      </c>
      <c r="P1885" s="115"/>
    </row>
    <row r="1886" spans="2:16">
      <c r="B1886" s="20">
        <v>45176</v>
      </c>
      <c r="C1886" s="59">
        <v>50470190</v>
      </c>
      <c r="D1886" s="55" t="s">
        <v>12</v>
      </c>
      <c r="E1886" s="67">
        <v>289800</v>
      </c>
      <c r="F1886" s="67">
        <v>18</v>
      </c>
      <c r="G1886" s="102">
        <v>5216400</v>
      </c>
      <c r="H1886" s="56" t="s">
        <v>92</v>
      </c>
      <c r="K1886" s="56">
        <v>542</v>
      </c>
      <c r="L1886" s="114" t="s">
        <v>176</v>
      </c>
      <c r="M1886" s="114" t="s">
        <v>2824</v>
      </c>
      <c r="N1886" s="115" t="s">
        <v>177</v>
      </c>
      <c r="O1886" s="114" t="s">
        <v>178</v>
      </c>
      <c r="P1886" s="115"/>
    </row>
    <row r="1887" spans="2:16">
      <c r="B1887" s="20">
        <v>45177</v>
      </c>
      <c r="C1887" s="59">
        <v>50272278</v>
      </c>
      <c r="D1887" s="55" t="s">
        <v>21</v>
      </c>
      <c r="E1887" s="67">
        <v>500</v>
      </c>
      <c r="F1887" s="67">
        <v>10</v>
      </c>
      <c r="G1887" s="102">
        <v>5000</v>
      </c>
      <c r="H1887" s="56" t="s">
        <v>92</v>
      </c>
      <c r="K1887" s="56">
        <v>543</v>
      </c>
      <c r="L1887" s="114" t="s">
        <v>176</v>
      </c>
      <c r="M1887" s="114" t="s">
        <v>2824</v>
      </c>
      <c r="N1887" s="115" t="s">
        <v>177</v>
      </c>
      <c r="O1887" s="114" t="s">
        <v>178</v>
      </c>
      <c r="P1887" s="115"/>
    </row>
    <row r="1888" spans="2:16">
      <c r="B1888" s="20">
        <v>45177</v>
      </c>
      <c r="C1888" s="59">
        <v>50142350</v>
      </c>
      <c r="D1888" s="55" t="s">
        <v>212</v>
      </c>
      <c r="E1888" s="67">
        <v>282.5</v>
      </c>
      <c r="F1888" s="67">
        <v>1</v>
      </c>
      <c r="G1888" s="102">
        <v>282.5</v>
      </c>
      <c r="H1888" s="56" t="s">
        <v>82</v>
      </c>
      <c r="K1888" s="56">
        <v>543</v>
      </c>
      <c r="L1888" s="114" t="s">
        <v>176</v>
      </c>
      <c r="M1888" s="114" t="s">
        <v>2824</v>
      </c>
      <c r="N1888" s="115" t="s">
        <v>177</v>
      </c>
      <c r="O1888" s="114" t="s">
        <v>178</v>
      </c>
      <c r="P1888" s="115"/>
    </row>
    <row r="1889" spans="2:16">
      <c r="B1889" s="20">
        <v>45177</v>
      </c>
      <c r="C1889" s="59">
        <v>50142327</v>
      </c>
      <c r="D1889" s="55" t="s">
        <v>256</v>
      </c>
      <c r="E1889" s="67">
        <v>681</v>
      </c>
      <c r="F1889" s="67">
        <v>1</v>
      </c>
      <c r="G1889" s="102">
        <v>681</v>
      </c>
      <c r="H1889" s="56" t="s">
        <v>82</v>
      </c>
      <c r="K1889" s="56">
        <v>543</v>
      </c>
      <c r="L1889" s="114" t="s">
        <v>176</v>
      </c>
      <c r="M1889" s="114" t="s">
        <v>2824</v>
      </c>
      <c r="N1889" s="115" t="s">
        <v>177</v>
      </c>
      <c r="O1889" s="114" t="s">
        <v>178</v>
      </c>
      <c r="P1889" s="115"/>
    </row>
    <row r="1890" spans="2:16">
      <c r="B1890" s="20">
        <v>45177</v>
      </c>
      <c r="C1890" s="59">
        <v>50142334</v>
      </c>
      <c r="D1890" s="55" t="s">
        <v>257</v>
      </c>
      <c r="E1890" s="67">
        <v>681</v>
      </c>
      <c r="F1890" s="67">
        <v>2</v>
      </c>
      <c r="G1890" s="102">
        <v>1362</v>
      </c>
      <c r="H1890" s="56" t="s">
        <v>82</v>
      </c>
      <c r="K1890" s="56">
        <v>543</v>
      </c>
      <c r="L1890" s="114" t="s">
        <v>176</v>
      </c>
      <c r="M1890" s="114" t="s">
        <v>2824</v>
      </c>
      <c r="N1890" s="115" t="s">
        <v>177</v>
      </c>
      <c r="O1890" s="114" t="s">
        <v>178</v>
      </c>
      <c r="P1890" s="115"/>
    </row>
    <row r="1891" spans="2:16">
      <c r="B1891" s="20">
        <v>45177</v>
      </c>
      <c r="C1891" s="59">
        <v>50812974</v>
      </c>
      <c r="D1891" s="55" t="s">
        <v>822</v>
      </c>
      <c r="E1891" s="67">
        <v>289800</v>
      </c>
      <c r="F1891" s="67">
        <v>6</v>
      </c>
      <c r="G1891" s="102">
        <v>1738800</v>
      </c>
      <c r="H1891" s="56" t="s">
        <v>92</v>
      </c>
      <c r="K1891" s="56">
        <v>543</v>
      </c>
      <c r="L1891" s="114" t="s">
        <v>176</v>
      </c>
      <c r="M1891" s="114" t="s">
        <v>2824</v>
      </c>
      <c r="N1891" s="115" t="s">
        <v>177</v>
      </c>
      <c r="O1891" s="114" t="s">
        <v>178</v>
      </c>
      <c r="P1891" s="115"/>
    </row>
    <row r="1892" spans="2:16">
      <c r="B1892" s="20">
        <v>45177</v>
      </c>
      <c r="C1892" s="59">
        <v>50470190</v>
      </c>
      <c r="D1892" s="55" t="s">
        <v>12</v>
      </c>
      <c r="E1892" s="67">
        <v>289800</v>
      </c>
      <c r="F1892" s="67">
        <v>14</v>
      </c>
      <c r="G1892" s="102">
        <v>4057200</v>
      </c>
      <c r="H1892" s="56" t="s">
        <v>92</v>
      </c>
      <c r="K1892" s="56">
        <v>544</v>
      </c>
      <c r="L1892" s="114" t="s">
        <v>176</v>
      </c>
      <c r="M1892" s="114" t="s">
        <v>2824</v>
      </c>
      <c r="N1892" s="115" t="s">
        <v>177</v>
      </c>
      <c r="O1892" s="114" t="s">
        <v>178</v>
      </c>
      <c r="P1892" s="115"/>
    </row>
    <row r="1893" spans="2:16">
      <c r="B1893" s="20">
        <v>45177</v>
      </c>
      <c r="C1893" s="59">
        <v>50812974</v>
      </c>
      <c r="D1893" s="55" t="s">
        <v>822</v>
      </c>
      <c r="E1893" s="67">
        <v>289800</v>
      </c>
      <c r="F1893" s="67">
        <v>4</v>
      </c>
      <c r="G1893" s="102">
        <v>1159200</v>
      </c>
      <c r="H1893" s="56" t="s">
        <v>92</v>
      </c>
      <c r="K1893" s="56">
        <v>544</v>
      </c>
      <c r="L1893" s="114" t="s">
        <v>176</v>
      </c>
      <c r="M1893" s="114" t="s">
        <v>2824</v>
      </c>
      <c r="N1893" s="115" t="s">
        <v>177</v>
      </c>
      <c r="O1893" s="114" t="s">
        <v>178</v>
      </c>
      <c r="P1893" s="115"/>
    </row>
    <row r="1894" spans="2:16">
      <c r="B1894" s="20">
        <v>45177</v>
      </c>
      <c r="C1894" s="59">
        <v>50144334</v>
      </c>
      <c r="D1894" s="55" t="s">
        <v>426</v>
      </c>
      <c r="E1894" s="67">
        <v>750</v>
      </c>
      <c r="F1894" s="67">
        <v>1</v>
      </c>
      <c r="G1894" s="102">
        <v>750</v>
      </c>
      <c r="H1894" s="56" t="s">
        <v>82</v>
      </c>
      <c r="K1894" s="56">
        <v>545</v>
      </c>
      <c r="L1894" s="55" t="s">
        <v>326</v>
      </c>
      <c r="M1894" s="55" t="s">
        <v>326</v>
      </c>
      <c r="N1894" s="4" t="s">
        <v>2853</v>
      </c>
      <c r="O1894" s="114" t="s">
        <v>178</v>
      </c>
      <c r="P1894" s="115"/>
    </row>
    <row r="1895" spans="2:16">
      <c r="B1895" s="20">
        <v>45177</v>
      </c>
      <c r="C1895" s="59">
        <v>50145028</v>
      </c>
      <c r="D1895" s="55" t="s">
        <v>23</v>
      </c>
      <c r="E1895" s="67">
        <v>192</v>
      </c>
      <c r="F1895" s="67">
        <v>2</v>
      </c>
      <c r="G1895" s="102">
        <v>384</v>
      </c>
      <c r="H1895" s="56" t="s">
        <v>92</v>
      </c>
      <c r="K1895" s="56">
        <v>545</v>
      </c>
      <c r="L1895" s="55" t="s">
        <v>326</v>
      </c>
      <c r="M1895" s="55" t="s">
        <v>326</v>
      </c>
      <c r="N1895" s="4" t="s">
        <v>2853</v>
      </c>
      <c r="O1895" s="114" t="s">
        <v>178</v>
      </c>
      <c r="P1895" s="115"/>
    </row>
    <row r="1896" spans="2:16">
      <c r="B1896" s="20">
        <v>45180</v>
      </c>
      <c r="C1896" s="59">
        <v>50272278</v>
      </c>
      <c r="D1896" s="55" t="s">
        <v>21</v>
      </c>
      <c r="E1896" s="67">
        <v>500</v>
      </c>
      <c r="F1896" s="67">
        <v>15</v>
      </c>
      <c r="G1896" s="102">
        <v>7500</v>
      </c>
      <c r="H1896" s="56" t="s">
        <v>92</v>
      </c>
      <c r="K1896" s="56">
        <v>546</v>
      </c>
      <c r="L1896" s="114" t="s">
        <v>176</v>
      </c>
      <c r="M1896" s="114" t="s">
        <v>2824</v>
      </c>
      <c r="N1896" s="115" t="s">
        <v>177</v>
      </c>
      <c r="O1896" s="114" t="s">
        <v>178</v>
      </c>
      <c r="P1896" s="115"/>
    </row>
    <row r="1897" spans="2:16">
      <c r="B1897" s="20">
        <v>45180</v>
      </c>
      <c r="C1897" s="59">
        <v>50232060</v>
      </c>
      <c r="D1897" s="55" t="s">
        <v>361</v>
      </c>
      <c r="E1897" s="67">
        <v>264000</v>
      </c>
      <c r="F1897" s="67">
        <v>4</v>
      </c>
      <c r="G1897" s="102">
        <v>1056000</v>
      </c>
      <c r="H1897" s="56" t="s">
        <v>92</v>
      </c>
      <c r="K1897" s="56">
        <v>546</v>
      </c>
      <c r="L1897" s="114" t="s">
        <v>176</v>
      </c>
      <c r="M1897" s="114" t="s">
        <v>2824</v>
      </c>
      <c r="N1897" s="115" t="s">
        <v>177</v>
      </c>
      <c r="O1897" s="114" t="s">
        <v>178</v>
      </c>
      <c r="P1897" s="115"/>
    </row>
    <row r="1898" spans="2:16">
      <c r="B1898" s="20">
        <v>45180</v>
      </c>
      <c r="C1898" s="59">
        <v>40011080</v>
      </c>
      <c r="D1898" s="55" t="s">
        <v>420</v>
      </c>
      <c r="E1898" s="67">
        <v>450</v>
      </c>
      <c r="F1898" s="67">
        <v>3</v>
      </c>
      <c r="G1898" s="102">
        <v>1350</v>
      </c>
      <c r="H1898" s="56" t="s">
        <v>80</v>
      </c>
      <c r="K1898" s="56">
        <v>546</v>
      </c>
      <c r="L1898" s="114" t="s">
        <v>176</v>
      </c>
      <c r="M1898" s="114" t="s">
        <v>2824</v>
      </c>
      <c r="N1898" s="115" t="s">
        <v>177</v>
      </c>
      <c r="O1898" s="114" t="s">
        <v>178</v>
      </c>
      <c r="P1898" s="115"/>
    </row>
    <row r="1899" spans="2:16">
      <c r="B1899" s="20">
        <v>45180</v>
      </c>
      <c r="C1899" s="59">
        <v>50505025</v>
      </c>
      <c r="D1899" s="55" t="s">
        <v>994</v>
      </c>
      <c r="E1899" s="67">
        <v>7</v>
      </c>
      <c r="G1899" s="102">
        <v>7</v>
      </c>
      <c r="H1899" s="56" t="s">
        <v>92</v>
      </c>
      <c r="K1899" s="56">
        <v>546</v>
      </c>
      <c r="L1899" s="114" t="s">
        <v>176</v>
      </c>
      <c r="M1899" s="114" t="s">
        <v>2824</v>
      </c>
      <c r="N1899" s="115" t="s">
        <v>177</v>
      </c>
      <c r="O1899" s="114" t="s">
        <v>178</v>
      </c>
      <c r="P1899" s="115"/>
    </row>
    <row r="1900" spans="2:16">
      <c r="B1900" s="20">
        <v>45180</v>
      </c>
      <c r="C1900" s="59">
        <v>50449101</v>
      </c>
      <c r="D1900" s="55" t="s">
        <v>237</v>
      </c>
      <c r="E1900" s="67">
        <v>289800</v>
      </c>
      <c r="F1900" s="67">
        <v>2</v>
      </c>
      <c r="G1900" s="102">
        <v>579600</v>
      </c>
      <c r="H1900" s="56" t="s">
        <v>92</v>
      </c>
      <c r="K1900" s="56">
        <v>547</v>
      </c>
      <c r="L1900" s="114" t="s">
        <v>176</v>
      </c>
      <c r="M1900" s="114" t="s">
        <v>2824</v>
      </c>
      <c r="N1900" s="115" t="s">
        <v>177</v>
      </c>
      <c r="O1900" s="114" t="s">
        <v>178</v>
      </c>
      <c r="P1900" s="115"/>
    </row>
    <row r="1901" spans="2:16">
      <c r="B1901" s="20">
        <v>45180</v>
      </c>
      <c r="C1901" s="59">
        <v>40011148</v>
      </c>
      <c r="D1901" s="55" t="s">
        <v>86</v>
      </c>
      <c r="E1901" s="67">
        <v>450</v>
      </c>
      <c r="F1901" s="67">
        <v>2</v>
      </c>
      <c r="G1901" s="102">
        <v>900</v>
      </c>
      <c r="H1901" s="56" t="s">
        <v>80</v>
      </c>
      <c r="K1901" s="56">
        <v>547</v>
      </c>
      <c r="L1901" s="114" t="s">
        <v>176</v>
      </c>
      <c r="M1901" s="114" t="s">
        <v>2824</v>
      </c>
      <c r="N1901" s="115" t="s">
        <v>177</v>
      </c>
      <c r="O1901" s="114" t="s">
        <v>178</v>
      </c>
      <c r="P1901" s="115"/>
    </row>
    <row r="1902" spans="2:16">
      <c r="B1902" s="20">
        <v>45180</v>
      </c>
      <c r="C1902" s="59">
        <v>50142327</v>
      </c>
      <c r="D1902" s="55" t="s">
        <v>256</v>
      </c>
      <c r="E1902" s="67">
        <v>681</v>
      </c>
      <c r="F1902" s="67">
        <v>1</v>
      </c>
      <c r="G1902" s="102">
        <v>681</v>
      </c>
      <c r="H1902" s="56" t="s">
        <v>82</v>
      </c>
      <c r="K1902" s="56">
        <v>547</v>
      </c>
      <c r="L1902" s="114" t="s">
        <v>176</v>
      </c>
      <c r="M1902" s="114" t="s">
        <v>2824</v>
      </c>
      <c r="N1902" s="115" t="s">
        <v>177</v>
      </c>
      <c r="O1902" s="114" t="s">
        <v>178</v>
      </c>
      <c r="P1902" s="115"/>
    </row>
    <row r="1903" spans="2:16">
      <c r="B1903" s="20">
        <v>45180</v>
      </c>
      <c r="C1903" s="59">
        <v>50142334</v>
      </c>
      <c r="D1903" s="55" t="s">
        <v>257</v>
      </c>
      <c r="E1903" s="67">
        <v>681</v>
      </c>
      <c r="F1903" s="67">
        <v>1</v>
      </c>
      <c r="G1903" s="102">
        <v>681</v>
      </c>
      <c r="H1903" s="56" t="s">
        <v>82</v>
      </c>
      <c r="K1903" s="56">
        <v>547</v>
      </c>
      <c r="L1903" s="114" t="s">
        <v>176</v>
      </c>
      <c r="M1903" s="114" t="s">
        <v>2824</v>
      </c>
      <c r="N1903" s="115" t="s">
        <v>177</v>
      </c>
      <c r="O1903" s="114" t="s">
        <v>178</v>
      </c>
      <c r="P1903" s="115"/>
    </row>
    <row r="1904" spans="2:16">
      <c r="B1904" s="20">
        <v>45180</v>
      </c>
      <c r="C1904" s="59">
        <v>50805963</v>
      </c>
      <c r="D1904" s="55" t="s">
        <v>914</v>
      </c>
      <c r="E1904" s="67">
        <v>2544</v>
      </c>
      <c r="F1904" s="67">
        <v>1</v>
      </c>
      <c r="G1904" s="102">
        <v>2544</v>
      </c>
      <c r="H1904" s="56" t="s">
        <v>80</v>
      </c>
      <c r="K1904" s="56">
        <v>547</v>
      </c>
      <c r="L1904" s="114" t="s">
        <v>176</v>
      </c>
      <c r="M1904" s="114" t="s">
        <v>2824</v>
      </c>
      <c r="N1904" s="115" t="s">
        <v>177</v>
      </c>
      <c r="O1904" s="114" t="s">
        <v>178</v>
      </c>
      <c r="P1904" s="115"/>
    </row>
    <row r="1905" spans="2:16">
      <c r="B1905" s="20">
        <v>45180</v>
      </c>
      <c r="C1905" s="59">
        <v>50812974</v>
      </c>
      <c r="D1905" s="55" t="s">
        <v>822</v>
      </c>
      <c r="E1905" s="67">
        <v>289800</v>
      </c>
      <c r="F1905" s="67">
        <v>3</v>
      </c>
      <c r="G1905" s="102">
        <v>869400</v>
      </c>
      <c r="H1905" s="56" t="s">
        <v>92</v>
      </c>
      <c r="K1905" s="56">
        <v>547</v>
      </c>
      <c r="L1905" s="114" t="s">
        <v>176</v>
      </c>
      <c r="M1905" s="114" t="s">
        <v>2824</v>
      </c>
      <c r="N1905" s="115" t="s">
        <v>177</v>
      </c>
      <c r="O1905" s="114" t="s">
        <v>178</v>
      </c>
      <c r="P1905" s="115"/>
    </row>
    <row r="1906" spans="2:16">
      <c r="B1906" s="20">
        <v>45180</v>
      </c>
      <c r="C1906" s="59">
        <v>50010080</v>
      </c>
      <c r="D1906" s="55" t="s">
        <v>354</v>
      </c>
      <c r="E1906" s="67">
        <v>1000</v>
      </c>
      <c r="F1906" s="67">
        <v>2</v>
      </c>
      <c r="G1906" s="102">
        <v>2000</v>
      </c>
      <c r="H1906" s="56" t="s">
        <v>82</v>
      </c>
      <c r="K1906" s="56">
        <v>547</v>
      </c>
      <c r="L1906" s="114" t="s">
        <v>176</v>
      </c>
      <c r="M1906" s="114" t="s">
        <v>2824</v>
      </c>
      <c r="N1906" s="115" t="s">
        <v>177</v>
      </c>
      <c r="O1906" s="114" t="s">
        <v>178</v>
      </c>
      <c r="P1906" s="115"/>
    </row>
    <row r="1907" spans="2:16">
      <c r="B1907" s="20">
        <v>45180</v>
      </c>
      <c r="C1907" s="59">
        <v>40013313</v>
      </c>
      <c r="D1907" s="55" t="s">
        <v>996</v>
      </c>
      <c r="E1907" s="67">
        <v>3282</v>
      </c>
      <c r="F1907" s="67">
        <v>1</v>
      </c>
      <c r="G1907" s="102">
        <v>3282</v>
      </c>
      <c r="H1907" s="56" t="s">
        <v>80</v>
      </c>
      <c r="K1907" s="56">
        <v>547</v>
      </c>
      <c r="L1907" s="114" t="s">
        <v>176</v>
      </c>
      <c r="M1907" s="114" t="s">
        <v>2824</v>
      </c>
      <c r="N1907" s="115" t="s">
        <v>177</v>
      </c>
      <c r="O1907" s="114" t="s">
        <v>178</v>
      </c>
      <c r="P1907" s="115"/>
    </row>
    <row r="1908" spans="2:16">
      <c r="B1908" s="20">
        <v>45180</v>
      </c>
      <c r="C1908" s="59">
        <v>50272278</v>
      </c>
      <c r="D1908" s="55" t="s">
        <v>21</v>
      </c>
      <c r="E1908" s="67">
        <v>500</v>
      </c>
      <c r="F1908" s="67">
        <v>2</v>
      </c>
      <c r="G1908" s="102">
        <v>1500</v>
      </c>
      <c r="H1908" s="56" t="s">
        <v>92</v>
      </c>
      <c r="K1908" s="56">
        <v>547</v>
      </c>
      <c r="L1908" s="114" t="s">
        <v>176</v>
      </c>
      <c r="M1908" s="114" t="s">
        <v>2824</v>
      </c>
      <c r="N1908" s="115" t="s">
        <v>177</v>
      </c>
      <c r="O1908" s="114" t="s">
        <v>178</v>
      </c>
      <c r="P1908" s="115"/>
    </row>
    <row r="1909" spans="2:16">
      <c r="B1909" s="20">
        <v>45180</v>
      </c>
      <c r="C1909" s="59">
        <v>50369034</v>
      </c>
      <c r="D1909" s="55" t="s">
        <v>322</v>
      </c>
      <c r="E1909" s="67">
        <v>235</v>
      </c>
      <c r="F1909" s="67">
        <v>4</v>
      </c>
      <c r="G1909" s="102">
        <v>1964.25</v>
      </c>
      <c r="H1909" s="56" t="s">
        <v>82</v>
      </c>
      <c r="K1909" s="56">
        <v>547</v>
      </c>
      <c r="L1909" s="114" t="s">
        <v>176</v>
      </c>
      <c r="M1909" s="114" t="s">
        <v>2824</v>
      </c>
      <c r="N1909" s="115" t="s">
        <v>177</v>
      </c>
      <c r="O1909" s="114" t="s">
        <v>178</v>
      </c>
      <c r="P1909" s="115"/>
    </row>
    <row r="1910" spans="2:16">
      <c r="B1910" s="20">
        <v>45181</v>
      </c>
      <c r="C1910" s="59">
        <v>40010086</v>
      </c>
      <c r="D1910" s="55" t="s">
        <v>79</v>
      </c>
      <c r="E1910" s="67">
        <v>3528</v>
      </c>
      <c r="F1910" s="67">
        <v>1</v>
      </c>
      <c r="G1910" s="102">
        <v>3528</v>
      </c>
      <c r="H1910" s="56" t="s">
        <v>80</v>
      </c>
      <c r="K1910" s="56">
        <v>548</v>
      </c>
      <c r="L1910" s="114" t="s">
        <v>176</v>
      </c>
      <c r="M1910" s="114" t="s">
        <v>2824</v>
      </c>
      <c r="N1910" s="115" t="s">
        <v>177</v>
      </c>
      <c r="O1910" s="114" t="s">
        <v>178</v>
      </c>
      <c r="P1910" s="115"/>
    </row>
    <row r="1911" spans="2:16">
      <c r="B1911" s="20">
        <v>45181</v>
      </c>
      <c r="C1911" s="59">
        <v>40011130</v>
      </c>
      <c r="D1911" s="55" t="s">
        <v>631</v>
      </c>
      <c r="E1911" s="67">
        <v>2940</v>
      </c>
      <c r="F1911" s="67">
        <v>3</v>
      </c>
      <c r="G1911" s="102">
        <v>6699</v>
      </c>
      <c r="H1911" s="56" t="s">
        <v>80</v>
      </c>
      <c r="K1911" s="56">
        <v>548</v>
      </c>
      <c r="L1911" s="114" t="s">
        <v>176</v>
      </c>
      <c r="M1911" s="114" t="s">
        <v>2824</v>
      </c>
      <c r="N1911" s="115" t="s">
        <v>177</v>
      </c>
      <c r="O1911" s="114" t="s">
        <v>178</v>
      </c>
      <c r="P1911" s="115"/>
    </row>
    <row r="1912" spans="2:16">
      <c r="B1912" s="20">
        <v>45181</v>
      </c>
      <c r="C1912" s="59">
        <v>40011133</v>
      </c>
      <c r="D1912" s="55" t="s">
        <v>634</v>
      </c>
      <c r="E1912" s="67">
        <v>756</v>
      </c>
      <c r="F1912" s="67">
        <v>4</v>
      </c>
      <c r="G1912" s="102">
        <v>2700</v>
      </c>
      <c r="H1912" s="56" t="s">
        <v>80</v>
      </c>
      <c r="K1912" s="56">
        <v>548</v>
      </c>
      <c r="L1912" s="114" t="s">
        <v>176</v>
      </c>
      <c r="M1912" s="114" t="s">
        <v>2824</v>
      </c>
      <c r="N1912" s="115" t="s">
        <v>177</v>
      </c>
      <c r="O1912" s="114" t="s">
        <v>178</v>
      </c>
      <c r="P1912" s="115"/>
    </row>
    <row r="1913" spans="2:16">
      <c r="B1913" s="20">
        <v>45181</v>
      </c>
      <c r="C1913" s="59">
        <v>50809143</v>
      </c>
      <c r="D1913" s="55" t="s">
        <v>997</v>
      </c>
      <c r="E1913" s="67">
        <v>555</v>
      </c>
      <c r="F1913" s="67">
        <v>5</v>
      </c>
      <c r="G1913" s="102">
        <v>2507.05</v>
      </c>
      <c r="H1913" s="56" t="s">
        <v>82</v>
      </c>
      <c r="K1913" s="56">
        <v>548</v>
      </c>
      <c r="L1913" s="114" t="s">
        <v>176</v>
      </c>
      <c r="M1913" s="114" t="s">
        <v>2824</v>
      </c>
      <c r="N1913" s="115" t="s">
        <v>177</v>
      </c>
      <c r="O1913" s="114" t="s">
        <v>178</v>
      </c>
      <c r="P1913" s="115"/>
    </row>
    <row r="1914" spans="2:16">
      <c r="B1914" s="20">
        <v>45181</v>
      </c>
      <c r="C1914" s="59">
        <v>40011080</v>
      </c>
      <c r="D1914" s="55" t="s">
        <v>420</v>
      </c>
      <c r="E1914" s="67">
        <v>450</v>
      </c>
      <c r="F1914" s="67">
        <v>1</v>
      </c>
      <c r="G1914" s="102">
        <v>450</v>
      </c>
      <c r="H1914" s="56" t="s">
        <v>80</v>
      </c>
      <c r="K1914" s="56">
        <v>548</v>
      </c>
      <c r="L1914" s="114" t="s">
        <v>176</v>
      </c>
      <c r="M1914" s="114" t="s">
        <v>2824</v>
      </c>
      <c r="N1914" s="115" t="s">
        <v>177</v>
      </c>
      <c r="O1914" s="114" t="s">
        <v>178</v>
      </c>
      <c r="P1914" s="115"/>
    </row>
    <row r="1915" spans="2:16">
      <c r="B1915" s="20">
        <v>45181</v>
      </c>
      <c r="C1915" s="59">
        <v>50507916</v>
      </c>
      <c r="D1915" s="55" t="s">
        <v>406</v>
      </c>
      <c r="E1915" s="67">
        <v>264000</v>
      </c>
      <c r="F1915" s="67">
        <v>6</v>
      </c>
      <c r="G1915" s="102">
        <v>1584000</v>
      </c>
      <c r="H1915" s="56" t="s">
        <v>92</v>
      </c>
      <c r="K1915" s="56">
        <v>548</v>
      </c>
      <c r="L1915" s="114" t="s">
        <v>176</v>
      </c>
      <c r="M1915" s="114" t="s">
        <v>2824</v>
      </c>
      <c r="N1915" s="115" t="s">
        <v>177</v>
      </c>
      <c r="O1915" s="114" t="s">
        <v>178</v>
      </c>
      <c r="P1915" s="115"/>
    </row>
    <row r="1916" spans="2:16">
      <c r="B1916" s="20">
        <v>45181</v>
      </c>
      <c r="C1916" s="59">
        <v>50809145</v>
      </c>
      <c r="D1916" s="55" t="s">
        <v>946</v>
      </c>
      <c r="E1916" s="67">
        <v>421</v>
      </c>
      <c r="F1916" s="67">
        <v>2</v>
      </c>
      <c r="G1916" s="102">
        <v>1011.75</v>
      </c>
      <c r="H1916" s="56" t="s">
        <v>82</v>
      </c>
      <c r="K1916" s="56">
        <v>548</v>
      </c>
      <c r="L1916" s="114" t="s">
        <v>176</v>
      </c>
      <c r="M1916" s="114" t="s">
        <v>2824</v>
      </c>
      <c r="N1916" s="115" t="s">
        <v>177</v>
      </c>
      <c r="O1916" s="114" t="s">
        <v>178</v>
      </c>
      <c r="P1916" s="115"/>
    </row>
    <row r="1917" spans="2:16">
      <c r="B1917" s="20">
        <v>45182</v>
      </c>
      <c r="C1917" s="59">
        <v>50272278</v>
      </c>
      <c r="D1917" s="55" t="s">
        <v>21</v>
      </c>
      <c r="E1917" s="67">
        <v>500</v>
      </c>
      <c r="G1917" s="102">
        <v>500</v>
      </c>
      <c r="H1917" s="56" t="s">
        <v>92</v>
      </c>
      <c r="K1917" s="56">
        <v>549</v>
      </c>
      <c r="M1917" s="55" t="s">
        <v>326</v>
      </c>
      <c r="O1917" s="114" t="s">
        <v>178</v>
      </c>
      <c r="P1917" s="115"/>
    </row>
    <row r="1918" spans="2:16">
      <c r="B1918" s="20">
        <v>45183</v>
      </c>
      <c r="C1918" s="59">
        <v>40009546</v>
      </c>
      <c r="D1918" s="55" t="s">
        <v>174</v>
      </c>
      <c r="E1918" s="67">
        <v>756</v>
      </c>
      <c r="F1918" s="67">
        <v>5</v>
      </c>
      <c r="G1918" s="102">
        <v>3780</v>
      </c>
      <c r="H1918" s="56" t="s">
        <v>80</v>
      </c>
      <c r="K1918" s="56">
        <v>550</v>
      </c>
      <c r="L1918" s="55" t="s">
        <v>176</v>
      </c>
      <c r="M1918" s="55" t="s">
        <v>2824</v>
      </c>
      <c r="N1918" s="4" t="s">
        <v>177</v>
      </c>
      <c r="O1918" s="55" t="s">
        <v>178</v>
      </c>
    </row>
    <row r="1919" spans="2:16">
      <c r="B1919" s="20">
        <v>45183</v>
      </c>
      <c r="C1919" s="59">
        <v>40011080</v>
      </c>
      <c r="D1919" s="55" t="s">
        <v>420</v>
      </c>
      <c r="E1919" s="67">
        <v>450</v>
      </c>
      <c r="F1919" s="67">
        <v>3</v>
      </c>
      <c r="G1919" s="102">
        <v>1350</v>
      </c>
      <c r="H1919" s="56" t="s">
        <v>80</v>
      </c>
      <c r="K1919" s="56">
        <v>550</v>
      </c>
      <c r="L1919" s="55" t="s">
        <v>176</v>
      </c>
      <c r="M1919" s="55" t="s">
        <v>2824</v>
      </c>
      <c r="N1919" s="4" t="s">
        <v>177</v>
      </c>
      <c r="O1919" s="55" t="s">
        <v>178</v>
      </c>
    </row>
    <row r="1920" spans="2:16">
      <c r="B1920" s="20">
        <v>45183</v>
      </c>
      <c r="C1920" s="59">
        <v>50470190</v>
      </c>
      <c r="D1920" s="55" t="s">
        <v>12</v>
      </c>
      <c r="E1920" s="67">
        <v>289800</v>
      </c>
      <c r="F1920" s="67">
        <v>8</v>
      </c>
      <c r="G1920" s="102">
        <v>2318400</v>
      </c>
      <c r="H1920" s="56" t="s">
        <v>92</v>
      </c>
      <c r="K1920" s="56">
        <v>550</v>
      </c>
      <c r="L1920" s="55" t="s">
        <v>176</v>
      </c>
      <c r="M1920" s="55" t="s">
        <v>2824</v>
      </c>
      <c r="N1920" s="4" t="s">
        <v>177</v>
      </c>
      <c r="O1920" s="55" t="s">
        <v>178</v>
      </c>
    </row>
    <row r="1921" spans="2:15">
      <c r="B1921" s="20">
        <v>45183</v>
      </c>
      <c r="C1921" s="59">
        <v>50142327</v>
      </c>
      <c r="D1921" s="55" t="s">
        <v>256</v>
      </c>
      <c r="E1921" s="67">
        <v>681</v>
      </c>
      <c r="F1921" s="67">
        <v>2</v>
      </c>
      <c r="G1921" s="102">
        <v>1362</v>
      </c>
      <c r="H1921" s="56" t="s">
        <v>82</v>
      </c>
      <c r="K1921" s="56">
        <v>550</v>
      </c>
      <c r="L1921" s="55" t="s">
        <v>176</v>
      </c>
      <c r="M1921" s="55" t="s">
        <v>2824</v>
      </c>
      <c r="N1921" s="4" t="s">
        <v>177</v>
      </c>
      <c r="O1921" s="55" t="s">
        <v>178</v>
      </c>
    </row>
    <row r="1922" spans="2:15">
      <c r="B1922" s="20">
        <v>45183</v>
      </c>
      <c r="C1922" s="59">
        <v>50142334</v>
      </c>
      <c r="D1922" s="55" t="s">
        <v>257</v>
      </c>
      <c r="E1922" s="67">
        <v>681</v>
      </c>
      <c r="F1922" s="67">
        <v>2</v>
      </c>
      <c r="G1922" s="102">
        <v>1362</v>
      </c>
      <c r="H1922" s="56" t="s">
        <v>82</v>
      </c>
      <c r="K1922" s="56">
        <v>550</v>
      </c>
      <c r="L1922" s="55" t="s">
        <v>176</v>
      </c>
      <c r="M1922" s="55" t="s">
        <v>2824</v>
      </c>
      <c r="N1922" s="4" t="s">
        <v>177</v>
      </c>
      <c r="O1922" s="55" t="s">
        <v>178</v>
      </c>
    </row>
    <row r="1923" spans="2:15">
      <c r="B1923" s="20">
        <v>45184</v>
      </c>
      <c r="C1923" s="59">
        <v>50142330</v>
      </c>
      <c r="D1923" s="55" t="s">
        <v>195</v>
      </c>
      <c r="E1923" s="67">
        <v>359.28</v>
      </c>
      <c r="F1923" s="67">
        <v>1</v>
      </c>
      <c r="G1923" s="102">
        <v>359.28</v>
      </c>
      <c r="H1923" s="56" t="s">
        <v>82</v>
      </c>
      <c r="K1923" s="56">
        <v>551</v>
      </c>
      <c r="L1923" s="55" t="s">
        <v>176</v>
      </c>
      <c r="M1923" s="55" t="s">
        <v>2824</v>
      </c>
      <c r="N1923" s="4" t="s">
        <v>177</v>
      </c>
      <c r="O1923" s="55" t="s">
        <v>178</v>
      </c>
    </row>
    <row r="1924" spans="2:15">
      <c r="B1924" s="20">
        <v>45184</v>
      </c>
      <c r="C1924" s="59">
        <v>50143875</v>
      </c>
      <c r="D1924" s="55" t="s">
        <v>713</v>
      </c>
      <c r="E1924" s="67">
        <v>400</v>
      </c>
      <c r="F1924" s="67">
        <v>1</v>
      </c>
      <c r="G1924" s="102">
        <v>5450</v>
      </c>
      <c r="H1924" s="56" t="s">
        <v>92</v>
      </c>
      <c r="K1924" s="56">
        <v>551</v>
      </c>
      <c r="L1924" s="55" t="s">
        <v>176</v>
      </c>
      <c r="M1924" s="55" t="s">
        <v>2824</v>
      </c>
      <c r="N1924" s="4" t="s">
        <v>177</v>
      </c>
      <c r="O1924" s="55" t="s">
        <v>178</v>
      </c>
    </row>
    <row r="1925" spans="2:15">
      <c r="B1925" s="20">
        <v>45184</v>
      </c>
      <c r="C1925" s="59">
        <v>40007941</v>
      </c>
      <c r="D1925" s="55" t="s">
        <v>211</v>
      </c>
      <c r="E1925" s="67">
        <v>756</v>
      </c>
      <c r="F1925" s="67">
        <v>2</v>
      </c>
      <c r="G1925" s="102">
        <v>1512</v>
      </c>
      <c r="H1925" s="56" t="s">
        <v>80</v>
      </c>
      <c r="K1925" s="56">
        <v>551</v>
      </c>
      <c r="L1925" s="55" t="s">
        <v>176</v>
      </c>
      <c r="M1925" s="55" t="s">
        <v>2824</v>
      </c>
      <c r="N1925" s="4" t="s">
        <v>177</v>
      </c>
      <c r="O1925" s="55" t="s">
        <v>178</v>
      </c>
    </row>
    <row r="1926" spans="2:15">
      <c r="B1926" s="20">
        <v>45184</v>
      </c>
      <c r="C1926" s="59">
        <v>50142281</v>
      </c>
      <c r="D1926" s="55" t="s">
        <v>204</v>
      </c>
      <c r="E1926" s="67">
        <v>450</v>
      </c>
      <c r="F1926" s="67">
        <v>1</v>
      </c>
      <c r="G1926" s="102">
        <v>450</v>
      </c>
      <c r="H1926" s="56" t="s">
        <v>82</v>
      </c>
      <c r="K1926" s="56">
        <v>551</v>
      </c>
      <c r="L1926" s="55" t="s">
        <v>176</v>
      </c>
      <c r="M1926" s="55" t="s">
        <v>2824</v>
      </c>
      <c r="N1926" s="4" t="s">
        <v>177</v>
      </c>
      <c r="O1926" s="55" t="s">
        <v>178</v>
      </c>
    </row>
    <row r="1927" spans="2:15">
      <c r="B1927" s="20">
        <v>45184</v>
      </c>
      <c r="C1927" s="59">
        <v>50507916</v>
      </c>
      <c r="D1927" s="55" t="s">
        <v>406</v>
      </c>
      <c r="E1927" s="67">
        <v>264000</v>
      </c>
      <c r="F1927" s="67">
        <v>2</v>
      </c>
      <c r="G1927" s="102">
        <v>528000</v>
      </c>
      <c r="H1927" s="56" t="s">
        <v>92</v>
      </c>
      <c r="K1927" s="56">
        <v>551</v>
      </c>
      <c r="L1927" s="55" t="s">
        <v>176</v>
      </c>
      <c r="M1927" s="55" t="s">
        <v>2824</v>
      </c>
      <c r="N1927" s="4" t="s">
        <v>177</v>
      </c>
      <c r="O1927" s="55" t="s">
        <v>178</v>
      </c>
    </row>
    <row r="1928" spans="2:15">
      <c r="B1928" s="20">
        <v>45184</v>
      </c>
      <c r="C1928" s="59">
        <v>50449101</v>
      </c>
      <c r="D1928" s="55" t="s">
        <v>237</v>
      </c>
      <c r="E1928" s="67">
        <v>289800</v>
      </c>
      <c r="F1928" s="67">
        <v>2</v>
      </c>
      <c r="G1928" s="102">
        <v>579600</v>
      </c>
      <c r="H1928" s="56" t="s">
        <v>92</v>
      </c>
      <c r="K1928" s="56">
        <v>551</v>
      </c>
      <c r="L1928" s="55" t="s">
        <v>176</v>
      </c>
      <c r="M1928" s="55" t="s">
        <v>2824</v>
      </c>
      <c r="N1928" s="4" t="s">
        <v>177</v>
      </c>
      <c r="O1928" s="55" t="s">
        <v>178</v>
      </c>
    </row>
    <row r="1929" spans="2:15">
      <c r="B1929" s="20">
        <v>45184</v>
      </c>
      <c r="C1929" s="59">
        <v>40011659</v>
      </c>
      <c r="D1929" s="55" t="s">
        <v>89</v>
      </c>
      <c r="E1929" s="67">
        <v>360</v>
      </c>
      <c r="F1929" s="67">
        <v>2</v>
      </c>
      <c r="G1929" s="102">
        <v>720</v>
      </c>
      <c r="H1929" s="56" t="s">
        <v>80</v>
      </c>
      <c r="K1929" s="56">
        <v>551</v>
      </c>
      <c r="L1929" s="55" t="s">
        <v>176</v>
      </c>
      <c r="M1929" s="55" t="s">
        <v>2824</v>
      </c>
      <c r="N1929" s="4" t="s">
        <v>177</v>
      </c>
      <c r="O1929" s="55" t="s">
        <v>178</v>
      </c>
    </row>
    <row r="1930" spans="2:15">
      <c r="B1930" s="20">
        <v>45184</v>
      </c>
      <c r="C1930" s="59">
        <v>50812974</v>
      </c>
      <c r="D1930" s="55" t="s">
        <v>822</v>
      </c>
      <c r="E1930" s="67">
        <v>289800</v>
      </c>
      <c r="F1930" s="67">
        <v>8</v>
      </c>
      <c r="G1930" s="102">
        <v>2318400</v>
      </c>
      <c r="H1930" s="56" t="s">
        <v>92</v>
      </c>
      <c r="K1930" s="56">
        <v>551</v>
      </c>
      <c r="L1930" s="55" t="s">
        <v>176</v>
      </c>
      <c r="M1930" s="55" t="s">
        <v>2824</v>
      </c>
      <c r="N1930" s="4" t="s">
        <v>177</v>
      </c>
      <c r="O1930" s="55" t="s">
        <v>178</v>
      </c>
    </row>
    <row r="1931" spans="2:15">
      <c r="B1931" s="20">
        <v>45186</v>
      </c>
      <c r="C1931" s="59">
        <v>50812974</v>
      </c>
      <c r="D1931" s="55" t="s">
        <v>822</v>
      </c>
      <c r="E1931" s="67">
        <v>289800</v>
      </c>
      <c r="F1931" s="67">
        <v>10</v>
      </c>
      <c r="G1931" s="102">
        <v>2898000</v>
      </c>
      <c r="H1931" s="56" t="s">
        <v>92</v>
      </c>
      <c r="K1931" s="56">
        <v>552</v>
      </c>
      <c r="L1931" s="55" t="s">
        <v>176</v>
      </c>
      <c r="M1931" s="55" t="s">
        <v>2824</v>
      </c>
      <c r="N1931" s="4" t="s">
        <v>177</v>
      </c>
      <c r="O1931" s="55" t="s">
        <v>178</v>
      </c>
    </row>
    <row r="1932" spans="2:15">
      <c r="B1932" s="20">
        <v>45187</v>
      </c>
      <c r="C1932" s="59">
        <v>50271800</v>
      </c>
      <c r="D1932" s="55" t="s">
        <v>313</v>
      </c>
      <c r="E1932" s="78">
        <v>6636000</v>
      </c>
      <c r="F1932" s="67">
        <v>1</v>
      </c>
      <c r="G1932" s="102">
        <v>6636000</v>
      </c>
      <c r="H1932" s="56" t="s">
        <v>92</v>
      </c>
      <c r="K1932" s="56">
        <v>553</v>
      </c>
      <c r="L1932" s="55" t="s">
        <v>176</v>
      </c>
      <c r="M1932" s="55" t="s">
        <v>2824</v>
      </c>
      <c r="N1932" s="4" t="s">
        <v>177</v>
      </c>
      <c r="O1932" s="55" t="s">
        <v>178</v>
      </c>
    </row>
    <row r="1933" spans="2:15">
      <c r="B1933" s="20">
        <v>45187</v>
      </c>
      <c r="C1933" s="59">
        <v>50271801</v>
      </c>
      <c r="D1933" s="55" t="s">
        <v>222</v>
      </c>
      <c r="E1933" s="78">
        <v>6654000</v>
      </c>
      <c r="F1933" s="67">
        <v>1</v>
      </c>
      <c r="G1933" s="102">
        <v>6654000</v>
      </c>
      <c r="H1933" s="56" t="s">
        <v>92</v>
      </c>
      <c r="K1933" s="56">
        <v>553</v>
      </c>
      <c r="L1933" s="55" t="s">
        <v>176</v>
      </c>
      <c r="M1933" s="55" t="s">
        <v>2824</v>
      </c>
      <c r="N1933" s="4" t="s">
        <v>177</v>
      </c>
      <c r="O1933" s="55" t="s">
        <v>178</v>
      </c>
    </row>
    <row r="1934" spans="2:15">
      <c r="B1934" s="20">
        <v>45187</v>
      </c>
      <c r="C1934" s="59">
        <v>50271740</v>
      </c>
      <c r="D1934" s="55" t="s">
        <v>314</v>
      </c>
      <c r="E1934" s="78">
        <v>1512000</v>
      </c>
      <c r="F1934" s="67">
        <v>1</v>
      </c>
      <c r="G1934" s="102">
        <v>1512000</v>
      </c>
      <c r="H1934" s="56" t="s">
        <v>92</v>
      </c>
      <c r="K1934" s="56">
        <v>553</v>
      </c>
      <c r="L1934" s="55" t="s">
        <v>176</v>
      </c>
      <c r="M1934" s="55" t="s">
        <v>2824</v>
      </c>
      <c r="N1934" s="4" t="s">
        <v>177</v>
      </c>
      <c r="O1934" s="55" t="s">
        <v>178</v>
      </c>
    </row>
    <row r="1935" spans="2:15">
      <c r="B1935" s="20">
        <v>45187</v>
      </c>
      <c r="C1935" s="59">
        <v>50804929</v>
      </c>
      <c r="D1935" s="55" t="s">
        <v>856</v>
      </c>
      <c r="E1935" s="78">
        <v>48000</v>
      </c>
      <c r="F1935" s="67">
        <v>1</v>
      </c>
      <c r="G1935" s="102">
        <v>48000</v>
      </c>
      <c r="H1935" s="56" t="s">
        <v>92</v>
      </c>
      <c r="K1935" s="56">
        <v>553</v>
      </c>
      <c r="L1935" s="55" t="s">
        <v>176</v>
      </c>
      <c r="M1935" s="55" t="s">
        <v>2824</v>
      </c>
      <c r="N1935" s="4" t="s">
        <v>177</v>
      </c>
      <c r="O1935" s="55" t="s">
        <v>178</v>
      </c>
    </row>
    <row r="1936" spans="2:15">
      <c r="B1936" s="20">
        <v>45187</v>
      </c>
      <c r="C1936" s="59">
        <v>50502627</v>
      </c>
      <c r="D1936" s="55" t="s">
        <v>1003</v>
      </c>
      <c r="E1936" s="78">
        <v>36000</v>
      </c>
      <c r="F1936" s="67">
        <v>1</v>
      </c>
      <c r="G1936" s="102">
        <v>36000</v>
      </c>
      <c r="H1936" s="56" t="s">
        <v>92</v>
      </c>
      <c r="K1936" s="56">
        <v>553</v>
      </c>
      <c r="L1936" s="55" t="s">
        <v>176</v>
      </c>
      <c r="M1936" s="55" t="s">
        <v>2824</v>
      </c>
      <c r="N1936" s="4" t="s">
        <v>177</v>
      </c>
      <c r="O1936" s="55" t="s">
        <v>178</v>
      </c>
    </row>
    <row r="1937" spans="2:15">
      <c r="B1937" s="20">
        <v>45187</v>
      </c>
      <c r="C1937" s="59">
        <v>50141786</v>
      </c>
      <c r="D1937" s="55" t="s">
        <v>188</v>
      </c>
      <c r="E1937" s="67">
        <v>560</v>
      </c>
      <c r="F1937" s="67">
        <v>8</v>
      </c>
      <c r="G1937" s="102">
        <v>4480</v>
      </c>
      <c r="H1937" s="56" t="s">
        <v>82</v>
      </c>
      <c r="K1937" s="56">
        <v>553</v>
      </c>
      <c r="L1937" s="55" t="s">
        <v>176</v>
      </c>
      <c r="M1937" s="55" t="s">
        <v>2824</v>
      </c>
      <c r="N1937" s="4" t="s">
        <v>177</v>
      </c>
      <c r="O1937" s="55" t="s">
        <v>178</v>
      </c>
    </row>
    <row r="1938" spans="2:15">
      <c r="B1938" s="20">
        <v>45187</v>
      </c>
      <c r="C1938" s="59">
        <v>50141786</v>
      </c>
      <c r="D1938" s="55" t="s">
        <v>188</v>
      </c>
      <c r="E1938" s="67">
        <v>560</v>
      </c>
      <c r="F1938" s="67">
        <v>5</v>
      </c>
      <c r="G1938" s="102">
        <v>2800</v>
      </c>
      <c r="H1938" s="56" t="s">
        <v>82</v>
      </c>
      <c r="K1938" s="56">
        <v>554</v>
      </c>
      <c r="L1938" s="55" t="s">
        <v>176</v>
      </c>
      <c r="M1938" s="55" t="s">
        <v>2824</v>
      </c>
      <c r="N1938" s="4" t="s">
        <v>177</v>
      </c>
      <c r="O1938" s="55" t="s">
        <v>178</v>
      </c>
    </row>
    <row r="1939" spans="2:15">
      <c r="B1939" s="20">
        <v>45187</v>
      </c>
      <c r="C1939" s="59">
        <v>50812974</v>
      </c>
      <c r="D1939" s="55" t="s">
        <v>822</v>
      </c>
      <c r="E1939" s="67">
        <v>289800</v>
      </c>
      <c r="F1939" s="67">
        <v>5</v>
      </c>
      <c r="G1939" s="102">
        <v>3767400</v>
      </c>
      <c r="H1939" s="56" t="s">
        <v>92</v>
      </c>
      <c r="K1939" s="56">
        <v>554</v>
      </c>
      <c r="L1939" s="55" t="s">
        <v>176</v>
      </c>
      <c r="M1939" s="55" t="s">
        <v>2824</v>
      </c>
      <c r="N1939" s="4" t="s">
        <v>177</v>
      </c>
      <c r="O1939" s="55" t="s">
        <v>178</v>
      </c>
    </row>
    <row r="1940" spans="2:15">
      <c r="B1940" s="20">
        <v>45188</v>
      </c>
      <c r="C1940" s="59">
        <v>50141786</v>
      </c>
      <c r="D1940" s="55" t="s">
        <v>188</v>
      </c>
      <c r="E1940" s="67">
        <v>560</v>
      </c>
      <c r="F1940" s="67">
        <v>11</v>
      </c>
      <c r="G1940" s="102">
        <v>6160</v>
      </c>
      <c r="H1940" s="56" t="s">
        <v>82</v>
      </c>
      <c r="K1940" s="56">
        <v>555</v>
      </c>
      <c r="L1940" s="55" t="s">
        <v>176</v>
      </c>
      <c r="M1940" s="55" t="s">
        <v>2824</v>
      </c>
      <c r="N1940" s="4" t="s">
        <v>177</v>
      </c>
      <c r="O1940" s="55" t="s">
        <v>178</v>
      </c>
    </row>
    <row r="1941" spans="2:15">
      <c r="B1941" s="20">
        <v>45188</v>
      </c>
      <c r="C1941" s="59">
        <v>50010080</v>
      </c>
      <c r="D1941" s="55" t="s">
        <v>354</v>
      </c>
      <c r="E1941" s="67">
        <v>1000</v>
      </c>
      <c r="F1941" s="67">
        <v>4</v>
      </c>
      <c r="G1941" s="102">
        <v>4000</v>
      </c>
      <c r="H1941" s="56" t="s">
        <v>82</v>
      </c>
      <c r="K1941" s="56">
        <v>555</v>
      </c>
      <c r="L1941" s="55" t="s">
        <v>176</v>
      </c>
      <c r="M1941" s="55" t="s">
        <v>2824</v>
      </c>
      <c r="N1941" s="4" t="s">
        <v>177</v>
      </c>
      <c r="O1941" s="55" t="s">
        <v>178</v>
      </c>
    </row>
    <row r="1942" spans="2:15">
      <c r="B1942" s="20">
        <v>45188</v>
      </c>
      <c r="C1942" s="59">
        <v>40010087</v>
      </c>
      <c r="D1942" s="55" t="s">
        <v>387</v>
      </c>
      <c r="E1942" s="67">
        <v>756</v>
      </c>
      <c r="F1942" s="67">
        <v>2</v>
      </c>
      <c r="G1942" s="102">
        <v>1410</v>
      </c>
      <c r="H1942" s="56" t="s">
        <v>80</v>
      </c>
      <c r="K1942" s="56">
        <v>555</v>
      </c>
      <c r="L1942" s="55" t="s">
        <v>176</v>
      </c>
      <c r="M1942" s="55" t="s">
        <v>2824</v>
      </c>
      <c r="N1942" s="4" t="s">
        <v>177</v>
      </c>
      <c r="O1942" s="55" t="s">
        <v>178</v>
      </c>
    </row>
    <row r="1943" spans="2:15">
      <c r="B1943" s="20">
        <v>45188</v>
      </c>
      <c r="C1943" s="59">
        <v>40011080</v>
      </c>
      <c r="D1943" s="55" t="s">
        <v>420</v>
      </c>
      <c r="E1943" s="67">
        <v>450</v>
      </c>
      <c r="F1943" s="67">
        <v>2</v>
      </c>
      <c r="G1943" s="102">
        <v>860</v>
      </c>
      <c r="H1943" s="56" t="s">
        <v>80</v>
      </c>
      <c r="K1943" s="56">
        <v>555</v>
      </c>
      <c r="L1943" s="55" t="s">
        <v>176</v>
      </c>
      <c r="M1943" s="55" t="s">
        <v>2824</v>
      </c>
      <c r="N1943" s="4" t="s">
        <v>177</v>
      </c>
      <c r="O1943" s="55" t="s">
        <v>178</v>
      </c>
    </row>
    <row r="1944" spans="2:15">
      <c r="B1944" s="20">
        <v>45188</v>
      </c>
      <c r="C1944" s="59">
        <v>40011661</v>
      </c>
      <c r="D1944" s="55" t="s">
        <v>608</v>
      </c>
      <c r="E1944" s="67">
        <v>450</v>
      </c>
      <c r="F1944" s="67">
        <v>3</v>
      </c>
      <c r="G1944" s="102">
        <v>1350</v>
      </c>
      <c r="H1944" s="56" t="s">
        <v>80</v>
      </c>
      <c r="K1944" s="56">
        <v>555</v>
      </c>
      <c r="L1944" s="55" t="s">
        <v>176</v>
      </c>
      <c r="M1944" s="55" t="s">
        <v>2824</v>
      </c>
      <c r="N1944" s="4" t="s">
        <v>177</v>
      </c>
      <c r="O1944" s="55" t="s">
        <v>178</v>
      </c>
    </row>
    <row r="1945" spans="2:15">
      <c r="B1945" s="20">
        <v>45189</v>
      </c>
      <c r="C1945" s="59">
        <v>50143646</v>
      </c>
      <c r="D1945" s="55" t="s">
        <v>191</v>
      </c>
      <c r="E1945" s="67">
        <v>480</v>
      </c>
      <c r="F1945" s="67">
        <v>12</v>
      </c>
      <c r="G1945" s="102">
        <v>5760</v>
      </c>
      <c r="H1945" s="56" t="s">
        <v>82</v>
      </c>
      <c r="K1945" s="56">
        <v>556</v>
      </c>
      <c r="L1945" s="55" t="s">
        <v>416</v>
      </c>
      <c r="M1945" s="55" t="s">
        <v>2824</v>
      </c>
      <c r="N1945" s="4" t="s">
        <v>417</v>
      </c>
      <c r="O1945" s="55" t="s">
        <v>178</v>
      </c>
    </row>
    <row r="1946" spans="2:15">
      <c r="B1946" s="20">
        <v>45189</v>
      </c>
      <c r="C1946" s="59">
        <v>50141786</v>
      </c>
      <c r="D1946" s="55" t="s">
        <v>188</v>
      </c>
      <c r="E1946" s="67">
        <v>560</v>
      </c>
      <c r="F1946" s="67">
        <v>11</v>
      </c>
      <c r="G1946" s="102">
        <v>6160</v>
      </c>
      <c r="H1946" s="56" t="s">
        <v>82</v>
      </c>
      <c r="K1946" s="56">
        <v>556</v>
      </c>
      <c r="L1946" s="55" t="s">
        <v>416</v>
      </c>
      <c r="M1946" s="55" t="s">
        <v>2824</v>
      </c>
      <c r="N1946" s="4" t="s">
        <v>417</v>
      </c>
      <c r="O1946" s="55" t="s">
        <v>178</v>
      </c>
    </row>
    <row r="1947" spans="2:15">
      <c r="B1947" s="20">
        <v>45189</v>
      </c>
      <c r="C1947" s="59">
        <v>20016185</v>
      </c>
      <c r="D1947" s="55" t="s">
        <v>285</v>
      </c>
      <c r="E1947" s="67">
        <v>1000</v>
      </c>
      <c r="F1947" s="67">
        <v>1</v>
      </c>
      <c r="G1947" s="102">
        <v>10000</v>
      </c>
      <c r="H1947" s="56" t="s">
        <v>92</v>
      </c>
      <c r="K1947" s="56">
        <v>556</v>
      </c>
      <c r="L1947" s="55" t="s">
        <v>416</v>
      </c>
      <c r="M1947" s="55" t="s">
        <v>2824</v>
      </c>
      <c r="N1947" s="4" t="s">
        <v>417</v>
      </c>
      <c r="O1947" s="55" t="s">
        <v>178</v>
      </c>
    </row>
    <row r="1948" spans="2:15">
      <c r="B1948" s="20">
        <v>45189</v>
      </c>
      <c r="C1948" s="59">
        <v>50142237</v>
      </c>
      <c r="D1948" s="55" t="s">
        <v>617</v>
      </c>
      <c r="E1948" s="67">
        <v>1000</v>
      </c>
      <c r="F1948" s="67">
        <v>1</v>
      </c>
      <c r="G1948" s="102">
        <v>10000</v>
      </c>
      <c r="H1948" s="56" t="s">
        <v>92</v>
      </c>
      <c r="K1948" s="56">
        <v>556</v>
      </c>
      <c r="L1948" s="55" t="s">
        <v>416</v>
      </c>
      <c r="M1948" s="55" t="s">
        <v>2824</v>
      </c>
      <c r="N1948" s="4" t="s">
        <v>417</v>
      </c>
      <c r="O1948" s="55" t="s">
        <v>178</v>
      </c>
    </row>
    <row r="1949" spans="2:15">
      <c r="B1949" s="20">
        <v>45189</v>
      </c>
      <c r="C1949" s="59">
        <v>50503030</v>
      </c>
      <c r="D1949" s="55" t="s">
        <v>1007</v>
      </c>
      <c r="E1949" s="67">
        <v>88000</v>
      </c>
      <c r="F1949" s="67">
        <v>1</v>
      </c>
      <c r="G1949" s="102">
        <v>2000000</v>
      </c>
      <c r="H1949" s="56" t="s">
        <v>92</v>
      </c>
      <c r="K1949" s="56">
        <v>556</v>
      </c>
      <c r="L1949" s="55" t="s">
        <v>416</v>
      </c>
      <c r="M1949" s="55" t="s">
        <v>2824</v>
      </c>
      <c r="N1949" s="4" t="s">
        <v>417</v>
      </c>
      <c r="O1949" s="55" t="s">
        <v>178</v>
      </c>
    </row>
    <row r="1950" spans="2:15">
      <c r="B1950" s="20">
        <v>45189</v>
      </c>
      <c r="C1950" s="59">
        <v>50503031</v>
      </c>
      <c r="D1950" s="55" t="s">
        <v>1009</v>
      </c>
      <c r="E1950" s="67">
        <v>110000</v>
      </c>
      <c r="F1950" s="67">
        <v>1</v>
      </c>
      <c r="G1950" s="102">
        <v>1000000</v>
      </c>
      <c r="H1950" s="56" t="s">
        <v>92</v>
      </c>
      <c r="K1950" s="56">
        <v>556</v>
      </c>
      <c r="L1950" s="55" t="s">
        <v>416</v>
      </c>
      <c r="M1950" s="55" t="s">
        <v>2824</v>
      </c>
      <c r="N1950" s="4" t="s">
        <v>417</v>
      </c>
      <c r="O1950" s="55" t="s">
        <v>178</v>
      </c>
    </row>
    <row r="1951" spans="2:15">
      <c r="B1951" s="20">
        <v>45190</v>
      </c>
      <c r="C1951" s="59">
        <v>50144376</v>
      </c>
      <c r="D1951" s="55" t="s">
        <v>19</v>
      </c>
      <c r="E1951" s="67">
        <v>500</v>
      </c>
      <c r="F1951" s="67">
        <v>11</v>
      </c>
      <c r="G1951" s="102">
        <v>5500</v>
      </c>
      <c r="H1951" s="56" t="s">
        <v>92</v>
      </c>
      <c r="K1951" s="56">
        <v>557</v>
      </c>
      <c r="L1951" s="55" t="s">
        <v>176</v>
      </c>
      <c r="M1951" s="55" t="s">
        <v>2824</v>
      </c>
      <c r="N1951" s="4" t="s">
        <v>177</v>
      </c>
      <c r="O1951" s="55" t="s">
        <v>178</v>
      </c>
    </row>
    <row r="1952" spans="2:15">
      <c r="B1952" s="20">
        <v>45190</v>
      </c>
      <c r="C1952" s="59">
        <v>50272278</v>
      </c>
      <c r="D1952" s="55" t="s">
        <v>21</v>
      </c>
      <c r="E1952" s="67">
        <v>500</v>
      </c>
      <c r="F1952" s="67">
        <v>11</v>
      </c>
      <c r="G1952" s="102">
        <v>5500</v>
      </c>
      <c r="H1952" s="56" t="s">
        <v>92</v>
      </c>
      <c r="K1952" s="56">
        <v>557</v>
      </c>
      <c r="L1952" s="55" t="s">
        <v>176</v>
      </c>
      <c r="M1952" s="55" t="s">
        <v>2824</v>
      </c>
      <c r="N1952" s="4" t="s">
        <v>177</v>
      </c>
      <c r="O1952" s="55" t="s">
        <v>178</v>
      </c>
    </row>
    <row r="1953" spans="2:15">
      <c r="B1953" s="20">
        <v>45191</v>
      </c>
      <c r="C1953" s="59">
        <v>50809147</v>
      </c>
      <c r="D1953" s="55" t="s">
        <v>930</v>
      </c>
      <c r="E1953" s="67">
        <v>456</v>
      </c>
      <c r="F1953" s="67">
        <v>10</v>
      </c>
      <c r="G1953" s="102">
        <f>5107.85-2696.88</f>
        <v>2410.97</v>
      </c>
      <c r="H1953" s="56" t="s">
        <v>82</v>
      </c>
      <c r="K1953" s="56">
        <v>558</v>
      </c>
      <c r="L1953" s="55" t="s">
        <v>176</v>
      </c>
      <c r="M1953" s="55" t="s">
        <v>2824</v>
      </c>
      <c r="N1953" s="4" t="s">
        <v>177</v>
      </c>
      <c r="O1953" s="55" t="s">
        <v>178</v>
      </c>
    </row>
    <row r="1954" spans="2:15">
      <c r="B1954" s="20">
        <v>45191</v>
      </c>
      <c r="C1954" s="59">
        <v>50813995</v>
      </c>
      <c r="D1954" s="55" t="s">
        <v>960</v>
      </c>
      <c r="E1954" s="67">
        <v>589</v>
      </c>
      <c r="F1954" s="67">
        <v>6</v>
      </c>
      <c r="G1954" s="102">
        <v>2973.6</v>
      </c>
      <c r="H1954" s="56" t="s">
        <v>82</v>
      </c>
      <c r="K1954" s="56">
        <v>558</v>
      </c>
      <c r="L1954" s="55" t="s">
        <v>176</v>
      </c>
      <c r="M1954" s="55" t="s">
        <v>2824</v>
      </c>
      <c r="N1954" s="4" t="s">
        <v>177</v>
      </c>
      <c r="O1954" s="55" t="s">
        <v>178</v>
      </c>
    </row>
    <row r="1955" spans="2:15">
      <c r="B1955" s="20">
        <v>45191</v>
      </c>
      <c r="C1955" s="59">
        <v>50144376</v>
      </c>
      <c r="D1955" s="55" t="s">
        <v>19</v>
      </c>
      <c r="E1955" s="67">
        <v>500</v>
      </c>
      <c r="F1955" s="67">
        <v>4</v>
      </c>
      <c r="G1955" s="102">
        <v>2000</v>
      </c>
      <c r="H1955" s="56" t="s">
        <v>92</v>
      </c>
      <c r="K1955" s="56">
        <v>558</v>
      </c>
      <c r="L1955" s="55" t="s">
        <v>176</v>
      </c>
      <c r="M1955" s="55" t="s">
        <v>2824</v>
      </c>
      <c r="N1955" s="4" t="s">
        <v>177</v>
      </c>
      <c r="O1955" s="55" t="s">
        <v>178</v>
      </c>
    </row>
    <row r="1956" spans="2:15">
      <c r="B1956" s="20">
        <v>45191</v>
      </c>
      <c r="C1956" s="59">
        <v>50142281</v>
      </c>
      <c r="D1956" s="55" t="s">
        <v>204</v>
      </c>
      <c r="E1956" s="67">
        <v>450</v>
      </c>
      <c r="F1956" s="67">
        <v>2</v>
      </c>
      <c r="G1956" s="102">
        <v>900</v>
      </c>
      <c r="H1956" s="56" t="s">
        <v>82</v>
      </c>
      <c r="K1956" s="56">
        <v>558</v>
      </c>
      <c r="L1956" s="55" t="s">
        <v>176</v>
      </c>
      <c r="M1956" s="55" t="s">
        <v>2824</v>
      </c>
      <c r="N1956" s="4" t="s">
        <v>177</v>
      </c>
      <c r="O1956" s="55" t="s">
        <v>178</v>
      </c>
    </row>
    <row r="1957" spans="2:15">
      <c r="B1957" s="20">
        <v>45191</v>
      </c>
      <c r="C1957" s="59">
        <v>40009544</v>
      </c>
      <c r="D1957" s="55" t="s">
        <v>179</v>
      </c>
      <c r="E1957" s="67">
        <v>2940</v>
      </c>
      <c r="F1957" s="67">
        <v>1</v>
      </c>
      <c r="G1957" s="102">
        <v>2940</v>
      </c>
      <c r="H1957" s="56" t="s">
        <v>80</v>
      </c>
      <c r="K1957" s="56">
        <v>559</v>
      </c>
      <c r="L1957" s="55" t="s">
        <v>176</v>
      </c>
      <c r="M1957" s="55" t="s">
        <v>2824</v>
      </c>
      <c r="N1957" s="4" t="s">
        <v>177</v>
      </c>
      <c r="O1957" s="55" t="s">
        <v>178</v>
      </c>
    </row>
    <row r="1958" spans="2:15">
      <c r="B1958" s="20">
        <v>45191</v>
      </c>
      <c r="C1958" s="59">
        <v>50143875</v>
      </c>
      <c r="D1958" s="55" t="s">
        <v>713</v>
      </c>
      <c r="E1958" s="67">
        <v>7200</v>
      </c>
      <c r="F1958" s="67">
        <v>1</v>
      </c>
      <c r="G1958" s="102">
        <v>7200</v>
      </c>
      <c r="H1958" s="56" t="s">
        <v>92</v>
      </c>
      <c r="K1958" s="56">
        <v>559</v>
      </c>
      <c r="L1958" s="55" t="s">
        <v>176</v>
      </c>
      <c r="M1958" s="55" t="s">
        <v>2824</v>
      </c>
      <c r="N1958" s="4" t="s">
        <v>177</v>
      </c>
      <c r="O1958" s="55" t="s">
        <v>178</v>
      </c>
    </row>
    <row r="1959" spans="2:15">
      <c r="B1959" s="20">
        <v>45191</v>
      </c>
      <c r="C1959" s="59">
        <v>50507916</v>
      </c>
      <c r="D1959" s="55" t="s">
        <v>406</v>
      </c>
      <c r="E1959" s="67">
        <v>264000</v>
      </c>
      <c r="F1959" s="67">
        <v>3</v>
      </c>
      <c r="G1959" s="102">
        <v>792000</v>
      </c>
      <c r="H1959" s="56" t="s">
        <v>92</v>
      </c>
      <c r="K1959" s="56">
        <v>559</v>
      </c>
      <c r="L1959" s="55" t="s">
        <v>176</v>
      </c>
      <c r="M1959" s="55" t="s">
        <v>2824</v>
      </c>
      <c r="N1959" s="4" t="s">
        <v>177</v>
      </c>
      <c r="O1959" s="55" t="s">
        <v>178</v>
      </c>
    </row>
    <row r="1960" spans="2:15">
      <c r="B1960" s="20">
        <v>45191</v>
      </c>
      <c r="C1960" s="59">
        <v>50337816</v>
      </c>
      <c r="D1960" s="55" t="s">
        <v>245</v>
      </c>
      <c r="E1960" s="67">
        <v>264</v>
      </c>
      <c r="F1960" s="67">
        <v>2</v>
      </c>
      <c r="G1960" s="102">
        <v>528</v>
      </c>
      <c r="H1960" s="56" t="s">
        <v>80</v>
      </c>
      <c r="K1960" s="56">
        <v>559</v>
      </c>
      <c r="L1960" s="55" t="s">
        <v>176</v>
      </c>
      <c r="M1960" s="55" t="s">
        <v>2824</v>
      </c>
      <c r="N1960" s="4" t="s">
        <v>177</v>
      </c>
      <c r="O1960" s="55" t="s">
        <v>178</v>
      </c>
    </row>
    <row r="1961" spans="2:15">
      <c r="B1961" s="20">
        <v>45191</v>
      </c>
      <c r="C1961" s="59">
        <v>50812974</v>
      </c>
      <c r="D1961" s="55" t="s">
        <v>822</v>
      </c>
      <c r="E1961" s="67">
        <v>289800</v>
      </c>
      <c r="F1961" s="67">
        <v>8</v>
      </c>
      <c r="G1961" s="102">
        <v>2318400</v>
      </c>
      <c r="H1961" s="56" t="s">
        <v>92</v>
      </c>
      <c r="K1961" s="56">
        <v>559</v>
      </c>
      <c r="L1961" s="55" t="s">
        <v>176</v>
      </c>
      <c r="M1961" s="55" t="s">
        <v>2824</v>
      </c>
      <c r="N1961" s="4" t="s">
        <v>177</v>
      </c>
      <c r="O1961" s="55" t="s">
        <v>178</v>
      </c>
    </row>
    <row r="1962" spans="2:15">
      <c r="B1962" s="20">
        <v>45191</v>
      </c>
      <c r="C1962" s="59">
        <v>50417408</v>
      </c>
      <c r="D1962" s="55" t="s">
        <v>1010</v>
      </c>
      <c r="G1962" s="102">
        <v>3200</v>
      </c>
      <c r="H1962" s="56" t="s">
        <v>82</v>
      </c>
      <c r="K1962" s="56">
        <v>559</v>
      </c>
      <c r="L1962" s="55" t="s">
        <v>176</v>
      </c>
      <c r="M1962" s="55" t="s">
        <v>2824</v>
      </c>
      <c r="N1962" s="4" t="s">
        <v>177</v>
      </c>
      <c r="O1962" s="55" t="s">
        <v>178</v>
      </c>
    </row>
    <row r="1963" spans="2:15">
      <c r="B1963" s="20">
        <v>45191</v>
      </c>
      <c r="C1963" s="59">
        <v>123457</v>
      </c>
      <c r="D1963" s="55" t="s">
        <v>942</v>
      </c>
      <c r="G1963" s="102">
        <v>128</v>
      </c>
      <c r="H1963" s="56" t="s">
        <v>82</v>
      </c>
      <c r="K1963" s="56">
        <v>559</v>
      </c>
      <c r="L1963" s="55" t="s">
        <v>176</v>
      </c>
      <c r="M1963" s="55" t="s">
        <v>2824</v>
      </c>
      <c r="N1963" s="4" t="s">
        <v>177</v>
      </c>
    </row>
    <row r="1964" spans="2:15">
      <c r="B1964" s="20">
        <v>45192</v>
      </c>
      <c r="C1964" s="59">
        <v>50144376</v>
      </c>
      <c r="D1964" s="55" t="s">
        <v>19</v>
      </c>
      <c r="E1964" s="67">
        <v>500</v>
      </c>
      <c r="F1964" s="67">
        <v>11</v>
      </c>
      <c r="G1964" s="102">
        <v>5500</v>
      </c>
      <c r="H1964" s="56" t="s">
        <v>92</v>
      </c>
      <c r="K1964" s="56">
        <v>560</v>
      </c>
      <c r="L1964" s="55" t="s">
        <v>176</v>
      </c>
      <c r="M1964" s="55" t="s">
        <v>2824</v>
      </c>
      <c r="N1964" s="4" t="s">
        <v>177</v>
      </c>
      <c r="O1964" s="55" t="s">
        <v>178</v>
      </c>
    </row>
    <row r="1965" spans="2:15">
      <c r="B1965" s="20">
        <v>45192</v>
      </c>
      <c r="C1965" s="59">
        <v>50272278</v>
      </c>
      <c r="D1965" s="55" t="s">
        <v>21</v>
      </c>
      <c r="E1965" s="67">
        <v>500</v>
      </c>
      <c r="F1965" s="67">
        <v>11</v>
      </c>
      <c r="G1965" s="102">
        <v>5500</v>
      </c>
      <c r="H1965" s="56" t="s">
        <v>92</v>
      </c>
      <c r="K1965" s="56">
        <v>560</v>
      </c>
      <c r="L1965" s="55" t="s">
        <v>176</v>
      </c>
      <c r="M1965" s="55" t="s">
        <v>2824</v>
      </c>
      <c r="N1965" s="4" t="s">
        <v>177</v>
      </c>
      <c r="O1965" s="55" t="s">
        <v>178</v>
      </c>
    </row>
    <row r="1966" spans="2:15">
      <c r="B1966" s="20">
        <v>45194</v>
      </c>
      <c r="C1966" s="59">
        <v>50144376</v>
      </c>
      <c r="D1966" s="55" t="s">
        <v>19</v>
      </c>
      <c r="E1966" s="67">
        <v>500</v>
      </c>
      <c r="F1966" s="67">
        <v>11</v>
      </c>
      <c r="G1966" s="102">
        <v>5500</v>
      </c>
      <c r="H1966" s="56" t="s">
        <v>92</v>
      </c>
      <c r="K1966" s="56">
        <v>561</v>
      </c>
      <c r="L1966" s="55" t="s">
        <v>176</v>
      </c>
      <c r="M1966" s="55" t="s">
        <v>2824</v>
      </c>
      <c r="N1966" s="4" t="s">
        <v>177</v>
      </c>
      <c r="O1966" s="55" t="s">
        <v>178</v>
      </c>
    </row>
    <row r="1967" spans="2:15">
      <c r="B1967" s="20">
        <v>45194</v>
      </c>
      <c r="C1967" s="59">
        <v>40011149</v>
      </c>
      <c r="D1967" s="55" t="s">
        <v>37</v>
      </c>
      <c r="E1967" s="67">
        <v>360</v>
      </c>
      <c r="F1967" s="67">
        <v>1</v>
      </c>
      <c r="G1967" s="102">
        <v>360</v>
      </c>
      <c r="H1967" s="56" t="s">
        <v>80</v>
      </c>
      <c r="K1967" s="56">
        <v>561</v>
      </c>
      <c r="L1967" s="55" t="s">
        <v>176</v>
      </c>
      <c r="M1967" s="55" t="s">
        <v>2824</v>
      </c>
      <c r="N1967" s="4" t="s">
        <v>177</v>
      </c>
      <c r="O1967" s="55" t="s">
        <v>178</v>
      </c>
    </row>
    <row r="1968" spans="2:15">
      <c r="B1968" s="20">
        <v>45194</v>
      </c>
      <c r="C1968" s="59">
        <v>50507916</v>
      </c>
      <c r="D1968" s="55" t="s">
        <v>406</v>
      </c>
      <c r="E1968" s="67">
        <v>264000</v>
      </c>
      <c r="F1968" s="67">
        <v>1</v>
      </c>
      <c r="G1968" s="102">
        <v>264000</v>
      </c>
      <c r="H1968" s="56" t="s">
        <v>92</v>
      </c>
      <c r="K1968" s="56">
        <v>561</v>
      </c>
      <c r="L1968" s="55" t="s">
        <v>176</v>
      </c>
      <c r="M1968" s="55" t="s">
        <v>2824</v>
      </c>
      <c r="N1968" s="4" t="s">
        <v>177</v>
      </c>
      <c r="O1968" s="55" t="s">
        <v>178</v>
      </c>
    </row>
    <row r="1969" spans="2:15">
      <c r="B1969" s="20">
        <v>45194</v>
      </c>
      <c r="C1969" s="59">
        <v>50337816</v>
      </c>
      <c r="D1969" s="55" t="s">
        <v>245</v>
      </c>
      <c r="E1969" s="67">
        <v>264</v>
      </c>
      <c r="F1969" s="67">
        <v>1</v>
      </c>
      <c r="G1969" s="102">
        <v>264</v>
      </c>
      <c r="H1969" s="56" t="s">
        <v>80</v>
      </c>
      <c r="K1969" s="56">
        <v>561</v>
      </c>
      <c r="L1969" s="55" t="s">
        <v>176</v>
      </c>
      <c r="M1969" s="55" t="s">
        <v>2824</v>
      </c>
      <c r="N1969" s="4" t="s">
        <v>177</v>
      </c>
      <c r="O1969" s="55" t="s">
        <v>178</v>
      </c>
    </row>
    <row r="1970" spans="2:15">
      <c r="B1970" s="20">
        <v>45194</v>
      </c>
      <c r="C1970" s="59">
        <v>40011661</v>
      </c>
      <c r="D1970" s="55" t="s">
        <v>608</v>
      </c>
      <c r="E1970" s="67">
        <v>450</v>
      </c>
      <c r="F1970" s="67">
        <v>1</v>
      </c>
      <c r="G1970" s="102">
        <v>450</v>
      </c>
      <c r="H1970" s="56" t="s">
        <v>80</v>
      </c>
      <c r="K1970" s="56">
        <v>561</v>
      </c>
      <c r="L1970" s="55" t="s">
        <v>176</v>
      </c>
      <c r="M1970" s="55" t="s">
        <v>2824</v>
      </c>
      <c r="N1970" s="4" t="s">
        <v>177</v>
      </c>
      <c r="O1970" s="55" t="s">
        <v>178</v>
      </c>
    </row>
    <row r="1971" spans="2:15">
      <c r="B1971" s="20">
        <v>45194</v>
      </c>
      <c r="C1971" s="59">
        <v>50812974</v>
      </c>
      <c r="D1971" s="55" t="s">
        <v>822</v>
      </c>
      <c r="E1971" s="67">
        <v>289800</v>
      </c>
      <c r="F1971" s="67">
        <v>6</v>
      </c>
      <c r="G1971" s="102">
        <v>1738800</v>
      </c>
      <c r="H1971" s="56" t="s">
        <v>92</v>
      </c>
      <c r="K1971" s="56">
        <v>561</v>
      </c>
      <c r="L1971" s="55" t="s">
        <v>176</v>
      </c>
      <c r="M1971" s="55" t="s">
        <v>2824</v>
      </c>
      <c r="N1971" s="4" t="s">
        <v>177</v>
      </c>
      <c r="O1971" s="55" t="s">
        <v>178</v>
      </c>
    </row>
    <row r="1972" spans="2:15">
      <c r="B1972" s="20">
        <v>45195</v>
      </c>
      <c r="C1972" s="59">
        <v>50144376</v>
      </c>
      <c r="D1972" s="55" t="s">
        <v>19</v>
      </c>
      <c r="E1972" s="67">
        <v>500</v>
      </c>
      <c r="F1972" s="67">
        <v>1</v>
      </c>
      <c r="G1972" s="102">
        <v>500</v>
      </c>
      <c r="H1972" s="56" t="s">
        <v>92</v>
      </c>
      <c r="K1972" s="56">
        <v>562</v>
      </c>
      <c r="L1972" s="55" t="s">
        <v>176</v>
      </c>
      <c r="M1972" s="55" t="s">
        <v>2824</v>
      </c>
      <c r="N1972" s="4" t="s">
        <v>177</v>
      </c>
      <c r="O1972" s="55" t="s">
        <v>178</v>
      </c>
    </row>
    <row r="1973" spans="2:15">
      <c r="B1973" s="20">
        <v>45195</v>
      </c>
      <c r="C1973" s="59">
        <v>50144200</v>
      </c>
      <c r="D1973" s="55" t="s">
        <v>184</v>
      </c>
      <c r="E1973" s="67">
        <v>264</v>
      </c>
      <c r="F1973" s="67">
        <v>2</v>
      </c>
      <c r="G1973" s="102">
        <v>1254000</v>
      </c>
      <c r="H1973" s="56" t="s">
        <v>92</v>
      </c>
      <c r="K1973" s="56">
        <v>562</v>
      </c>
      <c r="L1973" s="55" t="s">
        <v>176</v>
      </c>
      <c r="M1973" s="55" t="s">
        <v>2824</v>
      </c>
      <c r="N1973" s="4" t="s">
        <v>177</v>
      </c>
      <c r="O1973" s="55" t="s">
        <v>178</v>
      </c>
    </row>
    <row r="1974" spans="2:15">
      <c r="B1974" s="20">
        <v>45195</v>
      </c>
      <c r="C1974" s="59">
        <v>50142327</v>
      </c>
      <c r="D1974" s="55" t="s">
        <v>256</v>
      </c>
      <c r="E1974" s="67">
        <v>681</v>
      </c>
      <c r="F1974" s="67">
        <v>5</v>
      </c>
      <c r="G1974" s="102">
        <v>3405</v>
      </c>
      <c r="H1974" s="56" t="s">
        <v>82</v>
      </c>
      <c r="K1974" s="56">
        <v>562</v>
      </c>
      <c r="L1974" s="55" t="s">
        <v>176</v>
      </c>
      <c r="M1974" s="55" t="s">
        <v>2824</v>
      </c>
      <c r="N1974" s="4" t="s">
        <v>177</v>
      </c>
      <c r="O1974" s="55" t="s">
        <v>178</v>
      </c>
    </row>
    <row r="1975" spans="2:15">
      <c r="B1975" s="20">
        <v>45195</v>
      </c>
      <c r="C1975" s="59">
        <v>50142334</v>
      </c>
      <c r="D1975" s="55" t="s">
        <v>257</v>
      </c>
      <c r="E1975" s="67">
        <v>681</v>
      </c>
      <c r="F1975" s="67">
        <v>4</v>
      </c>
      <c r="G1975" s="102">
        <v>2724</v>
      </c>
      <c r="H1975" s="56" t="s">
        <v>82</v>
      </c>
      <c r="K1975" s="56">
        <v>562</v>
      </c>
      <c r="L1975" s="55" t="s">
        <v>176</v>
      </c>
      <c r="M1975" s="55" t="s">
        <v>2824</v>
      </c>
      <c r="N1975" s="4" t="s">
        <v>177</v>
      </c>
      <c r="O1975" s="55" t="s">
        <v>178</v>
      </c>
    </row>
    <row r="1976" spans="2:15">
      <c r="B1976" s="20">
        <v>45195</v>
      </c>
      <c r="C1976" s="59">
        <v>50813995</v>
      </c>
      <c r="D1976" s="55" t="s">
        <v>960</v>
      </c>
      <c r="E1976" s="67">
        <v>456</v>
      </c>
      <c r="F1976" s="67">
        <v>5</v>
      </c>
      <c r="G1976" s="102">
        <v>2474.7</v>
      </c>
      <c r="H1976" s="56" t="s">
        <v>82</v>
      </c>
      <c r="K1976" s="56">
        <v>562</v>
      </c>
      <c r="L1976" s="55" t="s">
        <v>176</v>
      </c>
      <c r="M1976" s="55" t="s">
        <v>2824</v>
      </c>
      <c r="N1976" s="4" t="s">
        <v>177</v>
      </c>
      <c r="O1976" s="55" t="s">
        <v>178</v>
      </c>
    </row>
    <row r="1977" spans="2:15">
      <c r="B1977" s="20">
        <v>45195</v>
      </c>
      <c r="C1977" s="59">
        <v>40010087</v>
      </c>
      <c r="D1977" s="55" t="s">
        <v>387</v>
      </c>
      <c r="E1977" s="67">
        <v>756</v>
      </c>
      <c r="F1977" s="67">
        <v>2</v>
      </c>
      <c r="G1977" s="102">
        <v>1512</v>
      </c>
      <c r="H1977" s="56" t="s">
        <v>80</v>
      </c>
      <c r="K1977" s="56">
        <v>563</v>
      </c>
      <c r="L1977" s="55" t="s">
        <v>176</v>
      </c>
      <c r="M1977" s="55" t="s">
        <v>2824</v>
      </c>
      <c r="N1977" s="4" t="s">
        <v>177</v>
      </c>
      <c r="O1977" s="55" t="s">
        <v>178</v>
      </c>
    </row>
    <row r="1978" spans="2:15">
      <c r="B1978" s="20">
        <v>45195</v>
      </c>
      <c r="C1978" s="59">
        <v>50813995</v>
      </c>
      <c r="D1978" s="55" t="s">
        <v>960</v>
      </c>
      <c r="E1978" s="67">
        <v>465</v>
      </c>
      <c r="F1978" s="67">
        <v>3</v>
      </c>
      <c r="G1978" s="102">
        <v>1486.3</v>
      </c>
      <c r="H1978" s="56" t="s">
        <v>82</v>
      </c>
      <c r="K1978" s="56">
        <v>563</v>
      </c>
      <c r="L1978" s="55" t="s">
        <v>176</v>
      </c>
      <c r="M1978" s="55" t="s">
        <v>2824</v>
      </c>
      <c r="N1978" s="4" t="s">
        <v>177</v>
      </c>
      <c r="O1978" s="55" t="s">
        <v>178</v>
      </c>
    </row>
    <row r="1979" spans="2:15">
      <c r="B1979" s="20">
        <v>45195</v>
      </c>
      <c r="C1979" s="59">
        <v>50145187</v>
      </c>
      <c r="D1979" s="55" t="s">
        <v>465</v>
      </c>
      <c r="E1979" s="67">
        <v>264</v>
      </c>
      <c r="F1979" s="67">
        <v>3</v>
      </c>
      <c r="G1979" s="102">
        <v>638000</v>
      </c>
      <c r="H1979" s="56" t="s">
        <v>92</v>
      </c>
      <c r="K1979" s="56">
        <v>563</v>
      </c>
      <c r="L1979" s="55" t="s">
        <v>176</v>
      </c>
      <c r="M1979" s="55" t="s">
        <v>2824</v>
      </c>
      <c r="N1979" s="4" t="s">
        <v>177</v>
      </c>
      <c r="O1979" s="55" t="s">
        <v>178</v>
      </c>
    </row>
    <row r="1980" spans="2:15">
      <c r="B1980" s="20">
        <v>45195</v>
      </c>
      <c r="C1980" s="59">
        <v>50507916</v>
      </c>
      <c r="D1980" s="55" t="s">
        <v>406</v>
      </c>
      <c r="E1980" s="67">
        <v>264</v>
      </c>
      <c r="F1980" s="67">
        <v>4</v>
      </c>
      <c r="G1980" s="102">
        <v>1056000</v>
      </c>
      <c r="H1980" s="56" t="s">
        <v>92</v>
      </c>
      <c r="K1980" s="56">
        <v>563</v>
      </c>
      <c r="L1980" s="55" t="s">
        <v>176</v>
      </c>
      <c r="M1980" s="55" t="s">
        <v>2824</v>
      </c>
      <c r="N1980" s="4" t="s">
        <v>177</v>
      </c>
      <c r="O1980" s="55" t="s">
        <v>178</v>
      </c>
    </row>
    <row r="1981" spans="2:15">
      <c r="B1981" s="20">
        <v>45195</v>
      </c>
      <c r="C1981" s="59">
        <v>50509889</v>
      </c>
      <c r="D1981" s="55" t="s">
        <v>671</v>
      </c>
      <c r="E1981" s="67">
        <v>264</v>
      </c>
      <c r="F1981" s="67">
        <v>2</v>
      </c>
      <c r="G1981" s="102">
        <v>528000</v>
      </c>
      <c r="H1981" s="56" t="s">
        <v>92</v>
      </c>
      <c r="K1981" s="56">
        <v>563</v>
      </c>
      <c r="L1981" s="55" t="s">
        <v>176</v>
      </c>
      <c r="M1981" s="55" t="s">
        <v>2824</v>
      </c>
      <c r="N1981" s="4" t="s">
        <v>177</v>
      </c>
      <c r="O1981" s="55" t="s">
        <v>178</v>
      </c>
    </row>
    <row r="1982" spans="2:15">
      <c r="B1982" s="20">
        <v>45195</v>
      </c>
      <c r="C1982" s="59">
        <v>50812974</v>
      </c>
      <c r="D1982" s="55" t="s">
        <v>822</v>
      </c>
      <c r="E1982" s="67">
        <v>289800</v>
      </c>
      <c r="F1982" s="67">
        <v>6</v>
      </c>
      <c r="G1982" s="102">
        <v>1738800</v>
      </c>
      <c r="H1982" s="56" t="s">
        <v>92</v>
      </c>
      <c r="K1982" s="56">
        <v>563</v>
      </c>
      <c r="L1982" s="55" t="s">
        <v>176</v>
      </c>
      <c r="M1982" s="55" t="s">
        <v>2824</v>
      </c>
      <c r="N1982" s="4" t="s">
        <v>177</v>
      </c>
      <c r="O1982" s="55" t="s">
        <v>178</v>
      </c>
    </row>
    <row r="1983" spans="2:15">
      <c r="B1983" s="20">
        <v>45195</v>
      </c>
      <c r="C1983" s="59">
        <v>50141786</v>
      </c>
      <c r="D1983" s="55" t="s">
        <v>188</v>
      </c>
      <c r="E1983" s="67">
        <v>560</v>
      </c>
      <c r="F1983" s="67">
        <v>10</v>
      </c>
      <c r="G1983" s="102">
        <v>5600</v>
      </c>
      <c r="H1983" s="56" t="s">
        <v>82</v>
      </c>
      <c r="K1983" s="56">
        <v>564</v>
      </c>
      <c r="L1983" s="55" t="s">
        <v>176</v>
      </c>
      <c r="M1983" s="55" t="s">
        <v>2824</v>
      </c>
      <c r="N1983" s="4" t="s">
        <v>177</v>
      </c>
      <c r="O1983" s="55" t="s">
        <v>178</v>
      </c>
    </row>
    <row r="1984" spans="2:15">
      <c r="B1984" s="20">
        <v>45195</v>
      </c>
      <c r="C1984" s="59">
        <v>50010080</v>
      </c>
      <c r="D1984" s="55" t="s">
        <v>354</v>
      </c>
      <c r="E1984" s="67">
        <v>1000</v>
      </c>
      <c r="F1984" s="67">
        <v>10</v>
      </c>
      <c r="G1984" s="102">
        <v>10000</v>
      </c>
      <c r="H1984" s="56" t="s">
        <v>82</v>
      </c>
      <c r="K1984" s="56">
        <v>564</v>
      </c>
      <c r="L1984" s="55" t="s">
        <v>176</v>
      </c>
      <c r="M1984" s="55" t="s">
        <v>2824</v>
      </c>
      <c r="N1984" s="4" t="s">
        <v>177</v>
      </c>
      <c r="O1984" s="55" t="s">
        <v>178</v>
      </c>
    </row>
    <row r="1985" spans="2:15">
      <c r="B1985" s="20">
        <v>45196</v>
      </c>
      <c r="C1985" s="59">
        <v>50142055</v>
      </c>
      <c r="D1985" s="55" t="s">
        <v>206</v>
      </c>
      <c r="E1985" s="67">
        <v>600</v>
      </c>
      <c r="F1985" s="67">
        <v>8</v>
      </c>
      <c r="G1985" s="102">
        <v>4800</v>
      </c>
      <c r="H1985" s="56" t="s">
        <v>82</v>
      </c>
      <c r="K1985" s="56">
        <v>565</v>
      </c>
      <c r="L1985" s="55" t="s">
        <v>176</v>
      </c>
      <c r="M1985" s="55" t="s">
        <v>2824</v>
      </c>
      <c r="N1985" s="4" t="s">
        <v>177</v>
      </c>
      <c r="O1985" s="55" t="s">
        <v>178</v>
      </c>
    </row>
    <row r="1986" spans="2:15">
      <c r="B1986" s="20">
        <v>45196</v>
      </c>
      <c r="C1986" s="59">
        <v>50144376</v>
      </c>
      <c r="D1986" s="55" t="s">
        <v>19</v>
      </c>
      <c r="E1986" s="67">
        <v>500</v>
      </c>
      <c r="F1986" s="67">
        <v>10</v>
      </c>
      <c r="G1986" s="102">
        <v>5000</v>
      </c>
      <c r="H1986" s="56" t="s">
        <v>92</v>
      </c>
      <c r="K1986" s="56">
        <v>565</v>
      </c>
      <c r="L1986" s="55" t="s">
        <v>176</v>
      </c>
      <c r="M1986" s="55" t="s">
        <v>2824</v>
      </c>
      <c r="N1986" s="4" t="s">
        <v>177</v>
      </c>
      <c r="O1986" s="55" t="s">
        <v>178</v>
      </c>
    </row>
    <row r="1987" spans="2:15">
      <c r="B1987" s="20">
        <v>45196</v>
      </c>
      <c r="C1987" s="59">
        <v>50272278</v>
      </c>
      <c r="D1987" s="55" t="s">
        <v>21</v>
      </c>
      <c r="E1987" s="67">
        <v>330</v>
      </c>
      <c r="F1987" s="67">
        <v>2</v>
      </c>
      <c r="G1987" s="102">
        <v>660</v>
      </c>
      <c r="H1987" s="56" t="s">
        <v>92</v>
      </c>
      <c r="K1987" s="56">
        <v>565</v>
      </c>
      <c r="L1987" s="55" t="s">
        <v>176</v>
      </c>
      <c r="M1987" s="55" t="s">
        <v>2824</v>
      </c>
      <c r="N1987" s="4" t="s">
        <v>177</v>
      </c>
      <c r="O1987" s="55" t="s">
        <v>178</v>
      </c>
    </row>
    <row r="1988" spans="2:15">
      <c r="B1988" s="20">
        <v>45196</v>
      </c>
      <c r="C1988" s="59">
        <v>50470190</v>
      </c>
      <c r="D1988" s="55" t="s">
        <v>12</v>
      </c>
      <c r="E1988" s="67">
        <v>289800</v>
      </c>
      <c r="F1988" s="67">
        <v>2</v>
      </c>
      <c r="G1988" s="102">
        <v>289800</v>
      </c>
      <c r="H1988" s="56" t="s">
        <v>92</v>
      </c>
      <c r="K1988" s="56">
        <v>565</v>
      </c>
      <c r="L1988" s="55" t="s">
        <v>176</v>
      </c>
      <c r="M1988" s="55" t="s">
        <v>2824</v>
      </c>
      <c r="N1988" s="4" t="s">
        <v>177</v>
      </c>
      <c r="O1988" s="55" t="s">
        <v>178</v>
      </c>
    </row>
    <row r="1989" spans="2:15">
      <c r="B1989" s="20">
        <v>45197</v>
      </c>
      <c r="C1989" s="59">
        <v>40009544</v>
      </c>
      <c r="D1989" s="55" t="s">
        <v>179</v>
      </c>
      <c r="E1989" s="67">
        <v>590</v>
      </c>
      <c r="F1989" s="67">
        <v>1</v>
      </c>
      <c r="G1989" s="102">
        <v>2450</v>
      </c>
      <c r="H1989" s="56" t="s">
        <v>80</v>
      </c>
      <c r="K1989" s="56">
        <v>566</v>
      </c>
      <c r="L1989" s="55" t="s">
        <v>176</v>
      </c>
      <c r="M1989" s="55" t="s">
        <v>2824</v>
      </c>
      <c r="N1989" s="4" t="s">
        <v>177</v>
      </c>
      <c r="O1989" s="55" t="s">
        <v>178</v>
      </c>
    </row>
    <row r="1990" spans="2:15">
      <c r="B1990" s="20">
        <v>45197</v>
      </c>
      <c r="C1990" s="59">
        <v>50272278</v>
      </c>
      <c r="D1990" s="55" t="s">
        <v>21</v>
      </c>
      <c r="E1990" s="67">
        <v>500</v>
      </c>
      <c r="F1990" s="67">
        <v>14</v>
      </c>
      <c r="G1990" s="102">
        <v>6660</v>
      </c>
      <c r="H1990" s="56" t="s">
        <v>92</v>
      </c>
      <c r="K1990" s="56">
        <v>566</v>
      </c>
      <c r="L1990" s="55" t="s">
        <v>176</v>
      </c>
      <c r="M1990" s="55" t="s">
        <v>2824</v>
      </c>
      <c r="N1990" s="4" t="s">
        <v>177</v>
      </c>
      <c r="O1990" s="55" t="s">
        <v>178</v>
      </c>
    </row>
    <row r="1991" spans="2:15">
      <c r="B1991" s="20">
        <v>45197</v>
      </c>
      <c r="C1991" s="59">
        <v>40009543</v>
      </c>
      <c r="D1991" s="55" t="s">
        <v>473</v>
      </c>
      <c r="E1991" s="67">
        <v>2450</v>
      </c>
      <c r="F1991" s="67">
        <v>1</v>
      </c>
      <c r="G1991" s="102">
        <v>590</v>
      </c>
      <c r="H1991" s="56" t="s">
        <v>80</v>
      </c>
      <c r="K1991" s="56">
        <v>566</v>
      </c>
      <c r="L1991" s="55" t="s">
        <v>176</v>
      </c>
      <c r="M1991" s="55" t="s">
        <v>2824</v>
      </c>
      <c r="N1991" s="4" t="s">
        <v>177</v>
      </c>
      <c r="O1991" s="55" t="s">
        <v>178</v>
      </c>
    </row>
    <row r="1992" spans="2:15">
      <c r="B1992" s="20">
        <v>45197</v>
      </c>
      <c r="C1992" s="59">
        <v>50144200</v>
      </c>
      <c r="D1992" s="55" t="s">
        <v>184</v>
      </c>
      <c r="E1992" s="67">
        <v>264</v>
      </c>
      <c r="F1992" s="67">
        <v>2</v>
      </c>
      <c r="G1992" s="102">
        <v>528000</v>
      </c>
      <c r="H1992" s="56" t="s">
        <v>92</v>
      </c>
      <c r="K1992" s="56">
        <v>566</v>
      </c>
      <c r="L1992" s="55" t="s">
        <v>176</v>
      </c>
      <c r="M1992" s="55" t="s">
        <v>2824</v>
      </c>
      <c r="N1992" s="4" t="s">
        <v>177</v>
      </c>
      <c r="O1992" s="55" t="s">
        <v>178</v>
      </c>
    </row>
    <row r="1993" spans="2:15">
      <c r="B1993" s="20">
        <v>45197</v>
      </c>
      <c r="C1993" s="59">
        <v>50507916</v>
      </c>
      <c r="D1993" s="55" t="s">
        <v>406</v>
      </c>
      <c r="E1993" s="67">
        <v>264</v>
      </c>
      <c r="F1993" s="67">
        <v>2</v>
      </c>
      <c r="G1993" s="102">
        <v>528000</v>
      </c>
      <c r="H1993" s="56" t="s">
        <v>92</v>
      </c>
      <c r="K1993" s="56">
        <v>566</v>
      </c>
      <c r="L1993" s="55" t="s">
        <v>176</v>
      </c>
      <c r="M1993" s="55" t="s">
        <v>2824</v>
      </c>
      <c r="N1993" s="4" t="s">
        <v>177</v>
      </c>
      <c r="O1993" s="55" t="s">
        <v>178</v>
      </c>
    </row>
    <row r="1994" spans="2:15">
      <c r="B1994" s="20">
        <v>45197</v>
      </c>
      <c r="C1994" s="59">
        <v>50337816</v>
      </c>
      <c r="D1994" s="55" t="s">
        <v>245</v>
      </c>
      <c r="E1994" s="67">
        <v>264</v>
      </c>
      <c r="F1994" s="67">
        <v>2</v>
      </c>
      <c r="G1994" s="102">
        <v>528</v>
      </c>
      <c r="H1994" s="56" t="s">
        <v>80</v>
      </c>
      <c r="K1994" s="56">
        <v>566</v>
      </c>
      <c r="L1994" s="55" t="s">
        <v>176</v>
      </c>
      <c r="M1994" s="55" t="s">
        <v>2824</v>
      </c>
      <c r="N1994" s="4" t="s">
        <v>177</v>
      </c>
      <c r="O1994" s="55" t="s">
        <v>178</v>
      </c>
    </row>
    <row r="1995" spans="2:15">
      <c r="B1995" s="20">
        <v>45197</v>
      </c>
      <c r="C1995" s="59">
        <v>50813995</v>
      </c>
      <c r="D1995" s="55" t="s">
        <v>960</v>
      </c>
      <c r="E1995" s="67">
        <v>456</v>
      </c>
      <c r="F1995" s="67">
        <v>2</v>
      </c>
      <c r="G1995" s="102">
        <v>1002.45</v>
      </c>
      <c r="H1995" s="56" t="s">
        <v>82</v>
      </c>
      <c r="K1995" s="56">
        <v>567</v>
      </c>
      <c r="L1995" s="55" t="s">
        <v>176</v>
      </c>
      <c r="M1995" s="55" t="s">
        <v>2824</v>
      </c>
      <c r="N1995" s="4" t="s">
        <v>177</v>
      </c>
      <c r="O1995" s="55" t="s">
        <v>178</v>
      </c>
    </row>
    <row r="1996" spans="2:15">
      <c r="B1996" s="20">
        <v>45197</v>
      </c>
      <c r="C1996" s="59">
        <v>50812974</v>
      </c>
      <c r="D1996" s="55" t="s">
        <v>822</v>
      </c>
      <c r="E1996" s="67">
        <v>289800</v>
      </c>
      <c r="F1996" s="67">
        <v>10</v>
      </c>
      <c r="G1996" s="102">
        <v>2898000</v>
      </c>
      <c r="H1996" s="56" t="s">
        <v>92</v>
      </c>
      <c r="K1996" s="56">
        <v>567</v>
      </c>
      <c r="L1996" s="55" t="s">
        <v>176</v>
      </c>
      <c r="M1996" s="55" t="s">
        <v>2824</v>
      </c>
      <c r="N1996" s="4" t="s">
        <v>177</v>
      </c>
      <c r="O1996" s="55" t="s">
        <v>178</v>
      </c>
    </row>
    <row r="1997" spans="2:15">
      <c r="B1997" s="20">
        <v>45201</v>
      </c>
      <c r="C1997" s="59">
        <v>50272278</v>
      </c>
      <c r="D1997" s="55" t="s">
        <v>21</v>
      </c>
      <c r="E1997" s="67">
        <v>500</v>
      </c>
      <c r="F1997" s="67">
        <v>22</v>
      </c>
      <c r="G1997" s="102">
        <v>11000</v>
      </c>
      <c r="H1997" s="56" t="s">
        <v>92</v>
      </c>
      <c r="K1997" s="56">
        <v>568</v>
      </c>
      <c r="L1997" s="55" t="s">
        <v>176</v>
      </c>
      <c r="M1997" s="55" t="s">
        <v>2824</v>
      </c>
      <c r="N1997" s="4" t="s">
        <v>177</v>
      </c>
      <c r="O1997" s="55" t="s">
        <v>178</v>
      </c>
    </row>
    <row r="1998" spans="2:15">
      <c r="B1998" s="20">
        <v>45201</v>
      </c>
      <c r="C1998" s="59">
        <v>50470190</v>
      </c>
      <c r="D1998" s="55" t="s">
        <v>12</v>
      </c>
      <c r="E1998" s="67">
        <v>289800</v>
      </c>
      <c r="F1998" s="67">
        <v>18</v>
      </c>
      <c r="G1998" s="102">
        <v>5216400</v>
      </c>
      <c r="H1998" s="56" t="s">
        <v>92</v>
      </c>
      <c r="K1998" s="56">
        <v>569</v>
      </c>
      <c r="L1998" s="55" t="s">
        <v>176</v>
      </c>
      <c r="M1998" s="55" t="s">
        <v>2824</v>
      </c>
      <c r="N1998" s="4" t="s">
        <v>177</v>
      </c>
      <c r="O1998" s="55" t="s">
        <v>178</v>
      </c>
    </row>
    <row r="1999" spans="2:15">
      <c r="B1999" s="20">
        <v>45201</v>
      </c>
      <c r="C1999" s="59">
        <v>50142330</v>
      </c>
      <c r="D1999" s="55" t="s">
        <v>195</v>
      </c>
      <c r="E1999" s="67">
        <v>342.5</v>
      </c>
      <c r="F1999" s="67">
        <v>4</v>
      </c>
      <c r="G1999" s="102">
        <v>1077.84</v>
      </c>
      <c r="H1999" s="56" t="s">
        <v>82</v>
      </c>
      <c r="K1999" s="56">
        <v>570</v>
      </c>
      <c r="L1999" s="55" t="s">
        <v>176</v>
      </c>
      <c r="M1999" s="55" t="s">
        <v>2824</v>
      </c>
      <c r="N1999" s="4" t="s">
        <v>177</v>
      </c>
      <c r="O1999" s="55" t="s">
        <v>178</v>
      </c>
    </row>
    <row r="2000" spans="2:15">
      <c r="B2000" s="20">
        <v>45201</v>
      </c>
      <c r="C2000" s="59">
        <v>50813995</v>
      </c>
      <c r="D2000" s="55" t="s">
        <v>960</v>
      </c>
      <c r="E2000" s="67">
        <v>456</v>
      </c>
      <c r="F2000" s="67">
        <v>4</v>
      </c>
      <c r="G2000" s="102">
        <v>1897.65</v>
      </c>
      <c r="H2000" s="56" t="s">
        <v>82</v>
      </c>
      <c r="K2000" s="56">
        <v>570</v>
      </c>
      <c r="L2000" s="55" t="s">
        <v>176</v>
      </c>
      <c r="M2000" s="55" t="s">
        <v>2824</v>
      </c>
      <c r="N2000" s="4" t="s">
        <v>177</v>
      </c>
      <c r="O2000" s="55" t="s">
        <v>178</v>
      </c>
    </row>
    <row r="2001" spans="2:15">
      <c r="B2001" s="20">
        <v>45201</v>
      </c>
      <c r="C2001" s="59">
        <v>50142551</v>
      </c>
      <c r="D2001" s="55" t="s">
        <v>215</v>
      </c>
      <c r="E2001" s="67">
        <v>200</v>
      </c>
      <c r="F2001" s="67">
        <v>1</v>
      </c>
      <c r="G2001" s="102">
        <v>200</v>
      </c>
      <c r="H2001" s="56" t="s">
        <v>92</v>
      </c>
      <c r="K2001" s="56">
        <v>570</v>
      </c>
      <c r="L2001" s="55" t="s">
        <v>176</v>
      </c>
      <c r="M2001" s="55" t="s">
        <v>2824</v>
      </c>
      <c r="N2001" s="4" t="s">
        <v>177</v>
      </c>
      <c r="O2001" s="55" t="s">
        <v>178</v>
      </c>
    </row>
    <row r="2002" spans="2:15">
      <c r="B2002" s="20">
        <v>45201</v>
      </c>
      <c r="C2002" s="59">
        <v>50142397</v>
      </c>
      <c r="D2002" s="55" t="s">
        <v>557</v>
      </c>
      <c r="E2002" s="67">
        <v>100</v>
      </c>
      <c r="F2002" s="67">
        <v>1</v>
      </c>
      <c r="G2002" s="102">
        <v>100</v>
      </c>
      <c r="H2002" s="56" t="s">
        <v>92</v>
      </c>
      <c r="K2002" s="56">
        <v>570</v>
      </c>
      <c r="L2002" s="55" t="s">
        <v>176</v>
      </c>
      <c r="M2002" s="55" t="s">
        <v>2824</v>
      </c>
      <c r="N2002" s="4" t="s">
        <v>177</v>
      </c>
      <c r="O2002" s="55" t="s">
        <v>178</v>
      </c>
    </row>
    <row r="2003" spans="2:15">
      <c r="B2003" s="20">
        <v>45201</v>
      </c>
      <c r="C2003" s="59">
        <v>50143875</v>
      </c>
      <c r="D2003" s="55" t="s">
        <v>713</v>
      </c>
      <c r="E2003" s="67">
        <v>7200</v>
      </c>
      <c r="F2003" s="67">
        <v>1</v>
      </c>
      <c r="G2003" s="102">
        <v>7200</v>
      </c>
      <c r="H2003" s="56" t="s">
        <v>92</v>
      </c>
      <c r="K2003" s="56">
        <v>570</v>
      </c>
      <c r="L2003" s="55" t="s">
        <v>176</v>
      </c>
      <c r="M2003" s="55" t="s">
        <v>2824</v>
      </c>
      <c r="N2003" s="4" t="s">
        <v>177</v>
      </c>
      <c r="O2003" s="55" t="s">
        <v>178</v>
      </c>
    </row>
    <row r="2004" spans="2:15">
      <c r="B2004" s="20">
        <v>45201</v>
      </c>
      <c r="C2004" s="59">
        <v>50142281</v>
      </c>
      <c r="D2004" s="55" t="s">
        <v>204</v>
      </c>
      <c r="E2004" s="67">
        <v>450</v>
      </c>
      <c r="F2004" s="67">
        <v>3</v>
      </c>
      <c r="G2004" s="102">
        <v>1350</v>
      </c>
      <c r="H2004" s="56" t="s">
        <v>82</v>
      </c>
      <c r="K2004" s="56">
        <v>570</v>
      </c>
      <c r="L2004" s="55" t="s">
        <v>176</v>
      </c>
      <c r="M2004" s="55" t="s">
        <v>2824</v>
      </c>
      <c r="N2004" s="4" t="s">
        <v>177</v>
      </c>
      <c r="O2004" s="55" t="s">
        <v>178</v>
      </c>
    </row>
    <row r="2005" spans="2:15">
      <c r="B2005" s="20">
        <v>45201</v>
      </c>
      <c r="C2005" s="59">
        <v>50498271</v>
      </c>
      <c r="D2005" s="55" t="s">
        <v>1025</v>
      </c>
      <c r="E2005" s="67">
        <v>456</v>
      </c>
      <c r="F2005" s="67">
        <v>9</v>
      </c>
      <c r="G2005" s="102">
        <v>4372.4</v>
      </c>
      <c r="H2005" s="56" t="s">
        <v>82</v>
      </c>
      <c r="K2005" s="56">
        <v>570</v>
      </c>
      <c r="L2005" s="55" t="s">
        <v>176</v>
      </c>
      <c r="M2005" s="55" t="s">
        <v>2824</v>
      </c>
      <c r="N2005" s="4" t="s">
        <v>177</v>
      </c>
      <c r="O2005" s="55" t="s">
        <v>178</v>
      </c>
    </row>
    <row r="2006" spans="2:15">
      <c r="B2006" s="20">
        <v>45202</v>
      </c>
      <c r="C2006" s="59">
        <v>50141786</v>
      </c>
      <c r="D2006" s="55" t="s">
        <v>188</v>
      </c>
      <c r="E2006" s="67">
        <v>560</v>
      </c>
      <c r="F2006" s="67">
        <v>11</v>
      </c>
      <c r="G2006" s="102">
        <v>6160</v>
      </c>
      <c r="H2006" s="56" t="s">
        <v>82</v>
      </c>
      <c r="K2006" s="56">
        <v>571</v>
      </c>
      <c r="L2006" s="55" t="s">
        <v>176</v>
      </c>
      <c r="M2006" s="55" t="s">
        <v>2824</v>
      </c>
      <c r="N2006" s="4" t="s">
        <v>177</v>
      </c>
      <c r="O2006" s="55" t="s">
        <v>178</v>
      </c>
    </row>
    <row r="2007" spans="2:15">
      <c r="B2007" s="20">
        <v>45202</v>
      </c>
      <c r="C2007" s="59">
        <v>50272278</v>
      </c>
      <c r="D2007" s="55" t="s">
        <v>21</v>
      </c>
      <c r="E2007" s="67">
        <v>330</v>
      </c>
      <c r="F2007" s="67">
        <v>11</v>
      </c>
      <c r="G2007" s="102">
        <v>3630</v>
      </c>
      <c r="H2007" s="56" t="s">
        <v>92</v>
      </c>
      <c r="K2007" s="56">
        <v>571</v>
      </c>
      <c r="L2007" s="55" t="s">
        <v>176</v>
      </c>
      <c r="M2007" s="55" t="s">
        <v>2824</v>
      </c>
      <c r="N2007" s="4" t="s">
        <v>177</v>
      </c>
      <c r="O2007" s="55" t="s">
        <v>178</v>
      </c>
    </row>
    <row r="2008" spans="2:15">
      <c r="B2008" s="20">
        <v>45202</v>
      </c>
      <c r="C2008" s="59">
        <v>50392045</v>
      </c>
      <c r="D2008" s="55" t="s">
        <v>707</v>
      </c>
      <c r="E2008" s="67">
        <v>1</v>
      </c>
      <c r="F2008" s="67">
        <v>1</v>
      </c>
      <c r="G2008" s="102">
        <v>24</v>
      </c>
      <c r="H2008" s="56" t="s">
        <v>505</v>
      </c>
      <c r="K2008" s="56">
        <v>571</v>
      </c>
      <c r="L2008" s="55" t="s">
        <v>176</v>
      </c>
      <c r="M2008" s="55" t="s">
        <v>2824</v>
      </c>
      <c r="N2008" s="4" t="s">
        <v>177</v>
      </c>
      <c r="O2008" s="55" t="s">
        <v>178</v>
      </c>
    </row>
    <row r="2009" spans="2:15">
      <c r="B2009" s="20">
        <v>45202</v>
      </c>
      <c r="C2009" s="59">
        <v>50392046</v>
      </c>
      <c r="D2009" s="55" t="s">
        <v>509</v>
      </c>
      <c r="E2009" s="67">
        <v>1</v>
      </c>
      <c r="F2009" s="67">
        <v>1</v>
      </c>
      <c r="G2009" s="102">
        <v>12</v>
      </c>
      <c r="H2009" s="99" t="s">
        <v>505</v>
      </c>
      <c r="K2009" s="56">
        <v>571</v>
      </c>
      <c r="L2009" s="55" t="s">
        <v>176</v>
      </c>
      <c r="M2009" s="55" t="s">
        <v>2824</v>
      </c>
      <c r="N2009" s="4" t="s">
        <v>177</v>
      </c>
      <c r="O2009" s="55" t="s">
        <v>178</v>
      </c>
    </row>
    <row r="2010" spans="2:15">
      <c r="B2010" s="20">
        <v>45202</v>
      </c>
      <c r="C2010" s="59">
        <v>40010087</v>
      </c>
      <c r="D2010" s="55" t="s">
        <v>387</v>
      </c>
      <c r="E2010" s="67">
        <v>756</v>
      </c>
      <c r="F2010" s="67">
        <v>1</v>
      </c>
      <c r="G2010" s="102">
        <v>756</v>
      </c>
      <c r="H2010" s="56" t="s">
        <v>80</v>
      </c>
      <c r="K2010" s="56">
        <v>572</v>
      </c>
      <c r="L2010" s="55" t="s">
        <v>176</v>
      </c>
      <c r="M2010" s="55" t="s">
        <v>2824</v>
      </c>
      <c r="N2010" s="4" t="s">
        <v>177</v>
      </c>
      <c r="O2010" s="55" t="s">
        <v>178</v>
      </c>
    </row>
    <row r="2011" spans="2:15">
      <c r="B2011" s="20">
        <v>45202</v>
      </c>
      <c r="C2011" s="59">
        <v>50809147</v>
      </c>
      <c r="D2011" s="55" t="s">
        <v>930</v>
      </c>
      <c r="E2011" s="67">
        <v>568</v>
      </c>
      <c r="F2011" s="67">
        <v>6</v>
      </c>
      <c r="G2011" s="102">
        <v>2736.35</v>
      </c>
      <c r="H2011" s="56" t="s">
        <v>82</v>
      </c>
      <c r="K2011" s="56">
        <v>572</v>
      </c>
      <c r="L2011" s="55" t="s">
        <v>176</v>
      </c>
      <c r="M2011" s="55" t="s">
        <v>2824</v>
      </c>
      <c r="N2011" s="4" t="s">
        <v>177</v>
      </c>
      <c r="O2011" s="55" t="s">
        <v>178</v>
      </c>
    </row>
    <row r="2012" spans="2:15">
      <c r="B2012" s="20">
        <v>45202</v>
      </c>
      <c r="C2012" s="59">
        <v>50812974</v>
      </c>
      <c r="D2012" s="55" t="s">
        <v>822</v>
      </c>
      <c r="E2012" s="67">
        <v>289800</v>
      </c>
      <c r="F2012" s="67">
        <v>12</v>
      </c>
      <c r="G2012" s="102">
        <v>3477600</v>
      </c>
      <c r="H2012" s="56" t="s">
        <v>92</v>
      </c>
      <c r="K2012" s="56">
        <v>572</v>
      </c>
      <c r="L2012" s="55" t="s">
        <v>176</v>
      </c>
      <c r="M2012" s="55" t="s">
        <v>2824</v>
      </c>
      <c r="N2012" s="4" t="s">
        <v>177</v>
      </c>
      <c r="O2012" s="55" t="s">
        <v>178</v>
      </c>
    </row>
    <row r="2013" spans="2:15">
      <c r="B2013" s="20">
        <v>45202</v>
      </c>
      <c r="C2013" s="59">
        <v>50809143</v>
      </c>
      <c r="D2013" s="55" t="s">
        <v>997</v>
      </c>
      <c r="E2013" s="67">
        <v>458</v>
      </c>
      <c r="F2013" s="67">
        <v>1</v>
      </c>
      <c r="G2013" s="102">
        <v>505.65</v>
      </c>
      <c r="H2013" s="56" t="s">
        <v>82</v>
      </c>
      <c r="K2013" s="56">
        <v>572</v>
      </c>
      <c r="L2013" s="55" t="s">
        <v>176</v>
      </c>
      <c r="M2013" s="55" t="s">
        <v>2824</v>
      </c>
      <c r="N2013" s="4" t="s">
        <v>177</v>
      </c>
      <c r="O2013" s="55" t="s">
        <v>178</v>
      </c>
    </row>
    <row r="2014" spans="2:15">
      <c r="B2014" s="20">
        <v>45202</v>
      </c>
      <c r="C2014" s="59">
        <v>50145028</v>
      </c>
      <c r="D2014" s="55" t="s">
        <v>23</v>
      </c>
      <c r="E2014" s="67">
        <v>192</v>
      </c>
      <c r="F2014" s="67">
        <v>3</v>
      </c>
      <c r="G2014" s="102">
        <v>576</v>
      </c>
      <c r="H2014" s="56" t="s">
        <v>92</v>
      </c>
      <c r="K2014" s="56">
        <v>573</v>
      </c>
      <c r="L2014" s="55" t="s">
        <v>392</v>
      </c>
      <c r="M2014" s="55" t="s">
        <v>392</v>
      </c>
      <c r="N2014" s="4" t="s">
        <v>1036</v>
      </c>
      <c r="O2014" s="55" t="s">
        <v>178</v>
      </c>
    </row>
    <row r="2015" spans="2:15">
      <c r="B2015" s="20">
        <v>45202</v>
      </c>
      <c r="C2015" s="59">
        <v>50142237</v>
      </c>
      <c r="D2015" s="55" t="s">
        <v>617</v>
      </c>
      <c r="E2015" s="67">
        <v>1000</v>
      </c>
      <c r="F2015" s="67">
        <v>5</v>
      </c>
      <c r="G2015" s="102">
        <v>5000</v>
      </c>
      <c r="H2015" s="56" t="s">
        <v>92</v>
      </c>
      <c r="K2015" s="56">
        <v>573</v>
      </c>
      <c r="L2015" s="55" t="s">
        <v>392</v>
      </c>
      <c r="M2015" s="55" t="s">
        <v>392</v>
      </c>
      <c r="N2015" s="4" t="s">
        <v>1036</v>
      </c>
      <c r="O2015" s="55" t="s">
        <v>178</v>
      </c>
    </row>
    <row r="2016" spans="2:15">
      <c r="B2016" s="20">
        <v>45203</v>
      </c>
      <c r="C2016" s="59">
        <v>50010080</v>
      </c>
      <c r="D2016" s="55" t="s">
        <v>354</v>
      </c>
      <c r="E2016" s="67">
        <v>1000</v>
      </c>
      <c r="F2016" s="67">
        <v>2</v>
      </c>
      <c r="G2016" s="102">
        <v>2000</v>
      </c>
      <c r="H2016" s="56" t="s">
        <v>82</v>
      </c>
      <c r="K2016" s="56">
        <v>574</v>
      </c>
      <c r="L2016" s="55" t="s">
        <v>176</v>
      </c>
      <c r="M2016" s="55" t="s">
        <v>2824</v>
      </c>
      <c r="N2016" s="4" t="s">
        <v>177</v>
      </c>
      <c r="O2016" s="55" t="s">
        <v>178</v>
      </c>
    </row>
    <row r="2017" spans="2:15">
      <c r="B2017" s="20">
        <v>45203</v>
      </c>
      <c r="C2017" s="59">
        <v>50272278</v>
      </c>
      <c r="D2017" s="55" t="s">
        <v>21</v>
      </c>
      <c r="E2017" s="67">
        <v>500</v>
      </c>
      <c r="F2017" s="67">
        <v>16</v>
      </c>
      <c r="G2017" s="102">
        <v>8000</v>
      </c>
      <c r="H2017" s="56" t="s">
        <v>92</v>
      </c>
      <c r="K2017" s="56">
        <v>574</v>
      </c>
      <c r="L2017" s="55" t="s">
        <v>176</v>
      </c>
      <c r="M2017" s="55" t="s">
        <v>2824</v>
      </c>
      <c r="N2017" s="4" t="s">
        <v>177</v>
      </c>
      <c r="O2017" s="55" t="s">
        <v>178</v>
      </c>
    </row>
    <row r="2018" spans="2:15">
      <c r="B2018" s="20">
        <v>45203</v>
      </c>
      <c r="C2018" s="59">
        <v>50144200</v>
      </c>
      <c r="D2018" s="55" t="s">
        <v>184</v>
      </c>
      <c r="E2018" s="67">
        <v>264000</v>
      </c>
      <c r="F2018" s="67">
        <v>4</v>
      </c>
      <c r="G2018" s="102">
        <v>156000</v>
      </c>
      <c r="H2018" s="56" t="s">
        <v>92</v>
      </c>
      <c r="K2018" s="56">
        <v>574</v>
      </c>
      <c r="L2018" s="55" t="s">
        <v>176</v>
      </c>
      <c r="M2018" s="55" t="s">
        <v>2824</v>
      </c>
      <c r="N2018" s="4" t="s">
        <v>177</v>
      </c>
      <c r="O2018" s="55" t="s">
        <v>178</v>
      </c>
    </row>
    <row r="2019" spans="2:15">
      <c r="B2019" s="20">
        <v>45203</v>
      </c>
      <c r="C2019" s="59">
        <v>50272278</v>
      </c>
      <c r="D2019" s="55" t="s">
        <v>21</v>
      </c>
      <c r="E2019" s="67">
        <v>500</v>
      </c>
      <c r="F2019" s="67">
        <v>12</v>
      </c>
      <c r="G2019" s="102">
        <v>6000</v>
      </c>
      <c r="H2019" s="56" t="s">
        <v>92</v>
      </c>
      <c r="K2019" s="56">
        <v>575</v>
      </c>
      <c r="L2019" s="55" t="s">
        <v>176</v>
      </c>
      <c r="M2019" s="55" t="s">
        <v>2824</v>
      </c>
      <c r="N2019" s="4" t="s">
        <v>177</v>
      </c>
      <c r="O2019" s="55" t="s">
        <v>178</v>
      </c>
    </row>
    <row r="2020" spans="2:15">
      <c r="B2020" s="20">
        <v>45203</v>
      </c>
      <c r="C2020" s="59">
        <v>50144200</v>
      </c>
      <c r="D2020" s="55" t="s">
        <v>184</v>
      </c>
      <c r="E2020" s="67">
        <v>264000</v>
      </c>
      <c r="F2020" s="67">
        <v>6</v>
      </c>
      <c r="G2020" s="102">
        <v>1584000</v>
      </c>
      <c r="H2020" s="56" t="s">
        <v>92</v>
      </c>
      <c r="K2020" s="56">
        <v>575</v>
      </c>
      <c r="L2020" s="55" t="s">
        <v>176</v>
      </c>
      <c r="M2020" s="55" t="s">
        <v>2824</v>
      </c>
      <c r="N2020" s="4" t="s">
        <v>177</v>
      </c>
      <c r="O2020" s="55" t="s">
        <v>178</v>
      </c>
    </row>
    <row r="2021" spans="2:15">
      <c r="B2021" s="20">
        <v>45203</v>
      </c>
      <c r="C2021" s="59">
        <v>50142327</v>
      </c>
      <c r="D2021" s="55" t="s">
        <v>256</v>
      </c>
      <c r="E2021" s="67">
        <v>681</v>
      </c>
      <c r="F2021" s="67">
        <v>2</v>
      </c>
      <c r="G2021" s="102">
        <v>1362</v>
      </c>
      <c r="H2021" s="56" t="s">
        <v>82</v>
      </c>
      <c r="K2021" s="56">
        <v>575</v>
      </c>
      <c r="L2021" s="55" t="s">
        <v>176</v>
      </c>
      <c r="M2021" s="55" t="s">
        <v>2824</v>
      </c>
      <c r="N2021" s="4" t="s">
        <v>177</v>
      </c>
      <c r="O2021" s="55" t="s">
        <v>178</v>
      </c>
    </row>
    <row r="2022" spans="2:15">
      <c r="B2022" s="20">
        <v>45203</v>
      </c>
      <c r="C2022" s="59">
        <v>50142334</v>
      </c>
      <c r="D2022" s="55" t="s">
        <v>257</v>
      </c>
      <c r="E2022" s="67">
        <v>681</v>
      </c>
      <c r="F2022" s="67">
        <v>2</v>
      </c>
      <c r="G2022" s="102">
        <v>1362</v>
      </c>
      <c r="H2022" s="56" t="s">
        <v>82</v>
      </c>
      <c r="K2022" s="56">
        <v>575</v>
      </c>
      <c r="L2022" s="55" t="s">
        <v>176</v>
      </c>
      <c r="M2022" s="55" t="s">
        <v>2824</v>
      </c>
      <c r="N2022" s="4" t="s">
        <v>177</v>
      </c>
      <c r="O2022" s="55" t="s">
        <v>178</v>
      </c>
    </row>
    <row r="2023" spans="2:15">
      <c r="B2023" s="20">
        <v>45204</v>
      </c>
      <c r="C2023" s="59">
        <v>50470190</v>
      </c>
      <c r="D2023" s="55" t="s">
        <v>12</v>
      </c>
      <c r="E2023" s="67">
        <v>289800</v>
      </c>
      <c r="F2023" s="67">
        <v>18</v>
      </c>
      <c r="G2023" s="102">
        <v>5216400</v>
      </c>
      <c r="H2023" s="56" t="s">
        <v>92</v>
      </c>
      <c r="K2023" s="56">
        <v>576</v>
      </c>
      <c r="L2023" s="55" t="s">
        <v>176</v>
      </c>
      <c r="M2023" s="55" t="s">
        <v>2824</v>
      </c>
      <c r="N2023" s="4" t="s">
        <v>177</v>
      </c>
      <c r="O2023" s="55" t="s">
        <v>178</v>
      </c>
    </row>
    <row r="2024" spans="2:15">
      <c r="B2024" s="20">
        <v>45204</v>
      </c>
      <c r="C2024" s="59">
        <v>50809147</v>
      </c>
      <c r="D2024" s="55" t="s">
        <v>930</v>
      </c>
      <c r="E2024" s="67">
        <v>456</v>
      </c>
      <c r="F2024" s="67">
        <v>7</v>
      </c>
      <c r="G2024" s="102">
        <v>3499.31</v>
      </c>
      <c r="H2024" s="56" t="s">
        <v>82</v>
      </c>
      <c r="K2024" s="56">
        <v>577</v>
      </c>
      <c r="L2024" s="55" t="s">
        <v>176</v>
      </c>
      <c r="M2024" s="55" t="s">
        <v>2824</v>
      </c>
      <c r="N2024" s="4" t="s">
        <v>177</v>
      </c>
      <c r="O2024" s="55" t="s">
        <v>178</v>
      </c>
    </row>
    <row r="2025" spans="2:15">
      <c r="B2025" s="20">
        <v>45204</v>
      </c>
      <c r="C2025" s="59">
        <v>50813995</v>
      </c>
      <c r="D2025" s="55" t="s">
        <v>960</v>
      </c>
      <c r="E2025" s="67">
        <v>487</v>
      </c>
      <c r="F2025" s="67">
        <v>4</v>
      </c>
      <c r="G2025" s="102">
        <v>2000.2</v>
      </c>
      <c r="H2025" s="56" t="s">
        <v>82</v>
      </c>
      <c r="K2025" s="56">
        <v>577</v>
      </c>
      <c r="L2025" s="55" t="s">
        <v>176</v>
      </c>
      <c r="M2025" s="55" t="s">
        <v>2824</v>
      </c>
      <c r="N2025" s="4" t="s">
        <v>177</v>
      </c>
      <c r="O2025" s="55" t="s">
        <v>178</v>
      </c>
    </row>
    <row r="2026" spans="2:15">
      <c r="B2026" s="20">
        <v>45204</v>
      </c>
      <c r="C2026" s="59">
        <v>50142237</v>
      </c>
      <c r="D2026" s="55" t="s">
        <v>617</v>
      </c>
      <c r="E2026" s="67">
        <v>1000</v>
      </c>
      <c r="F2026" s="67">
        <v>1</v>
      </c>
      <c r="G2026" s="102">
        <v>10000</v>
      </c>
      <c r="H2026" s="56" t="s">
        <v>92</v>
      </c>
      <c r="K2026" s="56">
        <v>577</v>
      </c>
      <c r="L2026" s="55" t="s">
        <v>176</v>
      </c>
      <c r="M2026" s="55" t="s">
        <v>2824</v>
      </c>
      <c r="N2026" s="4" t="s">
        <v>177</v>
      </c>
      <c r="O2026" s="55" t="s">
        <v>178</v>
      </c>
    </row>
    <row r="2027" spans="2:15">
      <c r="B2027" s="20">
        <v>45204</v>
      </c>
      <c r="C2027" s="59">
        <v>50142327</v>
      </c>
      <c r="D2027" s="55" t="s">
        <v>256</v>
      </c>
      <c r="E2027" s="67">
        <v>681</v>
      </c>
      <c r="F2027" s="67">
        <v>2</v>
      </c>
      <c r="G2027" s="102">
        <v>1362</v>
      </c>
      <c r="H2027" s="56" t="s">
        <v>82</v>
      </c>
      <c r="K2027" s="56">
        <v>577</v>
      </c>
      <c r="L2027" s="55" t="s">
        <v>176</v>
      </c>
      <c r="M2027" s="55" t="s">
        <v>2824</v>
      </c>
      <c r="N2027" s="4" t="s">
        <v>177</v>
      </c>
      <c r="O2027" s="55" t="s">
        <v>178</v>
      </c>
    </row>
    <row r="2028" spans="2:15">
      <c r="B2028" s="20">
        <v>45204</v>
      </c>
      <c r="C2028" s="59">
        <v>50142334</v>
      </c>
      <c r="D2028" s="55" t="s">
        <v>257</v>
      </c>
      <c r="E2028" s="67">
        <v>681</v>
      </c>
      <c r="F2028" s="67">
        <v>2</v>
      </c>
      <c r="G2028" s="102">
        <v>1362</v>
      </c>
      <c r="H2028" s="56" t="s">
        <v>82</v>
      </c>
      <c r="K2028" s="56">
        <v>577</v>
      </c>
      <c r="L2028" s="55" t="s">
        <v>176</v>
      </c>
      <c r="M2028" s="55" t="s">
        <v>2824</v>
      </c>
      <c r="N2028" s="4" t="s">
        <v>177</v>
      </c>
      <c r="O2028" s="55" t="s">
        <v>178</v>
      </c>
    </row>
    <row r="2029" spans="2:15">
      <c r="B2029" s="20">
        <v>45204</v>
      </c>
      <c r="C2029" s="59">
        <v>50809144</v>
      </c>
      <c r="D2029" s="55" t="s">
        <v>989</v>
      </c>
      <c r="E2029" s="67">
        <v>458</v>
      </c>
      <c r="F2029" s="67">
        <v>7</v>
      </c>
      <c r="G2029" s="102">
        <v>3339.7</v>
      </c>
      <c r="H2029" s="56" t="s">
        <v>82</v>
      </c>
      <c r="K2029" s="56">
        <v>577</v>
      </c>
      <c r="L2029" s="55" t="s">
        <v>176</v>
      </c>
      <c r="M2029" s="55" t="s">
        <v>2824</v>
      </c>
      <c r="N2029" s="4" t="s">
        <v>177</v>
      </c>
      <c r="O2029" s="55" t="s">
        <v>178</v>
      </c>
    </row>
    <row r="2030" spans="2:15">
      <c r="B2030" s="20">
        <v>45205</v>
      </c>
      <c r="C2030" s="59">
        <v>50470190</v>
      </c>
      <c r="D2030" s="55" t="s">
        <v>12</v>
      </c>
      <c r="E2030" s="67">
        <v>289800</v>
      </c>
      <c r="F2030" s="67">
        <v>18</v>
      </c>
      <c r="G2030" s="102">
        <v>5216400</v>
      </c>
      <c r="H2030" s="56" t="s">
        <v>92</v>
      </c>
      <c r="K2030" s="56">
        <v>578</v>
      </c>
      <c r="L2030" s="55" t="s">
        <v>176</v>
      </c>
      <c r="M2030" s="55" t="s">
        <v>2824</v>
      </c>
      <c r="N2030" s="4" t="s">
        <v>177</v>
      </c>
      <c r="O2030" s="55" t="s">
        <v>178</v>
      </c>
    </row>
    <row r="2031" spans="2:15">
      <c r="B2031" s="20">
        <v>45205</v>
      </c>
      <c r="C2031" s="59">
        <v>50144376</v>
      </c>
      <c r="D2031" s="55" t="s">
        <v>19</v>
      </c>
      <c r="E2031" s="67">
        <v>500</v>
      </c>
      <c r="F2031" s="67">
        <v>5</v>
      </c>
      <c r="G2031" s="102">
        <v>2500</v>
      </c>
      <c r="H2031" s="56" t="s">
        <v>92</v>
      </c>
      <c r="K2031" s="56">
        <v>579</v>
      </c>
      <c r="L2031" s="55" t="s">
        <v>326</v>
      </c>
      <c r="M2031" s="55" t="s">
        <v>326</v>
      </c>
      <c r="N2031" s="4" t="s">
        <v>2853</v>
      </c>
      <c r="O2031" s="55" t="s">
        <v>178</v>
      </c>
    </row>
    <row r="2032" spans="2:15">
      <c r="B2032" s="20">
        <v>45205</v>
      </c>
      <c r="C2032" s="59">
        <v>50272278</v>
      </c>
      <c r="D2032" s="55" t="s">
        <v>21</v>
      </c>
      <c r="E2032" s="67">
        <v>500</v>
      </c>
      <c r="F2032" s="67">
        <v>12</v>
      </c>
      <c r="G2032" s="102">
        <v>6422</v>
      </c>
      <c r="H2032" s="56" t="s">
        <v>92</v>
      </c>
      <c r="K2032" s="56">
        <v>579</v>
      </c>
      <c r="L2032" s="55" t="s">
        <v>326</v>
      </c>
      <c r="M2032" s="55" t="s">
        <v>326</v>
      </c>
      <c r="N2032" s="4" t="s">
        <v>2853</v>
      </c>
      <c r="O2032" s="55" t="s">
        <v>178</v>
      </c>
    </row>
    <row r="2033" spans="2:15">
      <c r="B2033" s="20">
        <v>45205</v>
      </c>
      <c r="C2033" s="59">
        <v>50145028</v>
      </c>
      <c r="D2033" s="55" t="s">
        <v>23</v>
      </c>
      <c r="E2033" s="67">
        <v>192</v>
      </c>
      <c r="F2033" s="67">
        <v>3</v>
      </c>
      <c r="G2033" s="102">
        <v>576</v>
      </c>
      <c r="H2033" s="56" t="s">
        <v>92</v>
      </c>
      <c r="K2033" s="56">
        <v>579</v>
      </c>
      <c r="L2033" s="55" t="s">
        <v>326</v>
      </c>
      <c r="M2033" s="55" t="s">
        <v>326</v>
      </c>
      <c r="N2033" s="4" t="s">
        <v>2853</v>
      </c>
      <c r="O2033" s="55" t="s">
        <v>178</v>
      </c>
    </row>
    <row r="2034" spans="2:15">
      <c r="B2034" s="20">
        <v>45208</v>
      </c>
      <c r="C2034" s="59">
        <v>50144376</v>
      </c>
      <c r="D2034" s="55" t="s">
        <v>19</v>
      </c>
      <c r="E2034" s="67">
        <v>500</v>
      </c>
      <c r="F2034" s="67">
        <v>22</v>
      </c>
      <c r="G2034" s="102">
        <v>11000</v>
      </c>
      <c r="H2034" s="56" t="s">
        <v>92</v>
      </c>
      <c r="K2034" s="56">
        <v>580</v>
      </c>
      <c r="L2034" s="55" t="s">
        <v>176</v>
      </c>
      <c r="M2034" s="55" t="s">
        <v>2824</v>
      </c>
      <c r="N2034" s="4" t="s">
        <v>177</v>
      </c>
      <c r="O2034" s="55" t="s">
        <v>178</v>
      </c>
    </row>
    <row r="2035" spans="2:15">
      <c r="B2035" s="20">
        <v>45208</v>
      </c>
      <c r="C2035" s="59">
        <v>50144376</v>
      </c>
      <c r="D2035" s="55" t="s">
        <v>19</v>
      </c>
      <c r="E2035" s="67">
        <v>500</v>
      </c>
      <c r="F2035" s="67">
        <v>11</v>
      </c>
      <c r="G2035" s="102">
        <v>5500</v>
      </c>
      <c r="H2035" s="56" t="s">
        <v>92</v>
      </c>
      <c r="K2035" s="56">
        <v>581</v>
      </c>
      <c r="L2035" s="55" t="s">
        <v>176</v>
      </c>
      <c r="M2035" s="55" t="s">
        <v>2824</v>
      </c>
      <c r="N2035" s="4" t="s">
        <v>177</v>
      </c>
      <c r="O2035" s="55" t="s">
        <v>178</v>
      </c>
    </row>
    <row r="2036" spans="2:15">
      <c r="B2036" s="20">
        <v>45208</v>
      </c>
      <c r="C2036" s="59">
        <v>50470190</v>
      </c>
      <c r="D2036" s="55" t="s">
        <v>12</v>
      </c>
      <c r="E2036" s="67">
        <v>289800</v>
      </c>
      <c r="F2036" s="67">
        <v>8</v>
      </c>
      <c r="G2036" s="102">
        <v>2318400</v>
      </c>
      <c r="H2036" s="56" t="s">
        <v>92</v>
      </c>
      <c r="K2036" s="56">
        <v>581</v>
      </c>
      <c r="L2036" s="55" t="s">
        <v>176</v>
      </c>
      <c r="M2036" s="55" t="s">
        <v>2824</v>
      </c>
      <c r="N2036" s="4" t="s">
        <v>177</v>
      </c>
      <c r="O2036" s="55" t="s">
        <v>178</v>
      </c>
    </row>
    <row r="2037" spans="2:15">
      <c r="B2037" s="20">
        <v>45208</v>
      </c>
      <c r="C2037" s="59">
        <v>40009544</v>
      </c>
      <c r="D2037" s="55" t="s">
        <v>179</v>
      </c>
      <c r="E2037" s="67">
        <v>838</v>
      </c>
      <c r="F2037" s="67">
        <v>2</v>
      </c>
      <c r="G2037" s="102">
        <v>3218</v>
      </c>
      <c r="H2037" s="56" t="s">
        <v>80</v>
      </c>
      <c r="K2037" s="56">
        <v>582</v>
      </c>
      <c r="L2037" s="55" t="s">
        <v>176</v>
      </c>
      <c r="M2037" s="55" t="s">
        <v>2824</v>
      </c>
      <c r="N2037" s="4" t="s">
        <v>177</v>
      </c>
      <c r="O2037" s="55" t="s">
        <v>178</v>
      </c>
    </row>
    <row r="2038" spans="2:15">
      <c r="B2038" s="20">
        <v>45208</v>
      </c>
      <c r="C2038" s="59">
        <v>50272278</v>
      </c>
      <c r="D2038" s="55" t="s">
        <v>21</v>
      </c>
      <c r="E2038" s="67">
        <v>500</v>
      </c>
      <c r="F2038" s="67">
        <v>5</v>
      </c>
      <c r="G2038" s="102">
        <v>2500</v>
      </c>
      <c r="H2038" s="56" t="s">
        <v>92</v>
      </c>
      <c r="K2038" s="56">
        <v>582</v>
      </c>
      <c r="L2038" s="55" t="s">
        <v>176</v>
      </c>
      <c r="M2038" s="55" t="s">
        <v>2824</v>
      </c>
      <c r="N2038" s="4" t="s">
        <v>177</v>
      </c>
      <c r="O2038" s="55" t="s">
        <v>178</v>
      </c>
    </row>
    <row r="2039" spans="2:15">
      <c r="B2039" s="20">
        <v>45208</v>
      </c>
      <c r="C2039" s="59">
        <v>50145187</v>
      </c>
      <c r="D2039" s="55" t="s">
        <v>465</v>
      </c>
      <c r="E2039" s="67">
        <v>264</v>
      </c>
      <c r="F2039" s="67">
        <v>5</v>
      </c>
      <c r="G2039" s="102">
        <v>1298000</v>
      </c>
      <c r="H2039" s="56" t="s">
        <v>92</v>
      </c>
      <c r="K2039" s="56">
        <v>582</v>
      </c>
      <c r="L2039" s="55" t="s">
        <v>176</v>
      </c>
      <c r="M2039" s="55" t="s">
        <v>2824</v>
      </c>
      <c r="N2039" s="4" t="s">
        <v>177</v>
      </c>
      <c r="O2039" s="55" t="s">
        <v>178</v>
      </c>
    </row>
    <row r="2040" spans="2:15">
      <c r="B2040" s="20">
        <v>45208</v>
      </c>
      <c r="C2040" s="59">
        <v>50144200</v>
      </c>
      <c r="D2040" s="55" t="s">
        <v>184</v>
      </c>
      <c r="E2040" s="67">
        <v>264</v>
      </c>
      <c r="F2040" s="67">
        <v>5</v>
      </c>
      <c r="G2040" s="102">
        <v>1320000</v>
      </c>
      <c r="H2040" s="56" t="s">
        <v>92</v>
      </c>
      <c r="K2040" s="56">
        <v>582</v>
      </c>
      <c r="L2040" s="55" t="s">
        <v>176</v>
      </c>
      <c r="M2040" s="55" t="s">
        <v>2824</v>
      </c>
      <c r="N2040" s="4" t="s">
        <v>177</v>
      </c>
      <c r="O2040" s="55" t="s">
        <v>178</v>
      </c>
    </row>
    <row r="2041" spans="2:15">
      <c r="B2041" s="20">
        <v>45208</v>
      </c>
      <c r="C2041" s="59">
        <v>50315365</v>
      </c>
      <c r="D2041" s="55" t="s">
        <v>584</v>
      </c>
      <c r="E2041" s="67">
        <v>264</v>
      </c>
      <c r="F2041" s="67">
        <v>5</v>
      </c>
      <c r="G2041" s="102">
        <v>1309</v>
      </c>
      <c r="H2041" s="56" t="s">
        <v>80</v>
      </c>
      <c r="K2041" s="56">
        <v>582</v>
      </c>
      <c r="L2041" s="55" t="s">
        <v>176</v>
      </c>
      <c r="M2041" s="55" t="s">
        <v>2824</v>
      </c>
      <c r="N2041" s="4" t="s">
        <v>177</v>
      </c>
      <c r="O2041" s="55" t="s">
        <v>178</v>
      </c>
    </row>
    <row r="2042" spans="2:15">
      <c r="B2042" s="20">
        <v>45209</v>
      </c>
      <c r="C2042" s="59">
        <v>50010080</v>
      </c>
      <c r="D2042" s="55" t="s">
        <v>354</v>
      </c>
      <c r="E2042" s="67">
        <v>1000</v>
      </c>
      <c r="F2042" s="67">
        <v>6</v>
      </c>
      <c r="G2042" s="102">
        <v>6000</v>
      </c>
      <c r="H2042" s="56" t="s">
        <v>82</v>
      </c>
      <c r="K2042" s="56">
        <v>583</v>
      </c>
      <c r="L2042" s="55" t="s">
        <v>176</v>
      </c>
      <c r="M2042" s="55" t="s">
        <v>2824</v>
      </c>
      <c r="N2042" s="4" t="s">
        <v>177</v>
      </c>
      <c r="O2042" s="55" t="s">
        <v>178</v>
      </c>
    </row>
    <row r="2043" spans="2:15">
      <c r="B2043" s="20">
        <v>45209</v>
      </c>
      <c r="C2043" s="59">
        <v>50142330</v>
      </c>
      <c r="D2043" s="55" t="s">
        <v>195</v>
      </c>
      <c r="E2043" s="67">
        <v>5546</v>
      </c>
      <c r="F2043" s="67">
        <v>2</v>
      </c>
      <c r="G2043" s="102">
        <v>718.56</v>
      </c>
      <c r="H2043" s="56" t="s">
        <v>82</v>
      </c>
      <c r="K2043" s="56">
        <v>583</v>
      </c>
      <c r="L2043" s="55" t="s">
        <v>176</v>
      </c>
      <c r="M2043" s="55" t="s">
        <v>2824</v>
      </c>
      <c r="N2043" s="4" t="s">
        <v>177</v>
      </c>
      <c r="O2043" s="55" t="s">
        <v>178</v>
      </c>
    </row>
    <row r="2044" spans="2:15">
      <c r="B2044" s="20">
        <v>45209</v>
      </c>
      <c r="C2044" s="59">
        <v>50144376</v>
      </c>
      <c r="D2044" s="55" t="s">
        <v>19</v>
      </c>
      <c r="E2044" s="67">
        <v>500</v>
      </c>
      <c r="F2044" s="67">
        <v>6</v>
      </c>
      <c r="G2044" s="102">
        <v>3000</v>
      </c>
      <c r="H2044" s="56" t="s">
        <v>92</v>
      </c>
      <c r="K2044" s="56">
        <v>583</v>
      </c>
      <c r="L2044" s="55" t="s">
        <v>176</v>
      </c>
      <c r="M2044" s="55" t="s">
        <v>2824</v>
      </c>
      <c r="N2044" s="4" t="s">
        <v>177</v>
      </c>
      <c r="O2044" s="55" t="s">
        <v>178</v>
      </c>
    </row>
    <row r="2045" spans="2:15">
      <c r="B2045" s="20">
        <v>45209</v>
      </c>
      <c r="C2045" s="59">
        <v>50272278</v>
      </c>
      <c r="D2045" s="55" t="s">
        <v>21</v>
      </c>
      <c r="E2045" s="67">
        <v>500</v>
      </c>
      <c r="F2045" s="67">
        <v>6</v>
      </c>
      <c r="G2045" s="102">
        <v>3000</v>
      </c>
      <c r="H2045" s="56" t="s">
        <v>92</v>
      </c>
      <c r="K2045" s="56">
        <v>583</v>
      </c>
      <c r="L2045" s="55" t="s">
        <v>176</v>
      </c>
      <c r="M2045" s="55" t="s">
        <v>2824</v>
      </c>
      <c r="N2045" s="4" t="s">
        <v>177</v>
      </c>
      <c r="O2045" s="55" t="s">
        <v>178</v>
      </c>
    </row>
    <row r="2046" spans="2:15">
      <c r="B2046" s="20">
        <v>45209</v>
      </c>
      <c r="C2046" s="59">
        <v>50141786</v>
      </c>
      <c r="D2046" s="55" t="s">
        <v>188</v>
      </c>
      <c r="E2046" s="67">
        <v>560</v>
      </c>
      <c r="F2046" s="67">
        <v>8</v>
      </c>
      <c r="G2046" s="102">
        <v>4480</v>
      </c>
      <c r="H2046" s="56" t="s">
        <v>82</v>
      </c>
      <c r="K2046" s="56">
        <v>584</v>
      </c>
      <c r="L2046" s="55" t="s">
        <v>176</v>
      </c>
      <c r="M2046" s="55" t="s">
        <v>2824</v>
      </c>
      <c r="N2046" s="4" t="s">
        <v>177</v>
      </c>
      <c r="O2046" s="55" t="s">
        <v>178</v>
      </c>
    </row>
    <row r="2047" spans="2:15">
      <c r="B2047" s="20">
        <v>45209</v>
      </c>
      <c r="C2047" s="59">
        <v>50144376</v>
      </c>
      <c r="D2047" s="55" t="s">
        <v>19</v>
      </c>
      <c r="E2047" s="67">
        <v>500</v>
      </c>
      <c r="F2047" s="67">
        <v>4</v>
      </c>
      <c r="G2047" s="102">
        <v>2000</v>
      </c>
      <c r="H2047" s="56" t="s">
        <v>92</v>
      </c>
      <c r="K2047" s="56">
        <v>584</v>
      </c>
      <c r="L2047" s="55" t="s">
        <v>176</v>
      </c>
      <c r="M2047" s="55" t="s">
        <v>2824</v>
      </c>
      <c r="N2047" s="4" t="s">
        <v>177</v>
      </c>
      <c r="O2047" s="55" t="s">
        <v>178</v>
      </c>
    </row>
    <row r="2048" spans="2:15">
      <c r="B2048" s="20">
        <v>45209</v>
      </c>
      <c r="C2048" s="59">
        <v>50272278</v>
      </c>
      <c r="D2048" s="55" t="s">
        <v>21</v>
      </c>
      <c r="E2048" s="67">
        <v>500</v>
      </c>
      <c r="F2048" s="67">
        <v>8</v>
      </c>
      <c r="G2048" s="102">
        <v>4000</v>
      </c>
      <c r="H2048" s="56" t="s">
        <v>92</v>
      </c>
      <c r="K2048" s="56">
        <v>584</v>
      </c>
      <c r="L2048" s="55" t="s">
        <v>176</v>
      </c>
      <c r="M2048" s="55" t="s">
        <v>2824</v>
      </c>
      <c r="N2048" s="4" t="s">
        <v>177</v>
      </c>
      <c r="O2048" s="55" t="s">
        <v>178</v>
      </c>
    </row>
    <row r="2049" spans="2:15">
      <c r="B2049" s="20">
        <v>45209</v>
      </c>
      <c r="C2049" s="59">
        <v>50337814</v>
      </c>
      <c r="D2049" s="55" t="s">
        <v>669</v>
      </c>
      <c r="E2049" s="67">
        <v>264</v>
      </c>
      <c r="F2049" s="67">
        <v>2</v>
      </c>
      <c r="G2049" s="102">
        <v>528</v>
      </c>
      <c r="H2049" s="56" t="s">
        <v>80</v>
      </c>
      <c r="K2049" s="56">
        <v>584</v>
      </c>
      <c r="L2049" s="55" t="s">
        <v>176</v>
      </c>
      <c r="M2049" s="55" t="s">
        <v>2824</v>
      </c>
      <c r="N2049" s="4" t="s">
        <v>177</v>
      </c>
      <c r="O2049" s="55" t="s">
        <v>178</v>
      </c>
    </row>
    <row r="2050" spans="2:15">
      <c r="B2050" s="20">
        <v>45210</v>
      </c>
      <c r="C2050" s="59">
        <v>50142631</v>
      </c>
      <c r="D2050" s="55" t="s">
        <v>566</v>
      </c>
      <c r="E2050" s="67">
        <v>750</v>
      </c>
      <c r="F2050" s="67">
        <v>2</v>
      </c>
      <c r="G2050" s="102">
        <v>1500</v>
      </c>
      <c r="H2050" s="56" t="s">
        <v>82</v>
      </c>
      <c r="K2050" s="56">
        <v>585</v>
      </c>
      <c r="L2050" s="55" t="s">
        <v>176</v>
      </c>
      <c r="M2050" s="55" t="s">
        <v>2824</v>
      </c>
      <c r="N2050" s="4" t="s">
        <v>177</v>
      </c>
      <c r="O2050" s="55" t="s">
        <v>178</v>
      </c>
    </row>
    <row r="2051" spans="2:15">
      <c r="B2051" s="20">
        <v>45210</v>
      </c>
      <c r="C2051" s="59">
        <v>40011133</v>
      </c>
      <c r="D2051" s="55" t="s">
        <v>634</v>
      </c>
      <c r="E2051" s="67">
        <v>756</v>
      </c>
      <c r="F2051" s="67">
        <v>2</v>
      </c>
      <c r="G2051" s="102">
        <v>1512</v>
      </c>
      <c r="H2051" s="56" t="s">
        <v>80</v>
      </c>
      <c r="K2051" s="56">
        <v>585</v>
      </c>
      <c r="L2051" s="55" t="s">
        <v>176</v>
      </c>
      <c r="M2051" s="55" t="s">
        <v>2824</v>
      </c>
      <c r="N2051" s="4" t="s">
        <v>177</v>
      </c>
      <c r="O2051" s="55" t="s">
        <v>178</v>
      </c>
    </row>
    <row r="2052" spans="2:15">
      <c r="B2052" s="20">
        <v>45210</v>
      </c>
      <c r="C2052" s="59">
        <v>50144376</v>
      </c>
      <c r="D2052" s="55" t="s">
        <v>19</v>
      </c>
      <c r="E2052" s="67">
        <v>500</v>
      </c>
      <c r="F2052" s="67">
        <v>6</v>
      </c>
      <c r="G2052" s="102">
        <v>3000</v>
      </c>
      <c r="H2052" s="56" t="s">
        <v>92</v>
      </c>
      <c r="K2052" s="56">
        <v>585</v>
      </c>
      <c r="L2052" s="55" t="s">
        <v>176</v>
      </c>
      <c r="M2052" s="55" t="s">
        <v>2824</v>
      </c>
      <c r="N2052" s="4" t="s">
        <v>177</v>
      </c>
      <c r="O2052" s="55" t="s">
        <v>178</v>
      </c>
    </row>
    <row r="2053" spans="2:15">
      <c r="B2053" s="20">
        <v>45210</v>
      </c>
      <c r="C2053" s="59">
        <v>50272278</v>
      </c>
      <c r="D2053" s="55" t="s">
        <v>21</v>
      </c>
      <c r="E2053" s="67">
        <v>500</v>
      </c>
      <c r="F2053" s="67">
        <v>6</v>
      </c>
      <c r="G2053" s="102">
        <v>3000</v>
      </c>
      <c r="H2053" s="56" t="s">
        <v>92</v>
      </c>
      <c r="K2053" s="56">
        <v>585</v>
      </c>
      <c r="L2053" s="55" t="s">
        <v>176</v>
      </c>
      <c r="M2053" s="55" t="s">
        <v>2824</v>
      </c>
      <c r="N2053" s="4" t="s">
        <v>177</v>
      </c>
      <c r="O2053" s="55" t="s">
        <v>178</v>
      </c>
    </row>
    <row r="2054" spans="2:15">
      <c r="B2054" s="20">
        <v>45210</v>
      </c>
      <c r="C2054" s="59">
        <v>50145187</v>
      </c>
      <c r="D2054" s="55" t="s">
        <v>465</v>
      </c>
      <c r="E2054" s="67">
        <v>264000</v>
      </c>
      <c r="F2054" s="67">
        <v>2</v>
      </c>
      <c r="G2054" s="102">
        <v>528000</v>
      </c>
      <c r="H2054" s="56" t="s">
        <v>92</v>
      </c>
      <c r="K2054" s="56">
        <v>585</v>
      </c>
      <c r="L2054" s="55" t="s">
        <v>176</v>
      </c>
      <c r="M2054" s="55" t="s">
        <v>2824</v>
      </c>
      <c r="N2054" s="4" t="s">
        <v>177</v>
      </c>
      <c r="O2054" s="55" t="s">
        <v>178</v>
      </c>
    </row>
    <row r="2055" spans="2:15">
      <c r="B2055" s="20">
        <v>45210</v>
      </c>
      <c r="C2055" s="59">
        <v>50509889</v>
      </c>
      <c r="D2055" s="55" t="s">
        <v>671</v>
      </c>
      <c r="E2055" s="67">
        <v>264000</v>
      </c>
      <c r="F2055" s="67">
        <v>2</v>
      </c>
      <c r="G2055" s="102">
        <v>528000</v>
      </c>
      <c r="H2055" s="56" t="s">
        <v>92</v>
      </c>
      <c r="K2055" s="56">
        <v>585</v>
      </c>
      <c r="L2055" s="55" t="s">
        <v>176</v>
      </c>
      <c r="M2055" s="55" t="s">
        <v>2824</v>
      </c>
      <c r="N2055" s="4" t="s">
        <v>177</v>
      </c>
      <c r="O2055" s="55" t="s">
        <v>178</v>
      </c>
    </row>
    <row r="2056" spans="2:15">
      <c r="B2056" s="20">
        <v>45210</v>
      </c>
      <c r="C2056" s="59">
        <v>50804929</v>
      </c>
      <c r="D2056" s="55" t="s">
        <v>856</v>
      </c>
      <c r="E2056" s="67">
        <v>504000</v>
      </c>
      <c r="F2056" s="67">
        <v>2</v>
      </c>
      <c r="G2056" s="102">
        <v>1008000</v>
      </c>
      <c r="H2056" s="56" t="s">
        <v>92</v>
      </c>
      <c r="K2056" s="56">
        <v>585</v>
      </c>
      <c r="L2056" s="55" t="s">
        <v>176</v>
      </c>
      <c r="M2056" s="55" t="s">
        <v>2824</v>
      </c>
      <c r="N2056" s="4" t="s">
        <v>177</v>
      </c>
      <c r="O2056" s="55" t="s">
        <v>178</v>
      </c>
    </row>
    <row r="2057" spans="2:15">
      <c r="B2057" s="20">
        <v>45211</v>
      </c>
      <c r="C2057" s="59">
        <v>50144376</v>
      </c>
      <c r="D2057" s="55" t="s">
        <v>19</v>
      </c>
      <c r="E2057" s="67">
        <v>500</v>
      </c>
      <c r="F2057" s="67">
        <v>6</v>
      </c>
      <c r="G2057" s="102">
        <v>3000</v>
      </c>
      <c r="H2057" s="56" t="s">
        <v>92</v>
      </c>
      <c r="K2057" s="56">
        <v>586</v>
      </c>
      <c r="L2057" s="55" t="s">
        <v>176</v>
      </c>
      <c r="M2057" s="55" t="s">
        <v>2824</v>
      </c>
      <c r="N2057" s="4" t="s">
        <v>177</v>
      </c>
      <c r="O2057" s="55" t="s">
        <v>178</v>
      </c>
    </row>
    <row r="2058" spans="2:15">
      <c r="B2058" s="20">
        <v>45211</v>
      </c>
      <c r="C2058" s="59">
        <v>50272278</v>
      </c>
      <c r="D2058" s="55" t="s">
        <v>21</v>
      </c>
      <c r="E2058" s="67">
        <v>500</v>
      </c>
      <c r="F2058" s="67">
        <v>16</v>
      </c>
      <c r="G2058" s="102">
        <v>8000</v>
      </c>
      <c r="H2058" s="56" t="s">
        <v>92</v>
      </c>
      <c r="K2058" s="56">
        <v>586</v>
      </c>
      <c r="L2058" s="55" t="s">
        <v>176</v>
      </c>
      <c r="M2058" s="55" t="s">
        <v>2824</v>
      </c>
      <c r="N2058" s="4" t="s">
        <v>177</v>
      </c>
      <c r="O2058" s="55" t="s">
        <v>178</v>
      </c>
    </row>
    <row r="2059" spans="2:15">
      <c r="B2059" s="20">
        <v>45211</v>
      </c>
      <c r="C2059" s="59">
        <v>50809152</v>
      </c>
      <c r="D2059" s="55" t="s">
        <v>953</v>
      </c>
      <c r="E2059" s="67">
        <v>456</v>
      </c>
      <c r="F2059" s="67">
        <v>6</v>
      </c>
      <c r="G2059" s="102">
        <v>2854.05</v>
      </c>
      <c r="H2059" s="56" t="s">
        <v>82</v>
      </c>
      <c r="K2059" s="56">
        <v>587</v>
      </c>
      <c r="L2059" s="55" t="s">
        <v>176</v>
      </c>
      <c r="M2059" s="55" t="s">
        <v>2824</v>
      </c>
      <c r="N2059" s="4" t="s">
        <v>177</v>
      </c>
      <c r="O2059" s="55" t="s">
        <v>178</v>
      </c>
    </row>
    <row r="2060" spans="2:15">
      <c r="B2060" s="20">
        <v>45211</v>
      </c>
      <c r="C2060" s="59">
        <v>50144376</v>
      </c>
      <c r="D2060" s="55" t="s">
        <v>19</v>
      </c>
      <c r="E2060" s="67">
        <v>500</v>
      </c>
      <c r="F2060" s="67">
        <v>2</v>
      </c>
      <c r="G2060" s="102">
        <v>1000</v>
      </c>
      <c r="H2060" s="56" t="s">
        <v>92</v>
      </c>
      <c r="K2060" s="56">
        <v>587</v>
      </c>
      <c r="L2060" s="55" t="s">
        <v>176</v>
      </c>
      <c r="M2060" s="55" t="s">
        <v>2824</v>
      </c>
      <c r="N2060" s="4" t="s">
        <v>177</v>
      </c>
      <c r="O2060" s="55" t="s">
        <v>178</v>
      </c>
    </row>
    <row r="2061" spans="2:15">
      <c r="B2061" s="20">
        <v>45211</v>
      </c>
      <c r="C2061" s="59">
        <v>50272278</v>
      </c>
      <c r="D2061" s="55" t="s">
        <v>21</v>
      </c>
      <c r="E2061" s="67">
        <v>500</v>
      </c>
      <c r="F2061" s="67">
        <v>4</v>
      </c>
      <c r="G2061" s="102">
        <v>4000</v>
      </c>
      <c r="H2061" s="56" t="s">
        <v>92</v>
      </c>
      <c r="K2061" s="56">
        <v>587</v>
      </c>
      <c r="L2061" s="55" t="s">
        <v>176</v>
      </c>
      <c r="M2061" s="55" t="s">
        <v>2824</v>
      </c>
      <c r="N2061" s="4" t="s">
        <v>177</v>
      </c>
      <c r="O2061" s="55" t="s">
        <v>178</v>
      </c>
    </row>
    <row r="2062" spans="2:15">
      <c r="B2062" s="20">
        <v>45211</v>
      </c>
      <c r="C2062" s="59">
        <v>40009541</v>
      </c>
      <c r="D2062" s="55" t="s">
        <v>685</v>
      </c>
      <c r="E2062" s="67">
        <v>456</v>
      </c>
      <c r="F2062" s="67">
        <v>2</v>
      </c>
      <c r="G2062" s="102">
        <v>7392</v>
      </c>
      <c r="H2062" s="56" t="s">
        <v>80</v>
      </c>
      <c r="K2062" s="56">
        <v>587</v>
      </c>
      <c r="L2062" s="55" t="s">
        <v>176</v>
      </c>
      <c r="M2062" s="55" t="s">
        <v>2824</v>
      </c>
      <c r="N2062" s="4" t="s">
        <v>177</v>
      </c>
      <c r="O2062" s="55" t="s">
        <v>178</v>
      </c>
    </row>
    <row r="2063" spans="2:15">
      <c r="B2063" s="20">
        <v>45211</v>
      </c>
      <c r="C2063" s="59">
        <v>50142327</v>
      </c>
      <c r="D2063" s="55" t="s">
        <v>256</v>
      </c>
      <c r="E2063" s="67">
        <v>681</v>
      </c>
      <c r="F2063" s="67">
        <v>2</v>
      </c>
      <c r="G2063" s="102">
        <v>1362</v>
      </c>
      <c r="H2063" s="56" t="s">
        <v>82</v>
      </c>
      <c r="K2063" s="56">
        <v>587</v>
      </c>
      <c r="L2063" s="55" t="s">
        <v>176</v>
      </c>
      <c r="M2063" s="55" t="s">
        <v>2824</v>
      </c>
      <c r="N2063" s="4" t="s">
        <v>177</v>
      </c>
      <c r="O2063" s="55" t="s">
        <v>178</v>
      </c>
    </row>
    <row r="2064" spans="2:15">
      <c r="B2064" s="20">
        <v>45211</v>
      </c>
      <c r="C2064" s="59">
        <v>50142334</v>
      </c>
      <c r="D2064" s="55" t="s">
        <v>257</v>
      </c>
      <c r="E2064" s="67">
        <v>681</v>
      </c>
      <c r="F2064" s="67">
        <v>2</v>
      </c>
      <c r="G2064" s="102">
        <v>1362</v>
      </c>
      <c r="H2064" s="56" t="s">
        <v>82</v>
      </c>
      <c r="K2064" s="56">
        <v>587</v>
      </c>
      <c r="L2064" s="55" t="s">
        <v>176</v>
      </c>
      <c r="M2064" s="55" t="s">
        <v>2824</v>
      </c>
      <c r="N2064" s="4" t="s">
        <v>177</v>
      </c>
      <c r="O2064" s="55" t="s">
        <v>178</v>
      </c>
    </row>
    <row r="2065" spans="2:15">
      <c r="B2065" s="20">
        <v>45211</v>
      </c>
      <c r="C2065" s="59">
        <v>50812974</v>
      </c>
      <c r="D2065" s="55" t="s">
        <v>822</v>
      </c>
      <c r="E2065" s="67">
        <v>289800</v>
      </c>
      <c r="F2065" s="67">
        <v>2</v>
      </c>
      <c r="G2065" s="102">
        <v>579600</v>
      </c>
      <c r="H2065" s="56" t="s">
        <v>92</v>
      </c>
      <c r="K2065" s="56">
        <v>587</v>
      </c>
      <c r="L2065" s="55" t="s">
        <v>176</v>
      </c>
      <c r="M2065" s="55" t="s">
        <v>2824</v>
      </c>
      <c r="N2065" s="4" t="s">
        <v>177</v>
      </c>
      <c r="O2065" s="55" t="s">
        <v>178</v>
      </c>
    </row>
    <row r="2066" spans="2:15">
      <c r="B2066" s="20">
        <v>45212</v>
      </c>
      <c r="C2066" s="59">
        <v>50144376</v>
      </c>
      <c r="D2066" s="55" t="s">
        <v>19</v>
      </c>
      <c r="E2066" s="67">
        <v>500</v>
      </c>
      <c r="F2066" s="67">
        <v>22</v>
      </c>
      <c r="G2066" s="102">
        <v>11000</v>
      </c>
      <c r="H2066" s="56" t="s">
        <v>92</v>
      </c>
      <c r="K2066" s="56">
        <v>589</v>
      </c>
      <c r="L2066" s="55" t="s">
        <v>176</v>
      </c>
      <c r="M2066" s="55" t="s">
        <v>2824</v>
      </c>
      <c r="N2066" s="4" t="s">
        <v>177</v>
      </c>
      <c r="O2066" s="55" t="s">
        <v>178</v>
      </c>
    </row>
    <row r="2067" spans="2:15">
      <c r="B2067" s="20">
        <v>45212</v>
      </c>
      <c r="C2067" s="59">
        <v>50813995</v>
      </c>
      <c r="D2067" s="55" t="s">
        <v>960</v>
      </c>
      <c r="E2067" s="67">
        <v>48</v>
      </c>
      <c r="F2067" s="67">
        <v>6</v>
      </c>
      <c r="G2067" s="102">
        <v>3044.7</v>
      </c>
      <c r="H2067" s="56" t="s">
        <v>82</v>
      </c>
      <c r="K2067" s="56">
        <v>590</v>
      </c>
      <c r="L2067" s="55" t="s">
        <v>176</v>
      </c>
      <c r="M2067" s="55" t="s">
        <v>2824</v>
      </c>
      <c r="N2067" s="4" t="s">
        <v>177</v>
      </c>
      <c r="O2067" s="55" t="s">
        <v>178</v>
      </c>
    </row>
    <row r="2068" spans="2:15">
      <c r="B2068" s="20">
        <v>45212</v>
      </c>
      <c r="C2068" s="59">
        <v>50144376</v>
      </c>
      <c r="D2068" s="55" t="s">
        <v>19</v>
      </c>
      <c r="E2068" s="67">
        <v>500</v>
      </c>
      <c r="F2068" s="67">
        <v>10</v>
      </c>
      <c r="G2068" s="102">
        <v>5000</v>
      </c>
      <c r="H2068" s="56" t="s">
        <v>92</v>
      </c>
      <c r="K2068" s="56">
        <v>590</v>
      </c>
      <c r="L2068" s="55" t="s">
        <v>176</v>
      </c>
      <c r="M2068" s="55" t="s">
        <v>2824</v>
      </c>
      <c r="N2068" s="4" t="s">
        <v>177</v>
      </c>
      <c r="O2068" s="55" t="s">
        <v>178</v>
      </c>
    </row>
    <row r="2069" spans="2:15">
      <c r="B2069" s="20">
        <v>45212</v>
      </c>
      <c r="C2069" s="59">
        <v>50144200</v>
      </c>
      <c r="D2069" s="55" t="s">
        <v>184</v>
      </c>
      <c r="E2069" s="67">
        <v>264000</v>
      </c>
      <c r="F2069" s="67">
        <v>2</v>
      </c>
      <c r="G2069" s="102">
        <v>528000</v>
      </c>
      <c r="H2069" s="56" t="s">
        <v>92</v>
      </c>
      <c r="K2069" s="56">
        <v>590</v>
      </c>
      <c r="L2069" s="55" t="s">
        <v>176</v>
      </c>
      <c r="M2069" s="55" t="s">
        <v>2824</v>
      </c>
      <c r="N2069" s="4" t="s">
        <v>177</v>
      </c>
      <c r="O2069" s="55" t="s">
        <v>178</v>
      </c>
    </row>
    <row r="2070" spans="2:15">
      <c r="B2070" s="20">
        <v>45212</v>
      </c>
      <c r="C2070" s="59">
        <v>50814036</v>
      </c>
      <c r="D2070" s="55" t="s">
        <v>986</v>
      </c>
      <c r="E2070" s="67">
        <v>456</v>
      </c>
      <c r="F2070" s="67">
        <v>4</v>
      </c>
      <c r="G2070" s="102">
        <v>1840.45</v>
      </c>
      <c r="H2070" s="56" t="s">
        <v>82</v>
      </c>
      <c r="K2070" s="56">
        <v>590</v>
      </c>
      <c r="L2070" s="55" t="s">
        <v>176</v>
      </c>
      <c r="M2070" s="55" t="s">
        <v>2824</v>
      </c>
      <c r="N2070" s="4" t="s">
        <v>177</v>
      </c>
      <c r="O2070" s="55" t="s">
        <v>178</v>
      </c>
    </row>
    <row r="2071" spans="2:15">
      <c r="B2071" s="20">
        <v>45212</v>
      </c>
      <c r="C2071" s="59">
        <v>50812974</v>
      </c>
      <c r="D2071" s="55" t="s">
        <v>822</v>
      </c>
      <c r="E2071" s="67">
        <v>289800</v>
      </c>
      <c r="F2071" s="67">
        <v>4</v>
      </c>
      <c r="G2071" s="102">
        <v>1159200</v>
      </c>
      <c r="H2071" s="56" t="s">
        <v>92</v>
      </c>
      <c r="K2071" s="56">
        <v>588</v>
      </c>
      <c r="L2071" s="55" t="s">
        <v>176</v>
      </c>
      <c r="M2071" s="55" t="s">
        <v>2824</v>
      </c>
      <c r="N2071" s="4" t="s">
        <v>177</v>
      </c>
      <c r="O2071" s="55" t="s">
        <v>178</v>
      </c>
    </row>
    <row r="2072" spans="2:15">
      <c r="B2072" s="20">
        <v>45212</v>
      </c>
      <c r="C2072" s="59">
        <v>50470190</v>
      </c>
      <c r="D2072" s="55" t="s">
        <v>12</v>
      </c>
      <c r="E2072" s="67">
        <v>289800</v>
      </c>
      <c r="F2072" s="67">
        <v>4</v>
      </c>
      <c r="G2072" s="102">
        <v>1159200</v>
      </c>
      <c r="H2072" s="56" t="s">
        <v>92</v>
      </c>
      <c r="K2072" s="56">
        <v>588</v>
      </c>
      <c r="L2072" s="55" t="s">
        <v>176</v>
      </c>
      <c r="M2072" s="55" t="s">
        <v>2824</v>
      </c>
      <c r="N2072" s="4" t="s">
        <v>177</v>
      </c>
      <c r="O2072" s="55" t="s">
        <v>178</v>
      </c>
    </row>
    <row r="2073" spans="2:15">
      <c r="B2073" s="20">
        <v>45212</v>
      </c>
      <c r="C2073" s="59">
        <v>50144376</v>
      </c>
      <c r="D2073" s="55" t="s">
        <v>19</v>
      </c>
      <c r="E2073" s="67">
        <v>500</v>
      </c>
      <c r="F2073" s="67">
        <v>12</v>
      </c>
      <c r="G2073" s="102">
        <v>6000</v>
      </c>
      <c r="H2073" s="56" t="s">
        <v>92</v>
      </c>
      <c r="K2073" s="56">
        <v>588</v>
      </c>
      <c r="L2073" s="55" t="s">
        <v>176</v>
      </c>
      <c r="M2073" s="55" t="s">
        <v>2824</v>
      </c>
      <c r="N2073" s="4" t="s">
        <v>177</v>
      </c>
      <c r="O2073" s="55" t="s">
        <v>178</v>
      </c>
    </row>
    <row r="2074" spans="2:15">
      <c r="B2074" s="20">
        <v>45215</v>
      </c>
      <c r="C2074" s="59">
        <v>50144376</v>
      </c>
      <c r="D2074" s="55" t="s">
        <v>19</v>
      </c>
      <c r="E2074" s="67">
        <v>500</v>
      </c>
      <c r="F2074" s="67">
        <v>11</v>
      </c>
      <c r="G2074" s="102">
        <v>5500</v>
      </c>
      <c r="H2074" s="56" t="s">
        <v>92</v>
      </c>
      <c r="K2074" s="56">
        <v>591</v>
      </c>
      <c r="L2074" s="55" t="s">
        <v>176</v>
      </c>
      <c r="M2074" s="55" t="s">
        <v>2824</v>
      </c>
      <c r="N2074" s="4" t="s">
        <v>177</v>
      </c>
      <c r="O2074" s="55" t="s">
        <v>178</v>
      </c>
    </row>
    <row r="2075" spans="2:15">
      <c r="B2075" s="20">
        <v>45215</v>
      </c>
      <c r="C2075" s="59">
        <v>50799770</v>
      </c>
      <c r="D2075" s="55" t="s">
        <v>17</v>
      </c>
      <c r="E2075" s="67">
        <v>500</v>
      </c>
      <c r="F2075" s="67">
        <v>11</v>
      </c>
      <c r="G2075" s="102">
        <v>5500</v>
      </c>
      <c r="H2075" s="56" t="s">
        <v>92</v>
      </c>
      <c r="K2075" s="56">
        <v>591</v>
      </c>
      <c r="L2075" s="55" t="s">
        <v>176</v>
      </c>
      <c r="M2075" s="55" t="s">
        <v>2824</v>
      </c>
      <c r="N2075" s="4" t="s">
        <v>177</v>
      </c>
      <c r="O2075" s="55" t="s">
        <v>178</v>
      </c>
    </row>
    <row r="2076" spans="2:15">
      <c r="B2076" s="20">
        <v>45215</v>
      </c>
      <c r="C2076" s="59">
        <v>40009546</v>
      </c>
      <c r="D2076" s="55" t="s">
        <v>174</v>
      </c>
      <c r="E2076" s="67">
        <v>756</v>
      </c>
      <c r="F2076" s="67">
        <v>5</v>
      </c>
      <c r="G2076" s="102">
        <v>3780</v>
      </c>
      <c r="H2076" s="56" t="s">
        <v>80</v>
      </c>
      <c r="K2076" s="56">
        <v>592</v>
      </c>
      <c r="L2076" s="55" t="s">
        <v>176</v>
      </c>
      <c r="M2076" s="55" t="s">
        <v>2824</v>
      </c>
      <c r="N2076" s="4" t="s">
        <v>177</v>
      </c>
      <c r="O2076" s="55" t="s">
        <v>178</v>
      </c>
    </row>
    <row r="2077" spans="2:15">
      <c r="B2077" s="20">
        <v>45215</v>
      </c>
      <c r="C2077" s="59">
        <v>50144376</v>
      </c>
      <c r="D2077" s="55" t="s">
        <v>19</v>
      </c>
      <c r="E2077" s="67">
        <v>500</v>
      </c>
      <c r="F2077" s="67">
        <v>10</v>
      </c>
      <c r="G2077" s="102">
        <v>5000</v>
      </c>
      <c r="H2077" s="56" t="s">
        <v>92</v>
      </c>
      <c r="K2077" s="56">
        <v>592</v>
      </c>
      <c r="L2077" s="55" t="s">
        <v>176</v>
      </c>
      <c r="M2077" s="55" t="s">
        <v>2824</v>
      </c>
      <c r="N2077" s="4" t="s">
        <v>177</v>
      </c>
      <c r="O2077" s="55" t="s">
        <v>178</v>
      </c>
    </row>
    <row r="2078" spans="2:15">
      <c r="B2078" s="20">
        <v>45215</v>
      </c>
      <c r="C2078" s="59">
        <v>50144200</v>
      </c>
      <c r="D2078" s="55" t="s">
        <v>184</v>
      </c>
      <c r="E2078" s="67">
        <v>264</v>
      </c>
      <c r="F2078" s="67">
        <v>4</v>
      </c>
      <c r="G2078" s="102">
        <v>1056000</v>
      </c>
      <c r="H2078" s="56" t="s">
        <v>92</v>
      </c>
      <c r="K2078" s="56">
        <v>592</v>
      </c>
      <c r="L2078" s="55" t="s">
        <v>176</v>
      </c>
      <c r="M2078" s="55" t="s">
        <v>2824</v>
      </c>
      <c r="N2078" s="4" t="s">
        <v>177</v>
      </c>
      <c r="O2078" s="55" t="s">
        <v>178</v>
      </c>
    </row>
    <row r="2079" spans="2:15">
      <c r="B2079" s="20">
        <v>45215</v>
      </c>
      <c r="C2079" s="59">
        <v>50507916</v>
      </c>
      <c r="D2079" s="55" t="s">
        <v>406</v>
      </c>
      <c r="E2079" s="67">
        <v>264</v>
      </c>
      <c r="F2079" s="67">
        <v>2</v>
      </c>
      <c r="G2079" s="102">
        <v>528000</v>
      </c>
      <c r="H2079" s="56" t="s">
        <v>92</v>
      </c>
      <c r="K2079" s="56">
        <v>592</v>
      </c>
      <c r="L2079" s="55" t="s">
        <v>176</v>
      </c>
      <c r="M2079" s="55" t="s">
        <v>2824</v>
      </c>
      <c r="N2079" s="4" t="s">
        <v>177</v>
      </c>
      <c r="O2079" s="55" t="s">
        <v>178</v>
      </c>
    </row>
    <row r="2080" spans="2:15">
      <c r="B2080" s="20">
        <v>45215</v>
      </c>
      <c r="C2080" s="59">
        <v>40011660</v>
      </c>
      <c r="D2080" s="55" t="s">
        <v>528</v>
      </c>
      <c r="E2080" s="67">
        <v>408</v>
      </c>
      <c r="F2080" s="67">
        <v>1</v>
      </c>
      <c r="G2080" s="102">
        <v>408.3</v>
      </c>
      <c r="H2080" s="56" t="s">
        <v>80</v>
      </c>
      <c r="K2080" s="56">
        <v>592</v>
      </c>
      <c r="L2080" s="55" t="s">
        <v>176</v>
      </c>
      <c r="M2080" s="55" t="s">
        <v>2824</v>
      </c>
      <c r="N2080" s="4" t="s">
        <v>177</v>
      </c>
      <c r="O2080" s="55" t="s">
        <v>178</v>
      </c>
    </row>
    <row r="2081" spans="2:15">
      <c r="B2081" s="20">
        <v>45216</v>
      </c>
      <c r="C2081" s="59">
        <v>50470190</v>
      </c>
      <c r="D2081" s="55" t="s">
        <v>12</v>
      </c>
      <c r="E2081" s="67">
        <v>289800</v>
      </c>
      <c r="F2081" s="67">
        <v>9</v>
      </c>
      <c r="G2081" s="102">
        <v>2608200</v>
      </c>
      <c r="H2081" s="56" t="s">
        <v>92</v>
      </c>
      <c r="K2081" s="56">
        <v>593</v>
      </c>
      <c r="L2081" s="55" t="s">
        <v>176</v>
      </c>
      <c r="M2081" s="55" t="s">
        <v>2824</v>
      </c>
      <c r="N2081" s="4" t="s">
        <v>177</v>
      </c>
      <c r="O2081" s="55" t="s">
        <v>178</v>
      </c>
    </row>
    <row r="2082" spans="2:15">
      <c r="B2082" s="20">
        <v>45216</v>
      </c>
      <c r="C2082" s="59">
        <v>50812974</v>
      </c>
      <c r="D2082" s="55" t="s">
        <v>822</v>
      </c>
      <c r="E2082" s="67">
        <v>289800</v>
      </c>
      <c r="F2082" s="67">
        <v>9</v>
      </c>
      <c r="G2082" s="102">
        <v>2608200</v>
      </c>
      <c r="H2082" s="56" t="s">
        <v>92</v>
      </c>
      <c r="K2082" s="56">
        <v>593</v>
      </c>
      <c r="L2082" s="55" t="s">
        <v>176</v>
      </c>
      <c r="M2082" s="55" t="s">
        <v>2824</v>
      </c>
      <c r="N2082" s="4" t="s">
        <v>177</v>
      </c>
      <c r="O2082" s="55" t="s">
        <v>178</v>
      </c>
    </row>
    <row r="2083" spans="2:15">
      <c r="B2083" s="20">
        <v>45216</v>
      </c>
      <c r="C2083" s="59">
        <v>50010080</v>
      </c>
      <c r="D2083" s="55" t="s">
        <v>354</v>
      </c>
      <c r="E2083" s="67">
        <v>1000</v>
      </c>
      <c r="F2083" s="67">
        <v>2</v>
      </c>
      <c r="G2083" s="102">
        <v>2000</v>
      </c>
      <c r="H2083" s="56" t="s">
        <v>82</v>
      </c>
      <c r="K2083" s="56">
        <v>594</v>
      </c>
      <c r="L2083" s="55" t="s">
        <v>176</v>
      </c>
      <c r="M2083" s="55" t="s">
        <v>2824</v>
      </c>
      <c r="N2083" s="4" t="s">
        <v>177</v>
      </c>
      <c r="O2083" s="55" t="s">
        <v>178</v>
      </c>
    </row>
    <row r="2084" spans="2:15">
      <c r="B2084" s="20">
        <v>45216</v>
      </c>
      <c r="C2084" s="59">
        <v>50145381</v>
      </c>
      <c r="D2084" s="55" t="s">
        <v>2854</v>
      </c>
      <c r="E2084" s="67">
        <v>12000</v>
      </c>
      <c r="F2084" s="67">
        <v>1</v>
      </c>
      <c r="G2084" s="102">
        <v>12731</v>
      </c>
      <c r="H2084" s="56" t="s">
        <v>92</v>
      </c>
      <c r="K2084" s="56">
        <v>594</v>
      </c>
      <c r="L2084" s="55" t="s">
        <v>176</v>
      </c>
      <c r="M2084" s="55" t="s">
        <v>2824</v>
      </c>
      <c r="N2084" s="4" t="s">
        <v>177</v>
      </c>
      <c r="O2084" s="55" t="s">
        <v>178</v>
      </c>
    </row>
    <row r="2085" spans="2:15">
      <c r="B2085" s="20">
        <v>45216</v>
      </c>
      <c r="C2085" s="59">
        <v>50144376</v>
      </c>
      <c r="D2085" s="55" t="s">
        <v>19</v>
      </c>
      <c r="E2085" s="67">
        <v>500</v>
      </c>
      <c r="F2085" s="67">
        <v>9</v>
      </c>
      <c r="G2085" s="102">
        <v>4500</v>
      </c>
      <c r="H2085" s="56" t="s">
        <v>92</v>
      </c>
      <c r="K2085" s="56">
        <v>594</v>
      </c>
      <c r="L2085" s="55" t="s">
        <v>176</v>
      </c>
      <c r="M2085" s="55" t="s">
        <v>2824</v>
      </c>
      <c r="N2085" s="4" t="s">
        <v>177</v>
      </c>
      <c r="O2085" s="55" t="s">
        <v>178</v>
      </c>
    </row>
    <row r="2086" spans="2:15">
      <c r="B2086" s="20">
        <v>45216</v>
      </c>
      <c r="C2086" s="59">
        <v>40007942</v>
      </c>
      <c r="D2086" s="55" t="s">
        <v>219</v>
      </c>
      <c r="E2086" s="67">
        <v>3528</v>
      </c>
      <c r="F2086" s="67">
        <v>1</v>
      </c>
      <c r="G2086" s="102">
        <v>3528</v>
      </c>
      <c r="H2086" s="56" t="s">
        <v>80</v>
      </c>
      <c r="K2086" s="56">
        <v>594</v>
      </c>
      <c r="L2086" s="55" t="s">
        <v>176</v>
      </c>
      <c r="M2086" s="55" t="s">
        <v>2824</v>
      </c>
      <c r="N2086" s="4" t="s">
        <v>177</v>
      </c>
      <c r="O2086" s="55" t="s">
        <v>178</v>
      </c>
    </row>
    <row r="2087" spans="2:15">
      <c r="B2087" s="20">
        <v>45216</v>
      </c>
      <c r="C2087" s="59">
        <v>50507916</v>
      </c>
      <c r="D2087" s="55" t="s">
        <v>406</v>
      </c>
      <c r="E2087" s="67">
        <v>264000</v>
      </c>
      <c r="F2087" s="67">
        <v>2</v>
      </c>
      <c r="G2087" s="102">
        <v>528000</v>
      </c>
      <c r="H2087" s="56" t="s">
        <v>92</v>
      </c>
      <c r="K2087" s="56">
        <v>594</v>
      </c>
      <c r="L2087" s="55" t="s">
        <v>176</v>
      </c>
      <c r="M2087" s="55" t="s">
        <v>2824</v>
      </c>
      <c r="N2087" s="4" t="s">
        <v>177</v>
      </c>
      <c r="O2087" s="55" t="s">
        <v>178</v>
      </c>
    </row>
    <row r="2088" spans="2:15">
      <c r="B2088" s="20">
        <v>45216</v>
      </c>
      <c r="C2088" s="59">
        <v>50337814</v>
      </c>
      <c r="D2088" s="55" t="s">
        <v>669</v>
      </c>
      <c r="E2088" s="67">
        <v>264000</v>
      </c>
      <c r="F2088" s="67">
        <v>1</v>
      </c>
      <c r="G2088" s="102">
        <v>264</v>
      </c>
      <c r="H2088" s="56" t="s">
        <v>80</v>
      </c>
      <c r="K2088" s="56">
        <v>594</v>
      </c>
      <c r="L2088" s="55" t="s">
        <v>176</v>
      </c>
      <c r="M2088" s="55" t="s">
        <v>2824</v>
      </c>
      <c r="N2088" s="4" t="s">
        <v>177</v>
      </c>
      <c r="O2088" s="55" t="s">
        <v>178</v>
      </c>
    </row>
    <row r="2089" spans="2:15">
      <c r="B2089" s="20">
        <v>45216</v>
      </c>
      <c r="C2089" s="59">
        <v>50337816</v>
      </c>
      <c r="D2089" s="55" t="s">
        <v>245</v>
      </c>
      <c r="E2089" s="67">
        <v>264000</v>
      </c>
      <c r="F2089" s="67">
        <v>1</v>
      </c>
      <c r="G2089" s="102">
        <v>264</v>
      </c>
      <c r="H2089" s="56" t="s">
        <v>80</v>
      </c>
      <c r="K2089" s="56">
        <v>594</v>
      </c>
      <c r="L2089" s="55" t="s">
        <v>176</v>
      </c>
      <c r="M2089" s="55" t="s">
        <v>2824</v>
      </c>
      <c r="N2089" s="4" t="s">
        <v>177</v>
      </c>
      <c r="O2089" s="55" t="s">
        <v>178</v>
      </c>
    </row>
    <row r="2090" spans="2:15">
      <c r="B2090" s="20">
        <v>45216</v>
      </c>
      <c r="C2090" s="59">
        <v>50814036</v>
      </c>
      <c r="D2090" s="55" t="s">
        <v>986</v>
      </c>
      <c r="E2090" s="67">
        <v>245</v>
      </c>
      <c r="F2090" s="67">
        <v>4</v>
      </c>
      <c r="G2090" s="102">
        <f>2194.75-79.95</f>
        <v>2114.8</v>
      </c>
      <c r="H2090" s="56" t="s">
        <v>82</v>
      </c>
      <c r="K2090" s="56">
        <v>594</v>
      </c>
      <c r="L2090" s="55" t="s">
        <v>176</v>
      </c>
      <c r="M2090" s="55" t="s">
        <v>2824</v>
      </c>
      <c r="N2090" s="4" t="s">
        <v>177</v>
      </c>
      <c r="O2090" s="55" t="s">
        <v>178</v>
      </c>
    </row>
    <row r="2091" spans="2:15">
      <c r="B2091" s="20">
        <v>45218</v>
      </c>
      <c r="C2091" s="59">
        <v>50470190</v>
      </c>
      <c r="D2091" s="55" t="s">
        <v>12</v>
      </c>
      <c r="E2091" s="67">
        <v>289800</v>
      </c>
      <c r="F2091" s="67">
        <v>12</v>
      </c>
      <c r="G2091" s="102">
        <v>3477600</v>
      </c>
      <c r="H2091" s="56" t="s">
        <v>92</v>
      </c>
      <c r="K2091" s="56">
        <v>595</v>
      </c>
      <c r="L2091" s="55" t="s">
        <v>176</v>
      </c>
      <c r="M2091" s="55" t="s">
        <v>2824</v>
      </c>
      <c r="N2091" s="4" t="s">
        <v>177</v>
      </c>
      <c r="O2091" s="55" t="s">
        <v>178</v>
      </c>
    </row>
    <row r="2092" spans="2:15">
      <c r="B2092" s="20">
        <v>45218</v>
      </c>
      <c r="C2092" s="59">
        <v>50812974</v>
      </c>
      <c r="D2092" s="55" t="s">
        <v>822</v>
      </c>
      <c r="E2092" s="67">
        <v>289800</v>
      </c>
      <c r="F2092" s="67">
        <v>6</v>
      </c>
      <c r="G2092" s="102">
        <v>1738800</v>
      </c>
      <c r="H2092" s="56" t="s">
        <v>92</v>
      </c>
      <c r="K2092" s="56">
        <v>595</v>
      </c>
      <c r="L2092" s="55" t="s">
        <v>176</v>
      </c>
      <c r="M2092" s="55" t="s">
        <v>2824</v>
      </c>
      <c r="N2092" s="4" t="s">
        <v>177</v>
      </c>
      <c r="O2092" s="55" t="s">
        <v>178</v>
      </c>
    </row>
    <row r="2093" spans="2:15">
      <c r="B2093" s="20">
        <v>45218</v>
      </c>
      <c r="C2093" s="59">
        <v>50010080</v>
      </c>
      <c r="D2093" s="55" t="s">
        <v>354</v>
      </c>
      <c r="E2093" s="67">
        <v>1000</v>
      </c>
      <c r="F2093" s="67">
        <v>4</v>
      </c>
      <c r="G2093" s="102">
        <v>4000</v>
      </c>
      <c r="H2093" s="56" t="s">
        <v>82</v>
      </c>
      <c r="K2093" s="56">
        <v>596</v>
      </c>
      <c r="L2093" s="55" t="s">
        <v>176</v>
      </c>
      <c r="M2093" s="55" t="s">
        <v>2824</v>
      </c>
      <c r="N2093" s="4" t="s">
        <v>177</v>
      </c>
      <c r="O2093" s="55" t="s">
        <v>178</v>
      </c>
    </row>
    <row r="2094" spans="2:15">
      <c r="B2094" s="20">
        <v>45218</v>
      </c>
      <c r="C2094" s="59">
        <v>40009546</v>
      </c>
      <c r="D2094" s="55" t="s">
        <v>174</v>
      </c>
      <c r="E2094" s="67">
        <v>756</v>
      </c>
      <c r="F2094" s="67">
        <v>3</v>
      </c>
      <c r="G2094" s="102">
        <v>2268</v>
      </c>
      <c r="H2094" s="56" t="s">
        <v>80</v>
      </c>
      <c r="K2094" s="56">
        <v>596</v>
      </c>
      <c r="L2094" s="55" t="s">
        <v>176</v>
      </c>
      <c r="M2094" s="55" t="s">
        <v>2824</v>
      </c>
      <c r="N2094" s="4" t="s">
        <v>177</v>
      </c>
      <c r="O2094" s="55" t="s">
        <v>178</v>
      </c>
    </row>
    <row r="2095" spans="2:15">
      <c r="B2095" s="20">
        <v>45218</v>
      </c>
      <c r="C2095" s="59">
        <v>40010087</v>
      </c>
      <c r="D2095" s="55" t="s">
        <v>387</v>
      </c>
      <c r="E2095" s="67">
        <v>756</v>
      </c>
      <c r="F2095" s="67">
        <v>4</v>
      </c>
      <c r="G2095" s="102">
        <v>3024</v>
      </c>
      <c r="H2095" s="56" t="s">
        <v>80</v>
      </c>
      <c r="K2095" s="56">
        <v>596</v>
      </c>
      <c r="L2095" s="55" t="s">
        <v>176</v>
      </c>
      <c r="M2095" s="55" t="s">
        <v>2824</v>
      </c>
      <c r="N2095" s="4" t="s">
        <v>177</v>
      </c>
      <c r="O2095" s="55" t="s">
        <v>178</v>
      </c>
    </row>
    <row r="2096" spans="2:15">
      <c r="B2096" s="20">
        <v>45218</v>
      </c>
      <c r="C2096" s="59">
        <v>50142237</v>
      </c>
      <c r="D2096" s="55" t="s">
        <v>617</v>
      </c>
      <c r="E2096" s="67">
        <v>1000</v>
      </c>
      <c r="F2096" s="67">
        <v>10</v>
      </c>
      <c r="G2096" s="102">
        <v>10000</v>
      </c>
      <c r="H2096" s="56" t="s">
        <v>92</v>
      </c>
      <c r="K2096" s="56">
        <v>596</v>
      </c>
      <c r="L2096" s="55" t="s">
        <v>176</v>
      </c>
      <c r="M2096" s="55" t="s">
        <v>2824</v>
      </c>
      <c r="N2096" s="4" t="s">
        <v>177</v>
      </c>
      <c r="O2096" s="55" t="s">
        <v>178</v>
      </c>
    </row>
    <row r="2097" spans="2:15">
      <c r="B2097" s="20">
        <v>45218</v>
      </c>
      <c r="C2097" s="59">
        <v>40007941</v>
      </c>
      <c r="D2097" s="55" t="s">
        <v>211</v>
      </c>
      <c r="E2097" s="67">
        <v>756</v>
      </c>
      <c r="F2097" s="67">
        <v>3</v>
      </c>
      <c r="G2097" s="102">
        <v>2268</v>
      </c>
      <c r="H2097" s="56" t="s">
        <v>80</v>
      </c>
      <c r="K2097" s="56">
        <v>596</v>
      </c>
      <c r="L2097" s="55" t="s">
        <v>176</v>
      </c>
      <c r="M2097" s="55" t="s">
        <v>2824</v>
      </c>
      <c r="N2097" s="4" t="s">
        <v>177</v>
      </c>
      <c r="O2097" s="55" t="s">
        <v>178</v>
      </c>
    </row>
    <row r="2098" spans="2:15">
      <c r="B2098" s="20">
        <v>45218</v>
      </c>
      <c r="C2098" s="59">
        <v>50141533</v>
      </c>
      <c r="D2098" s="55" t="s">
        <v>494</v>
      </c>
      <c r="E2098" s="67">
        <v>1250</v>
      </c>
      <c r="F2098" s="67">
        <v>2</v>
      </c>
      <c r="G2098" s="102">
        <v>2500</v>
      </c>
      <c r="H2098" s="56" t="s">
        <v>82</v>
      </c>
      <c r="K2098" s="56">
        <v>596</v>
      </c>
      <c r="L2098" s="55" t="s">
        <v>176</v>
      </c>
      <c r="M2098" s="55" t="s">
        <v>2824</v>
      </c>
      <c r="N2098" s="4" t="s">
        <v>177</v>
      </c>
      <c r="O2098" s="55" t="s">
        <v>178</v>
      </c>
    </row>
    <row r="2099" spans="2:15">
      <c r="B2099" s="20">
        <v>45218</v>
      </c>
      <c r="C2099" s="59">
        <v>50144200</v>
      </c>
      <c r="D2099" s="55" t="s">
        <v>184</v>
      </c>
      <c r="E2099" s="67">
        <v>264</v>
      </c>
      <c r="F2099" s="67">
        <v>3</v>
      </c>
      <c r="G2099" s="102">
        <v>792000</v>
      </c>
      <c r="H2099" s="56" t="s">
        <v>92</v>
      </c>
      <c r="K2099" s="56">
        <v>596</v>
      </c>
      <c r="L2099" s="55" t="s">
        <v>176</v>
      </c>
      <c r="M2099" s="55" t="s">
        <v>2824</v>
      </c>
      <c r="N2099" s="4" t="s">
        <v>177</v>
      </c>
      <c r="O2099" s="55" t="s">
        <v>178</v>
      </c>
    </row>
    <row r="2100" spans="2:15">
      <c r="B2100" s="20">
        <v>45218</v>
      </c>
      <c r="C2100" s="59">
        <v>50337816</v>
      </c>
      <c r="D2100" s="55" t="s">
        <v>245</v>
      </c>
      <c r="E2100" s="67">
        <v>264</v>
      </c>
      <c r="F2100" s="67">
        <v>2</v>
      </c>
      <c r="G2100" s="102">
        <v>528</v>
      </c>
      <c r="H2100" s="56" t="s">
        <v>80</v>
      </c>
      <c r="K2100" s="56">
        <v>596</v>
      </c>
      <c r="L2100" s="55" t="s">
        <v>176</v>
      </c>
      <c r="M2100" s="55" t="s">
        <v>2824</v>
      </c>
      <c r="N2100" s="4" t="s">
        <v>177</v>
      </c>
      <c r="O2100" s="55" t="s">
        <v>178</v>
      </c>
    </row>
    <row r="2101" spans="2:15">
      <c r="B2101" s="20">
        <v>45218</v>
      </c>
      <c r="C2101" s="59">
        <v>50144376</v>
      </c>
      <c r="D2101" s="55" t="s">
        <v>19</v>
      </c>
      <c r="E2101" s="67">
        <v>500</v>
      </c>
      <c r="F2101" s="67">
        <v>11</v>
      </c>
      <c r="G2101" s="102">
        <v>5500</v>
      </c>
      <c r="H2101" s="56" t="s">
        <v>92</v>
      </c>
      <c r="K2101" s="56">
        <v>597</v>
      </c>
      <c r="L2101" s="55" t="s">
        <v>176</v>
      </c>
      <c r="M2101" s="55" t="s">
        <v>2824</v>
      </c>
      <c r="N2101" s="4" t="s">
        <v>177</v>
      </c>
      <c r="O2101" s="55" t="s">
        <v>178</v>
      </c>
    </row>
    <row r="2102" spans="2:15">
      <c r="B2102" s="20">
        <v>45218</v>
      </c>
      <c r="C2102" s="59">
        <v>50272278</v>
      </c>
      <c r="D2102" s="55" t="s">
        <v>21</v>
      </c>
      <c r="E2102" s="67">
        <v>500</v>
      </c>
      <c r="F2102" s="67">
        <v>11</v>
      </c>
      <c r="G2102" s="102">
        <v>5500</v>
      </c>
      <c r="H2102" s="56" t="s">
        <v>92</v>
      </c>
      <c r="K2102" s="56">
        <v>597</v>
      </c>
      <c r="L2102" s="55" t="s">
        <v>176</v>
      </c>
      <c r="M2102" s="55" t="s">
        <v>2824</v>
      </c>
      <c r="N2102" s="4" t="s">
        <v>177</v>
      </c>
      <c r="O2102" s="55" t="s">
        <v>178</v>
      </c>
    </row>
    <row r="2103" spans="2:15">
      <c r="B2103" s="20">
        <v>45219</v>
      </c>
      <c r="C2103" s="59">
        <v>50272278</v>
      </c>
      <c r="D2103" s="55" t="s">
        <v>21</v>
      </c>
      <c r="E2103" s="67">
        <v>500</v>
      </c>
      <c r="F2103" s="67">
        <v>12</v>
      </c>
      <c r="G2103" s="102">
        <v>6000</v>
      </c>
      <c r="H2103" s="56" t="s">
        <v>92</v>
      </c>
      <c r="K2103" s="56">
        <v>598</v>
      </c>
      <c r="L2103" s="55" t="s">
        <v>176</v>
      </c>
      <c r="M2103" s="55" t="s">
        <v>2824</v>
      </c>
      <c r="N2103" s="4" t="s">
        <v>177</v>
      </c>
      <c r="O2103" s="55" t="s">
        <v>178</v>
      </c>
    </row>
    <row r="2104" spans="2:15">
      <c r="B2104" s="20">
        <v>45219</v>
      </c>
      <c r="C2104" s="59">
        <v>50507916</v>
      </c>
      <c r="D2104" s="55" t="s">
        <v>406</v>
      </c>
      <c r="E2104" s="67">
        <v>264</v>
      </c>
      <c r="F2104" s="67">
        <v>5</v>
      </c>
      <c r="G2104" s="102">
        <v>1265000</v>
      </c>
      <c r="H2104" s="56" t="s">
        <v>92</v>
      </c>
      <c r="K2104" s="56">
        <v>598</v>
      </c>
      <c r="L2104" s="55" t="s">
        <v>176</v>
      </c>
      <c r="M2104" s="55" t="s">
        <v>2824</v>
      </c>
      <c r="N2104" s="4" t="s">
        <v>177</v>
      </c>
      <c r="O2104" s="55" t="s">
        <v>178</v>
      </c>
    </row>
    <row r="2105" spans="2:15">
      <c r="B2105" s="20">
        <v>45219</v>
      </c>
      <c r="C2105" s="59">
        <v>50809145</v>
      </c>
      <c r="D2105" s="55" t="s">
        <v>946</v>
      </c>
      <c r="E2105" s="67">
        <v>456</v>
      </c>
      <c r="F2105" s="67">
        <v>5</v>
      </c>
      <c r="G2105" s="102">
        <v>2176.85</v>
      </c>
      <c r="H2105" s="56" t="s">
        <v>82</v>
      </c>
      <c r="K2105" s="56">
        <v>598</v>
      </c>
      <c r="L2105" s="55" t="s">
        <v>176</v>
      </c>
      <c r="M2105" s="55" t="s">
        <v>2824</v>
      </c>
      <c r="N2105" s="4" t="s">
        <v>177</v>
      </c>
      <c r="O2105" s="55" t="s">
        <v>178</v>
      </c>
    </row>
    <row r="2106" spans="2:15">
      <c r="B2106" s="20">
        <v>45219</v>
      </c>
      <c r="C2106" s="59">
        <v>50272278</v>
      </c>
      <c r="D2106" s="55" t="s">
        <v>21</v>
      </c>
      <c r="E2106" s="67">
        <v>500</v>
      </c>
      <c r="F2106" s="67">
        <v>8</v>
      </c>
      <c r="G2106" s="102">
        <v>4000</v>
      </c>
      <c r="H2106" s="56" t="s">
        <v>92</v>
      </c>
      <c r="K2106" s="56">
        <v>599</v>
      </c>
      <c r="L2106" s="55" t="s">
        <v>176</v>
      </c>
      <c r="M2106" s="55" t="s">
        <v>2824</v>
      </c>
      <c r="N2106" s="4" t="s">
        <v>177</v>
      </c>
      <c r="O2106" s="55" t="s">
        <v>178</v>
      </c>
    </row>
    <row r="2107" spans="2:15">
      <c r="B2107" s="20">
        <v>45219</v>
      </c>
      <c r="C2107" s="59">
        <v>50470190</v>
      </c>
      <c r="D2107" s="55" t="s">
        <v>12</v>
      </c>
      <c r="E2107" s="67">
        <v>289800</v>
      </c>
      <c r="F2107" s="67">
        <v>10</v>
      </c>
      <c r="G2107" s="102">
        <v>2898000</v>
      </c>
      <c r="H2107" s="56" t="s">
        <v>92</v>
      </c>
      <c r="K2107" s="56">
        <v>599</v>
      </c>
      <c r="L2107" s="55" t="s">
        <v>176</v>
      </c>
      <c r="M2107" s="55" t="s">
        <v>2824</v>
      </c>
      <c r="N2107" s="4" t="s">
        <v>177</v>
      </c>
      <c r="O2107" s="55" t="s">
        <v>178</v>
      </c>
    </row>
    <row r="2108" spans="2:15">
      <c r="B2108" s="20">
        <v>45219</v>
      </c>
      <c r="C2108" s="59">
        <v>40010087</v>
      </c>
      <c r="D2108" s="55" t="s">
        <v>387</v>
      </c>
      <c r="E2108" s="67">
        <v>756</v>
      </c>
      <c r="F2108" s="67">
        <v>2</v>
      </c>
      <c r="G2108" s="102">
        <v>1512</v>
      </c>
      <c r="H2108" s="56" t="s">
        <v>80</v>
      </c>
      <c r="K2108" s="56">
        <v>599</v>
      </c>
      <c r="L2108" s="55" t="s">
        <v>176</v>
      </c>
      <c r="M2108" s="55" t="s">
        <v>2824</v>
      </c>
      <c r="N2108" s="4" t="s">
        <v>177</v>
      </c>
      <c r="O2108" s="55" t="s">
        <v>178</v>
      </c>
    </row>
    <row r="2109" spans="2:15">
      <c r="B2109" s="20">
        <v>45222</v>
      </c>
      <c r="C2109" s="59">
        <v>50272278</v>
      </c>
      <c r="D2109" s="55" t="s">
        <v>21</v>
      </c>
      <c r="E2109" s="67">
        <v>500</v>
      </c>
      <c r="F2109" s="67">
        <v>22</v>
      </c>
      <c r="G2109" s="102">
        <v>11000</v>
      </c>
      <c r="H2109" s="56" t="s">
        <v>962</v>
      </c>
      <c r="K2109" s="56">
        <v>600</v>
      </c>
      <c r="L2109" s="55" t="s">
        <v>176</v>
      </c>
      <c r="M2109" s="55" t="s">
        <v>2824</v>
      </c>
      <c r="N2109" s="4" t="s">
        <v>177</v>
      </c>
      <c r="O2109" s="55" t="s">
        <v>178</v>
      </c>
    </row>
    <row r="2110" spans="2:15">
      <c r="B2110" s="20">
        <v>45223</v>
      </c>
      <c r="C2110" s="59">
        <v>50010080</v>
      </c>
      <c r="D2110" s="55" t="s">
        <v>354</v>
      </c>
      <c r="E2110" s="67">
        <v>1000</v>
      </c>
      <c r="F2110" s="67">
        <v>6</v>
      </c>
      <c r="G2110" s="102">
        <v>6000</v>
      </c>
      <c r="H2110" s="56" t="s">
        <v>82</v>
      </c>
      <c r="K2110" s="56">
        <v>601</v>
      </c>
      <c r="L2110" s="55" t="s">
        <v>176</v>
      </c>
      <c r="M2110" s="55" t="s">
        <v>2824</v>
      </c>
      <c r="N2110" s="4" t="s">
        <v>177</v>
      </c>
      <c r="O2110" s="55" t="s">
        <v>178</v>
      </c>
    </row>
    <row r="2111" spans="2:15">
      <c r="B2111" s="20">
        <v>45223</v>
      </c>
      <c r="C2111" s="59">
        <v>50142281</v>
      </c>
      <c r="D2111" s="55" t="s">
        <v>204</v>
      </c>
      <c r="E2111" s="67">
        <v>450</v>
      </c>
      <c r="F2111" s="67">
        <v>3</v>
      </c>
      <c r="G2111" s="102">
        <v>1350</v>
      </c>
      <c r="H2111" s="56" t="s">
        <v>82</v>
      </c>
      <c r="K2111" s="56">
        <v>601</v>
      </c>
      <c r="L2111" s="55" t="s">
        <v>176</v>
      </c>
      <c r="M2111" s="55" t="s">
        <v>2824</v>
      </c>
      <c r="N2111" s="4" t="s">
        <v>177</v>
      </c>
      <c r="O2111" s="55" t="s">
        <v>178</v>
      </c>
    </row>
    <row r="2112" spans="2:15">
      <c r="B2112" s="20">
        <v>45223</v>
      </c>
      <c r="C2112" s="59">
        <v>50142327</v>
      </c>
      <c r="D2112" s="55" t="s">
        <v>256</v>
      </c>
      <c r="E2112" s="67">
        <v>681</v>
      </c>
      <c r="F2112" s="67">
        <v>4</v>
      </c>
      <c r="G2112" s="102">
        <v>2724</v>
      </c>
      <c r="H2112" s="56" t="s">
        <v>82</v>
      </c>
      <c r="K2112" s="56">
        <v>601</v>
      </c>
      <c r="L2112" s="55" t="s">
        <v>176</v>
      </c>
      <c r="M2112" s="55" t="s">
        <v>2824</v>
      </c>
      <c r="N2112" s="4" t="s">
        <v>177</v>
      </c>
      <c r="O2112" s="55" t="s">
        <v>178</v>
      </c>
    </row>
    <row r="2113" spans="2:15">
      <c r="B2113" s="20">
        <v>45223</v>
      </c>
      <c r="C2113" s="59">
        <v>50142334</v>
      </c>
      <c r="D2113" s="55" t="s">
        <v>257</v>
      </c>
      <c r="E2113" s="67">
        <v>81</v>
      </c>
      <c r="F2113" s="67">
        <v>4</v>
      </c>
      <c r="G2113" s="102">
        <v>2724</v>
      </c>
      <c r="H2113" s="56" t="s">
        <v>82</v>
      </c>
      <c r="K2113" s="56">
        <v>601</v>
      </c>
      <c r="L2113" s="55" t="s">
        <v>176</v>
      </c>
      <c r="M2113" s="55" t="s">
        <v>2824</v>
      </c>
      <c r="N2113" s="4" t="s">
        <v>177</v>
      </c>
      <c r="O2113" s="55" t="s">
        <v>178</v>
      </c>
    </row>
    <row r="2114" spans="2:15">
      <c r="B2114" s="20">
        <v>45223</v>
      </c>
      <c r="C2114" s="59">
        <v>50804929</v>
      </c>
      <c r="D2114" s="55" t="s">
        <v>856</v>
      </c>
      <c r="E2114" s="67">
        <v>504</v>
      </c>
      <c r="F2114" s="67">
        <v>3</v>
      </c>
      <c r="G2114" s="102">
        <f>1092000</f>
        <v>1092000</v>
      </c>
      <c r="H2114" s="56" t="s">
        <v>92</v>
      </c>
      <c r="K2114" s="56">
        <v>601</v>
      </c>
      <c r="L2114" s="55" t="s">
        <v>176</v>
      </c>
      <c r="M2114" s="55" t="s">
        <v>2824</v>
      </c>
      <c r="N2114" s="4" t="s">
        <v>177</v>
      </c>
      <c r="O2114" s="55" t="s">
        <v>178</v>
      </c>
    </row>
    <row r="2115" spans="2:15">
      <c r="B2115" s="20">
        <v>45223</v>
      </c>
      <c r="C2115" s="59">
        <v>40009544</v>
      </c>
      <c r="D2115" s="55" t="s">
        <v>179</v>
      </c>
      <c r="E2115" s="67">
        <v>756</v>
      </c>
      <c r="F2115" s="67">
        <v>3</v>
      </c>
      <c r="G2115" s="102">
        <v>8820</v>
      </c>
      <c r="H2115" s="56" t="s">
        <v>80</v>
      </c>
      <c r="K2115" s="56">
        <v>602</v>
      </c>
      <c r="L2115" s="55" t="s">
        <v>176</v>
      </c>
      <c r="M2115" s="55" t="s">
        <v>2824</v>
      </c>
      <c r="N2115" s="4" t="s">
        <v>177</v>
      </c>
      <c r="O2115" s="55" t="s">
        <v>178</v>
      </c>
    </row>
    <row r="2116" spans="2:15">
      <c r="B2116" s="20">
        <v>45223</v>
      </c>
      <c r="C2116" s="59">
        <v>40011133</v>
      </c>
      <c r="D2116" s="55" t="s">
        <v>634</v>
      </c>
      <c r="E2116" s="67">
        <v>756</v>
      </c>
      <c r="F2116" s="67">
        <v>2</v>
      </c>
      <c r="G2116" s="102">
        <v>1512</v>
      </c>
      <c r="H2116" s="56" t="s">
        <v>80</v>
      </c>
      <c r="K2116" s="56">
        <v>602</v>
      </c>
      <c r="L2116" s="55" t="s">
        <v>176</v>
      </c>
      <c r="M2116" s="55" t="s">
        <v>2824</v>
      </c>
      <c r="N2116" s="4" t="s">
        <v>177</v>
      </c>
      <c r="O2116" s="55" t="s">
        <v>178</v>
      </c>
    </row>
    <row r="2117" spans="2:15">
      <c r="B2117" s="20">
        <v>45223</v>
      </c>
      <c r="C2117" s="59">
        <v>50272278</v>
      </c>
      <c r="D2117" s="55" t="s">
        <v>21</v>
      </c>
      <c r="E2117" s="67">
        <v>500</v>
      </c>
      <c r="F2117" s="67">
        <v>12</v>
      </c>
      <c r="G2117" s="102">
        <v>6000</v>
      </c>
      <c r="H2117" s="56" t="s">
        <v>92</v>
      </c>
      <c r="K2117" s="56">
        <v>602</v>
      </c>
      <c r="L2117" s="55" t="s">
        <v>176</v>
      </c>
      <c r="M2117" s="55" t="s">
        <v>2824</v>
      </c>
      <c r="N2117" s="4" t="s">
        <v>177</v>
      </c>
      <c r="O2117" s="55" t="s">
        <v>178</v>
      </c>
    </row>
    <row r="2118" spans="2:15">
      <c r="B2118" s="20">
        <v>45223</v>
      </c>
      <c r="C2118" s="59">
        <v>40009543</v>
      </c>
      <c r="D2118" s="55" t="s">
        <v>473</v>
      </c>
      <c r="E2118" s="67">
        <v>1980</v>
      </c>
      <c r="F2118" s="67">
        <v>1</v>
      </c>
      <c r="G2118" s="102">
        <v>1680</v>
      </c>
      <c r="H2118" s="56" t="s">
        <v>80</v>
      </c>
      <c r="K2118" s="56">
        <v>602</v>
      </c>
      <c r="L2118" s="55" t="s">
        <v>176</v>
      </c>
      <c r="M2118" s="55" t="s">
        <v>2824</v>
      </c>
      <c r="N2118" s="4" t="s">
        <v>177</v>
      </c>
      <c r="O2118" s="55" t="s">
        <v>178</v>
      </c>
    </row>
    <row r="2119" spans="2:15">
      <c r="B2119" s="20">
        <v>45223</v>
      </c>
      <c r="C2119" s="59">
        <v>50144200</v>
      </c>
      <c r="D2119" s="55" t="s">
        <v>184</v>
      </c>
      <c r="E2119" s="67">
        <v>264</v>
      </c>
      <c r="F2119" s="67">
        <v>4</v>
      </c>
      <c r="G2119" s="102">
        <v>1056000</v>
      </c>
      <c r="H2119" s="56" t="s">
        <v>92</v>
      </c>
      <c r="K2119" s="56">
        <v>602</v>
      </c>
      <c r="L2119" s="55" t="s">
        <v>176</v>
      </c>
      <c r="M2119" s="55" t="s">
        <v>2824</v>
      </c>
      <c r="N2119" s="4" t="s">
        <v>177</v>
      </c>
      <c r="O2119" s="55" t="s">
        <v>178</v>
      </c>
    </row>
    <row r="2120" spans="2:15">
      <c r="B2120" s="20">
        <v>45223</v>
      </c>
      <c r="C2120" s="59">
        <v>50272278</v>
      </c>
      <c r="D2120" s="55" t="s">
        <v>21</v>
      </c>
      <c r="E2120" s="67">
        <v>500</v>
      </c>
      <c r="F2120" s="67">
        <v>17</v>
      </c>
      <c r="G2120" s="102">
        <v>9000</v>
      </c>
      <c r="H2120" s="56" t="s">
        <v>92</v>
      </c>
      <c r="K2120" s="56">
        <v>603</v>
      </c>
      <c r="L2120" s="55" t="s">
        <v>176</v>
      </c>
      <c r="M2120" s="55" t="s">
        <v>2824</v>
      </c>
      <c r="N2120" s="4" t="s">
        <v>177</v>
      </c>
      <c r="O2120" s="55" t="s">
        <v>178</v>
      </c>
    </row>
    <row r="2121" spans="2:15">
      <c r="B2121" s="20">
        <v>45223</v>
      </c>
      <c r="C2121" s="59">
        <v>50351518</v>
      </c>
      <c r="D2121" s="55" t="s">
        <v>1047</v>
      </c>
      <c r="E2121" s="67">
        <v>640</v>
      </c>
      <c r="F2121" s="67">
        <v>4</v>
      </c>
      <c r="G2121" s="102">
        <v>2600</v>
      </c>
      <c r="H2121" s="56" t="s">
        <v>92</v>
      </c>
      <c r="K2121" s="56">
        <v>603</v>
      </c>
      <c r="L2121" s="55" t="s">
        <v>176</v>
      </c>
      <c r="M2121" s="55" t="s">
        <v>2824</v>
      </c>
      <c r="N2121" s="4" t="s">
        <v>177</v>
      </c>
      <c r="O2121" s="55" t="s">
        <v>178</v>
      </c>
    </row>
    <row r="2122" spans="2:15">
      <c r="B2122" s="20">
        <v>45224</v>
      </c>
      <c r="C2122" s="59">
        <v>40010086</v>
      </c>
      <c r="D2122" s="55" t="s">
        <v>79</v>
      </c>
      <c r="E2122" s="67">
        <v>3496</v>
      </c>
      <c r="F2122" s="67">
        <v>1</v>
      </c>
      <c r="G2122" s="102">
        <v>3496</v>
      </c>
      <c r="H2122" s="56" t="s">
        <v>80</v>
      </c>
      <c r="K2122" s="56">
        <v>604</v>
      </c>
      <c r="L2122" s="55" t="s">
        <v>176</v>
      </c>
      <c r="M2122" s="55" t="s">
        <v>2824</v>
      </c>
      <c r="N2122" s="4" t="s">
        <v>177</v>
      </c>
      <c r="O2122" s="55" t="s">
        <v>178</v>
      </c>
    </row>
    <row r="2123" spans="2:15">
      <c r="B2123" s="20">
        <v>45224</v>
      </c>
      <c r="C2123" s="59">
        <v>40010087</v>
      </c>
      <c r="D2123" s="55" t="s">
        <v>387</v>
      </c>
      <c r="E2123" s="67">
        <v>756</v>
      </c>
      <c r="F2123" s="67">
        <v>1</v>
      </c>
      <c r="G2123" s="102">
        <v>756</v>
      </c>
      <c r="H2123" s="56" t="s">
        <v>80</v>
      </c>
      <c r="K2123" s="56">
        <v>604</v>
      </c>
      <c r="L2123" s="55" t="s">
        <v>176</v>
      </c>
      <c r="M2123" s="55" t="s">
        <v>2824</v>
      </c>
      <c r="N2123" s="4" t="s">
        <v>177</v>
      </c>
      <c r="O2123" s="55" t="s">
        <v>178</v>
      </c>
    </row>
    <row r="2124" spans="2:15">
      <c r="B2124" s="20">
        <v>45224</v>
      </c>
      <c r="C2124" s="59">
        <v>40011133</v>
      </c>
      <c r="D2124" s="55" t="s">
        <v>634</v>
      </c>
      <c r="E2124" s="67">
        <v>756</v>
      </c>
      <c r="F2124" s="67">
        <v>4</v>
      </c>
      <c r="G2124" s="102">
        <v>3024</v>
      </c>
      <c r="H2124" s="56" t="s">
        <v>80</v>
      </c>
      <c r="K2124" s="56">
        <v>604</v>
      </c>
      <c r="L2124" s="55" t="s">
        <v>176</v>
      </c>
      <c r="M2124" s="55" t="s">
        <v>2824</v>
      </c>
      <c r="N2124" s="4" t="s">
        <v>177</v>
      </c>
      <c r="O2124" s="55" t="s">
        <v>178</v>
      </c>
    </row>
    <row r="2125" spans="2:15">
      <c r="B2125" s="20">
        <v>45224</v>
      </c>
      <c r="C2125" s="59">
        <v>50813995</v>
      </c>
      <c r="D2125" s="55" t="s">
        <v>960</v>
      </c>
      <c r="E2125" s="67">
        <v>458</v>
      </c>
      <c r="F2125" s="67">
        <v>4</v>
      </c>
      <c r="G2125" s="102">
        <v>1983.4</v>
      </c>
      <c r="H2125" s="56" t="s">
        <v>82</v>
      </c>
      <c r="K2125" s="56">
        <v>604</v>
      </c>
      <c r="L2125" s="55" t="s">
        <v>176</v>
      </c>
      <c r="M2125" s="55" t="s">
        <v>2824</v>
      </c>
      <c r="N2125" s="4" t="s">
        <v>177</v>
      </c>
      <c r="O2125" s="55" t="s">
        <v>178</v>
      </c>
    </row>
    <row r="2126" spans="2:15">
      <c r="B2126" s="20">
        <v>45224</v>
      </c>
      <c r="C2126" s="59">
        <v>50272278</v>
      </c>
      <c r="D2126" s="55" t="s">
        <v>21</v>
      </c>
      <c r="E2126" s="67">
        <v>500</v>
      </c>
      <c r="F2126" s="67">
        <v>5</v>
      </c>
      <c r="G2126" s="102">
        <v>2500</v>
      </c>
      <c r="H2126" s="56" t="s">
        <v>92</v>
      </c>
      <c r="K2126" s="56">
        <v>604</v>
      </c>
      <c r="L2126" s="55" t="s">
        <v>176</v>
      </c>
      <c r="M2126" s="55" t="s">
        <v>2824</v>
      </c>
      <c r="N2126" s="4" t="s">
        <v>177</v>
      </c>
      <c r="O2126" s="55" t="s">
        <v>178</v>
      </c>
    </row>
    <row r="2127" spans="2:15">
      <c r="B2127" s="20">
        <v>45224</v>
      </c>
      <c r="C2127" s="59">
        <v>50144200</v>
      </c>
      <c r="D2127" s="55" t="s">
        <v>184</v>
      </c>
      <c r="E2127" s="67">
        <v>264000</v>
      </c>
      <c r="F2127" s="67">
        <v>4</v>
      </c>
      <c r="G2127" s="102">
        <v>1056000</v>
      </c>
      <c r="H2127" s="56" t="s">
        <v>92</v>
      </c>
      <c r="K2127" s="56">
        <v>604</v>
      </c>
      <c r="L2127" s="55" t="s">
        <v>176</v>
      </c>
      <c r="M2127" s="55" t="s">
        <v>2824</v>
      </c>
      <c r="N2127" s="4" t="s">
        <v>177</v>
      </c>
      <c r="O2127" s="55" t="s">
        <v>178</v>
      </c>
    </row>
    <row r="2128" spans="2:15">
      <c r="B2128" s="20">
        <v>45224</v>
      </c>
      <c r="C2128" s="59">
        <v>50809144</v>
      </c>
      <c r="D2128" s="55" t="s">
        <v>989</v>
      </c>
      <c r="E2128" s="67">
        <v>458</v>
      </c>
      <c r="F2128" s="67">
        <v>3</v>
      </c>
      <c r="G2128" s="102">
        <v>1450.7</v>
      </c>
      <c r="H2128" s="56" t="s">
        <v>82</v>
      </c>
      <c r="K2128" s="56">
        <v>604</v>
      </c>
      <c r="L2128" s="55" t="s">
        <v>176</v>
      </c>
      <c r="M2128" s="55" t="s">
        <v>2824</v>
      </c>
      <c r="N2128" s="4" t="s">
        <v>177</v>
      </c>
      <c r="O2128" s="55" t="s">
        <v>178</v>
      </c>
    </row>
    <row r="2129" spans="2:15">
      <c r="B2129" s="20">
        <v>45225</v>
      </c>
      <c r="C2129" s="59">
        <v>50144376</v>
      </c>
      <c r="D2129" s="55" t="s">
        <v>19</v>
      </c>
      <c r="E2129" s="67">
        <v>500</v>
      </c>
      <c r="F2129" s="67">
        <v>11</v>
      </c>
      <c r="G2129" s="102">
        <v>5500</v>
      </c>
      <c r="H2129" s="56" t="s">
        <v>92</v>
      </c>
      <c r="K2129" s="56">
        <v>605</v>
      </c>
      <c r="L2129" s="55" t="s">
        <v>176</v>
      </c>
      <c r="M2129" s="55" t="s">
        <v>2824</v>
      </c>
      <c r="N2129" s="4" t="s">
        <v>177</v>
      </c>
      <c r="O2129" s="55" t="s">
        <v>178</v>
      </c>
    </row>
    <row r="2130" spans="2:15">
      <c r="B2130" s="20">
        <v>45225</v>
      </c>
      <c r="C2130" s="59">
        <v>50272278</v>
      </c>
      <c r="D2130" s="55" t="s">
        <v>21</v>
      </c>
      <c r="E2130" s="67">
        <v>500</v>
      </c>
      <c r="F2130" s="67">
        <v>11</v>
      </c>
      <c r="G2130" s="102">
        <v>5500</v>
      </c>
      <c r="H2130" s="56" t="s">
        <v>92</v>
      </c>
      <c r="K2130" s="56">
        <v>605</v>
      </c>
      <c r="L2130" s="55" t="s">
        <v>176</v>
      </c>
      <c r="M2130" s="55" t="s">
        <v>2824</v>
      </c>
      <c r="N2130" s="4" t="s">
        <v>177</v>
      </c>
      <c r="O2130" s="55" t="s">
        <v>178</v>
      </c>
    </row>
    <row r="2131" spans="2:15">
      <c r="B2131" s="20">
        <v>45226</v>
      </c>
      <c r="C2131" s="59">
        <v>50470190</v>
      </c>
      <c r="D2131" s="55" t="s">
        <v>12</v>
      </c>
      <c r="E2131" s="67">
        <v>289800</v>
      </c>
      <c r="F2131" s="67">
        <v>18</v>
      </c>
      <c r="G2131" s="102">
        <v>5216400</v>
      </c>
      <c r="H2131" s="56" t="s">
        <v>92</v>
      </c>
      <c r="K2131" s="56">
        <v>606</v>
      </c>
      <c r="L2131" s="55" t="s">
        <v>176</v>
      </c>
      <c r="M2131" s="55" t="s">
        <v>2824</v>
      </c>
      <c r="N2131" s="4" t="s">
        <v>177</v>
      </c>
      <c r="O2131" s="55" t="s">
        <v>178</v>
      </c>
    </row>
    <row r="2132" spans="2:15">
      <c r="B2132" s="20">
        <v>45226</v>
      </c>
      <c r="C2132" s="59">
        <v>50813995</v>
      </c>
      <c r="D2132" s="55" t="s">
        <v>960</v>
      </c>
      <c r="E2132" s="67">
        <v>456</v>
      </c>
      <c r="F2132" s="67">
        <v>3</v>
      </c>
      <c r="G2132" s="102">
        <v>1456.8</v>
      </c>
      <c r="H2132" s="56" t="s">
        <v>82</v>
      </c>
      <c r="K2132" s="56">
        <v>607</v>
      </c>
      <c r="L2132" s="55" t="s">
        <v>176</v>
      </c>
      <c r="M2132" s="55" t="s">
        <v>2824</v>
      </c>
      <c r="N2132" s="4" t="s">
        <v>177</v>
      </c>
      <c r="O2132" s="55" t="s">
        <v>178</v>
      </c>
    </row>
    <row r="2133" spans="2:15">
      <c r="B2133" s="20">
        <v>45226</v>
      </c>
      <c r="C2133" s="59">
        <v>50144376</v>
      </c>
      <c r="D2133" s="55" t="s">
        <v>19</v>
      </c>
      <c r="E2133" s="67">
        <v>500</v>
      </c>
      <c r="F2133" s="67">
        <v>5</v>
      </c>
      <c r="G2133" s="102">
        <v>2500</v>
      </c>
      <c r="H2133" s="56" t="s">
        <v>92</v>
      </c>
      <c r="K2133" s="56">
        <v>607</v>
      </c>
      <c r="L2133" s="55" t="s">
        <v>176</v>
      </c>
      <c r="M2133" s="55" t="s">
        <v>2824</v>
      </c>
      <c r="N2133" s="4" t="s">
        <v>177</v>
      </c>
      <c r="O2133" s="55" t="s">
        <v>178</v>
      </c>
    </row>
    <row r="2134" spans="2:15">
      <c r="B2134" s="20">
        <v>45226</v>
      </c>
      <c r="C2134" s="59">
        <v>50272278</v>
      </c>
      <c r="D2134" s="55" t="s">
        <v>21</v>
      </c>
      <c r="E2134" s="67">
        <v>500</v>
      </c>
      <c r="F2134" s="67">
        <v>4</v>
      </c>
      <c r="G2134" s="102">
        <v>2000</v>
      </c>
      <c r="H2134" s="56" t="s">
        <v>92</v>
      </c>
      <c r="K2134" s="56">
        <v>607</v>
      </c>
      <c r="L2134" s="55" t="s">
        <v>176</v>
      </c>
      <c r="M2134" s="55" t="s">
        <v>2824</v>
      </c>
      <c r="N2134" s="4" t="s">
        <v>177</v>
      </c>
      <c r="O2134" s="55" t="s">
        <v>178</v>
      </c>
    </row>
    <row r="2135" spans="2:15">
      <c r="B2135" s="20">
        <v>45226</v>
      </c>
      <c r="C2135" s="59">
        <v>50144200</v>
      </c>
      <c r="D2135" s="55" t="s">
        <v>184</v>
      </c>
      <c r="E2135" s="67">
        <v>264000</v>
      </c>
      <c r="F2135" s="67">
        <v>5</v>
      </c>
      <c r="G2135" s="102">
        <v>1320000</v>
      </c>
      <c r="H2135" s="56" t="s">
        <v>92</v>
      </c>
      <c r="K2135" s="56">
        <v>607</v>
      </c>
      <c r="L2135" s="55" t="s">
        <v>176</v>
      </c>
      <c r="M2135" s="55" t="s">
        <v>2824</v>
      </c>
      <c r="N2135" s="4" t="s">
        <v>177</v>
      </c>
      <c r="O2135" s="55" t="s">
        <v>178</v>
      </c>
    </row>
    <row r="2136" spans="2:15">
      <c r="B2136" s="20">
        <v>45226</v>
      </c>
      <c r="C2136" s="59">
        <v>50509889</v>
      </c>
      <c r="D2136" s="55" t="s">
        <v>671</v>
      </c>
      <c r="E2136" s="67">
        <v>264000</v>
      </c>
      <c r="F2136" s="67">
        <v>5</v>
      </c>
      <c r="G2136" s="102">
        <v>1320000</v>
      </c>
      <c r="H2136" s="56" t="s">
        <v>92</v>
      </c>
      <c r="K2136" s="56">
        <v>607</v>
      </c>
      <c r="L2136" s="55" t="s">
        <v>176</v>
      </c>
      <c r="M2136" s="55" t="s">
        <v>2824</v>
      </c>
      <c r="N2136" s="4" t="s">
        <v>177</v>
      </c>
      <c r="O2136" s="55" t="s">
        <v>178</v>
      </c>
    </row>
    <row r="2137" spans="2:15">
      <c r="B2137" s="20">
        <v>45226</v>
      </c>
      <c r="C2137" s="59">
        <v>50813995</v>
      </c>
      <c r="D2137" s="55" t="s">
        <v>960</v>
      </c>
      <c r="E2137" s="67">
        <v>456</v>
      </c>
      <c r="F2137" s="67">
        <v>6</v>
      </c>
      <c r="G2137" s="102">
        <v>2898.15</v>
      </c>
      <c r="H2137" s="56" t="s">
        <v>82</v>
      </c>
      <c r="K2137" s="56">
        <v>608</v>
      </c>
      <c r="L2137" s="55" t="s">
        <v>326</v>
      </c>
      <c r="M2137" s="55" t="s">
        <v>2824</v>
      </c>
      <c r="N2137" s="4" t="s">
        <v>712</v>
      </c>
      <c r="O2137" s="55" t="s">
        <v>178</v>
      </c>
    </row>
    <row r="2138" spans="2:15">
      <c r="B2138" s="20">
        <v>45226</v>
      </c>
      <c r="C2138" s="59">
        <v>50144376</v>
      </c>
      <c r="D2138" s="55" t="s">
        <v>19</v>
      </c>
      <c r="E2138" s="67">
        <v>500</v>
      </c>
      <c r="F2138" s="67">
        <v>2</v>
      </c>
      <c r="G2138" s="102">
        <v>1000</v>
      </c>
      <c r="H2138" s="56" t="s">
        <v>92</v>
      </c>
      <c r="K2138" s="56">
        <v>608</v>
      </c>
      <c r="L2138" s="55" t="s">
        <v>326</v>
      </c>
      <c r="M2138" s="55" t="s">
        <v>2824</v>
      </c>
      <c r="N2138" s="4" t="s">
        <v>712</v>
      </c>
      <c r="O2138" s="55" t="s">
        <v>178</v>
      </c>
    </row>
    <row r="2139" spans="2:15">
      <c r="B2139" s="20">
        <v>45226</v>
      </c>
      <c r="C2139" s="59">
        <v>50812974</v>
      </c>
      <c r="D2139" s="55" t="s">
        <v>822</v>
      </c>
      <c r="E2139" s="67">
        <v>289800</v>
      </c>
      <c r="F2139" s="67">
        <v>10</v>
      </c>
      <c r="G2139" s="102">
        <v>2898000</v>
      </c>
      <c r="H2139" s="56" t="s">
        <v>92</v>
      </c>
      <c r="K2139" s="56">
        <v>608</v>
      </c>
      <c r="L2139" s="55" t="s">
        <v>326</v>
      </c>
      <c r="M2139" s="55" t="s">
        <v>2824</v>
      </c>
      <c r="N2139" s="4" t="s">
        <v>712</v>
      </c>
      <c r="O2139" s="55" t="s">
        <v>178</v>
      </c>
    </row>
    <row r="2140" spans="2:15">
      <c r="B2140" s="20">
        <v>45229</v>
      </c>
      <c r="C2140" s="59">
        <v>50272278</v>
      </c>
      <c r="D2140" s="55" t="s">
        <v>21</v>
      </c>
      <c r="E2140" s="67">
        <v>500</v>
      </c>
      <c r="F2140" s="67">
        <v>22</v>
      </c>
      <c r="G2140" s="102">
        <v>11000</v>
      </c>
      <c r="H2140" s="56" t="s">
        <v>92</v>
      </c>
      <c r="K2140" s="56">
        <v>609</v>
      </c>
      <c r="L2140" s="55" t="s">
        <v>176</v>
      </c>
      <c r="M2140" s="55" t="s">
        <v>2824</v>
      </c>
      <c r="N2140" s="4" t="s">
        <v>177</v>
      </c>
      <c r="O2140" s="55" t="s">
        <v>178</v>
      </c>
    </row>
    <row r="2141" spans="2:15">
      <c r="B2141" s="20">
        <v>45229</v>
      </c>
      <c r="C2141" s="59">
        <v>50470190</v>
      </c>
      <c r="D2141" s="55" t="s">
        <v>12</v>
      </c>
      <c r="E2141" s="67">
        <v>289800</v>
      </c>
      <c r="F2141" s="67">
        <v>9</v>
      </c>
      <c r="G2141" s="102">
        <v>2608200</v>
      </c>
      <c r="H2141" s="56" t="s">
        <v>92</v>
      </c>
      <c r="K2141" s="56">
        <v>610</v>
      </c>
      <c r="L2141" s="55" t="s">
        <v>176</v>
      </c>
      <c r="M2141" s="55" t="s">
        <v>2824</v>
      </c>
      <c r="N2141" s="4" t="s">
        <v>177</v>
      </c>
      <c r="O2141" s="55" t="s">
        <v>178</v>
      </c>
    </row>
    <row r="2142" spans="2:15">
      <c r="B2142" s="20">
        <v>45229</v>
      </c>
      <c r="C2142" s="59">
        <v>50812974</v>
      </c>
      <c r="D2142" s="55" t="s">
        <v>822</v>
      </c>
      <c r="E2142" s="67">
        <v>289800</v>
      </c>
      <c r="F2142" s="67">
        <v>9</v>
      </c>
      <c r="G2142" s="102">
        <v>2608200</v>
      </c>
      <c r="H2142" s="56" t="s">
        <v>92</v>
      </c>
      <c r="K2142" s="56">
        <v>610</v>
      </c>
      <c r="L2142" s="55" t="s">
        <v>176</v>
      </c>
      <c r="M2142" s="55" t="s">
        <v>2824</v>
      </c>
      <c r="N2142" s="4" t="s">
        <v>177</v>
      </c>
      <c r="O2142" s="55" t="s">
        <v>178</v>
      </c>
    </row>
    <row r="2143" spans="2:15">
      <c r="B2143" s="20">
        <v>45229</v>
      </c>
      <c r="C2143" s="59">
        <v>40007938</v>
      </c>
      <c r="D2143" s="55" t="s">
        <v>202</v>
      </c>
      <c r="E2143" s="67">
        <v>3024</v>
      </c>
      <c r="F2143" s="67">
        <v>1</v>
      </c>
      <c r="G2143" s="102">
        <v>3024</v>
      </c>
      <c r="H2143" s="56" t="s">
        <v>80</v>
      </c>
      <c r="K2143" s="56">
        <v>611</v>
      </c>
      <c r="L2143" s="55" t="s">
        <v>176</v>
      </c>
      <c r="M2143" s="55" t="s">
        <v>2824</v>
      </c>
      <c r="N2143" s="4" t="s">
        <v>177</v>
      </c>
      <c r="O2143" s="55" t="s">
        <v>178</v>
      </c>
    </row>
    <row r="2144" spans="2:15">
      <c r="B2144" s="20">
        <v>45229</v>
      </c>
      <c r="C2144" s="59">
        <v>40007855</v>
      </c>
      <c r="D2144" s="55" t="s">
        <v>84</v>
      </c>
      <c r="E2144" s="67">
        <v>1344</v>
      </c>
      <c r="F2144" s="67">
        <v>1</v>
      </c>
      <c r="G2144" s="102">
        <v>1344</v>
      </c>
      <c r="H2144" s="56" t="s">
        <v>80</v>
      </c>
      <c r="K2144" s="56">
        <v>611</v>
      </c>
      <c r="L2144" s="55" t="s">
        <v>176</v>
      </c>
      <c r="M2144" s="55" t="s">
        <v>2824</v>
      </c>
      <c r="N2144" s="4" t="s">
        <v>177</v>
      </c>
      <c r="O2144" s="55" t="s">
        <v>178</v>
      </c>
    </row>
    <row r="2145" spans="2:15">
      <c r="B2145" s="20">
        <v>45229</v>
      </c>
      <c r="C2145" s="59">
        <v>50142281</v>
      </c>
      <c r="D2145" s="55" t="s">
        <v>204</v>
      </c>
      <c r="E2145" s="67">
        <v>450</v>
      </c>
      <c r="F2145" s="67">
        <v>2</v>
      </c>
      <c r="G2145" s="102">
        <v>900</v>
      </c>
      <c r="H2145" s="56" t="s">
        <v>82</v>
      </c>
      <c r="K2145" s="56">
        <v>611</v>
      </c>
      <c r="L2145" s="55" t="s">
        <v>176</v>
      </c>
      <c r="M2145" s="55" t="s">
        <v>2824</v>
      </c>
      <c r="N2145" s="4" t="s">
        <v>177</v>
      </c>
      <c r="O2145" s="55" t="s">
        <v>178</v>
      </c>
    </row>
    <row r="2146" spans="2:15">
      <c r="B2146" s="20">
        <v>45229</v>
      </c>
      <c r="C2146" s="59">
        <v>50144200</v>
      </c>
      <c r="D2146" s="55" t="s">
        <v>184</v>
      </c>
      <c r="E2146" s="67">
        <v>264000</v>
      </c>
      <c r="F2146" s="67">
        <v>3</v>
      </c>
      <c r="G2146" s="102">
        <v>792000</v>
      </c>
      <c r="H2146" s="56" t="s">
        <v>92</v>
      </c>
      <c r="K2146" s="56">
        <v>611</v>
      </c>
      <c r="L2146" s="55" t="s">
        <v>176</v>
      </c>
      <c r="M2146" s="55" t="s">
        <v>2824</v>
      </c>
      <c r="N2146" s="4" t="s">
        <v>177</v>
      </c>
      <c r="O2146" s="55" t="s">
        <v>178</v>
      </c>
    </row>
    <row r="2147" spans="2:15">
      <c r="B2147" s="20">
        <v>45229</v>
      </c>
      <c r="C2147" s="59">
        <v>50507916</v>
      </c>
      <c r="D2147" s="55" t="s">
        <v>406</v>
      </c>
      <c r="E2147" s="67">
        <v>264000</v>
      </c>
      <c r="F2147" s="67">
        <v>5</v>
      </c>
      <c r="G2147" s="102">
        <v>1320000</v>
      </c>
      <c r="H2147" s="56" t="s">
        <v>92</v>
      </c>
      <c r="K2147" s="56">
        <v>611</v>
      </c>
      <c r="L2147" s="55" t="s">
        <v>176</v>
      </c>
      <c r="M2147" s="55" t="s">
        <v>2824</v>
      </c>
      <c r="N2147" s="4" t="s">
        <v>177</v>
      </c>
      <c r="O2147" s="55" t="s">
        <v>178</v>
      </c>
    </row>
    <row r="2148" spans="2:15">
      <c r="B2148" s="20">
        <v>45229</v>
      </c>
      <c r="C2148" s="59">
        <v>50337816</v>
      </c>
      <c r="D2148" s="55" t="s">
        <v>245</v>
      </c>
      <c r="E2148" s="67">
        <v>264</v>
      </c>
      <c r="F2148" s="67">
        <v>3</v>
      </c>
      <c r="G2148" s="102">
        <v>792</v>
      </c>
      <c r="H2148" s="56" t="s">
        <v>80</v>
      </c>
      <c r="K2148" s="56">
        <v>611</v>
      </c>
      <c r="L2148" s="55" t="s">
        <v>176</v>
      </c>
      <c r="M2148" s="55" t="s">
        <v>2824</v>
      </c>
      <c r="N2148" s="4" t="s">
        <v>177</v>
      </c>
      <c r="O2148" s="55" t="s">
        <v>178</v>
      </c>
    </row>
    <row r="2149" spans="2:15">
      <c r="B2149" s="20">
        <v>45229</v>
      </c>
      <c r="C2149" s="59">
        <v>50515224</v>
      </c>
      <c r="D2149" s="55" t="s">
        <v>186</v>
      </c>
      <c r="E2149" s="67">
        <v>264000</v>
      </c>
      <c r="F2149" s="67">
        <v>1</v>
      </c>
      <c r="G2149" s="102">
        <v>264000</v>
      </c>
      <c r="H2149" s="56" t="s">
        <v>92</v>
      </c>
      <c r="K2149" s="56">
        <v>611</v>
      </c>
      <c r="L2149" s="55" t="s">
        <v>176</v>
      </c>
      <c r="M2149" s="55" t="s">
        <v>2824</v>
      </c>
      <c r="N2149" s="4" t="s">
        <v>177</v>
      </c>
      <c r="O2149" s="55" t="s">
        <v>178</v>
      </c>
    </row>
    <row r="2150" spans="2:15">
      <c r="B2150" s="20">
        <v>45229</v>
      </c>
      <c r="C2150" s="59">
        <v>50509889</v>
      </c>
      <c r="D2150" s="55" t="s">
        <v>671</v>
      </c>
      <c r="E2150" s="67">
        <v>264000</v>
      </c>
      <c r="F2150" s="67">
        <v>2</v>
      </c>
      <c r="G2150" s="102">
        <v>528000</v>
      </c>
      <c r="H2150" s="56" t="s">
        <v>92</v>
      </c>
      <c r="K2150" s="56">
        <v>611</v>
      </c>
      <c r="L2150" s="55" t="s">
        <v>176</v>
      </c>
      <c r="M2150" s="55" t="s">
        <v>2824</v>
      </c>
      <c r="N2150" s="4" t="s">
        <v>177</v>
      </c>
      <c r="O2150" s="55" t="s">
        <v>178</v>
      </c>
    </row>
    <row r="2151" spans="2:15">
      <c r="B2151" s="20">
        <v>45229</v>
      </c>
      <c r="C2151" s="59">
        <v>50812974</v>
      </c>
      <c r="D2151" s="55" t="s">
        <v>822</v>
      </c>
      <c r="E2151" s="67">
        <v>289800</v>
      </c>
      <c r="F2151" s="67">
        <v>4</v>
      </c>
      <c r="G2151" s="102">
        <v>1159200</v>
      </c>
      <c r="H2151" s="56" t="s">
        <v>92</v>
      </c>
      <c r="K2151" s="56">
        <v>611</v>
      </c>
      <c r="L2151" s="55" t="s">
        <v>176</v>
      </c>
      <c r="M2151" s="55" t="s">
        <v>2824</v>
      </c>
      <c r="N2151" s="4" t="s">
        <v>177</v>
      </c>
      <c r="O2151" s="55" t="s">
        <v>178</v>
      </c>
    </row>
    <row r="2152" spans="2:15">
      <c r="B2152" s="20">
        <v>45230</v>
      </c>
      <c r="C2152" s="59">
        <v>40011130</v>
      </c>
      <c r="D2152" s="55" t="s">
        <v>631</v>
      </c>
      <c r="E2152" s="67">
        <v>1207</v>
      </c>
      <c r="F2152" s="67">
        <v>1</v>
      </c>
      <c r="G2152" s="102">
        <v>1207</v>
      </c>
      <c r="H2152" s="56" t="s">
        <v>80</v>
      </c>
      <c r="K2152" s="56">
        <v>612</v>
      </c>
      <c r="L2152" s="55" t="s">
        <v>176</v>
      </c>
      <c r="M2152" s="55" t="s">
        <v>2824</v>
      </c>
      <c r="N2152" s="4" t="s">
        <v>177</v>
      </c>
      <c r="O2152" s="55" t="s">
        <v>178</v>
      </c>
    </row>
    <row r="2153" spans="2:15">
      <c r="B2153" s="20">
        <v>45230</v>
      </c>
      <c r="C2153" s="59">
        <v>50809146</v>
      </c>
      <c r="D2153" s="55" t="s">
        <v>1030</v>
      </c>
      <c r="E2153" s="67">
        <v>456</v>
      </c>
      <c r="F2153" s="67">
        <v>3</v>
      </c>
      <c r="G2153" s="102">
        <v>1444.5</v>
      </c>
      <c r="H2153" s="56" t="s">
        <v>82</v>
      </c>
      <c r="K2153" s="56">
        <v>612</v>
      </c>
      <c r="L2153" s="55" t="s">
        <v>176</v>
      </c>
      <c r="M2153" s="55" t="s">
        <v>2824</v>
      </c>
      <c r="N2153" s="4" t="s">
        <v>177</v>
      </c>
      <c r="O2153" s="55" t="s">
        <v>178</v>
      </c>
    </row>
    <row r="2154" spans="2:15">
      <c r="B2154" s="20">
        <v>45230</v>
      </c>
      <c r="C2154" s="59">
        <v>50272278</v>
      </c>
      <c r="D2154" s="55" t="s">
        <v>21</v>
      </c>
      <c r="E2154" s="67">
        <v>500</v>
      </c>
      <c r="F2154" s="67">
        <v>12</v>
      </c>
      <c r="G2154" s="102">
        <v>6000</v>
      </c>
      <c r="H2154" s="56" t="s">
        <v>92</v>
      </c>
      <c r="K2154" s="56">
        <v>612</v>
      </c>
      <c r="L2154" s="55" t="s">
        <v>176</v>
      </c>
      <c r="M2154" s="55" t="s">
        <v>2824</v>
      </c>
      <c r="N2154" s="4" t="s">
        <v>177</v>
      </c>
      <c r="O2154" s="55" t="s">
        <v>178</v>
      </c>
    </row>
    <row r="2155" spans="2:15">
      <c r="B2155" s="20">
        <v>45230</v>
      </c>
      <c r="C2155" s="59">
        <v>50142237</v>
      </c>
      <c r="D2155" s="55" t="s">
        <v>617</v>
      </c>
      <c r="E2155" s="67">
        <v>1000</v>
      </c>
      <c r="F2155" s="67">
        <v>10</v>
      </c>
      <c r="G2155" s="102">
        <v>10000</v>
      </c>
      <c r="H2155" s="56" t="s">
        <v>92</v>
      </c>
      <c r="K2155" s="56">
        <v>612</v>
      </c>
      <c r="L2155" s="55" t="s">
        <v>176</v>
      </c>
      <c r="M2155" s="55" t="s">
        <v>2824</v>
      </c>
      <c r="N2155" s="4" t="s">
        <v>177</v>
      </c>
      <c r="O2155" s="55" t="s">
        <v>178</v>
      </c>
    </row>
    <row r="2156" spans="2:15">
      <c r="B2156" s="20">
        <v>45230</v>
      </c>
      <c r="C2156" s="59">
        <v>50509889</v>
      </c>
      <c r="D2156" s="55" t="s">
        <v>671</v>
      </c>
      <c r="E2156" s="67">
        <v>26400</v>
      </c>
      <c r="F2156" s="67">
        <v>2</v>
      </c>
      <c r="G2156" s="102">
        <v>528000</v>
      </c>
      <c r="H2156" s="56" t="s">
        <v>92</v>
      </c>
      <c r="K2156" s="56">
        <v>612</v>
      </c>
      <c r="L2156" s="55" t="s">
        <v>176</v>
      </c>
      <c r="M2156" s="55" t="s">
        <v>2824</v>
      </c>
      <c r="N2156" s="4" t="s">
        <v>177</v>
      </c>
      <c r="O2156" s="55" t="s">
        <v>178</v>
      </c>
    </row>
    <row r="2157" spans="2:15">
      <c r="B2157" s="20">
        <v>45230</v>
      </c>
      <c r="C2157" s="59">
        <v>50812974</v>
      </c>
      <c r="D2157" s="55" t="s">
        <v>822</v>
      </c>
      <c r="E2157" s="67">
        <v>289800</v>
      </c>
      <c r="F2157" s="67">
        <v>3</v>
      </c>
      <c r="G2157" s="102">
        <v>869400</v>
      </c>
      <c r="H2157" s="56" t="s">
        <v>92</v>
      </c>
      <c r="K2157" s="56">
        <v>612</v>
      </c>
      <c r="L2157" s="55" t="s">
        <v>176</v>
      </c>
      <c r="M2157" s="55" t="s">
        <v>2824</v>
      </c>
      <c r="N2157" s="4" t="s">
        <v>177</v>
      </c>
      <c r="O2157" s="55" t="s">
        <v>178</v>
      </c>
    </row>
    <row r="2158" spans="2:15">
      <c r="B2158" s="20">
        <v>45231</v>
      </c>
      <c r="C2158" s="59">
        <v>50272278</v>
      </c>
      <c r="D2158" s="55" t="s">
        <v>21</v>
      </c>
      <c r="E2158" s="67">
        <v>500</v>
      </c>
      <c r="F2158" s="67">
        <v>22</v>
      </c>
      <c r="G2158" s="102">
        <v>11000</v>
      </c>
      <c r="H2158" s="56" t="s">
        <v>92</v>
      </c>
      <c r="K2158" s="56">
        <v>613</v>
      </c>
      <c r="L2158" s="55" t="s">
        <v>176</v>
      </c>
      <c r="M2158" s="55" t="s">
        <v>2824</v>
      </c>
      <c r="N2158" s="4" t="s">
        <v>177</v>
      </c>
      <c r="O2158" s="55" t="s">
        <v>178</v>
      </c>
    </row>
    <row r="2159" spans="2:15">
      <c r="B2159" s="20">
        <v>45231</v>
      </c>
      <c r="C2159" s="59">
        <v>50470190</v>
      </c>
      <c r="D2159" s="55" t="s">
        <v>12</v>
      </c>
      <c r="E2159" s="67">
        <v>2898000</v>
      </c>
      <c r="F2159" s="67">
        <v>7</v>
      </c>
      <c r="G2159" s="102">
        <v>2028600</v>
      </c>
      <c r="H2159" s="56" t="s">
        <v>92</v>
      </c>
      <c r="K2159" s="56">
        <v>614</v>
      </c>
      <c r="L2159" s="55" t="s">
        <v>176</v>
      </c>
      <c r="M2159" s="55" t="s">
        <v>2824</v>
      </c>
      <c r="N2159" s="4" t="s">
        <v>177</v>
      </c>
      <c r="O2159" s="55" t="s">
        <v>178</v>
      </c>
    </row>
    <row r="2160" spans="2:15">
      <c r="B2160" s="20">
        <v>45231</v>
      </c>
      <c r="C2160" s="59">
        <v>50812974</v>
      </c>
      <c r="D2160" s="55" t="s">
        <v>822</v>
      </c>
      <c r="E2160" s="67">
        <v>289800</v>
      </c>
      <c r="F2160" s="67">
        <v>6</v>
      </c>
      <c r="G2160" s="102">
        <v>1738800</v>
      </c>
      <c r="H2160" s="56" t="s">
        <v>92</v>
      </c>
      <c r="K2160" s="56">
        <v>614</v>
      </c>
      <c r="L2160" s="55" t="s">
        <v>176</v>
      </c>
      <c r="M2160" s="55" t="s">
        <v>2824</v>
      </c>
      <c r="N2160" s="4" t="s">
        <v>177</v>
      </c>
      <c r="O2160" s="55" t="s">
        <v>178</v>
      </c>
    </row>
    <row r="2161" spans="2:15">
      <c r="B2161" s="20">
        <v>45231</v>
      </c>
      <c r="C2161" s="59">
        <v>50809146</v>
      </c>
      <c r="D2161" s="55" t="s">
        <v>1030</v>
      </c>
      <c r="E2161" s="67">
        <v>456</v>
      </c>
      <c r="F2161" s="67">
        <v>2</v>
      </c>
      <c r="G2161" s="102">
        <v>954.59</v>
      </c>
      <c r="H2161" s="56" t="s">
        <v>82</v>
      </c>
      <c r="K2161" s="56">
        <v>614</v>
      </c>
      <c r="L2161" s="55" t="s">
        <v>176</v>
      </c>
      <c r="M2161" s="55" t="s">
        <v>2824</v>
      </c>
      <c r="N2161" s="4" t="s">
        <v>177</v>
      </c>
      <c r="O2161" s="55" t="s">
        <v>178</v>
      </c>
    </row>
    <row r="2162" spans="2:15">
      <c r="B2162" s="20">
        <v>45231</v>
      </c>
      <c r="C2162" s="59">
        <v>50809147</v>
      </c>
      <c r="D2162" s="55" t="s">
        <v>930</v>
      </c>
      <c r="E2162" s="67">
        <v>555</v>
      </c>
      <c r="F2162" s="67">
        <v>4</v>
      </c>
      <c r="G2162" s="102">
        <v>2025.45</v>
      </c>
      <c r="H2162" s="56" t="s">
        <v>82</v>
      </c>
      <c r="K2162" s="56">
        <v>614</v>
      </c>
      <c r="L2162" s="55" t="s">
        <v>176</v>
      </c>
      <c r="M2162" s="55" t="s">
        <v>2824</v>
      </c>
      <c r="N2162" s="4" t="s">
        <v>177</v>
      </c>
      <c r="O2162" s="55" t="s">
        <v>178</v>
      </c>
    </row>
    <row r="2163" spans="2:15">
      <c r="B2163" s="20">
        <v>45231</v>
      </c>
      <c r="C2163" s="59">
        <v>50010080</v>
      </c>
      <c r="D2163" s="55" t="s">
        <v>354</v>
      </c>
      <c r="E2163" s="67">
        <v>1000</v>
      </c>
      <c r="F2163" s="67">
        <v>2</v>
      </c>
      <c r="G2163" s="102">
        <v>2000</v>
      </c>
      <c r="H2163" s="56" t="s">
        <v>82</v>
      </c>
      <c r="K2163" s="56">
        <v>615</v>
      </c>
      <c r="L2163" s="55" t="s">
        <v>176</v>
      </c>
      <c r="M2163" s="55" t="s">
        <v>2824</v>
      </c>
      <c r="N2163" s="4" t="s">
        <v>177</v>
      </c>
      <c r="O2163" s="55" t="s">
        <v>178</v>
      </c>
    </row>
    <row r="2164" spans="2:15">
      <c r="B2164" s="20">
        <v>45231</v>
      </c>
      <c r="C2164" s="59">
        <v>50142330</v>
      </c>
      <c r="D2164" s="55" t="s">
        <v>195</v>
      </c>
      <c r="E2164" s="67">
        <v>355</v>
      </c>
      <c r="F2164" s="67">
        <v>3</v>
      </c>
      <c r="G2164" s="102">
        <v>1077.84</v>
      </c>
      <c r="H2164" s="56" t="s">
        <v>82</v>
      </c>
      <c r="K2164" s="56">
        <v>615</v>
      </c>
      <c r="L2164" s="55" t="s">
        <v>176</v>
      </c>
      <c r="M2164" s="55" t="s">
        <v>2824</v>
      </c>
      <c r="N2164" s="4" t="s">
        <v>177</v>
      </c>
      <c r="O2164" s="55" t="s">
        <v>178</v>
      </c>
    </row>
    <row r="2165" spans="2:15">
      <c r="B2165" s="20">
        <v>45231</v>
      </c>
      <c r="C2165" s="59">
        <v>50809147</v>
      </c>
      <c r="D2165" s="55" t="s">
        <v>930</v>
      </c>
      <c r="E2165" s="67">
        <v>511</v>
      </c>
      <c r="F2165" s="67">
        <v>4</v>
      </c>
      <c r="G2165" s="102">
        <v>2020.4</v>
      </c>
      <c r="H2165" s="56" t="s">
        <v>82</v>
      </c>
      <c r="K2165" s="56">
        <v>615</v>
      </c>
      <c r="L2165" s="55" t="s">
        <v>176</v>
      </c>
      <c r="M2165" s="55" t="s">
        <v>2824</v>
      </c>
      <c r="N2165" s="4" t="s">
        <v>177</v>
      </c>
      <c r="O2165" s="55" t="s">
        <v>178</v>
      </c>
    </row>
    <row r="2166" spans="2:15">
      <c r="B2166" s="20">
        <v>45231</v>
      </c>
      <c r="C2166" s="59">
        <v>50145029</v>
      </c>
      <c r="D2166" s="55" t="s">
        <v>705</v>
      </c>
      <c r="E2166" s="67">
        <v>36</v>
      </c>
      <c r="G2166" s="102">
        <v>36</v>
      </c>
      <c r="H2166" s="56" t="s">
        <v>505</v>
      </c>
      <c r="K2166" s="56">
        <v>615</v>
      </c>
      <c r="L2166" s="55" t="s">
        <v>176</v>
      </c>
      <c r="M2166" s="55" t="s">
        <v>2824</v>
      </c>
      <c r="N2166" s="4" t="s">
        <v>177</v>
      </c>
      <c r="O2166" s="55" t="s">
        <v>178</v>
      </c>
    </row>
    <row r="2167" spans="2:15">
      <c r="B2167" s="20">
        <v>45231</v>
      </c>
      <c r="C2167" s="59">
        <v>50392045</v>
      </c>
      <c r="D2167" s="55" t="s">
        <v>707</v>
      </c>
      <c r="E2167" s="67">
        <v>18</v>
      </c>
      <c r="G2167" s="102">
        <v>18</v>
      </c>
      <c r="H2167" s="56" t="s">
        <v>505</v>
      </c>
      <c r="K2167" s="56">
        <v>615</v>
      </c>
      <c r="L2167" s="55" t="s">
        <v>176</v>
      </c>
      <c r="M2167" s="55" t="s">
        <v>2824</v>
      </c>
      <c r="N2167" s="4" t="s">
        <v>177</v>
      </c>
      <c r="O2167" s="55" t="s">
        <v>178</v>
      </c>
    </row>
    <row r="2168" spans="2:15">
      <c r="B2168" s="20">
        <v>45231</v>
      </c>
      <c r="C2168" s="59">
        <v>50509889</v>
      </c>
      <c r="D2168" s="55" t="s">
        <v>671</v>
      </c>
      <c r="E2168" s="67">
        <v>264000</v>
      </c>
      <c r="F2168" s="67">
        <v>2</v>
      </c>
      <c r="G2168" s="102">
        <v>528000</v>
      </c>
      <c r="H2168" s="56" t="s">
        <v>92</v>
      </c>
      <c r="K2168" s="56">
        <v>615</v>
      </c>
      <c r="L2168" s="55" t="s">
        <v>176</v>
      </c>
      <c r="M2168" s="55" t="s">
        <v>2824</v>
      </c>
      <c r="N2168" s="4" t="s">
        <v>177</v>
      </c>
      <c r="O2168" s="55" t="s">
        <v>178</v>
      </c>
    </row>
    <row r="2169" spans="2:15">
      <c r="B2169" s="20">
        <v>45231</v>
      </c>
      <c r="C2169" s="59">
        <v>50142327</v>
      </c>
      <c r="D2169" s="55" t="s">
        <v>256</v>
      </c>
      <c r="E2169" s="67">
        <v>681</v>
      </c>
      <c r="F2169" s="67">
        <v>4</v>
      </c>
      <c r="G2169" s="102">
        <v>2724</v>
      </c>
      <c r="H2169" s="56" t="s">
        <v>82</v>
      </c>
      <c r="K2169" s="56">
        <v>615</v>
      </c>
      <c r="L2169" s="55" t="s">
        <v>176</v>
      </c>
      <c r="M2169" s="55" t="s">
        <v>2824</v>
      </c>
      <c r="N2169" s="4" t="s">
        <v>177</v>
      </c>
      <c r="O2169" s="55" t="s">
        <v>178</v>
      </c>
    </row>
    <row r="2170" spans="2:15">
      <c r="B2170" s="20">
        <v>45231</v>
      </c>
      <c r="C2170" s="59">
        <v>50142334</v>
      </c>
      <c r="D2170" s="55" t="s">
        <v>257</v>
      </c>
      <c r="E2170" s="67">
        <v>681</v>
      </c>
      <c r="F2170" s="67">
        <v>5</v>
      </c>
      <c r="G2170" s="102">
        <v>3405</v>
      </c>
      <c r="H2170" s="56" t="s">
        <v>82</v>
      </c>
      <c r="K2170" s="56">
        <v>615</v>
      </c>
      <c r="L2170" s="55" t="s">
        <v>176</v>
      </c>
      <c r="M2170" s="55" t="s">
        <v>2824</v>
      </c>
      <c r="N2170" s="4" t="s">
        <v>177</v>
      </c>
      <c r="O2170" s="55" t="s">
        <v>178</v>
      </c>
    </row>
    <row r="2171" spans="2:15">
      <c r="B2171" s="20">
        <v>45231</v>
      </c>
      <c r="C2171" s="59">
        <v>50145012</v>
      </c>
      <c r="D2171" s="55" t="s">
        <v>504</v>
      </c>
      <c r="E2171" s="67">
        <v>18</v>
      </c>
      <c r="G2171" s="102">
        <v>18</v>
      </c>
      <c r="H2171" s="56" t="s">
        <v>505</v>
      </c>
      <c r="K2171" s="56">
        <v>615</v>
      </c>
      <c r="L2171" s="55" t="s">
        <v>176</v>
      </c>
      <c r="M2171" s="55" t="s">
        <v>2824</v>
      </c>
      <c r="N2171" s="4" t="s">
        <v>177</v>
      </c>
      <c r="O2171" s="55" t="s">
        <v>178</v>
      </c>
    </row>
    <row r="2172" spans="2:15">
      <c r="B2172" s="20">
        <v>45231</v>
      </c>
      <c r="C2172" s="59">
        <v>50392046</v>
      </c>
      <c r="D2172" s="55" t="s">
        <v>509</v>
      </c>
      <c r="E2172" s="67">
        <v>12</v>
      </c>
      <c r="G2172" s="102">
        <v>12</v>
      </c>
      <c r="H2172" s="99" t="s">
        <v>505</v>
      </c>
      <c r="K2172" s="56">
        <v>615</v>
      </c>
      <c r="L2172" s="55" t="s">
        <v>176</v>
      </c>
      <c r="M2172" s="55" t="s">
        <v>2824</v>
      </c>
      <c r="N2172" s="4" t="s">
        <v>177</v>
      </c>
      <c r="O2172" s="55" t="s">
        <v>178</v>
      </c>
    </row>
    <row r="2173" spans="2:15">
      <c r="B2173" s="20">
        <v>45232</v>
      </c>
      <c r="C2173" s="59">
        <v>50272278</v>
      </c>
      <c r="D2173" s="55" t="s">
        <v>21</v>
      </c>
      <c r="E2173" s="67">
        <v>500</v>
      </c>
      <c r="F2173" s="67">
        <v>22</v>
      </c>
      <c r="G2173" s="102">
        <v>11000</v>
      </c>
      <c r="H2173" s="56" t="s">
        <v>92</v>
      </c>
      <c r="K2173" s="56">
        <v>616</v>
      </c>
      <c r="L2173" s="55" t="s">
        <v>176</v>
      </c>
      <c r="M2173" s="55" t="s">
        <v>2824</v>
      </c>
      <c r="N2173" s="4" t="s">
        <v>177</v>
      </c>
      <c r="O2173" s="55" t="s">
        <v>178</v>
      </c>
    </row>
    <row r="2174" spans="2:15">
      <c r="B2174" s="20">
        <v>45232</v>
      </c>
      <c r="C2174" s="59">
        <v>50142055</v>
      </c>
      <c r="D2174" s="55" t="s">
        <v>206</v>
      </c>
      <c r="E2174" s="67">
        <v>600</v>
      </c>
      <c r="F2174" s="67">
        <v>4</v>
      </c>
      <c r="G2174" s="102">
        <v>2400</v>
      </c>
      <c r="H2174" s="56" t="s">
        <v>82</v>
      </c>
      <c r="K2174" s="56">
        <v>617</v>
      </c>
      <c r="L2174" s="55" t="s">
        <v>176</v>
      </c>
      <c r="M2174" s="55" t="s">
        <v>2824</v>
      </c>
      <c r="N2174" s="4" t="s">
        <v>177</v>
      </c>
      <c r="O2174" s="55" t="s">
        <v>178</v>
      </c>
    </row>
    <row r="2175" spans="2:15">
      <c r="B2175" s="20">
        <v>45232</v>
      </c>
      <c r="C2175" s="59">
        <v>50272278</v>
      </c>
      <c r="D2175" s="55" t="s">
        <v>21</v>
      </c>
      <c r="E2175" s="67">
        <v>500</v>
      </c>
      <c r="F2175" s="67">
        <v>5</v>
      </c>
      <c r="G2175" s="102">
        <v>2500</v>
      </c>
      <c r="H2175" s="56" t="s">
        <v>92</v>
      </c>
      <c r="K2175" s="56">
        <v>617</v>
      </c>
      <c r="L2175" s="55" t="s">
        <v>176</v>
      </c>
      <c r="M2175" s="55" t="s">
        <v>2824</v>
      </c>
      <c r="N2175" s="4" t="s">
        <v>177</v>
      </c>
      <c r="O2175" s="55" t="s">
        <v>178</v>
      </c>
    </row>
    <row r="2176" spans="2:15">
      <c r="B2176" s="20">
        <v>45232</v>
      </c>
      <c r="C2176" s="59">
        <v>50171162</v>
      </c>
      <c r="D2176" s="55" t="s">
        <v>741</v>
      </c>
      <c r="E2176" s="67">
        <v>640</v>
      </c>
      <c r="F2176" s="67">
        <v>13</v>
      </c>
      <c r="G2176" s="102">
        <v>8200</v>
      </c>
      <c r="H2176" s="56" t="s">
        <v>898</v>
      </c>
      <c r="K2176" s="56">
        <v>617</v>
      </c>
      <c r="L2176" s="55" t="s">
        <v>176</v>
      </c>
      <c r="M2176" s="55" t="s">
        <v>2824</v>
      </c>
      <c r="N2176" s="4" t="s">
        <v>177</v>
      </c>
      <c r="O2176" s="55" t="s">
        <v>178</v>
      </c>
    </row>
    <row r="2177" spans="2:15">
      <c r="B2177" s="20">
        <v>45233</v>
      </c>
      <c r="C2177" s="59">
        <v>50470190</v>
      </c>
      <c r="D2177" s="55" t="s">
        <v>12</v>
      </c>
      <c r="E2177" s="67">
        <v>289800</v>
      </c>
      <c r="F2177" s="67">
        <v>18</v>
      </c>
      <c r="G2177" s="102">
        <v>5216400</v>
      </c>
      <c r="H2177" s="56" t="s">
        <v>92</v>
      </c>
      <c r="K2177" s="56">
        <v>618</v>
      </c>
      <c r="L2177" s="55" t="s">
        <v>176</v>
      </c>
      <c r="M2177" s="55" t="s">
        <v>2824</v>
      </c>
      <c r="N2177" s="4" t="s">
        <v>177</v>
      </c>
      <c r="O2177" s="55" t="s">
        <v>178</v>
      </c>
    </row>
    <row r="2178" spans="2:15">
      <c r="B2178" s="20">
        <v>45233</v>
      </c>
      <c r="C2178" s="59">
        <v>50809147</v>
      </c>
      <c r="D2178" s="55" t="s">
        <v>930</v>
      </c>
      <c r="E2178" s="67">
        <v>456</v>
      </c>
      <c r="F2178" s="67">
        <v>7</v>
      </c>
      <c r="G2178" s="102">
        <v>3495.1</v>
      </c>
      <c r="H2178" s="56" t="s">
        <v>82</v>
      </c>
      <c r="K2178" s="56">
        <v>619</v>
      </c>
      <c r="L2178" s="55" t="s">
        <v>176</v>
      </c>
      <c r="M2178" s="55" t="s">
        <v>2824</v>
      </c>
      <c r="N2178" s="4" t="s">
        <v>177</v>
      </c>
      <c r="O2178" s="55" t="s">
        <v>178</v>
      </c>
    </row>
    <row r="2179" spans="2:15">
      <c r="B2179" s="20">
        <v>45233</v>
      </c>
      <c r="C2179" s="59">
        <v>50813995</v>
      </c>
      <c r="D2179" s="55" t="s">
        <v>960</v>
      </c>
      <c r="E2179" s="67">
        <v>487</v>
      </c>
      <c r="F2179" s="67">
        <v>6</v>
      </c>
      <c r="G2179" s="102">
        <v>2910.05</v>
      </c>
      <c r="H2179" s="56" t="s">
        <v>82</v>
      </c>
      <c r="K2179" s="56">
        <v>619</v>
      </c>
      <c r="L2179" s="55" t="s">
        <v>176</v>
      </c>
      <c r="M2179" s="55" t="s">
        <v>2824</v>
      </c>
      <c r="N2179" s="4" t="s">
        <v>177</v>
      </c>
      <c r="O2179" s="55" t="s">
        <v>178</v>
      </c>
    </row>
    <row r="2180" spans="2:15">
      <c r="B2180" s="20">
        <v>45233</v>
      </c>
      <c r="C2180" s="59">
        <v>50272278</v>
      </c>
      <c r="D2180" s="55" t="s">
        <v>21</v>
      </c>
      <c r="E2180" s="67">
        <v>500</v>
      </c>
      <c r="F2180" s="67">
        <v>8</v>
      </c>
      <c r="G2180" s="102">
        <v>4000</v>
      </c>
      <c r="H2180" s="56" t="s">
        <v>92</v>
      </c>
      <c r="K2180" s="56">
        <v>619</v>
      </c>
      <c r="L2180" s="55" t="s">
        <v>176</v>
      </c>
      <c r="M2180" s="55" t="s">
        <v>2824</v>
      </c>
      <c r="N2180" s="4" t="s">
        <v>177</v>
      </c>
      <c r="O2180" s="55" t="s">
        <v>178</v>
      </c>
    </row>
    <row r="2181" spans="2:15">
      <c r="B2181" s="20">
        <v>45233</v>
      </c>
      <c r="C2181" s="59">
        <v>20060993</v>
      </c>
      <c r="D2181" s="55" t="s">
        <v>1037</v>
      </c>
      <c r="E2181" s="67">
        <v>480</v>
      </c>
      <c r="F2181" s="67">
        <v>1</v>
      </c>
      <c r="G2181" s="102">
        <v>480</v>
      </c>
      <c r="H2181" s="56" t="s">
        <v>82</v>
      </c>
      <c r="K2181" s="56">
        <v>619</v>
      </c>
      <c r="L2181" s="55" t="s">
        <v>176</v>
      </c>
      <c r="M2181" s="55" t="s">
        <v>2824</v>
      </c>
      <c r="N2181" s="4" t="s">
        <v>177</v>
      </c>
      <c r="O2181" s="55" t="s">
        <v>178</v>
      </c>
    </row>
    <row r="2182" spans="2:15">
      <c r="B2182" s="20">
        <v>45236</v>
      </c>
      <c r="C2182" s="59">
        <v>50272278</v>
      </c>
      <c r="D2182" s="55" t="s">
        <v>21</v>
      </c>
      <c r="E2182" s="67">
        <v>500</v>
      </c>
      <c r="F2182" s="67">
        <v>22</v>
      </c>
      <c r="G2182" s="102">
        <v>11000</v>
      </c>
      <c r="H2182" s="56" t="s">
        <v>92</v>
      </c>
      <c r="K2182" s="56">
        <v>620</v>
      </c>
      <c r="L2182" s="55" t="s">
        <v>176</v>
      </c>
      <c r="M2182" s="55" t="s">
        <v>2824</v>
      </c>
      <c r="N2182" s="4" t="s">
        <v>177</v>
      </c>
      <c r="O2182" s="55" t="s">
        <v>178</v>
      </c>
    </row>
    <row r="2183" spans="2:15">
      <c r="B2183" s="20">
        <v>45236</v>
      </c>
      <c r="C2183" s="59">
        <v>50010080</v>
      </c>
      <c r="D2183" s="55" t="s">
        <v>354</v>
      </c>
      <c r="E2183" s="67">
        <v>1000</v>
      </c>
      <c r="F2183" s="67">
        <v>3</v>
      </c>
      <c r="G2183" s="102">
        <v>3000</v>
      </c>
      <c r="H2183" s="56" t="s">
        <v>82</v>
      </c>
      <c r="K2183" s="56">
        <v>621</v>
      </c>
      <c r="L2183" s="55" t="s">
        <v>176</v>
      </c>
      <c r="M2183" s="55" t="s">
        <v>2824</v>
      </c>
      <c r="N2183" s="4" t="s">
        <v>177</v>
      </c>
      <c r="O2183" s="55" t="s">
        <v>178</v>
      </c>
    </row>
    <row r="2184" spans="2:15">
      <c r="B2184" s="20">
        <v>45236</v>
      </c>
      <c r="C2184" s="59">
        <v>50142237</v>
      </c>
      <c r="D2184" s="55" t="s">
        <v>617</v>
      </c>
      <c r="E2184" s="67">
        <v>1000</v>
      </c>
      <c r="G2184" s="102">
        <v>10000</v>
      </c>
      <c r="H2184" s="56" t="s">
        <v>92</v>
      </c>
      <c r="K2184" s="56">
        <v>621</v>
      </c>
      <c r="L2184" s="55" t="s">
        <v>176</v>
      </c>
      <c r="M2184" s="55" t="s">
        <v>2824</v>
      </c>
      <c r="N2184" s="4" t="s">
        <v>177</v>
      </c>
      <c r="O2184" s="55" t="s">
        <v>178</v>
      </c>
    </row>
    <row r="2185" spans="2:15">
      <c r="B2185" s="20">
        <v>45236</v>
      </c>
      <c r="C2185" s="59">
        <v>50144200</v>
      </c>
      <c r="D2185" s="55" t="s">
        <v>184</v>
      </c>
      <c r="E2185" s="67">
        <v>264000</v>
      </c>
      <c r="F2185" s="67">
        <v>3</v>
      </c>
      <c r="G2185" s="102">
        <v>792000</v>
      </c>
      <c r="H2185" s="56" t="s">
        <v>92</v>
      </c>
      <c r="K2185" s="56">
        <v>621</v>
      </c>
      <c r="L2185" s="55" t="s">
        <v>176</v>
      </c>
      <c r="M2185" s="55" t="s">
        <v>2824</v>
      </c>
      <c r="N2185" s="4" t="s">
        <v>177</v>
      </c>
      <c r="O2185" s="55" t="s">
        <v>178</v>
      </c>
    </row>
    <row r="2186" spans="2:15">
      <c r="B2186" s="20">
        <v>45236</v>
      </c>
      <c r="C2186" s="59">
        <v>50470190</v>
      </c>
      <c r="D2186" s="55" t="s">
        <v>12</v>
      </c>
      <c r="E2186" s="67">
        <v>289800</v>
      </c>
      <c r="F2186" s="67">
        <v>7</v>
      </c>
      <c r="G2186" s="102">
        <v>2028600</v>
      </c>
      <c r="H2186" s="56" t="s">
        <v>92</v>
      </c>
      <c r="K2186" s="56">
        <v>621</v>
      </c>
      <c r="L2186" s="55" t="s">
        <v>176</v>
      </c>
      <c r="M2186" s="55" t="s">
        <v>2824</v>
      </c>
      <c r="N2186" s="4" t="s">
        <v>177</v>
      </c>
      <c r="O2186" s="55" t="s">
        <v>178</v>
      </c>
    </row>
    <row r="2187" spans="2:15">
      <c r="B2187" s="20">
        <v>45236</v>
      </c>
      <c r="C2187" s="59">
        <v>50142350</v>
      </c>
      <c r="D2187" s="55" t="s">
        <v>212</v>
      </c>
      <c r="E2187" s="67">
        <v>734.5</v>
      </c>
      <c r="F2187" s="67">
        <v>3</v>
      </c>
      <c r="G2187" s="102">
        <v>2203.5</v>
      </c>
      <c r="H2187" s="56" t="s">
        <v>82</v>
      </c>
      <c r="K2187" s="56">
        <v>621</v>
      </c>
      <c r="L2187" s="55" t="s">
        <v>176</v>
      </c>
      <c r="M2187" s="55" t="s">
        <v>2824</v>
      </c>
      <c r="N2187" s="4" t="s">
        <v>177</v>
      </c>
      <c r="O2187" s="55" t="s">
        <v>178</v>
      </c>
    </row>
    <row r="2188" spans="2:15">
      <c r="B2188" s="20">
        <v>45237</v>
      </c>
      <c r="C2188" s="59">
        <v>50470190</v>
      </c>
      <c r="D2188" s="55" t="s">
        <v>12</v>
      </c>
      <c r="E2188" s="67">
        <v>289800</v>
      </c>
      <c r="F2188" s="67">
        <v>18</v>
      </c>
      <c r="G2188" s="102">
        <v>5216400</v>
      </c>
      <c r="H2188" s="56" t="s">
        <v>92</v>
      </c>
      <c r="K2188" s="56">
        <v>622</v>
      </c>
      <c r="L2188" s="55" t="s">
        <v>176</v>
      </c>
      <c r="M2188" s="55" t="s">
        <v>2824</v>
      </c>
      <c r="N2188" s="4" t="s">
        <v>177</v>
      </c>
      <c r="O2188" s="55" t="s">
        <v>178</v>
      </c>
    </row>
    <row r="2189" spans="2:15">
      <c r="B2189" s="20">
        <v>45237</v>
      </c>
      <c r="C2189" s="59">
        <v>50144376</v>
      </c>
      <c r="D2189" s="55" t="s">
        <v>19</v>
      </c>
      <c r="E2189" s="67">
        <v>500</v>
      </c>
      <c r="F2189" s="67">
        <v>22</v>
      </c>
      <c r="G2189" s="102">
        <v>11000</v>
      </c>
      <c r="H2189" s="56" t="s">
        <v>92</v>
      </c>
      <c r="K2189" s="56">
        <v>623</v>
      </c>
      <c r="L2189" s="55" t="s">
        <v>176</v>
      </c>
      <c r="M2189" s="55" t="s">
        <v>2824</v>
      </c>
      <c r="N2189" s="4" t="s">
        <v>177</v>
      </c>
      <c r="O2189" s="55" t="s">
        <v>178</v>
      </c>
    </row>
    <row r="2190" spans="2:15">
      <c r="B2190" s="20">
        <v>45238</v>
      </c>
      <c r="C2190" s="59">
        <v>50141786</v>
      </c>
      <c r="D2190" s="55" t="s">
        <v>188</v>
      </c>
      <c r="E2190" s="67">
        <v>560</v>
      </c>
      <c r="F2190" s="67">
        <v>7</v>
      </c>
      <c r="G2190" s="102">
        <v>3920</v>
      </c>
      <c r="H2190" s="56" t="s">
        <v>82</v>
      </c>
      <c r="K2190" s="56">
        <v>624</v>
      </c>
      <c r="L2190" s="55" t="s">
        <v>176</v>
      </c>
      <c r="M2190" s="55" t="s">
        <v>2824</v>
      </c>
      <c r="N2190" s="4" t="s">
        <v>177</v>
      </c>
      <c r="O2190" s="55" t="s">
        <v>178</v>
      </c>
    </row>
    <row r="2191" spans="2:15">
      <c r="B2191" s="20">
        <v>45238</v>
      </c>
      <c r="C2191" s="59">
        <v>50010080</v>
      </c>
      <c r="D2191" s="55" t="s">
        <v>354</v>
      </c>
      <c r="E2191" s="67">
        <v>1000</v>
      </c>
      <c r="F2191" s="67">
        <v>3</v>
      </c>
      <c r="G2191" s="102">
        <v>3000</v>
      </c>
      <c r="H2191" s="56" t="s">
        <v>82</v>
      </c>
      <c r="K2191" s="56">
        <v>624</v>
      </c>
      <c r="L2191" s="55" t="s">
        <v>176</v>
      </c>
      <c r="M2191" s="55" t="s">
        <v>2824</v>
      </c>
      <c r="N2191" s="4" t="s">
        <v>177</v>
      </c>
      <c r="O2191" s="55" t="s">
        <v>178</v>
      </c>
    </row>
    <row r="2192" spans="2:15">
      <c r="B2192" s="20">
        <v>45238</v>
      </c>
      <c r="C2192" s="59">
        <v>50337814</v>
      </c>
      <c r="D2192" s="55" t="s">
        <v>669</v>
      </c>
      <c r="E2192" s="67">
        <v>264</v>
      </c>
      <c r="F2192" s="67">
        <v>2</v>
      </c>
      <c r="G2192" s="102">
        <v>484</v>
      </c>
      <c r="H2192" s="56" t="s">
        <v>80</v>
      </c>
      <c r="K2192" s="56">
        <v>624</v>
      </c>
      <c r="L2192" s="55" t="s">
        <v>176</v>
      </c>
      <c r="M2192" s="55" t="s">
        <v>2824</v>
      </c>
      <c r="N2192" s="4" t="s">
        <v>177</v>
      </c>
      <c r="O2192" s="55" t="s">
        <v>178</v>
      </c>
    </row>
    <row r="2193" spans="2:15">
      <c r="B2193" s="20">
        <v>45238</v>
      </c>
      <c r="C2193" s="59">
        <v>50470190</v>
      </c>
      <c r="D2193" s="55" t="s">
        <v>12</v>
      </c>
      <c r="E2193" s="67">
        <v>289800</v>
      </c>
      <c r="F2193" s="67">
        <v>2</v>
      </c>
      <c r="G2193" s="102">
        <v>579600</v>
      </c>
      <c r="H2193" s="56" t="s">
        <v>92</v>
      </c>
      <c r="K2193" s="56">
        <v>624</v>
      </c>
      <c r="L2193" s="55" t="s">
        <v>176</v>
      </c>
      <c r="M2193" s="55" t="s">
        <v>2824</v>
      </c>
      <c r="N2193" s="4" t="s">
        <v>177</v>
      </c>
      <c r="O2193" s="55" t="s">
        <v>178</v>
      </c>
    </row>
    <row r="2194" spans="2:15">
      <c r="B2194" s="20">
        <v>45238</v>
      </c>
      <c r="C2194" s="59">
        <v>50449101</v>
      </c>
      <c r="D2194" s="55" t="s">
        <v>237</v>
      </c>
      <c r="E2194" s="67">
        <v>289800</v>
      </c>
      <c r="F2194" s="67">
        <v>3</v>
      </c>
      <c r="G2194" s="102">
        <v>869400</v>
      </c>
      <c r="H2194" s="56" t="s">
        <v>92</v>
      </c>
      <c r="K2194" s="56">
        <v>624</v>
      </c>
      <c r="L2194" s="55" t="s">
        <v>176</v>
      </c>
      <c r="M2194" s="55" t="s">
        <v>2824</v>
      </c>
      <c r="N2194" s="4" t="s">
        <v>177</v>
      </c>
      <c r="O2194" s="55" t="s">
        <v>178</v>
      </c>
    </row>
    <row r="2195" spans="2:15">
      <c r="B2195" s="20">
        <v>45238</v>
      </c>
      <c r="C2195" s="59">
        <v>50812974</v>
      </c>
      <c r="D2195" s="55" t="s">
        <v>822</v>
      </c>
      <c r="E2195" s="67">
        <v>289800</v>
      </c>
      <c r="F2195" s="67">
        <v>3</v>
      </c>
      <c r="G2195" s="102">
        <v>869400</v>
      </c>
      <c r="H2195" s="56" t="s">
        <v>92</v>
      </c>
      <c r="K2195" s="56">
        <v>624</v>
      </c>
      <c r="L2195" s="55" t="s">
        <v>176</v>
      </c>
      <c r="M2195" s="55" t="s">
        <v>2824</v>
      </c>
      <c r="N2195" s="4" t="s">
        <v>177</v>
      </c>
      <c r="O2195" s="55" t="s">
        <v>178</v>
      </c>
    </row>
    <row r="2196" spans="2:15">
      <c r="B2196" s="20">
        <v>45239</v>
      </c>
      <c r="C2196" s="59">
        <v>50272278</v>
      </c>
      <c r="D2196" s="55" t="s">
        <v>21</v>
      </c>
      <c r="E2196" s="67">
        <v>500</v>
      </c>
      <c r="F2196" s="67">
        <v>19</v>
      </c>
      <c r="G2196" s="102">
        <v>9500</v>
      </c>
      <c r="H2196" s="56" t="s">
        <v>92</v>
      </c>
      <c r="K2196" s="56">
        <v>625</v>
      </c>
      <c r="L2196" s="55" t="s">
        <v>176</v>
      </c>
      <c r="M2196" s="55" t="s">
        <v>2824</v>
      </c>
      <c r="N2196" s="4" t="s">
        <v>177</v>
      </c>
      <c r="O2196" s="55" t="s">
        <v>178</v>
      </c>
    </row>
    <row r="2197" spans="2:15">
      <c r="B2197" s="20">
        <v>45239</v>
      </c>
      <c r="C2197" s="59">
        <v>40499</v>
      </c>
      <c r="D2197" s="55" t="s">
        <v>316</v>
      </c>
      <c r="E2197" s="67">
        <v>10</v>
      </c>
      <c r="G2197" s="102">
        <v>10</v>
      </c>
      <c r="H2197" s="56" t="s">
        <v>92</v>
      </c>
      <c r="K2197" s="56">
        <v>625</v>
      </c>
      <c r="L2197" s="55" t="s">
        <v>176</v>
      </c>
      <c r="M2197" s="55" t="s">
        <v>2824</v>
      </c>
      <c r="N2197" s="4" t="s">
        <v>177</v>
      </c>
      <c r="O2197" s="55" t="s">
        <v>178</v>
      </c>
    </row>
    <row r="2198" spans="2:15">
      <c r="B2198" s="20">
        <v>45239</v>
      </c>
      <c r="C2198" s="59">
        <v>50272278</v>
      </c>
      <c r="D2198" s="55" t="s">
        <v>21</v>
      </c>
      <c r="E2198" s="67">
        <v>500</v>
      </c>
      <c r="F2198" s="67">
        <v>10</v>
      </c>
      <c r="G2198" s="102">
        <v>5000</v>
      </c>
      <c r="H2198" s="56" t="s">
        <v>92</v>
      </c>
      <c r="K2198" s="56">
        <v>626</v>
      </c>
      <c r="L2198" s="55" t="s">
        <v>176</v>
      </c>
      <c r="M2198" s="55" t="s">
        <v>2824</v>
      </c>
      <c r="N2198" s="4" t="s">
        <v>177</v>
      </c>
      <c r="O2198" s="55" t="s">
        <v>178</v>
      </c>
    </row>
    <row r="2199" spans="2:15">
      <c r="B2199" s="20">
        <v>45239</v>
      </c>
      <c r="C2199" s="59">
        <v>50470190</v>
      </c>
      <c r="D2199" s="55" t="s">
        <v>12</v>
      </c>
      <c r="E2199" s="67">
        <v>289800</v>
      </c>
      <c r="F2199" s="67">
        <v>9</v>
      </c>
      <c r="G2199" s="102">
        <v>2608200</v>
      </c>
      <c r="H2199" s="56" t="s">
        <v>92</v>
      </c>
      <c r="K2199" s="56">
        <v>626</v>
      </c>
      <c r="L2199" s="55" t="s">
        <v>176</v>
      </c>
      <c r="M2199" s="55" t="s">
        <v>2824</v>
      </c>
      <c r="N2199" s="4" t="s">
        <v>177</v>
      </c>
      <c r="O2199" s="55" t="s">
        <v>178</v>
      </c>
    </row>
    <row r="2200" spans="2:15">
      <c r="B2200" s="20">
        <v>45239</v>
      </c>
      <c r="C2200" s="59">
        <v>50812974</v>
      </c>
      <c r="D2200" s="55" t="s">
        <v>822</v>
      </c>
      <c r="E2200" s="67">
        <v>289800</v>
      </c>
      <c r="F2200" s="67">
        <v>1</v>
      </c>
      <c r="G2200" s="102">
        <v>289800</v>
      </c>
      <c r="H2200" s="56" t="s">
        <v>92</v>
      </c>
      <c r="K2200" s="56">
        <v>626</v>
      </c>
      <c r="L2200" s="55" t="s">
        <v>176</v>
      </c>
      <c r="M2200" s="55" t="s">
        <v>2824</v>
      </c>
      <c r="N2200" s="4" t="s">
        <v>177</v>
      </c>
      <c r="O2200" s="55" t="s">
        <v>178</v>
      </c>
    </row>
    <row r="2201" spans="2:15">
      <c r="B2201" s="20">
        <v>45240</v>
      </c>
      <c r="C2201" s="59">
        <v>50809147</v>
      </c>
      <c r="D2201" s="55" t="s">
        <v>930</v>
      </c>
      <c r="E2201" s="67">
        <v>487.54</v>
      </c>
      <c r="F2201" s="67">
        <v>1</v>
      </c>
      <c r="G2201" s="102">
        <v>487.54</v>
      </c>
      <c r="H2201" s="56" t="s">
        <v>82</v>
      </c>
      <c r="K2201" s="56">
        <v>627</v>
      </c>
      <c r="L2201" s="55" t="s">
        <v>176</v>
      </c>
      <c r="M2201" s="55" t="s">
        <v>2824</v>
      </c>
      <c r="N2201" s="4" t="s">
        <v>177</v>
      </c>
      <c r="O2201" s="55" t="s">
        <v>178</v>
      </c>
    </row>
    <row r="2202" spans="2:15">
      <c r="B2202" s="20">
        <v>45240</v>
      </c>
      <c r="C2202" s="59">
        <v>50272278</v>
      </c>
      <c r="D2202" s="55" t="s">
        <v>21</v>
      </c>
      <c r="E2202" s="67">
        <v>500</v>
      </c>
      <c r="F2202" s="67">
        <v>10</v>
      </c>
      <c r="G2202" s="102">
        <v>5000</v>
      </c>
      <c r="H2202" s="56" t="s">
        <v>92</v>
      </c>
      <c r="K2202" s="56">
        <v>627</v>
      </c>
      <c r="L2202" s="55" t="s">
        <v>176</v>
      </c>
      <c r="M2202" s="55" t="s">
        <v>2824</v>
      </c>
      <c r="N2202" s="4" t="s">
        <v>177</v>
      </c>
      <c r="O2202" s="55" t="s">
        <v>178</v>
      </c>
    </row>
    <row r="2203" spans="2:15">
      <c r="B2203" s="20">
        <v>45240</v>
      </c>
      <c r="C2203" s="59">
        <v>40011149</v>
      </c>
      <c r="D2203" s="55" t="s">
        <v>37</v>
      </c>
      <c r="E2203" s="67">
        <v>360</v>
      </c>
      <c r="F2203" s="67">
        <v>3</v>
      </c>
      <c r="G2203" s="102">
        <v>1080</v>
      </c>
      <c r="H2203" s="56" t="s">
        <v>80</v>
      </c>
      <c r="K2203" s="56">
        <v>627</v>
      </c>
      <c r="L2203" s="55" t="s">
        <v>176</v>
      </c>
      <c r="M2203" s="55" t="s">
        <v>2824</v>
      </c>
      <c r="N2203" s="4" t="s">
        <v>177</v>
      </c>
      <c r="O2203" s="55" t="s">
        <v>178</v>
      </c>
    </row>
    <row r="2204" spans="2:15">
      <c r="B2204" s="20">
        <v>45240</v>
      </c>
      <c r="C2204" s="59">
        <v>50142327</v>
      </c>
      <c r="D2204" s="55" t="s">
        <v>256</v>
      </c>
      <c r="E2204" s="67">
        <v>681</v>
      </c>
      <c r="F2204" s="67">
        <v>2</v>
      </c>
      <c r="G2204" s="102">
        <v>1362</v>
      </c>
      <c r="H2204" s="56" t="s">
        <v>82</v>
      </c>
      <c r="K2204" s="56">
        <v>627</v>
      </c>
      <c r="L2204" s="55" t="s">
        <v>176</v>
      </c>
      <c r="M2204" s="55" t="s">
        <v>2824</v>
      </c>
      <c r="N2204" s="4" t="s">
        <v>177</v>
      </c>
      <c r="O2204" s="55" t="s">
        <v>178</v>
      </c>
    </row>
    <row r="2205" spans="2:15">
      <c r="B2205" s="20">
        <v>45240</v>
      </c>
      <c r="C2205" s="59">
        <v>50804929</v>
      </c>
      <c r="D2205" s="55" t="s">
        <v>856</v>
      </c>
      <c r="E2205" s="67">
        <v>504000</v>
      </c>
      <c r="F2205" s="67">
        <v>2</v>
      </c>
      <c r="G2205" s="102">
        <v>1008000</v>
      </c>
      <c r="H2205" s="56" t="s">
        <v>92</v>
      </c>
      <c r="K2205" s="56">
        <v>627</v>
      </c>
      <c r="L2205" s="55" t="s">
        <v>176</v>
      </c>
      <c r="M2205" s="55" t="s">
        <v>2824</v>
      </c>
      <c r="N2205" s="4" t="s">
        <v>177</v>
      </c>
      <c r="O2205" s="55" t="s">
        <v>178</v>
      </c>
    </row>
    <row r="2206" spans="2:15">
      <c r="B2206" s="20">
        <v>45240</v>
      </c>
      <c r="C2206" s="59">
        <v>50804970</v>
      </c>
      <c r="D2206" s="55" t="s">
        <v>857</v>
      </c>
      <c r="E2206" s="67">
        <v>3267000</v>
      </c>
      <c r="F2206" s="67">
        <v>1</v>
      </c>
      <c r="G2206" s="102">
        <v>3267000</v>
      </c>
      <c r="H2206" s="56" t="s">
        <v>92</v>
      </c>
      <c r="K2206" s="56">
        <v>627</v>
      </c>
      <c r="L2206" s="55" t="s">
        <v>176</v>
      </c>
      <c r="M2206" s="55" t="s">
        <v>2824</v>
      </c>
      <c r="N2206" s="4" t="s">
        <v>177</v>
      </c>
      <c r="O2206" s="55" t="s">
        <v>178</v>
      </c>
    </row>
    <row r="2207" spans="2:15">
      <c r="B2207" s="20">
        <v>45240</v>
      </c>
      <c r="C2207" s="59">
        <v>50804971</v>
      </c>
      <c r="D2207" s="55" t="s">
        <v>855</v>
      </c>
      <c r="E2207" s="67">
        <v>990000</v>
      </c>
      <c r="F2207" s="67">
        <v>3</v>
      </c>
      <c r="G2207" s="102">
        <v>2970000</v>
      </c>
      <c r="H2207" s="56" t="s">
        <v>92</v>
      </c>
      <c r="K2207" s="56">
        <v>627</v>
      </c>
      <c r="L2207" s="55" t="s">
        <v>176</v>
      </c>
      <c r="M2207" s="55" t="s">
        <v>2824</v>
      </c>
      <c r="N2207" s="4" t="s">
        <v>177</v>
      </c>
      <c r="O2207" s="55" t="s">
        <v>178</v>
      </c>
    </row>
    <row r="2208" spans="2:15">
      <c r="B2208" s="20">
        <v>45240</v>
      </c>
      <c r="C2208" s="59">
        <v>50010080</v>
      </c>
      <c r="D2208" s="55" t="s">
        <v>354</v>
      </c>
      <c r="E2208" s="67">
        <v>1000</v>
      </c>
      <c r="F2208" s="67">
        <v>3</v>
      </c>
      <c r="G2208" s="102">
        <v>3000</v>
      </c>
      <c r="H2208" s="56" t="s">
        <v>82</v>
      </c>
      <c r="K2208" s="56">
        <v>628</v>
      </c>
      <c r="L2208" s="55" t="s">
        <v>176</v>
      </c>
      <c r="M2208" s="55" t="s">
        <v>2824</v>
      </c>
      <c r="N2208" s="4" t="s">
        <v>177</v>
      </c>
      <c r="O2208" s="55" t="s">
        <v>178</v>
      </c>
    </row>
    <row r="2209" spans="2:15">
      <c r="B2209" s="20">
        <v>45240</v>
      </c>
      <c r="C2209" s="59">
        <v>50272278</v>
      </c>
      <c r="D2209" s="55" t="s">
        <v>21</v>
      </c>
      <c r="E2209" s="67">
        <v>500</v>
      </c>
      <c r="F2209" s="67">
        <v>1</v>
      </c>
      <c r="G2209" s="102">
        <v>500</v>
      </c>
      <c r="H2209" s="56" t="s">
        <v>92</v>
      </c>
      <c r="K2209" s="56">
        <v>628</v>
      </c>
      <c r="L2209" s="55" t="s">
        <v>176</v>
      </c>
      <c r="M2209" s="55" t="s">
        <v>2824</v>
      </c>
      <c r="N2209" s="4" t="s">
        <v>177</v>
      </c>
      <c r="O2209" s="55" t="s">
        <v>178</v>
      </c>
    </row>
    <row r="2210" spans="2:15">
      <c r="B2210" s="20">
        <v>45240</v>
      </c>
      <c r="C2210" s="59">
        <v>40009543</v>
      </c>
      <c r="D2210" s="55" t="s">
        <v>473</v>
      </c>
      <c r="E2210" s="67">
        <v>1680</v>
      </c>
      <c r="F2210" s="67">
        <v>1</v>
      </c>
      <c r="G2210" s="102">
        <v>1680</v>
      </c>
      <c r="H2210" s="56" t="s">
        <v>80</v>
      </c>
      <c r="K2210" s="56">
        <v>628</v>
      </c>
      <c r="L2210" s="55" t="s">
        <v>176</v>
      </c>
      <c r="M2210" s="55" t="s">
        <v>2824</v>
      </c>
      <c r="N2210" s="4" t="s">
        <v>177</v>
      </c>
      <c r="O2210" s="55" t="s">
        <v>178</v>
      </c>
    </row>
    <row r="2211" spans="2:15">
      <c r="B2211" s="20">
        <v>45240</v>
      </c>
      <c r="C2211" s="59">
        <v>50507916</v>
      </c>
      <c r="D2211" s="55" t="s">
        <v>406</v>
      </c>
      <c r="E2211" s="67">
        <v>264000</v>
      </c>
      <c r="F2211" s="67">
        <v>2</v>
      </c>
      <c r="G2211" s="102">
        <v>528000</v>
      </c>
      <c r="H2211" s="56" t="s">
        <v>92</v>
      </c>
      <c r="K2211" s="56">
        <v>628</v>
      </c>
      <c r="L2211" s="55" t="s">
        <v>176</v>
      </c>
      <c r="M2211" s="55" t="s">
        <v>2824</v>
      </c>
      <c r="N2211" s="4" t="s">
        <v>177</v>
      </c>
      <c r="O2211" s="55" t="s">
        <v>178</v>
      </c>
    </row>
    <row r="2212" spans="2:15">
      <c r="B2212" s="20">
        <v>45240</v>
      </c>
      <c r="C2212" s="59">
        <v>50337816</v>
      </c>
      <c r="D2212" s="55" t="s">
        <v>245</v>
      </c>
      <c r="E2212" s="67">
        <v>264</v>
      </c>
      <c r="F2212" s="67">
        <v>2</v>
      </c>
      <c r="G2212" s="102">
        <v>528</v>
      </c>
      <c r="H2212" s="56" t="s">
        <v>80</v>
      </c>
      <c r="K2212" s="56">
        <v>628</v>
      </c>
      <c r="L2212" s="55" t="s">
        <v>176</v>
      </c>
      <c r="M2212" s="55" t="s">
        <v>2824</v>
      </c>
      <c r="N2212" s="4" t="s">
        <v>177</v>
      </c>
      <c r="O2212" s="55" t="s">
        <v>178</v>
      </c>
    </row>
    <row r="2213" spans="2:15">
      <c r="B2213" s="20">
        <v>45240</v>
      </c>
      <c r="C2213" s="59">
        <v>50470190</v>
      </c>
      <c r="D2213" s="55" t="s">
        <v>12</v>
      </c>
      <c r="E2213" s="67">
        <v>289800</v>
      </c>
      <c r="F2213" s="67">
        <v>10</v>
      </c>
      <c r="G2213" s="102">
        <v>2898000</v>
      </c>
      <c r="H2213" s="56" t="s">
        <v>92</v>
      </c>
      <c r="K2213" s="56">
        <v>628</v>
      </c>
      <c r="L2213" s="55" t="s">
        <v>176</v>
      </c>
      <c r="M2213" s="55" t="s">
        <v>2824</v>
      </c>
      <c r="N2213" s="4" t="s">
        <v>177</v>
      </c>
      <c r="O2213" s="55" t="s">
        <v>178</v>
      </c>
    </row>
    <row r="2214" spans="2:15">
      <c r="B2214" s="20">
        <v>45243</v>
      </c>
      <c r="C2214" s="59">
        <v>50272278</v>
      </c>
      <c r="D2214" s="55" t="s">
        <v>21</v>
      </c>
      <c r="E2214" s="67">
        <v>500</v>
      </c>
      <c r="F2214" s="67">
        <v>22</v>
      </c>
      <c r="G2214" s="102">
        <v>11000</v>
      </c>
      <c r="H2214" s="56" t="s">
        <v>92</v>
      </c>
      <c r="K2214" s="56">
        <v>629</v>
      </c>
      <c r="L2214" s="55" t="s">
        <v>176</v>
      </c>
      <c r="M2214" s="55" t="s">
        <v>2824</v>
      </c>
      <c r="N2214" s="4" t="s">
        <v>177</v>
      </c>
      <c r="O2214" s="55" t="s">
        <v>178</v>
      </c>
    </row>
    <row r="2215" spans="2:15">
      <c r="B2215" s="20">
        <v>45243</v>
      </c>
      <c r="C2215" s="59">
        <v>50272278</v>
      </c>
      <c r="D2215" s="55" t="s">
        <v>21</v>
      </c>
      <c r="E2215" s="67">
        <v>750</v>
      </c>
      <c r="F2215" s="67">
        <v>12</v>
      </c>
      <c r="G2215" s="102">
        <v>6000</v>
      </c>
      <c r="H2215" s="56" t="s">
        <v>92</v>
      </c>
      <c r="K2215" s="56">
        <v>630</v>
      </c>
      <c r="L2215" s="55" t="s">
        <v>176</v>
      </c>
      <c r="M2215" s="55" t="s">
        <v>2824</v>
      </c>
      <c r="N2215" s="4" t="s">
        <v>177</v>
      </c>
      <c r="O2215" s="55" t="s">
        <v>178</v>
      </c>
    </row>
    <row r="2216" spans="2:15">
      <c r="B2216" s="20">
        <v>45243</v>
      </c>
      <c r="C2216" s="59">
        <v>50812974</v>
      </c>
      <c r="D2216" s="55" t="s">
        <v>822</v>
      </c>
      <c r="E2216" s="67">
        <v>289800</v>
      </c>
      <c r="F2216" s="67">
        <v>4</v>
      </c>
      <c r="G2216" s="102">
        <v>1159200</v>
      </c>
      <c r="H2216" s="56" t="s">
        <v>92</v>
      </c>
      <c r="K2216" s="56">
        <v>630</v>
      </c>
      <c r="L2216" s="55" t="s">
        <v>326</v>
      </c>
      <c r="M2216" s="55" t="s">
        <v>2824</v>
      </c>
      <c r="N2216" s="4" t="s">
        <v>712</v>
      </c>
      <c r="O2216" s="55" t="s">
        <v>178</v>
      </c>
    </row>
    <row r="2217" spans="2:15">
      <c r="B2217" s="20">
        <v>45243</v>
      </c>
      <c r="C2217" s="59">
        <v>50142631</v>
      </c>
      <c r="D2217" s="55" t="s">
        <v>566</v>
      </c>
      <c r="E2217" s="67">
        <v>750</v>
      </c>
      <c r="F2217" s="67">
        <v>2</v>
      </c>
      <c r="G2217" s="102">
        <v>1500</v>
      </c>
      <c r="H2217" s="56" t="s">
        <v>82</v>
      </c>
      <c r="K2217" s="56">
        <v>630</v>
      </c>
      <c r="L2217" s="55" t="s">
        <v>326</v>
      </c>
      <c r="M2217" s="55" t="s">
        <v>2824</v>
      </c>
      <c r="N2217" s="4" t="s">
        <v>712</v>
      </c>
      <c r="O2217" s="55" t="s">
        <v>178</v>
      </c>
    </row>
    <row r="2218" spans="2:15">
      <c r="B2218" s="20">
        <v>45244</v>
      </c>
      <c r="C2218" s="59">
        <v>50272278</v>
      </c>
      <c r="D2218" s="55" t="s">
        <v>21</v>
      </c>
      <c r="E2218" s="67">
        <v>500</v>
      </c>
      <c r="F2218" s="67">
        <v>12</v>
      </c>
      <c r="G2218" s="102">
        <v>6000</v>
      </c>
      <c r="H2218" s="56" t="s">
        <v>92</v>
      </c>
      <c r="K2218" s="56">
        <v>631</v>
      </c>
      <c r="L2218" s="55" t="s">
        <v>176</v>
      </c>
      <c r="M2218" s="55" t="s">
        <v>2824</v>
      </c>
      <c r="N2218" s="4" t="s">
        <v>177</v>
      </c>
      <c r="O2218" s="55" t="s">
        <v>178</v>
      </c>
    </row>
    <row r="2219" spans="2:15">
      <c r="B2219" s="20">
        <v>45244</v>
      </c>
      <c r="C2219" s="59">
        <v>50812974</v>
      </c>
      <c r="D2219" s="55" t="s">
        <v>822</v>
      </c>
      <c r="E2219" s="67">
        <v>2898800</v>
      </c>
      <c r="F2219" s="67">
        <v>8</v>
      </c>
      <c r="G2219" s="102">
        <v>2318400</v>
      </c>
      <c r="H2219" s="56" t="s">
        <v>92</v>
      </c>
      <c r="K2219" s="56">
        <v>631</v>
      </c>
      <c r="L2219" s="55" t="s">
        <v>176</v>
      </c>
      <c r="M2219" s="55" t="s">
        <v>2824</v>
      </c>
      <c r="N2219" s="4" t="s">
        <v>177</v>
      </c>
      <c r="O2219" s="55" t="s">
        <v>178</v>
      </c>
    </row>
    <row r="2220" spans="2:15">
      <c r="B2220" s="20">
        <v>45246</v>
      </c>
      <c r="C2220" s="59">
        <v>50337816</v>
      </c>
      <c r="D2220" s="55" t="s">
        <v>245</v>
      </c>
      <c r="E2220" s="67">
        <v>264</v>
      </c>
      <c r="F2220" s="67">
        <v>2</v>
      </c>
      <c r="G2220" s="102">
        <v>528</v>
      </c>
      <c r="H2220" s="56" t="s">
        <v>80</v>
      </c>
      <c r="K2220" s="56">
        <v>632</v>
      </c>
      <c r="L2220" s="55" t="s">
        <v>176</v>
      </c>
      <c r="M2220" s="55" t="s">
        <v>2824</v>
      </c>
      <c r="N2220" s="4" t="s">
        <v>177</v>
      </c>
      <c r="O2220" s="55" t="s">
        <v>178</v>
      </c>
    </row>
    <row r="2221" spans="2:15">
      <c r="B2221" s="20">
        <v>45246</v>
      </c>
      <c r="C2221" s="59">
        <v>50272278</v>
      </c>
      <c r="D2221" s="55" t="s">
        <v>21</v>
      </c>
      <c r="E2221" s="67">
        <v>500</v>
      </c>
      <c r="F2221" s="67">
        <v>20</v>
      </c>
      <c r="G2221" s="102">
        <v>10000</v>
      </c>
      <c r="H2221" s="56" t="s">
        <v>92</v>
      </c>
      <c r="K2221" s="56">
        <v>632</v>
      </c>
      <c r="L2221" s="55" t="s">
        <v>176</v>
      </c>
      <c r="M2221" s="55" t="s">
        <v>2824</v>
      </c>
      <c r="N2221" s="4" t="s">
        <v>177</v>
      </c>
      <c r="O2221" s="55" t="s">
        <v>178</v>
      </c>
    </row>
    <row r="2222" spans="2:15">
      <c r="B2222" s="20">
        <v>45246</v>
      </c>
      <c r="C2222" s="59">
        <v>40009546</v>
      </c>
      <c r="D2222" s="55" t="s">
        <v>174</v>
      </c>
      <c r="E2222" s="67">
        <v>756</v>
      </c>
      <c r="F2222" s="67">
        <v>5</v>
      </c>
      <c r="G2222" s="102">
        <v>3780</v>
      </c>
      <c r="H2222" s="56" t="s">
        <v>80</v>
      </c>
      <c r="K2222" s="56">
        <v>633</v>
      </c>
      <c r="L2222" s="55" t="s">
        <v>176</v>
      </c>
      <c r="M2222" s="55" t="s">
        <v>2824</v>
      </c>
      <c r="N2222" s="4" t="s">
        <v>177</v>
      </c>
      <c r="O2222" s="55" t="s">
        <v>178</v>
      </c>
    </row>
    <row r="2223" spans="2:15">
      <c r="B2223" s="20">
        <v>45246</v>
      </c>
      <c r="C2223" s="59">
        <v>50145028</v>
      </c>
      <c r="D2223" s="55" t="s">
        <v>23</v>
      </c>
      <c r="E2223" s="67">
        <v>192</v>
      </c>
      <c r="F2223" s="67">
        <v>2</v>
      </c>
      <c r="G2223" s="102">
        <v>384</v>
      </c>
      <c r="H2223" s="56" t="s">
        <v>92</v>
      </c>
      <c r="K2223" s="56">
        <v>633</v>
      </c>
      <c r="L2223" s="55" t="s">
        <v>176</v>
      </c>
      <c r="M2223" s="55" t="s">
        <v>2824</v>
      </c>
      <c r="N2223" s="4" t="s">
        <v>177</v>
      </c>
      <c r="O2223" s="55" t="s">
        <v>178</v>
      </c>
    </row>
    <row r="2224" spans="2:15">
      <c r="B2224" s="20">
        <v>45246</v>
      </c>
      <c r="C2224" s="59">
        <v>50272278</v>
      </c>
      <c r="D2224" s="55" t="s">
        <v>21</v>
      </c>
      <c r="E2224" s="67">
        <v>500</v>
      </c>
      <c r="F2224" s="67">
        <v>4</v>
      </c>
      <c r="G2224" s="102">
        <v>2000</v>
      </c>
      <c r="H2224" s="56" t="s">
        <v>92</v>
      </c>
      <c r="K2224" s="56">
        <v>633</v>
      </c>
      <c r="L2224" s="55" t="s">
        <v>176</v>
      </c>
      <c r="M2224" s="55" t="s">
        <v>2824</v>
      </c>
      <c r="N2224" s="4" t="s">
        <v>177</v>
      </c>
      <c r="O2224" s="55" t="s">
        <v>178</v>
      </c>
    </row>
    <row r="2225" spans="2:15">
      <c r="B2225" s="20">
        <v>45246</v>
      </c>
      <c r="C2225" s="59">
        <v>50142237</v>
      </c>
      <c r="D2225" s="55" t="s">
        <v>617</v>
      </c>
      <c r="E2225" s="67">
        <v>1000</v>
      </c>
      <c r="F2225" s="67">
        <v>10</v>
      </c>
      <c r="G2225" s="102">
        <v>10000</v>
      </c>
      <c r="H2225" s="56" t="s">
        <v>92</v>
      </c>
      <c r="K2225" s="56">
        <v>633</v>
      </c>
      <c r="L2225" s="55" t="s">
        <v>176</v>
      </c>
      <c r="M2225" s="55" t="s">
        <v>2824</v>
      </c>
      <c r="N2225" s="4" t="s">
        <v>177</v>
      </c>
      <c r="O2225" s="55" t="s">
        <v>178</v>
      </c>
    </row>
    <row r="2226" spans="2:15">
      <c r="B2226" s="20">
        <v>45246</v>
      </c>
      <c r="C2226" s="59">
        <v>50337816</v>
      </c>
      <c r="D2226" s="55" t="s">
        <v>245</v>
      </c>
      <c r="E2226" s="67">
        <v>264</v>
      </c>
      <c r="F2226" s="67">
        <v>2</v>
      </c>
      <c r="G2226" s="102">
        <v>528</v>
      </c>
      <c r="H2226" s="56" t="s">
        <v>80</v>
      </c>
      <c r="K2226" s="56">
        <v>633</v>
      </c>
      <c r="L2226" s="55" t="s">
        <v>176</v>
      </c>
      <c r="M2226" s="55" t="s">
        <v>2824</v>
      </c>
      <c r="N2226" s="4" t="s">
        <v>177</v>
      </c>
      <c r="O2226" s="55" t="s">
        <v>178</v>
      </c>
    </row>
    <row r="2227" spans="2:15">
      <c r="B2227" s="20">
        <v>45246</v>
      </c>
      <c r="C2227" s="59">
        <v>50812974</v>
      </c>
      <c r="D2227" s="55" t="s">
        <v>822</v>
      </c>
      <c r="E2227" s="67">
        <v>289800</v>
      </c>
      <c r="F2227" s="67">
        <v>7</v>
      </c>
      <c r="G2227" s="102">
        <v>2028600</v>
      </c>
      <c r="H2227" s="56" t="s">
        <v>92</v>
      </c>
      <c r="K2227" s="56">
        <v>633</v>
      </c>
      <c r="L2227" s="55" t="s">
        <v>176</v>
      </c>
      <c r="M2227" s="55" t="s">
        <v>2824</v>
      </c>
      <c r="N2227" s="4" t="s">
        <v>177</v>
      </c>
      <c r="O2227" s="55" t="s">
        <v>178</v>
      </c>
    </row>
    <row r="2228" spans="2:15">
      <c r="B2228" s="20">
        <v>45246</v>
      </c>
      <c r="C2228" s="59">
        <v>50272278</v>
      </c>
      <c r="D2228" s="55" t="s">
        <v>21</v>
      </c>
      <c r="E2228" s="67">
        <v>500</v>
      </c>
      <c r="F2228" s="67">
        <v>22</v>
      </c>
      <c r="G2228" s="102">
        <v>11000</v>
      </c>
      <c r="H2228" s="56" t="s">
        <v>92</v>
      </c>
      <c r="K2228" s="56">
        <v>634</v>
      </c>
      <c r="L2228" s="55" t="s">
        <v>176</v>
      </c>
      <c r="M2228" s="55" t="s">
        <v>2824</v>
      </c>
      <c r="N2228" s="4" t="s">
        <v>177</v>
      </c>
      <c r="O2228" s="55" t="s">
        <v>178</v>
      </c>
    </row>
    <row r="2229" spans="2:15">
      <c r="B2229" s="20">
        <v>45247</v>
      </c>
      <c r="C2229" s="59">
        <v>50144376</v>
      </c>
      <c r="D2229" s="55" t="s">
        <v>19</v>
      </c>
      <c r="E2229" s="67">
        <v>500</v>
      </c>
      <c r="F2229" s="67">
        <v>22</v>
      </c>
      <c r="G2229" s="102">
        <v>11000</v>
      </c>
      <c r="H2229" s="56" t="s">
        <v>92</v>
      </c>
      <c r="K2229" s="56">
        <v>635</v>
      </c>
      <c r="L2229" s="55" t="s">
        <v>176</v>
      </c>
      <c r="M2229" s="55" t="s">
        <v>2824</v>
      </c>
      <c r="N2229" s="4" t="s">
        <v>177</v>
      </c>
      <c r="O2229" s="55" t="s">
        <v>178</v>
      </c>
    </row>
    <row r="2230" spans="2:15">
      <c r="B2230" s="20">
        <v>45250</v>
      </c>
      <c r="C2230" s="59">
        <v>50010080</v>
      </c>
      <c r="D2230" s="55" t="s">
        <v>354</v>
      </c>
      <c r="E2230" s="67">
        <v>1000</v>
      </c>
      <c r="F2230" s="67">
        <v>5</v>
      </c>
      <c r="G2230" s="102">
        <v>5000</v>
      </c>
      <c r="H2230" s="56" t="s">
        <v>82</v>
      </c>
      <c r="K2230" s="56">
        <v>636</v>
      </c>
      <c r="L2230" s="55" t="s">
        <v>176</v>
      </c>
      <c r="M2230" s="55" t="s">
        <v>2824</v>
      </c>
      <c r="N2230" s="4" t="s">
        <v>177</v>
      </c>
      <c r="O2230" s="55" t="s">
        <v>178</v>
      </c>
    </row>
    <row r="2231" spans="2:15">
      <c r="B2231" s="20">
        <v>45250</v>
      </c>
      <c r="C2231" s="59">
        <v>50799770</v>
      </c>
      <c r="D2231" s="55" t="s">
        <v>17</v>
      </c>
      <c r="E2231" s="67">
        <v>500</v>
      </c>
      <c r="F2231" s="67">
        <v>6</v>
      </c>
      <c r="G2231" s="102">
        <v>3000</v>
      </c>
      <c r="H2231" s="56" t="s">
        <v>92</v>
      </c>
      <c r="K2231" s="56">
        <v>636</v>
      </c>
      <c r="L2231" s="55" t="s">
        <v>176</v>
      </c>
      <c r="M2231" s="55" t="s">
        <v>2824</v>
      </c>
      <c r="N2231" s="4" t="s">
        <v>177</v>
      </c>
      <c r="O2231" s="55" t="s">
        <v>178</v>
      </c>
    </row>
    <row r="2232" spans="2:15">
      <c r="B2232" s="20">
        <v>45250</v>
      </c>
      <c r="C2232" s="59">
        <v>40499</v>
      </c>
      <c r="D2232" s="55" t="s">
        <v>1094</v>
      </c>
      <c r="E2232" s="67">
        <v>8</v>
      </c>
      <c r="F2232" s="67">
        <v>8</v>
      </c>
      <c r="G2232" s="102">
        <v>8</v>
      </c>
      <c r="H2232" s="56" t="s">
        <v>92</v>
      </c>
      <c r="K2232" s="56">
        <v>636</v>
      </c>
      <c r="L2232" s="55" t="s">
        <v>176</v>
      </c>
      <c r="M2232" s="55" t="s">
        <v>2824</v>
      </c>
      <c r="N2232" s="4" t="s">
        <v>177</v>
      </c>
      <c r="O2232" s="55" t="s">
        <v>178</v>
      </c>
    </row>
    <row r="2233" spans="2:15">
      <c r="B2233" s="20">
        <v>45250</v>
      </c>
      <c r="C2233" s="59">
        <v>40011588</v>
      </c>
      <c r="D2233" s="55" t="s">
        <v>585</v>
      </c>
      <c r="E2233" s="67">
        <v>450</v>
      </c>
      <c r="F2233" s="67">
        <v>5</v>
      </c>
      <c r="G2233" s="102">
        <v>2250</v>
      </c>
      <c r="H2233" s="56" t="s">
        <v>80</v>
      </c>
      <c r="K2233" s="56">
        <v>636</v>
      </c>
      <c r="L2233" s="55" t="s">
        <v>176</v>
      </c>
      <c r="M2233" s="55" t="s">
        <v>2824</v>
      </c>
      <c r="N2233" s="4" t="s">
        <v>177</v>
      </c>
      <c r="O2233" s="55" t="s">
        <v>178</v>
      </c>
    </row>
    <row r="2234" spans="2:15">
      <c r="B2234" s="20">
        <v>45250</v>
      </c>
      <c r="C2234" s="59">
        <v>50142327</v>
      </c>
      <c r="D2234" s="55" t="s">
        <v>256</v>
      </c>
      <c r="E2234" s="67">
        <v>681</v>
      </c>
      <c r="F2234" s="67">
        <v>4</v>
      </c>
      <c r="G2234" s="102">
        <v>2724</v>
      </c>
      <c r="H2234" s="56" t="s">
        <v>82</v>
      </c>
      <c r="K2234" s="56">
        <v>636</v>
      </c>
      <c r="L2234" s="55" t="s">
        <v>176</v>
      </c>
      <c r="M2234" s="55" t="s">
        <v>2824</v>
      </c>
      <c r="N2234" s="4" t="s">
        <v>177</v>
      </c>
      <c r="O2234" s="55" t="s">
        <v>178</v>
      </c>
    </row>
    <row r="2235" spans="2:15">
      <c r="B2235" s="20">
        <v>45250</v>
      </c>
      <c r="C2235" s="59">
        <v>50799770</v>
      </c>
      <c r="D2235" s="55" t="s">
        <v>17</v>
      </c>
      <c r="E2235" s="67">
        <v>500</v>
      </c>
      <c r="F2235" s="67">
        <v>11</v>
      </c>
      <c r="G2235" s="102">
        <v>5500</v>
      </c>
      <c r="H2235" s="56" t="s">
        <v>92</v>
      </c>
      <c r="K2235" s="56">
        <v>637</v>
      </c>
      <c r="L2235" s="55" t="s">
        <v>176</v>
      </c>
      <c r="M2235" s="55" t="s">
        <v>2824</v>
      </c>
      <c r="N2235" s="4" t="s">
        <v>177</v>
      </c>
      <c r="O2235" s="55" t="s">
        <v>178</v>
      </c>
    </row>
    <row r="2236" spans="2:15">
      <c r="B2236" s="20">
        <v>45250</v>
      </c>
      <c r="C2236" s="59">
        <v>50507916</v>
      </c>
      <c r="D2236" s="55" t="s">
        <v>406</v>
      </c>
      <c r="E2236" s="67">
        <v>264000</v>
      </c>
      <c r="F2236" s="67">
        <v>5</v>
      </c>
      <c r="G2236" s="102">
        <v>1584000</v>
      </c>
      <c r="H2236" s="56" t="s">
        <v>92</v>
      </c>
      <c r="K2236" s="56">
        <v>637</v>
      </c>
      <c r="L2236" s="55" t="s">
        <v>176</v>
      </c>
      <c r="M2236" s="55" t="s">
        <v>2824</v>
      </c>
      <c r="N2236" s="4" t="s">
        <v>177</v>
      </c>
      <c r="O2236" s="55" t="s">
        <v>178</v>
      </c>
    </row>
    <row r="2237" spans="2:15">
      <c r="B2237" s="20">
        <v>45250</v>
      </c>
      <c r="C2237" s="59">
        <v>50142334</v>
      </c>
      <c r="D2237" s="55" t="s">
        <v>257</v>
      </c>
      <c r="E2237" s="67">
        <v>681</v>
      </c>
      <c r="F2237" s="67">
        <v>5</v>
      </c>
      <c r="G2237" s="102">
        <v>3405</v>
      </c>
      <c r="H2237" s="56" t="s">
        <v>82</v>
      </c>
      <c r="K2237" s="56">
        <v>637</v>
      </c>
      <c r="L2237" s="55" t="s">
        <v>176</v>
      </c>
      <c r="M2237" s="55" t="s">
        <v>2824</v>
      </c>
      <c r="N2237" s="4" t="s">
        <v>177</v>
      </c>
      <c r="O2237" s="55" t="s">
        <v>178</v>
      </c>
    </row>
    <row r="2238" spans="2:15">
      <c r="B2238" s="20">
        <v>45250</v>
      </c>
      <c r="C2238" s="59">
        <v>40010086</v>
      </c>
      <c r="D2238" s="55" t="s">
        <v>79</v>
      </c>
      <c r="E2238" s="67">
        <v>4036</v>
      </c>
      <c r="F2238" s="67">
        <v>2</v>
      </c>
      <c r="G2238" s="102">
        <v>7056</v>
      </c>
      <c r="H2238" s="56" t="s">
        <v>80</v>
      </c>
      <c r="K2238" s="56">
        <v>638</v>
      </c>
      <c r="L2238" s="55" t="s">
        <v>176</v>
      </c>
      <c r="M2238" s="55" t="s">
        <v>2824</v>
      </c>
      <c r="N2238" s="4" t="s">
        <v>177</v>
      </c>
      <c r="O2238" s="55" t="s">
        <v>178</v>
      </c>
    </row>
    <row r="2239" spans="2:15">
      <c r="B2239" s="20">
        <v>45250</v>
      </c>
      <c r="C2239" s="59">
        <v>40010087</v>
      </c>
      <c r="D2239" s="55" t="s">
        <v>387</v>
      </c>
      <c r="E2239" s="67">
        <v>756</v>
      </c>
      <c r="F2239" s="67">
        <v>5</v>
      </c>
      <c r="G2239" s="102">
        <v>3780</v>
      </c>
      <c r="H2239" s="56" t="s">
        <v>80</v>
      </c>
      <c r="K2239" s="56">
        <v>638</v>
      </c>
      <c r="L2239" s="55" t="s">
        <v>176</v>
      </c>
      <c r="M2239" s="55" t="s">
        <v>2824</v>
      </c>
      <c r="N2239" s="4" t="s">
        <v>177</v>
      </c>
      <c r="O2239" s="55" t="s">
        <v>178</v>
      </c>
    </row>
    <row r="2240" spans="2:15">
      <c r="B2240" s="20">
        <v>45250</v>
      </c>
      <c r="C2240" s="59">
        <v>50799770</v>
      </c>
      <c r="D2240" s="55" t="s">
        <v>17</v>
      </c>
      <c r="E2240" s="67">
        <v>500</v>
      </c>
      <c r="F2240" s="67">
        <v>3</v>
      </c>
      <c r="G2240" s="102">
        <v>1500</v>
      </c>
      <c r="H2240" s="56" t="s">
        <v>92</v>
      </c>
      <c r="K2240" s="56">
        <v>638</v>
      </c>
      <c r="L2240" s="55" t="s">
        <v>176</v>
      </c>
      <c r="M2240" s="55" t="s">
        <v>2824</v>
      </c>
      <c r="N2240" s="4" t="s">
        <v>177</v>
      </c>
      <c r="O2240" s="55" t="s">
        <v>178</v>
      </c>
    </row>
    <row r="2241" spans="2:15">
      <c r="B2241" s="20">
        <v>45250</v>
      </c>
      <c r="C2241" s="59">
        <v>40007941</v>
      </c>
      <c r="D2241" s="55" t="s">
        <v>211</v>
      </c>
      <c r="E2241" s="67">
        <v>864</v>
      </c>
      <c r="F2241" s="67">
        <v>3</v>
      </c>
      <c r="G2241" s="102">
        <v>2592</v>
      </c>
      <c r="H2241" s="56" t="s">
        <v>80</v>
      </c>
      <c r="K2241" s="56">
        <v>638</v>
      </c>
      <c r="L2241" s="55" t="s">
        <v>176</v>
      </c>
      <c r="M2241" s="55" t="s">
        <v>2824</v>
      </c>
      <c r="N2241" s="4" t="s">
        <v>177</v>
      </c>
      <c r="O2241" s="55" t="s">
        <v>178</v>
      </c>
    </row>
    <row r="2242" spans="2:15">
      <c r="B2242" s="20">
        <v>45250</v>
      </c>
      <c r="C2242" s="59">
        <v>40007942</v>
      </c>
      <c r="D2242" s="55" t="s">
        <v>219</v>
      </c>
      <c r="E2242" s="67">
        <v>645</v>
      </c>
      <c r="F2242" s="67">
        <v>1</v>
      </c>
      <c r="G2242" s="102">
        <v>645</v>
      </c>
      <c r="H2242" s="56" t="s">
        <v>80</v>
      </c>
      <c r="K2242" s="56">
        <v>638</v>
      </c>
      <c r="L2242" s="55" t="s">
        <v>176</v>
      </c>
      <c r="M2242" s="55" t="s">
        <v>2824</v>
      </c>
      <c r="N2242" s="4" t="s">
        <v>177</v>
      </c>
      <c r="O2242" s="55" t="s">
        <v>178</v>
      </c>
    </row>
    <row r="2243" spans="2:15">
      <c r="B2243" s="20">
        <v>45250</v>
      </c>
      <c r="C2243" s="59">
        <v>50507916</v>
      </c>
      <c r="D2243" s="55" t="s">
        <v>406</v>
      </c>
      <c r="E2243" s="67">
        <v>264000</v>
      </c>
      <c r="F2243" s="67">
        <v>3</v>
      </c>
      <c r="G2243" s="102">
        <v>792000</v>
      </c>
      <c r="H2243" s="56" t="s">
        <v>92</v>
      </c>
      <c r="K2243" s="56">
        <v>638</v>
      </c>
      <c r="L2243" s="55" t="s">
        <v>176</v>
      </c>
      <c r="M2243" s="55" t="s">
        <v>2824</v>
      </c>
      <c r="N2243" s="4" t="s">
        <v>177</v>
      </c>
      <c r="O2243" s="55" t="s">
        <v>178</v>
      </c>
    </row>
    <row r="2244" spans="2:15">
      <c r="B2244" s="20">
        <v>45250</v>
      </c>
      <c r="C2244" s="59">
        <v>50337816</v>
      </c>
      <c r="D2244" s="55" t="s">
        <v>245</v>
      </c>
      <c r="E2244" s="67">
        <v>264</v>
      </c>
      <c r="F2244" s="67">
        <v>5</v>
      </c>
      <c r="G2244" s="102">
        <v>1320</v>
      </c>
      <c r="H2244" s="56" t="s">
        <v>80</v>
      </c>
      <c r="K2244" s="56">
        <v>638</v>
      </c>
      <c r="L2244" s="55" t="s">
        <v>176</v>
      </c>
      <c r="M2244" s="55" t="s">
        <v>2824</v>
      </c>
      <c r="N2244" s="4" t="s">
        <v>177</v>
      </c>
      <c r="O2244" s="55" t="s">
        <v>178</v>
      </c>
    </row>
    <row r="2245" spans="2:15">
      <c r="B2245" s="20">
        <v>45251</v>
      </c>
      <c r="C2245" s="59">
        <v>50812974</v>
      </c>
      <c r="D2245" s="55" t="s">
        <v>822</v>
      </c>
      <c r="E2245" s="67">
        <v>289800</v>
      </c>
      <c r="F2245" s="67">
        <v>18</v>
      </c>
      <c r="G2245" s="102">
        <v>5216400</v>
      </c>
      <c r="H2245" s="56" t="s">
        <v>92</v>
      </c>
      <c r="K2245" s="56">
        <v>639</v>
      </c>
      <c r="L2245" s="55" t="s">
        <v>176</v>
      </c>
      <c r="M2245" s="55" t="s">
        <v>2824</v>
      </c>
      <c r="N2245" s="4" t="s">
        <v>177</v>
      </c>
      <c r="O2245" s="55" t="s">
        <v>178</v>
      </c>
    </row>
    <row r="2246" spans="2:15">
      <c r="B2246" s="20">
        <v>45251</v>
      </c>
      <c r="C2246" s="59">
        <v>50272278</v>
      </c>
      <c r="D2246" s="55" t="s">
        <v>21</v>
      </c>
      <c r="E2246" s="67">
        <v>500</v>
      </c>
      <c r="F2246" s="67">
        <v>6</v>
      </c>
      <c r="G2246" s="102">
        <v>3000</v>
      </c>
      <c r="H2246" s="56" t="s">
        <v>92</v>
      </c>
      <c r="K2246" s="56">
        <v>640</v>
      </c>
      <c r="L2246" s="55" t="s">
        <v>176</v>
      </c>
      <c r="M2246" s="55" t="s">
        <v>2824</v>
      </c>
      <c r="N2246" s="4" t="s">
        <v>177</v>
      </c>
      <c r="O2246" s="55" t="s">
        <v>178</v>
      </c>
    </row>
    <row r="2247" spans="2:15">
      <c r="B2247" s="20">
        <v>45251</v>
      </c>
      <c r="C2247" s="59">
        <v>50145187</v>
      </c>
      <c r="D2247" s="55" t="s">
        <v>465</v>
      </c>
      <c r="E2247" s="67">
        <v>264</v>
      </c>
      <c r="F2247" s="67">
        <v>4</v>
      </c>
      <c r="G2247" s="102">
        <v>1056000</v>
      </c>
      <c r="H2247" s="56" t="s">
        <v>92</v>
      </c>
      <c r="K2247" s="56">
        <v>640</v>
      </c>
      <c r="L2247" s="55" t="s">
        <v>176</v>
      </c>
      <c r="M2247" s="55" t="s">
        <v>2824</v>
      </c>
      <c r="N2247" s="4" t="s">
        <v>177</v>
      </c>
      <c r="O2247" s="55" t="s">
        <v>178</v>
      </c>
    </row>
    <row r="2248" spans="2:15">
      <c r="B2248" s="20">
        <v>45251</v>
      </c>
      <c r="C2248" s="59">
        <v>50144200</v>
      </c>
      <c r="D2248" s="55" t="s">
        <v>184</v>
      </c>
      <c r="E2248" s="67">
        <v>264000</v>
      </c>
      <c r="F2248" s="67">
        <v>2</v>
      </c>
      <c r="G2248" s="102">
        <v>528000</v>
      </c>
      <c r="H2248" s="56" t="s">
        <v>92</v>
      </c>
      <c r="K2248" s="56">
        <v>640</v>
      </c>
      <c r="L2248" s="55" t="s">
        <v>176</v>
      </c>
      <c r="M2248" s="55" t="s">
        <v>2824</v>
      </c>
      <c r="N2248" s="4" t="s">
        <v>177</v>
      </c>
      <c r="O2248" s="55" t="s">
        <v>178</v>
      </c>
    </row>
    <row r="2249" spans="2:15">
      <c r="B2249" s="20">
        <v>45251</v>
      </c>
      <c r="C2249" s="59">
        <v>50337814</v>
      </c>
      <c r="D2249" s="55" t="s">
        <v>669</v>
      </c>
      <c r="E2249" s="67">
        <v>264</v>
      </c>
      <c r="F2249" s="67">
        <v>2</v>
      </c>
      <c r="G2249" s="102">
        <v>456</v>
      </c>
      <c r="H2249" s="56" t="s">
        <v>80</v>
      </c>
      <c r="K2249" s="56">
        <v>640</v>
      </c>
      <c r="L2249" s="55" t="s">
        <v>176</v>
      </c>
      <c r="M2249" s="55" t="s">
        <v>2824</v>
      </c>
      <c r="N2249" s="4" t="s">
        <v>177</v>
      </c>
      <c r="O2249" s="55" t="s">
        <v>178</v>
      </c>
    </row>
    <row r="2250" spans="2:15">
      <c r="B2250" s="20">
        <v>45251</v>
      </c>
      <c r="C2250" s="59">
        <v>50315365</v>
      </c>
      <c r="D2250" s="55" t="s">
        <v>584</v>
      </c>
      <c r="E2250" s="67">
        <v>264</v>
      </c>
      <c r="F2250" s="67">
        <v>2</v>
      </c>
      <c r="G2250" s="102">
        <v>528</v>
      </c>
      <c r="H2250" s="56" t="s">
        <v>80</v>
      </c>
      <c r="K2250" s="56">
        <v>640</v>
      </c>
      <c r="L2250" s="55" t="s">
        <v>176</v>
      </c>
      <c r="M2250" s="55" t="s">
        <v>2824</v>
      </c>
      <c r="N2250" s="4" t="s">
        <v>177</v>
      </c>
      <c r="O2250" s="55" t="s">
        <v>178</v>
      </c>
    </row>
    <row r="2251" spans="2:15">
      <c r="B2251" s="20">
        <v>45251</v>
      </c>
      <c r="C2251" s="59">
        <v>50809146</v>
      </c>
      <c r="D2251" s="55" t="s">
        <v>1030</v>
      </c>
      <c r="E2251" s="67">
        <v>456</v>
      </c>
      <c r="F2251" s="67">
        <v>6</v>
      </c>
      <c r="G2251" s="102">
        <v>2829.1</v>
      </c>
      <c r="H2251" s="56" t="s">
        <v>82</v>
      </c>
      <c r="K2251" s="56">
        <v>640</v>
      </c>
      <c r="L2251" s="55" t="s">
        <v>176</v>
      </c>
      <c r="M2251" s="55" t="s">
        <v>2824</v>
      </c>
      <c r="N2251" s="4" t="s">
        <v>177</v>
      </c>
      <c r="O2251" s="55" t="s">
        <v>178</v>
      </c>
    </row>
    <row r="2252" spans="2:15">
      <c r="B2252" s="20">
        <v>45252</v>
      </c>
      <c r="C2252" s="59">
        <v>50799770</v>
      </c>
      <c r="D2252" s="55" t="s">
        <v>17</v>
      </c>
      <c r="E2252" s="67">
        <v>500</v>
      </c>
      <c r="F2252" s="67">
        <v>10</v>
      </c>
      <c r="G2252" s="102">
        <v>5000</v>
      </c>
      <c r="H2252" s="56" t="s">
        <v>92</v>
      </c>
      <c r="K2252" s="56">
        <v>641</v>
      </c>
      <c r="L2252" s="55" t="s">
        <v>176</v>
      </c>
      <c r="M2252" s="55" t="s">
        <v>2824</v>
      </c>
      <c r="N2252" s="4" t="s">
        <v>177</v>
      </c>
      <c r="O2252" s="55" t="s">
        <v>178</v>
      </c>
    </row>
    <row r="2253" spans="2:15">
      <c r="B2253" s="20">
        <v>45252</v>
      </c>
      <c r="C2253" s="59">
        <v>50144376</v>
      </c>
      <c r="D2253" s="55" t="s">
        <v>19</v>
      </c>
      <c r="E2253" s="67">
        <v>500</v>
      </c>
      <c r="F2253" s="67">
        <v>12</v>
      </c>
      <c r="G2253" s="102">
        <v>6000</v>
      </c>
      <c r="H2253" s="56" t="s">
        <v>92</v>
      </c>
      <c r="K2253" s="56">
        <v>641</v>
      </c>
      <c r="L2253" s="55" t="s">
        <v>176</v>
      </c>
      <c r="M2253" s="55" t="s">
        <v>2824</v>
      </c>
      <c r="N2253" s="4" t="s">
        <v>177</v>
      </c>
      <c r="O2253" s="55" t="s">
        <v>178</v>
      </c>
    </row>
    <row r="2254" spans="2:15">
      <c r="B2254" s="20">
        <v>45252</v>
      </c>
      <c r="C2254" s="59">
        <v>20016185</v>
      </c>
      <c r="D2254" s="55" t="s">
        <v>285</v>
      </c>
      <c r="E2254" s="67">
        <v>1000</v>
      </c>
      <c r="F2254" s="67">
        <v>10</v>
      </c>
      <c r="G2254" s="102">
        <v>10000</v>
      </c>
      <c r="H2254" s="56" t="s">
        <v>92</v>
      </c>
      <c r="K2254" s="56">
        <v>642</v>
      </c>
      <c r="L2254" s="55" t="s">
        <v>176</v>
      </c>
      <c r="M2254" s="55" t="s">
        <v>2824</v>
      </c>
      <c r="N2254" s="4" t="s">
        <v>177</v>
      </c>
      <c r="O2254" s="55" t="s">
        <v>178</v>
      </c>
    </row>
    <row r="2255" spans="2:15">
      <c r="B2255" s="20">
        <v>45252</v>
      </c>
      <c r="C2255" s="59">
        <v>50470190</v>
      </c>
      <c r="D2255" s="55" t="s">
        <v>12</v>
      </c>
      <c r="E2255" s="67">
        <v>289800</v>
      </c>
      <c r="F2255" s="67">
        <v>6</v>
      </c>
      <c r="G2255" s="102">
        <v>1738800</v>
      </c>
      <c r="H2255" s="56" t="s">
        <v>92</v>
      </c>
      <c r="K2255" s="56">
        <v>642</v>
      </c>
      <c r="L2255" s="55" t="s">
        <v>176</v>
      </c>
      <c r="M2255" s="55" t="s">
        <v>2824</v>
      </c>
      <c r="N2255" s="4" t="s">
        <v>177</v>
      </c>
      <c r="O2255" s="55" t="s">
        <v>178</v>
      </c>
    </row>
    <row r="2256" spans="2:15">
      <c r="B2256" s="20">
        <v>45252</v>
      </c>
      <c r="C2256" s="59">
        <v>50812974</v>
      </c>
      <c r="D2256" s="55" t="s">
        <v>822</v>
      </c>
      <c r="E2256" s="67">
        <v>289800</v>
      </c>
      <c r="F2256" s="67">
        <v>12</v>
      </c>
      <c r="G2256" s="102">
        <v>3477600</v>
      </c>
      <c r="H2256" s="56" t="s">
        <v>92</v>
      </c>
      <c r="K2256" s="56">
        <v>642</v>
      </c>
      <c r="L2256" s="55" t="s">
        <v>176</v>
      </c>
      <c r="M2256" s="55" t="s">
        <v>2824</v>
      </c>
      <c r="N2256" s="4" t="s">
        <v>177</v>
      </c>
      <c r="O2256" s="55" t="s">
        <v>178</v>
      </c>
    </row>
    <row r="2257" spans="2:15">
      <c r="B2257" s="20">
        <v>45253</v>
      </c>
      <c r="C2257" s="59">
        <v>50010080</v>
      </c>
      <c r="D2257" s="55" t="s">
        <v>354</v>
      </c>
      <c r="E2257" s="67">
        <v>1000</v>
      </c>
      <c r="F2257" s="67">
        <v>3</v>
      </c>
      <c r="G2257" s="102">
        <v>3000</v>
      </c>
      <c r="H2257" s="56" t="s">
        <v>82</v>
      </c>
      <c r="K2257" s="56">
        <v>643</v>
      </c>
      <c r="L2257" s="55" t="s">
        <v>176</v>
      </c>
      <c r="M2257" s="55" t="s">
        <v>2824</v>
      </c>
      <c r="N2257" s="4" t="s">
        <v>177</v>
      </c>
      <c r="O2257" s="55" t="s">
        <v>178</v>
      </c>
    </row>
    <row r="2258" spans="2:15">
      <c r="B2258" s="20">
        <v>45253</v>
      </c>
      <c r="C2258" s="59">
        <v>50145380</v>
      </c>
      <c r="D2258" s="55" t="s">
        <v>368</v>
      </c>
      <c r="E2258" s="67">
        <v>859</v>
      </c>
      <c r="F2258" s="67">
        <v>1</v>
      </c>
      <c r="G2258" s="102">
        <v>859</v>
      </c>
      <c r="H2258" s="56" t="s">
        <v>92</v>
      </c>
      <c r="K2258" s="56">
        <v>643</v>
      </c>
      <c r="L2258" s="55" t="s">
        <v>176</v>
      </c>
      <c r="M2258" s="55" t="s">
        <v>2824</v>
      </c>
      <c r="N2258" s="4" t="s">
        <v>177</v>
      </c>
      <c r="O2258" s="55" t="s">
        <v>178</v>
      </c>
    </row>
    <row r="2259" spans="2:15">
      <c r="B2259" s="20">
        <v>45253</v>
      </c>
      <c r="C2259" s="59">
        <v>50797537</v>
      </c>
      <c r="D2259" s="55" t="s">
        <v>232</v>
      </c>
      <c r="E2259" s="67">
        <v>210.35</v>
      </c>
      <c r="F2259" s="67">
        <v>1</v>
      </c>
      <c r="G2259" s="102">
        <v>210.35</v>
      </c>
      <c r="H2259" s="56" t="s">
        <v>82</v>
      </c>
      <c r="K2259" s="56">
        <v>643</v>
      </c>
      <c r="L2259" s="55" t="s">
        <v>176</v>
      </c>
      <c r="M2259" s="55" t="s">
        <v>2824</v>
      </c>
      <c r="N2259" s="4" t="s">
        <v>177</v>
      </c>
      <c r="O2259" s="55" t="s">
        <v>178</v>
      </c>
    </row>
    <row r="2260" spans="2:15">
      <c r="B2260" s="20">
        <v>45253</v>
      </c>
      <c r="C2260" s="59">
        <v>50144376</v>
      </c>
      <c r="D2260" s="55" t="s">
        <v>19</v>
      </c>
      <c r="E2260" s="67">
        <v>500</v>
      </c>
      <c r="F2260" s="67">
        <v>3</v>
      </c>
      <c r="G2260" s="102">
        <v>1500</v>
      </c>
      <c r="H2260" s="56" t="s">
        <v>92</v>
      </c>
      <c r="K2260" s="56">
        <v>643</v>
      </c>
      <c r="L2260" s="55" t="s">
        <v>176</v>
      </c>
      <c r="M2260" s="55" t="s">
        <v>2824</v>
      </c>
      <c r="N2260" s="4" t="s">
        <v>177</v>
      </c>
      <c r="O2260" s="55" t="s">
        <v>178</v>
      </c>
    </row>
    <row r="2261" spans="2:15">
      <c r="B2261" s="20">
        <v>45253</v>
      </c>
      <c r="C2261" s="59">
        <v>50141533</v>
      </c>
      <c r="D2261" s="55" t="s">
        <v>494</v>
      </c>
      <c r="E2261" s="67">
        <v>1250</v>
      </c>
      <c r="F2261" s="67">
        <v>1</v>
      </c>
      <c r="G2261" s="102">
        <v>1250</v>
      </c>
      <c r="H2261" s="56" t="s">
        <v>82</v>
      </c>
      <c r="K2261" s="56">
        <v>643</v>
      </c>
      <c r="L2261" s="55" t="s">
        <v>176</v>
      </c>
      <c r="M2261" s="55" t="s">
        <v>2824</v>
      </c>
      <c r="N2261" s="4" t="s">
        <v>177</v>
      </c>
      <c r="O2261" s="55" t="s">
        <v>178</v>
      </c>
    </row>
    <row r="2262" spans="2:15">
      <c r="B2262" s="20">
        <v>45253</v>
      </c>
      <c r="C2262" s="59">
        <v>40011148</v>
      </c>
      <c r="D2262" s="55" t="s">
        <v>86</v>
      </c>
      <c r="E2262" s="67">
        <v>450</v>
      </c>
      <c r="F2262" s="67">
        <v>1</v>
      </c>
      <c r="G2262" s="102">
        <v>450</v>
      </c>
      <c r="H2262" s="56" t="s">
        <v>80</v>
      </c>
      <c r="K2262" s="56">
        <v>643</v>
      </c>
      <c r="L2262" s="55" t="s">
        <v>176</v>
      </c>
      <c r="M2262" s="55" t="s">
        <v>2824</v>
      </c>
      <c r="N2262" s="4" t="s">
        <v>177</v>
      </c>
      <c r="O2262" s="55" t="s">
        <v>178</v>
      </c>
    </row>
    <row r="2263" spans="2:15">
      <c r="B2263" s="20">
        <v>45253</v>
      </c>
      <c r="C2263" s="59">
        <v>50144200</v>
      </c>
      <c r="D2263" s="55" t="s">
        <v>184</v>
      </c>
      <c r="E2263" s="67">
        <v>264000</v>
      </c>
      <c r="F2263" s="67">
        <v>4</v>
      </c>
      <c r="G2263" s="102">
        <v>1056000</v>
      </c>
      <c r="H2263" s="56" t="s">
        <v>92</v>
      </c>
      <c r="K2263" s="56">
        <v>643</v>
      </c>
      <c r="L2263" s="55" t="s">
        <v>176</v>
      </c>
      <c r="M2263" s="55" t="s">
        <v>2824</v>
      </c>
      <c r="N2263" s="4" t="s">
        <v>177</v>
      </c>
      <c r="O2263" s="55" t="s">
        <v>178</v>
      </c>
    </row>
    <row r="2264" spans="2:15">
      <c r="B2264" s="20">
        <v>45253</v>
      </c>
      <c r="C2264" s="59">
        <v>50507916</v>
      </c>
      <c r="D2264" s="55" t="s">
        <v>406</v>
      </c>
      <c r="E2264" s="67">
        <v>264000</v>
      </c>
      <c r="F2264" s="67">
        <v>4</v>
      </c>
      <c r="G2264" s="102">
        <v>1056000</v>
      </c>
      <c r="H2264" s="56" t="s">
        <v>92</v>
      </c>
      <c r="K2264" s="56">
        <v>643</v>
      </c>
      <c r="L2264" s="55" t="s">
        <v>176</v>
      </c>
      <c r="M2264" s="55" t="s">
        <v>2824</v>
      </c>
      <c r="N2264" s="4" t="s">
        <v>177</v>
      </c>
      <c r="O2264" s="55" t="s">
        <v>178</v>
      </c>
    </row>
    <row r="2265" spans="2:15">
      <c r="B2265" s="20">
        <v>45253</v>
      </c>
      <c r="C2265" s="59">
        <v>50509889</v>
      </c>
      <c r="D2265" s="55" t="s">
        <v>671</v>
      </c>
      <c r="E2265" s="67">
        <v>264000</v>
      </c>
      <c r="F2265" s="67">
        <v>2</v>
      </c>
      <c r="G2265" s="102">
        <v>528000</v>
      </c>
      <c r="H2265" s="56" t="s">
        <v>92</v>
      </c>
      <c r="K2265" s="56">
        <v>643</v>
      </c>
      <c r="L2265" s="55" t="s">
        <v>176</v>
      </c>
      <c r="M2265" s="55" t="s">
        <v>2824</v>
      </c>
      <c r="N2265" s="4" t="s">
        <v>177</v>
      </c>
      <c r="O2265" s="55" t="s">
        <v>178</v>
      </c>
    </row>
    <row r="2266" spans="2:15">
      <c r="B2266" s="20">
        <v>45253</v>
      </c>
      <c r="C2266" s="59">
        <v>50809146</v>
      </c>
      <c r="D2266" s="55" t="s">
        <v>1030</v>
      </c>
      <c r="E2266" s="67">
        <v>458</v>
      </c>
      <c r="F2266" s="67">
        <v>2</v>
      </c>
      <c r="G2266" s="102">
        <v>997.8</v>
      </c>
      <c r="H2266" s="56" t="s">
        <v>82</v>
      </c>
      <c r="K2266" s="56">
        <v>643</v>
      </c>
      <c r="L2266" s="55" t="s">
        <v>176</v>
      </c>
      <c r="M2266" s="55" t="s">
        <v>2824</v>
      </c>
      <c r="N2266" s="4" t="s">
        <v>177</v>
      </c>
      <c r="O2266" s="55" t="s">
        <v>178</v>
      </c>
    </row>
    <row r="2267" spans="2:15">
      <c r="B2267" s="20">
        <v>45254</v>
      </c>
      <c r="C2267" s="59">
        <v>50470190</v>
      </c>
      <c r="D2267" s="55" t="s">
        <v>12</v>
      </c>
      <c r="E2267" s="67">
        <v>289800</v>
      </c>
      <c r="F2267" s="67">
        <v>18</v>
      </c>
      <c r="G2267" s="102">
        <v>5216400</v>
      </c>
      <c r="H2267" s="56" t="s">
        <v>92</v>
      </c>
      <c r="K2267" s="56">
        <v>644</v>
      </c>
      <c r="L2267" s="55" t="s">
        <v>176</v>
      </c>
      <c r="M2267" s="55" t="s">
        <v>2824</v>
      </c>
      <c r="N2267" s="4" t="s">
        <v>177</v>
      </c>
      <c r="O2267" s="55" t="s">
        <v>178</v>
      </c>
    </row>
    <row r="2268" spans="2:15">
      <c r="B2268" s="20">
        <v>45254</v>
      </c>
      <c r="C2268" s="59">
        <v>50142631</v>
      </c>
      <c r="D2268" s="55" t="s">
        <v>566</v>
      </c>
      <c r="E2268" s="67">
        <v>1500</v>
      </c>
      <c r="G2268" s="102">
        <v>1500</v>
      </c>
      <c r="H2268" s="56" t="s">
        <v>82</v>
      </c>
      <c r="K2268" s="56">
        <v>645</v>
      </c>
      <c r="L2268" s="55" t="s">
        <v>176</v>
      </c>
      <c r="M2268" s="55" t="s">
        <v>2824</v>
      </c>
      <c r="N2268" s="4" t="s">
        <v>177</v>
      </c>
      <c r="O2268" s="55" t="s">
        <v>178</v>
      </c>
    </row>
    <row r="2269" spans="2:15">
      <c r="B2269" s="20">
        <v>45254</v>
      </c>
      <c r="C2269" s="59">
        <v>50144376</v>
      </c>
      <c r="D2269" s="55" t="s">
        <v>19</v>
      </c>
      <c r="E2269" s="67">
        <v>500</v>
      </c>
      <c r="G2269" s="102">
        <v>5000</v>
      </c>
      <c r="H2269" s="56" t="s">
        <v>92</v>
      </c>
      <c r="K2269" s="56">
        <v>645</v>
      </c>
      <c r="L2269" s="55" t="s">
        <v>176</v>
      </c>
      <c r="M2269" s="55" t="s">
        <v>2824</v>
      </c>
      <c r="N2269" s="4" t="s">
        <v>177</v>
      </c>
      <c r="O2269" s="55" t="s">
        <v>178</v>
      </c>
    </row>
    <row r="2270" spans="2:15">
      <c r="B2270" s="20">
        <v>45254</v>
      </c>
      <c r="C2270" s="59">
        <v>50272278</v>
      </c>
      <c r="D2270" s="55" t="s">
        <v>21</v>
      </c>
      <c r="E2270" s="67">
        <v>500</v>
      </c>
      <c r="G2270" s="102">
        <v>4500</v>
      </c>
      <c r="H2270" s="56" t="s">
        <v>92</v>
      </c>
      <c r="K2270" s="56">
        <v>645</v>
      </c>
      <c r="L2270" s="55" t="s">
        <v>176</v>
      </c>
      <c r="M2270" s="55" t="s">
        <v>2824</v>
      </c>
      <c r="N2270" s="4" t="s">
        <v>177</v>
      </c>
      <c r="O2270" s="55" t="s">
        <v>178</v>
      </c>
    </row>
    <row r="2271" spans="2:15">
      <c r="B2271" s="20">
        <v>45254</v>
      </c>
      <c r="C2271" s="59">
        <v>50142329</v>
      </c>
      <c r="D2271" s="55" t="s">
        <v>1073</v>
      </c>
      <c r="E2271" s="67">
        <v>200</v>
      </c>
      <c r="G2271" s="102">
        <v>200</v>
      </c>
      <c r="H2271" s="56" t="s">
        <v>198</v>
      </c>
      <c r="K2271" s="56">
        <v>645</v>
      </c>
      <c r="L2271" s="55" t="s">
        <v>176</v>
      </c>
      <c r="M2271" s="55" t="s">
        <v>2824</v>
      </c>
      <c r="N2271" s="4" t="s">
        <v>177</v>
      </c>
      <c r="O2271" s="55" t="s">
        <v>178</v>
      </c>
    </row>
    <row r="2272" spans="2:15">
      <c r="B2272" s="20">
        <v>45254</v>
      </c>
      <c r="C2272" s="59">
        <v>50145028</v>
      </c>
      <c r="D2272" s="55" t="s">
        <v>23</v>
      </c>
      <c r="E2272" s="67">
        <v>192</v>
      </c>
      <c r="F2272" s="67">
        <v>6</v>
      </c>
      <c r="G2272" s="102">
        <v>1152</v>
      </c>
      <c r="H2272" s="56" t="s">
        <v>92</v>
      </c>
      <c r="K2272" s="56">
        <v>646</v>
      </c>
      <c r="L2272" s="55" t="s">
        <v>176</v>
      </c>
      <c r="M2272" s="55" t="s">
        <v>2824</v>
      </c>
      <c r="N2272" s="4" t="s">
        <v>177</v>
      </c>
      <c r="O2272" s="55" t="s">
        <v>178</v>
      </c>
    </row>
    <row r="2273" spans="2:15">
      <c r="B2273" s="20">
        <v>45254</v>
      </c>
      <c r="C2273" s="59">
        <v>50799770</v>
      </c>
      <c r="D2273" s="55" t="s">
        <v>17</v>
      </c>
      <c r="E2273" s="67">
        <v>500</v>
      </c>
      <c r="F2273" s="67">
        <v>10</v>
      </c>
      <c r="G2273" s="102">
        <v>5000</v>
      </c>
      <c r="H2273" s="56" t="s">
        <v>92</v>
      </c>
      <c r="K2273" s="56">
        <v>646</v>
      </c>
      <c r="L2273" s="55" t="s">
        <v>176</v>
      </c>
      <c r="M2273" s="55" t="s">
        <v>2824</v>
      </c>
      <c r="N2273" s="4" t="s">
        <v>177</v>
      </c>
      <c r="O2273" s="55" t="s">
        <v>178</v>
      </c>
    </row>
    <row r="2274" spans="2:15">
      <c r="B2274" s="20">
        <v>45254</v>
      </c>
      <c r="C2274" s="59">
        <v>50144376</v>
      </c>
      <c r="D2274" s="55" t="s">
        <v>19</v>
      </c>
      <c r="E2274" s="67">
        <v>500</v>
      </c>
      <c r="F2274" s="67">
        <v>2</v>
      </c>
      <c r="G2274" s="102">
        <v>1000</v>
      </c>
      <c r="H2274" s="56" t="s">
        <v>92</v>
      </c>
      <c r="K2274" s="56">
        <v>646</v>
      </c>
      <c r="L2274" s="55" t="s">
        <v>176</v>
      </c>
      <c r="M2274" s="55" t="s">
        <v>2824</v>
      </c>
      <c r="N2274" s="4" t="s">
        <v>177</v>
      </c>
      <c r="O2274" s="55" t="s">
        <v>178</v>
      </c>
    </row>
    <row r="2275" spans="2:15">
      <c r="B2275" s="20">
        <v>45254</v>
      </c>
      <c r="C2275" s="59">
        <v>50272278</v>
      </c>
      <c r="D2275" s="55" t="s">
        <v>21</v>
      </c>
      <c r="E2275" s="67">
        <v>500</v>
      </c>
      <c r="F2275" s="67">
        <v>1</v>
      </c>
      <c r="G2275" s="102">
        <v>250</v>
      </c>
      <c r="H2275" s="56" t="s">
        <v>92</v>
      </c>
      <c r="K2275" s="56">
        <v>646</v>
      </c>
      <c r="L2275" s="55" t="s">
        <v>176</v>
      </c>
      <c r="M2275" s="55" t="s">
        <v>2824</v>
      </c>
      <c r="N2275" s="4" t="s">
        <v>177</v>
      </c>
      <c r="O2275" s="55" t="s">
        <v>178</v>
      </c>
    </row>
    <row r="2276" spans="2:15">
      <c r="B2276" s="20">
        <v>45257</v>
      </c>
      <c r="C2276" s="59">
        <v>50144376</v>
      </c>
      <c r="D2276" s="55" t="s">
        <v>19</v>
      </c>
      <c r="E2276" s="67">
        <v>500</v>
      </c>
      <c r="F2276" s="67">
        <v>22</v>
      </c>
      <c r="G2276" s="102">
        <v>11000</v>
      </c>
      <c r="H2276" s="56" t="s">
        <v>92</v>
      </c>
      <c r="K2276" s="56">
        <v>647</v>
      </c>
      <c r="L2276" s="55" t="s">
        <v>176</v>
      </c>
      <c r="M2276" s="55" t="s">
        <v>2824</v>
      </c>
      <c r="N2276" s="4" t="s">
        <v>177</v>
      </c>
      <c r="O2276" s="55" t="s">
        <v>178</v>
      </c>
    </row>
    <row r="2277" spans="2:15">
      <c r="B2277" s="20">
        <v>45257</v>
      </c>
      <c r="C2277" s="59">
        <v>50142137</v>
      </c>
      <c r="D2277" s="55" t="s">
        <v>840</v>
      </c>
      <c r="E2277" s="67">
        <v>1200</v>
      </c>
      <c r="F2277" s="67">
        <v>1</v>
      </c>
      <c r="G2277" s="102">
        <v>1200</v>
      </c>
      <c r="H2277" s="56" t="s">
        <v>82</v>
      </c>
      <c r="K2277" s="56">
        <v>648</v>
      </c>
      <c r="L2277" s="55" t="s">
        <v>176</v>
      </c>
      <c r="M2277" s="55" t="s">
        <v>2824</v>
      </c>
      <c r="N2277" s="4" t="s">
        <v>177</v>
      </c>
      <c r="O2277" s="55" t="s">
        <v>178</v>
      </c>
    </row>
    <row r="2278" spans="2:15">
      <c r="B2278" s="20">
        <v>45257</v>
      </c>
      <c r="C2278" s="59">
        <v>40011130</v>
      </c>
      <c r="D2278" s="55" t="s">
        <v>631</v>
      </c>
      <c r="E2278" s="67">
        <v>2940</v>
      </c>
      <c r="F2278" s="67">
        <v>1</v>
      </c>
      <c r="G2278" s="102">
        <v>2940</v>
      </c>
      <c r="H2278" s="56" t="s">
        <v>80</v>
      </c>
      <c r="K2278" s="56">
        <v>648</v>
      </c>
      <c r="L2278" s="55" t="s">
        <v>176</v>
      </c>
      <c r="M2278" s="55" t="s">
        <v>2824</v>
      </c>
      <c r="N2278" s="4" t="s">
        <v>177</v>
      </c>
      <c r="O2278" s="55" t="s">
        <v>178</v>
      </c>
    </row>
    <row r="2279" spans="2:15">
      <c r="B2279" s="20">
        <v>45257</v>
      </c>
      <c r="C2279" s="59">
        <v>40011133</v>
      </c>
      <c r="D2279" s="55" t="s">
        <v>634</v>
      </c>
      <c r="E2279" s="67">
        <v>468</v>
      </c>
      <c r="F2279" s="67">
        <v>1</v>
      </c>
      <c r="G2279" s="102">
        <v>468</v>
      </c>
      <c r="H2279" s="56" t="s">
        <v>80</v>
      </c>
      <c r="K2279" s="56">
        <v>648</v>
      </c>
      <c r="L2279" s="55" t="s">
        <v>176</v>
      </c>
      <c r="M2279" s="55" t="s">
        <v>2824</v>
      </c>
      <c r="N2279" s="4" t="s">
        <v>177</v>
      </c>
      <c r="O2279" s="55" t="s">
        <v>178</v>
      </c>
    </row>
    <row r="2280" spans="2:15">
      <c r="B2280" s="20">
        <v>45257</v>
      </c>
      <c r="C2280" s="59">
        <v>50272278</v>
      </c>
      <c r="D2280" s="55" t="s">
        <v>21</v>
      </c>
      <c r="E2280" s="67">
        <v>500</v>
      </c>
      <c r="F2280" s="67">
        <v>7</v>
      </c>
      <c r="G2280" s="102">
        <v>3500</v>
      </c>
      <c r="H2280" s="56" t="s">
        <v>92</v>
      </c>
      <c r="K2280" s="56">
        <v>648</v>
      </c>
      <c r="L2280" s="55" t="s">
        <v>176</v>
      </c>
      <c r="M2280" s="55" t="s">
        <v>2824</v>
      </c>
      <c r="N2280" s="4" t="s">
        <v>177</v>
      </c>
      <c r="O2280" s="55" t="s">
        <v>178</v>
      </c>
    </row>
    <row r="2281" spans="2:15">
      <c r="B2281" s="20">
        <v>45257</v>
      </c>
      <c r="C2281" s="59">
        <v>50144200</v>
      </c>
      <c r="D2281" s="55" t="s">
        <v>184</v>
      </c>
      <c r="E2281" s="67">
        <v>264000</v>
      </c>
      <c r="F2281" s="67">
        <v>4</v>
      </c>
      <c r="G2281" s="102">
        <v>1056000</v>
      </c>
      <c r="H2281" s="56" t="s">
        <v>92</v>
      </c>
      <c r="K2281" s="56">
        <v>648</v>
      </c>
      <c r="L2281" s="55" t="s">
        <v>176</v>
      </c>
      <c r="M2281" s="55" t="s">
        <v>2824</v>
      </c>
      <c r="N2281" s="4" t="s">
        <v>177</v>
      </c>
      <c r="O2281" s="55" t="s">
        <v>178</v>
      </c>
    </row>
    <row r="2282" spans="2:15">
      <c r="B2282" s="20">
        <v>45257</v>
      </c>
      <c r="C2282" s="59">
        <v>50470190</v>
      </c>
      <c r="D2282" s="55" t="s">
        <v>12</v>
      </c>
      <c r="E2282" s="67">
        <v>289800</v>
      </c>
      <c r="F2282" s="67">
        <v>4</v>
      </c>
      <c r="G2282" s="102">
        <v>1159200</v>
      </c>
      <c r="H2282" s="56" t="s">
        <v>92</v>
      </c>
      <c r="K2282" s="56">
        <v>648</v>
      </c>
      <c r="L2282" s="55" t="s">
        <v>176</v>
      </c>
      <c r="M2282" s="55" t="s">
        <v>2824</v>
      </c>
      <c r="N2282" s="4" t="s">
        <v>177</v>
      </c>
      <c r="O2282" s="55" t="s">
        <v>178</v>
      </c>
    </row>
    <row r="2283" spans="2:15">
      <c r="B2283" s="20">
        <v>45257</v>
      </c>
      <c r="C2283" s="59">
        <v>50315365</v>
      </c>
      <c r="D2283" s="55" t="s">
        <v>584</v>
      </c>
      <c r="E2283" s="67">
        <v>253</v>
      </c>
      <c r="F2283" s="67">
        <v>1</v>
      </c>
      <c r="G2283" s="102">
        <v>253</v>
      </c>
      <c r="H2283" s="56" t="s">
        <v>80</v>
      </c>
      <c r="K2283" s="56">
        <v>648</v>
      </c>
      <c r="L2283" s="55" t="s">
        <v>176</v>
      </c>
      <c r="M2283" s="55" t="s">
        <v>2824</v>
      </c>
      <c r="N2283" s="4" t="s">
        <v>177</v>
      </c>
      <c r="O2283" s="55" t="s">
        <v>178</v>
      </c>
    </row>
    <row r="2284" spans="2:15">
      <c r="B2284" s="20">
        <v>45257</v>
      </c>
      <c r="C2284" s="59">
        <v>50509889</v>
      </c>
      <c r="D2284" s="55" t="s">
        <v>671</v>
      </c>
      <c r="E2284" s="67">
        <v>264000</v>
      </c>
      <c r="F2284" s="67">
        <v>2</v>
      </c>
      <c r="G2284" s="102">
        <v>528000</v>
      </c>
      <c r="H2284" s="56" t="s">
        <v>92</v>
      </c>
      <c r="K2284" s="56">
        <v>648</v>
      </c>
      <c r="L2284" s="55" t="s">
        <v>176</v>
      </c>
      <c r="M2284" s="55" t="s">
        <v>2824</v>
      </c>
      <c r="N2284" s="4" t="s">
        <v>177</v>
      </c>
      <c r="O2284" s="55" t="s">
        <v>178</v>
      </c>
    </row>
    <row r="2285" spans="2:15">
      <c r="B2285" s="20">
        <v>45258</v>
      </c>
      <c r="C2285" s="59">
        <v>50272278</v>
      </c>
      <c r="D2285" s="55" t="s">
        <v>21</v>
      </c>
      <c r="E2285" s="67">
        <v>500</v>
      </c>
      <c r="F2285" s="67">
        <v>22</v>
      </c>
      <c r="G2285" s="102">
        <v>11000</v>
      </c>
      <c r="H2285" s="56" t="s">
        <v>92</v>
      </c>
      <c r="K2285" s="56">
        <v>649</v>
      </c>
      <c r="L2285" s="55" t="s">
        <v>176</v>
      </c>
      <c r="M2285" s="55" t="s">
        <v>2824</v>
      </c>
      <c r="N2285" s="4" t="s">
        <v>177</v>
      </c>
      <c r="O2285" s="55" t="s">
        <v>178</v>
      </c>
    </row>
    <row r="2286" spans="2:15">
      <c r="B2286" s="20">
        <v>45258</v>
      </c>
      <c r="C2286" s="59">
        <v>50010080</v>
      </c>
      <c r="D2286" s="55" t="s">
        <v>354</v>
      </c>
      <c r="E2286" s="67">
        <v>1000</v>
      </c>
      <c r="F2286" s="67">
        <v>5</v>
      </c>
      <c r="G2286" s="102">
        <v>5000</v>
      </c>
      <c r="H2286" s="56" t="s">
        <v>82</v>
      </c>
      <c r="K2286" s="56">
        <v>650</v>
      </c>
      <c r="L2286" s="55" t="s">
        <v>176</v>
      </c>
      <c r="M2286" s="55" t="s">
        <v>2824</v>
      </c>
      <c r="N2286" s="4" t="s">
        <v>177</v>
      </c>
      <c r="O2286" s="55" t="s">
        <v>178</v>
      </c>
    </row>
    <row r="2287" spans="2:15">
      <c r="B2287" s="20">
        <v>45258</v>
      </c>
      <c r="C2287" s="59">
        <v>40009544</v>
      </c>
      <c r="D2287" s="55" t="s">
        <v>179</v>
      </c>
      <c r="E2287" s="67">
        <v>2940</v>
      </c>
      <c r="F2287" s="67">
        <v>4</v>
      </c>
      <c r="G2287" s="102">
        <v>7665</v>
      </c>
      <c r="H2287" s="56" t="s">
        <v>80</v>
      </c>
      <c r="K2287" s="56">
        <v>650</v>
      </c>
      <c r="L2287" s="55" t="s">
        <v>176</v>
      </c>
      <c r="M2287" s="55" t="s">
        <v>2824</v>
      </c>
      <c r="N2287" s="4" t="s">
        <v>177</v>
      </c>
      <c r="O2287" s="55" t="s">
        <v>178</v>
      </c>
    </row>
    <row r="2288" spans="2:15">
      <c r="B2288" s="20">
        <v>45258</v>
      </c>
      <c r="C2288" s="59">
        <v>40009546</v>
      </c>
      <c r="D2288" s="55" t="s">
        <v>174</v>
      </c>
      <c r="E2288" s="67">
        <v>756</v>
      </c>
      <c r="F2288" s="67">
        <v>5</v>
      </c>
      <c r="G2288" s="102">
        <v>3222</v>
      </c>
      <c r="H2288" s="56" t="s">
        <v>80</v>
      </c>
      <c r="K2288" s="56">
        <v>650</v>
      </c>
      <c r="L2288" s="55" t="s">
        <v>176</v>
      </c>
      <c r="M2288" s="55" t="s">
        <v>2824</v>
      </c>
      <c r="N2288" s="4" t="s">
        <v>177</v>
      </c>
      <c r="O2288" s="55" t="s">
        <v>178</v>
      </c>
    </row>
    <row r="2289" spans="2:15">
      <c r="B2289" s="20">
        <v>45258</v>
      </c>
      <c r="C2289" s="59">
        <v>50143875</v>
      </c>
      <c r="D2289" s="55" t="s">
        <v>713</v>
      </c>
      <c r="E2289" s="67">
        <v>7200</v>
      </c>
      <c r="F2289" s="67">
        <v>1</v>
      </c>
      <c r="G2289" s="102">
        <v>7200</v>
      </c>
      <c r="H2289" s="56" t="s">
        <v>92</v>
      </c>
      <c r="K2289" s="56">
        <v>650</v>
      </c>
      <c r="L2289" s="55" t="s">
        <v>176</v>
      </c>
      <c r="M2289" s="55" t="s">
        <v>2824</v>
      </c>
      <c r="N2289" s="4" t="s">
        <v>177</v>
      </c>
      <c r="O2289" s="55" t="s">
        <v>178</v>
      </c>
    </row>
    <row r="2290" spans="2:15">
      <c r="B2290" s="20">
        <v>45258</v>
      </c>
      <c r="C2290" s="59">
        <v>50144200</v>
      </c>
      <c r="D2290" s="55" t="s">
        <v>184</v>
      </c>
      <c r="E2290" s="67">
        <v>264000</v>
      </c>
      <c r="F2290" s="67">
        <v>5</v>
      </c>
      <c r="G2290" s="102">
        <v>1320000</v>
      </c>
      <c r="H2290" s="56" t="s">
        <v>92</v>
      </c>
      <c r="K2290" s="56">
        <v>650</v>
      </c>
      <c r="L2290" s="55" t="s">
        <v>176</v>
      </c>
      <c r="M2290" s="55" t="s">
        <v>2824</v>
      </c>
      <c r="N2290" s="4" t="s">
        <v>177</v>
      </c>
      <c r="O2290" s="55" t="s">
        <v>178</v>
      </c>
    </row>
    <row r="2291" spans="2:15">
      <c r="B2291" s="20">
        <v>45258</v>
      </c>
      <c r="C2291" s="59">
        <v>50507916</v>
      </c>
      <c r="D2291" s="55" t="s">
        <v>406</v>
      </c>
      <c r="E2291" s="67">
        <v>264000</v>
      </c>
      <c r="F2291" s="67">
        <v>2</v>
      </c>
      <c r="G2291" s="102">
        <v>528000</v>
      </c>
      <c r="H2291" s="56" t="s">
        <v>92</v>
      </c>
      <c r="K2291" s="56">
        <v>650</v>
      </c>
      <c r="L2291" s="55" t="s">
        <v>176</v>
      </c>
      <c r="M2291" s="55" t="s">
        <v>2824</v>
      </c>
      <c r="N2291" s="4" t="s">
        <v>177</v>
      </c>
      <c r="O2291" s="55" t="s">
        <v>178</v>
      </c>
    </row>
    <row r="2292" spans="2:15">
      <c r="B2292" s="20">
        <v>45259</v>
      </c>
      <c r="C2292" s="59">
        <v>50812974</v>
      </c>
      <c r="D2292" s="55" t="s">
        <v>822</v>
      </c>
      <c r="E2292" s="67">
        <v>289800</v>
      </c>
      <c r="F2292" s="67">
        <f>+G2292/289800</f>
        <v>8</v>
      </c>
      <c r="G2292" s="102">
        <v>2318400</v>
      </c>
      <c r="H2292" s="56" t="s">
        <v>92</v>
      </c>
      <c r="K2292" s="56">
        <v>651</v>
      </c>
      <c r="L2292" s="55" t="s">
        <v>176</v>
      </c>
      <c r="M2292" s="55" t="s">
        <v>2824</v>
      </c>
      <c r="N2292" s="4" t="s">
        <v>177</v>
      </c>
      <c r="O2292" s="55" t="s">
        <v>178</v>
      </c>
    </row>
    <row r="2293" spans="2:15">
      <c r="B2293" s="20">
        <v>45259</v>
      </c>
      <c r="C2293" s="59">
        <v>50802401</v>
      </c>
      <c r="D2293" s="55" t="s">
        <v>13</v>
      </c>
      <c r="E2293" s="67">
        <v>289800</v>
      </c>
      <c r="F2293" s="67">
        <f>+G2293/289800</f>
        <v>2</v>
      </c>
      <c r="G2293" s="102">
        <v>579600</v>
      </c>
      <c r="H2293" s="56" t="s">
        <v>92</v>
      </c>
      <c r="K2293" s="56">
        <v>651</v>
      </c>
      <c r="L2293" s="55" t="s">
        <v>176</v>
      </c>
      <c r="M2293" s="55" t="s">
        <v>2824</v>
      </c>
      <c r="N2293" s="4" t="s">
        <v>177</v>
      </c>
      <c r="O2293" s="55" t="s">
        <v>178</v>
      </c>
    </row>
    <row r="2294" spans="2:15">
      <c r="B2294" s="20">
        <v>45259</v>
      </c>
      <c r="C2294" s="59">
        <v>50272278</v>
      </c>
      <c r="D2294" s="55" t="s">
        <v>21</v>
      </c>
      <c r="E2294" s="67">
        <v>500</v>
      </c>
      <c r="F2294" s="67">
        <v>10</v>
      </c>
      <c r="G2294" s="102">
        <v>5000</v>
      </c>
      <c r="H2294" s="56" t="s">
        <v>92</v>
      </c>
      <c r="K2294" s="56">
        <v>651</v>
      </c>
      <c r="L2294" s="55" t="s">
        <v>176</v>
      </c>
      <c r="M2294" s="55" t="s">
        <v>2824</v>
      </c>
      <c r="N2294" s="4" t="s">
        <v>177</v>
      </c>
      <c r="O2294" s="55" t="s">
        <v>178</v>
      </c>
    </row>
    <row r="2295" spans="2:15">
      <c r="B2295" s="20">
        <v>45259</v>
      </c>
      <c r="C2295" s="59">
        <v>40010087</v>
      </c>
      <c r="D2295" s="55" t="s">
        <v>387</v>
      </c>
      <c r="E2295" s="67">
        <v>756</v>
      </c>
      <c r="F2295" s="67">
        <v>2</v>
      </c>
      <c r="G2295" s="102">
        <v>1512</v>
      </c>
      <c r="H2295" s="56" t="s">
        <v>80</v>
      </c>
      <c r="K2295" s="56">
        <v>652</v>
      </c>
      <c r="L2295" s="55" t="s">
        <v>176</v>
      </c>
      <c r="M2295" s="55" t="s">
        <v>2824</v>
      </c>
      <c r="N2295" s="4" t="s">
        <v>177</v>
      </c>
      <c r="O2295" s="55" t="s">
        <v>178</v>
      </c>
    </row>
    <row r="2296" spans="2:15">
      <c r="B2296" s="20">
        <v>45259</v>
      </c>
      <c r="C2296" s="59">
        <v>50272278</v>
      </c>
      <c r="D2296" s="55" t="s">
        <v>21</v>
      </c>
      <c r="E2296" s="67">
        <v>500</v>
      </c>
      <c r="F2296" s="67">
        <v>8</v>
      </c>
      <c r="G2296" s="102">
        <v>4000</v>
      </c>
      <c r="H2296" s="56" t="s">
        <v>92</v>
      </c>
      <c r="K2296" s="56">
        <v>652</v>
      </c>
      <c r="L2296" s="55" t="s">
        <v>176</v>
      </c>
      <c r="M2296" s="55" t="s">
        <v>2824</v>
      </c>
      <c r="N2296" s="4" t="s">
        <v>177</v>
      </c>
      <c r="O2296" s="55" t="s">
        <v>178</v>
      </c>
    </row>
    <row r="2297" spans="2:15">
      <c r="B2297" s="20">
        <v>45259</v>
      </c>
      <c r="C2297" s="59">
        <v>50144200</v>
      </c>
      <c r="D2297" s="55" t="s">
        <v>184</v>
      </c>
      <c r="E2297" s="67">
        <v>264000</v>
      </c>
      <c r="F2297" s="67">
        <v>4</v>
      </c>
      <c r="G2297" s="102">
        <v>1056000</v>
      </c>
      <c r="H2297" s="56" t="s">
        <v>92</v>
      </c>
      <c r="K2297" s="56">
        <v>652</v>
      </c>
      <c r="L2297" s="55" t="s">
        <v>176</v>
      </c>
      <c r="M2297" s="55" t="s">
        <v>2824</v>
      </c>
      <c r="N2297" s="4" t="s">
        <v>177</v>
      </c>
      <c r="O2297" s="55" t="s">
        <v>178</v>
      </c>
    </row>
    <row r="2298" spans="2:15">
      <c r="B2298" s="20">
        <v>45259</v>
      </c>
      <c r="C2298" s="59">
        <v>50507916</v>
      </c>
      <c r="D2298" s="55" t="s">
        <v>406</v>
      </c>
      <c r="E2298" s="67">
        <v>264000</v>
      </c>
      <c r="F2298" s="67">
        <v>2</v>
      </c>
      <c r="G2298" s="102">
        <v>528000</v>
      </c>
      <c r="H2298" s="56" t="s">
        <v>92</v>
      </c>
      <c r="K2298" s="56">
        <v>652</v>
      </c>
      <c r="L2298" s="55" t="s">
        <v>176</v>
      </c>
      <c r="M2298" s="55" t="s">
        <v>2824</v>
      </c>
      <c r="N2298" s="4" t="s">
        <v>177</v>
      </c>
      <c r="O2298" s="55" t="s">
        <v>178</v>
      </c>
    </row>
    <row r="2299" spans="2:15">
      <c r="B2299" s="20">
        <v>45259</v>
      </c>
      <c r="C2299" s="59">
        <v>50809146</v>
      </c>
      <c r="D2299" s="55" t="s">
        <v>1030</v>
      </c>
      <c r="E2299" s="67">
        <v>456</v>
      </c>
      <c r="F2299" s="67">
        <v>6</v>
      </c>
      <c r="G2299" s="102">
        <v>3072.16</v>
      </c>
      <c r="H2299" s="56" t="s">
        <v>82</v>
      </c>
      <c r="K2299" s="56">
        <v>652</v>
      </c>
      <c r="L2299" s="55" t="s">
        <v>176</v>
      </c>
      <c r="M2299" s="55" t="s">
        <v>2824</v>
      </c>
      <c r="N2299" s="4" t="s">
        <v>177</v>
      </c>
      <c r="O2299" s="55" t="s">
        <v>178</v>
      </c>
    </row>
    <row r="2300" spans="2:15">
      <c r="B2300" s="20">
        <v>45260</v>
      </c>
      <c r="C2300" s="59">
        <v>50315365</v>
      </c>
      <c r="D2300" s="55" t="s">
        <v>584</v>
      </c>
      <c r="E2300" s="67">
        <v>264</v>
      </c>
      <c r="F2300" s="67">
        <v>2</v>
      </c>
      <c r="G2300" s="102">
        <v>528</v>
      </c>
      <c r="H2300" s="56" t="s">
        <v>80</v>
      </c>
      <c r="K2300" s="56">
        <v>653</v>
      </c>
      <c r="L2300" s="55" t="s">
        <v>176</v>
      </c>
      <c r="M2300" s="55" t="s">
        <v>2824</v>
      </c>
      <c r="N2300" s="4" t="s">
        <v>177</v>
      </c>
      <c r="O2300" s="55" t="s">
        <v>533</v>
      </c>
    </row>
    <row r="2301" spans="2:15">
      <c r="B2301" s="20">
        <v>45260</v>
      </c>
      <c r="C2301" s="59">
        <v>50142327</v>
      </c>
      <c r="D2301" s="55" t="s">
        <v>256</v>
      </c>
      <c r="E2301" s="67">
        <v>681</v>
      </c>
      <c r="F2301" s="67">
        <v>2</v>
      </c>
      <c r="G2301" s="102">
        <v>2724</v>
      </c>
      <c r="H2301" s="56" t="s">
        <v>82</v>
      </c>
      <c r="K2301" s="56">
        <v>653</v>
      </c>
      <c r="L2301" s="55" t="s">
        <v>176</v>
      </c>
      <c r="M2301" s="55" t="s">
        <v>2824</v>
      </c>
      <c r="N2301" s="4" t="s">
        <v>177</v>
      </c>
      <c r="O2301" s="55" t="s">
        <v>533</v>
      </c>
    </row>
    <row r="2302" spans="2:15">
      <c r="B2302" s="20">
        <v>45260</v>
      </c>
      <c r="C2302" s="59">
        <v>50142334</v>
      </c>
      <c r="D2302" s="55" t="s">
        <v>257</v>
      </c>
      <c r="E2302" s="67">
        <v>681</v>
      </c>
      <c r="F2302" s="67">
        <v>2</v>
      </c>
      <c r="G2302" s="102">
        <v>2724</v>
      </c>
      <c r="H2302" s="56" t="s">
        <v>82</v>
      </c>
      <c r="K2302" s="56">
        <v>653</v>
      </c>
      <c r="L2302" s="55" t="s">
        <v>176</v>
      </c>
      <c r="M2302" s="55" t="s">
        <v>2824</v>
      </c>
      <c r="N2302" s="4" t="s">
        <v>177</v>
      </c>
      <c r="O2302" s="55" t="s">
        <v>533</v>
      </c>
    </row>
    <row r="2303" spans="2:15">
      <c r="B2303" s="20">
        <v>45260</v>
      </c>
      <c r="C2303" s="59">
        <v>50812974</v>
      </c>
      <c r="D2303" s="55" t="s">
        <v>822</v>
      </c>
      <c r="E2303" s="67">
        <v>289800</v>
      </c>
      <c r="F2303" s="67">
        <v>2</v>
      </c>
      <c r="G2303" s="102">
        <v>2318400</v>
      </c>
      <c r="H2303" s="56" t="s">
        <v>92</v>
      </c>
      <c r="K2303" s="56">
        <v>653</v>
      </c>
      <c r="L2303" s="55" t="s">
        <v>176</v>
      </c>
      <c r="M2303" s="55" t="s">
        <v>2824</v>
      </c>
      <c r="N2303" s="4" t="s">
        <v>177</v>
      </c>
      <c r="O2303" s="55" t="s">
        <v>533</v>
      </c>
    </row>
    <row r="2304" spans="2:15">
      <c r="B2304" s="20">
        <v>45260</v>
      </c>
      <c r="C2304" s="59">
        <v>50272278</v>
      </c>
      <c r="D2304" s="55" t="s">
        <v>21</v>
      </c>
      <c r="E2304" s="67">
        <v>500</v>
      </c>
      <c r="F2304" s="67">
        <v>18</v>
      </c>
      <c r="G2304" s="102">
        <f>18*500</f>
        <v>9000</v>
      </c>
      <c r="H2304" s="56" t="s">
        <v>92</v>
      </c>
      <c r="K2304" s="56">
        <v>654</v>
      </c>
      <c r="L2304" s="55" t="s">
        <v>176</v>
      </c>
      <c r="M2304" s="55" t="s">
        <v>2824</v>
      </c>
      <c r="N2304" s="4" t="s">
        <v>177</v>
      </c>
      <c r="O2304" s="55" t="s">
        <v>533</v>
      </c>
    </row>
    <row r="2305" spans="2:15">
      <c r="B2305" s="20">
        <v>45260</v>
      </c>
      <c r="C2305" s="59">
        <v>50793278</v>
      </c>
      <c r="D2305" s="55" t="s">
        <v>1086</v>
      </c>
      <c r="E2305" s="67">
        <v>1000</v>
      </c>
      <c r="F2305" s="67">
        <v>4</v>
      </c>
      <c r="G2305" s="102">
        <v>40</v>
      </c>
      <c r="H2305" s="56" t="s">
        <v>1087</v>
      </c>
      <c r="K2305" s="56">
        <v>654</v>
      </c>
      <c r="L2305" s="55" t="s">
        <v>176</v>
      </c>
      <c r="M2305" s="55" t="s">
        <v>2824</v>
      </c>
      <c r="N2305" s="4" t="s">
        <v>177</v>
      </c>
      <c r="O2305" s="55" t="s">
        <v>533</v>
      </c>
    </row>
    <row r="2306" spans="2:15">
      <c r="B2306" s="20">
        <v>45261</v>
      </c>
      <c r="C2306" s="59">
        <v>50272278</v>
      </c>
      <c r="D2306" s="55" t="s">
        <v>21</v>
      </c>
      <c r="E2306" s="67">
        <v>500</v>
      </c>
      <c r="F2306" s="67">
        <v>14</v>
      </c>
      <c r="G2306" s="102">
        <v>7000</v>
      </c>
      <c r="H2306" s="56" t="s">
        <v>92</v>
      </c>
      <c r="K2306" s="56">
        <v>655</v>
      </c>
      <c r="L2306" s="55" t="s">
        <v>176</v>
      </c>
      <c r="M2306" s="55" t="s">
        <v>2824</v>
      </c>
      <c r="N2306" s="4" t="s">
        <v>177</v>
      </c>
      <c r="O2306" s="55" t="s">
        <v>533</v>
      </c>
    </row>
    <row r="2307" spans="2:15">
      <c r="B2307" s="20">
        <v>45261</v>
      </c>
      <c r="C2307" s="59">
        <v>50142281</v>
      </c>
      <c r="D2307" s="55" t="s">
        <v>204</v>
      </c>
      <c r="E2307" s="67">
        <v>450</v>
      </c>
      <c r="F2307" s="67">
        <v>2</v>
      </c>
      <c r="G2307" s="102">
        <v>900</v>
      </c>
      <c r="H2307" s="56" t="s">
        <v>82</v>
      </c>
      <c r="K2307" s="56">
        <v>655</v>
      </c>
      <c r="L2307" s="55" t="s">
        <v>176</v>
      </c>
      <c r="M2307" s="55" t="s">
        <v>2824</v>
      </c>
      <c r="N2307" s="4" t="s">
        <v>177</v>
      </c>
      <c r="O2307" s="55" t="s">
        <v>533</v>
      </c>
    </row>
    <row r="2308" spans="2:15">
      <c r="B2308" s="20">
        <v>45261</v>
      </c>
      <c r="C2308" s="59">
        <v>50142330</v>
      </c>
      <c r="D2308" s="55" t="s">
        <v>195</v>
      </c>
      <c r="E2308" s="67">
        <v>359.28</v>
      </c>
      <c r="F2308" s="67">
        <v>2</v>
      </c>
      <c r="G2308" s="102">
        <v>718.56</v>
      </c>
      <c r="H2308" s="56" t="s">
        <v>82</v>
      </c>
      <c r="K2308" s="56">
        <v>655</v>
      </c>
      <c r="L2308" s="55" t="s">
        <v>176</v>
      </c>
      <c r="M2308" s="55" t="s">
        <v>2824</v>
      </c>
      <c r="N2308" s="4" t="s">
        <v>177</v>
      </c>
      <c r="O2308" s="55" t="s">
        <v>533</v>
      </c>
    </row>
    <row r="2309" spans="2:15">
      <c r="B2309" s="20">
        <v>45261</v>
      </c>
      <c r="C2309" s="59">
        <v>50315365</v>
      </c>
      <c r="D2309" s="55" t="s">
        <v>584</v>
      </c>
      <c r="E2309" s="67">
        <v>264</v>
      </c>
      <c r="F2309" s="67">
        <v>2</v>
      </c>
      <c r="G2309" s="102">
        <v>528</v>
      </c>
      <c r="H2309" s="56" t="s">
        <v>80</v>
      </c>
      <c r="K2309" s="56">
        <v>655</v>
      </c>
      <c r="L2309" s="55" t="s">
        <v>176</v>
      </c>
      <c r="M2309" s="55" t="s">
        <v>2824</v>
      </c>
      <c r="N2309" s="4" t="s">
        <v>177</v>
      </c>
      <c r="O2309" s="55" t="s">
        <v>533</v>
      </c>
    </row>
    <row r="2310" spans="2:15">
      <c r="B2310" s="20">
        <v>45261</v>
      </c>
      <c r="C2310" s="59">
        <v>40010084</v>
      </c>
      <c r="D2310" s="55" t="s">
        <v>81</v>
      </c>
      <c r="E2310" s="67">
        <v>1344</v>
      </c>
      <c r="F2310" s="67">
        <v>1</v>
      </c>
      <c r="G2310" s="102">
        <v>1344</v>
      </c>
      <c r="H2310" s="56" t="s">
        <v>80</v>
      </c>
      <c r="K2310" s="56">
        <v>655</v>
      </c>
      <c r="L2310" s="55" t="s">
        <v>176</v>
      </c>
      <c r="M2310" s="55" t="s">
        <v>2824</v>
      </c>
      <c r="N2310" s="4" t="s">
        <v>177</v>
      </c>
      <c r="O2310" s="55" t="s">
        <v>533</v>
      </c>
    </row>
    <row r="2311" spans="2:15">
      <c r="B2311" s="20">
        <v>45261</v>
      </c>
      <c r="C2311" s="59">
        <v>50145028</v>
      </c>
      <c r="D2311" s="55" t="s">
        <v>23</v>
      </c>
      <c r="E2311" s="67">
        <v>192</v>
      </c>
      <c r="F2311" s="67">
        <v>1</v>
      </c>
      <c r="G2311" s="102">
        <v>192</v>
      </c>
      <c r="H2311" s="56" t="s">
        <v>92</v>
      </c>
      <c r="K2311" s="56">
        <v>655</v>
      </c>
      <c r="L2311" s="55" t="s">
        <v>176</v>
      </c>
      <c r="M2311" s="55" t="s">
        <v>2824</v>
      </c>
      <c r="N2311" s="4" t="s">
        <v>177</v>
      </c>
      <c r="O2311" s="55" t="s">
        <v>533</v>
      </c>
    </row>
    <row r="2312" spans="2:15">
      <c r="B2312" s="20">
        <v>45261</v>
      </c>
      <c r="C2312" s="59">
        <v>50141786</v>
      </c>
      <c r="D2312" s="55" t="s">
        <v>188</v>
      </c>
      <c r="E2312" s="67">
        <v>560</v>
      </c>
      <c r="F2312" s="67">
        <v>22</v>
      </c>
      <c r="G2312" s="102">
        <v>12320</v>
      </c>
      <c r="H2312" s="56" t="s">
        <v>82</v>
      </c>
      <c r="K2312" s="56">
        <v>656</v>
      </c>
      <c r="L2312" s="55" t="s">
        <v>176</v>
      </c>
      <c r="M2312" s="55" t="s">
        <v>2824</v>
      </c>
      <c r="N2312" s="4" t="s">
        <v>177</v>
      </c>
      <c r="O2312" s="55" t="s">
        <v>533</v>
      </c>
    </row>
    <row r="2313" spans="2:15">
      <c r="B2313" s="20">
        <v>45264</v>
      </c>
      <c r="C2313" s="59">
        <v>50435419</v>
      </c>
      <c r="D2313" s="55" t="s">
        <v>656</v>
      </c>
      <c r="E2313" s="67">
        <v>896</v>
      </c>
      <c r="F2313" s="67">
        <v>7</v>
      </c>
      <c r="G2313" s="102">
        <v>5992</v>
      </c>
      <c r="H2313" s="56" t="s">
        <v>82</v>
      </c>
      <c r="K2313" s="56">
        <v>657</v>
      </c>
      <c r="L2313" s="55" t="s">
        <v>176</v>
      </c>
      <c r="M2313" s="55" t="s">
        <v>2824</v>
      </c>
      <c r="N2313" s="4" t="s">
        <v>177</v>
      </c>
      <c r="O2313" s="55" t="s">
        <v>533</v>
      </c>
    </row>
    <row r="2314" spans="2:15">
      <c r="B2314" s="20">
        <v>45264</v>
      </c>
      <c r="C2314" s="59">
        <v>50751654</v>
      </c>
      <c r="D2314" s="55" t="s">
        <v>874</v>
      </c>
      <c r="E2314" s="67">
        <v>896</v>
      </c>
      <c r="F2314" s="67">
        <v>4</v>
      </c>
      <c r="G2314" s="102">
        <v>3584</v>
      </c>
      <c r="H2314" s="56" t="s">
        <v>82</v>
      </c>
      <c r="K2314" s="56">
        <v>657</v>
      </c>
      <c r="L2314" s="55" t="s">
        <v>176</v>
      </c>
      <c r="M2314" s="55" t="s">
        <v>2824</v>
      </c>
      <c r="N2314" s="4" t="s">
        <v>177</v>
      </c>
      <c r="O2314" s="55" t="s">
        <v>533</v>
      </c>
    </row>
    <row r="2315" spans="2:15">
      <c r="B2315" s="20">
        <v>45264</v>
      </c>
      <c r="C2315" s="59">
        <v>50338577</v>
      </c>
      <c r="D2315" s="55" t="s">
        <v>1097</v>
      </c>
      <c r="E2315" s="67">
        <v>600</v>
      </c>
      <c r="F2315" s="67">
        <v>3</v>
      </c>
      <c r="G2315" s="102">
        <v>1450</v>
      </c>
      <c r="H2315" s="56" t="s">
        <v>82</v>
      </c>
      <c r="K2315" s="56">
        <v>657</v>
      </c>
      <c r="L2315" s="55" t="s">
        <v>176</v>
      </c>
      <c r="M2315" s="55" t="s">
        <v>2824</v>
      </c>
      <c r="N2315" s="4" t="s">
        <v>177</v>
      </c>
      <c r="O2315" s="55" t="s">
        <v>533</v>
      </c>
    </row>
    <row r="2316" spans="2:15">
      <c r="B2316" s="20">
        <v>45264</v>
      </c>
      <c r="C2316" s="59">
        <v>50470190</v>
      </c>
      <c r="D2316" s="55" t="s">
        <v>12</v>
      </c>
      <c r="E2316" s="67">
        <v>289800</v>
      </c>
      <c r="F2316" s="67">
        <v>10</v>
      </c>
      <c r="G2316" s="102">
        <v>2898000</v>
      </c>
      <c r="H2316" s="56" t="s">
        <v>92</v>
      </c>
      <c r="K2316" s="56">
        <v>658</v>
      </c>
      <c r="L2316" s="55" t="s">
        <v>176</v>
      </c>
      <c r="M2316" s="55" t="s">
        <v>2824</v>
      </c>
      <c r="N2316" s="4" t="s">
        <v>177</v>
      </c>
      <c r="O2316" s="55" t="s">
        <v>533</v>
      </c>
    </row>
    <row r="2317" spans="2:15">
      <c r="B2317" s="20">
        <v>45264</v>
      </c>
      <c r="C2317" s="59">
        <v>50272278</v>
      </c>
      <c r="D2317" s="55" t="s">
        <v>21</v>
      </c>
      <c r="E2317" s="67">
        <v>500</v>
      </c>
      <c r="F2317" s="67">
        <v>10</v>
      </c>
      <c r="G2317" s="102">
        <v>5000</v>
      </c>
      <c r="H2317" s="56" t="s">
        <v>92</v>
      </c>
      <c r="K2317" s="56">
        <v>658</v>
      </c>
      <c r="L2317" s="55" t="s">
        <v>176</v>
      </c>
      <c r="M2317" s="55" t="s">
        <v>2824</v>
      </c>
      <c r="N2317" s="4" t="s">
        <v>177</v>
      </c>
      <c r="O2317" s="55" t="s">
        <v>533</v>
      </c>
    </row>
    <row r="2318" spans="2:15">
      <c r="B2318" s="20">
        <v>45265</v>
      </c>
      <c r="C2318" s="59">
        <v>50272278</v>
      </c>
      <c r="D2318" s="55" t="s">
        <v>21</v>
      </c>
      <c r="E2318" s="67">
        <v>500</v>
      </c>
      <c r="F2318" s="67">
        <v>22</v>
      </c>
      <c r="G2318" s="102">
        <v>11000</v>
      </c>
      <c r="H2318" s="56" t="s">
        <v>92</v>
      </c>
      <c r="K2318" s="56">
        <v>659</v>
      </c>
      <c r="L2318" s="55" t="s">
        <v>176</v>
      </c>
      <c r="M2318" s="55" t="s">
        <v>2824</v>
      </c>
      <c r="N2318" s="4" t="s">
        <v>177</v>
      </c>
      <c r="O2318" s="55" t="s">
        <v>533</v>
      </c>
    </row>
    <row r="2319" spans="2:15">
      <c r="B2319" s="20">
        <v>45265</v>
      </c>
      <c r="C2319" s="59">
        <v>40009543</v>
      </c>
      <c r="D2319" s="55" t="s">
        <v>473</v>
      </c>
      <c r="E2319" s="67">
        <v>1920</v>
      </c>
      <c r="F2319" s="67">
        <v>3</v>
      </c>
      <c r="G2319" s="102">
        <v>5749</v>
      </c>
      <c r="H2319" s="56" t="s">
        <v>80</v>
      </c>
      <c r="K2319" s="56">
        <v>660</v>
      </c>
      <c r="L2319" s="55" t="s">
        <v>176</v>
      </c>
      <c r="M2319" s="55" t="s">
        <v>2824</v>
      </c>
      <c r="N2319" s="4" t="s">
        <v>177</v>
      </c>
      <c r="O2319" s="55" t="s">
        <v>533</v>
      </c>
    </row>
    <row r="2320" spans="2:15">
      <c r="B2320" s="20">
        <v>45265</v>
      </c>
      <c r="C2320" s="59">
        <v>40009541</v>
      </c>
      <c r="D2320" s="55" t="s">
        <v>685</v>
      </c>
      <c r="E2320" s="67">
        <v>4704</v>
      </c>
      <c r="F2320" s="67">
        <v>1</v>
      </c>
      <c r="G2320" s="102">
        <v>4704</v>
      </c>
      <c r="H2320" s="56" t="s">
        <v>80</v>
      </c>
      <c r="K2320" s="56">
        <v>660</v>
      </c>
      <c r="L2320" s="55" t="s">
        <v>176</v>
      </c>
      <c r="M2320" s="55" t="s">
        <v>2824</v>
      </c>
      <c r="N2320" s="4" t="s">
        <v>177</v>
      </c>
      <c r="O2320" s="55" t="s">
        <v>533</v>
      </c>
    </row>
    <row r="2321" spans="2:15">
      <c r="B2321" s="20">
        <v>45265</v>
      </c>
      <c r="C2321" s="59">
        <v>50315365</v>
      </c>
      <c r="D2321" s="55" t="s">
        <v>584</v>
      </c>
      <c r="E2321" s="67">
        <v>264</v>
      </c>
      <c r="F2321" s="67">
        <v>2</v>
      </c>
      <c r="G2321" s="102">
        <v>528</v>
      </c>
      <c r="H2321" s="56" t="s">
        <v>80</v>
      </c>
      <c r="K2321" s="56">
        <v>660</v>
      </c>
      <c r="L2321" s="55" t="s">
        <v>176</v>
      </c>
      <c r="M2321" s="55" t="s">
        <v>2824</v>
      </c>
      <c r="N2321" s="4" t="s">
        <v>177</v>
      </c>
      <c r="O2321" s="55" t="s">
        <v>533</v>
      </c>
    </row>
    <row r="2322" spans="2:15">
      <c r="B2322" s="20">
        <v>45265</v>
      </c>
      <c r="C2322" s="59">
        <v>50144200</v>
      </c>
      <c r="D2322" s="55" t="s">
        <v>184</v>
      </c>
      <c r="E2322" s="67">
        <v>264000</v>
      </c>
      <c r="F2322" s="67">
        <v>5</v>
      </c>
      <c r="G2322" s="102">
        <v>1320000</v>
      </c>
      <c r="H2322" s="56" t="s">
        <v>92</v>
      </c>
      <c r="K2322" s="56">
        <v>660</v>
      </c>
      <c r="L2322" s="55" t="s">
        <v>176</v>
      </c>
      <c r="M2322" s="55" t="s">
        <v>2824</v>
      </c>
      <c r="N2322" s="4" t="s">
        <v>177</v>
      </c>
      <c r="O2322" s="55" t="s">
        <v>533</v>
      </c>
    </row>
    <row r="2323" spans="2:15">
      <c r="B2323" s="20">
        <v>45265</v>
      </c>
      <c r="C2323" s="59">
        <v>40011080</v>
      </c>
      <c r="D2323" s="55" t="s">
        <v>420</v>
      </c>
      <c r="E2323" s="67">
        <v>450</v>
      </c>
      <c r="F2323" s="67">
        <v>4</v>
      </c>
      <c r="G2323" s="102">
        <v>1800</v>
      </c>
      <c r="H2323" s="56" t="s">
        <v>80</v>
      </c>
      <c r="K2323" s="56">
        <v>660</v>
      </c>
      <c r="L2323" s="55" t="s">
        <v>176</v>
      </c>
      <c r="M2323" s="55" t="s">
        <v>2824</v>
      </c>
      <c r="N2323" s="4" t="s">
        <v>177</v>
      </c>
      <c r="O2323" s="55" t="s">
        <v>533</v>
      </c>
    </row>
    <row r="2324" spans="2:15">
      <c r="B2324" s="20">
        <v>45265</v>
      </c>
      <c r="C2324" s="59">
        <v>40009546</v>
      </c>
      <c r="D2324" s="55" t="s">
        <v>174</v>
      </c>
      <c r="E2324" s="67">
        <v>756</v>
      </c>
      <c r="F2324" s="67">
        <v>5</v>
      </c>
      <c r="G2324" s="102">
        <v>3780</v>
      </c>
      <c r="H2324" s="56" t="s">
        <v>80</v>
      </c>
      <c r="K2324" s="56">
        <v>660</v>
      </c>
      <c r="L2324" s="55" t="s">
        <v>176</v>
      </c>
      <c r="M2324" s="55" t="s">
        <v>2824</v>
      </c>
      <c r="N2324" s="4" t="s">
        <v>177</v>
      </c>
      <c r="O2324" s="55" t="s">
        <v>533</v>
      </c>
    </row>
    <row r="2325" spans="2:15">
      <c r="B2325" s="20">
        <v>45265</v>
      </c>
      <c r="C2325" s="59">
        <v>50145187</v>
      </c>
      <c r="D2325" s="55" t="s">
        <v>465</v>
      </c>
      <c r="E2325" s="67">
        <v>264000</v>
      </c>
      <c r="F2325" s="67">
        <v>2</v>
      </c>
      <c r="G2325" s="102">
        <v>528000</v>
      </c>
      <c r="H2325" s="56" t="s">
        <v>92</v>
      </c>
      <c r="K2325" s="56">
        <v>660</v>
      </c>
      <c r="L2325" s="55" t="s">
        <v>176</v>
      </c>
      <c r="M2325" s="55" t="s">
        <v>2824</v>
      </c>
      <c r="N2325" s="4" t="s">
        <v>177</v>
      </c>
      <c r="O2325" s="55" t="s">
        <v>533</v>
      </c>
    </row>
    <row r="2326" spans="2:15">
      <c r="B2326" s="20">
        <v>45265</v>
      </c>
      <c r="C2326" s="59">
        <v>50272278</v>
      </c>
      <c r="D2326" s="55" t="s">
        <v>21</v>
      </c>
      <c r="E2326" s="67">
        <v>500</v>
      </c>
      <c r="F2326" s="67">
        <v>22</v>
      </c>
      <c r="G2326" s="102">
        <v>11000</v>
      </c>
      <c r="H2326" s="56" t="s">
        <v>92</v>
      </c>
      <c r="K2326" s="56">
        <v>661</v>
      </c>
      <c r="L2326" s="55" t="s">
        <v>176</v>
      </c>
      <c r="M2326" s="55" t="s">
        <v>2824</v>
      </c>
      <c r="N2326" s="4" t="s">
        <v>177</v>
      </c>
      <c r="O2326" s="55" t="s">
        <v>533</v>
      </c>
    </row>
    <row r="2327" spans="2:15">
      <c r="B2327" s="20">
        <v>45265</v>
      </c>
      <c r="C2327" s="59">
        <v>40011148</v>
      </c>
      <c r="D2327" s="55" t="s">
        <v>86</v>
      </c>
      <c r="E2327" s="67">
        <v>450</v>
      </c>
      <c r="F2327" s="67">
        <v>3</v>
      </c>
      <c r="G2327" s="102">
        <f>450*3</f>
        <v>1350</v>
      </c>
      <c r="H2327" s="56" t="s">
        <v>80</v>
      </c>
      <c r="K2327" s="56">
        <v>662</v>
      </c>
      <c r="L2327" s="55" t="s">
        <v>176</v>
      </c>
      <c r="M2327" s="55" t="s">
        <v>2824</v>
      </c>
      <c r="N2327" s="4" t="s">
        <v>177</v>
      </c>
      <c r="O2327" s="55" t="s">
        <v>533</v>
      </c>
    </row>
    <row r="2328" spans="2:15">
      <c r="B2328" s="20">
        <v>45265</v>
      </c>
      <c r="C2328" s="59">
        <v>50272278</v>
      </c>
      <c r="D2328" s="55" t="s">
        <v>21</v>
      </c>
      <c r="E2328" s="67">
        <v>500</v>
      </c>
      <c r="F2328" s="67">
        <v>1</v>
      </c>
      <c r="G2328" s="102">
        <v>500</v>
      </c>
      <c r="H2328" s="56" t="s">
        <v>92</v>
      </c>
      <c r="K2328" s="56">
        <v>662</v>
      </c>
      <c r="L2328" s="55" t="s">
        <v>176</v>
      </c>
      <c r="M2328" s="55" t="s">
        <v>2824</v>
      </c>
      <c r="N2328" s="4" t="s">
        <v>177</v>
      </c>
      <c r="O2328" s="55" t="s">
        <v>533</v>
      </c>
    </row>
    <row r="2329" spans="2:15">
      <c r="B2329" s="20">
        <v>45265</v>
      </c>
      <c r="C2329" s="59">
        <v>50141786</v>
      </c>
      <c r="D2329" s="55" t="s">
        <v>188</v>
      </c>
      <c r="E2329" s="67">
        <v>560</v>
      </c>
      <c r="F2329" s="67">
        <v>18</v>
      </c>
      <c r="G2329" s="102">
        <f>18*560</f>
        <v>10080</v>
      </c>
      <c r="H2329" s="56" t="s">
        <v>82</v>
      </c>
      <c r="K2329" s="56">
        <v>662</v>
      </c>
      <c r="L2329" s="55" t="s">
        <v>176</v>
      </c>
      <c r="M2329" s="55" t="s">
        <v>2824</v>
      </c>
      <c r="N2329" s="4" t="s">
        <v>177</v>
      </c>
      <c r="O2329" s="55" t="s">
        <v>533</v>
      </c>
    </row>
    <row r="2330" spans="2:15">
      <c r="B2330" s="20">
        <v>45266</v>
      </c>
      <c r="C2330" s="59">
        <v>50272278</v>
      </c>
      <c r="D2330" s="55" t="s">
        <v>21</v>
      </c>
      <c r="E2330" s="67">
        <v>500</v>
      </c>
      <c r="F2330" s="67">
        <v>10</v>
      </c>
      <c r="G2330" s="102">
        <v>5000</v>
      </c>
      <c r="H2330" s="56" t="s">
        <v>92</v>
      </c>
      <c r="K2330" s="56">
        <v>663</v>
      </c>
      <c r="L2330" s="55" t="s">
        <v>176</v>
      </c>
      <c r="M2330" s="55" t="s">
        <v>2824</v>
      </c>
      <c r="N2330" s="4" t="s">
        <v>177</v>
      </c>
      <c r="O2330" s="55" t="s">
        <v>533</v>
      </c>
    </row>
    <row r="2331" spans="2:15">
      <c r="B2331" s="20">
        <v>45266</v>
      </c>
      <c r="C2331" s="59">
        <v>50142327</v>
      </c>
      <c r="D2331" s="55" t="s">
        <v>256</v>
      </c>
      <c r="E2331" s="67">
        <v>681</v>
      </c>
      <c r="F2331" s="67">
        <v>2</v>
      </c>
      <c r="G2331" s="102">
        <v>1362</v>
      </c>
      <c r="H2331" s="56" t="s">
        <v>82</v>
      </c>
      <c r="K2331" s="56">
        <v>663</v>
      </c>
      <c r="L2331" s="55" t="s">
        <v>176</v>
      </c>
      <c r="M2331" s="55" t="s">
        <v>2824</v>
      </c>
      <c r="N2331" s="4" t="s">
        <v>177</v>
      </c>
      <c r="O2331" s="55" t="s">
        <v>533</v>
      </c>
    </row>
    <row r="2332" spans="2:15">
      <c r="B2332" s="20">
        <v>45266</v>
      </c>
      <c r="C2332" s="59">
        <v>50142334</v>
      </c>
      <c r="D2332" s="55" t="s">
        <v>257</v>
      </c>
      <c r="E2332" s="67">
        <v>681</v>
      </c>
      <c r="F2332" s="67">
        <v>2</v>
      </c>
      <c r="G2332" s="102">
        <v>1362</v>
      </c>
      <c r="H2332" s="56" t="s">
        <v>82</v>
      </c>
      <c r="K2332" s="56">
        <v>663</v>
      </c>
      <c r="L2332" s="55" t="s">
        <v>176</v>
      </c>
      <c r="M2332" s="55" t="s">
        <v>2824</v>
      </c>
      <c r="N2332" s="4" t="s">
        <v>177</v>
      </c>
      <c r="O2332" s="55" t="s">
        <v>533</v>
      </c>
    </row>
    <row r="2333" spans="2:15">
      <c r="B2333" s="20">
        <v>45266</v>
      </c>
      <c r="C2333" s="59">
        <v>50010080</v>
      </c>
      <c r="D2333" s="55" t="s">
        <v>354</v>
      </c>
      <c r="E2333" s="67">
        <v>1000</v>
      </c>
      <c r="F2333" s="67">
        <v>4</v>
      </c>
      <c r="G2333" s="102">
        <v>4000</v>
      </c>
      <c r="H2333" s="56" t="s">
        <v>82</v>
      </c>
      <c r="K2333" s="56">
        <v>663</v>
      </c>
      <c r="L2333" s="55" t="s">
        <v>176</v>
      </c>
      <c r="M2333" s="55" t="s">
        <v>2824</v>
      </c>
      <c r="N2333" s="4" t="s">
        <v>177</v>
      </c>
      <c r="O2333" s="55" t="s">
        <v>533</v>
      </c>
    </row>
    <row r="2334" spans="2:15">
      <c r="B2334" s="20">
        <v>45266</v>
      </c>
      <c r="C2334" s="59">
        <v>50804929</v>
      </c>
      <c r="D2334" s="55" t="s">
        <v>856</v>
      </c>
      <c r="E2334" s="67">
        <v>504000</v>
      </c>
      <c r="F2334" s="67">
        <v>2</v>
      </c>
      <c r="G2334" s="102">
        <v>1008000</v>
      </c>
      <c r="H2334" s="56" t="s">
        <v>92</v>
      </c>
      <c r="K2334" s="56">
        <v>663</v>
      </c>
      <c r="L2334" s="55" t="s">
        <v>176</v>
      </c>
      <c r="M2334" s="55" t="s">
        <v>2824</v>
      </c>
      <c r="N2334" s="4" t="s">
        <v>177</v>
      </c>
      <c r="O2334" s="55" t="s">
        <v>533</v>
      </c>
    </row>
    <row r="2335" spans="2:15">
      <c r="B2335" s="20">
        <v>45267</v>
      </c>
      <c r="C2335" s="59">
        <v>50272278</v>
      </c>
      <c r="D2335" s="55" t="s">
        <v>21</v>
      </c>
      <c r="E2335" s="67">
        <v>500</v>
      </c>
      <c r="G2335" s="102">
        <v>10500</v>
      </c>
      <c r="H2335" s="56" t="s">
        <v>92</v>
      </c>
      <c r="K2335" s="56">
        <v>664</v>
      </c>
      <c r="L2335" s="55" t="s">
        <v>176</v>
      </c>
      <c r="M2335" s="55" t="s">
        <v>2824</v>
      </c>
      <c r="N2335" s="4" t="s">
        <v>177</v>
      </c>
      <c r="O2335" s="55" t="s">
        <v>178</v>
      </c>
    </row>
    <row r="2336" spans="2:15">
      <c r="B2336" s="20">
        <v>45267</v>
      </c>
      <c r="C2336" s="59">
        <v>40010083</v>
      </c>
      <c r="D2336" s="55" t="s">
        <v>85</v>
      </c>
      <c r="E2336" s="67">
        <v>4748</v>
      </c>
      <c r="G2336" s="102">
        <v>4748</v>
      </c>
      <c r="H2336" s="56" t="s">
        <v>80</v>
      </c>
      <c r="K2336" s="56">
        <v>664</v>
      </c>
      <c r="L2336" s="55" t="s">
        <v>176</v>
      </c>
      <c r="M2336" s="55" t="s">
        <v>2824</v>
      </c>
      <c r="N2336" s="4" t="s">
        <v>177</v>
      </c>
      <c r="O2336" s="55" t="s">
        <v>178</v>
      </c>
    </row>
    <row r="2337" spans="2:15">
      <c r="B2337" s="20">
        <v>45267</v>
      </c>
      <c r="C2337" s="59">
        <v>50507916</v>
      </c>
      <c r="D2337" s="55" t="s">
        <v>406</v>
      </c>
      <c r="E2337" s="67">
        <v>264000</v>
      </c>
      <c r="G2337" s="102">
        <v>528000</v>
      </c>
      <c r="H2337" s="56" t="s">
        <v>92</v>
      </c>
      <c r="K2337" s="56">
        <v>665</v>
      </c>
      <c r="L2337" s="55" t="s">
        <v>176</v>
      </c>
      <c r="M2337" s="55" t="s">
        <v>2824</v>
      </c>
      <c r="N2337" s="4" t="s">
        <v>177</v>
      </c>
      <c r="O2337" s="55" t="s">
        <v>178</v>
      </c>
    </row>
    <row r="2338" spans="2:15">
      <c r="B2338" s="20">
        <v>45267</v>
      </c>
      <c r="C2338" s="59">
        <v>40009546</v>
      </c>
      <c r="D2338" s="55" t="s">
        <v>174</v>
      </c>
      <c r="E2338" s="67">
        <v>756</v>
      </c>
      <c r="G2338" s="102">
        <v>2268</v>
      </c>
      <c r="H2338" s="56" t="s">
        <v>80</v>
      </c>
      <c r="K2338" s="56">
        <v>665</v>
      </c>
      <c r="L2338" s="55" t="s">
        <v>176</v>
      </c>
      <c r="M2338" s="55" t="s">
        <v>2824</v>
      </c>
      <c r="N2338" s="4" t="s">
        <v>177</v>
      </c>
      <c r="O2338" s="55" t="s">
        <v>178</v>
      </c>
    </row>
    <row r="2339" spans="2:15">
      <c r="B2339" s="20">
        <v>45267</v>
      </c>
      <c r="C2339" s="59">
        <v>50142237</v>
      </c>
      <c r="D2339" s="55" t="s">
        <v>617</v>
      </c>
      <c r="E2339" s="67">
        <v>1000</v>
      </c>
      <c r="G2339" s="102">
        <v>10000</v>
      </c>
      <c r="H2339" s="56" t="s">
        <v>92</v>
      </c>
      <c r="K2339" s="56">
        <v>665</v>
      </c>
      <c r="L2339" s="55" t="s">
        <v>176</v>
      </c>
      <c r="M2339" s="55" t="s">
        <v>2824</v>
      </c>
      <c r="N2339" s="4" t="s">
        <v>177</v>
      </c>
      <c r="O2339" s="55" t="s">
        <v>178</v>
      </c>
    </row>
    <row r="2340" spans="2:15">
      <c r="B2340" s="20">
        <v>45267</v>
      </c>
      <c r="C2340" s="59">
        <v>50272278</v>
      </c>
      <c r="D2340" s="55" t="s">
        <v>21</v>
      </c>
      <c r="E2340" s="67">
        <v>500</v>
      </c>
      <c r="G2340" s="102">
        <v>8500</v>
      </c>
      <c r="H2340" s="56" t="s">
        <v>92</v>
      </c>
      <c r="K2340" s="56">
        <v>665</v>
      </c>
      <c r="L2340" s="55" t="s">
        <v>176</v>
      </c>
      <c r="M2340" s="55" t="s">
        <v>2824</v>
      </c>
      <c r="N2340" s="4" t="s">
        <v>177</v>
      </c>
      <c r="O2340" s="55" t="s">
        <v>178</v>
      </c>
    </row>
    <row r="2341" spans="2:15">
      <c r="B2341" s="20">
        <v>45271</v>
      </c>
      <c r="C2341" s="59">
        <v>40010084</v>
      </c>
      <c r="D2341" s="55" t="s">
        <v>81</v>
      </c>
      <c r="E2341" s="67">
        <v>1532</v>
      </c>
      <c r="F2341" s="67">
        <v>3</v>
      </c>
      <c r="G2341" s="102">
        <v>4480</v>
      </c>
      <c r="H2341" s="56" t="s">
        <v>80</v>
      </c>
      <c r="K2341" s="56">
        <v>666</v>
      </c>
      <c r="L2341" s="55" t="s">
        <v>176</v>
      </c>
      <c r="M2341" s="55" t="s">
        <v>2824</v>
      </c>
      <c r="N2341" s="4" t="s">
        <v>177</v>
      </c>
      <c r="O2341" s="55" t="s">
        <v>178</v>
      </c>
    </row>
    <row r="2342" spans="2:15">
      <c r="B2342" s="20">
        <v>45271</v>
      </c>
      <c r="C2342" s="59">
        <v>40010083</v>
      </c>
      <c r="D2342" s="55" t="s">
        <v>85</v>
      </c>
      <c r="E2342" s="67">
        <v>1232</v>
      </c>
      <c r="F2342" s="67">
        <v>1</v>
      </c>
      <c r="G2342" s="102">
        <v>1232</v>
      </c>
      <c r="H2342" s="56" t="s">
        <v>80</v>
      </c>
      <c r="K2342" s="56">
        <v>666</v>
      </c>
      <c r="L2342" s="55" t="s">
        <v>176</v>
      </c>
      <c r="M2342" s="55" t="s">
        <v>2824</v>
      </c>
      <c r="N2342" s="4" t="s">
        <v>177</v>
      </c>
      <c r="O2342" s="55" t="s">
        <v>178</v>
      </c>
    </row>
    <row r="2343" spans="2:15">
      <c r="B2343" s="20">
        <v>45271</v>
      </c>
      <c r="C2343" s="59">
        <v>50315365</v>
      </c>
      <c r="D2343" s="55" t="s">
        <v>584</v>
      </c>
      <c r="E2343" s="67">
        <v>264</v>
      </c>
      <c r="F2343" s="67">
        <v>3</v>
      </c>
      <c r="G2343" s="102">
        <v>792</v>
      </c>
      <c r="H2343" s="56" t="s">
        <v>80</v>
      </c>
      <c r="K2343" s="56">
        <v>666</v>
      </c>
      <c r="L2343" s="55" t="s">
        <v>176</v>
      </c>
      <c r="M2343" s="55" t="s">
        <v>2824</v>
      </c>
      <c r="N2343" s="4" t="s">
        <v>177</v>
      </c>
      <c r="O2343" s="55" t="s">
        <v>178</v>
      </c>
    </row>
    <row r="2344" spans="2:15">
      <c r="B2344" s="20">
        <v>45271</v>
      </c>
      <c r="C2344" s="59">
        <v>50820741</v>
      </c>
      <c r="D2344" s="55" t="s">
        <v>1114</v>
      </c>
      <c r="E2344" s="67">
        <v>289800</v>
      </c>
      <c r="F2344" s="67">
        <v>12</v>
      </c>
      <c r="G2344" s="102">
        <v>3477600</v>
      </c>
      <c r="H2344" s="56" t="s">
        <v>92</v>
      </c>
      <c r="K2344" s="56">
        <v>666</v>
      </c>
      <c r="L2344" s="55" t="s">
        <v>176</v>
      </c>
      <c r="M2344" s="55" t="s">
        <v>2824</v>
      </c>
      <c r="N2344" s="4" t="s">
        <v>177</v>
      </c>
      <c r="O2344" s="55" t="s">
        <v>178</v>
      </c>
    </row>
    <row r="2345" spans="2:15">
      <c r="B2345" s="20">
        <v>45271</v>
      </c>
      <c r="C2345" s="59">
        <v>50145028</v>
      </c>
      <c r="D2345" s="55" t="s">
        <v>23</v>
      </c>
      <c r="E2345" s="67">
        <v>192</v>
      </c>
      <c r="F2345" s="67">
        <v>6</v>
      </c>
      <c r="G2345" s="102">
        <v>1152</v>
      </c>
      <c r="H2345" s="56" t="s">
        <v>92</v>
      </c>
      <c r="K2345" s="56">
        <v>667</v>
      </c>
      <c r="L2345" s="55" t="s">
        <v>392</v>
      </c>
      <c r="M2345" s="55" t="s">
        <v>392</v>
      </c>
      <c r="N2345" s="4" t="s">
        <v>1036</v>
      </c>
      <c r="O2345" s="55" t="s">
        <v>178</v>
      </c>
    </row>
    <row r="2346" spans="2:15">
      <c r="B2346" s="20">
        <v>45271</v>
      </c>
      <c r="C2346" s="59">
        <v>50272278</v>
      </c>
      <c r="D2346" s="55" t="s">
        <v>21</v>
      </c>
      <c r="E2346" s="67">
        <v>500</v>
      </c>
      <c r="F2346" s="67">
        <v>6</v>
      </c>
      <c r="G2346" s="102">
        <v>3000</v>
      </c>
      <c r="H2346" s="56" t="s">
        <v>92</v>
      </c>
      <c r="K2346" s="56">
        <v>667</v>
      </c>
      <c r="L2346" s="55" t="s">
        <v>392</v>
      </c>
      <c r="M2346" s="55" t="s">
        <v>392</v>
      </c>
      <c r="N2346" s="4" t="s">
        <v>1036</v>
      </c>
      <c r="O2346" s="55" t="s">
        <v>178</v>
      </c>
    </row>
    <row r="2347" spans="2:15">
      <c r="B2347" s="20">
        <v>45271</v>
      </c>
      <c r="C2347" s="59">
        <v>50142237</v>
      </c>
      <c r="D2347" s="55" t="s">
        <v>617</v>
      </c>
      <c r="E2347" s="67">
        <v>1000</v>
      </c>
      <c r="F2347" s="67">
        <v>10</v>
      </c>
      <c r="G2347" s="102">
        <v>10000</v>
      </c>
      <c r="H2347" s="56" t="s">
        <v>92</v>
      </c>
      <c r="K2347" s="56">
        <v>667</v>
      </c>
      <c r="L2347" s="55" t="s">
        <v>392</v>
      </c>
      <c r="M2347" s="55" t="s">
        <v>392</v>
      </c>
      <c r="N2347" s="4" t="s">
        <v>1036</v>
      </c>
      <c r="O2347" s="55" t="s">
        <v>178</v>
      </c>
    </row>
    <row r="2348" spans="2:15">
      <c r="B2348" s="20">
        <v>45271</v>
      </c>
      <c r="C2348" s="59">
        <v>50010080</v>
      </c>
      <c r="D2348" s="55" t="s">
        <v>354</v>
      </c>
      <c r="E2348" s="67">
        <v>1000</v>
      </c>
      <c r="G2348" s="102">
        <v>2000</v>
      </c>
      <c r="H2348" s="56" t="s">
        <v>82</v>
      </c>
      <c r="K2348" s="56">
        <v>668</v>
      </c>
      <c r="L2348" s="55" t="s">
        <v>176</v>
      </c>
      <c r="M2348" s="55" t="s">
        <v>2824</v>
      </c>
      <c r="N2348" s="4" t="s">
        <v>177</v>
      </c>
      <c r="O2348" s="55" t="s">
        <v>178</v>
      </c>
    </row>
    <row r="2349" spans="2:15">
      <c r="B2349" s="20">
        <v>45271</v>
      </c>
      <c r="C2349" s="59">
        <v>50144376</v>
      </c>
      <c r="D2349" s="55" t="s">
        <v>19</v>
      </c>
      <c r="E2349" s="67">
        <v>500</v>
      </c>
      <c r="G2349" s="102">
        <v>10000</v>
      </c>
      <c r="H2349" s="56" t="s">
        <v>92</v>
      </c>
      <c r="K2349" s="56">
        <v>668</v>
      </c>
      <c r="L2349" s="55" t="s">
        <v>176</v>
      </c>
      <c r="M2349" s="55" t="s">
        <v>2824</v>
      </c>
      <c r="N2349" s="4" t="s">
        <v>177</v>
      </c>
      <c r="O2349" s="55" t="s">
        <v>178</v>
      </c>
    </row>
    <row r="2350" spans="2:15">
      <c r="B2350" s="20">
        <v>45271</v>
      </c>
      <c r="C2350" s="59">
        <v>50145029</v>
      </c>
      <c r="D2350" s="55" t="s">
        <v>705</v>
      </c>
      <c r="E2350" s="78">
        <v>24</v>
      </c>
      <c r="G2350" s="102">
        <v>24</v>
      </c>
      <c r="H2350" s="56" t="s">
        <v>505</v>
      </c>
      <c r="K2350" s="56">
        <v>668</v>
      </c>
      <c r="L2350" s="55" t="s">
        <v>176</v>
      </c>
      <c r="M2350" s="55" t="s">
        <v>2824</v>
      </c>
      <c r="N2350" s="4" t="s">
        <v>177</v>
      </c>
      <c r="O2350" s="55" t="s">
        <v>178</v>
      </c>
    </row>
    <row r="2351" spans="2:15">
      <c r="B2351" s="20">
        <v>45271</v>
      </c>
      <c r="C2351" s="59">
        <v>50392045</v>
      </c>
      <c r="D2351" s="55" t="s">
        <v>707</v>
      </c>
      <c r="E2351" s="78">
        <v>18</v>
      </c>
      <c r="G2351" s="102">
        <v>18</v>
      </c>
      <c r="H2351" s="56" t="s">
        <v>505</v>
      </c>
      <c r="K2351" s="56">
        <v>668</v>
      </c>
      <c r="L2351" s="55" t="s">
        <v>176</v>
      </c>
      <c r="M2351" s="55" t="s">
        <v>2824</v>
      </c>
      <c r="N2351" s="4" t="s">
        <v>177</v>
      </c>
      <c r="O2351" s="55" t="s">
        <v>178</v>
      </c>
    </row>
    <row r="2352" spans="2:15">
      <c r="B2352" s="20">
        <v>45271</v>
      </c>
      <c r="C2352" s="59">
        <v>50145012</v>
      </c>
      <c r="D2352" s="55" t="s">
        <v>504</v>
      </c>
      <c r="E2352" s="78">
        <v>18</v>
      </c>
      <c r="G2352" s="102">
        <v>18</v>
      </c>
      <c r="H2352" s="56" t="s">
        <v>92</v>
      </c>
      <c r="K2352" s="56">
        <v>668</v>
      </c>
      <c r="L2352" s="55" t="s">
        <v>176</v>
      </c>
      <c r="M2352" s="55" t="s">
        <v>2824</v>
      </c>
      <c r="N2352" s="4" t="s">
        <v>177</v>
      </c>
      <c r="O2352" s="55" t="s">
        <v>178</v>
      </c>
    </row>
    <row r="2353" spans="2:15">
      <c r="B2353" s="20">
        <v>45271</v>
      </c>
      <c r="C2353" s="59">
        <v>50392046</v>
      </c>
      <c r="D2353" s="55" t="s">
        <v>509</v>
      </c>
      <c r="E2353" s="78">
        <v>6</v>
      </c>
      <c r="G2353" s="102">
        <v>6</v>
      </c>
      <c r="H2353" s="99" t="s">
        <v>505</v>
      </c>
      <c r="K2353" s="56">
        <v>668</v>
      </c>
      <c r="L2353" s="55" t="s">
        <v>176</v>
      </c>
      <c r="M2353" s="55" t="s">
        <v>2824</v>
      </c>
      <c r="N2353" s="4" t="s">
        <v>177</v>
      </c>
      <c r="O2353" s="55" t="s">
        <v>178</v>
      </c>
    </row>
    <row r="2354" spans="2:15">
      <c r="B2354" s="20">
        <v>45271</v>
      </c>
      <c r="C2354" s="59">
        <v>502360907</v>
      </c>
      <c r="D2354" s="55" t="s">
        <v>897</v>
      </c>
      <c r="E2354" s="67">
        <v>810</v>
      </c>
      <c r="F2354" s="67">
        <v>20</v>
      </c>
      <c r="G2354" s="102">
        <v>16200</v>
      </c>
      <c r="H2354" s="56" t="s">
        <v>898</v>
      </c>
      <c r="K2354" s="56">
        <v>669</v>
      </c>
      <c r="L2354" s="55" t="s">
        <v>176</v>
      </c>
      <c r="M2354" s="55" t="s">
        <v>2824</v>
      </c>
      <c r="N2354" s="4" t="s">
        <v>177</v>
      </c>
      <c r="O2354" s="55" t="s">
        <v>178</v>
      </c>
    </row>
    <row r="2355" spans="2:15">
      <c r="B2355" s="20">
        <v>45272</v>
      </c>
      <c r="C2355" s="59">
        <v>502360907</v>
      </c>
      <c r="D2355" s="55" t="s">
        <v>897</v>
      </c>
      <c r="E2355" s="67">
        <v>810</v>
      </c>
      <c r="F2355" s="67">
        <v>20</v>
      </c>
      <c r="G2355" s="102">
        <v>16200</v>
      </c>
      <c r="H2355" s="56" t="s">
        <v>898</v>
      </c>
      <c r="K2355" s="56">
        <v>670</v>
      </c>
      <c r="L2355" s="55" t="s">
        <v>176</v>
      </c>
      <c r="M2355" s="55" t="s">
        <v>2824</v>
      </c>
      <c r="N2355" s="4" t="s">
        <v>177</v>
      </c>
      <c r="O2355" s="55" t="s">
        <v>178</v>
      </c>
    </row>
    <row r="2356" spans="2:15">
      <c r="B2356" s="20">
        <v>45273</v>
      </c>
      <c r="C2356" s="59">
        <v>50820741</v>
      </c>
      <c r="D2356" s="55" t="s">
        <v>1114</v>
      </c>
      <c r="E2356" s="67">
        <v>289800</v>
      </c>
      <c r="G2356" s="102">
        <v>4347000</v>
      </c>
      <c r="H2356" s="56" t="s">
        <v>92</v>
      </c>
      <c r="K2356" s="56">
        <v>671</v>
      </c>
      <c r="L2356" s="55" t="s">
        <v>176</v>
      </c>
      <c r="M2356" s="55" t="s">
        <v>2824</v>
      </c>
      <c r="N2356" s="4" t="s">
        <v>177</v>
      </c>
      <c r="O2356" s="55" t="s">
        <v>178</v>
      </c>
    </row>
    <row r="2357" spans="2:15">
      <c r="B2357" s="20">
        <v>45273</v>
      </c>
      <c r="C2357" s="59">
        <v>50315365</v>
      </c>
      <c r="D2357" s="55" t="s">
        <v>584</v>
      </c>
      <c r="E2357" s="67">
        <v>264</v>
      </c>
      <c r="G2357" s="102">
        <v>1056</v>
      </c>
      <c r="H2357" s="56" t="s">
        <v>80</v>
      </c>
      <c r="K2357" s="56">
        <v>671</v>
      </c>
      <c r="L2357" s="55" t="s">
        <v>176</v>
      </c>
      <c r="M2357" s="55" t="s">
        <v>2824</v>
      </c>
      <c r="N2357" s="4" t="s">
        <v>177</v>
      </c>
      <c r="O2357" s="55" t="s">
        <v>178</v>
      </c>
    </row>
    <row r="2358" spans="2:15">
      <c r="B2358" s="20">
        <v>45273</v>
      </c>
      <c r="C2358" s="59">
        <v>40011130</v>
      </c>
      <c r="D2358" s="55" t="s">
        <v>631</v>
      </c>
      <c r="E2358" s="67">
        <v>2940</v>
      </c>
      <c r="F2358" s="67">
        <v>1</v>
      </c>
      <c r="G2358" s="102">
        <v>2940</v>
      </c>
      <c r="H2358" s="56" t="s">
        <v>80</v>
      </c>
      <c r="K2358" s="56">
        <v>672</v>
      </c>
      <c r="L2358" s="55" t="s">
        <v>176</v>
      </c>
      <c r="M2358" s="55" t="s">
        <v>2824</v>
      </c>
      <c r="N2358" s="4" t="s">
        <v>177</v>
      </c>
      <c r="O2358" s="55" t="s">
        <v>178</v>
      </c>
    </row>
    <row r="2359" spans="2:15">
      <c r="B2359" s="20">
        <v>45273</v>
      </c>
      <c r="C2359" s="59">
        <v>50145187</v>
      </c>
      <c r="D2359" s="55" t="s">
        <v>465</v>
      </c>
      <c r="E2359" s="67">
        <v>264000</v>
      </c>
      <c r="G2359" s="102">
        <v>528000</v>
      </c>
      <c r="H2359" s="56" t="s">
        <v>92</v>
      </c>
      <c r="K2359" s="56">
        <v>672</v>
      </c>
      <c r="L2359" s="55" t="s">
        <v>176</v>
      </c>
      <c r="M2359" s="55" t="s">
        <v>2824</v>
      </c>
      <c r="N2359" s="4" t="s">
        <v>177</v>
      </c>
      <c r="O2359" s="55" t="s">
        <v>178</v>
      </c>
    </row>
    <row r="2360" spans="2:15">
      <c r="B2360" s="20">
        <v>45273</v>
      </c>
      <c r="C2360" s="59">
        <v>50507916</v>
      </c>
      <c r="D2360" s="55" t="s">
        <v>406</v>
      </c>
      <c r="E2360" s="67">
        <v>264000</v>
      </c>
      <c r="G2360" s="102">
        <v>1056000</v>
      </c>
      <c r="H2360" s="56" t="s">
        <v>92</v>
      </c>
      <c r="K2360" s="56">
        <v>672</v>
      </c>
      <c r="L2360" s="55" t="s">
        <v>176</v>
      </c>
      <c r="M2360" s="55" t="s">
        <v>2824</v>
      </c>
      <c r="N2360" s="4" t="s">
        <v>177</v>
      </c>
      <c r="O2360" s="55" t="s">
        <v>178</v>
      </c>
    </row>
    <row r="2361" spans="2:15">
      <c r="B2361" s="20">
        <v>45273</v>
      </c>
      <c r="C2361" s="59">
        <v>40011660</v>
      </c>
      <c r="D2361" s="55" t="s">
        <v>528</v>
      </c>
      <c r="E2361" s="67">
        <v>450</v>
      </c>
      <c r="G2361" s="102">
        <v>670</v>
      </c>
      <c r="H2361" s="56" t="s">
        <v>80</v>
      </c>
      <c r="K2361" s="56">
        <v>672</v>
      </c>
      <c r="L2361" s="55" t="s">
        <v>176</v>
      </c>
      <c r="M2361" s="55" t="s">
        <v>2824</v>
      </c>
      <c r="N2361" s="4" t="s">
        <v>177</v>
      </c>
      <c r="O2361" s="55" t="s">
        <v>178</v>
      </c>
    </row>
    <row r="2362" spans="2:15">
      <c r="B2362" s="20">
        <v>45273</v>
      </c>
      <c r="C2362" s="59">
        <v>50509889</v>
      </c>
      <c r="D2362" s="55" t="s">
        <v>671</v>
      </c>
      <c r="E2362" s="67">
        <v>264000</v>
      </c>
      <c r="G2362" s="102">
        <v>792000</v>
      </c>
      <c r="H2362" s="56" t="s">
        <v>92</v>
      </c>
      <c r="K2362" s="56">
        <v>672</v>
      </c>
      <c r="L2362" s="55" t="s">
        <v>176</v>
      </c>
      <c r="M2362" s="55" t="s">
        <v>2824</v>
      </c>
      <c r="N2362" s="4" t="s">
        <v>177</v>
      </c>
      <c r="O2362" s="55" t="s">
        <v>178</v>
      </c>
    </row>
    <row r="2363" spans="2:15">
      <c r="B2363" s="20">
        <v>45273</v>
      </c>
      <c r="C2363" s="59">
        <v>50812974</v>
      </c>
      <c r="D2363" s="55" t="s">
        <v>822</v>
      </c>
      <c r="E2363" s="67">
        <v>289800</v>
      </c>
      <c r="F2363" s="67">
        <v>8</v>
      </c>
      <c r="G2363" s="102">
        <v>2318400</v>
      </c>
      <c r="H2363" s="56" t="s">
        <v>92</v>
      </c>
      <c r="K2363" s="56">
        <v>672</v>
      </c>
      <c r="L2363" s="55" t="s">
        <v>176</v>
      </c>
      <c r="M2363" s="55" t="s">
        <v>2824</v>
      </c>
      <c r="N2363" s="4" t="s">
        <v>177</v>
      </c>
      <c r="O2363" s="55" t="s">
        <v>178</v>
      </c>
    </row>
    <row r="2364" spans="2:15">
      <c r="B2364" s="20">
        <v>45273</v>
      </c>
      <c r="C2364" s="59">
        <v>50144376</v>
      </c>
      <c r="D2364" s="55" t="s">
        <v>19</v>
      </c>
      <c r="E2364" s="67">
        <v>500</v>
      </c>
      <c r="F2364" s="67">
        <v>12</v>
      </c>
      <c r="G2364" s="102">
        <v>6000</v>
      </c>
      <c r="H2364" s="56" t="s">
        <v>92</v>
      </c>
      <c r="K2364" s="56">
        <v>673</v>
      </c>
      <c r="L2364" s="55" t="s">
        <v>176</v>
      </c>
      <c r="M2364" s="55" t="s">
        <v>2824</v>
      </c>
      <c r="N2364" s="4" t="s">
        <v>177</v>
      </c>
      <c r="O2364" s="55" t="s">
        <v>178</v>
      </c>
    </row>
    <row r="2365" spans="2:15">
      <c r="B2365" s="20">
        <v>45273</v>
      </c>
      <c r="C2365" s="59">
        <v>50470190</v>
      </c>
      <c r="D2365" s="55" t="s">
        <v>12</v>
      </c>
      <c r="E2365" s="67">
        <v>289800</v>
      </c>
      <c r="F2365" s="67">
        <v>8</v>
      </c>
      <c r="G2365" s="102">
        <v>2318400</v>
      </c>
      <c r="H2365" s="56" t="s">
        <v>92</v>
      </c>
      <c r="K2365" s="56">
        <v>673</v>
      </c>
      <c r="L2365" s="55" t="s">
        <v>176</v>
      </c>
      <c r="M2365" s="55" t="s">
        <v>2824</v>
      </c>
      <c r="N2365" s="4" t="s">
        <v>177</v>
      </c>
      <c r="O2365" s="55" t="s">
        <v>178</v>
      </c>
    </row>
    <row r="2366" spans="2:15">
      <c r="B2366" s="20">
        <v>45275</v>
      </c>
      <c r="C2366" s="59">
        <v>50144376</v>
      </c>
      <c r="D2366" s="55" t="s">
        <v>19</v>
      </c>
      <c r="E2366" s="67">
        <v>500</v>
      </c>
      <c r="F2366" s="67">
        <v>11</v>
      </c>
      <c r="G2366" s="102">
        <v>5500</v>
      </c>
      <c r="H2366" s="56" t="s">
        <v>92</v>
      </c>
      <c r="K2366" s="56">
        <v>674</v>
      </c>
      <c r="L2366" s="55" t="s">
        <v>176</v>
      </c>
      <c r="M2366" s="55" t="s">
        <v>2824</v>
      </c>
      <c r="N2366" s="4" t="s">
        <v>177</v>
      </c>
      <c r="O2366" s="55" t="s">
        <v>178</v>
      </c>
    </row>
    <row r="2367" spans="2:15">
      <c r="B2367" s="20">
        <v>45275</v>
      </c>
      <c r="C2367" s="59">
        <v>50272278</v>
      </c>
      <c r="D2367" s="55" t="s">
        <v>21</v>
      </c>
      <c r="E2367" s="67">
        <v>500</v>
      </c>
      <c r="F2367" s="67">
        <v>11</v>
      </c>
      <c r="G2367" s="102">
        <v>5500</v>
      </c>
      <c r="H2367" s="56" t="s">
        <v>92</v>
      </c>
      <c r="K2367" s="56">
        <v>674</v>
      </c>
      <c r="L2367" s="55" t="s">
        <v>176</v>
      </c>
      <c r="M2367" s="55" t="s">
        <v>2824</v>
      </c>
      <c r="N2367" s="4" t="s">
        <v>177</v>
      </c>
      <c r="O2367" s="55" t="s">
        <v>178</v>
      </c>
    </row>
    <row r="2368" spans="2:15">
      <c r="B2368" s="20">
        <v>45275</v>
      </c>
      <c r="C2368" s="59">
        <v>50010080</v>
      </c>
      <c r="D2368" s="55" t="s">
        <v>354</v>
      </c>
      <c r="E2368" s="67">
        <v>1000</v>
      </c>
      <c r="F2368" s="67">
        <v>4</v>
      </c>
      <c r="G2368" s="102">
        <v>4000</v>
      </c>
      <c r="H2368" s="56" t="s">
        <v>82</v>
      </c>
      <c r="K2368" s="56">
        <v>675</v>
      </c>
      <c r="L2368" s="55" t="s">
        <v>176</v>
      </c>
      <c r="M2368" s="55" t="s">
        <v>2824</v>
      </c>
      <c r="N2368" s="4" t="s">
        <v>177</v>
      </c>
      <c r="O2368" s="55" t="s">
        <v>178</v>
      </c>
    </row>
    <row r="2369" spans="2:15">
      <c r="B2369" s="20">
        <v>45275</v>
      </c>
      <c r="C2369" s="59">
        <v>50470190</v>
      </c>
      <c r="D2369" s="55" t="s">
        <v>12</v>
      </c>
      <c r="E2369" s="67">
        <v>289800</v>
      </c>
      <c r="F2369" s="67">
        <v>10</v>
      </c>
      <c r="G2369" s="102">
        <v>2898000</v>
      </c>
      <c r="H2369" s="56" t="s">
        <v>92</v>
      </c>
      <c r="K2369" s="56">
        <v>675</v>
      </c>
      <c r="L2369" s="55" t="s">
        <v>176</v>
      </c>
      <c r="M2369" s="55" t="s">
        <v>2824</v>
      </c>
      <c r="N2369" s="4" t="s">
        <v>177</v>
      </c>
      <c r="O2369" s="55" t="s">
        <v>178</v>
      </c>
    </row>
    <row r="2370" spans="2:15">
      <c r="B2370" s="20">
        <v>45275</v>
      </c>
      <c r="C2370" s="59">
        <v>50142327</v>
      </c>
      <c r="D2370" s="55" t="s">
        <v>256</v>
      </c>
      <c r="E2370" s="67">
        <v>681</v>
      </c>
      <c r="F2370" s="67">
        <v>2</v>
      </c>
      <c r="G2370" s="102">
        <v>1362</v>
      </c>
      <c r="H2370" s="56" t="s">
        <v>82</v>
      </c>
      <c r="K2370" s="56">
        <v>675</v>
      </c>
      <c r="L2370" s="55" t="s">
        <v>176</v>
      </c>
      <c r="M2370" s="55" t="s">
        <v>2824</v>
      </c>
      <c r="N2370" s="4" t="s">
        <v>177</v>
      </c>
      <c r="O2370" s="55" t="s">
        <v>178</v>
      </c>
    </row>
    <row r="2371" spans="2:15">
      <c r="B2371" s="20">
        <v>45275</v>
      </c>
      <c r="C2371" s="59">
        <v>50142334</v>
      </c>
      <c r="D2371" s="55" t="s">
        <v>257</v>
      </c>
      <c r="E2371" s="67">
        <v>681</v>
      </c>
      <c r="F2371" s="67">
        <v>2</v>
      </c>
      <c r="G2371" s="102">
        <v>1362</v>
      </c>
      <c r="H2371" s="56" t="s">
        <v>82</v>
      </c>
      <c r="K2371" s="56">
        <v>675</v>
      </c>
      <c r="L2371" s="55" t="s">
        <v>176</v>
      </c>
      <c r="M2371" s="55" t="s">
        <v>2824</v>
      </c>
      <c r="N2371" s="4" t="s">
        <v>177</v>
      </c>
      <c r="O2371" s="55" t="s">
        <v>178</v>
      </c>
    </row>
    <row r="2372" spans="2:15">
      <c r="B2372" s="20">
        <v>45275</v>
      </c>
      <c r="C2372" s="59">
        <v>50144376</v>
      </c>
      <c r="D2372" s="55" t="s">
        <v>19</v>
      </c>
      <c r="E2372" s="67">
        <v>500</v>
      </c>
      <c r="F2372" s="67">
        <v>6</v>
      </c>
      <c r="G2372" s="102">
        <v>3000</v>
      </c>
      <c r="H2372" s="56" t="s">
        <v>92</v>
      </c>
      <c r="K2372" s="56">
        <v>676</v>
      </c>
      <c r="L2372" s="55" t="s">
        <v>176</v>
      </c>
      <c r="M2372" s="55" t="s">
        <v>2824</v>
      </c>
      <c r="N2372" s="4" t="s">
        <v>177</v>
      </c>
      <c r="O2372" s="55" t="s">
        <v>178</v>
      </c>
    </row>
    <row r="2373" spans="2:15">
      <c r="B2373" s="20">
        <v>45275</v>
      </c>
      <c r="C2373" s="59">
        <v>50272278</v>
      </c>
      <c r="D2373" s="55" t="s">
        <v>21</v>
      </c>
      <c r="E2373" s="67">
        <v>500</v>
      </c>
      <c r="F2373" s="67">
        <v>10</v>
      </c>
      <c r="G2373" s="102">
        <v>5000</v>
      </c>
      <c r="H2373" s="56" t="s">
        <v>92</v>
      </c>
      <c r="K2373" s="56">
        <v>676</v>
      </c>
      <c r="L2373" s="55" t="s">
        <v>176</v>
      </c>
      <c r="M2373" s="55" t="s">
        <v>2824</v>
      </c>
      <c r="N2373" s="4" t="s">
        <v>177</v>
      </c>
      <c r="O2373" s="55" t="s">
        <v>178</v>
      </c>
    </row>
    <row r="2374" spans="2:15">
      <c r="B2374" s="20">
        <v>45275</v>
      </c>
      <c r="C2374" s="59">
        <v>50507916</v>
      </c>
      <c r="D2374" s="55" t="s">
        <v>406</v>
      </c>
      <c r="E2374" s="67">
        <v>264000</v>
      </c>
      <c r="F2374" s="67">
        <v>3</v>
      </c>
      <c r="G2374" s="102">
        <v>792000</v>
      </c>
      <c r="H2374" s="56" t="s">
        <v>92</v>
      </c>
      <c r="K2374" s="56">
        <v>676</v>
      </c>
      <c r="L2374" s="55" t="s">
        <v>176</v>
      </c>
      <c r="M2374" s="55" t="s">
        <v>2824</v>
      </c>
      <c r="N2374" s="4" t="s">
        <v>177</v>
      </c>
      <c r="O2374" s="55" t="s">
        <v>178</v>
      </c>
    </row>
    <row r="2375" spans="2:15">
      <c r="B2375" s="20">
        <v>45275</v>
      </c>
      <c r="C2375" s="59">
        <v>50509889</v>
      </c>
      <c r="D2375" s="55" t="s">
        <v>671</v>
      </c>
      <c r="E2375" s="67">
        <v>264000</v>
      </c>
      <c r="F2375" s="67">
        <v>3</v>
      </c>
      <c r="G2375" s="102">
        <v>792000</v>
      </c>
      <c r="H2375" s="56" t="s">
        <v>92</v>
      </c>
      <c r="K2375" s="56">
        <v>676</v>
      </c>
      <c r="L2375" s="55" t="s">
        <v>176</v>
      </c>
      <c r="M2375" s="55" t="s">
        <v>2824</v>
      </c>
      <c r="N2375" s="4" t="s">
        <v>177</v>
      </c>
      <c r="O2375" s="55" t="s">
        <v>178</v>
      </c>
    </row>
    <row r="2376" spans="2:15">
      <c r="B2376" s="20">
        <v>45278</v>
      </c>
      <c r="C2376" s="59">
        <v>50144376</v>
      </c>
      <c r="D2376" s="55" t="s">
        <v>19</v>
      </c>
      <c r="E2376" s="67">
        <v>500</v>
      </c>
      <c r="F2376" s="67">
        <v>11</v>
      </c>
      <c r="G2376" s="102">
        <v>5500</v>
      </c>
      <c r="H2376" s="56" t="s">
        <v>92</v>
      </c>
      <c r="K2376" s="56">
        <v>677</v>
      </c>
      <c r="L2376" s="55" t="s">
        <v>176</v>
      </c>
      <c r="M2376" s="55" t="s">
        <v>2824</v>
      </c>
      <c r="N2376" s="4" t="s">
        <v>177</v>
      </c>
      <c r="O2376" s="55" t="s">
        <v>178</v>
      </c>
    </row>
    <row r="2377" spans="2:15">
      <c r="B2377" s="20">
        <v>45278</v>
      </c>
      <c r="C2377" s="59">
        <v>50272278</v>
      </c>
      <c r="D2377" s="55" t="s">
        <v>21</v>
      </c>
      <c r="E2377" s="67">
        <v>500</v>
      </c>
      <c r="F2377" s="67">
        <v>11</v>
      </c>
      <c r="G2377" s="102">
        <v>5500</v>
      </c>
      <c r="H2377" s="56" t="s">
        <v>92</v>
      </c>
      <c r="K2377" s="56">
        <v>677</v>
      </c>
      <c r="L2377" s="55" t="s">
        <v>176</v>
      </c>
      <c r="M2377" s="55" t="s">
        <v>2824</v>
      </c>
      <c r="N2377" s="4" t="s">
        <v>177</v>
      </c>
      <c r="O2377" s="55" t="s">
        <v>178</v>
      </c>
    </row>
    <row r="2378" spans="2:15">
      <c r="B2378" s="20">
        <v>45278</v>
      </c>
      <c r="C2378" s="59">
        <v>50142055</v>
      </c>
      <c r="D2378" s="55" t="s">
        <v>206</v>
      </c>
      <c r="E2378" s="67">
        <v>600</v>
      </c>
      <c r="F2378" s="67">
        <v>2</v>
      </c>
      <c r="G2378" s="102">
        <v>1200</v>
      </c>
      <c r="H2378" s="56" t="s">
        <v>82</v>
      </c>
      <c r="K2378" s="56">
        <v>678</v>
      </c>
      <c r="L2378" s="55" t="s">
        <v>176</v>
      </c>
      <c r="M2378" s="55" t="s">
        <v>2824</v>
      </c>
      <c r="N2378" s="4" t="s">
        <v>177</v>
      </c>
      <c r="O2378" s="55" t="s">
        <v>178</v>
      </c>
    </row>
    <row r="2379" spans="2:15">
      <c r="B2379" s="20">
        <v>45278</v>
      </c>
      <c r="C2379" s="59">
        <v>50142137</v>
      </c>
      <c r="D2379" s="55" t="s">
        <v>840</v>
      </c>
      <c r="E2379" s="67">
        <v>1200</v>
      </c>
      <c r="F2379" s="67">
        <v>2</v>
      </c>
      <c r="G2379" s="102">
        <v>2400</v>
      </c>
      <c r="H2379" s="56" t="s">
        <v>82</v>
      </c>
      <c r="K2379" s="56">
        <v>678</v>
      </c>
      <c r="L2379" s="55" t="s">
        <v>176</v>
      </c>
      <c r="M2379" s="55" t="s">
        <v>2824</v>
      </c>
      <c r="N2379" s="4" t="s">
        <v>177</v>
      </c>
      <c r="O2379" s="55" t="s">
        <v>178</v>
      </c>
    </row>
    <row r="2380" spans="2:15">
      <c r="B2380" s="20">
        <v>45278</v>
      </c>
      <c r="C2380" s="59">
        <v>50142330</v>
      </c>
      <c r="D2380" s="55" t="s">
        <v>195</v>
      </c>
      <c r="E2380" s="67">
        <v>139.7</v>
      </c>
      <c r="F2380" s="67">
        <v>1</v>
      </c>
      <c r="G2380" s="102">
        <v>139.72</v>
      </c>
      <c r="H2380" s="56" t="s">
        <v>82</v>
      </c>
      <c r="K2380" s="56">
        <v>678</v>
      </c>
      <c r="L2380" s="55" t="s">
        <v>176</v>
      </c>
      <c r="M2380" s="55" t="s">
        <v>2824</v>
      </c>
      <c r="N2380" s="4" t="s">
        <v>177</v>
      </c>
      <c r="O2380" s="55" t="s">
        <v>178</v>
      </c>
    </row>
    <row r="2381" spans="2:15">
      <c r="B2381" s="20">
        <v>45278</v>
      </c>
      <c r="C2381" s="59">
        <v>50144376</v>
      </c>
      <c r="D2381" s="55" t="s">
        <v>19</v>
      </c>
      <c r="E2381" s="67">
        <v>500</v>
      </c>
      <c r="F2381" s="67">
        <v>7</v>
      </c>
      <c r="G2381" s="102">
        <v>3500</v>
      </c>
      <c r="H2381" s="56" t="s">
        <v>92</v>
      </c>
      <c r="K2381" s="56">
        <v>678</v>
      </c>
      <c r="L2381" s="55" t="s">
        <v>176</v>
      </c>
      <c r="M2381" s="55" t="s">
        <v>2824</v>
      </c>
      <c r="N2381" s="4" t="s">
        <v>177</v>
      </c>
      <c r="O2381" s="55" t="s">
        <v>178</v>
      </c>
    </row>
    <row r="2382" spans="2:15">
      <c r="B2382" s="20">
        <v>45278</v>
      </c>
      <c r="C2382" s="59">
        <v>50142281</v>
      </c>
      <c r="D2382" s="55" t="s">
        <v>204</v>
      </c>
      <c r="E2382" s="67">
        <v>450</v>
      </c>
      <c r="F2382" s="67">
        <v>4</v>
      </c>
      <c r="G2382" s="102">
        <v>1800</v>
      </c>
      <c r="H2382" s="56" t="s">
        <v>82</v>
      </c>
      <c r="K2382" s="56">
        <v>678</v>
      </c>
      <c r="L2382" s="55" t="s">
        <v>176</v>
      </c>
      <c r="M2382" s="55" t="s">
        <v>2824</v>
      </c>
      <c r="N2382" s="4" t="s">
        <v>177</v>
      </c>
      <c r="O2382" s="55" t="s">
        <v>178</v>
      </c>
    </row>
    <row r="2383" spans="2:15">
      <c r="B2383" s="20">
        <v>45278</v>
      </c>
      <c r="C2383" s="59">
        <v>50470190</v>
      </c>
      <c r="D2383" s="55" t="s">
        <v>12</v>
      </c>
      <c r="E2383" s="67">
        <v>289800</v>
      </c>
      <c r="F2383" s="67">
        <v>5</v>
      </c>
      <c r="G2383" s="102">
        <v>1449000</v>
      </c>
      <c r="H2383" s="56" t="s">
        <v>92</v>
      </c>
      <c r="K2383" s="56">
        <v>678</v>
      </c>
      <c r="L2383" s="55" t="s">
        <v>176</v>
      </c>
      <c r="M2383" s="55" t="s">
        <v>2824</v>
      </c>
      <c r="N2383" s="4" t="s">
        <v>177</v>
      </c>
      <c r="O2383" s="55" t="s">
        <v>178</v>
      </c>
    </row>
    <row r="2384" spans="2:15">
      <c r="B2384" s="20">
        <v>45278</v>
      </c>
      <c r="C2384" s="59">
        <v>50143894</v>
      </c>
      <c r="D2384" s="55" t="s">
        <v>944</v>
      </c>
      <c r="E2384" s="67">
        <v>3800</v>
      </c>
      <c r="F2384" s="67">
        <v>1</v>
      </c>
      <c r="G2384" s="102">
        <v>3800</v>
      </c>
      <c r="H2384" s="56" t="s">
        <v>92</v>
      </c>
      <c r="K2384" s="56">
        <v>678</v>
      </c>
      <c r="L2384" s="55" t="s">
        <v>176</v>
      </c>
      <c r="M2384" s="55" t="s">
        <v>2824</v>
      </c>
      <c r="N2384" s="4" t="s">
        <v>177</v>
      </c>
      <c r="O2384" s="55" t="s">
        <v>178</v>
      </c>
    </row>
    <row r="2385" spans="2:15">
      <c r="B2385" s="20">
        <v>45280</v>
      </c>
      <c r="C2385" s="59">
        <v>20016185</v>
      </c>
      <c r="D2385" s="55" t="s">
        <v>285</v>
      </c>
      <c r="E2385" s="67">
        <v>1000</v>
      </c>
      <c r="F2385" s="67">
        <v>10</v>
      </c>
      <c r="G2385" s="102">
        <v>10000</v>
      </c>
      <c r="H2385" s="56" t="s">
        <v>92</v>
      </c>
      <c r="K2385" s="56">
        <v>679</v>
      </c>
      <c r="L2385" s="55" t="s">
        <v>176</v>
      </c>
      <c r="M2385" s="55" t="s">
        <v>2824</v>
      </c>
      <c r="N2385" s="4" t="s">
        <v>177</v>
      </c>
      <c r="O2385" s="55" t="s">
        <v>178</v>
      </c>
    </row>
    <row r="2386" spans="2:15">
      <c r="B2386" s="20">
        <v>45280</v>
      </c>
      <c r="C2386" s="59">
        <v>50272278</v>
      </c>
      <c r="D2386" s="55" t="s">
        <v>21</v>
      </c>
      <c r="E2386" s="67">
        <v>500</v>
      </c>
      <c r="F2386" s="67">
        <v>22</v>
      </c>
      <c r="G2386" s="102">
        <v>11000</v>
      </c>
      <c r="H2386" s="56" t="s">
        <v>92</v>
      </c>
      <c r="K2386" s="56">
        <v>679</v>
      </c>
      <c r="L2386" s="55" t="s">
        <v>176</v>
      </c>
      <c r="M2386" s="55" t="s">
        <v>2824</v>
      </c>
      <c r="N2386" s="4" t="s">
        <v>177</v>
      </c>
      <c r="O2386" s="55" t="s">
        <v>178</v>
      </c>
    </row>
    <row r="2387" spans="2:15">
      <c r="B2387" s="20">
        <v>45280</v>
      </c>
      <c r="C2387" s="59">
        <v>50802401</v>
      </c>
      <c r="D2387" s="55" t="s">
        <v>13</v>
      </c>
      <c r="E2387" s="67">
        <v>289800</v>
      </c>
      <c r="F2387" s="67">
        <v>9</v>
      </c>
      <c r="G2387" s="102">
        <v>2608200</v>
      </c>
      <c r="H2387" s="56" t="s">
        <v>92</v>
      </c>
      <c r="K2387" s="56">
        <v>680</v>
      </c>
      <c r="L2387" s="55" t="s">
        <v>176</v>
      </c>
      <c r="M2387" s="55" t="s">
        <v>2824</v>
      </c>
      <c r="N2387" s="4" t="s">
        <v>177</v>
      </c>
      <c r="O2387" s="55" t="s">
        <v>178</v>
      </c>
    </row>
    <row r="2388" spans="2:15">
      <c r="B2388" s="20">
        <v>45280</v>
      </c>
      <c r="C2388" s="59">
        <v>50809146</v>
      </c>
      <c r="D2388" s="55" t="s">
        <v>1030</v>
      </c>
      <c r="E2388" s="67">
        <v>456</v>
      </c>
      <c r="F2388" s="67">
        <v>2</v>
      </c>
      <c r="G2388" s="102">
        <v>1034.75</v>
      </c>
      <c r="H2388" s="56" t="s">
        <v>82</v>
      </c>
      <c r="K2388" s="56">
        <v>680</v>
      </c>
      <c r="L2388" s="55" t="s">
        <v>176</v>
      </c>
      <c r="M2388" s="55" t="s">
        <v>2824</v>
      </c>
      <c r="N2388" s="4" t="s">
        <v>177</v>
      </c>
      <c r="O2388" s="55" t="s">
        <v>178</v>
      </c>
    </row>
    <row r="2389" spans="2:15">
      <c r="B2389" s="20">
        <v>45280</v>
      </c>
      <c r="C2389" s="59">
        <v>50793278</v>
      </c>
      <c r="D2389" s="55" t="s">
        <v>1086</v>
      </c>
      <c r="E2389" s="67">
        <v>1000</v>
      </c>
      <c r="F2389" s="67">
        <v>3</v>
      </c>
      <c r="G2389" s="102">
        <v>30</v>
      </c>
      <c r="H2389" s="56" t="s">
        <v>1087</v>
      </c>
      <c r="K2389" s="56">
        <v>680</v>
      </c>
      <c r="L2389" s="55" t="s">
        <v>176</v>
      </c>
      <c r="M2389" s="55" t="s">
        <v>2824</v>
      </c>
      <c r="N2389" s="4" t="s">
        <v>177</v>
      </c>
      <c r="O2389" s="55" t="s">
        <v>178</v>
      </c>
    </row>
    <row r="2390" spans="2:15">
      <c r="B2390" s="20">
        <v>45280</v>
      </c>
      <c r="C2390" s="59">
        <v>50820741</v>
      </c>
      <c r="D2390" s="55" t="s">
        <v>1114</v>
      </c>
      <c r="E2390" s="67">
        <v>289800</v>
      </c>
      <c r="F2390" s="67">
        <v>4</v>
      </c>
      <c r="G2390" s="102">
        <v>1159200</v>
      </c>
      <c r="H2390" s="56" t="s">
        <v>92</v>
      </c>
      <c r="K2390" s="56">
        <v>680</v>
      </c>
      <c r="L2390" s="55" t="s">
        <v>176</v>
      </c>
      <c r="M2390" s="55" t="s">
        <v>2824</v>
      </c>
      <c r="N2390" s="4" t="s">
        <v>177</v>
      </c>
      <c r="O2390" s="55" t="s">
        <v>178</v>
      </c>
    </row>
    <row r="2391" spans="2:15">
      <c r="B2391" s="20">
        <v>45281</v>
      </c>
      <c r="C2391" s="59">
        <v>50272278</v>
      </c>
      <c r="D2391" s="55" t="s">
        <v>21</v>
      </c>
      <c r="E2391" s="67">
        <v>500</v>
      </c>
      <c r="F2391" s="67">
        <v>22</v>
      </c>
      <c r="G2391" s="102">
        <v>11000</v>
      </c>
      <c r="H2391" s="56" t="s">
        <v>92</v>
      </c>
      <c r="K2391" s="56">
        <v>681</v>
      </c>
      <c r="L2391" s="55" t="s">
        <v>176</v>
      </c>
      <c r="M2391" s="55" t="s">
        <v>2824</v>
      </c>
      <c r="N2391" s="4" t="s">
        <v>177</v>
      </c>
      <c r="O2391" s="55" t="s">
        <v>178</v>
      </c>
    </row>
    <row r="2392" spans="2:15">
      <c r="B2392" s="20">
        <v>45281</v>
      </c>
      <c r="C2392" s="59">
        <v>50010080</v>
      </c>
      <c r="D2392" s="55" t="s">
        <v>354</v>
      </c>
      <c r="E2392" s="67">
        <v>1000</v>
      </c>
      <c r="F2392" s="67">
        <v>4</v>
      </c>
      <c r="G2392" s="102">
        <v>4000</v>
      </c>
      <c r="H2392" s="56" t="s">
        <v>82</v>
      </c>
      <c r="K2392" s="56">
        <v>682</v>
      </c>
      <c r="L2392" s="55" t="s">
        <v>176</v>
      </c>
      <c r="M2392" s="55" t="s">
        <v>2824</v>
      </c>
      <c r="N2392" s="4" t="s">
        <v>177</v>
      </c>
      <c r="O2392" s="55" t="s">
        <v>178</v>
      </c>
    </row>
    <row r="2393" spans="2:15">
      <c r="B2393" s="20">
        <v>45281</v>
      </c>
      <c r="C2393" s="59">
        <v>40010086</v>
      </c>
      <c r="D2393" s="55" t="s">
        <v>79</v>
      </c>
      <c r="E2393" s="67">
        <v>1260</v>
      </c>
      <c r="F2393" s="67">
        <v>1</v>
      </c>
      <c r="G2393" s="102">
        <v>1260</v>
      </c>
      <c r="H2393" s="56" t="s">
        <v>80</v>
      </c>
      <c r="K2393" s="56">
        <v>682</v>
      </c>
      <c r="L2393" s="55" t="s">
        <v>176</v>
      </c>
      <c r="M2393" s="55" t="s">
        <v>2824</v>
      </c>
      <c r="N2393" s="4" t="s">
        <v>177</v>
      </c>
      <c r="O2393" s="55" t="s">
        <v>178</v>
      </c>
    </row>
    <row r="2394" spans="2:15">
      <c r="B2394" s="20">
        <v>45281</v>
      </c>
      <c r="C2394" s="59">
        <v>40010087</v>
      </c>
      <c r="D2394" s="55" t="s">
        <v>387</v>
      </c>
      <c r="E2394" s="67">
        <v>864</v>
      </c>
      <c r="F2394" s="67">
        <v>4</v>
      </c>
      <c r="G2394" s="102">
        <v>3024</v>
      </c>
      <c r="H2394" s="56" t="s">
        <v>80</v>
      </c>
      <c r="K2394" s="56">
        <v>682</v>
      </c>
      <c r="L2394" s="55" t="s">
        <v>176</v>
      </c>
      <c r="M2394" s="55" t="s">
        <v>2824</v>
      </c>
      <c r="N2394" s="4" t="s">
        <v>177</v>
      </c>
      <c r="O2394" s="55" t="s">
        <v>178</v>
      </c>
    </row>
    <row r="2395" spans="2:15">
      <c r="B2395" s="20">
        <v>45281</v>
      </c>
      <c r="C2395" s="59">
        <v>40011133</v>
      </c>
      <c r="D2395" s="55" t="s">
        <v>634</v>
      </c>
      <c r="E2395" s="67">
        <v>756</v>
      </c>
      <c r="F2395" s="67">
        <v>2</v>
      </c>
      <c r="G2395" s="102">
        <v>1170</v>
      </c>
      <c r="H2395" s="56" t="s">
        <v>80</v>
      </c>
      <c r="K2395" s="56">
        <v>682</v>
      </c>
      <c r="L2395" s="55" t="s">
        <v>176</v>
      </c>
      <c r="M2395" s="55" t="s">
        <v>2824</v>
      </c>
      <c r="N2395" s="4" t="s">
        <v>177</v>
      </c>
      <c r="O2395" s="55" t="s">
        <v>178</v>
      </c>
    </row>
    <row r="2396" spans="2:15">
      <c r="B2396" s="20">
        <v>45281</v>
      </c>
      <c r="C2396" s="59">
        <v>40007941</v>
      </c>
      <c r="D2396" s="55" t="s">
        <v>211</v>
      </c>
      <c r="E2396" s="67">
        <v>1951</v>
      </c>
      <c r="F2396" s="67">
        <v>1</v>
      </c>
      <c r="G2396" s="102">
        <v>1951</v>
      </c>
      <c r="H2396" s="56" t="s">
        <v>80</v>
      </c>
      <c r="K2396" s="56">
        <v>682</v>
      </c>
      <c r="L2396" s="55" t="s">
        <v>176</v>
      </c>
      <c r="M2396" s="55" t="s">
        <v>2824</v>
      </c>
      <c r="N2396" s="4" t="s">
        <v>177</v>
      </c>
      <c r="O2396" s="55" t="s">
        <v>178</v>
      </c>
    </row>
    <row r="2397" spans="2:15">
      <c r="B2397" s="20">
        <v>45281</v>
      </c>
      <c r="C2397" s="59">
        <v>50337816</v>
      </c>
      <c r="D2397" s="55" t="s">
        <v>245</v>
      </c>
      <c r="E2397" s="67">
        <v>264</v>
      </c>
      <c r="F2397" s="67">
        <v>2</v>
      </c>
      <c r="G2397" s="102">
        <v>528</v>
      </c>
      <c r="H2397" s="56" t="s">
        <v>80</v>
      </c>
      <c r="K2397" s="56">
        <v>682</v>
      </c>
      <c r="L2397" s="55" t="s">
        <v>176</v>
      </c>
      <c r="M2397" s="55" t="s">
        <v>2824</v>
      </c>
      <c r="N2397" s="4" t="s">
        <v>177</v>
      </c>
      <c r="O2397" s="55" t="s">
        <v>178</v>
      </c>
    </row>
    <row r="2398" spans="2:15">
      <c r="B2398" s="20">
        <v>45281</v>
      </c>
      <c r="C2398" s="59">
        <v>40011659</v>
      </c>
      <c r="D2398" s="55" t="s">
        <v>89</v>
      </c>
      <c r="E2398" s="67">
        <v>360</v>
      </c>
      <c r="F2398" s="67">
        <v>1</v>
      </c>
      <c r="G2398" s="102">
        <v>360</v>
      </c>
      <c r="H2398" s="56" t="s">
        <v>80</v>
      </c>
      <c r="K2398" s="56">
        <v>682</v>
      </c>
      <c r="L2398" s="55" t="s">
        <v>176</v>
      </c>
      <c r="M2398" s="55" t="s">
        <v>2824</v>
      </c>
      <c r="N2398" s="4" t="s">
        <v>177</v>
      </c>
      <c r="O2398" s="55" t="s">
        <v>178</v>
      </c>
    </row>
    <row r="2399" spans="2:15">
      <c r="B2399" s="20">
        <v>45281</v>
      </c>
      <c r="C2399" s="59">
        <v>50142327</v>
      </c>
      <c r="D2399" s="55" t="s">
        <v>256</v>
      </c>
      <c r="E2399" s="67">
        <v>681</v>
      </c>
      <c r="F2399" s="67">
        <v>1</v>
      </c>
      <c r="G2399" s="102">
        <v>681</v>
      </c>
      <c r="H2399" s="56" t="s">
        <v>82</v>
      </c>
      <c r="K2399" s="56">
        <v>682</v>
      </c>
      <c r="L2399" s="55" t="s">
        <v>176</v>
      </c>
      <c r="M2399" s="55" t="s">
        <v>2824</v>
      </c>
      <c r="N2399" s="4" t="s">
        <v>177</v>
      </c>
      <c r="O2399" s="55" t="s">
        <v>178</v>
      </c>
    </row>
    <row r="2400" spans="2:15">
      <c r="B2400" s="20">
        <v>45281</v>
      </c>
      <c r="C2400" s="59">
        <v>50142334</v>
      </c>
      <c r="D2400" s="55" t="s">
        <v>257</v>
      </c>
      <c r="E2400" s="67">
        <v>681</v>
      </c>
      <c r="F2400" s="67">
        <v>2</v>
      </c>
      <c r="G2400" s="102">
        <v>1362</v>
      </c>
      <c r="H2400" s="56" t="s">
        <v>82</v>
      </c>
      <c r="K2400" s="56">
        <v>682</v>
      </c>
      <c r="L2400" s="55" t="s">
        <v>176</v>
      </c>
      <c r="M2400" s="55" t="s">
        <v>2824</v>
      </c>
      <c r="N2400" s="4" t="s">
        <v>177</v>
      </c>
      <c r="O2400" s="55" t="s">
        <v>178</v>
      </c>
    </row>
    <row r="2401" spans="2:15">
      <c r="B2401" s="20">
        <v>45281</v>
      </c>
      <c r="C2401" s="59">
        <v>50144376</v>
      </c>
      <c r="D2401" s="55" t="s">
        <v>19</v>
      </c>
      <c r="E2401" s="67">
        <v>500</v>
      </c>
      <c r="F2401" s="67">
        <v>10</v>
      </c>
      <c r="G2401" s="102">
        <v>5000</v>
      </c>
      <c r="H2401" s="56" t="s">
        <v>92</v>
      </c>
      <c r="K2401" s="56">
        <v>683</v>
      </c>
      <c r="L2401" s="55" t="s">
        <v>176</v>
      </c>
      <c r="M2401" s="55" t="s">
        <v>2824</v>
      </c>
      <c r="N2401" s="4" t="s">
        <v>177</v>
      </c>
      <c r="O2401" s="55" t="s">
        <v>178</v>
      </c>
    </row>
    <row r="2402" spans="2:15">
      <c r="B2402" s="20">
        <v>45281</v>
      </c>
      <c r="C2402" s="59">
        <v>50272278</v>
      </c>
      <c r="D2402" s="55" t="s">
        <v>21</v>
      </c>
      <c r="E2402" s="67">
        <v>500</v>
      </c>
      <c r="F2402" s="67">
        <v>5</v>
      </c>
      <c r="G2402" s="102">
        <v>2500</v>
      </c>
      <c r="H2402" s="56" t="s">
        <v>92</v>
      </c>
      <c r="K2402" s="56">
        <v>683</v>
      </c>
      <c r="L2402" s="55" t="s">
        <v>176</v>
      </c>
      <c r="M2402" s="55" t="s">
        <v>2824</v>
      </c>
      <c r="N2402" s="4" t="s">
        <v>177</v>
      </c>
      <c r="O2402" s="55" t="s">
        <v>178</v>
      </c>
    </row>
    <row r="2403" spans="2:15">
      <c r="B2403" s="20">
        <v>45281</v>
      </c>
      <c r="C2403" s="59">
        <v>50802401</v>
      </c>
      <c r="D2403" s="55" t="s">
        <v>13</v>
      </c>
      <c r="E2403" s="67">
        <v>289800</v>
      </c>
      <c r="F2403" s="67">
        <v>5</v>
      </c>
      <c r="G2403" s="102">
        <v>1449000</v>
      </c>
      <c r="H2403" s="56" t="s">
        <v>92</v>
      </c>
      <c r="K2403" s="56">
        <v>683</v>
      </c>
      <c r="L2403" s="55" t="s">
        <v>176</v>
      </c>
      <c r="M2403" s="55" t="s">
        <v>2824</v>
      </c>
      <c r="N2403" s="4" t="s">
        <v>177</v>
      </c>
      <c r="O2403" s="55" t="s">
        <v>178</v>
      </c>
    </row>
    <row r="2404" spans="2:15">
      <c r="B2404" s="20">
        <v>45281</v>
      </c>
      <c r="C2404" s="59">
        <v>50820741</v>
      </c>
      <c r="D2404" s="55" t="s">
        <v>1114</v>
      </c>
      <c r="E2404" s="67">
        <v>289800</v>
      </c>
      <c r="F2404" s="67">
        <v>18</v>
      </c>
      <c r="G2404" s="102">
        <v>5216400</v>
      </c>
      <c r="H2404" s="56" t="s">
        <v>92</v>
      </c>
      <c r="K2404" s="56">
        <v>684</v>
      </c>
      <c r="L2404" s="55" t="s">
        <v>176</v>
      </c>
      <c r="M2404" s="55" t="s">
        <v>2824</v>
      </c>
      <c r="N2404" s="4" t="s">
        <v>177</v>
      </c>
      <c r="O2404" s="55" t="s">
        <v>178</v>
      </c>
    </row>
    <row r="2405" spans="2:15">
      <c r="B2405" s="20">
        <v>45282</v>
      </c>
      <c r="C2405" s="59">
        <v>50534881</v>
      </c>
      <c r="D2405" s="55" t="s">
        <v>227</v>
      </c>
      <c r="E2405" s="67">
        <v>9000</v>
      </c>
      <c r="F2405" s="67">
        <v>22</v>
      </c>
      <c r="G2405" s="102">
        <v>198000</v>
      </c>
      <c r="H2405" s="56" t="s">
        <v>92</v>
      </c>
      <c r="K2405" s="56">
        <v>685</v>
      </c>
      <c r="L2405" s="55" t="s">
        <v>176</v>
      </c>
      <c r="M2405" s="55" t="s">
        <v>2824</v>
      </c>
      <c r="N2405" s="4" t="s">
        <v>177</v>
      </c>
      <c r="O2405" s="55" t="s">
        <v>178</v>
      </c>
    </row>
    <row r="2406" spans="2:15">
      <c r="B2406" s="20">
        <v>45282</v>
      </c>
      <c r="C2406" s="59">
        <v>502360907</v>
      </c>
      <c r="D2406" s="55" t="s">
        <v>897</v>
      </c>
      <c r="E2406" s="67">
        <v>810</v>
      </c>
      <c r="F2406" s="67">
        <v>7</v>
      </c>
      <c r="G2406" s="102">
        <v>5670</v>
      </c>
      <c r="H2406" s="56" t="s">
        <v>898</v>
      </c>
      <c r="K2406" s="56">
        <v>686</v>
      </c>
      <c r="L2406" s="55" t="s">
        <v>176</v>
      </c>
      <c r="M2406" s="55" t="s">
        <v>2824</v>
      </c>
      <c r="N2406" s="4" t="s">
        <v>177</v>
      </c>
      <c r="O2406" s="55" t="s">
        <v>178</v>
      </c>
    </row>
    <row r="2407" spans="2:15">
      <c r="B2407" s="20">
        <v>45282</v>
      </c>
      <c r="C2407" s="59">
        <v>50534881</v>
      </c>
      <c r="D2407" s="55" t="s">
        <v>227</v>
      </c>
      <c r="E2407" s="67">
        <v>9000</v>
      </c>
      <c r="F2407" s="67">
        <v>15</v>
      </c>
      <c r="G2407" s="102">
        <v>135000</v>
      </c>
      <c r="H2407" s="56" t="s">
        <v>92</v>
      </c>
      <c r="K2407" s="56">
        <v>686</v>
      </c>
      <c r="L2407" s="55" t="s">
        <v>176</v>
      </c>
      <c r="M2407" s="55" t="s">
        <v>2824</v>
      </c>
      <c r="N2407" s="4" t="s">
        <v>177</v>
      </c>
      <c r="O2407" s="55" t="s">
        <v>178</v>
      </c>
    </row>
    <row r="2408" spans="2:15">
      <c r="B2408" s="20">
        <v>45282</v>
      </c>
      <c r="C2408" s="59">
        <v>50144376</v>
      </c>
      <c r="D2408" s="55" t="s">
        <v>19</v>
      </c>
      <c r="E2408" s="67">
        <v>500</v>
      </c>
      <c r="F2408" s="67">
        <v>12</v>
      </c>
      <c r="G2408" s="102">
        <v>6000</v>
      </c>
      <c r="H2408" s="56" t="s">
        <v>92</v>
      </c>
      <c r="K2408" s="56">
        <v>688</v>
      </c>
      <c r="L2408" s="55" t="s">
        <v>176</v>
      </c>
      <c r="M2408" s="55" t="s">
        <v>2824</v>
      </c>
      <c r="N2408" s="4" t="s">
        <v>177</v>
      </c>
      <c r="O2408" s="55" t="s">
        <v>178</v>
      </c>
    </row>
    <row r="2409" spans="2:15">
      <c r="B2409" s="20">
        <v>45282</v>
      </c>
      <c r="C2409" s="59">
        <v>50470190</v>
      </c>
      <c r="D2409" s="55" t="s">
        <v>12</v>
      </c>
      <c r="E2409" s="67">
        <v>289800</v>
      </c>
      <c r="F2409" s="67">
        <v>3</v>
      </c>
      <c r="G2409" s="102">
        <v>869400</v>
      </c>
      <c r="H2409" s="117" t="s">
        <v>92</v>
      </c>
      <c r="K2409" s="56">
        <v>688</v>
      </c>
      <c r="L2409" s="55" t="s">
        <v>176</v>
      </c>
      <c r="M2409" s="55" t="s">
        <v>2824</v>
      </c>
      <c r="N2409" s="4" t="s">
        <v>177</v>
      </c>
      <c r="O2409" s="55" t="s">
        <v>178</v>
      </c>
    </row>
    <row r="2410" spans="2:15">
      <c r="B2410" s="20">
        <v>45282</v>
      </c>
      <c r="C2410" s="59">
        <v>50802401</v>
      </c>
      <c r="D2410" s="55" t="s">
        <v>13</v>
      </c>
      <c r="E2410" s="67">
        <v>2898000</v>
      </c>
      <c r="F2410" s="67">
        <v>5</v>
      </c>
      <c r="G2410" s="102">
        <v>1449000</v>
      </c>
      <c r="H2410" s="56" t="s">
        <v>92</v>
      </c>
      <c r="K2410" s="56">
        <v>688</v>
      </c>
      <c r="L2410" s="55" t="s">
        <v>176</v>
      </c>
      <c r="M2410" s="55" t="s">
        <v>2824</v>
      </c>
      <c r="N2410" s="4" t="s">
        <v>177</v>
      </c>
      <c r="O2410" s="55" t="s">
        <v>178</v>
      </c>
    </row>
    <row r="2411" spans="2:15">
      <c r="B2411" s="20">
        <v>45283</v>
      </c>
      <c r="C2411" s="59">
        <v>50144376</v>
      </c>
      <c r="D2411" s="55" t="s">
        <v>19</v>
      </c>
      <c r="E2411" s="67">
        <v>500</v>
      </c>
      <c r="F2411" s="67">
        <v>1</v>
      </c>
      <c r="G2411" s="102">
        <v>300</v>
      </c>
      <c r="H2411" s="56" t="s">
        <v>92</v>
      </c>
      <c r="K2411" s="56">
        <v>689</v>
      </c>
      <c r="L2411" s="55" t="s">
        <v>176</v>
      </c>
      <c r="M2411" s="55" t="s">
        <v>2824</v>
      </c>
      <c r="N2411" s="4" t="s">
        <v>177</v>
      </c>
      <c r="O2411" s="55" t="s">
        <v>178</v>
      </c>
    </row>
    <row r="2412" spans="2:15">
      <c r="B2412" s="20">
        <v>45283</v>
      </c>
      <c r="C2412" s="59">
        <v>50272278</v>
      </c>
      <c r="D2412" s="55" t="s">
        <v>21</v>
      </c>
      <c r="E2412" s="67">
        <v>500</v>
      </c>
      <c r="F2412" s="67">
        <v>1</v>
      </c>
      <c r="G2412" s="102">
        <v>1480</v>
      </c>
      <c r="H2412" s="56" t="s">
        <v>92</v>
      </c>
      <c r="K2412" s="56">
        <v>689</v>
      </c>
      <c r="L2412" s="55" t="s">
        <v>176</v>
      </c>
      <c r="M2412" s="55" t="s">
        <v>2824</v>
      </c>
      <c r="N2412" s="4" t="s">
        <v>177</v>
      </c>
      <c r="O2412" s="55" t="s">
        <v>178</v>
      </c>
    </row>
    <row r="2413" spans="2:15">
      <c r="B2413" s="20">
        <v>45286</v>
      </c>
      <c r="C2413" s="59">
        <v>50010080</v>
      </c>
      <c r="D2413" s="55" t="s">
        <v>354</v>
      </c>
      <c r="E2413" s="67">
        <v>1000</v>
      </c>
      <c r="F2413" s="67">
        <v>1</v>
      </c>
      <c r="G2413" s="102">
        <v>50</v>
      </c>
      <c r="H2413" s="56" t="s">
        <v>82</v>
      </c>
      <c r="K2413" s="56">
        <v>690</v>
      </c>
      <c r="L2413" s="55" t="s">
        <v>176</v>
      </c>
      <c r="M2413" s="55" t="s">
        <v>2824</v>
      </c>
      <c r="N2413" s="4" t="s">
        <v>177</v>
      </c>
      <c r="O2413" s="55" t="s">
        <v>178</v>
      </c>
    </row>
    <row r="2414" spans="2:15">
      <c r="B2414" s="20">
        <v>45286</v>
      </c>
      <c r="C2414" s="59">
        <v>50534881</v>
      </c>
      <c r="D2414" s="55" t="s">
        <v>227</v>
      </c>
      <c r="E2414" s="67">
        <v>9000</v>
      </c>
      <c r="F2414" s="67">
        <v>19</v>
      </c>
      <c r="G2414" s="102">
        <v>171000</v>
      </c>
      <c r="H2414" s="56" t="s">
        <v>92</v>
      </c>
      <c r="K2414" s="56">
        <v>690</v>
      </c>
      <c r="L2414" s="55" t="s">
        <v>176</v>
      </c>
      <c r="M2414" s="55" t="s">
        <v>2824</v>
      </c>
      <c r="N2414" s="4" t="s">
        <v>177</v>
      </c>
      <c r="O2414" s="55" t="s">
        <v>178</v>
      </c>
    </row>
    <row r="2415" spans="2:15">
      <c r="B2415" s="20">
        <v>45286</v>
      </c>
      <c r="C2415" s="59">
        <v>50142327</v>
      </c>
      <c r="D2415" s="55" t="s">
        <v>256</v>
      </c>
      <c r="E2415" s="67">
        <v>681</v>
      </c>
      <c r="F2415" s="67">
        <v>1</v>
      </c>
      <c r="G2415" s="102">
        <v>204.3</v>
      </c>
      <c r="H2415" s="56" t="s">
        <v>82</v>
      </c>
      <c r="K2415" s="56">
        <v>690</v>
      </c>
      <c r="L2415" s="55" t="s">
        <v>176</v>
      </c>
      <c r="M2415" s="55" t="s">
        <v>2824</v>
      </c>
      <c r="N2415" s="4" t="s">
        <v>177</v>
      </c>
      <c r="O2415" s="55" t="s">
        <v>178</v>
      </c>
    </row>
    <row r="2416" spans="2:15">
      <c r="B2416" s="20">
        <v>45286</v>
      </c>
      <c r="C2416" s="59">
        <v>50142334</v>
      </c>
      <c r="D2416" s="55" t="s">
        <v>257</v>
      </c>
      <c r="E2416" s="67">
        <v>681</v>
      </c>
      <c r="F2416" s="67">
        <v>1</v>
      </c>
      <c r="G2416" s="102">
        <v>68.1</v>
      </c>
      <c r="H2416" s="56" t="s">
        <v>82</v>
      </c>
      <c r="K2416" s="56">
        <v>690</v>
      </c>
      <c r="L2416" s="55" t="s">
        <v>176</v>
      </c>
      <c r="M2416" s="55" t="s">
        <v>2824</v>
      </c>
      <c r="N2416" s="4" t="s">
        <v>177</v>
      </c>
      <c r="O2416" s="55" t="s">
        <v>178</v>
      </c>
    </row>
    <row r="2417" spans="2:15">
      <c r="B2417" s="20">
        <v>45286</v>
      </c>
      <c r="C2417" s="59">
        <v>40011080</v>
      </c>
      <c r="D2417" s="55" t="s">
        <v>420</v>
      </c>
      <c r="E2417" s="67">
        <v>450</v>
      </c>
      <c r="F2417" s="67">
        <v>1</v>
      </c>
      <c r="G2417" s="102">
        <v>450</v>
      </c>
      <c r="H2417" s="56" t="s">
        <v>80</v>
      </c>
      <c r="K2417" s="56">
        <v>691</v>
      </c>
      <c r="L2417" s="55" t="s">
        <v>176</v>
      </c>
      <c r="M2417" s="55" t="s">
        <v>2824</v>
      </c>
      <c r="N2417" s="4" t="s">
        <v>177</v>
      </c>
      <c r="O2417" s="55" t="s">
        <v>178</v>
      </c>
    </row>
    <row r="2418" spans="2:15">
      <c r="B2418" s="20">
        <v>45286</v>
      </c>
      <c r="C2418" s="59">
        <v>50144200</v>
      </c>
      <c r="D2418" s="55" t="s">
        <v>184</v>
      </c>
      <c r="E2418" s="67">
        <v>264000</v>
      </c>
      <c r="F2418" s="67">
        <v>4</v>
      </c>
      <c r="G2418" s="102">
        <v>869000</v>
      </c>
      <c r="H2418" s="56" t="s">
        <v>92</v>
      </c>
      <c r="K2418" s="56">
        <v>691</v>
      </c>
      <c r="L2418" s="55" t="s">
        <v>176</v>
      </c>
      <c r="M2418" s="55" t="s">
        <v>2824</v>
      </c>
      <c r="N2418" s="4" t="s">
        <v>177</v>
      </c>
      <c r="O2418" s="55" t="s">
        <v>178</v>
      </c>
    </row>
    <row r="2419" spans="2:15">
      <c r="B2419" s="20">
        <v>45286</v>
      </c>
      <c r="C2419" s="59">
        <v>50507916</v>
      </c>
      <c r="D2419" s="55" t="s">
        <v>406</v>
      </c>
      <c r="E2419" s="67">
        <v>264000</v>
      </c>
      <c r="F2419" s="67">
        <v>4</v>
      </c>
      <c r="G2419" s="102">
        <v>1056000</v>
      </c>
      <c r="H2419" s="56" t="s">
        <v>92</v>
      </c>
      <c r="K2419" s="56">
        <v>691</v>
      </c>
      <c r="L2419" s="55" t="s">
        <v>176</v>
      </c>
      <c r="M2419" s="55" t="s">
        <v>2824</v>
      </c>
      <c r="N2419" s="4" t="s">
        <v>177</v>
      </c>
      <c r="O2419" s="55" t="s">
        <v>178</v>
      </c>
    </row>
    <row r="2420" spans="2:15">
      <c r="B2420" s="20">
        <v>45286</v>
      </c>
      <c r="C2420" s="59">
        <v>50470190</v>
      </c>
      <c r="D2420" s="55" t="s">
        <v>12</v>
      </c>
      <c r="E2420" s="67">
        <v>289800</v>
      </c>
      <c r="F2420" s="67">
        <v>6</v>
      </c>
      <c r="G2420" s="102">
        <v>1738800</v>
      </c>
      <c r="H2420" s="56" t="s">
        <v>92</v>
      </c>
      <c r="K2420" s="56">
        <v>691</v>
      </c>
      <c r="L2420" s="55" t="s">
        <v>176</v>
      </c>
      <c r="M2420" s="55" t="s">
        <v>2824</v>
      </c>
      <c r="N2420" s="4" t="s">
        <v>177</v>
      </c>
      <c r="O2420" s="55" t="s">
        <v>178</v>
      </c>
    </row>
    <row r="2421" spans="2:15">
      <c r="B2421" s="20">
        <v>45286</v>
      </c>
      <c r="C2421" s="59">
        <v>50793278</v>
      </c>
      <c r="D2421" s="55" t="s">
        <v>1086</v>
      </c>
      <c r="E2421" s="67">
        <v>1000</v>
      </c>
      <c r="F2421" s="67">
        <v>5</v>
      </c>
      <c r="G2421" s="102">
        <v>50</v>
      </c>
      <c r="H2421" s="56" t="s">
        <v>1087</v>
      </c>
      <c r="K2421" s="56">
        <v>691</v>
      </c>
      <c r="L2421" s="55" t="s">
        <v>176</v>
      </c>
      <c r="M2421" s="55" t="s">
        <v>2824</v>
      </c>
      <c r="N2421" s="4" t="s">
        <v>177</v>
      </c>
      <c r="O2421" s="55" t="s">
        <v>178</v>
      </c>
    </row>
    <row r="2422" spans="2:15">
      <c r="B2422" s="20">
        <v>45286</v>
      </c>
      <c r="C2422" s="59">
        <v>50272278</v>
      </c>
      <c r="D2422" s="55" t="s">
        <v>21</v>
      </c>
      <c r="E2422" s="67">
        <v>500</v>
      </c>
      <c r="F2422" s="67">
        <v>22</v>
      </c>
      <c r="G2422" s="102">
        <v>11000</v>
      </c>
      <c r="H2422" s="56" t="s">
        <v>962</v>
      </c>
      <c r="K2422" s="56">
        <v>692</v>
      </c>
      <c r="L2422" s="55" t="s">
        <v>176</v>
      </c>
      <c r="M2422" s="55" t="s">
        <v>2824</v>
      </c>
      <c r="N2422" s="4" t="s">
        <v>177</v>
      </c>
      <c r="O2422" s="55" t="s">
        <v>178</v>
      </c>
    </row>
    <row r="2423" spans="2:15">
      <c r="B2423" s="20">
        <v>45287</v>
      </c>
      <c r="C2423" s="59">
        <v>50144376</v>
      </c>
      <c r="D2423" s="55" t="s">
        <v>19</v>
      </c>
      <c r="E2423" s="67">
        <v>500</v>
      </c>
      <c r="F2423" s="67">
        <v>11</v>
      </c>
      <c r="G2423" s="102">
        <v>5500</v>
      </c>
      <c r="H2423" s="56" t="s">
        <v>92</v>
      </c>
      <c r="K2423" s="56">
        <v>693</v>
      </c>
      <c r="L2423" s="55" t="s">
        <v>176</v>
      </c>
      <c r="M2423" s="55" t="s">
        <v>2824</v>
      </c>
      <c r="N2423" s="4" t="s">
        <v>177</v>
      </c>
      <c r="O2423" s="55" t="s">
        <v>178</v>
      </c>
    </row>
    <row r="2424" spans="2:15">
      <c r="B2424" s="20">
        <v>45287</v>
      </c>
      <c r="C2424" s="59">
        <v>50272278</v>
      </c>
      <c r="D2424" s="55" t="s">
        <v>21</v>
      </c>
      <c r="E2424" s="67">
        <v>500</v>
      </c>
      <c r="F2424" s="67">
        <v>11</v>
      </c>
      <c r="G2424" s="102">
        <v>5500</v>
      </c>
      <c r="H2424" s="56" t="s">
        <v>92</v>
      </c>
      <c r="K2424" s="56">
        <v>693</v>
      </c>
      <c r="L2424" s="55" t="s">
        <v>176</v>
      </c>
      <c r="M2424" s="55" t="s">
        <v>2824</v>
      </c>
      <c r="N2424" s="4" t="s">
        <v>177</v>
      </c>
      <c r="O2424" s="55" t="s">
        <v>178</v>
      </c>
    </row>
    <row r="2425" spans="2:15">
      <c r="B2425" s="20">
        <v>45287</v>
      </c>
      <c r="C2425" s="59">
        <v>50470190</v>
      </c>
      <c r="D2425" s="55" t="s">
        <v>12</v>
      </c>
      <c r="E2425" s="67">
        <v>289800</v>
      </c>
      <c r="F2425" s="67">
        <v>10</v>
      </c>
      <c r="G2425" s="102">
        <v>2898000</v>
      </c>
      <c r="H2425" s="56" t="s">
        <v>92</v>
      </c>
      <c r="K2425" s="56">
        <v>694</v>
      </c>
      <c r="L2425" s="55" t="s">
        <v>176</v>
      </c>
      <c r="M2425" s="55" t="s">
        <v>2824</v>
      </c>
      <c r="N2425" s="4" t="s">
        <v>177</v>
      </c>
      <c r="O2425" s="55" t="s">
        <v>178</v>
      </c>
    </row>
    <row r="2426" spans="2:15">
      <c r="B2426" s="20">
        <v>45287</v>
      </c>
      <c r="C2426" s="59">
        <v>50820741</v>
      </c>
      <c r="D2426" s="55" t="s">
        <v>1114</v>
      </c>
      <c r="E2426" s="67">
        <v>289800</v>
      </c>
      <c r="F2426" s="67">
        <v>8</v>
      </c>
      <c r="G2426" s="102">
        <v>2318400</v>
      </c>
      <c r="H2426" s="56" t="s">
        <v>92</v>
      </c>
      <c r="K2426" s="56">
        <v>694</v>
      </c>
      <c r="L2426" s="55" t="s">
        <v>176</v>
      </c>
      <c r="M2426" s="55" t="s">
        <v>2824</v>
      </c>
      <c r="N2426" s="4" t="s">
        <v>177</v>
      </c>
      <c r="O2426" s="55" t="s">
        <v>178</v>
      </c>
    </row>
    <row r="2427" spans="2:15">
      <c r="B2427" s="20">
        <v>45287</v>
      </c>
      <c r="C2427" s="59">
        <v>50534881</v>
      </c>
      <c r="D2427" s="55" t="s">
        <v>227</v>
      </c>
      <c r="E2427" s="67">
        <v>9000</v>
      </c>
      <c r="F2427" s="67">
        <v>20</v>
      </c>
      <c r="G2427" s="102">
        <v>180000</v>
      </c>
      <c r="H2427" s="56" t="s">
        <v>92</v>
      </c>
      <c r="K2427" s="56">
        <v>695</v>
      </c>
      <c r="L2427" s="55" t="s">
        <v>176</v>
      </c>
      <c r="M2427" s="55" t="s">
        <v>2824</v>
      </c>
      <c r="N2427" s="4" t="s">
        <v>177</v>
      </c>
      <c r="O2427" s="55" t="s">
        <v>178</v>
      </c>
    </row>
    <row r="2428" spans="2:15">
      <c r="B2428" s="20">
        <v>45287</v>
      </c>
      <c r="C2428" s="59">
        <v>50142551</v>
      </c>
      <c r="D2428" s="55" t="s">
        <v>215</v>
      </c>
      <c r="E2428" s="67">
        <v>305</v>
      </c>
      <c r="F2428" s="67">
        <v>1</v>
      </c>
      <c r="G2428" s="102">
        <v>305</v>
      </c>
      <c r="H2428" s="56" t="s">
        <v>92</v>
      </c>
      <c r="K2428" s="56">
        <v>695</v>
      </c>
      <c r="L2428" s="55" t="s">
        <v>176</v>
      </c>
      <c r="M2428" s="55" t="s">
        <v>2824</v>
      </c>
      <c r="N2428" s="4" t="s">
        <v>177</v>
      </c>
      <c r="O2428" s="55" t="s">
        <v>178</v>
      </c>
    </row>
    <row r="2429" spans="2:15">
      <c r="B2429" s="20">
        <v>45287</v>
      </c>
      <c r="C2429" s="59">
        <v>50142455</v>
      </c>
      <c r="D2429" s="55" t="s">
        <v>560</v>
      </c>
      <c r="E2429" s="67">
        <v>50</v>
      </c>
      <c r="F2429" s="67">
        <v>1</v>
      </c>
      <c r="G2429" s="102">
        <v>50</v>
      </c>
      <c r="H2429" s="56" t="s">
        <v>92</v>
      </c>
      <c r="K2429" s="56">
        <v>695</v>
      </c>
      <c r="L2429" s="55" t="s">
        <v>176</v>
      </c>
      <c r="M2429" s="55" t="s">
        <v>2824</v>
      </c>
      <c r="N2429" s="4" t="s">
        <v>177</v>
      </c>
      <c r="O2429" s="55" t="s">
        <v>178</v>
      </c>
    </row>
    <row r="2430" spans="2:15">
      <c r="B2430" s="20">
        <v>45287</v>
      </c>
      <c r="C2430" s="59">
        <v>40010086</v>
      </c>
      <c r="D2430" s="55" t="s">
        <v>79</v>
      </c>
      <c r="E2430" s="67">
        <v>2940</v>
      </c>
      <c r="F2430" s="67">
        <v>2</v>
      </c>
      <c r="G2430" s="102">
        <v>6972</v>
      </c>
      <c r="H2430" s="56" t="s">
        <v>80</v>
      </c>
      <c r="K2430" s="56">
        <v>696</v>
      </c>
      <c r="L2430" s="55" t="s">
        <v>176</v>
      </c>
      <c r="M2430" s="55" t="s">
        <v>2824</v>
      </c>
      <c r="N2430" s="4" t="s">
        <v>177</v>
      </c>
      <c r="O2430" s="55" t="s">
        <v>178</v>
      </c>
    </row>
    <row r="2431" spans="2:15">
      <c r="B2431" s="20">
        <v>45287</v>
      </c>
      <c r="C2431" s="59">
        <v>40009544</v>
      </c>
      <c r="D2431" s="55" t="s">
        <v>179</v>
      </c>
      <c r="E2431" s="67">
        <v>2940</v>
      </c>
      <c r="F2431" s="67">
        <v>3</v>
      </c>
      <c r="G2431" s="102">
        <v>6293</v>
      </c>
      <c r="H2431" s="56" t="s">
        <v>80</v>
      </c>
      <c r="K2431" s="56">
        <v>696</v>
      </c>
      <c r="L2431" s="55" t="s">
        <v>176</v>
      </c>
      <c r="M2431" s="55" t="s">
        <v>2824</v>
      </c>
      <c r="N2431" s="4" t="s">
        <v>177</v>
      </c>
      <c r="O2431" s="55" t="s">
        <v>178</v>
      </c>
    </row>
    <row r="2432" spans="2:15">
      <c r="B2432" s="20">
        <v>45287</v>
      </c>
      <c r="C2432" s="59">
        <v>40009546</v>
      </c>
      <c r="D2432" s="55" t="s">
        <v>174</v>
      </c>
      <c r="E2432" s="67">
        <v>756</v>
      </c>
      <c r="F2432" s="67">
        <v>2</v>
      </c>
      <c r="G2432" s="102">
        <v>1512</v>
      </c>
      <c r="H2432" s="56" t="s">
        <v>80</v>
      </c>
      <c r="K2432" s="56">
        <v>696</v>
      </c>
      <c r="L2432" s="55" t="s">
        <v>176</v>
      </c>
      <c r="M2432" s="55" t="s">
        <v>2824</v>
      </c>
      <c r="N2432" s="4" t="s">
        <v>177</v>
      </c>
      <c r="O2432" s="55" t="s">
        <v>178</v>
      </c>
    </row>
    <row r="2433" spans="2:15">
      <c r="B2433" s="20">
        <v>45287</v>
      </c>
      <c r="C2433" s="59">
        <v>40010087</v>
      </c>
      <c r="D2433" s="55" t="s">
        <v>387</v>
      </c>
      <c r="E2433" s="67">
        <v>756</v>
      </c>
      <c r="F2433" s="67">
        <v>1</v>
      </c>
      <c r="G2433" s="102">
        <v>756</v>
      </c>
      <c r="H2433" s="56" t="s">
        <v>80</v>
      </c>
      <c r="K2433" s="56">
        <v>696</v>
      </c>
      <c r="L2433" s="55" t="s">
        <v>176</v>
      </c>
      <c r="M2433" s="55" t="s">
        <v>2824</v>
      </c>
      <c r="N2433" s="4" t="s">
        <v>177</v>
      </c>
      <c r="O2433" s="55" t="s">
        <v>178</v>
      </c>
    </row>
    <row r="2434" spans="2:15">
      <c r="B2434" s="20">
        <v>45287</v>
      </c>
      <c r="C2434" s="59">
        <v>50145187</v>
      </c>
      <c r="D2434" s="55" t="s">
        <v>465</v>
      </c>
      <c r="E2434" s="67">
        <v>264</v>
      </c>
      <c r="F2434" s="67">
        <v>3</v>
      </c>
      <c r="G2434" s="102">
        <v>682000</v>
      </c>
      <c r="H2434" s="56" t="s">
        <v>92</v>
      </c>
      <c r="K2434" s="56">
        <v>696</v>
      </c>
      <c r="L2434" s="55" t="s">
        <v>176</v>
      </c>
      <c r="M2434" s="55" t="s">
        <v>2824</v>
      </c>
      <c r="N2434" s="4" t="s">
        <v>177</v>
      </c>
      <c r="O2434" s="55" t="s">
        <v>178</v>
      </c>
    </row>
    <row r="2435" spans="2:15">
      <c r="B2435" s="20">
        <v>45287</v>
      </c>
      <c r="C2435" s="59">
        <v>50144200</v>
      </c>
      <c r="D2435" s="55" t="s">
        <v>184</v>
      </c>
      <c r="E2435" s="67">
        <v>264</v>
      </c>
      <c r="F2435" s="67">
        <v>4</v>
      </c>
      <c r="G2435" s="102">
        <v>1056000</v>
      </c>
      <c r="H2435" s="56" t="s">
        <v>92</v>
      </c>
      <c r="K2435" s="56">
        <v>696</v>
      </c>
      <c r="L2435" s="55" t="s">
        <v>176</v>
      </c>
      <c r="M2435" s="55" t="s">
        <v>2824</v>
      </c>
      <c r="N2435" s="4" t="s">
        <v>177</v>
      </c>
      <c r="O2435" s="55" t="s">
        <v>178</v>
      </c>
    </row>
    <row r="2436" spans="2:15">
      <c r="B2436" s="20">
        <v>45287</v>
      </c>
      <c r="C2436" s="59">
        <v>50507916</v>
      </c>
      <c r="D2436" s="55" t="s">
        <v>406</v>
      </c>
      <c r="E2436" s="67">
        <v>264</v>
      </c>
      <c r="F2436" s="67">
        <v>2</v>
      </c>
      <c r="G2436" s="102">
        <v>528000</v>
      </c>
      <c r="H2436" s="56" t="s">
        <v>92</v>
      </c>
      <c r="K2436" s="56">
        <v>696</v>
      </c>
      <c r="L2436" s="55" t="s">
        <v>176</v>
      </c>
      <c r="M2436" s="55" t="s">
        <v>2824</v>
      </c>
      <c r="N2436" s="4" t="s">
        <v>177</v>
      </c>
      <c r="O2436" s="55" t="s">
        <v>178</v>
      </c>
    </row>
    <row r="2437" spans="2:15">
      <c r="B2437" s="20">
        <v>45287</v>
      </c>
      <c r="C2437" s="59">
        <v>50337816</v>
      </c>
      <c r="D2437" s="55" t="s">
        <v>245</v>
      </c>
      <c r="E2437" s="67">
        <v>264</v>
      </c>
      <c r="F2437" s="67">
        <v>3</v>
      </c>
      <c r="G2437" s="102">
        <v>792</v>
      </c>
      <c r="H2437" s="56" t="s">
        <v>80</v>
      </c>
      <c r="K2437" s="56">
        <v>696</v>
      </c>
      <c r="L2437" s="55" t="s">
        <v>176</v>
      </c>
      <c r="M2437" s="55" t="s">
        <v>2824</v>
      </c>
      <c r="N2437" s="4" t="s">
        <v>177</v>
      </c>
      <c r="O2437" s="55" t="s">
        <v>178</v>
      </c>
    </row>
    <row r="2438" spans="2:15">
      <c r="B2438" s="20">
        <v>45287</v>
      </c>
      <c r="C2438" s="59">
        <v>50804929</v>
      </c>
      <c r="D2438" s="55" t="s">
        <v>856</v>
      </c>
      <c r="E2438" s="67">
        <v>504</v>
      </c>
      <c r="F2438" s="67">
        <v>2</v>
      </c>
      <c r="G2438" s="102">
        <v>504000</v>
      </c>
      <c r="H2438" s="56" t="s">
        <v>92</v>
      </c>
      <c r="K2438" s="56">
        <v>696</v>
      </c>
      <c r="L2438" s="55" t="s">
        <v>176</v>
      </c>
      <c r="M2438" s="55" t="s">
        <v>2824</v>
      </c>
      <c r="N2438" s="4" t="s">
        <v>177</v>
      </c>
      <c r="O2438" s="55" t="s">
        <v>178</v>
      </c>
    </row>
    <row r="2439" spans="2:15">
      <c r="B2439" s="20">
        <v>45288</v>
      </c>
      <c r="C2439" s="59">
        <v>50144376</v>
      </c>
      <c r="D2439" s="55" t="s">
        <v>19</v>
      </c>
      <c r="E2439" s="67">
        <v>500</v>
      </c>
      <c r="F2439" s="67">
        <v>11</v>
      </c>
      <c r="G2439" s="102">
        <v>5500</v>
      </c>
      <c r="H2439" s="56" t="s">
        <v>92</v>
      </c>
      <c r="K2439" s="56">
        <v>697</v>
      </c>
      <c r="L2439" s="55" t="s">
        <v>176</v>
      </c>
      <c r="M2439" s="55" t="s">
        <v>2824</v>
      </c>
      <c r="N2439" s="4" t="s">
        <v>177</v>
      </c>
      <c r="O2439" s="55" t="s">
        <v>178</v>
      </c>
    </row>
    <row r="2440" spans="2:15">
      <c r="B2440" s="20">
        <v>45288</v>
      </c>
      <c r="C2440" s="59">
        <v>50272278</v>
      </c>
      <c r="D2440" s="55" t="s">
        <v>21</v>
      </c>
      <c r="E2440" s="67">
        <v>500</v>
      </c>
      <c r="F2440" s="67">
        <v>11</v>
      </c>
      <c r="G2440" s="102">
        <v>5500</v>
      </c>
      <c r="H2440" s="56" t="s">
        <v>92</v>
      </c>
      <c r="K2440" s="56">
        <v>697</v>
      </c>
      <c r="L2440" s="55" t="s">
        <v>176</v>
      </c>
      <c r="M2440" s="55" t="s">
        <v>2824</v>
      </c>
      <c r="N2440" s="4" t="s">
        <v>177</v>
      </c>
      <c r="O2440" s="55" t="s">
        <v>178</v>
      </c>
    </row>
    <row r="2441" spans="2:15">
      <c r="B2441" s="20">
        <v>45288</v>
      </c>
      <c r="C2441" s="59">
        <v>50144376</v>
      </c>
      <c r="D2441" s="55" t="s">
        <v>19</v>
      </c>
      <c r="E2441" s="67">
        <v>500</v>
      </c>
      <c r="F2441" s="67">
        <v>22</v>
      </c>
      <c r="G2441" s="102">
        <v>11000</v>
      </c>
      <c r="H2441" s="56" t="s">
        <v>92</v>
      </c>
      <c r="K2441" s="56">
        <v>699</v>
      </c>
      <c r="L2441" s="55" t="s">
        <v>176</v>
      </c>
      <c r="M2441" s="55" t="s">
        <v>2824</v>
      </c>
      <c r="N2441" s="4" t="s">
        <v>177</v>
      </c>
      <c r="O2441" s="55" t="s">
        <v>178</v>
      </c>
    </row>
    <row r="2442" spans="2:15">
      <c r="B2442" s="20">
        <v>45288</v>
      </c>
      <c r="C2442" s="59">
        <v>50534881</v>
      </c>
      <c r="D2442" s="55" t="s">
        <v>227</v>
      </c>
      <c r="E2442" s="67">
        <v>9000</v>
      </c>
      <c r="F2442" s="67">
        <v>15</v>
      </c>
      <c r="G2442" s="102">
        <v>133208</v>
      </c>
      <c r="H2442" s="56" t="s">
        <v>92</v>
      </c>
      <c r="K2442" s="56">
        <v>698</v>
      </c>
      <c r="L2442" s="55" t="s">
        <v>176</v>
      </c>
      <c r="M2442" s="55" t="s">
        <v>2824</v>
      </c>
      <c r="N2442" s="4" t="s">
        <v>177</v>
      </c>
      <c r="O2442" s="55" t="s">
        <v>178</v>
      </c>
    </row>
    <row r="2443" spans="2:15">
      <c r="B2443" s="20">
        <v>45288</v>
      </c>
      <c r="C2443" s="59">
        <v>50470190</v>
      </c>
      <c r="D2443" s="55" t="s">
        <v>12</v>
      </c>
      <c r="E2443" s="67">
        <v>289800</v>
      </c>
      <c r="F2443" s="67">
        <v>5</v>
      </c>
      <c r="G2443" s="102">
        <v>1209448</v>
      </c>
      <c r="H2443" s="56" t="s">
        <v>92</v>
      </c>
      <c r="K2443" s="56">
        <v>698</v>
      </c>
      <c r="L2443" s="55" t="s">
        <v>176</v>
      </c>
      <c r="M2443" s="55" t="s">
        <v>2824</v>
      </c>
      <c r="N2443" s="4" t="s">
        <v>177</v>
      </c>
      <c r="O2443" s="55" t="s">
        <v>178</v>
      </c>
    </row>
    <row r="2444" spans="2:15">
      <c r="B2444" s="20">
        <v>45289</v>
      </c>
      <c r="C2444" s="59">
        <v>50142631</v>
      </c>
      <c r="D2444" s="55" t="s">
        <v>566</v>
      </c>
      <c r="E2444" s="67">
        <v>800</v>
      </c>
      <c r="F2444" s="67">
        <v>1</v>
      </c>
      <c r="G2444" s="102">
        <v>800</v>
      </c>
      <c r="H2444" s="56" t="s">
        <v>82</v>
      </c>
      <c r="K2444" s="56">
        <v>700</v>
      </c>
      <c r="L2444" s="55" t="s">
        <v>176</v>
      </c>
      <c r="M2444" s="55" t="s">
        <v>2824</v>
      </c>
      <c r="N2444" s="4" t="s">
        <v>177</v>
      </c>
      <c r="O2444" s="55" t="s">
        <v>178</v>
      </c>
    </row>
    <row r="2445" spans="2:15">
      <c r="B2445" s="20">
        <v>45289</v>
      </c>
      <c r="C2445" s="59">
        <v>40011133</v>
      </c>
      <c r="D2445" s="55" t="s">
        <v>634</v>
      </c>
      <c r="E2445" s="67">
        <v>756</v>
      </c>
      <c r="F2445" s="67">
        <v>2</v>
      </c>
      <c r="G2445" s="102">
        <v>1620</v>
      </c>
      <c r="H2445" s="56" t="s">
        <v>80</v>
      </c>
      <c r="K2445" s="56">
        <v>700</v>
      </c>
      <c r="L2445" s="55" t="s">
        <v>176</v>
      </c>
      <c r="M2445" s="55" t="s">
        <v>2824</v>
      </c>
      <c r="N2445" s="4" t="s">
        <v>177</v>
      </c>
      <c r="O2445" s="55" t="s">
        <v>178</v>
      </c>
    </row>
    <row r="2446" spans="2:15">
      <c r="B2446" s="20">
        <v>45289</v>
      </c>
      <c r="C2446" s="59">
        <v>50507916</v>
      </c>
      <c r="D2446" s="55" t="s">
        <v>406</v>
      </c>
      <c r="E2446" s="67">
        <v>264</v>
      </c>
      <c r="F2446" s="67">
        <v>7</v>
      </c>
      <c r="G2446" s="102">
        <v>1848000</v>
      </c>
      <c r="H2446" s="56" t="s">
        <v>92</v>
      </c>
      <c r="K2446" s="56">
        <v>700</v>
      </c>
      <c r="L2446" s="55" t="s">
        <v>176</v>
      </c>
      <c r="M2446" s="55" t="s">
        <v>2824</v>
      </c>
      <c r="N2446" s="4" t="s">
        <v>177</v>
      </c>
      <c r="O2446" s="55" t="s">
        <v>178</v>
      </c>
    </row>
    <row r="2447" spans="2:15">
      <c r="B2447" s="20">
        <v>45289</v>
      </c>
      <c r="C2447" s="59">
        <v>50470190</v>
      </c>
      <c r="D2447" s="55" t="s">
        <v>12</v>
      </c>
      <c r="E2447" s="67">
        <v>289800</v>
      </c>
      <c r="F2447" s="67">
        <v>7</v>
      </c>
      <c r="G2447" s="102">
        <v>2028600</v>
      </c>
      <c r="H2447" s="56" t="s">
        <v>92</v>
      </c>
      <c r="K2447" s="56">
        <v>700</v>
      </c>
      <c r="L2447" s="55" t="s">
        <v>176</v>
      </c>
      <c r="M2447" s="55" t="s">
        <v>2824</v>
      </c>
      <c r="N2447" s="4" t="s">
        <v>177</v>
      </c>
      <c r="O2447" s="55" t="s">
        <v>178</v>
      </c>
    </row>
    <row r="2448" spans="2:15">
      <c r="B2448" s="20">
        <v>45289</v>
      </c>
      <c r="C2448" s="59">
        <v>50509889</v>
      </c>
      <c r="D2448" s="55" t="s">
        <v>671</v>
      </c>
      <c r="E2448" s="67">
        <v>264</v>
      </c>
      <c r="F2448" s="67">
        <v>3</v>
      </c>
      <c r="G2448" s="102">
        <v>792000</v>
      </c>
      <c r="H2448" s="56" t="s">
        <v>92</v>
      </c>
      <c r="K2448" s="56">
        <v>700</v>
      </c>
      <c r="L2448" s="55" t="s">
        <v>176</v>
      </c>
      <c r="M2448" s="55" t="s">
        <v>2824</v>
      </c>
      <c r="N2448" s="4" t="s">
        <v>177</v>
      </c>
      <c r="O2448" s="55" t="s">
        <v>178</v>
      </c>
    </row>
    <row r="2449" spans="2:15">
      <c r="B2449" s="20">
        <v>45289</v>
      </c>
      <c r="C2449" s="59">
        <v>50142631</v>
      </c>
      <c r="D2449" s="55" t="s">
        <v>566</v>
      </c>
      <c r="E2449" s="67">
        <v>700</v>
      </c>
      <c r="F2449" s="67">
        <v>1</v>
      </c>
      <c r="G2449" s="102">
        <v>700</v>
      </c>
      <c r="H2449" s="56" t="s">
        <v>82</v>
      </c>
      <c r="K2449" s="56">
        <v>701</v>
      </c>
      <c r="L2449" s="55" t="s">
        <v>176</v>
      </c>
      <c r="M2449" s="55" t="s">
        <v>2824</v>
      </c>
      <c r="N2449" s="4" t="s">
        <v>177</v>
      </c>
      <c r="O2449" s="55" t="s">
        <v>178</v>
      </c>
    </row>
    <row r="2450" spans="2:15">
      <c r="B2450" s="20">
        <v>45289</v>
      </c>
      <c r="C2450" s="59">
        <v>50142055</v>
      </c>
      <c r="D2450" s="55" t="s">
        <v>206</v>
      </c>
      <c r="E2450" s="67">
        <v>600</v>
      </c>
      <c r="F2450" s="67">
        <v>3</v>
      </c>
      <c r="G2450" s="102">
        <v>1800</v>
      </c>
      <c r="H2450" s="56" t="s">
        <v>82</v>
      </c>
      <c r="K2450" s="56">
        <v>701</v>
      </c>
      <c r="L2450" s="55" t="s">
        <v>176</v>
      </c>
      <c r="M2450" s="55" t="s">
        <v>2824</v>
      </c>
      <c r="N2450" s="4" t="s">
        <v>177</v>
      </c>
      <c r="O2450" s="55" t="s">
        <v>178</v>
      </c>
    </row>
    <row r="2451" spans="2:15">
      <c r="B2451" s="20">
        <v>45289</v>
      </c>
      <c r="C2451" s="59">
        <v>50010080</v>
      </c>
      <c r="D2451" s="55" t="s">
        <v>354</v>
      </c>
      <c r="E2451" s="67">
        <v>1000</v>
      </c>
      <c r="F2451" s="67">
        <v>5</v>
      </c>
      <c r="G2451" s="102">
        <v>5000</v>
      </c>
      <c r="H2451" s="56" t="s">
        <v>82</v>
      </c>
      <c r="K2451" s="56">
        <v>701</v>
      </c>
      <c r="L2451" s="55" t="s">
        <v>176</v>
      </c>
      <c r="M2451" s="55" t="s">
        <v>2824</v>
      </c>
      <c r="N2451" s="4" t="s">
        <v>177</v>
      </c>
      <c r="O2451" s="55" t="s">
        <v>178</v>
      </c>
    </row>
    <row r="2452" spans="2:15">
      <c r="B2452" s="20">
        <v>45289</v>
      </c>
      <c r="C2452" s="59">
        <v>50142330</v>
      </c>
      <c r="D2452" s="55" t="s">
        <v>195</v>
      </c>
      <c r="E2452" s="67">
        <v>375</v>
      </c>
      <c r="F2452" s="67">
        <v>5</v>
      </c>
      <c r="G2452" s="102">
        <v>1796.4</v>
      </c>
      <c r="H2452" s="56" t="s">
        <v>82</v>
      </c>
      <c r="K2452" s="56">
        <v>701</v>
      </c>
      <c r="L2452" s="55" t="s">
        <v>176</v>
      </c>
      <c r="M2452" s="55" t="s">
        <v>2824</v>
      </c>
      <c r="N2452" s="4" t="s">
        <v>177</v>
      </c>
      <c r="O2452" s="55" t="s">
        <v>178</v>
      </c>
    </row>
    <row r="2453" spans="2:15">
      <c r="B2453" s="20">
        <v>45289</v>
      </c>
      <c r="C2453" s="59">
        <v>50272278</v>
      </c>
      <c r="D2453" s="55" t="s">
        <v>21</v>
      </c>
      <c r="E2453" s="67">
        <v>500</v>
      </c>
      <c r="F2453" s="67">
        <v>6</v>
      </c>
      <c r="G2453" s="102">
        <v>3000</v>
      </c>
      <c r="H2453" s="56" t="s">
        <v>92</v>
      </c>
      <c r="K2453" s="56">
        <v>701</v>
      </c>
      <c r="L2453" s="55" t="s">
        <v>176</v>
      </c>
      <c r="M2453" s="55" t="s">
        <v>2824</v>
      </c>
      <c r="N2453" s="4" t="s">
        <v>177</v>
      </c>
      <c r="O2453" s="55" t="s">
        <v>178</v>
      </c>
    </row>
    <row r="2454" spans="2:15">
      <c r="B2454" s="20">
        <v>45289</v>
      </c>
      <c r="C2454" s="59">
        <v>50142327</v>
      </c>
      <c r="D2454" s="55" t="s">
        <v>256</v>
      </c>
      <c r="E2454" s="67">
        <v>681</v>
      </c>
      <c r="F2454" s="67">
        <v>1</v>
      </c>
      <c r="G2454" s="102">
        <v>681</v>
      </c>
      <c r="H2454" s="56" t="s">
        <v>82</v>
      </c>
      <c r="K2454" s="56">
        <v>701</v>
      </c>
      <c r="L2454" s="55" t="s">
        <v>176</v>
      </c>
      <c r="M2454" s="55" t="s">
        <v>2824</v>
      </c>
      <c r="N2454" s="4" t="s">
        <v>177</v>
      </c>
      <c r="O2454" s="55" t="s">
        <v>178</v>
      </c>
    </row>
    <row r="2455" spans="2:15">
      <c r="B2455" s="20">
        <v>45289</v>
      </c>
      <c r="C2455" s="59">
        <v>50142334</v>
      </c>
      <c r="D2455" s="55" t="s">
        <v>257</v>
      </c>
      <c r="E2455" s="67">
        <v>681</v>
      </c>
      <c r="F2455" s="67">
        <v>1</v>
      </c>
      <c r="G2455" s="102">
        <v>681</v>
      </c>
      <c r="H2455" s="56" t="s">
        <v>82</v>
      </c>
      <c r="K2455" s="56">
        <v>701</v>
      </c>
      <c r="L2455" s="55" t="s">
        <v>176</v>
      </c>
      <c r="M2455" s="55" t="s">
        <v>2824</v>
      </c>
      <c r="N2455" s="4" t="s">
        <v>177</v>
      </c>
      <c r="O2455" s="55" t="s">
        <v>178</v>
      </c>
    </row>
    <row r="2456" spans="2:15">
      <c r="B2456" s="20">
        <v>45293</v>
      </c>
      <c r="C2456" s="59">
        <v>50272278</v>
      </c>
      <c r="D2456" s="55" t="s">
        <v>21</v>
      </c>
      <c r="E2456" s="67">
        <v>500</v>
      </c>
      <c r="F2456" s="67">
        <v>22</v>
      </c>
      <c r="G2456" s="102">
        <v>11000</v>
      </c>
      <c r="H2456" s="56" t="s">
        <v>92</v>
      </c>
      <c r="K2456" s="56">
        <v>702</v>
      </c>
      <c r="L2456" s="55" t="s">
        <v>176</v>
      </c>
      <c r="M2456" s="55" t="s">
        <v>2824</v>
      </c>
      <c r="N2456" s="4" t="s">
        <v>177</v>
      </c>
      <c r="O2456" s="55" t="s">
        <v>178</v>
      </c>
    </row>
    <row r="2457" spans="2:15">
      <c r="B2457" s="20">
        <v>45293</v>
      </c>
      <c r="C2457" s="59">
        <v>40010087</v>
      </c>
      <c r="D2457" s="55" t="s">
        <v>387</v>
      </c>
      <c r="E2457" s="67">
        <v>756</v>
      </c>
      <c r="F2457" s="67">
        <v>2</v>
      </c>
      <c r="G2457" s="102">
        <f>1512+648+216</f>
        <v>2376</v>
      </c>
      <c r="H2457" s="56" t="s">
        <v>80</v>
      </c>
      <c r="K2457" s="56">
        <v>703</v>
      </c>
      <c r="L2457" s="55" t="s">
        <v>176</v>
      </c>
      <c r="M2457" s="55" t="s">
        <v>2824</v>
      </c>
      <c r="N2457" s="4" t="s">
        <v>177</v>
      </c>
      <c r="O2457" s="55" t="s">
        <v>178</v>
      </c>
    </row>
    <row r="2458" spans="2:15">
      <c r="B2458" s="20">
        <v>45293</v>
      </c>
      <c r="C2458" s="59">
        <v>40010080</v>
      </c>
      <c r="D2458" s="55" t="s">
        <v>784</v>
      </c>
      <c r="E2458" s="67">
        <v>456</v>
      </c>
      <c r="F2458" s="67">
        <v>1</v>
      </c>
      <c r="G2458" s="102">
        <v>1349</v>
      </c>
      <c r="H2458" s="56" t="s">
        <v>80</v>
      </c>
      <c r="K2458" s="56">
        <v>703</v>
      </c>
      <c r="L2458" s="55" t="s">
        <v>176</v>
      </c>
      <c r="M2458" s="55" t="s">
        <v>2824</v>
      </c>
      <c r="N2458" s="4" t="s">
        <v>177</v>
      </c>
      <c r="O2458" s="55" t="s">
        <v>178</v>
      </c>
    </row>
    <row r="2459" spans="2:15">
      <c r="B2459" s="20">
        <v>45293</v>
      </c>
      <c r="C2459" s="59">
        <v>50142237</v>
      </c>
      <c r="D2459" s="55" t="s">
        <v>617</v>
      </c>
      <c r="E2459" s="67">
        <v>1000</v>
      </c>
      <c r="F2459" s="67">
        <v>1</v>
      </c>
      <c r="G2459" s="102">
        <v>10000</v>
      </c>
      <c r="H2459" s="56" t="s">
        <v>92</v>
      </c>
      <c r="K2459" s="56">
        <v>703</v>
      </c>
      <c r="L2459" s="55" t="s">
        <v>176</v>
      </c>
      <c r="M2459" s="55" t="s">
        <v>2824</v>
      </c>
      <c r="N2459" s="4" t="s">
        <v>177</v>
      </c>
      <c r="O2459" s="55" t="s">
        <v>178</v>
      </c>
    </row>
    <row r="2460" spans="2:15">
      <c r="B2460" s="20">
        <v>45293</v>
      </c>
      <c r="C2460" s="59">
        <v>50144200</v>
      </c>
      <c r="D2460" s="55" t="s">
        <v>184</v>
      </c>
      <c r="E2460" s="67">
        <v>264000</v>
      </c>
      <c r="F2460" s="67">
        <v>2</v>
      </c>
      <c r="G2460" s="102">
        <v>528000</v>
      </c>
      <c r="H2460" s="56" t="s">
        <v>92</v>
      </c>
      <c r="K2460" s="56">
        <v>703</v>
      </c>
      <c r="L2460" s="55" t="s">
        <v>176</v>
      </c>
      <c r="M2460" s="55" t="s">
        <v>2824</v>
      </c>
      <c r="N2460" s="4" t="s">
        <v>177</v>
      </c>
      <c r="O2460" s="55" t="s">
        <v>178</v>
      </c>
    </row>
    <row r="2461" spans="2:15">
      <c r="B2461" s="20">
        <v>45293</v>
      </c>
      <c r="C2461" s="59">
        <v>50507916</v>
      </c>
      <c r="D2461" s="55" t="s">
        <v>406</v>
      </c>
      <c r="E2461" s="67">
        <v>264000</v>
      </c>
      <c r="F2461" s="67">
        <v>2</v>
      </c>
      <c r="G2461" s="102">
        <v>528000</v>
      </c>
      <c r="H2461" s="56" t="s">
        <v>92</v>
      </c>
      <c r="K2461" s="56">
        <v>703</v>
      </c>
      <c r="L2461" s="55" t="s">
        <v>176</v>
      </c>
      <c r="M2461" s="55" t="s">
        <v>2824</v>
      </c>
      <c r="N2461" s="4" t="s">
        <v>177</v>
      </c>
      <c r="O2461" s="55" t="s">
        <v>178</v>
      </c>
    </row>
    <row r="2462" spans="2:15">
      <c r="B2462" s="20">
        <v>45293</v>
      </c>
      <c r="C2462" s="59">
        <v>50337814</v>
      </c>
      <c r="D2462" s="55" t="s">
        <v>669</v>
      </c>
      <c r="E2462" s="67">
        <v>264</v>
      </c>
      <c r="F2462" s="67">
        <v>2</v>
      </c>
      <c r="G2462" s="102">
        <v>528</v>
      </c>
      <c r="H2462" s="56" t="s">
        <v>80</v>
      </c>
      <c r="K2462" s="56">
        <v>703</v>
      </c>
      <c r="L2462" s="55" t="s">
        <v>176</v>
      </c>
      <c r="M2462" s="55" t="s">
        <v>2824</v>
      </c>
      <c r="N2462" s="4" t="s">
        <v>177</v>
      </c>
      <c r="O2462" s="55" t="s">
        <v>178</v>
      </c>
    </row>
    <row r="2463" spans="2:15">
      <c r="B2463" s="20">
        <v>45293</v>
      </c>
      <c r="C2463" s="59">
        <v>50470190</v>
      </c>
      <c r="D2463" s="55" t="s">
        <v>12</v>
      </c>
      <c r="E2463" s="67">
        <v>289800</v>
      </c>
      <c r="F2463" s="67">
        <v>8</v>
      </c>
      <c r="G2463" s="102">
        <v>2318400</v>
      </c>
      <c r="H2463" s="56" t="s">
        <v>92</v>
      </c>
      <c r="K2463" s="56">
        <v>703</v>
      </c>
      <c r="L2463" s="55" t="s">
        <v>176</v>
      </c>
      <c r="M2463" s="55" t="s">
        <v>2824</v>
      </c>
      <c r="N2463" s="4" t="s">
        <v>177</v>
      </c>
      <c r="O2463" s="55" t="s">
        <v>178</v>
      </c>
    </row>
    <row r="2464" spans="2:15">
      <c r="B2464" s="20">
        <v>45293</v>
      </c>
      <c r="C2464" s="59">
        <v>50820741</v>
      </c>
      <c r="D2464" s="55" t="s">
        <v>1114</v>
      </c>
      <c r="E2464" s="67">
        <v>289800</v>
      </c>
      <c r="F2464" s="67">
        <v>3</v>
      </c>
      <c r="G2464" s="102">
        <v>869400</v>
      </c>
      <c r="H2464" s="56" t="s">
        <v>92</v>
      </c>
      <c r="K2464" s="56">
        <v>703</v>
      </c>
      <c r="L2464" s="55" t="s">
        <v>176</v>
      </c>
      <c r="M2464" s="55" t="s">
        <v>2824</v>
      </c>
      <c r="N2464" s="4" t="s">
        <v>177</v>
      </c>
      <c r="O2464" s="55" t="s">
        <v>178</v>
      </c>
    </row>
    <row r="2465" spans="2:15">
      <c r="B2465" s="20">
        <v>45294</v>
      </c>
      <c r="C2465" s="59">
        <v>50143893</v>
      </c>
      <c r="D2465" s="55" t="s">
        <v>24</v>
      </c>
      <c r="E2465" s="67">
        <v>990</v>
      </c>
      <c r="F2465" s="67">
        <v>2</v>
      </c>
      <c r="G2465" s="102">
        <v>1980</v>
      </c>
      <c r="H2465" s="56" t="s">
        <v>92</v>
      </c>
      <c r="K2465" s="56">
        <v>704</v>
      </c>
      <c r="L2465" s="55" t="s">
        <v>176</v>
      </c>
      <c r="M2465" s="55" t="s">
        <v>2824</v>
      </c>
      <c r="N2465" s="4" t="s">
        <v>177</v>
      </c>
      <c r="O2465" s="55" t="s">
        <v>178</v>
      </c>
    </row>
    <row r="2466" spans="2:15">
      <c r="B2466" s="20">
        <v>45294</v>
      </c>
      <c r="C2466" s="59">
        <v>50272278</v>
      </c>
      <c r="D2466" s="55" t="s">
        <v>21</v>
      </c>
      <c r="E2466" s="67">
        <v>500</v>
      </c>
      <c r="F2466" s="67">
        <v>20</v>
      </c>
      <c r="G2466" s="102">
        <v>10000</v>
      </c>
      <c r="H2466" s="56" t="s">
        <v>92</v>
      </c>
      <c r="K2466" s="56">
        <v>704</v>
      </c>
      <c r="L2466" s="55" t="s">
        <v>176</v>
      </c>
      <c r="M2466" s="55" t="s">
        <v>2824</v>
      </c>
      <c r="N2466" s="4" t="s">
        <v>177</v>
      </c>
      <c r="O2466" s="55" t="s">
        <v>178</v>
      </c>
    </row>
    <row r="2467" spans="2:15">
      <c r="B2467" s="20">
        <v>45295</v>
      </c>
      <c r="C2467" s="59">
        <v>50010080</v>
      </c>
      <c r="D2467" s="55" t="s">
        <v>354</v>
      </c>
      <c r="E2467" s="67">
        <v>1000</v>
      </c>
      <c r="G2467" s="102">
        <v>2000</v>
      </c>
      <c r="H2467" s="118" t="s">
        <v>82</v>
      </c>
      <c r="K2467" s="56">
        <v>705</v>
      </c>
      <c r="L2467" s="55" t="s">
        <v>176</v>
      </c>
      <c r="M2467" s="55" t="s">
        <v>2824</v>
      </c>
      <c r="N2467" s="4" t="s">
        <v>177</v>
      </c>
      <c r="O2467" s="55" t="s">
        <v>178</v>
      </c>
    </row>
    <row r="2468" spans="2:15">
      <c r="B2468" s="20">
        <v>45295</v>
      </c>
      <c r="C2468" s="59">
        <v>50813995</v>
      </c>
      <c r="D2468" s="55" t="s">
        <v>960</v>
      </c>
      <c r="E2468" s="67">
        <v>456</v>
      </c>
      <c r="G2468" s="102">
        <v>999.85</v>
      </c>
      <c r="H2468" s="118" t="s">
        <v>82</v>
      </c>
      <c r="K2468" s="56">
        <v>705</v>
      </c>
      <c r="L2468" s="55" t="s">
        <v>176</v>
      </c>
      <c r="M2468" s="55" t="s">
        <v>2824</v>
      </c>
      <c r="N2468" s="4" t="s">
        <v>177</v>
      </c>
      <c r="O2468" s="55" t="s">
        <v>178</v>
      </c>
    </row>
    <row r="2469" spans="2:15">
      <c r="B2469" s="20">
        <v>45295</v>
      </c>
      <c r="C2469" s="59">
        <v>50144200</v>
      </c>
      <c r="D2469" s="55" t="s">
        <v>184</v>
      </c>
      <c r="E2469" s="67">
        <v>264</v>
      </c>
      <c r="G2469" s="102">
        <v>528000</v>
      </c>
      <c r="H2469" s="118" t="s">
        <v>92</v>
      </c>
      <c r="K2469" s="56">
        <v>705</v>
      </c>
      <c r="L2469" s="55" t="s">
        <v>176</v>
      </c>
      <c r="M2469" s="55" t="s">
        <v>2824</v>
      </c>
      <c r="N2469" s="4" t="s">
        <v>177</v>
      </c>
      <c r="O2469" s="55" t="s">
        <v>178</v>
      </c>
    </row>
    <row r="2470" spans="2:15">
      <c r="B2470" s="20">
        <v>45295</v>
      </c>
      <c r="C2470" s="59">
        <v>50507916</v>
      </c>
      <c r="D2470" s="55" t="s">
        <v>406</v>
      </c>
      <c r="E2470" s="67">
        <v>264</v>
      </c>
      <c r="G2470" s="102">
        <v>528000</v>
      </c>
      <c r="H2470" s="118" t="s">
        <v>92</v>
      </c>
      <c r="K2470" s="56">
        <v>705</v>
      </c>
      <c r="L2470" s="55" t="s">
        <v>176</v>
      </c>
      <c r="M2470" s="55" t="s">
        <v>2824</v>
      </c>
      <c r="N2470" s="4" t="s">
        <v>177</v>
      </c>
      <c r="O2470" s="55" t="s">
        <v>178</v>
      </c>
    </row>
    <row r="2471" spans="2:15">
      <c r="B2471" s="20">
        <v>45295</v>
      </c>
      <c r="C2471" s="59">
        <v>50142327</v>
      </c>
      <c r="D2471" s="55" t="s">
        <v>256</v>
      </c>
      <c r="E2471" s="67">
        <v>681</v>
      </c>
      <c r="G2471" s="102">
        <v>2724</v>
      </c>
      <c r="H2471" s="118" t="s">
        <v>82</v>
      </c>
      <c r="K2471" s="56">
        <v>705</v>
      </c>
      <c r="L2471" s="55" t="s">
        <v>176</v>
      </c>
      <c r="M2471" s="55" t="s">
        <v>2824</v>
      </c>
      <c r="N2471" s="4" t="s">
        <v>177</v>
      </c>
      <c r="O2471" s="55" t="s">
        <v>178</v>
      </c>
    </row>
    <row r="2472" spans="2:15">
      <c r="B2472" s="20">
        <v>45295</v>
      </c>
      <c r="C2472" s="59">
        <v>50142334</v>
      </c>
      <c r="D2472" s="55" t="s">
        <v>257</v>
      </c>
      <c r="E2472" s="67">
        <v>681</v>
      </c>
      <c r="G2472" s="102">
        <v>2724</v>
      </c>
      <c r="H2472" s="118" t="s">
        <v>82</v>
      </c>
      <c r="K2472" s="56">
        <v>705</v>
      </c>
      <c r="L2472" s="55" t="s">
        <v>176</v>
      </c>
      <c r="M2472" s="55" t="s">
        <v>2824</v>
      </c>
      <c r="N2472" s="4" t="s">
        <v>177</v>
      </c>
      <c r="O2472" s="55" t="s">
        <v>178</v>
      </c>
    </row>
    <row r="2473" spans="2:15">
      <c r="B2473" s="20">
        <v>45295</v>
      </c>
      <c r="C2473" s="59">
        <v>50392046</v>
      </c>
      <c r="D2473" s="55" t="s">
        <v>509</v>
      </c>
      <c r="E2473" s="67">
        <v>6</v>
      </c>
      <c r="G2473" s="102">
        <v>6</v>
      </c>
      <c r="H2473" s="99" t="s">
        <v>505</v>
      </c>
      <c r="K2473" s="56">
        <v>705</v>
      </c>
      <c r="L2473" s="55" t="s">
        <v>176</v>
      </c>
      <c r="M2473" s="55" t="s">
        <v>2824</v>
      </c>
      <c r="N2473" s="4" t="s">
        <v>177</v>
      </c>
      <c r="O2473" s="55" t="s">
        <v>178</v>
      </c>
    </row>
    <row r="2474" spans="2:15">
      <c r="B2474" s="20">
        <v>45295</v>
      </c>
      <c r="C2474" s="59">
        <v>50802401</v>
      </c>
      <c r="D2474" s="55" t="s">
        <v>13</v>
      </c>
      <c r="E2474" s="67">
        <v>289800</v>
      </c>
      <c r="G2474" s="102">
        <v>869400</v>
      </c>
      <c r="H2474" s="118" t="s">
        <v>92</v>
      </c>
      <c r="K2474" s="56">
        <v>705</v>
      </c>
      <c r="L2474" s="55" t="s">
        <v>176</v>
      </c>
      <c r="M2474" s="55" t="s">
        <v>2824</v>
      </c>
      <c r="N2474" s="4" t="s">
        <v>177</v>
      </c>
      <c r="O2474" s="55" t="s">
        <v>178</v>
      </c>
    </row>
    <row r="2475" spans="2:15">
      <c r="B2475" s="20">
        <v>45295</v>
      </c>
      <c r="C2475" s="59">
        <v>50272278</v>
      </c>
      <c r="D2475" s="55" t="s">
        <v>21</v>
      </c>
      <c r="E2475" s="67">
        <v>500</v>
      </c>
      <c r="G2475" s="102">
        <v>8000</v>
      </c>
      <c r="H2475" s="56" t="s">
        <v>92</v>
      </c>
      <c r="K2475" s="56">
        <v>706</v>
      </c>
      <c r="L2475" s="55" t="s">
        <v>176</v>
      </c>
      <c r="M2475" s="55" t="s">
        <v>2824</v>
      </c>
      <c r="N2475" s="4" t="s">
        <v>177</v>
      </c>
      <c r="O2475" s="55" t="s">
        <v>178</v>
      </c>
    </row>
    <row r="2476" spans="2:15">
      <c r="B2476" s="20">
        <v>45295</v>
      </c>
      <c r="C2476" s="59">
        <v>50144200</v>
      </c>
      <c r="D2476" s="55" t="s">
        <v>184</v>
      </c>
      <c r="E2476" s="67">
        <v>264</v>
      </c>
      <c r="G2476" s="102">
        <v>1584000</v>
      </c>
      <c r="H2476" s="56" t="s">
        <v>92</v>
      </c>
      <c r="K2476" s="56">
        <v>706</v>
      </c>
      <c r="L2476" s="55" t="s">
        <v>176</v>
      </c>
      <c r="M2476" s="55" t="s">
        <v>2824</v>
      </c>
      <c r="N2476" s="4" t="s">
        <v>177</v>
      </c>
      <c r="O2476" s="55" t="s">
        <v>178</v>
      </c>
    </row>
    <row r="2477" spans="2:15">
      <c r="B2477" s="20">
        <v>45296</v>
      </c>
      <c r="C2477" s="59">
        <v>50470190</v>
      </c>
      <c r="D2477" s="55" t="s">
        <v>12</v>
      </c>
      <c r="E2477" s="67">
        <v>289800</v>
      </c>
      <c r="F2477" s="67">
        <v>10</v>
      </c>
      <c r="G2477" s="102">
        <v>2898000</v>
      </c>
      <c r="H2477" s="56" t="s">
        <v>92</v>
      </c>
      <c r="K2477" s="56">
        <v>707</v>
      </c>
      <c r="L2477" s="55" t="s">
        <v>176</v>
      </c>
      <c r="M2477" s="55" t="s">
        <v>2824</v>
      </c>
      <c r="N2477" s="4" t="s">
        <v>177</v>
      </c>
      <c r="O2477" s="55" t="s">
        <v>178</v>
      </c>
    </row>
    <row r="2478" spans="2:15">
      <c r="B2478" s="20">
        <v>45296</v>
      </c>
      <c r="C2478" s="59">
        <v>50793278</v>
      </c>
      <c r="D2478" s="55" t="s">
        <v>1086</v>
      </c>
      <c r="G2478" s="102">
        <v>80</v>
      </c>
      <c r="H2478" s="56" t="s">
        <v>1087</v>
      </c>
      <c r="K2478" s="56">
        <v>707</v>
      </c>
      <c r="L2478" s="55" t="s">
        <v>176</v>
      </c>
      <c r="M2478" s="55" t="s">
        <v>2824</v>
      </c>
      <c r="N2478" s="4" t="s">
        <v>177</v>
      </c>
      <c r="O2478" s="55" t="s">
        <v>178</v>
      </c>
    </row>
    <row r="2479" spans="2:15">
      <c r="B2479" s="20">
        <v>45299</v>
      </c>
      <c r="C2479" s="59">
        <v>50272278</v>
      </c>
      <c r="D2479" s="55" t="s">
        <v>21</v>
      </c>
      <c r="E2479" s="67">
        <v>500</v>
      </c>
      <c r="G2479" s="102">
        <v>11000</v>
      </c>
      <c r="H2479" s="56" t="s">
        <v>92</v>
      </c>
      <c r="K2479" s="56">
        <v>708</v>
      </c>
      <c r="L2479" s="55" t="s">
        <v>176</v>
      </c>
      <c r="M2479" s="55" t="s">
        <v>2824</v>
      </c>
      <c r="N2479" s="4" t="s">
        <v>177</v>
      </c>
      <c r="O2479" s="55" t="s">
        <v>178</v>
      </c>
    </row>
    <row r="2480" spans="2:15">
      <c r="B2480" s="20">
        <v>45299</v>
      </c>
      <c r="C2480" s="59">
        <v>50145187</v>
      </c>
      <c r="D2480" s="55" t="s">
        <v>465</v>
      </c>
      <c r="E2480" s="67">
        <v>264</v>
      </c>
      <c r="G2480" s="102">
        <v>528000</v>
      </c>
      <c r="H2480" s="56" t="s">
        <v>92</v>
      </c>
      <c r="K2480" s="56">
        <v>709</v>
      </c>
      <c r="L2480" s="55" t="s">
        <v>176</v>
      </c>
      <c r="M2480" s="55" t="s">
        <v>2824</v>
      </c>
      <c r="N2480" s="4" t="s">
        <v>177</v>
      </c>
      <c r="O2480" s="55" t="s">
        <v>178</v>
      </c>
    </row>
    <row r="2481" spans="2:15">
      <c r="B2481" s="20">
        <v>45299</v>
      </c>
      <c r="C2481" s="59">
        <v>50337814</v>
      </c>
      <c r="D2481" s="55" t="s">
        <v>669</v>
      </c>
      <c r="E2481" s="67">
        <v>264</v>
      </c>
      <c r="G2481" s="102">
        <v>1056</v>
      </c>
      <c r="H2481" s="56" t="s">
        <v>80</v>
      </c>
      <c r="K2481" s="56">
        <v>709</v>
      </c>
      <c r="L2481" s="55" t="s">
        <v>176</v>
      </c>
      <c r="M2481" s="55" t="s">
        <v>2824</v>
      </c>
      <c r="N2481" s="4" t="s">
        <v>177</v>
      </c>
      <c r="O2481" s="55" t="s">
        <v>178</v>
      </c>
    </row>
    <row r="2482" spans="2:15">
      <c r="B2482" s="20">
        <v>45299</v>
      </c>
      <c r="C2482" s="59">
        <v>50509889</v>
      </c>
      <c r="D2482" s="55" t="s">
        <v>671</v>
      </c>
      <c r="E2482" s="67">
        <v>264</v>
      </c>
      <c r="G2482" s="102">
        <v>528000</v>
      </c>
      <c r="H2482" s="56" t="s">
        <v>92</v>
      </c>
      <c r="K2482" s="56">
        <v>709</v>
      </c>
      <c r="L2482" s="55" t="s">
        <v>176</v>
      </c>
      <c r="M2482" s="55" t="s">
        <v>2824</v>
      </c>
      <c r="N2482" s="4" t="s">
        <v>177</v>
      </c>
      <c r="O2482" s="55" t="s">
        <v>178</v>
      </c>
    </row>
    <row r="2483" spans="2:15">
      <c r="B2483" s="20">
        <v>45299</v>
      </c>
      <c r="C2483" s="59">
        <v>50802401</v>
      </c>
      <c r="D2483" s="55" t="s">
        <v>13</v>
      </c>
      <c r="E2483" s="67">
        <v>289800</v>
      </c>
      <c r="G2483" s="102">
        <v>1159200</v>
      </c>
      <c r="H2483" s="56" t="s">
        <v>92</v>
      </c>
      <c r="K2483" s="56">
        <v>709</v>
      </c>
      <c r="L2483" s="55" t="s">
        <v>176</v>
      </c>
      <c r="M2483" s="55" t="s">
        <v>2824</v>
      </c>
      <c r="N2483" s="4" t="s">
        <v>177</v>
      </c>
      <c r="O2483" s="55" t="s">
        <v>178</v>
      </c>
    </row>
    <row r="2484" spans="2:15">
      <c r="B2484" s="119">
        <v>45299</v>
      </c>
      <c r="C2484" s="59">
        <v>50804929</v>
      </c>
      <c r="D2484" s="55" t="s">
        <v>856</v>
      </c>
      <c r="E2484" s="67">
        <v>504000</v>
      </c>
      <c r="G2484" s="102">
        <v>543300</v>
      </c>
      <c r="H2484" s="56" t="s">
        <v>92</v>
      </c>
      <c r="K2484" s="56">
        <v>709</v>
      </c>
      <c r="L2484" s="55" t="s">
        <v>176</v>
      </c>
      <c r="M2484" s="55" t="s">
        <v>2824</v>
      </c>
      <c r="N2484" s="4" t="s">
        <v>177</v>
      </c>
      <c r="O2484" s="55" t="s">
        <v>178</v>
      </c>
    </row>
    <row r="2485" spans="2:15">
      <c r="B2485" s="20">
        <v>45299</v>
      </c>
      <c r="C2485" s="59">
        <v>50804970</v>
      </c>
      <c r="D2485" s="55" t="s">
        <v>857</v>
      </c>
      <c r="E2485" s="67">
        <v>299</v>
      </c>
      <c r="G2485" s="102">
        <v>3223000</v>
      </c>
      <c r="H2485" s="56" t="s">
        <v>92</v>
      </c>
      <c r="K2485" s="56">
        <v>709</v>
      </c>
      <c r="L2485" s="55" t="s">
        <v>176</v>
      </c>
      <c r="M2485" s="55" t="s">
        <v>2824</v>
      </c>
      <c r="N2485" s="4" t="s">
        <v>177</v>
      </c>
      <c r="O2485" s="55" t="s">
        <v>178</v>
      </c>
    </row>
    <row r="2486" spans="2:15">
      <c r="B2486" s="20">
        <v>45299</v>
      </c>
      <c r="C2486" s="59">
        <v>50804971</v>
      </c>
      <c r="D2486" s="55" t="s">
        <v>855</v>
      </c>
      <c r="E2486" s="67">
        <v>626</v>
      </c>
      <c r="G2486" s="102">
        <v>626700</v>
      </c>
      <c r="H2486" s="56" t="s">
        <v>92</v>
      </c>
      <c r="K2486" s="56">
        <v>709</v>
      </c>
      <c r="L2486" s="55" t="s">
        <v>176</v>
      </c>
      <c r="M2486" s="55" t="s">
        <v>2824</v>
      </c>
      <c r="N2486" s="4" t="s">
        <v>177</v>
      </c>
      <c r="O2486" s="55" t="s">
        <v>178</v>
      </c>
    </row>
    <row r="2487" spans="2:15">
      <c r="B2487" s="20">
        <v>45299</v>
      </c>
      <c r="C2487" s="59">
        <v>50820741</v>
      </c>
      <c r="D2487" s="55" t="s">
        <v>1114</v>
      </c>
      <c r="E2487" s="67">
        <v>289800</v>
      </c>
      <c r="G2487" s="102">
        <f>1449000+579600</f>
        <v>2028600</v>
      </c>
      <c r="H2487" s="56" t="s">
        <v>92</v>
      </c>
      <c r="K2487" s="56">
        <v>709</v>
      </c>
      <c r="L2487" s="55" t="s">
        <v>176</v>
      </c>
      <c r="M2487" s="55" t="s">
        <v>2824</v>
      </c>
      <c r="N2487" s="4" t="s">
        <v>177</v>
      </c>
      <c r="O2487" s="55" t="s">
        <v>178</v>
      </c>
    </row>
    <row r="2488" spans="2:15">
      <c r="B2488" s="20">
        <v>45300</v>
      </c>
      <c r="C2488" s="59">
        <v>50272278</v>
      </c>
      <c r="D2488" s="55" t="s">
        <v>21</v>
      </c>
      <c r="E2488" s="67">
        <v>500</v>
      </c>
      <c r="G2488" s="102">
        <v>11000</v>
      </c>
      <c r="H2488" s="56" t="s">
        <v>92</v>
      </c>
      <c r="K2488" s="56">
        <v>710</v>
      </c>
      <c r="L2488" s="55" t="s">
        <v>176</v>
      </c>
      <c r="M2488" s="55" t="s">
        <v>2824</v>
      </c>
      <c r="N2488" s="4" t="s">
        <v>177</v>
      </c>
      <c r="O2488" s="55" t="s">
        <v>178</v>
      </c>
    </row>
    <row r="2489" spans="2:15">
      <c r="B2489" s="20">
        <v>45300</v>
      </c>
      <c r="C2489" s="59">
        <v>50010080</v>
      </c>
      <c r="D2489" s="55" t="s">
        <v>354</v>
      </c>
      <c r="E2489" s="67">
        <v>1000</v>
      </c>
      <c r="G2489" s="102">
        <v>3000</v>
      </c>
      <c r="H2489" s="56" t="s">
        <v>82</v>
      </c>
      <c r="K2489" s="56">
        <v>711</v>
      </c>
      <c r="L2489" s="55" t="s">
        <v>176</v>
      </c>
      <c r="M2489" s="55" t="s">
        <v>2824</v>
      </c>
      <c r="N2489" s="4" t="s">
        <v>177</v>
      </c>
      <c r="O2489" s="55" t="s">
        <v>178</v>
      </c>
    </row>
    <row r="2490" spans="2:15">
      <c r="B2490" s="20">
        <v>45300</v>
      </c>
      <c r="C2490" s="59">
        <v>50142330</v>
      </c>
      <c r="D2490" s="55" t="s">
        <v>195</v>
      </c>
      <c r="G2490" s="102">
        <v>718.56</v>
      </c>
      <c r="H2490" s="56" t="s">
        <v>82</v>
      </c>
      <c r="K2490" s="56">
        <v>711</v>
      </c>
      <c r="L2490" s="55" t="s">
        <v>176</v>
      </c>
      <c r="M2490" s="55" t="s">
        <v>2824</v>
      </c>
      <c r="N2490" s="4" t="s">
        <v>177</v>
      </c>
      <c r="O2490" s="55" t="s">
        <v>178</v>
      </c>
    </row>
    <row r="2491" spans="2:15">
      <c r="B2491" s="20">
        <v>45300</v>
      </c>
      <c r="C2491" s="59">
        <v>50272278</v>
      </c>
      <c r="D2491" s="55" t="s">
        <v>21</v>
      </c>
      <c r="E2491" s="67">
        <v>500</v>
      </c>
      <c r="G2491" s="102">
        <v>6000</v>
      </c>
      <c r="H2491" s="56" t="s">
        <v>92</v>
      </c>
      <c r="K2491" s="56">
        <v>711</v>
      </c>
      <c r="L2491" s="55" t="s">
        <v>176</v>
      </c>
      <c r="M2491" s="55" t="s">
        <v>2824</v>
      </c>
      <c r="N2491" s="4" t="s">
        <v>177</v>
      </c>
      <c r="O2491" s="55" t="s">
        <v>178</v>
      </c>
    </row>
    <row r="2492" spans="2:15">
      <c r="B2492" s="20">
        <v>45300</v>
      </c>
      <c r="C2492" s="59">
        <v>50142281</v>
      </c>
      <c r="D2492" s="55" t="s">
        <v>204</v>
      </c>
      <c r="E2492" s="67">
        <v>450</v>
      </c>
      <c r="G2492" s="102">
        <v>900</v>
      </c>
      <c r="H2492" s="56" t="s">
        <v>82</v>
      </c>
      <c r="K2492" s="56">
        <v>711</v>
      </c>
      <c r="L2492" s="55" t="s">
        <v>176</v>
      </c>
      <c r="M2492" s="55" t="s">
        <v>2824</v>
      </c>
      <c r="N2492" s="4" t="s">
        <v>177</v>
      </c>
      <c r="O2492" s="55" t="s">
        <v>178</v>
      </c>
    </row>
    <row r="2493" spans="2:15">
      <c r="B2493" s="20">
        <v>45300</v>
      </c>
      <c r="C2493" s="59">
        <v>50142327</v>
      </c>
      <c r="D2493" s="55" t="s">
        <v>256</v>
      </c>
      <c r="E2493" s="67">
        <v>681</v>
      </c>
      <c r="G2493" s="102">
        <v>681</v>
      </c>
      <c r="H2493" s="56" t="s">
        <v>82</v>
      </c>
      <c r="K2493" s="56">
        <v>711</v>
      </c>
      <c r="L2493" s="55" t="s">
        <v>176</v>
      </c>
      <c r="M2493" s="55" t="s">
        <v>2824</v>
      </c>
      <c r="N2493" s="4" t="s">
        <v>177</v>
      </c>
      <c r="O2493" s="55" t="s">
        <v>178</v>
      </c>
    </row>
    <row r="2494" spans="2:15">
      <c r="B2494" s="20">
        <v>45300</v>
      </c>
      <c r="C2494" s="59">
        <v>50802401</v>
      </c>
      <c r="D2494" s="55" t="s">
        <v>13</v>
      </c>
      <c r="E2494" s="67">
        <v>289800</v>
      </c>
      <c r="G2494" s="102">
        <v>289800</v>
      </c>
      <c r="H2494" s="56" t="s">
        <v>92</v>
      </c>
      <c r="K2494" s="56">
        <v>711</v>
      </c>
      <c r="L2494" s="55" t="s">
        <v>176</v>
      </c>
      <c r="M2494" s="55" t="s">
        <v>2824</v>
      </c>
      <c r="N2494" s="4" t="s">
        <v>177</v>
      </c>
      <c r="O2494" s="55" t="s">
        <v>178</v>
      </c>
    </row>
    <row r="2495" spans="2:15">
      <c r="B2495" s="20">
        <v>45301</v>
      </c>
      <c r="C2495" s="59">
        <v>50142055</v>
      </c>
      <c r="D2495" s="55" t="s">
        <v>206</v>
      </c>
      <c r="E2495" s="67">
        <v>600</v>
      </c>
      <c r="F2495" s="67">
        <v>3</v>
      </c>
      <c r="G2495" s="102">
        <v>1800</v>
      </c>
      <c r="H2495" s="56" t="s">
        <v>82</v>
      </c>
      <c r="K2495" s="56">
        <v>712</v>
      </c>
      <c r="L2495" s="55" t="s">
        <v>176</v>
      </c>
      <c r="M2495" s="55" t="s">
        <v>2824</v>
      </c>
      <c r="N2495" s="4" t="s">
        <v>177</v>
      </c>
      <c r="O2495" s="55" t="s">
        <v>178</v>
      </c>
    </row>
    <row r="2496" spans="2:15">
      <c r="B2496" s="20">
        <v>45301</v>
      </c>
      <c r="C2496" s="59">
        <v>40009546</v>
      </c>
      <c r="D2496" s="55" t="s">
        <v>174</v>
      </c>
      <c r="E2496" s="67">
        <v>756</v>
      </c>
      <c r="F2496" s="67">
        <v>3</v>
      </c>
      <c r="G2496" s="102">
        <v>2268</v>
      </c>
      <c r="H2496" s="56" t="s">
        <v>80</v>
      </c>
      <c r="K2496" s="56">
        <v>712</v>
      </c>
      <c r="L2496" s="55" t="s">
        <v>176</v>
      </c>
      <c r="M2496" s="55" t="s">
        <v>2824</v>
      </c>
      <c r="N2496" s="4" t="s">
        <v>177</v>
      </c>
      <c r="O2496" s="55" t="s">
        <v>178</v>
      </c>
    </row>
    <row r="2497" spans="2:15">
      <c r="B2497" s="20">
        <v>45301</v>
      </c>
      <c r="C2497" s="59">
        <v>50272278</v>
      </c>
      <c r="D2497" s="55" t="s">
        <v>21</v>
      </c>
      <c r="E2497" s="67">
        <v>500</v>
      </c>
      <c r="F2497" s="67">
        <v>5</v>
      </c>
      <c r="G2497" s="102">
        <v>2500</v>
      </c>
      <c r="H2497" s="56" t="s">
        <v>92</v>
      </c>
      <c r="K2497" s="56">
        <v>712</v>
      </c>
      <c r="L2497" s="55" t="s">
        <v>176</v>
      </c>
      <c r="M2497" s="55" t="s">
        <v>2824</v>
      </c>
      <c r="N2497" s="4" t="s">
        <v>177</v>
      </c>
      <c r="O2497" s="55" t="s">
        <v>178</v>
      </c>
    </row>
    <row r="2498" spans="2:15">
      <c r="B2498" s="20">
        <v>45301</v>
      </c>
      <c r="C2498" s="59">
        <v>50143875</v>
      </c>
      <c r="D2498" s="55" t="s">
        <v>713</v>
      </c>
      <c r="E2498" s="67">
        <v>3200</v>
      </c>
      <c r="F2498" s="67">
        <v>1</v>
      </c>
      <c r="G2498" s="102">
        <v>3200</v>
      </c>
      <c r="H2498" s="56" t="s">
        <v>92</v>
      </c>
      <c r="K2498" s="56">
        <v>712</v>
      </c>
      <c r="L2498" s="55" t="s">
        <v>176</v>
      </c>
      <c r="M2498" s="55" t="s">
        <v>2824</v>
      </c>
      <c r="N2498" s="4" t="s">
        <v>177</v>
      </c>
      <c r="O2498" s="55" t="s">
        <v>178</v>
      </c>
    </row>
    <row r="2499" spans="2:15">
      <c r="B2499" s="20">
        <v>45301</v>
      </c>
      <c r="C2499" s="59">
        <v>50145187</v>
      </c>
      <c r="D2499" s="55" t="s">
        <v>465</v>
      </c>
      <c r="E2499" s="67">
        <v>264</v>
      </c>
      <c r="F2499" s="67">
        <v>6</v>
      </c>
      <c r="G2499" s="102">
        <v>1584000</v>
      </c>
      <c r="H2499" s="56" t="s">
        <v>92</v>
      </c>
      <c r="K2499" s="56">
        <v>712</v>
      </c>
      <c r="L2499" s="55" t="s">
        <v>176</v>
      </c>
      <c r="M2499" s="55" t="s">
        <v>2824</v>
      </c>
      <c r="N2499" s="4" t="s">
        <v>177</v>
      </c>
      <c r="O2499" s="55" t="s">
        <v>178</v>
      </c>
    </row>
    <row r="2500" spans="2:15">
      <c r="B2500" s="20">
        <v>45301</v>
      </c>
      <c r="C2500" s="59">
        <v>50509889</v>
      </c>
      <c r="D2500" s="55" t="s">
        <v>671</v>
      </c>
      <c r="E2500" s="67">
        <v>264</v>
      </c>
      <c r="F2500" s="67">
        <v>3</v>
      </c>
      <c r="G2500" s="102">
        <v>792000</v>
      </c>
      <c r="H2500" s="56" t="s">
        <v>92</v>
      </c>
      <c r="K2500" s="56">
        <v>712</v>
      </c>
      <c r="L2500" s="55" t="s">
        <v>176</v>
      </c>
      <c r="M2500" s="55" t="s">
        <v>2824</v>
      </c>
      <c r="N2500" s="4" t="s">
        <v>177</v>
      </c>
      <c r="O2500" s="55" t="s">
        <v>178</v>
      </c>
    </row>
    <row r="2501" spans="2:15">
      <c r="B2501" s="20">
        <v>45302</v>
      </c>
      <c r="C2501" s="59">
        <v>50272278</v>
      </c>
      <c r="D2501" s="55" t="s">
        <v>21</v>
      </c>
      <c r="E2501" s="67">
        <v>500</v>
      </c>
      <c r="F2501" s="67">
        <v>11</v>
      </c>
      <c r="G2501" s="102">
        <v>5500</v>
      </c>
      <c r="H2501" s="56" t="s">
        <v>92</v>
      </c>
      <c r="K2501" s="56">
        <v>713</v>
      </c>
      <c r="L2501" s="55" t="s">
        <v>176</v>
      </c>
      <c r="M2501" s="55" t="s">
        <v>2824</v>
      </c>
      <c r="N2501" s="4" t="s">
        <v>177</v>
      </c>
      <c r="O2501" s="55" t="s">
        <v>178</v>
      </c>
    </row>
    <row r="2502" spans="2:15">
      <c r="B2502" s="20">
        <v>45302</v>
      </c>
      <c r="C2502" s="59">
        <v>40499</v>
      </c>
      <c r="D2502" s="55" t="s">
        <v>1094</v>
      </c>
      <c r="E2502" s="67">
        <v>1</v>
      </c>
      <c r="F2502" s="67">
        <v>27</v>
      </c>
      <c r="G2502" s="102">
        <v>27</v>
      </c>
      <c r="H2502" s="56" t="s">
        <v>92</v>
      </c>
      <c r="K2502" s="56">
        <v>713</v>
      </c>
      <c r="L2502" s="55" t="s">
        <v>176</v>
      </c>
      <c r="M2502" s="55" t="s">
        <v>2824</v>
      </c>
      <c r="N2502" s="4" t="s">
        <v>177</v>
      </c>
      <c r="O2502" s="55" t="s">
        <v>178</v>
      </c>
    </row>
    <row r="2503" spans="2:15">
      <c r="B2503" s="20">
        <v>45302</v>
      </c>
      <c r="C2503" s="59">
        <v>50820741</v>
      </c>
      <c r="D2503" s="55" t="s">
        <v>1114</v>
      </c>
      <c r="E2503" s="67">
        <v>289800</v>
      </c>
      <c r="F2503" s="67">
        <v>4</v>
      </c>
      <c r="G2503" s="102">
        <v>1449000</v>
      </c>
      <c r="H2503" s="56" t="s">
        <v>92</v>
      </c>
      <c r="K2503" s="56">
        <v>713</v>
      </c>
      <c r="L2503" s="55" t="s">
        <v>176</v>
      </c>
      <c r="M2503" s="55" t="s">
        <v>2824</v>
      </c>
      <c r="N2503" s="4" t="s">
        <v>177</v>
      </c>
      <c r="O2503" s="55" t="s">
        <v>178</v>
      </c>
    </row>
    <row r="2504" spans="2:15">
      <c r="B2504" s="20">
        <v>45303</v>
      </c>
      <c r="C2504" s="59">
        <v>50142330</v>
      </c>
      <c r="D2504" s="55" t="s">
        <v>195</v>
      </c>
      <c r="G2504" s="102">
        <v>1836.32</v>
      </c>
      <c r="H2504" s="56" t="s">
        <v>82</v>
      </c>
      <c r="K2504" s="56">
        <v>714</v>
      </c>
      <c r="L2504" s="55" t="s">
        <v>176</v>
      </c>
      <c r="M2504" s="55" t="s">
        <v>2824</v>
      </c>
      <c r="N2504" s="4" t="s">
        <v>177</v>
      </c>
      <c r="O2504" s="55" t="s">
        <v>178</v>
      </c>
    </row>
    <row r="2505" spans="2:15">
      <c r="B2505" s="20">
        <v>45303</v>
      </c>
      <c r="C2505" s="59">
        <v>50820741</v>
      </c>
      <c r="D2505" s="55" t="s">
        <v>1114</v>
      </c>
      <c r="E2505" s="67">
        <v>289800</v>
      </c>
      <c r="G2505" s="102">
        <v>3187800</v>
      </c>
      <c r="H2505" s="56" t="s">
        <v>92</v>
      </c>
      <c r="K2505" s="56">
        <v>714</v>
      </c>
      <c r="L2505" s="55" t="s">
        <v>176</v>
      </c>
      <c r="M2505" s="55" t="s">
        <v>2824</v>
      </c>
      <c r="N2505" s="4" t="s">
        <v>177</v>
      </c>
      <c r="O2505" s="55" t="s">
        <v>178</v>
      </c>
    </row>
    <row r="2506" spans="2:15">
      <c r="B2506" s="20">
        <v>45303</v>
      </c>
      <c r="C2506" s="59">
        <v>50142524</v>
      </c>
      <c r="D2506" s="55" t="s">
        <v>1155</v>
      </c>
      <c r="E2506" s="67">
        <v>1000</v>
      </c>
      <c r="G2506" s="102">
        <v>1000</v>
      </c>
      <c r="H2506" s="56" t="s">
        <v>92</v>
      </c>
      <c r="K2506" s="56">
        <v>714</v>
      </c>
      <c r="L2506" s="55" t="s">
        <v>176</v>
      </c>
      <c r="M2506" s="55" t="s">
        <v>2824</v>
      </c>
      <c r="N2506" s="4" t="s">
        <v>177</v>
      </c>
      <c r="O2506" s="55" t="s">
        <v>178</v>
      </c>
    </row>
    <row r="2507" spans="2:15">
      <c r="B2507" s="20">
        <v>45303</v>
      </c>
      <c r="C2507" s="59">
        <v>50142520</v>
      </c>
      <c r="D2507" s="55" t="s">
        <v>1156</v>
      </c>
      <c r="E2507" s="67">
        <v>1000</v>
      </c>
      <c r="G2507" s="102">
        <v>1000</v>
      </c>
      <c r="H2507" s="56" t="s">
        <v>92</v>
      </c>
      <c r="K2507" s="56">
        <v>714</v>
      </c>
      <c r="L2507" s="55" t="s">
        <v>176</v>
      </c>
      <c r="M2507" s="55" t="s">
        <v>2824</v>
      </c>
      <c r="N2507" s="4" t="s">
        <v>177</v>
      </c>
      <c r="O2507" s="55" t="s">
        <v>178</v>
      </c>
    </row>
    <row r="2508" spans="2:15">
      <c r="B2508" s="20">
        <v>45303</v>
      </c>
      <c r="C2508" s="59">
        <v>50142523</v>
      </c>
      <c r="D2508" s="55" t="s">
        <v>1157</v>
      </c>
      <c r="E2508" s="67">
        <v>1000</v>
      </c>
      <c r="G2508" s="102">
        <v>1000</v>
      </c>
      <c r="H2508" s="56" t="s">
        <v>92</v>
      </c>
      <c r="K2508" s="56">
        <v>714</v>
      </c>
      <c r="L2508" s="55" t="s">
        <v>176</v>
      </c>
      <c r="M2508" s="55" t="s">
        <v>2824</v>
      </c>
      <c r="N2508" s="4" t="s">
        <v>177</v>
      </c>
      <c r="O2508" s="55" t="s">
        <v>178</v>
      </c>
    </row>
    <row r="2509" spans="2:15">
      <c r="B2509" s="20">
        <v>45303</v>
      </c>
      <c r="C2509" s="59">
        <v>50144376</v>
      </c>
      <c r="D2509" s="55" t="s">
        <v>19</v>
      </c>
      <c r="E2509" s="67">
        <v>500</v>
      </c>
      <c r="G2509" s="102">
        <v>2000</v>
      </c>
      <c r="H2509" s="56" t="s">
        <v>92</v>
      </c>
      <c r="K2509" s="56">
        <v>714</v>
      </c>
      <c r="L2509" s="55" t="s">
        <v>176</v>
      </c>
      <c r="M2509" s="55" t="s">
        <v>2824</v>
      </c>
      <c r="N2509" s="4" t="s">
        <v>177</v>
      </c>
      <c r="O2509" s="55" t="s">
        <v>178</v>
      </c>
    </row>
    <row r="2510" spans="2:15">
      <c r="B2510" s="20">
        <v>45303</v>
      </c>
      <c r="C2510" s="59">
        <v>40011133</v>
      </c>
      <c r="D2510" s="55" t="s">
        <v>634</v>
      </c>
      <c r="E2510" s="67">
        <v>864</v>
      </c>
      <c r="G2510" s="102">
        <v>2592</v>
      </c>
      <c r="H2510" s="56" t="s">
        <v>80</v>
      </c>
      <c r="K2510" s="56">
        <v>715</v>
      </c>
      <c r="L2510" s="55" t="s">
        <v>176</v>
      </c>
      <c r="M2510" s="55" t="s">
        <v>2824</v>
      </c>
      <c r="N2510" s="4" t="s">
        <v>177</v>
      </c>
      <c r="O2510" s="55" t="s">
        <v>178</v>
      </c>
    </row>
    <row r="2511" spans="2:15">
      <c r="B2511" s="20">
        <v>45303</v>
      </c>
      <c r="C2511" s="59">
        <v>50144376</v>
      </c>
      <c r="D2511" s="55" t="s">
        <v>19</v>
      </c>
      <c r="E2511" s="67">
        <v>500</v>
      </c>
      <c r="G2511" s="102">
        <v>7000</v>
      </c>
      <c r="H2511" s="56" t="s">
        <v>92</v>
      </c>
      <c r="K2511" s="56">
        <v>715</v>
      </c>
      <c r="L2511" s="55" t="s">
        <v>176</v>
      </c>
      <c r="M2511" s="55" t="s">
        <v>2824</v>
      </c>
      <c r="N2511" s="4" t="s">
        <v>177</v>
      </c>
      <c r="O2511" s="55" t="s">
        <v>178</v>
      </c>
    </row>
    <row r="2512" spans="2:15">
      <c r="B2512" s="20">
        <v>45303</v>
      </c>
      <c r="C2512" s="59">
        <v>50802401</v>
      </c>
      <c r="D2512" s="55" t="s">
        <v>13</v>
      </c>
      <c r="E2512" s="67">
        <v>289800</v>
      </c>
      <c r="G2512" s="102">
        <v>869400</v>
      </c>
      <c r="H2512" s="56" t="s">
        <v>92</v>
      </c>
      <c r="K2512" s="56">
        <v>715</v>
      </c>
      <c r="L2512" s="55" t="s">
        <v>176</v>
      </c>
      <c r="M2512" s="55" t="s">
        <v>2824</v>
      </c>
      <c r="N2512" s="4" t="s">
        <v>177</v>
      </c>
      <c r="O2512" s="55" t="s">
        <v>178</v>
      </c>
    </row>
    <row r="2513" spans="2:15">
      <c r="B2513" s="20">
        <v>45303</v>
      </c>
      <c r="C2513" s="59">
        <v>50142373</v>
      </c>
      <c r="D2513" s="55" t="s">
        <v>1130</v>
      </c>
      <c r="E2513" s="67">
        <v>300</v>
      </c>
      <c r="G2513" s="102">
        <v>300</v>
      </c>
      <c r="H2513" s="56" t="s">
        <v>82</v>
      </c>
      <c r="K2513" s="56">
        <v>715</v>
      </c>
      <c r="L2513" s="55" t="s">
        <v>176</v>
      </c>
      <c r="M2513" s="55" t="s">
        <v>2824</v>
      </c>
      <c r="N2513" s="4" t="s">
        <v>177</v>
      </c>
      <c r="O2513" s="55" t="s">
        <v>178</v>
      </c>
    </row>
    <row r="2514" spans="2:15">
      <c r="B2514" s="20">
        <v>45306</v>
      </c>
      <c r="C2514" s="59">
        <v>50802401</v>
      </c>
      <c r="D2514" s="55" t="s">
        <v>13</v>
      </c>
      <c r="E2514" s="67">
        <v>289800</v>
      </c>
      <c r="G2514" s="102">
        <v>5216400</v>
      </c>
      <c r="H2514" s="56" t="s">
        <v>92</v>
      </c>
      <c r="K2514" s="56">
        <v>716</v>
      </c>
      <c r="L2514" s="55" t="s">
        <v>176</v>
      </c>
      <c r="M2514" s="55" t="s">
        <v>2824</v>
      </c>
      <c r="N2514" s="4" t="s">
        <v>177</v>
      </c>
      <c r="O2514" s="55" t="s">
        <v>178</v>
      </c>
    </row>
    <row r="2515" spans="2:15">
      <c r="B2515" s="20">
        <v>45306</v>
      </c>
      <c r="C2515" s="59">
        <v>50144376</v>
      </c>
      <c r="D2515" s="55" t="s">
        <v>19</v>
      </c>
      <c r="E2515" s="67">
        <v>500</v>
      </c>
      <c r="G2515" s="102">
        <v>4500</v>
      </c>
      <c r="H2515" s="56" t="s">
        <v>92</v>
      </c>
      <c r="K2515" s="56">
        <v>717</v>
      </c>
      <c r="L2515" s="55" t="s">
        <v>176</v>
      </c>
      <c r="M2515" s="55" t="s">
        <v>2824</v>
      </c>
      <c r="N2515" s="4" t="s">
        <v>177</v>
      </c>
      <c r="O2515" s="55" t="s">
        <v>178</v>
      </c>
    </row>
    <row r="2516" spans="2:15">
      <c r="B2516" s="20">
        <v>45306</v>
      </c>
      <c r="C2516" s="59">
        <v>50272278</v>
      </c>
      <c r="D2516" s="55" t="s">
        <v>21</v>
      </c>
      <c r="E2516" s="67">
        <v>500</v>
      </c>
      <c r="G2516" s="102">
        <v>4500</v>
      </c>
      <c r="H2516" s="56" t="s">
        <v>92</v>
      </c>
      <c r="K2516" s="56">
        <v>717</v>
      </c>
      <c r="L2516" s="55" t="s">
        <v>176</v>
      </c>
      <c r="M2516" s="55" t="s">
        <v>2824</v>
      </c>
      <c r="N2516" s="4" t="s">
        <v>177</v>
      </c>
      <c r="O2516" s="55" t="s">
        <v>178</v>
      </c>
    </row>
    <row r="2517" spans="2:15">
      <c r="B2517" s="20">
        <v>45306</v>
      </c>
      <c r="C2517" s="59">
        <v>40007941</v>
      </c>
      <c r="D2517" s="55" t="s">
        <v>211</v>
      </c>
      <c r="E2517" s="67">
        <v>864</v>
      </c>
      <c r="G2517" s="102">
        <v>2592</v>
      </c>
      <c r="H2517" s="56" t="s">
        <v>80</v>
      </c>
      <c r="K2517" s="56">
        <v>717</v>
      </c>
      <c r="L2517" s="55" t="s">
        <v>176</v>
      </c>
      <c r="M2517" s="55" t="s">
        <v>2824</v>
      </c>
      <c r="N2517" s="4" t="s">
        <v>177</v>
      </c>
      <c r="O2517" s="55" t="s">
        <v>178</v>
      </c>
    </row>
    <row r="2518" spans="2:15">
      <c r="B2518" s="20">
        <v>45306</v>
      </c>
      <c r="C2518" s="59">
        <v>40007942</v>
      </c>
      <c r="D2518" s="55" t="s">
        <v>219</v>
      </c>
      <c r="E2518" s="67">
        <v>864</v>
      </c>
      <c r="G2518" s="102">
        <v>4506</v>
      </c>
      <c r="H2518" s="56" t="s">
        <v>80</v>
      </c>
      <c r="K2518" s="56">
        <v>717</v>
      </c>
      <c r="L2518" s="55" t="s">
        <v>176</v>
      </c>
      <c r="M2518" s="55" t="s">
        <v>2824</v>
      </c>
      <c r="N2518" s="4" t="s">
        <v>177</v>
      </c>
      <c r="O2518" s="55" t="s">
        <v>178</v>
      </c>
    </row>
    <row r="2519" spans="2:15">
      <c r="B2519" s="20">
        <v>45307</v>
      </c>
      <c r="C2519" s="59">
        <v>50144376</v>
      </c>
      <c r="D2519" s="55" t="s">
        <v>19</v>
      </c>
      <c r="E2519" s="67">
        <v>500</v>
      </c>
      <c r="G2519" s="102">
        <v>5500</v>
      </c>
      <c r="H2519" s="56" t="s">
        <v>92</v>
      </c>
      <c r="K2519" s="56">
        <v>718</v>
      </c>
      <c r="L2519" s="55" t="s">
        <v>176</v>
      </c>
      <c r="M2519" s="55" t="s">
        <v>2824</v>
      </c>
      <c r="N2519" s="4" t="s">
        <v>177</v>
      </c>
      <c r="O2519" s="55" t="s">
        <v>178</v>
      </c>
    </row>
    <row r="2520" spans="2:15">
      <c r="B2520" s="20">
        <v>45307</v>
      </c>
      <c r="C2520" s="59">
        <v>50272278</v>
      </c>
      <c r="D2520" s="55" t="s">
        <v>21</v>
      </c>
      <c r="E2520" s="67">
        <v>500</v>
      </c>
      <c r="F2520" s="67">
        <v>11</v>
      </c>
      <c r="G2520" s="102">
        <v>5500</v>
      </c>
      <c r="H2520" s="56" t="s">
        <v>92</v>
      </c>
      <c r="K2520" s="56">
        <v>718</v>
      </c>
      <c r="L2520" s="55" t="s">
        <v>176</v>
      </c>
      <c r="M2520" s="55" t="s">
        <v>2824</v>
      </c>
      <c r="N2520" s="4" t="s">
        <v>177</v>
      </c>
      <c r="O2520" s="55" t="s">
        <v>178</v>
      </c>
    </row>
    <row r="2521" spans="2:15">
      <c r="B2521" s="20">
        <v>45308</v>
      </c>
      <c r="C2521" s="59">
        <v>50145028</v>
      </c>
      <c r="D2521" s="55" t="s">
        <v>23</v>
      </c>
      <c r="E2521" s="67">
        <v>192</v>
      </c>
      <c r="G2521" s="102">
        <v>192</v>
      </c>
      <c r="H2521" s="56" t="s">
        <v>92</v>
      </c>
      <c r="K2521" s="56">
        <v>719</v>
      </c>
      <c r="L2521" s="55" t="s">
        <v>176</v>
      </c>
      <c r="M2521" s="55" t="s">
        <v>2824</v>
      </c>
      <c r="N2521" s="4" t="s">
        <v>177</v>
      </c>
      <c r="O2521" s="55" t="s">
        <v>178</v>
      </c>
    </row>
    <row r="2522" spans="2:15">
      <c r="B2522" s="20">
        <v>45308</v>
      </c>
      <c r="C2522" s="59">
        <v>50143893</v>
      </c>
      <c r="D2522" s="55" t="s">
        <v>24</v>
      </c>
      <c r="E2522" s="67">
        <v>990</v>
      </c>
      <c r="G2522" s="102">
        <v>1980</v>
      </c>
      <c r="H2522" s="56" t="s">
        <v>92</v>
      </c>
      <c r="K2522" s="56">
        <v>719</v>
      </c>
      <c r="L2522" s="55" t="s">
        <v>176</v>
      </c>
      <c r="M2522" s="55" t="s">
        <v>2824</v>
      </c>
      <c r="N2522" s="4" t="s">
        <v>177</v>
      </c>
      <c r="O2522" s="55" t="s">
        <v>178</v>
      </c>
    </row>
    <row r="2523" spans="2:15">
      <c r="B2523" s="20">
        <v>45308</v>
      </c>
      <c r="C2523" s="59">
        <v>50272278</v>
      </c>
      <c r="D2523" s="55" t="s">
        <v>21</v>
      </c>
      <c r="E2523" s="67">
        <v>500</v>
      </c>
      <c r="G2523" s="102">
        <v>7000</v>
      </c>
      <c r="H2523" s="56" t="s">
        <v>92</v>
      </c>
      <c r="K2523" s="56">
        <v>719</v>
      </c>
      <c r="L2523" s="55" t="s">
        <v>176</v>
      </c>
      <c r="M2523" s="55" t="s">
        <v>2824</v>
      </c>
      <c r="N2523" s="4" t="s">
        <v>177</v>
      </c>
      <c r="O2523" s="55" t="s">
        <v>178</v>
      </c>
    </row>
    <row r="2524" spans="2:15">
      <c r="B2524" s="20">
        <v>45308</v>
      </c>
      <c r="C2524" s="59">
        <v>50802401</v>
      </c>
      <c r="D2524" s="55" t="s">
        <v>13</v>
      </c>
      <c r="E2524" s="67">
        <v>289800</v>
      </c>
      <c r="G2524" s="102">
        <v>1159200</v>
      </c>
      <c r="H2524" s="56" t="s">
        <v>92</v>
      </c>
      <c r="K2524" s="56">
        <v>719</v>
      </c>
      <c r="L2524" s="55" t="s">
        <v>176</v>
      </c>
      <c r="M2524" s="55" t="s">
        <v>2824</v>
      </c>
      <c r="N2524" s="4" t="s">
        <v>177</v>
      </c>
      <c r="O2524" s="55" t="s">
        <v>178</v>
      </c>
    </row>
    <row r="2525" spans="2:15">
      <c r="B2525" s="20">
        <v>45308</v>
      </c>
      <c r="C2525" s="59">
        <v>50144376</v>
      </c>
      <c r="D2525" s="55" t="s">
        <v>19</v>
      </c>
      <c r="E2525" s="67">
        <v>500</v>
      </c>
      <c r="G2525" s="102">
        <v>950</v>
      </c>
      <c r="H2525" s="56" t="s">
        <v>92</v>
      </c>
      <c r="K2525" s="56">
        <v>720</v>
      </c>
      <c r="L2525" s="55" t="s">
        <v>392</v>
      </c>
      <c r="M2525" s="55" t="s">
        <v>392</v>
      </c>
      <c r="N2525" s="4" t="s">
        <v>2852</v>
      </c>
      <c r="O2525" s="55" t="s">
        <v>178</v>
      </c>
    </row>
    <row r="2526" spans="2:15">
      <c r="B2526" s="20">
        <v>45308</v>
      </c>
      <c r="C2526" s="59">
        <v>50272278</v>
      </c>
      <c r="D2526" s="55" t="s">
        <v>21</v>
      </c>
      <c r="E2526" s="67">
        <v>500</v>
      </c>
      <c r="G2526" s="102">
        <v>2300</v>
      </c>
      <c r="H2526" s="56" t="s">
        <v>92</v>
      </c>
      <c r="K2526" s="56">
        <v>720</v>
      </c>
      <c r="L2526" s="55" t="s">
        <v>392</v>
      </c>
      <c r="M2526" s="55" t="s">
        <v>392</v>
      </c>
      <c r="N2526" s="4" t="s">
        <v>2852</v>
      </c>
      <c r="O2526" s="55" t="s">
        <v>178</v>
      </c>
    </row>
    <row r="2527" spans="2:15">
      <c r="B2527" s="20">
        <v>45308</v>
      </c>
      <c r="C2527" s="59">
        <v>50145028</v>
      </c>
      <c r="D2527" s="55" t="s">
        <v>23</v>
      </c>
      <c r="E2527" s="67">
        <v>192</v>
      </c>
      <c r="G2527" s="102">
        <v>960</v>
      </c>
      <c r="H2527" s="56" t="s">
        <v>92</v>
      </c>
      <c r="K2527" s="56">
        <v>720</v>
      </c>
      <c r="L2527" s="55" t="s">
        <v>392</v>
      </c>
      <c r="M2527" s="55" t="s">
        <v>392</v>
      </c>
      <c r="N2527" s="4" t="s">
        <v>2852</v>
      </c>
      <c r="O2527" s="55" t="s">
        <v>178</v>
      </c>
    </row>
    <row r="2528" spans="2:15">
      <c r="B2528" s="20">
        <v>45308</v>
      </c>
      <c r="C2528" s="59">
        <v>50142237</v>
      </c>
      <c r="D2528" s="55" t="s">
        <v>617</v>
      </c>
      <c r="E2528" s="67">
        <v>1000</v>
      </c>
      <c r="G2528" s="102">
        <v>5000</v>
      </c>
      <c r="H2528" s="56" t="s">
        <v>92</v>
      </c>
      <c r="K2528" s="56">
        <v>720</v>
      </c>
      <c r="L2528" s="55" t="s">
        <v>392</v>
      </c>
      <c r="M2528" s="55" t="s">
        <v>392</v>
      </c>
      <c r="N2528" s="4" t="s">
        <v>2852</v>
      </c>
      <c r="O2528" s="55" t="s">
        <v>178</v>
      </c>
    </row>
    <row r="2529" spans="2:15">
      <c r="B2529" s="20">
        <v>45309</v>
      </c>
      <c r="C2529" s="59">
        <v>40009546</v>
      </c>
      <c r="D2529" s="55" t="s">
        <v>174</v>
      </c>
      <c r="E2529" s="67">
        <v>756</v>
      </c>
      <c r="G2529" s="102">
        <v>3024</v>
      </c>
      <c r="H2529" s="56" t="s">
        <v>80</v>
      </c>
      <c r="K2529" s="56">
        <v>721</v>
      </c>
      <c r="L2529" s="55" t="s">
        <v>176</v>
      </c>
      <c r="M2529" s="55" t="s">
        <v>2824</v>
      </c>
      <c r="N2529" s="4" t="s">
        <v>177</v>
      </c>
      <c r="O2529" s="55" t="s">
        <v>178</v>
      </c>
    </row>
    <row r="2530" spans="2:15">
      <c r="B2530" s="20">
        <v>45309</v>
      </c>
      <c r="C2530" s="59">
        <v>50272278</v>
      </c>
      <c r="D2530" s="55" t="s">
        <v>21</v>
      </c>
      <c r="E2530" s="67">
        <v>5000</v>
      </c>
      <c r="G2530" s="102">
        <v>2000</v>
      </c>
      <c r="H2530" s="56" t="s">
        <v>92</v>
      </c>
      <c r="K2530" s="56">
        <v>721</v>
      </c>
      <c r="L2530" s="55" t="s">
        <v>176</v>
      </c>
      <c r="M2530" s="55" t="s">
        <v>2824</v>
      </c>
      <c r="N2530" s="4" t="s">
        <v>177</v>
      </c>
      <c r="O2530" s="55" t="s">
        <v>178</v>
      </c>
    </row>
    <row r="2531" spans="2:15">
      <c r="B2531" s="20">
        <v>45309</v>
      </c>
      <c r="C2531" s="59">
        <v>40011148</v>
      </c>
      <c r="D2531" s="55" t="s">
        <v>86</v>
      </c>
      <c r="E2531" s="67">
        <v>450</v>
      </c>
      <c r="G2531" s="102">
        <v>1350</v>
      </c>
      <c r="H2531" s="56" t="s">
        <v>80</v>
      </c>
      <c r="K2531" s="56">
        <v>721</v>
      </c>
      <c r="L2531" s="55" t="s">
        <v>176</v>
      </c>
      <c r="M2531" s="55" t="s">
        <v>2824</v>
      </c>
      <c r="N2531" s="4" t="s">
        <v>177</v>
      </c>
      <c r="O2531" s="55" t="s">
        <v>178</v>
      </c>
    </row>
    <row r="2532" spans="2:15">
      <c r="B2532" s="20">
        <v>45309</v>
      </c>
      <c r="C2532" s="59">
        <v>50144200</v>
      </c>
      <c r="D2532" s="55" t="s">
        <v>184</v>
      </c>
      <c r="E2532" s="67">
        <v>264000</v>
      </c>
      <c r="G2532" s="102">
        <v>1320000</v>
      </c>
      <c r="H2532" s="56" t="s">
        <v>92</v>
      </c>
      <c r="K2532" s="56">
        <v>721</v>
      </c>
      <c r="L2532" s="55" t="s">
        <v>176</v>
      </c>
      <c r="M2532" s="55" t="s">
        <v>2824</v>
      </c>
      <c r="N2532" s="4" t="s">
        <v>177</v>
      </c>
      <c r="O2532" s="55" t="s">
        <v>178</v>
      </c>
    </row>
    <row r="2533" spans="2:15">
      <c r="B2533" s="20">
        <v>45309</v>
      </c>
      <c r="C2533" s="59">
        <v>50802401</v>
      </c>
      <c r="D2533" s="55" t="s">
        <v>13</v>
      </c>
      <c r="E2533" s="67">
        <v>289800</v>
      </c>
      <c r="G2533" s="102">
        <v>1449000</v>
      </c>
      <c r="H2533" s="56" t="s">
        <v>92</v>
      </c>
      <c r="K2533" s="56">
        <v>721</v>
      </c>
      <c r="L2533" s="55" t="s">
        <v>176</v>
      </c>
      <c r="M2533" s="55" t="s">
        <v>2824</v>
      </c>
      <c r="N2533" s="4" t="s">
        <v>177</v>
      </c>
      <c r="O2533" s="55" t="s">
        <v>178</v>
      </c>
    </row>
    <row r="2534" spans="2:15">
      <c r="B2534" s="20">
        <v>45309</v>
      </c>
      <c r="C2534" s="59">
        <v>50144376</v>
      </c>
      <c r="D2534" s="55" t="s">
        <v>19</v>
      </c>
      <c r="E2534" s="67">
        <v>500</v>
      </c>
      <c r="G2534" s="102">
        <v>11000</v>
      </c>
      <c r="H2534" s="56" t="s">
        <v>92</v>
      </c>
      <c r="K2534" s="56">
        <v>722</v>
      </c>
      <c r="L2534" s="55" t="s">
        <v>176</v>
      </c>
      <c r="M2534" s="55" t="s">
        <v>2824</v>
      </c>
      <c r="N2534" s="4" t="s">
        <v>177</v>
      </c>
      <c r="O2534" s="55" t="s">
        <v>178</v>
      </c>
    </row>
    <row r="2535" spans="2:15">
      <c r="B2535" s="20">
        <v>45310</v>
      </c>
      <c r="C2535" s="59">
        <v>50010080</v>
      </c>
      <c r="D2535" s="55" t="s">
        <v>354</v>
      </c>
      <c r="E2535" s="67">
        <v>1000</v>
      </c>
      <c r="G2535" s="102">
        <v>5000</v>
      </c>
      <c r="H2535" s="56" t="s">
        <v>82</v>
      </c>
      <c r="K2535" s="56">
        <v>723</v>
      </c>
      <c r="L2535" s="55" t="s">
        <v>176</v>
      </c>
      <c r="M2535" s="55" t="s">
        <v>2824</v>
      </c>
      <c r="N2535" s="4" t="s">
        <v>177</v>
      </c>
      <c r="O2535" s="55" t="s">
        <v>178</v>
      </c>
    </row>
    <row r="2536" spans="2:15">
      <c r="B2536" s="20">
        <v>45310</v>
      </c>
      <c r="C2536" s="59">
        <v>40010087</v>
      </c>
      <c r="D2536" s="55" t="s">
        <v>387</v>
      </c>
      <c r="E2536" s="67">
        <v>756</v>
      </c>
      <c r="G2536" s="102">
        <v>2405</v>
      </c>
      <c r="H2536" s="56" t="s">
        <v>80</v>
      </c>
      <c r="K2536" s="56">
        <v>723</v>
      </c>
      <c r="L2536" s="55" t="s">
        <v>176</v>
      </c>
      <c r="M2536" s="55" t="s">
        <v>2824</v>
      </c>
      <c r="N2536" s="4" t="s">
        <v>177</v>
      </c>
      <c r="O2536" s="55" t="s">
        <v>178</v>
      </c>
    </row>
    <row r="2537" spans="2:15">
      <c r="B2537" s="20">
        <v>45310</v>
      </c>
      <c r="C2537" s="59">
        <v>50507916</v>
      </c>
      <c r="D2537" s="55" t="s">
        <v>406</v>
      </c>
      <c r="E2537" s="67">
        <v>264000</v>
      </c>
      <c r="G2537" s="102">
        <v>1056000</v>
      </c>
      <c r="H2537" s="56" t="s">
        <v>92</v>
      </c>
      <c r="K2537" s="56">
        <v>723</v>
      </c>
      <c r="L2537" s="55" t="s">
        <v>176</v>
      </c>
      <c r="M2537" s="55" t="s">
        <v>2824</v>
      </c>
      <c r="N2537" s="4" t="s">
        <v>177</v>
      </c>
      <c r="O2537" s="55" t="s">
        <v>178</v>
      </c>
    </row>
    <row r="2538" spans="2:15">
      <c r="B2538" s="20">
        <v>45310</v>
      </c>
      <c r="C2538" s="59">
        <v>50142327</v>
      </c>
      <c r="D2538" s="55" t="s">
        <v>256</v>
      </c>
      <c r="E2538" s="67">
        <v>681</v>
      </c>
      <c r="G2538" s="102">
        <v>2724</v>
      </c>
      <c r="H2538" s="56" t="s">
        <v>82</v>
      </c>
      <c r="K2538" s="56">
        <v>723</v>
      </c>
      <c r="L2538" s="55" t="s">
        <v>176</v>
      </c>
      <c r="M2538" s="55" t="s">
        <v>2824</v>
      </c>
      <c r="N2538" s="4" t="s">
        <v>177</v>
      </c>
      <c r="O2538" s="55" t="s">
        <v>178</v>
      </c>
    </row>
    <row r="2539" spans="2:15">
      <c r="B2539" s="20">
        <v>45310</v>
      </c>
      <c r="C2539" s="59">
        <v>50142334</v>
      </c>
      <c r="D2539" s="55" t="s">
        <v>257</v>
      </c>
      <c r="E2539" s="67">
        <v>681</v>
      </c>
      <c r="G2539" s="102">
        <v>2724</v>
      </c>
      <c r="H2539" s="56" t="s">
        <v>82</v>
      </c>
      <c r="K2539" s="56">
        <v>723</v>
      </c>
      <c r="L2539" s="55" t="s">
        <v>176</v>
      </c>
      <c r="M2539" s="55" t="s">
        <v>2824</v>
      </c>
      <c r="N2539" s="4" t="s">
        <v>177</v>
      </c>
      <c r="O2539" s="55" t="s">
        <v>178</v>
      </c>
    </row>
    <row r="2540" spans="2:15">
      <c r="B2540" s="20">
        <v>45310</v>
      </c>
      <c r="C2540" s="59">
        <v>40011130</v>
      </c>
      <c r="D2540" s="55" t="s">
        <v>631</v>
      </c>
      <c r="E2540" s="67">
        <v>3360</v>
      </c>
      <c r="G2540" s="102">
        <v>4616</v>
      </c>
      <c r="H2540" s="56" t="s">
        <v>80</v>
      </c>
      <c r="K2540" s="56">
        <v>724</v>
      </c>
      <c r="L2540" s="55" t="s">
        <v>176</v>
      </c>
      <c r="M2540" s="55" t="s">
        <v>2824</v>
      </c>
      <c r="N2540" s="4" t="s">
        <v>177</v>
      </c>
      <c r="O2540" s="55" t="s">
        <v>178</v>
      </c>
    </row>
    <row r="2541" spans="2:15">
      <c r="B2541" s="20">
        <v>45310</v>
      </c>
      <c r="C2541" s="59">
        <v>50813995</v>
      </c>
      <c r="D2541" s="55" t="s">
        <v>960</v>
      </c>
      <c r="E2541" s="67">
        <v>456</v>
      </c>
      <c r="G2541" s="102">
        <v>4187.65</v>
      </c>
      <c r="H2541" s="56" t="s">
        <v>82</v>
      </c>
      <c r="K2541" s="56">
        <v>724</v>
      </c>
      <c r="L2541" s="55" t="s">
        <v>176</v>
      </c>
      <c r="M2541" s="55" t="s">
        <v>2824</v>
      </c>
      <c r="N2541" s="4" t="s">
        <v>177</v>
      </c>
      <c r="O2541" s="55" t="s">
        <v>178</v>
      </c>
    </row>
    <row r="2542" spans="2:15">
      <c r="B2542" s="20">
        <v>45310</v>
      </c>
      <c r="C2542" s="59">
        <v>50144200</v>
      </c>
      <c r="D2542" s="55" t="s">
        <v>184</v>
      </c>
      <c r="E2542" s="67">
        <v>264</v>
      </c>
      <c r="G2542" s="102">
        <v>792000</v>
      </c>
      <c r="H2542" s="56" t="s">
        <v>92</v>
      </c>
      <c r="K2542" s="56">
        <v>724</v>
      </c>
      <c r="L2542" s="55" t="s">
        <v>176</v>
      </c>
      <c r="M2542" s="55" t="s">
        <v>2824</v>
      </c>
      <c r="N2542" s="4" t="s">
        <v>177</v>
      </c>
      <c r="O2542" s="55" t="s">
        <v>178</v>
      </c>
    </row>
    <row r="2543" spans="2:15">
      <c r="B2543" s="20">
        <v>45310</v>
      </c>
      <c r="C2543" s="59">
        <v>50507916</v>
      </c>
      <c r="D2543" s="55" t="s">
        <v>406</v>
      </c>
      <c r="E2543" s="67">
        <v>264</v>
      </c>
      <c r="G2543" s="102">
        <v>1056000</v>
      </c>
      <c r="H2543" s="56" t="s">
        <v>92</v>
      </c>
      <c r="K2543" s="56">
        <v>724</v>
      </c>
      <c r="L2543" s="55" t="s">
        <v>176</v>
      </c>
      <c r="M2543" s="55" t="s">
        <v>2824</v>
      </c>
      <c r="N2543" s="4" t="s">
        <v>177</v>
      </c>
      <c r="O2543" s="55" t="s">
        <v>178</v>
      </c>
    </row>
    <row r="2544" spans="2:15">
      <c r="B2544" s="20">
        <v>45310</v>
      </c>
      <c r="C2544" s="59">
        <v>50337816</v>
      </c>
      <c r="D2544" s="55" t="s">
        <v>245</v>
      </c>
      <c r="E2544" s="67">
        <v>264</v>
      </c>
      <c r="G2544" s="102">
        <v>792</v>
      </c>
      <c r="H2544" s="56" t="s">
        <v>80</v>
      </c>
      <c r="K2544" s="56">
        <v>724</v>
      </c>
      <c r="L2544" s="55" t="s">
        <v>176</v>
      </c>
      <c r="M2544" s="55" t="s">
        <v>2824</v>
      </c>
      <c r="N2544" s="4" t="s">
        <v>177</v>
      </c>
      <c r="O2544" s="55" t="s">
        <v>178</v>
      </c>
    </row>
    <row r="2545" spans="2:15">
      <c r="B2545" s="20">
        <v>45310</v>
      </c>
      <c r="C2545" s="59">
        <v>50145028</v>
      </c>
      <c r="D2545" s="55" t="s">
        <v>23</v>
      </c>
      <c r="E2545" s="67">
        <v>192</v>
      </c>
      <c r="G2545" s="102">
        <v>576</v>
      </c>
      <c r="H2545" s="56" t="s">
        <v>92</v>
      </c>
      <c r="K2545" s="56">
        <v>725</v>
      </c>
      <c r="L2545" s="55" t="s">
        <v>326</v>
      </c>
      <c r="M2545" s="55" t="s">
        <v>326</v>
      </c>
      <c r="N2545" s="4" t="s">
        <v>712</v>
      </c>
      <c r="O2545" s="55" t="s">
        <v>178</v>
      </c>
    </row>
    <row r="2546" spans="2:15">
      <c r="B2546" s="20">
        <v>45310</v>
      </c>
      <c r="C2546" s="59">
        <v>50144376</v>
      </c>
      <c r="D2546" s="55" t="s">
        <v>19</v>
      </c>
      <c r="E2546" s="67">
        <v>500</v>
      </c>
      <c r="G2546" s="102">
        <v>4500</v>
      </c>
      <c r="H2546" s="56" t="s">
        <v>92</v>
      </c>
      <c r="K2546" s="56">
        <v>725</v>
      </c>
      <c r="L2546" s="55" t="s">
        <v>326</v>
      </c>
      <c r="M2546" s="55" t="s">
        <v>326</v>
      </c>
      <c r="N2546" s="4" t="s">
        <v>712</v>
      </c>
      <c r="O2546" s="55" t="s">
        <v>178</v>
      </c>
    </row>
    <row r="2547" spans="2:15">
      <c r="B2547" s="20">
        <v>45310</v>
      </c>
      <c r="C2547" s="59">
        <v>50272278</v>
      </c>
      <c r="D2547" s="55" t="s">
        <v>21</v>
      </c>
      <c r="E2547" s="67">
        <v>500</v>
      </c>
      <c r="G2547" s="102">
        <v>5000</v>
      </c>
      <c r="H2547" s="56" t="s">
        <v>92</v>
      </c>
      <c r="K2547" s="56">
        <v>725</v>
      </c>
      <c r="L2547" s="55" t="s">
        <v>326</v>
      </c>
      <c r="M2547" s="55" t="s">
        <v>326</v>
      </c>
      <c r="N2547" s="4" t="s">
        <v>712</v>
      </c>
      <c r="O2547" s="55" t="s">
        <v>178</v>
      </c>
    </row>
    <row r="2548" spans="2:15">
      <c r="B2548" s="20">
        <v>45313</v>
      </c>
      <c r="C2548" s="59">
        <v>50143893</v>
      </c>
      <c r="D2548" s="55" t="s">
        <v>24</v>
      </c>
      <c r="E2548" s="67">
        <v>990</v>
      </c>
      <c r="G2548" s="102">
        <v>2970</v>
      </c>
      <c r="H2548" s="56" t="s">
        <v>92</v>
      </c>
      <c r="K2548" s="56">
        <v>726</v>
      </c>
      <c r="L2548" s="55" t="s">
        <v>176</v>
      </c>
      <c r="M2548" s="55" t="s">
        <v>2824</v>
      </c>
      <c r="N2548" s="4" t="s">
        <v>177</v>
      </c>
      <c r="O2548" s="55" t="s">
        <v>178</v>
      </c>
    </row>
    <row r="2549" spans="2:15">
      <c r="B2549" s="20">
        <v>45313</v>
      </c>
      <c r="C2549" s="59">
        <v>50144376</v>
      </c>
      <c r="D2549" s="55" t="s">
        <v>19</v>
      </c>
      <c r="E2549" s="67">
        <v>500</v>
      </c>
      <c r="G2549" s="102">
        <v>9500</v>
      </c>
      <c r="H2549" s="56" t="s">
        <v>92</v>
      </c>
      <c r="K2549" s="56">
        <v>726</v>
      </c>
      <c r="L2549" s="55" t="s">
        <v>176</v>
      </c>
      <c r="M2549" s="55" t="s">
        <v>2824</v>
      </c>
      <c r="N2549" s="4" t="s">
        <v>177</v>
      </c>
      <c r="O2549" s="55" t="s">
        <v>178</v>
      </c>
    </row>
    <row r="2550" spans="2:15">
      <c r="B2550" s="20">
        <v>45313</v>
      </c>
      <c r="C2550" s="59">
        <v>50144376</v>
      </c>
      <c r="D2550" s="55" t="s">
        <v>19</v>
      </c>
      <c r="E2550" s="67">
        <v>500</v>
      </c>
      <c r="G2550" s="102">
        <v>5500</v>
      </c>
      <c r="H2550" s="56" t="s">
        <v>92</v>
      </c>
      <c r="K2550" s="56">
        <v>727</v>
      </c>
      <c r="L2550" s="55" t="s">
        <v>176</v>
      </c>
      <c r="M2550" s="55" t="s">
        <v>2824</v>
      </c>
      <c r="N2550" s="4" t="s">
        <v>177</v>
      </c>
      <c r="O2550" s="55" t="s">
        <v>178</v>
      </c>
    </row>
    <row r="2551" spans="2:15">
      <c r="B2551" s="20">
        <v>45313</v>
      </c>
      <c r="C2551" s="59">
        <v>50272278</v>
      </c>
      <c r="D2551" s="55" t="s">
        <v>21</v>
      </c>
      <c r="E2551" s="67">
        <v>500</v>
      </c>
      <c r="G2551" s="102">
        <v>5500</v>
      </c>
      <c r="H2551" s="56" t="s">
        <v>92</v>
      </c>
      <c r="K2551" s="56">
        <v>727</v>
      </c>
      <c r="L2551" s="55" t="s">
        <v>176</v>
      </c>
      <c r="M2551" s="55" t="s">
        <v>2824</v>
      </c>
      <c r="N2551" s="4" t="s">
        <v>177</v>
      </c>
      <c r="O2551" s="55" t="s">
        <v>178</v>
      </c>
    </row>
    <row r="2552" spans="2:15">
      <c r="B2552" s="20">
        <v>45313</v>
      </c>
      <c r="C2552" s="59">
        <v>50145028</v>
      </c>
      <c r="D2552" s="55" t="s">
        <v>23</v>
      </c>
      <c r="E2552" s="67">
        <v>192</v>
      </c>
      <c r="G2552" s="102">
        <v>576</v>
      </c>
      <c r="H2552" s="56" t="s">
        <v>92</v>
      </c>
      <c r="K2552" s="56">
        <v>728</v>
      </c>
      <c r="L2552" s="55" t="s">
        <v>176</v>
      </c>
      <c r="M2552" s="55" t="s">
        <v>2824</v>
      </c>
      <c r="N2552" s="4" t="s">
        <v>177</v>
      </c>
      <c r="O2552" s="55" t="s">
        <v>178</v>
      </c>
    </row>
    <row r="2553" spans="2:15">
      <c r="B2553" s="20">
        <v>45313</v>
      </c>
      <c r="C2553" s="59">
        <v>50272278</v>
      </c>
      <c r="D2553" s="55" t="s">
        <v>21</v>
      </c>
      <c r="E2553" s="67">
        <v>500</v>
      </c>
      <c r="G2553" s="102">
        <v>2500</v>
      </c>
      <c r="H2553" s="56" t="s">
        <v>92</v>
      </c>
      <c r="K2553" s="56">
        <v>728</v>
      </c>
      <c r="L2553" s="55" t="s">
        <v>176</v>
      </c>
      <c r="M2553" s="55" t="s">
        <v>2824</v>
      </c>
      <c r="N2553" s="4" t="s">
        <v>177</v>
      </c>
      <c r="O2553" s="55" t="s">
        <v>178</v>
      </c>
    </row>
    <row r="2554" spans="2:15">
      <c r="B2554" s="20">
        <v>45314</v>
      </c>
      <c r="C2554" s="59">
        <v>50142055</v>
      </c>
      <c r="D2554" s="55" t="s">
        <v>206</v>
      </c>
      <c r="E2554" s="67">
        <v>600</v>
      </c>
      <c r="G2554" s="102">
        <v>1800</v>
      </c>
      <c r="H2554" s="56" t="s">
        <v>82</v>
      </c>
      <c r="K2554" s="56">
        <v>729</v>
      </c>
      <c r="L2554" s="55" t="s">
        <v>176</v>
      </c>
      <c r="M2554" s="55" t="s">
        <v>2824</v>
      </c>
      <c r="N2554" s="4" t="s">
        <v>177</v>
      </c>
      <c r="O2554" s="55" t="s">
        <v>178</v>
      </c>
    </row>
    <row r="2555" spans="2:15">
      <c r="B2555" s="20">
        <v>45314</v>
      </c>
      <c r="C2555" s="59">
        <v>50272278</v>
      </c>
      <c r="D2555" s="55" t="s">
        <v>21</v>
      </c>
      <c r="E2555" s="67">
        <v>500</v>
      </c>
      <c r="G2555" s="102">
        <v>4000</v>
      </c>
      <c r="H2555" s="56" t="s">
        <v>92</v>
      </c>
      <c r="K2555" s="56">
        <v>729</v>
      </c>
      <c r="L2555" s="55" t="s">
        <v>176</v>
      </c>
      <c r="M2555" s="55" t="s">
        <v>2824</v>
      </c>
      <c r="N2555" s="4" t="s">
        <v>177</v>
      </c>
      <c r="O2555" s="55" t="s">
        <v>178</v>
      </c>
    </row>
    <row r="2556" spans="2:15">
      <c r="B2556" s="20">
        <v>45314</v>
      </c>
      <c r="C2556" s="59">
        <v>50142237</v>
      </c>
      <c r="D2556" s="55" t="s">
        <v>617</v>
      </c>
      <c r="E2556" s="67">
        <v>100</v>
      </c>
      <c r="G2556" s="102">
        <v>10000</v>
      </c>
      <c r="H2556" s="56" t="s">
        <v>92</v>
      </c>
      <c r="K2556" s="56">
        <v>729</v>
      </c>
      <c r="L2556" s="55" t="s">
        <v>176</v>
      </c>
      <c r="M2556" s="55" t="s">
        <v>2824</v>
      </c>
      <c r="N2556" s="4" t="s">
        <v>177</v>
      </c>
      <c r="O2556" s="55" t="s">
        <v>178</v>
      </c>
    </row>
    <row r="2557" spans="2:15">
      <c r="B2557" s="20">
        <v>45314</v>
      </c>
      <c r="C2557" s="59">
        <v>40011148</v>
      </c>
      <c r="D2557" s="55" t="s">
        <v>86</v>
      </c>
      <c r="E2557" s="67">
        <v>450</v>
      </c>
      <c r="G2557" s="102">
        <v>1800</v>
      </c>
      <c r="H2557" s="56" t="s">
        <v>80</v>
      </c>
      <c r="K2557" s="56">
        <v>729</v>
      </c>
      <c r="L2557" s="55" t="s">
        <v>176</v>
      </c>
      <c r="M2557" s="55" t="s">
        <v>2824</v>
      </c>
      <c r="N2557" s="4" t="s">
        <v>177</v>
      </c>
      <c r="O2557" s="55" t="s">
        <v>178</v>
      </c>
    </row>
    <row r="2558" spans="2:15">
      <c r="B2558" s="20">
        <v>45314</v>
      </c>
      <c r="C2558" s="59">
        <v>40011661</v>
      </c>
      <c r="D2558" s="55" t="s">
        <v>608</v>
      </c>
      <c r="E2558" s="67">
        <v>450</v>
      </c>
      <c r="G2558" s="102">
        <v>2110</v>
      </c>
      <c r="H2558" s="56" t="s">
        <v>80</v>
      </c>
      <c r="K2558" s="56">
        <v>729</v>
      </c>
      <c r="L2558" s="55" t="s">
        <v>176</v>
      </c>
      <c r="M2558" s="55" t="s">
        <v>2824</v>
      </c>
      <c r="N2558" s="4" t="s">
        <v>177</v>
      </c>
      <c r="O2558" s="55" t="s">
        <v>178</v>
      </c>
    </row>
    <row r="2559" spans="2:15">
      <c r="B2559" s="20">
        <v>45314</v>
      </c>
      <c r="C2559" s="59">
        <v>50804929</v>
      </c>
      <c r="D2559" s="55" t="s">
        <v>856</v>
      </c>
      <c r="E2559" s="67">
        <v>504000</v>
      </c>
      <c r="G2559" s="102">
        <v>1008000</v>
      </c>
      <c r="H2559" s="56" t="s">
        <v>92</v>
      </c>
      <c r="K2559" s="56">
        <v>729</v>
      </c>
      <c r="L2559" s="55" t="s">
        <v>176</v>
      </c>
      <c r="M2559" s="55" t="s">
        <v>2824</v>
      </c>
      <c r="N2559" s="4" t="s">
        <v>177</v>
      </c>
      <c r="O2559" s="55" t="s">
        <v>178</v>
      </c>
    </row>
    <row r="2560" spans="2:15">
      <c r="B2560" s="20">
        <v>45314</v>
      </c>
      <c r="C2560" s="59">
        <v>50144376</v>
      </c>
      <c r="D2560" s="55" t="s">
        <v>19</v>
      </c>
      <c r="E2560" s="67">
        <v>500</v>
      </c>
      <c r="G2560" s="102">
        <v>5500</v>
      </c>
      <c r="H2560" s="56" t="s">
        <v>92</v>
      </c>
      <c r="K2560" s="56">
        <v>730</v>
      </c>
      <c r="L2560" s="55" t="s">
        <v>176</v>
      </c>
      <c r="M2560" s="55" t="s">
        <v>2824</v>
      </c>
      <c r="N2560" s="4" t="s">
        <v>177</v>
      </c>
      <c r="O2560" s="55" t="s">
        <v>178</v>
      </c>
    </row>
    <row r="2561" spans="2:15">
      <c r="B2561" s="20">
        <v>45314</v>
      </c>
      <c r="C2561" s="59">
        <v>50272278</v>
      </c>
      <c r="D2561" s="55" t="s">
        <v>21</v>
      </c>
      <c r="E2561" s="67">
        <v>500</v>
      </c>
      <c r="G2561" s="102">
        <v>3630</v>
      </c>
      <c r="H2561" s="56" t="s">
        <v>92</v>
      </c>
      <c r="K2561" s="56">
        <v>730</v>
      </c>
      <c r="L2561" s="55" t="s">
        <v>176</v>
      </c>
      <c r="M2561" s="55" t="s">
        <v>2824</v>
      </c>
      <c r="N2561" s="4" t="s">
        <v>177</v>
      </c>
      <c r="O2561" s="55" t="s">
        <v>178</v>
      </c>
    </row>
    <row r="2562" spans="2:15">
      <c r="B2562" s="20">
        <v>45315</v>
      </c>
      <c r="C2562" s="59">
        <v>50143646</v>
      </c>
      <c r="D2562" s="55" t="s">
        <v>191</v>
      </c>
      <c r="E2562" s="67">
        <v>480</v>
      </c>
      <c r="G2562" s="102">
        <v>10560</v>
      </c>
      <c r="H2562" s="56" t="s">
        <v>82</v>
      </c>
      <c r="K2562" s="56">
        <v>731</v>
      </c>
      <c r="L2562" s="55" t="s">
        <v>176</v>
      </c>
      <c r="M2562" s="55" t="s">
        <v>2824</v>
      </c>
      <c r="N2562" s="4" t="s">
        <v>177</v>
      </c>
      <c r="O2562" s="55" t="s">
        <v>178</v>
      </c>
    </row>
    <row r="2563" spans="2:15">
      <c r="B2563" s="20">
        <v>45315</v>
      </c>
      <c r="C2563" s="59">
        <v>50144376</v>
      </c>
      <c r="D2563" s="55" t="s">
        <v>19</v>
      </c>
      <c r="E2563" s="67">
        <v>500</v>
      </c>
      <c r="G2563" s="102">
        <v>5500</v>
      </c>
      <c r="H2563" s="56" t="s">
        <v>92</v>
      </c>
      <c r="K2563" s="56">
        <v>732</v>
      </c>
      <c r="L2563" s="55" t="s">
        <v>176</v>
      </c>
      <c r="M2563" s="55" t="s">
        <v>2824</v>
      </c>
      <c r="N2563" s="4" t="s">
        <v>177</v>
      </c>
      <c r="O2563" s="55" t="s">
        <v>178</v>
      </c>
    </row>
    <row r="2564" spans="2:15">
      <c r="B2564" s="20">
        <v>45315</v>
      </c>
      <c r="C2564" s="59">
        <v>50272278</v>
      </c>
      <c r="D2564" s="55" t="s">
        <v>21</v>
      </c>
      <c r="E2564" s="67">
        <v>500</v>
      </c>
      <c r="G2564" s="102">
        <v>5500</v>
      </c>
      <c r="H2564" s="56" t="s">
        <v>92</v>
      </c>
      <c r="K2564" s="56">
        <v>732</v>
      </c>
      <c r="L2564" s="55" t="s">
        <v>176</v>
      </c>
      <c r="M2564" s="55" t="s">
        <v>2824</v>
      </c>
      <c r="N2564" s="4" t="s">
        <v>177</v>
      </c>
      <c r="O2564" s="55" t="s">
        <v>178</v>
      </c>
    </row>
    <row r="2565" spans="2:15">
      <c r="B2565" s="20">
        <v>45316</v>
      </c>
      <c r="C2565" s="59">
        <v>50010080</v>
      </c>
      <c r="D2565" s="55" t="s">
        <v>354</v>
      </c>
      <c r="E2565" s="67">
        <v>100</v>
      </c>
      <c r="F2565" s="67">
        <v>2</v>
      </c>
      <c r="G2565" s="102">
        <v>2000</v>
      </c>
      <c r="H2565" s="56" t="s">
        <v>82</v>
      </c>
      <c r="K2565" s="56">
        <v>733</v>
      </c>
      <c r="L2565" s="55" t="s">
        <v>176</v>
      </c>
      <c r="M2565" s="55" t="s">
        <v>2824</v>
      </c>
      <c r="N2565" s="4" t="s">
        <v>177</v>
      </c>
      <c r="O2565" s="55" t="s">
        <v>178</v>
      </c>
    </row>
    <row r="2566" spans="2:15">
      <c r="B2566" s="20">
        <v>45316</v>
      </c>
      <c r="C2566" s="59">
        <v>50142262</v>
      </c>
      <c r="D2566" s="55" t="s">
        <v>779</v>
      </c>
      <c r="E2566" s="67">
        <v>506</v>
      </c>
      <c r="F2566" s="67">
        <v>1</v>
      </c>
      <c r="G2566" s="102">
        <v>506</v>
      </c>
      <c r="H2566" s="56" t="s">
        <v>82</v>
      </c>
      <c r="K2566" s="56">
        <v>733</v>
      </c>
      <c r="L2566" s="55" t="s">
        <v>176</v>
      </c>
      <c r="M2566" s="55" t="s">
        <v>2824</v>
      </c>
      <c r="N2566" s="4" t="s">
        <v>177</v>
      </c>
      <c r="O2566" s="55" t="s">
        <v>178</v>
      </c>
    </row>
    <row r="2567" spans="2:15">
      <c r="B2567" s="20">
        <v>45316</v>
      </c>
      <c r="C2567" s="59">
        <v>50143893</v>
      </c>
      <c r="D2567" s="55" t="s">
        <v>24</v>
      </c>
      <c r="E2567" s="67">
        <v>990</v>
      </c>
      <c r="F2567" s="67">
        <v>1</v>
      </c>
      <c r="G2567" s="102">
        <v>990</v>
      </c>
      <c r="H2567" s="56" t="s">
        <v>92</v>
      </c>
      <c r="K2567" s="56">
        <v>733</v>
      </c>
      <c r="L2567" s="55" t="s">
        <v>176</v>
      </c>
      <c r="M2567" s="55" t="s">
        <v>2824</v>
      </c>
      <c r="N2567" s="4" t="s">
        <v>177</v>
      </c>
      <c r="O2567" s="55" t="s">
        <v>178</v>
      </c>
    </row>
    <row r="2568" spans="2:15">
      <c r="B2568" s="20">
        <v>45316</v>
      </c>
      <c r="C2568" s="59">
        <v>50143875</v>
      </c>
      <c r="D2568" s="55" t="s">
        <v>713</v>
      </c>
      <c r="E2568" s="67">
        <v>5600</v>
      </c>
      <c r="F2568" s="67">
        <v>1</v>
      </c>
      <c r="G2568" s="102">
        <v>5600</v>
      </c>
      <c r="H2568" s="56" t="s">
        <v>92</v>
      </c>
      <c r="K2568" s="56">
        <v>733</v>
      </c>
      <c r="L2568" s="55" t="s">
        <v>176</v>
      </c>
      <c r="M2568" s="55" t="s">
        <v>2824</v>
      </c>
      <c r="N2568" s="4" t="s">
        <v>177</v>
      </c>
      <c r="O2568" s="55" t="s">
        <v>178</v>
      </c>
    </row>
    <row r="2569" spans="2:15">
      <c r="B2569" s="20">
        <v>45316</v>
      </c>
      <c r="C2569" s="59">
        <v>40011149</v>
      </c>
      <c r="D2569" s="55" t="s">
        <v>37</v>
      </c>
      <c r="E2569" s="67">
        <v>360</v>
      </c>
      <c r="F2569" s="67">
        <v>1</v>
      </c>
      <c r="G2569" s="102">
        <v>360</v>
      </c>
      <c r="H2569" s="56" t="s">
        <v>80</v>
      </c>
      <c r="K2569" s="56">
        <v>733</v>
      </c>
      <c r="L2569" s="55" t="s">
        <v>176</v>
      </c>
      <c r="M2569" s="55" t="s">
        <v>2824</v>
      </c>
      <c r="N2569" s="4" t="s">
        <v>177</v>
      </c>
      <c r="O2569" s="55" t="s">
        <v>178</v>
      </c>
    </row>
    <row r="2570" spans="2:15">
      <c r="B2570" s="20">
        <v>45316</v>
      </c>
      <c r="C2570" s="59">
        <v>50337814</v>
      </c>
      <c r="D2570" s="55" t="s">
        <v>669</v>
      </c>
      <c r="E2570" s="67">
        <v>264</v>
      </c>
      <c r="F2570" s="67">
        <v>1</v>
      </c>
      <c r="G2570" s="102">
        <v>264</v>
      </c>
      <c r="H2570" s="56" t="s">
        <v>80</v>
      </c>
      <c r="K2570" s="56">
        <v>733</v>
      </c>
      <c r="L2570" s="55" t="s">
        <v>176</v>
      </c>
      <c r="M2570" s="55" t="s">
        <v>2824</v>
      </c>
      <c r="N2570" s="4" t="s">
        <v>177</v>
      </c>
      <c r="O2570" s="55" t="s">
        <v>178</v>
      </c>
    </row>
    <row r="2571" spans="2:15">
      <c r="B2571" s="20">
        <v>45316</v>
      </c>
      <c r="C2571" s="59">
        <v>50470190</v>
      </c>
      <c r="D2571" s="55" t="s">
        <v>12</v>
      </c>
      <c r="E2571" s="67">
        <v>289800</v>
      </c>
      <c r="F2571" s="67">
        <v>5</v>
      </c>
      <c r="G2571" s="102">
        <v>1449000</v>
      </c>
      <c r="H2571" s="56" t="s">
        <v>92</v>
      </c>
      <c r="K2571" s="56">
        <v>733</v>
      </c>
      <c r="L2571" s="55" t="s">
        <v>176</v>
      </c>
      <c r="M2571" s="55" t="s">
        <v>2824</v>
      </c>
      <c r="N2571" s="4" t="s">
        <v>177</v>
      </c>
      <c r="O2571" s="55" t="s">
        <v>178</v>
      </c>
    </row>
    <row r="2572" spans="2:15">
      <c r="B2572" s="20">
        <v>45316</v>
      </c>
      <c r="C2572" s="59">
        <v>50498271</v>
      </c>
      <c r="D2572" s="55" t="s">
        <v>1025</v>
      </c>
      <c r="E2572" s="67">
        <v>4568</v>
      </c>
      <c r="F2572" s="67">
        <v>8</v>
      </c>
      <c r="G2572" s="102">
        <v>3602.5</v>
      </c>
      <c r="H2572" s="56" t="s">
        <v>82</v>
      </c>
      <c r="K2572" s="56">
        <v>733</v>
      </c>
      <c r="L2572" s="55" t="s">
        <v>176</v>
      </c>
      <c r="M2572" s="55" t="s">
        <v>2824</v>
      </c>
      <c r="N2572" s="4" t="s">
        <v>177</v>
      </c>
      <c r="O2572" s="55" t="s">
        <v>178</v>
      </c>
    </row>
    <row r="2573" spans="2:15">
      <c r="B2573" s="20">
        <v>45316</v>
      </c>
      <c r="C2573" s="59">
        <v>50142524</v>
      </c>
      <c r="D2573" s="55" t="s">
        <v>1155</v>
      </c>
      <c r="E2573" s="67">
        <v>2500</v>
      </c>
      <c r="F2573" s="67">
        <v>1</v>
      </c>
      <c r="G2573" s="102">
        <v>2500</v>
      </c>
      <c r="H2573" s="56" t="s">
        <v>92</v>
      </c>
      <c r="K2573" s="56">
        <v>733</v>
      </c>
      <c r="L2573" s="55" t="s">
        <v>176</v>
      </c>
      <c r="M2573" s="55" t="s">
        <v>2824</v>
      </c>
      <c r="N2573" s="4" t="s">
        <v>177</v>
      </c>
      <c r="O2573" s="55" t="s">
        <v>178</v>
      </c>
    </row>
    <row r="2574" spans="2:15">
      <c r="B2574" s="20">
        <v>45316</v>
      </c>
      <c r="C2574" s="59">
        <v>50142520</v>
      </c>
      <c r="D2574" s="55" t="s">
        <v>1156</v>
      </c>
      <c r="E2574" s="67">
        <v>1000</v>
      </c>
      <c r="F2574" s="67">
        <v>1</v>
      </c>
      <c r="G2574" s="102">
        <v>1000</v>
      </c>
      <c r="H2574" s="56" t="s">
        <v>92</v>
      </c>
      <c r="K2574" s="56">
        <v>733</v>
      </c>
      <c r="L2574" s="55" t="s">
        <v>176</v>
      </c>
      <c r="M2574" s="55" t="s">
        <v>2824</v>
      </c>
      <c r="N2574" s="4" t="s">
        <v>177</v>
      </c>
      <c r="O2574" s="55" t="s">
        <v>178</v>
      </c>
    </row>
    <row r="2575" spans="2:15">
      <c r="B2575" s="20">
        <v>45316</v>
      </c>
      <c r="C2575" s="59">
        <v>50142523</v>
      </c>
      <c r="D2575" s="55" t="s">
        <v>1157</v>
      </c>
      <c r="E2575" s="67">
        <v>2000</v>
      </c>
      <c r="F2575" s="67">
        <v>1</v>
      </c>
      <c r="G2575" s="102">
        <v>2000</v>
      </c>
      <c r="H2575" s="56" t="s">
        <v>92</v>
      </c>
      <c r="K2575" s="56">
        <v>733</v>
      </c>
      <c r="L2575" s="55" t="s">
        <v>176</v>
      </c>
      <c r="M2575" s="55" t="s">
        <v>2824</v>
      </c>
      <c r="N2575" s="4" t="s">
        <v>177</v>
      </c>
      <c r="O2575" s="55" t="s">
        <v>178</v>
      </c>
    </row>
    <row r="2576" spans="2:15">
      <c r="B2576" s="20">
        <v>45316</v>
      </c>
      <c r="C2576" s="59">
        <v>50144376</v>
      </c>
      <c r="D2576" s="55" t="s">
        <v>19</v>
      </c>
      <c r="E2576" s="67">
        <v>500</v>
      </c>
      <c r="F2576" s="67">
        <v>7</v>
      </c>
      <c r="G2576" s="102">
        <v>3500</v>
      </c>
      <c r="H2576" s="56" t="s">
        <v>92</v>
      </c>
      <c r="K2576" s="56">
        <v>734</v>
      </c>
      <c r="L2576" s="55" t="s">
        <v>176</v>
      </c>
      <c r="M2576" s="55" t="s">
        <v>2824</v>
      </c>
      <c r="N2576" s="4" t="s">
        <v>177</v>
      </c>
      <c r="O2576" s="55" t="s">
        <v>178</v>
      </c>
    </row>
    <row r="2577" spans="2:15">
      <c r="B2577" s="20">
        <v>45316</v>
      </c>
      <c r="C2577" s="59">
        <v>50272278</v>
      </c>
      <c r="D2577" s="55" t="s">
        <v>21</v>
      </c>
      <c r="E2577" s="67">
        <v>500</v>
      </c>
      <c r="F2577" s="67">
        <v>7</v>
      </c>
      <c r="G2577" s="102">
        <v>3500</v>
      </c>
      <c r="H2577" s="56" t="s">
        <v>92</v>
      </c>
      <c r="K2577" s="56">
        <v>734</v>
      </c>
      <c r="L2577" s="55" t="s">
        <v>176</v>
      </c>
      <c r="M2577" s="55" t="s">
        <v>2824</v>
      </c>
      <c r="N2577" s="4" t="s">
        <v>177</v>
      </c>
      <c r="O2577" s="55" t="s">
        <v>178</v>
      </c>
    </row>
    <row r="2578" spans="2:15">
      <c r="B2578" s="20">
        <v>45316</v>
      </c>
      <c r="C2578" s="59">
        <v>50470190</v>
      </c>
      <c r="D2578" s="55" t="s">
        <v>12</v>
      </c>
      <c r="E2578" s="67">
        <v>289800</v>
      </c>
      <c r="F2578" s="67">
        <v>6</v>
      </c>
      <c r="G2578" s="102">
        <v>1738800</v>
      </c>
      <c r="H2578" s="56" t="s">
        <v>92</v>
      </c>
      <c r="K2578" s="56">
        <v>734</v>
      </c>
      <c r="L2578" s="55" t="s">
        <v>176</v>
      </c>
      <c r="M2578" s="55" t="s">
        <v>2824</v>
      </c>
      <c r="N2578" s="4" t="s">
        <v>177</v>
      </c>
      <c r="O2578" s="55" t="s">
        <v>178</v>
      </c>
    </row>
    <row r="2579" spans="2:15">
      <c r="B2579" s="20">
        <v>45317</v>
      </c>
      <c r="C2579" s="59">
        <v>40009546</v>
      </c>
      <c r="D2579" s="55" t="s">
        <v>174</v>
      </c>
      <c r="E2579" s="67">
        <v>756</v>
      </c>
      <c r="G2579" s="102">
        <v>1512</v>
      </c>
      <c r="H2579" s="56" t="s">
        <v>80</v>
      </c>
      <c r="K2579" s="56">
        <v>735</v>
      </c>
      <c r="L2579" s="55" t="s">
        <v>176</v>
      </c>
      <c r="M2579" s="55" t="s">
        <v>2824</v>
      </c>
      <c r="N2579" s="4" t="s">
        <v>177</v>
      </c>
      <c r="O2579" s="55" t="s">
        <v>178</v>
      </c>
    </row>
    <row r="2580" spans="2:15">
      <c r="B2580" s="20">
        <v>45317</v>
      </c>
      <c r="C2580" s="59">
        <v>50272278</v>
      </c>
      <c r="D2580" s="55" t="s">
        <v>21</v>
      </c>
      <c r="E2580" s="67">
        <v>500</v>
      </c>
      <c r="G2580" s="102">
        <v>4000</v>
      </c>
      <c r="H2580" s="56" t="s">
        <v>92</v>
      </c>
      <c r="K2580" s="56">
        <v>735</v>
      </c>
      <c r="L2580" s="55" t="s">
        <v>176</v>
      </c>
      <c r="M2580" s="55" t="s">
        <v>2824</v>
      </c>
      <c r="N2580" s="4" t="s">
        <v>177</v>
      </c>
      <c r="O2580" s="55" t="s">
        <v>178</v>
      </c>
    </row>
    <row r="2581" spans="2:15">
      <c r="B2581" s="20">
        <v>45317</v>
      </c>
      <c r="C2581" s="59">
        <v>50392045</v>
      </c>
      <c r="D2581" s="55" t="s">
        <v>707</v>
      </c>
      <c r="E2581" s="67">
        <v>30</v>
      </c>
      <c r="G2581" s="102">
        <v>30</v>
      </c>
      <c r="H2581" s="56" t="s">
        <v>505</v>
      </c>
      <c r="K2581" s="56">
        <v>735</v>
      </c>
      <c r="L2581" s="55" t="s">
        <v>176</v>
      </c>
      <c r="M2581" s="55" t="s">
        <v>2824</v>
      </c>
      <c r="N2581" s="4" t="s">
        <v>177</v>
      </c>
      <c r="O2581" s="55" t="s">
        <v>178</v>
      </c>
    </row>
    <row r="2582" spans="2:15">
      <c r="B2582" s="20">
        <v>45317</v>
      </c>
      <c r="C2582" s="59">
        <v>50145187</v>
      </c>
      <c r="D2582" s="55" t="s">
        <v>465</v>
      </c>
      <c r="E2582" s="67">
        <v>264</v>
      </c>
      <c r="G2582" s="102">
        <v>528000</v>
      </c>
      <c r="H2582" s="56" t="s">
        <v>92</v>
      </c>
      <c r="K2582" s="56">
        <v>735</v>
      </c>
      <c r="L2582" s="55" t="s">
        <v>176</v>
      </c>
      <c r="M2582" s="55" t="s">
        <v>2824</v>
      </c>
      <c r="N2582" s="4" t="s">
        <v>177</v>
      </c>
      <c r="O2582" s="55" t="s">
        <v>178</v>
      </c>
    </row>
    <row r="2583" spans="2:15">
      <c r="B2583" s="20">
        <v>45317</v>
      </c>
      <c r="C2583" s="59">
        <v>50144200</v>
      </c>
      <c r="D2583" s="55" t="s">
        <v>184</v>
      </c>
      <c r="E2583" s="67">
        <v>264</v>
      </c>
      <c r="G2583" s="102">
        <v>1232000</v>
      </c>
      <c r="H2583" s="56" t="s">
        <v>92</v>
      </c>
      <c r="K2583" s="56">
        <v>735</v>
      </c>
      <c r="L2583" s="55" t="s">
        <v>176</v>
      </c>
      <c r="M2583" s="55" t="s">
        <v>2824</v>
      </c>
      <c r="N2583" s="4" t="s">
        <v>177</v>
      </c>
      <c r="O2583" s="55" t="s">
        <v>178</v>
      </c>
    </row>
    <row r="2584" spans="2:15">
      <c r="B2584" s="20">
        <v>45317</v>
      </c>
      <c r="C2584" s="59">
        <v>50507916</v>
      </c>
      <c r="D2584" s="55" t="s">
        <v>406</v>
      </c>
      <c r="E2584" s="67">
        <v>264</v>
      </c>
      <c r="G2584" s="102">
        <v>528000</v>
      </c>
      <c r="H2584" s="56" t="s">
        <v>92</v>
      </c>
      <c r="K2584" s="56">
        <v>735</v>
      </c>
      <c r="L2584" s="55" t="s">
        <v>176</v>
      </c>
      <c r="M2584" s="55" t="s">
        <v>2824</v>
      </c>
      <c r="N2584" s="4" t="s">
        <v>177</v>
      </c>
      <c r="O2584" s="55" t="s">
        <v>178</v>
      </c>
    </row>
    <row r="2585" spans="2:15">
      <c r="B2585" s="20">
        <v>45317</v>
      </c>
      <c r="C2585" s="59">
        <v>50804929</v>
      </c>
      <c r="D2585" s="55" t="s">
        <v>856</v>
      </c>
      <c r="E2585" s="67">
        <v>504000</v>
      </c>
      <c r="G2585" s="102">
        <v>1512000</v>
      </c>
      <c r="H2585" s="56" t="s">
        <v>92</v>
      </c>
      <c r="K2585" s="56">
        <v>735</v>
      </c>
      <c r="L2585" s="55" t="s">
        <v>176</v>
      </c>
      <c r="M2585" s="55" t="s">
        <v>2824</v>
      </c>
      <c r="N2585" s="4" t="s">
        <v>177</v>
      </c>
      <c r="O2585" s="55" t="s">
        <v>178</v>
      </c>
    </row>
    <row r="2586" spans="2:15">
      <c r="B2586" s="20">
        <v>45317</v>
      </c>
      <c r="C2586" s="59">
        <v>50144376</v>
      </c>
      <c r="D2586" s="55" t="s">
        <v>19</v>
      </c>
      <c r="E2586" s="67">
        <v>500</v>
      </c>
      <c r="F2586" s="67">
        <v>22</v>
      </c>
      <c r="G2586" s="102">
        <v>11000</v>
      </c>
      <c r="H2586" s="56" t="s">
        <v>92</v>
      </c>
      <c r="K2586" s="56">
        <v>736</v>
      </c>
      <c r="L2586" s="55" t="s">
        <v>176</v>
      </c>
      <c r="M2586" s="55" t="s">
        <v>2824</v>
      </c>
      <c r="N2586" s="4" t="s">
        <v>177</v>
      </c>
      <c r="O2586" s="55" t="s">
        <v>178</v>
      </c>
    </row>
    <row r="2587" spans="2:15">
      <c r="B2587" s="20">
        <v>45320</v>
      </c>
      <c r="C2587" s="59">
        <v>50470190</v>
      </c>
      <c r="D2587" s="55" t="s">
        <v>12</v>
      </c>
      <c r="E2587" s="67">
        <v>289800</v>
      </c>
      <c r="G2587" s="102">
        <v>5216400</v>
      </c>
      <c r="H2587" s="56" t="s">
        <v>92</v>
      </c>
      <c r="K2587" s="56">
        <v>737</v>
      </c>
      <c r="L2587" s="55" t="s">
        <v>176</v>
      </c>
      <c r="M2587" s="55" t="s">
        <v>2824</v>
      </c>
      <c r="N2587" s="4" t="s">
        <v>177</v>
      </c>
      <c r="O2587" s="55" t="s">
        <v>178</v>
      </c>
    </row>
    <row r="2588" spans="2:15">
      <c r="B2588" s="20">
        <v>45320</v>
      </c>
      <c r="C2588" s="59">
        <v>40009544</v>
      </c>
      <c r="D2588" s="55" t="s">
        <v>179</v>
      </c>
      <c r="E2588" s="67">
        <v>2940</v>
      </c>
      <c r="G2588" s="102">
        <v>5880</v>
      </c>
      <c r="H2588" s="56" t="s">
        <v>80</v>
      </c>
      <c r="K2588" s="56">
        <v>738</v>
      </c>
      <c r="L2588" s="55" t="s">
        <v>176</v>
      </c>
      <c r="M2588" s="55" t="s">
        <v>2824</v>
      </c>
      <c r="N2588" s="4" t="s">
        <v>177</v>
      </c>
      <c r="O2588" s="55" t="s">
        <v>178</v>
      </c>
    </row>
    <row r="2589" spans="2:15">
      <c r="B2589" s="20">
        <v>45320</v>
      </c>
      <c r="C2589" s="59">
        <v>40010087</v>
      </c>
      <c r="D2589" s="55" t="s">
        <v>387</v>
      </c>
      <c r="E2589" s="67">
        <v>864</v>
      </c>
      <c r="G2589" s="102">
        <v>1728</v>
      </c>
      <c r="H2589" s="56" t="s">
        <v>80</v>
      </c>
      <c r="K2589" s="56">
        <v>738</v>
      </c>
      <c r="L2589" s="55" t="s">
        <v>176</v>
      </c>
      <c r="M2589" s="55" t="s">
        <v>2824</v>
      </c>
      <c r="N2589" s="4" t="s">
        <v>177</v>
      </c>
      <c r="O2589" s="55" t="s">
        <v>178</v>
      </c>
    </row>
    <row r="2590" spans="2:15">
      <c r="B2590" s="20">
        <v>45320</v>
      </c>
      <c r="C2590" s="59">
        <v>50145028</v>
      </c>
      <c r="D2590" s="55" t="s">
        <v>23</v>
      </c>
      <c r="E2590" s="67">
        <v>192</v>
      </c>
      <c r="G2590" s="102">
        <v>192</v>
      </c>
      <c r="H2590" s="56" t="s">
        <v>92</v>
      </c>
      <c r="K2590" s="56">
        <v>738</v>
      </c>
      <c r="L2590" s="55" t="s">
        <v>176</v>
      </c>
      <c r="M2590" s="55" t="s">
        <v>2824</v>
      </c>
      <c r="N2590" s="4" t="s">
        <v>177</v>
      </c>
      <c r="O2590" s="55" t="s">
        <v>178</v>
      </c>
    </row>
    <row r="2591" spans="2:15">
      <c r="B2591" s="20">
        <v>45320</v>
      </c>
      <c r="C2591" s="59">
        <v>50272278</v>
      </c>
      <c r="D2591" s="55" t="s">
        <v>21</v>
      </c>
      <c r="E2591" s="67">
        <v>500</v>
      </c>
      <c r="G2591" s="102">
        <v>3500</v>
      </c>
      <c r="H2591" s="56" t="s">
        <v>92</v>
      </c>
      <c r="K2591" s="56">
        <v>738</v>
      </c>
      <c r="L2591" s="55" t="s">
        <v>176</v>
      </c>
      <c r="M2591" s="55" t="s">
        <v>2824</v>
      </c>
      <c r="N2591" s="4" t="s">
        <v>177</v>
      </c>
      <c r="O2591" s="55" t="s">
        <v>178</v>
      </c>
    </row>
    <row r="2592" spans="2:15">
      <c r="B2592" s="20">
        <v>45320</v>
      </c>
      <c r="C2592" s="59">
        <v>40011080</v>
      </c>
      <c r="D2592" s="55" t="s">
        <v>420</v>
      </c>
      <c r="E2592" s="67">
        <v>450</v>
      </c>
      <c r="G2592" s="102">
        <v>1920</v>
      </c>
      <c r="H2592" s="56" t="s">
        <v>80</v>
      </c>
      <c r="K2592" s="56">
        <v>738</v>
      </c>
      <c r="L2592" s="55" t="s">
        <v>176</v>
      </c>
      <c r="M2592" s="55" t="s">
        <v>2824</v>
      </c>
      <c r="N2592" s="4" t="s">
        <v>177</v>
      </c>
      <c r="O2592" s="55" t="s">
        <v>178</v>
      </c>
    </row>
    <row r="2593" spans="2:15">
      <c r="B2593" s="20">
        <v>45320</v>
      </c>
      <c r="C2593" s="59">
        <v>50507916</v>
      </c>
      <c r="D2593" s="55" t="s">
        <v>406</v>
      </c>
      <c r="E2593" s="67">
        <v>264000</v>
      </c>
      <c r="G2593" s="102">
        <v>1320000</v>
      </c>
      <c r="H2593" s="56" t="s">
        <v>92</v>
      </c>
      <c r="K2593" s="56">
        <v>738</v>
      </c>
      <c r="L2593" s="55" t="s">
        <v>176</v>
      </c>
      <c r="M2593" s="55" t="s">
        <v>2824</v>
      </c>
      <c r="N2593" s="4" t="s">
        <v>177</v>
      </c>
      <c r="O2593" s="55" t="s">
        <v>178</v>
      </c>
    </row>
    <row r="2594" spans="2:15">
      <c r="B2594" s="20">
        <v>45321</v>
      </c>
      <c r="C2594" s="59">
        <v>50272278</v>
      </c>
      <c r="D2594" s="55" t="s">
        <v>21</v>
      </c>
      <c r="E2594" s="67">
        <v>500</v>
      </c>
      <c r="G2594" s="102">
        <v>11000</v>
      </c>
      <c r="H2594" s="56" t="s">
        <v>92</v>
      </c>
      <c r="K2594" s="56">
        <v>739</v>
      </c>
      <c r="L2594" s="55" t="s">
        <v>176</v>
      </c>
      <c r="M2594" s="55" t="s">
        <v>2824</v>
      </c>
      <c r="N2594" s="4" t="s">
        <v>177</v>
      </c>
      <c r="O2594" s="55" t="s">
        <v>178</v>
      </c>
    </row>
    <row r="2595" spans="2:15">
      <c r="B2595" s="20">
        <v>45321</v>
      </c>
      <c r="C2595" s="59">
        <v>50143646</v>
      </c>
      <c r="D2595" s="55" t="s">
        <v>191</v>
      </c>
      <c r="E2595" s="67">
        <v>480</v>
      </c>
      <c r="G2595" s="102">
        <v>8640</v>
      </c>
      <c r="H2595" s="56" t="s">
        <v>82</v>
      </c>
      <c r="K2595" s="56">
        <v>740</v>
      </c>
      <c r="L2595" s="55" t="s">
        <v>176</v>
      </c>
      <c r="M2595" s="55" t="s">
        <v>2824</v>
      </c>
      <c r="N2595" s="4" t="s">
        <v>177</v>
      </c>
      <c r="O2595" s="55" t="s">
        <v>178</v>
      </c>
    </row>
    <row r="2596" spans="2:15">
      <c r="B2596" s="20">
        <v>45321</v>
      </c>
      <c r="C2596" s="59">
        <v>50498271</v>
      </c>
      <c r="D2596" s="55" t="s">
        <v>1025</v>
      </c>
      <c r="E2596" s="67">
        <v>458</v>
      </c>
      <c r="G2596" s="102">
        <v>2063.5</v>
      </c>
      <c r="H2596" s="56" t="s">
        <v>82</v>
      </c>
      <c r="K2596" s="56">
        <v>740</v>
      </c>
      <c r="L2596" s="55" t="s">
        <v>176</v>
      </c>
      <c r="M2596" s="55" t="s">
        <v>2824</v>
      </c>
      <c r="N2596" s="4" t="s">
        <v>177</v>
      </c>
      <c r="O2596" s="55" t="s">
        <v>178</v>
      </c>
    </row>
    <row r="2597" spans="2:15">
      <c r="B2597" s="20">
        <v>45322</v>
      </c>
      <c r="C2597" s="59">
        <v>50470190</v>
      </c>
      <c r="D2597" s="55" t="s">
        <v>12</v>
      </c>
      <c r="E2597" s="67">
        <v>289800</v>
      </c>
      <c r="G2597" s="102">
        <v>5216400</v>
      </c>
      <c r="H2597" s="56" t="s">
        <v>92</v>
      </c>
      <c r="K2597" s="56">
        <v>741</v>
      </c>
      <c r="L2597" s="55" t="s">
        <v>176</v>
      </c>
      <c r="M2597" s="55" t="s">
        <v>2824</v>
      </c>
      <c r="N2597" s="4" t="s">
        <v>177</v>
      </c>
      <c r="O2597" s="55" t="s">
        <v>178</v>
      </c>
    </row>
    <row r="2598" spans="2:15">
      <c r="B2598" s="20">
        <v>45322</v>
      </c>
      <c r="C2598" s="59">
        <v>50010080</v>
      </c>
      <c r="D2598" s="55" t="s">
        <v>354</v>
      </c>
      <c r="E2598" s="67">
        <v>1000</v>
      </c>
      <c r="G2598" s="102">
        <v>5000</v>
      </c>
      <c r="H2598" s="56" t="s">
        <v>82</v>
      </c>
      <c r="K2598" s="56">
        <v>742</v>
      </c>
      <c r="L2598" s="55" t="s">
        <v>176</v>
      </c>
      <c r="M2598" s="55" t="s">
        <v>2824</v>
      </c>
      <c r="N2598" s="4" t="s">
        <v>177</v>
      </c>
      <c r="O2598" s="55" t="s">
        <v>178</v>
      </c>
    </row>
    <row r="2599" spans="2:15">
      <c r="B2599" s="20">
        <v>45322</v>
      </c>
      <c r="C2599" s="59">
        <v>50272278</v>
      </c>
      <c r="D2599" s="55" t="s">
        <v>21</v>
      </c>
      <c r="E2599" s="67">
        <v>500</v>
      </c>
      <c r="G2599" s="102">
        <v>4000</v>
      </c>
      <c r="H2599" s="56" t="s">
        <v>92</v>
      </c>
      <c r="K2599" s="56">
        <v>742</v>
      </c>
      <c r="L2599" s="55" t="s">
        <v>176</v>
      </c>
      <c r="M2599" s="55" t="s">
        <v>2824</v>
      </c>
      <c r="N2599" s="4" t="s">
        <v>177</v>
      </c>
      <c r="O2599" s="55" t="s">
        <v>178</v>
      </c>
    </row>
    <row r="2600" spans="2:15">
      <c r="B2600" s="20">
        <v>45322</v>
      </c>
      <c r="C2600" s="59">
        <v>50142327</v>
      </c>
      <c r="D2600" s="55" t="s">
        <v>256</v>
      </c>
      <c r="E2600" s="67">
        <v>681</v>
      </c>
      <c r="G2600" s="102">
        <v>2043</v>
      </c>
      <c r="H2600" s="56" t="s">
        <v>82</v>
      </c>
      <c r="K2600" s="56">
        <v>742</v>
      </c>
      <c r="L2600" s="55" t="s">
        <v>176</v>
      </c>
      <c r="M2600" s="55" t="s">
        <v>2824</v>
      </c>
      <c r="N2600" s="4" t="s">
        <v>177</v>
      </c>
      <c r="O2600" s="55" t="s">
        <v>178</v>
      </c>
    </row>
    <row r="2601" spans="2:15">
      <c r="B2601" s="20">
        <v>45322</v>
      </c>
      <c r="C2601" s="59">
        <v>50142334</v>
      </c>
      <c r="D2601" s="55" t="s">
        <v>257</v>
      </c>
      <c r="E2601" s="67">
        <v>681</v>
      </c>
      <c r="G2601" s="102">
        <v>2724</v>
      </c>
      <c r="H2601" s="56" t="s">
        <v>82</v>
      </c>
      <c r="K2601" s="56">
        <v>742</v>
      </c>
      <c r="L2601" s="55" t="s">
        <v>176</v>
      </c>
      <c r="M2601" s="55" t="s">
        <v>2824</v>
      </c>
      <c r="N2601" s="4" t="s">
        <v>177</v>
      </c>
      <c r="O2601" s="55" t="s">
        <v>178</v>
      </c>
    </row>
    <row r="2602" spans="2:15">
      <c r="B2602" s="20">
        <v>45322</v>
      </c>
      <c r="C2602" s="59">
        <v>50272278</v>
      </c>
      <c r="D2602" s="55" t="s">
        <v>21</v>
      </c>
      <c r="E2602" s="67">
        <v>500</v>
      </c>
      <c r="G2602" s="102">
        <v>1000</v>
      </c>
      <c r="H2602" s="56" t="s">
        <v>92</v>
      </c>
      <c r="K2602" s="56">
        <v>743</v>
      </c>
      <c r="L2602" s="55" t="s">
        <v>176</v>
      </c>
      <c r="M2602" s="55" t="s">
        <v>2824</v>
      </c>
      <c r="N2602" s="4" t="s">
        <v>177</v>
      </c>
      <c r="O2602" s="55" t="s">
        <v>178</v>
      </c>
    </row>
    <row r="2603" spans="2:15">
      <c r="B2603" s="20">
        <v>45322</v>
      </c>
      <c r="C2603" s="59">
        <v>50143646</v>
      </c>
      <c r="D2603" s="55" t="s">
        <v>191</v>
      </c>
      <c r="E2603" s="67">
        <v>480</v>
      </c>
      <c r="G2603" s="102">
        <v>9600</v>
      </c>
      <c r="H2603" s="56" t="s">
        <v>82</v>
      </c>
      <c r="K2603" s="56">
        <v>743</v>
      </c>
      <c r="L2603" s="55" t="s">
        <v>176</v>
      </c>
      <c r="M2603" s="55" t="s">
        <v>2824</v>
      </c>
      <c r="N2603" s="4" t="s">
        <v>177</v>
      </c>
      <c r="O2603" s="55" t="s">
        <v>178</v>
      </c>
    </row>
    <row r="2604" spans="2:15">
      <c r="B2604" s="20">
        <v>45323</v>
      </c>
      <c r="C2604" s="59">
        <v>50272278</v>
      </c>
      <c r="D2604" s="55" t="s">
        <v>21</v>
      </c>
      <c r="E2604" s="67">
        <v>500</v>
      </c>
      <c r="G2604" s="102">
        <v>11000</v>
      </c>
      <c r="H2604" s="56" t="s">
        <v>92</v>
      </c>
      <c r="K2604" s="56">
        <v>744</v>
      </c>
      <c r="L2604" s="55" t="s">
        <v>176</v>
      </c>
      <c r="M2604" s="55" t="s">
        <v>2824</v>
      </c>
      <c r="N2604" s="4" t="s">
        <v>177</v>
      </c>
      <c r="O2604" s="55" t="s">
        <v>178</v>
      </c>
    </row>
    <row r="2605" spans="2:15">
      <c r="B2605" s="20">
        <v>45323</v>
      </c>
      <c r="C2605" s="59">
        <v>40010087</v>
      </c>
      <c r="D2605" s="55" t="s">
        <v>387</v>
      </c>
      <c r="E2605" s="67">
        <v>864</v>
      </c>
      <c r="G2605" s="102">
        <v>2592</v>
      </c>
      <c r="H2605" s="56" t="s">
        <v>80</v>
      </c>
      <c r="K2605" s="56">
        <v>745</v>
      </c>
      <c r="L2605" s="55" t="s">
        <v>176</v>
      </c>
      <c r="M2605" s="55" t="s">
        <v>2824</v>
      </c>
      <c r="N2605" s="4" t="s">
        <v>177</v>
      </c>
      <c r="O2605" s="55" t="s">
        <v>178</v>
      </c>
    </row>
    <row r="2606" spans="2:15">
      <c r="B2606" s="20">
        <v>45323</v>
      </c>
      <c r="C2606" s="59">
        <v>50272278</v>
      </c>
      <c r="D2606" s="55" t="s">
        <v>21</v>
      </c>
      <c r="E2606" s="67">
        <v>500</v>
      </c>
      <c r="G2606" s="102">
        <v>3630</v>
      </c>
      <c r="H2606" s="56" t="s">
        <v>92</v>
      </c>
      <c r="K2606" s="56">
        <v>745</v>
      </c>
      <c r="L2606" s="55" t="s">
        <v>176</v>
      </c>
      <c r="M2606" s="55" t="s">
        <v>2824</v>
      </c>
      <c r="N2606" s="4" t="s">
        <v>177</v>
      </c>
      <c r="O2606" s="55" t="s">
        <v>178</v>
      </c>
    </row>
    <row r="2607" spans="2:15">
      <c r="B2607" s="20">
        <v>45323</v>
      </c>
      <c r="C2607" s="59">
        <v>50507916</v>
      </c>
      <c r="D2607" s="55" t="s">
        <v>406</v>
      </c>
      <c r="E2607" s="67">
        <v>2640000</v>
      </c>
      <c r="G2607" s="102">
        <v>1320000</v>
      </c>
      <c r="H2607" s="56" t="s">
        <v>92</v>
      </c>
      <c r="K2607" s="56">
        <v>745</v>
      </c>
      <c r="L2607" s="55" t="s">
        <v>176</v>
      </c>
      <c r="M2607" s="55" t="s">
        <v>2824</v>
      </c>
      <c r="N2607" s="4" t="s">
        <v>177</v>
      </c>
      <c r="O2607" s="55" t="s">
        <v>178</v>
      </c>
    </row>
    <row r="2608" spans="2:15">
      <c r="B2608" s="20">
        <v>45323</v>
      </c>
      <c r="C2608" s="59">
        <v>50315365</v>
      </c>
      <c r="D2608" s="55" t="s">
        <v>584</v>
      </c>
      <c r="E2608" s="67">
        <v>264</v>
      </c>
      <c r="G2608" s="102">
        <v>792</v>
      </c>
      <c r="H2608" s="56" t="s">
        <v>80</v>
      </c>
      <c r="K2608" s="56">
        <v>745</v>
      </c>
      <c r="L2608" s="55" t="s">
        <v>176</v>
      </c>
      <c r="M2608" s="55" t="s">
        <v>2824</v>
      </c>
      <c r="N2608" s="4" t="s">
        <v>177</v>
      </c>
      <c r="O2608" s="55" t="s">
        <v>178</v>
      </c>
    </row>
    <row r="2609" spans="2:15">
      <c r="B2609" s="20">
        <v>45324</v>
      </c>
      <c r="C2609" s="59">
        <v>50272278</v>
      </c>
      <c r="D2609" s="55" t="s">
        <v>21</v>
      </c>
      <c r="E2609" s="67">
        <v>500</v>
      </c>
      <c r="G2609" s="102">
        <v>11000</v>
      </c>
      <c r="H2609" s="56" t="s">
        <v>92</v>
      </c>
      <c r="K2609" s="56">
        <v>746</v>
      </c>
      <c r="L2609" s="55" t="s">
        <v>176</v>
      </c>
      <c r="M2609" s="55" t="s">
        <v>2824</v>
      </c>
      <c r="N2609" s="4" t="s">
        <v>177</v>
      </c>
      <c r="O2609" s="55" t="s">
        <v>178</v>
      </c>
    </row>
    <row r="2610" spans="2:15">
      <c r="B2610" s="20">
        <v>45324</v>
      </c>
      <c r="C2610" s="59">
        <v>50470190</v>
      </c>
      <c r="D2610" s="55" t="s">
        <v>12</v>
      </c>
      <c r="E2610" s="67">
        <v>289800</v>
      </c>
      <c r="G2610" s="102">
        <v>2608200</v>
      </c>
      <c r="H2610" s="56" t="s">
        <v>92</v>
      </c>
      <c r="K2610" s="56">
        <v>747</v>
      </c>
      <c r="L2610" s="55" t="s">
        <v>176</v>
      </c>
      <c r="M2610" s="55" t="s">
        <v>2824</v>
      </c>
      <c r="N2610" s="4" t="s">
        <v>177</v>
      </c>
      <c r="O2610" s="55" t="s">
        <v>178</v>
      </c>
    </row>
    <row r="2611" spans="2:15">
      <c r="B2611" s="20">
        <v>45324</v>
      </c>
      <c r="C2611" s="59">
        <v>50809146</v>
      </c>
      <c r="D2611" s="55" t="s">
        <v>1030</v>
      </c>
      <c r="E2611" s="67">
        <v>456</v>
      </c>
      <c r="G2611" s="102">
        <v>5197.45</v>
      </c>
      <c r="H2611" s="56" t="s">
        <v>82</v>
      </c>
      <c r="K2611" s="56">
        <v>747</v>
      </c>
      <c r="L2611" s="55" t="s">
        <v>176</v>
      </c>
      <c r="M2611" s="55" t="s">
        <v>2824</v>
      </c>
      <c r="N2611" s="4" t="s">
        <v>177</v>
      </c>
      <c r="O2611" s="55" t="s">
        <v>178</v>
      </c>
    </row>
    <row r="2612" spans="2:15">
      <c r="B2612" s="20">
        <v>45324</v>
      </c>
      <c r="C2612" s="59">
        <v>40010086</v>
      </c>
      <c r="D2612" s="55" t="s">
        <v>79</v>
      </c>
      <c r="E2612" s="67">
        <v>4062</v>
      </c>
      <c r="G2612" s="102">
        <v>11780</v>
      </c>
      <c r="H2612" s="56" t="s">
        <v>80</v>
      </c>
      <c r="K2612" s="56">
        <v>748</v>
      </c>
      <c r="L2612" s="55" t="s">
        <v>176</v>
      </c>
      <c r="M2612" s="55" t="s">
        <v>2824</v>
      </c>
      <c r="N2612" s="4" t="s">
        <v>177</v>
      </c>
      <c r="O2612" s="55" t="s">
        <v>178</v>
      </c>
    </row>
    <row r="2613" spans="2:15">
      <c r="B2613" s="20">
        <v>45324</v>
      </c>
      <c r="C2613" s="59">
        <v>40010087</v>
      </c>
      <c r="D2613" s="55" t="s">
        <v>387</v>
      </c>
      <c r="E2613" s="67">
        <v>864</v>
      </c>
      <c r="G2613" s="102">
        <v>1728</v>
      </c>
      <c r="H2613" s="56" t="s">
        <v>80</v>
      </c>
      <c r="K2613" s="56">
        <v>748</v>
      </c>
      <c r="L2613" s="55" t="s">
        <v>176</v>
      </c>
      <c r="M2613" s="55" t="s">
        <v>2824</v>
      </c>
      <c r="N2613" s="4" t="s">
        <v>177</v>
      </c>
      <c r="O2613" s="55" t="s">
        <v>178</v>
      </c>
    </row>
    <row r="2614" spans="2:15">
      <c r="B2614" s="20">
        <v>45324</v>
      </c>
      <c r="C2614" s="59">
        <v>50470190</v>
      </c>
      <c r="D2614" s="55" t="s">
        <v>12</v>
      </c>
      <c r="E2614" s="67">
        <v>289800</v>
      </c>
      <c r="G2614" s="102">
        <v>3767400</v>
      </c>
      <c r="H2614" s="56" t="s">
        <v>92</v>
      </c>
      <c r="K2614" s="56">
        <v>748</v>
      </c>
      <c r="L2614" s="55" t="s">
        <v>176</v>
      </c>
      <c r="M2614" s="55" t="s">
        <v>2824</v>
      </c>
      <c r="N2614" s="4" t="s">
        <v>177</v>
      </c>
      <c r="O2614" s="55" t="s">
        <v>178</v>
      </c>
    </row>
    <row r="2615" spans="2:15">
      <c r="B2615" s="20">
        <v>45324</v>
      </c>
      <c r="C2615" s="59">
        <v>50507916</v>
      </c>
      <c r="D2615" s="55" t="s">
        <v>406</v>
      </c>
      <c r="E2615" s="67">
        <v>264000</v>
      </c>
      <c r="G2615" s="102">
        <v>264000</v>
      </c>
      <c r="H2615" s="56" t="s">
        <v>92</v>
      </c>
      <c r="K2615" s="56">
        <v>748</v>
      </c>
      <c r="L2615" s="55" t="s">
        <v>176</v>
      </c>
      <c r="M2615" s="55" t="s">
        <v>2824</v>
      </c>
      <c r="N2615" s="4" t="s">
        <v>177</v>
      </c>
      <c r="O2615" s="55" t="s">
        <v>178</v>
      </c>
    </row>
    <row r="2616" spans="2:15">
      <c r="B2616" s="20">
        <v>45327</v>
      </c>
      <c r="C2616" s="59">
        <v>50470190</v>
      </c>
      <c r="D2616" s="55" t="s">
        <v>12</v>
      </c>
      <c r="E2616" s="67">
        <v>289800</v>
      </c>
      <c r="G2616" s="102">
        <v>5216400</v>
      </c>
      <c r="H2616" s="56" t="s">
        <v>92</v>
      </c>
      <c r="K2616" s="56">
        <v>749</v>
      </c>
      <c r="L2616" s="55" t="s">
        <v>176</v>
      </c>
      <c r="M2616" s="55" t="s">
        <v>2824</v>
      </c>
      <c r="N2616" s="4" t="s">
        <v>177</v>
      </c>
      <c r="O2616" s="55" t="s">
        <v>178</v>
      </c>
    </row>
    <row r="2617" spans="2:15">
      <c r="B2617" s="20">
        <v>45327</v>
      </c>
      <c r="C2617" s="59">
        <v>50272278</v>
      </c>
      <c r="D2617" s="55" t="s">
        <v>21</v>
      </c>
      <c r="E2617" s="67">
        <v>500</v>
      </c>
      <c r="G2617" s="102">
        <v>11000</v>
      </c>
      <c r="H2617" s="56" t="s">
        <v>92</v>
      </c>
      <c r="K2617" s="56">
        <v>750</v>
      </c>
      <c r="L2617" s="55" t="s">
        <v>176</v>
      </c>
      <c r="M2617" s="55" t="s">
        <v>2824</v>
      </c>
      <c r="N2617" s="4" t="s">
        <v>177</v>
      </c>
      <c r="O2617" s="55" t="s">
        <v>178</v>
      </c>
    </row>
    <row r="2618" spans="2:15">
      <c r="B2618" s="20">
        <v>45327</v>
      </c>
      <c r="C2618" s="59">
        <v>50141786</v>
      </c>
      <c r="D2618" s="55" t="s">
        <v>188</v>
      </c>
      <c r="E2618" s="67">
        <v>560</v>
      </c>
      <c r="G2618" s="102">
        <v>12320</v>
      </c>
      <c r="H2618" s="56" t="s">
        <v>82</v>
      </c>
      <c r="K2618" s="56">
        <v>751</v>
      </c>
      <c r="L2618" s="55" t="s">
        <v>176</v>
      </c>
      <c r="M2618" s="55" t="s">
        <v>2824</v>
      </c>
      <c r="N2618" s="4" t="s">
        <v>177</v>
      </c>
      <c r="O2618" s="55" t="s">
        <v>178</v>
      </c>
    </row>
    <row r="2619" spans="2:15">
      <c r="B2619" s="20">
        <v>45328</v>
      </c>
      <c r="C2619" s="59">
        <v>50142055</v>
      </c>
      <c r="D2619" s="55" t="s">
        <v>206</v>
      </c>
      <c r="E2619" s="67">
        <v>600</v>
      </c>
      <c r="G2619" s="102">
        <v>3600</v>
      </c>
      <c r="H2619" s="56" t="s">
        <v>82</v>
      </c>
      <c r="K2619" s="56">
        <v>752</v>
      </c>
      <c r="L2619" s="55" t="s">
        <v>176</v>
      </c>
      <c r="M2619" s="55" t="s">
        <v>2824</v>
      </c>
      <c r="N2619" s="4" t="s">
        <v>177</v>
      </c>
      <c r="O2619" s="55" t="s">
        <v>178</v>
      </c>
    </row>
    <row r="2620" spans="2:15">
      <c r="B2620" s="20">
        <v>45328</v>
      </c>
      <c r="C2620" s="59">
        <v>50142330</v>
      </c>
      <c r="D2620" s="55" t="s">
        <v>195</v>
      </c>
      <c r="E2620" s="67">
        <v>359.28</v>
      </c>
      <c r="G2620" s="102">
        <v>2155.68</v>
      </c>
      <c r="H2620" s="56" t="s">
        <v>82</v>
      </c>
      <c r="K2620" s="56">
        <v>752</v>
      </c>
      <c r="L2620" s="55" t="s">
        <v>176</v>
      </c>
      <c r="M2620" s="55" t="s">
        <v>2824</v>
      </c>
      <c r="N2620" s="4" t="s">
        <v>177</v>
      </c>
      <c r="O2620" s="55" t="s">
        <v>178</v>
      </c>
    </row>
    <row r="2621" spans="2:15">
      <c r="B2621" s="20">
        <v>45328</v>
      </c>
      <c r="C2621" s="59">
        <v>40007855</v>
      </c>
      <c r="D2621" s="55" t="s">
        <v>84</v>
      </c>
      <c r="E2621" s="67">
        <v>864</v>
      </c>
      <c r="G2621" s="102">
        <v>2688</v>
      </c>
      <c r="H2621" s="56" t="s">
        <v>80</v>
      </c>
      <c r="K2621" s="56">
        <v>752</v>
      </c>
      <c r="L2621" s="55" t="s">
        <v>176</v>
      </c>
      <c r="M2621" s="55" t="s">
        <v>2824</v>
      </c>
      <c r="N2621" s="4" t="s">
        <v>177</v>
      </c>
      <c r="O2621" s="55" t="s">
        <v>178</v>
      </c>
    </row>
    <row r="2622" spans="2:15">
      <c r="B2622" s="20">
        <v>45328</v>
      </c>
      <c r="C2622" s="59">
        <v>50142281</v>
      </c>
      <c r="D2622" s="55" t="s">
        <v>204</v>
      </c>
      <c r="E2622" s="67">
        <v>450</v>
      </c>
      <c r="G2622" s="102">
        <v>1800</v>
      </c>
      <c r="H2622" s="56" t="s">
        <v>82</v>
      </c>
      <c r="K2622" s="56">
        <v>752</v>
      </c>
      <c r="L2622" s="55" t="s">
        <v>176</v>
      </c>
      <c r="M2622" s="55" t="s">
        <v>2824</v>
      </c>
      <c r="N2622" s="4" t="s">
        <v>177</v>
      </c>
      <c r="O2622" s="55" t="s">
        <v>178</v>
      </c>
    </row>
    <row r="2623" spans="2:15">
      <c r="B2623" s="20">
        <v>45328</v>
      </c>
      <c r="C2623" s="59">
        <v>50337814</v>
      </c>
      <c r="D2623" s="55" t="s">
        <v>669</v>
      </c>
      <c r="E2623" s="67">
        <v>264</v>
      </c>
      <c r="G2623" s="102">
        <v>528</v>
      </c>
      <c r="H2623" s="56" t="s">
        <v>80</v>
      </c>
      <c r="K2623" s="56">
        <v>752</v>
      </c>
      <c r="L2623" s="55" t="s">
        <v>176</v>
      </c>
      <c r="M2623" s="55" t="s">
        <v>2824</v>
      </c>
      <c r="N2623" s="4" t="s">
        <v>177</v>
      </c>
      <c r="O2623" s="55" t="s">
        <v>178</v>
      </c>
    </row>
    <row r="2624" spans="2:15">
      <c r="B2624" s="20">
        <v>45328</v>
      </c>
      <c r="C2624" s="59">
        <v>50142327</v>
      </c>
      <c r="D2624" s="55" t="s">
        <v>256</v>
      </c>
      <c r="E2624" s="67">
        <v>681</v>
      </c>
      <c r="G2624" s="102">
        <v>681</v>
      </c>
      <c r="H2624" s="56" t="s">
        <v>82</v>
      </c>
      <c r="K2624" s="56">
        <v>752</v>
      </c>
      <c r="L2624" s="55" t="s">
        <v>176</v>
      </c>
      <c r="M2624" s="55" t="s">
        <v>2824</v>
      </c>
      <c r="N2624" s="4" t="s">
        <v>177</v>
      </c>
      <c r="O2624" s="55" t="s">
        <v>178</v>
      </c>
    </row>
    <row r="2625" spans="2:15">
      <c r="B2625" s="20">
        <v>45328</v>
      </c>
      <c r="C2625" s="59">
        <v>50142334</v>
      </c>
      <c r="D2625" s="55" t="s">
        <v>257</v>
      </c>
      <c r="E2625" s="67">
        <v>681</v>
      </c>
      <c r="G2625" s="102">
        <v>681</v>
      </c>
      <c r="H2625" s="56" t="s">
        <v>82</v>
      </c>
      <c r="K2625" s="56">
        <v>752</v>
      </c>
      <c r="L2625" s="55" t="s">
        <v>176</v>
      </c>
      <c r="M2625" s="55" t="s">
        <v>2824</v>
      </c>
      <c r="N2625" s="4" t="s">
        <v>177</v>
      </c>
      <c r="O2625" s="55" t="s">
        <v>178</v>
      </c>
    </row>
    <row r="2626" spans="2:15">
      <c r="B2626" s="20">
        <v>45328</v>
      </c>
      <c r="C2626" s="59">
        <v>50141786</v>
      </c>
      <c r="D2626" s="55" t="s">
        <v>188</v>
      </c>
      <c r="E2626" s="67">
        <v>560</v>
      </c>
      <c r="G2626" s="102">
        <v>10080</v>
      </c>
      <c r="H2626" s="56" t="s">
        <v>82</v>
      </c>
      <c r="K2626" s="56">
        <v>753</v>
      </c>
      <c r="L2626" s="55" t="s">
        <v>176</v>
      </c>
      <c r="M2626" s="55" t="s">
        <v>2824</v>
      </c>
      <c r="N2626" s="4" t="s">
        <v>177</v>
      </c>
      <c r="O2626" s="55" t="s">
        <v>178</v>
      </c>
    </row>
    <row r="2627" spans="2:15">
      <c r="B2627" s="20">
        <v>45328</v>
      </c>
      <c r="C2627" s="59">
        <v>50272278</v>
      </c>
      <c r="D2627" s="55" t="s">
        <v>21</v>
      </c>
      <c r="E2627" s="67">
        <v>500</v>
      </c>
      <c r="G2627" s="102">
        <v>2000</v>
      </c>
      <c r="H2627" s="56" t="s">
        <v>92</v>
      </c>
      <c r="K2627" s="56">
        <v>753</v>
      </c>
      <c r="L2627" s="55" t="s">
        <v>176</v>
      </c>
      <c r="M2627" s="55" t="s">
        <v>2824</v>
      </c>
      <c r="N2627" s="4" t="s">
        <v>177</v>
      </c>
      <c r="O2627" s="55" t="s">
        <v>178</v>
      </c>
    </row>
    <row r="2628" spans="2:15">
      <c r="B2628" s="20">
        <v>45328</v>
      </c>
      <c r="C2628" s="59">
        <v>50144376</v>
      </c>
      <c r="D2628" s="55" t="s">
        <v>19</v>
      </c>
      <c r="E2628" s="67">
        <v>500</v>
      </c>
      <c r="G2628" s="102">
        <v>6500</v>
      </c>
      <c r="H2628" s="56" t="s">
        <v>92</v>
      </c>
      <c r="K2628" s="56">
        <v>754</v>
      </c>
      <c r="L2628" s="55" t="s">
        <v>176</v>
      </c>
      <c r="M2628" s="55" t="s">
        <v>2824</v>
      </c>
      <c r="N2628" s="4" t="s">
        <v>177</v>
      </c>
      <c r="O2628" s="55" t="s">
        <v>178</v>
      </c>
    </row>
    <row r="2629" spans="2:15">
      <c r="B2629" s="20">
        <v>45328</v>
      </c>
      <c r="C2629" s="59">
        <v>50272278</v>
      </c>
      <c r="D2629" s="55" t="s">
        <v>21</v>
      </c>
      <c r="E2629" s="67">
        <v>500</v>
      </c>
      <c r="G2629" s="102">
        <v>1320</v>
      </c>
      <c r="H2629" s="56" t="s">
        <v>92</v>
      </c>
      <c r="K2629" s="56">
        <v>754</v>
      </c>
      <c r="L2629" s="55" t="s">
        <v>176</v>
      </c>
      <c r="M2629" s="55" t="s">
        <v>2824</v>
      </c>
      <c r="N2629" s="4" t="s">
        <v>177</v>
      </c>
      <c r="O2629" s="55" t="s">
        <v>178</v>
      </c>
    </row>
    <row r="2630" spans="2:15">
      <c r="B2630" s="20">
        <v>45328</v>
      </c>
      <c r="C2630" s="59">
        <v>50793278</v>
      </c>
      <c r="D2630" s="55" t="s">
        <v>1086</v>
      </c>
      <c r="E2630" s="67">
        <v>1000</v>
      </c>
      <c r="G2630" s="102">
        <v>50</v>
      </c>
      <c r="H2630" s="56" t="s">
        <v>1087</v>
      </c>
      <c r="K2630" s="56">
        <v>754</v>
      </c>
      <c r="L2630" s="55" t="s">
        <v>176</v>
      </c>
      <c r="M2630" s="55" t="s">
        <v>2824</v>
      </c>
      <c r="N2630" s="4" t="s">
        <v>177</v>
      </c>
      <c r="O2630" s="55" t="s">
        <v>178</v>
      </c>
    </row>
    <row r="2631" spans="2:15">
      <c r="B2631" s="20">
        <v>45329</v>
      </c>
      <c r="C2631" s="59">
        <v>50470190</v>
      </c>
      <c r="D2631" s="55" t="s">
        <v>12</v>
      </c>
      <c r="E2631" s="67">
        <v>289800</v>
      </c>
      <c r="G2631" s="102">
        <v>5216400</v>
      </c>
      <c r="H2631" s="56" t="s">
        <v>92</v>
      </c>
      <c r="K2631" s="56">
        <v>755</v>
      </c>
      <c r="L2631" s="55" t="s">
        <v>176</v>
      </c>
      <c r="M2631" s="55" t="s">
        <v>2824</v>
      </c>
      <c r="N2631" s="4" t="s">
        <v>177</v>
      </c>
      <c r="O2631" s="55" t="s">
        <v>178</v>
      </c>
    </row>
    <row r="2632" spans="2:15">
      <c r="B2632" s="20">
        <v>45329</v>
      </c>
      <c r="C2632" s="59">
        <v>50144376</v>
      </c>
      <c r="D2632" s="55" t="s">
        <v>19</v>
      </c>
      <c r="E2632" s="67">
        <v>500</v>
      </c>
      <c r="G2632" s="102">
        <v>4000</v>
      </c>
      <c r="H2632" s="56" t="s">
        <v>92</v>
      </c>
      <c r="K2632" s="56">
        <v>756</v>
      </c>
      <c r="L2632" s="55" t="s">
        <v>176</v>
      </c>
      <c r="M2632" s="55" t="s">
        <v>2824</v>
      </c>
      <c r="N2632" s="4" t="s">
        <v>177</v>
      </c>
      <c r="O2632" s="55" t="s">
        <v>178</v>
      </c>
    </row>
    <row r="2633" spans="2:15">
      <c r="B2633" s="20">
        <v>45329</v>
      </c>
      <c r="C2633" s="59">
        <v>40011080</v>
      </c>
      <c r="D2633" s="55" t="s">
        <v>420</v>
      </c>
      <c r="E2633" s="67">
        <v>450</v>
      </c>
      <c r="G2633" s="102">
        <v>1800</v>
      </c>
      <c r="H2633" s="56" t="s">
        <v>80</v>
      </c>
      <c r="K2633" s="56">
        <v>756</v>
      </c>
      <c r="L2633" s="55" t="s">
        <v>176</v>
      </c>
      <c r="M2633" s="55" t="s">
        <v>2824</v>
      </c>
      <c r="N2633" s="4" t="s">
        <v>177</v>
      </c>
      <c r="O2633" s="55" t="s">
        <v>178</v>
      </c>
    </row>
    <row r="2634" spans="2:15">
      <c r="B2634" s="20">
        <v>45329</v>
      </c>
      <c r="C2634" s="59">
        <v>50507916</v>
      </c>
      <c r="D2634" s="55" t="s">
        <v>406</v>
      </c>
      <c r="E2634" s="67">
        <v>264</v>
      </c>
      <c r="G2634" s="102">
        <v>517000</v>
      </c>
      <c r="H2634" s="56" t="s">
        <v>92</v>
      </c>
      <c r="K2634" s="56">
        <v>756</v>
      </c>
      <c r="L2634" s="55" t="s">
        <v>176</v>
      </c>
      <c r="M2634" s="55" t="s">
        <v>2824</v>
      </c>
      <c r="N2634" s="4" t="s">
        <v>177</v>
      </c>
      <c r="O2634" s="55" t="s">
        <v>178</v>
      </c>
    </row>
    <row r="2635" spans="2:15">
      <c r="B2635" s="20">
        <v>45329</v>
      </c>
      <c r="C2635" s="59">
        <v>50470190</v>
      </c>
      <c r="D2635" s="55" t="s">
        <v>12</v>
      </c>
      <c r="E2635" s="67">
        <v>289800</v>
      </c>
      <c r="G2635" s="102">
        <v>869400</v>
      </c>
      <c r="H2635" s="56" t="s">
        <v>92</v>
      </c>
      <c r="K2635" s="56">
        <v>756</v>
      </c>
      <c r="L2635" s="55" t="s">
        <v>176</v>
      </c>
      <c r="M2635" s="55" t="s">
        <v>2824</v>
      </c>
      <c r="N2635" s="4" t="s">
        <v>177</v>
      </c>
      <c r="O2635" s="55" t="s">
        <v>178</v>
      </c>
    </row>
    <row r="2636" spans="2:15">
      <c r="B2636" s="20">
        <v>45329</v>
      </c>
      <c r="C2636" s="59">
        <v>50802401</v>
      </c>
      <c r="D2636" s="55" t="s">
        <v>13</v>
      </c>
      <c r="E2636" s="67">
        <v>289800</v>
      </c>
      <c r="G2636" s="102">
        <v>869400</v>
      </c>
      <c r="H2636" s="56" t="s">
        <v>92</v>
      </c>
      <c r="K2636" s="56">
        <v>756</v>
      </c>
      <c r="L2636" s="55" t="s">
        <v>176</v>
      </c>
      <c r="M2636" s="55" t="s">
        <v>2824</v>
      </c>
      <c r="N2636" s="4" t="s">
        <v>177</v>
      </c>
      <c r="O2636" s="55" t="s">
        <v>178</v>
      </c>
    </row>
    <row r="2637" spans="2:15">
      <c r="B2637" s="20">
        <v>45330</v>
      </c>
      <c r="C2637" s="59">
        <v>40009546</v>
      </c>
      <c r="D2637" s="55" t="s">
        <v>174</v>
      </c>
      <c r="E2637" s="67">
        <v>756</v>
      </c>
      <c r="G2637" s="102">
        <v>1512</v>
      </c>
      <c r="H2637" s="56" t="s">
        <v>80</v>
      </c>
      <c r="K2637" s="56">
        <v>757</v>
      </c>
      <c r="L2637" s="55" t="s">
        <v>176</v>
      </c>
      <c r="M2637" s="55" t="s">
        <v>2824</v>
      </c>
      <c r="N2637" s="4" t="s">
        <v>177</v>
      </c>
      <c r="O2637" s="55" t="s">
        <v>178</v>
      </c>
    </row>
    <row r="2638" spans="2:15">
      <c r="B2638" s="20">
        <v>45330</v>
      </c>
      <c r="C2638" s="59">
        <v>40011133</v>
      </c>
      <c r="D2638" s="55" t="s">
        <v>634</v>
      </c>
      <c r="E2638" s="67">
        <v>864</v>
      </c>
      <c r="G2638" s="102">
        <v>864</v>
      </c>
      <c r="H2638" s="56" t="s">
        <v>80</v>
      </c>
      <c r="K2638" s="56">
        <v>757</v>
      </c>
      <c r="L2638" s="55" t="s">
        <v>176</v>
      </c>
      <c r="M2638" s="55" t="s">
        <v>2824</v>
      </c>
      <c r="N2638" s="4" t="s">
        <v>177</v>
      </c>
      <c r="O2638" s="55" t="s">
        <v>178</v>
      </c>
    </row>
    <row r="2639" spans="2:15">
      <c r="B2639" s="20">
        <v>45330</v>
      </c>
      <c r="C2639" s="59">
        <v>20016185</v>
      </c>
      <c r="D2639" s="55" t="s">
        <v>285</v>
      </c>
      <c r="E2639" s="67">
        <v>1000</v>
      </c>
      <c r="G2639" s="102">
        <v>10000</v>
      </c>
      <c r="H2639" s="56" t="s">
        <v>92</v>
      </c>
      <c r="K2639" s="56">
        <v>757</v>
      </c>
      <c r="L2639" s="55" t="s">
        <v>176</v>
      </c>
      <c r="M2639" s="55" t="s">
        <v>2824</v>
      </c>
      <c r="N2639" s="4" t="s">
        <v>177</v>
      </c>
      <c r="O2639" s="55" t="s">
        <v>178</v>
      </c>
    </row>
    <row r="2640" spans="2:15">
      <c r="B2640" s="20">
        <v>45330</v>
      </c>
      <c r="C2640" s="59">
        <v>50272278</v>
      </c>
      <c r="D2640" s="55" t="s">
        <v>21</v>
      </c>
      <c r="E2640" s="67">
        <v>500</v>
      </c>
      <c r="G2640" s="102">
        <v>6000</v>
      </c>
      <c r="H2640" s="56" t="s">
        <v>92</v>
      </c>
      <c r="K2640" s="56">
        <v>757</v>
      </c>
      <c r="L2640" s="55" t="s">
        <v>176</v>
      </c>
      <c r="M2640" s="55" t="s">
        <v>2824</v>
      </c>
      <c r="N2640" s="4" t="s">
        <v>177</v>
      </c>
      <c r="O2640" s="55" t="s">
        <v>178</v>
      </c>
    </row>
    <row r="2641" spans="2:15">
      <c r="B2641" s="20">
        <v>45330</v>
      </c>
      <c r="C2641" s="59">
        <v>50142237</v>
      </c>
      <c r="D2641" s="55" t="s">
        <v>617</v>
      </c>
      <c r="E2641" s="67">
        <v>1000</v>
      </c>
      <c r="G2641" s="102">
        <v>10000</v>
      </c>
      <c r="H2641" s="56" t="s">
        <v>92</v>
      </c>
      <c r="K2641" s="56">
        <v>757</v>
      </c>
      <c r="L2641" s="55" t="s">
        <v>176</v>
      </c>
      <c r="M2641" s="55" t="s">
        <v>2824</v>
      </c>
      <c r="N2641" s="4" t="s">
        <v>177</v>
      </c>
      <c r="O2641" s="55" t="s">
        <v>178</v>
      </c>
    </row>
    <row r="2642" spans="2:15">
      <c r="B2642" s="20">
        <v>45330</v>
      </c>
      <c r="C2642" s="59">
        <v>40011080</v>
      </c>
      <c r="D2642" s="55" t="s">
        <v>420</v>
      </c>
      <c r="E2642" s="67">
        <v>450</v>
      </c>
      <c r="G2642" s="102">
        <v>450</v>
      </c>
      <c r="H2642" s="56" t="s">
        <v>80</v>
      </c>
      <c r="K2642" s="56">
        <v>757</v>
      </c>
      <c r="L2642" s="55" t="s">
        <v>176</v>
      </c>
      <c r="M2642" s="55" t="s">
        <v>2824</v>
      </c>
      <c r="N2642" s="4" t="s">
        <v>177</v>
      </c>
      <c r="O2642" s="55" t="s">
        <v>178</v>
      </c>
    </row>
    <row r="2643" spans="2:15">
      <c r="B2643" s="20">
        <v>45330</v>
      </c>
      <c r="C2643" s="59">
        <v>40011149</v>
      </c>
      <c r="D2643" s="55" t="s">
        <v>37</v>
      </c>
      <c r="E2643" s="67">
        <v>360</v>
      </c>
      <c r="G2643" s="102">
        <v>720</v>
      </c>
      <c r="H2643" s="56" t="s">
        <v>80</v>
      </c>
      <c r="K2643" s="56">
        <v>757</v>
      </c>
      <c r="L2643" s="55" t="s">
        <v>176</v>
      </c>
      <c r="M2643" s="55" t="s">
        <v>2824</v>
      </c>
      <c r="N2643" s="4" t="s">
        <v>177</v>
      </c>
      <c r="O2643" s="55" t="s">
        <v>178</v>
      </c>
    </row>
    <row r="2644" spans="2:15">
      <c r="B2644" s="20">
        <v>45330</v>
      </c>
      <c r="C2644" s="59">
        <v>50507916</v>
      </c>
      <c r="D2644" s="55" t="s">
        <v>406</v>
      </c>
      <c r="E2644" s="67">
        <v>264000</v>
      </c>
      <c r="G2644" s="102">
        <v>792000</v>
      </c>
      <c r="H2644" s="56" t="s">
        <v>92</v>
      </c>
      <c r="K2644" s="56">
        <v>757</v>
      </c>
      <c r="L2644" s="55" t="s">
        <v>176</v>
      </c>
      <c r="M2644" s="55" t="s">
        <v>2824</v>
      </c>
      <c r="N2644" s="4" t="s">
        <v>177</v>
      </c>
      <c r="O2644" s="55" t="s">
        <v>178</v>
      </c>
    </row>
    <row r="2645" spans="2:15">
      <c r="B2645" s="20">
        <v>45331</v>
      </c>
      <c r="C2645" s="59">
        <v>40007939</v>
      </c>
      <c r="D2645" s="55" t="s">
        <v>476</v>
      </c>
      <c r="E2645" s="67">
        <v>756</v>
      </c>
      <c r="G2645" s="102">
        <v>1455</v>
      </c>
      <c r="H2645" s="56" t="s">
        <v>80</v>
      </c>
      <c r="K2645" s="56">
        <v>758</v>
      </c>
      <c r="L2645" s="55" t="s">
        <v>176</v>
      </c>
      <c r="M2645" s="55" t="s">
        <v>2824</v>
      </c>
      <c r="N2645" s="4" t="s">
        <v>177</v>
      </c>
      <c r="O2645" s="55" t="s">
        <v>178</v>
      </c>
    </row>
    <row r="2646" spans="2:15">
      <c r="B2646" s="20">
        <v>45331</v>
      </c>
      <c r="C2646" s="59">
        <v>40007940</v>
      </c>
      <c r="D2646" s="55" t="s">
        <v>477</v>
      </c>
      <c r="E2646" s="67">
        <v>756</v>
      </c>
      <c r="G2646" s="102">
        <v>1417</v>
      </c>
      <c r="H2646" s="56" t="s">
        <v>80</v>
      </c>
      <c r="K2646" s="56">
        <v>758</v>
      </c>
      <c r="L2646" s="55" t="s">
        <v>176</v>
      </c>
      <c r="M2646" s="55" t="s">
        <v>2824</v>
      </c>
      <c r="N2646" s="4" t="s">
        <v>177</v>
      </c>
      <c r="O2646" s="55" t="s">
        <v>178</v>
      </c>
    </row>
    <row r="2647" spans="2:15">
      <c r="B2647" s="20">
        <v>45331</v>
      </c>
      <c r="C2647" s="59">
        <v>50470190</v>
      </c>
      <c r="D2647" s="55" t="s">
        <v>12</v>
      </c>
      <c r="E2647" s="67">
        <v>289800</v>
      </c>
      <c r="G2647" s="102">
        <v>1738800</v>
      </c>
      <c r="H2647" s="56" t="s">
        <v>92</v>
      </c>
      <c r="K2647" s="56">
        <v>758</v>
      </c>
      <c r="L2647" s="55" t="s">
        <v>176</v>
      </c>
      <c r="M2647" s="55" t="s">
        <v>2824</v>
      </c>
      <c r="N2647" s="4" t="s">
        <v>177</v>
      </c>
      <c r="O2647" s="55" t="s">
        <v>178</v>
      </c>
    </row>
    <row r="2648" spans="2:15">
      <c r="B2648" s="20">
        <v>45331</v>
      </c>
      <c r="C2648" s="59">
        <v>50270855</v>
      </c>
      <c r="D2648" s="55" t="s">
        <v>740</v>
      </c>
      <c r="E2648" s="67">
        <v>264000</v>
      </c>
      <c r="G2648" s="102">
        <v>528000</v>
      </c>
      <c r="H2648" s="56" t="s">
        <v>92</v>
      </c>
      <c r="K2648" s="56">
        <v>758</v>
      </c>
      <c r="L2648" s="55" t="s">
        <v>176</v>
      </c>
      <c r="M2648" s="55" t="s">
        <v>2824</v>
      </c>
      <c r="N2648" s="4" t="s">
        <v>177</v>
      </c>
      <c r="O2648" s="55" t="s">
        <v>178</v>
      </c>
    </row>
    <row r="2649" spans="2:15">
      <c r="B2649" s="20">
        <v>45331</v>
      </c>
      <c r="C2649" s="59">
        <v>40011661</v>
      </c>
      <c r="D2649" s="55" t="s">
        <v>608</v>
      </c>
      <c r="E2649" s="67">
        <v>450</v>
      </c>
      <c r="G2649" s="102">
        <v>1350</v>
      </c>
      <c r="H2649" s="56" t="s">
        <v>80</v>
      </c>
      <c r="K2649" s="56">
        <v>758</v>
      </c>
      <c r="L2649" s="55" t="s">
        <v>176</v>
      </c>
      <c r="M2649" s="55" t="s">
        <v>2824</v>
      </c>
      <c r="N2649" s="4" t="s">
        <v>177</v>
      </c>
      <c r="O2649" s="55" t="s">
        <v>178</v>
      </c>
    </row>
    <row r="2650" spans="2:15">
      <c r="B2650" s="20">
        <v>45331</v>
      </c>
      <c r="C2650" s="59">
        <v>50802401</v>
      </c>
      <c r="D2650" s="55" t="s">
        <v>13</v>
      </c>
      <c r="E2650" s="67">
        <v>289800</v>
      </c>
      <c r="G2650" s="102">
        <v>1449000</v>
      </c>
      <c r="H2650" s="56" t="s">
        <v>92</v>
      </c>
      <c r="K2650" s="56">
        <v>758</v>
      </c>
      <c r="L2650" s="55" t="s">
        <v>176</v>
      </c>
      <c r="M2650" s="55" t="s">
        <v>2824</v>
      </c>
      <c r="N2650" s="4" t="s">
        <v>177</v>
      </c>
      <c r="O2650" s="55" t="s">
        <v>178</v>
      </c>
    </row>
    <row r="2651" spans="2:15">
      <c r="B2651" s="20">
        <v>45331</v>
      </c>
      <c r="C2651" s="59">
        <v>50809147</v>
      </c>
      <c r="D2651" s="55" t="s">
        <v>930</v>
      </c>
      <c r="E2651" s="67">
        <v>456</v>
      </c>
      <c r="G2651" s="102">
        <v>4986.8</v>
      </c>
      <c r="H2651" s="56" t="s">
        <v>82</v>
      </c>
      <c r="K2651" s="56">
        <v>759</v>
      </c>
      <c r="L2651" s="55" t="s">
        <v>176</v>
      </c>
      <c r="M2651" s="55" t="s">
        <v>2824</v>
      </c>
      <c r="N2651" s="4" t="s">
        <v>177</v>
      </c>
      <c r="O2651" s="55" t="s">
        <v>178</v>
      </c>
    </row>
    <row r="2652" spans="2:15">
      <c r="B2652" s="20">
        <v>45331</v>
      </c>
      <c r="C2652" s="59">
        <v>50802401</v>
      </c>
      <c r="D2652" s="55" t="s">
        <v>13</v>
      </c>
      <c r="E2652" s="67">
        <v>289800</v>
      </c>
      <c r="G2652" s="102">
        <v>2608200</v>
      </c>
      <c r="H2652" s="56" t="s">
        <v>92</v>
      </c>
      <c r="K2652" s="56">
        <v>759</v>
      </c>
      <c r="L2652" s="55" t="s">
        <v>176</v>
      </c>
      <c r="M2652" s="55" t="s">
        <v>2824</v>
      </c>
      <c r="N2652" s="4" t="s">
        <v>177</v>
      </c>
      <c r="O2652" s="55" t="s">
        <v>178</v>
      </c>
    </row>
    <row r="2653" spans="2:15">
      <c r="B2653" s="20">
        <v>45332</v>
      </c>
      <c r="C2653" s="59">
        <v>50799770</v>
      </c>
      <c r="D2653" s="55" t="s">
        <v>17</v>
      </c>
      <c r="E2653" s="67">
        <v>500</v>
      </c>
      <c r="G2653" s="102">
        <v>4000</v>
      </c>
      <c r="H2653" s="56" t="s">
        <v>92</v>
      </c>
      <c r="K2653" s="56">
        <v>760</v>
      </c>
      <c r="L2653" s="55" t="s">
        <v>176</v>
      </c>
      <c r="M2653" s="55" t="s">
        <v>2824</v>
      </c>
      <c r="N2653" s="4" t="s">
        <v>177</v>
      </c>
      <c r="O2653" s="55" t="s">
        <v>178</v>
      </c>
    </row>
    <row r="2654" spans="2:15">
      <c r="B2654" s="20">
        <v>45332</v>
      </c>
      <c r="C2654" s="59">
        <v>50272278</v>
      </c>
      <c r="D2654" s="55" t="s">
        <v>21</v>
      </c>
      <c r="E2654" s="67">
        <v>500</v>
      </c>
      <c r="G2654" s="102">
        <v>4000</v>
      </c>
      <c r="H2654" s="56" t="s">
        <v>92</v>
      </c>
      <c r="K2654" s="56">
        <v>760</v>
      </c>
      <c r="L2654" s="55" t="s">
        <v>176</v>
      </c>
      <c r="M2654" s="55" t="s">
        <v>2824</v>
      </c>
      <c r="N2654" s="4" t="s">
        <v>177</v>
      </c>
      <c r="O2654" s="55" t="s">
        <v>178</v>
      </c>
    </row>
    <row r="2655" spans="2:15">
      <c r="B2655" s="20">
        <v>45332</v>
      </c>
      <c r="C2655" s="59">
        <v>50802401</v>
      </c>
      <c r="D2655" s="55" t="s">
        <v>13</v>
      </c>
      <c r="E2655" s="67">
        <v>289800</v>
      </c>
      <c r="G2655" s="102">
        <v>1159200</v>
      </c>
      <c r="H2655" s="56" t="s">
        <v>92</v>
      </c>
      <c r="K2655" s="56">
        <v>760</v>
      </c>
      <c r="L2655" s="55" t="s">
        <v>176</v>
      </c>
      <c r="M2655" s="55" t="s">
        <v>2824</v>
      </c>
      <c r="N2655" s="4" t="s">
        <v>177</v>
      </c>
      <c r="O2655" s="55" t="s">
        <v>178</v>
      </c>
    </row>
    <row r="2656" spans="2:15">
      <c r="B2656" s="20">
        <v>45334</v>
      </c>
      <c r="C2656" s="59">
        <v>50799770</v>
      </c>
      <c r="D2656" s="55" t="s">
        <v>17</v>
      </c>
      <c r="E2656" s="67">
        <v>500</v>
      </c>
      <c r="G2656" s="102">
        <v>2000</v>
      </c>
      <c r="H2656" s="56" t="s">
        <v>92</v>
      </c>
      <c r="K2656" s="56">
        <v>761</v>
      </c>
      <c r="L2656" s="55" t="s">
        <v>176</v>
      </c>
      <c r="M2656" s="55" t="s">
        <v>2824</v>
      </c>
      <c r="N2656" s="4" t="s">
        <v>177</v>
      </c>
      <c r="O2656" s="55" t="s">
        <v>178</v>
      </c>
    </row>
    <row r="2657" spans="2:15">
      <c r="B2657" s="20">
        <v>45334</v>
      </c>
      <c r="C2657" s="59">
        <v>50272278</v>
      </c>
      <c r="D2657" s="55" t="s">
        <v>21</v>
      </c>
      <c r="E2657" s="67">
        <v>500</v>
      </c>
      <c r="G2657" s="102">
        <v>9000</v>
      </c>
      <c r="H2657" s="56" t="s">
        <v>92</v>
      </c>
      <c r="K2657" s="56">
        <v>761</v>
      </c>
      <c r="L2657" s="55" t="s">
        <v>176</v>
      </c>
      <c r="M2657" s="55" t="s">
        <v>2824</v>
      </c>
      <c r="N2657" s="4" t="s">
        <v>177</v>
      </c>
      <c r="O2657" s="55" t="s">
        <v>178</v>
      </c>
    </row>
    <row r="2658" spans="2:15">
      <c r="B2658" s="20">
        <v>45334</v>
      </c>
      <c r="C2658" s="59">
        <v>40011130</v>
      </c>
      <c r="D2658" s="55" t="s">
        <v>631</v>
      </c>
      <c r="E2658" s="67">
        <v>3360</v>
      </c>
      <c r="G2658" s="102">
        <v>3630</v>
      </c>
      <c r="H2658" s="56" t="s">
        <v>80</v>
      </c>
      <c r="K2658" s="56">
        <v>762</v>
      </c>
      <c r="L2658" s="55" t="s">
        <v>176</v>
      </c>
      <c r="M2658" s="55" t="s">
        <v>2824</v>
      </c>
      <c r="N2658" s="4" t="s">
        <v>177</v>
      </c>
      <c r="O2658" s="55" t="s">
        <v>178</v>
      </c>
    </row>
    <row r="2659" spans="2:15">
      <c r="B2659" s="20">
        <v>45334</v>
      </c>
      <c r="C2659" s="59">
        <v>40011133</v>
      </c>
      <c r="D2659" s="55" t="s">
        <v>634</v>
      </c>
      <c r="E2659" s="67">
        <v>2940</v>
      </c>
      <c r="G2659" s="102">
        <v>1728</v>
      </c>
      <c r="H2659" s="56" t="s">
        <v>80</v>
      </c>
      <c r="K2659" s="56">
        <v>762</v>
      </c>
      <c r="L2659" s="55" t="s">
        <v>176</v>
      </c>
      <c r="M2659" s="55" t="s">
        <v>2824</v>
      </c>
      <c r="N2659" s="4" t="s">
        <v>177</v>
      </c>
      <c r="O2659" s="55" t="s">
        <v>178</v>
      </c>
    </row>
    <row r="2660" spans="2:15">
      <c r="B2660" s="20">
        <v>45334</v>
      </c>
      <c r="C2660" s="59">
        <v>50272278</v>
      </c>
      <c r="D2660" s="55" t="s">
        <v>21</v>
      </c>
      <c r="E2660" s="67">
        <v>500</v>
      </c>
      <c r="G2660" s="102">
        <v>5000</v>
      </c>
      <c r="H2660" s="56" t="s">
        <v>92</v>
      </c>
      <c r="K2660" s="56">
        <v>762</v>
      </c>
      <c r="L2660" s="55" t="s">
        <v>176</v>
      </c>
      <c r="M2660" s="55" t="s">
        <v>2824</v>
      </c>
      <c r="N2660" s="4" t="s">
        <v>177</v>
      </c>
      <c r="O2660" s="55" t="s">
        <v>178</v>
      </c>
    </row>
    <row r="2661" spans="2:15">
      <c r="B2661" s="20">
        <v>45334</v>
      </c>
      <c r="C2661" s="59">
        <v>40011080</v>
      </c>
      <c r="D2661" s="55" t="s">
        <v>420</v>
      </c>
      <c r="E2661" s="67">
        <v>450</v>
      </c>
      <c r="G2661" s="102">
        <v>900</v>
      </c>
      <c r="H2661" s="56" t="s">
        <v>80</v>
      </c>
      <c r="K2661" s="56">
        <v>762</v>
      </c>
      <c r="L2661" s="55" t="s">
        <v>176</v>
      </c>
      <c r="M2661" s="55" t="s">
        <v>2824</v>
      </c>
      <c r="N2661" s="4" t="s">
        <v>177</v>
      </c>
      <c r="O2661" s="55" t="s">
        <v>178</v>
      </c>
    </row>
    <row r="2662" spans="2:15">
      <c r="B2662" s="20">
        <v>45334</v>
      </c>
      <c r="C2662" s="59">
        <v>40011661</v>
      </c>
      <c r="D2662" s="55" t="s">
        <v>608</v>
      </c>
      <c r="E2662" s="67">
        <v>450</v>
      </c>
      <c r="G2662" s="102">
        <v>2250</v>
      </c>
      <c r="H2662" s="56" t="s">
        <v>80</v>
      </c>
      <c r="K2662" s="56">
        <v>762</v>
      </c>
      <c r="L2662" s="55" t="s">
        <v>176</v>
      </c>
      <c r="M2662" s="55" t="s">
        <v>2824</v>
      </c>
      <c r="N2662" s="4" t="s">
        <v>177</v>
      </c>
      <c r="O2662" s="55" t="s">
        <v>178</v>
      </c>
    </row>
    <row r="2663" spans="2:15">
      <c r="B2663" s="20">
        <v>45334</v>
      </c>
      <c r="C2663" s="59">
        <v>50815261</v>
      </c>
      <c r="D2663" s="55" t="s">
        <v>1107</v>
      </c>
      <c r="E2663" s="67">
        <v>320000</v>
      </c>
      <c r="G2663" s="102">
        <v>320000</v>
      </c>
      <c r="H2663" s="56" t="s">
        <v>92</v>
      </c>
      <c r="K2663" s="56">
        <v>762</v>
      </c>
      <c r="L2663" s="55" t="s">
        <v>176</v>
      </c>
      <c r="M2663" s="55" t="s">
        <v>2824</v>
      </c>
      <c r="N2663" s="4" t="s">
        <v>177</v>
      </c>
      <c r="O2663" s="55" t="s">
        <v>178</v>
      </c>
    </row>
    <row r="2664" spans="2:15">
      <c r="B2664" s="20">
        <v>45334</v>
      </c>
      <c r="C2664" s="59">
        <v>50815214</v>
      </c>
      <c r="D2664" s="55" t="s">
        <v>1111</v>
      </c>
      <c r="E2664" s="67">
        <v>320000</v>
      </c>
      <c r="G2664" s="102">
        <v>326320</v>
      </c>
      <c r="H2664" s="56" t="s">
        <v>92</v>
      </c>
      <c r="K2664" s="56">
        <v>762</v>
      </c>
      <c r="L2664" s="55" t="s">
        <v>176</v>
      </c>
      <c r="M2664" s="55" t="s">
        <v>2824</v>
      </c>
      <c r="N2664" s="4" t="s">
        <v>177</v>
      </c>
      <c r="O2664" s="55" t="s">
        <v>178</v>
      </c>
    </row>
    <row r="2665" spans="2:15">
      <c r="B2665" s="20">
        <v>45335</v>
      </c>
      <c r="C2665" s="59">
        <v>50143893</v>
      </c>
      <c r="D2665" s="55" t="s">
        <v>24</v>
      </c>
      <c r="E2665" s="67">
        <v>990</v>
      </c>
      <c r="G2665" s="102">
        <v>1980</v>
      </c>
      <c r="H2665" s="56" t="s">
        <v>92</v>
      </c>
      <c r="K2665" s="56">
        <v>763</v>
      </c>
      <c r="L2665" s="55" t="s">
        <v>176</v>
      </c>
      <c r="M2665" s="55" t="s">
        <v>2824</v>
      </c>
      <c r="N2665" s="4" t="s">
        <v>177</v>
      </c>
      <c r="O2665" s="55" t="s">
        <v>178</v>
      </c>
    </row>
    <row r="2666" spans="2:15">
      <c r="B2666" s="20">
        <v>45335</v>
      </c>
      <c r="C2666" s="59">
        <v>50272278</v>
      </c>
      <c r="D2666" s="55" t="s">
        <v>21</v>
      </c>
      <c r="E2666" s="67">
        <v>500</v>
      </c>
      <c r="G2666" s="102">
        <v>10000</v>
      </c>
      <c r="H2666" s="56" t="s">
        <v>962</v>
      </c>
      <c r="K2666" s="56">
        <v>763</v>
      </c>
      <c r="L2666" s="55" t="s">
        <v>176</v>
      </c>
      <c r="M2666" s="55" t="s">
        <v>2824</v>
      </c>
      <c r="N2666" s="4" t="s">
        <v>177</v>
      </c>
      <c r="O2666" s="55" t="s">
        <v>178</v>
      </c>
    </row>
    <row r="2667" spans="2:15">
      <c r="B2667" s="20">
        <v>45336</v>
      </c>
      <c r="C2667" s="59">
        <v>50010080</v>
      </c>
      <c r="D2667" s="55" t="s">
        <v>354</v>
      </c>
      <c r="E2667" s="67">
        <v>1000</v>
      </c>
      <c r="G2667" s="102">
        <v>5000</v>
      </c>
      <c r="H2667" s="56" t="s">
        <v>82</v>
      </c>
      <c r="K2667" s="56">
        <v>764</v>
      </c>
      <c r="L2667" s="55" t="s">
        <v>176</v>
      </c>
      <c r="M2667" s="55" t="s">
        <v>2824</v>
      </c>
      <c r="N2667" s="4" t="s">
        <v>177</v>
      </c>
      <c r="O2667" s="55" t="s">
        <v>178</v>
      </c>
    </row>
    <row r="2668" spans="2:15">
      <c r="B2668" s="20">
        <v>45336</v>
      </c>
      <c r="C2668" s="59">
        <v>50144376</v>
      </c>
      <c r="D2668" s="55" t="s">
        <v>19</v>
      </c>
      <c r="E2668" s="67">
        <v>500</v>
      </c>
      <c r="G2668" s="102">
        <v>2500</v>
      </c>
      <c r="H2668" s="56" t="s">
        <v>92</v>
      </c>
      <c r="K2668" s="56">
        <v>764</v>
      </c>
      <c r="L2668" s="55" t="s">
        <v>176</v>
      </c>
      <c r="M2668" s="55" t="s">
        <v>2824</v>
      </c>
      <c r="N2668" s="4" t="s">
        <v>177</v>
      </c>
      <c r="O2668" s="55" t="s">
        <v>178</v>
      </c>
    </row>
    <row r="2669" spans="2:15">
      <c r="B2669" s="20">
        <v>45336</v>
      </c>
      <c r="C2669" s="59">
        <v>50272278</v>
      </c>
      <c r="D2669" s="55" t="s">
        <v>21</v>
      </c>
      <c r="E2669" s="67">
        <v>500</v>
      </c>
      <c r="G2669" s="102">
        <v>2500</v>
      </c>
      <c r="H2669" s="56" t="s">
        <v>92</v>
      </c>
      <c r="K2669" s="56">
        <v>764</v>
      </c>
      <c r="L2669" s="55" t="s">
        <v>176</v>
      </c>
      <c r="M2669" s="55" t="s">
        <v>2824</v>
      </c>
      <c r="N2669" s="4" t="s">
        <v>177</v>
      </c>
      <c r="O2669" s="55" t="s">
        <v>178</v>
      </c>
    </row>
    <row r="2670" spans="2:15">
      <c r="B2670" s="20">
        <v>45336</v>
      </c>
      <c r="C2670" s="59">
        <v>50142327</v>
      </c>
      <c r="D2670" s="55" t="s">
        <v>256</v>
      </c>
      <c r="E2670" s="67">
        <v>681</v>
      </c>
      <c r="G2670" s="102">
        <v>1362</v>
      </c>
      <c r="H2670" s="56" t="s">
        <v>82</v>
      </c>
      <c r="K2670" s="56">
        <v>764</v>
      </c>
      <c r="L2670" s="55" t="s">
        <v>176</v>
      </c>
      <c r="M2670" s="55" t="s">
        <v>2824</v>
      </c>
      <c r="N2670" s="4" t="s">
        <v>177</v>
      </c>
      <c r="O2670" s="55" t="s">
        <v>178</v>
      </c>
    </row>
    <row r="2671" spans="2:15">
      <c r="B2671" s="20">
        <v>45336</v>
      </c>
      <c r="C2671" s="59">
        <v>50142334</v>
      </c>
      <c r="D2671" s="55" t="s">
        <v>257</v>
      </c>
      <c r="E2671" s="67">
        <v>681</v>
      </c>
      <c r="G2671" s="102">
        <v>2043</v>
      </c>
      <c r="H2671" s="56" t="s">
        <v>82</v>
      </c>
      <c r="K2671" s="56">
        <v>764</v>
      </c>
      <c r="L2671" s="55" t="s">
        <v>176</v>
      </c>
      <c r="M2671" s="55" t="s">
        <v>2824</v>
      </c>
      <c r="N2671" s="4" t="s">
        <v>177</v>
      </c>
      <c r="O2671" s="55" t="s">
        <v>178</v>
      </c>
    </row>
    <row r="2672" spans="2:15">
      <c r="B2672" s="20">
        <v>45336</v>
      </c>
      <c r="C2672" s="59">
        <v>50145028</v>
      </c>
      <c r="D2672" s="55" t="s">
        <v>23</v>
      </c>
      <c r="E2672" s="67">
        <v>192</v>
      </c>
      <c r="G2672" s="102">
        <v>1344</v>
      </c>
      <c r="H2672" s="56" t="s">
        <v>92</v>
      </c>
      <c r="K2672" s="56">
        <v>765</v>
      </c>
      <c r="L2672" s="55" t="s">
        <v>392</v>
      </c>
      <c r="M2672" s="55" t="s">
        <v>392</v>
      </c>
      <c r="N2672" s="4" t="s">
        <v>2852</v>
      </c>
      <c r="O2672" s="55" t="s">
        <v>178</v>
      </c>
    </row>
    <row r="2673" spans="2:15">
      <c r="B2673" s="20">
        <v>45336</v>
      </c>
      <c r="C2673" s="59">
        <v>50144376</v>
      </c>
      <c r="D2673" s="55" t="s">
        <v>19</v>
      </c>
      <c r="E2673" s="67">
        <v>500</v>
      </c>
      <c r="G2673" s="102">
        <v>4000</v>
      </c>
      <c r="H2673" s="56" t="s">
        <v>92</v>
      </c>
      <c r="K2673" s="56">
        <v>765</v>
      </c>
      <c r="L2673" s="55" t="s">
        <v>392</v>
      </c>
      <c r="M2673" s="55" t="s">
        <v>392</v>
      </c>
      <c r="N2673" s="4" t="s">
        <v>2852</v>
      </c>
      <c r="O2673" s="55" t="s">
        <v>178</v>
      </c>
    </row>
    <row r="2674" spans="2:15">
      <c r="B2674" s="20">
        <v>45336</v>
      </c>
      <c r="C2674" s="59">
        <v>50142237</v>
      </c>
      <c r="D2674" s="55" t="s">
        <v>617</v>
      </c>
      <c r="E2674" s="67">
        <v>1000</v>
      </c>
      <c r="G2674" s="102">
        <v>5000</v>
      </c>
      <c r="H2674" s="56" t="s">
        <v>92</v>
      </c>
      <c r="K2674" s="56">
        <v>765</v>
      </c>
      <c r="L2674" s="55" t="s">
        <v>392</v>
      </c>
      <c r="M2674" s="55" t="s">
        <v>392</v>
      </c>
      <c r="N2674" s="4" t="s">
        <v>2852</v>
      </c>
      <c r="O2674" s="55" t="s">
        <v>178</v>
      </c>
    </row>
    <row r="2675" spans="2:15">
      <c r="B2675" s="20">
        <v>45336</v>
      </c>
      <c r="C2675" s="59">
        <v>50272278</v>
      </c>
      <c r="D2675" s="55" t="s">
        <v>21</v>
      </c>
      <c r="E2675" s="67">
        <v>500</v>
      </c>
      <c r="G2675" s="102">
        <v>1100</v>
      </c>
      <c r="H2675" s="56" t="s">
        <v>92</v>
      </c>
      <c r="K2675" s="56">
        <v>765</v>
      </c>
      <c r="L2675" s="55" t="s">
        <v>392</v>
      </c>
      <c r="M2675" s="55" t="s">
        <v>392</v>
      </c>
      <c r="N2675" s="4" t="s">
        <v>2852</v>
      </c>
      <c r="O2675" s="55" t="s">
        <v>178</v>
      </c>
    </row>
    <row r="2676" spans="2:15">
      <c r="B2676" s="20">
        <v>45336</v>
      </c>
      <c r="C2676" s="59">
        <v>50470190</v>
      </c>
      <c r="D2676" s="55" t="s">
        <v>12</v>
      </c>
      <c r="E2676" s="67">
        <v>289800</v>
      </c>
      <c r="G2676" s="102">
        <v>5216400</v>
      </c>
      <c r="H2676" s="56" t="s">
        <v>92</v>
      </c>
      <c r="K2676" s="56">
        <v>766</v>
      </c>
      <c r="L2676" s="55" t="s">
        <v>176</v>
      </c>
      <c r="M2676" s="55" t="s">
        <v>2824</v>
      </c>
      <c r="N2676" s="4" t="s">
        <v>177</v>
      </c>
      <c r="O2676" s="55" t="s">
        <v>178</v>
      </c>
    </row>
    <row r="2677" spans="2:15">
      <c r="B2677" s="20">
        <v>45337</v>
      </c>
      <c r="C2677" s="59">
        <v>40009546</v>
      </c>
      <c r="D2677" s="55" t="s">
        <v>174</v>
      </c>
      <c r="E2677" s="67">
        <v>756</v>
      </c>
      <c r="G2677" s="102">
        <v>5310</v>
      </c>
      <c r="H2677" s="56" t="s">
        <v>80</v>
      </c>
      <c r="K2677" s="56">
        <v>767</v>
      </c>
      <c r="L2677" s="55" t="s">
        <v>176</v>
      </c>
      <c r="M2677" s="55" t="s">
        <v>2824</v>
      </c>
      <c r="N2677" s="4" t="s">
        <v>177</v>
      </c>
      <c r="O2677" s="55" t="s">
        <v>178</v>
      </c>
    </row>
    <row r="2678" spans="2:15">
      <c r="B2678" s="20">
        <v>45337</v>
      </c>
      <c r="C2678" s="59">
        <v>50272278</v>
      </c>
      <c r="D2678" s="55" t="s">
        <v>21</v>
      </c>
      <c r="E2678" s="67">
        <v>500</v>
      </c>
      <c r="G2678" s="102">
        <v>2500</v>
      </c>
      <c r="H2678" s="56" t="s">
        <v>92</v>
      </c>
      <c r="K2678" s="56">
        <v>767</v>
      </c>
      <c r="L2678" s="55" t="s">
        <v>176</v>
      </c>
      <c r="M2678" s="55" t="s">
        <v>2824</v>
      </c>
      <c r="N2678" s="4" t="s">
        <v>177</v>
      </c>
      <c r="O2678" s="55" t="s">
        <v>178</v>
      </c>
    </row>
    <row r="2679" spans="2:15">
      <c r="B2679" s="20">
        <v>45337</v>
      </c>
      <c r="C2679" s="59">
        <v>40007941</v>
      </c>
      <c r="D2679" s="55" t="s">
        <v>211</v>
      </c>
      <c r="E2679" s="67">
        <v>864</v>
      </c>
      <c r="G2679" s="102">
        <v>1728</v>
      </c>
      <c r="H2679" s="56" t="s">
        <v>80</v>
      </c>
      <c r="K2679" s="56">
        <v>767</v>
      </c>
      <c r="L2679" s="55" t="s">
        <v>176</v>
      </c>
      <c r="M2679" s="55" t="s">
        <v>2824</v>
      </c>
      <c r="N2679" s="4" t="s">
        <v>177</v>
      </c>
      <c r="O2679" s="55" t="s">
        <v>178</v>
      </c>
    </row>
    <row r="2680" spans="2:15">
      <c r="B2680" s="20">
        <v>45337</v>
      </c>
      <c r="C2680" s="59">
        <v>50507916</v>
      </c>
      <c r="D2680" s="55" t="s">
        <v>406</v>
      </c>
      <c r="E2680" s="67">
        <v>264</v>
      </c>
      <c r="G2680" s="102">
        <v>1584000</v>
      </c>
      <c r="H2680" s="56" t="s">
        <v>92</v>
      </c>
      <c r="K2680" s="56">
        <v>767</v>
      </c>
      <c r="L2680" s="55" t="s">
        <v>176</v>
      </c>
      <c r="M2680" s="55" t="s">
        <v>2824</v>
      </c>
      <c r="N2680" s="4" t="s">
        <v>177</v>
      </c>
      <c r="O2680" s="55" t="s">
        <v>178</v>
      </c>
    </row>
    <row r="2681" spans="2:15">
      <c r="B2681" s="20">
        <v>45337</v>
      </c>
      <c r="C2681" s="59">
        <v>50337816</v>
      </c>
      <c r="D2681" s="55" t="s">
        <v>245</v>
      </c>
      <c r="E2681" s="67">
        <v>264</v>
      </c>
      <c r="G2681" s="102">
        <v>528</v>
      </c>
      <c r="H2681" s="56" t="s">
        <v>80</v>
      </c>
      <c r="K2681" s="56">
        <v>767</v>
      </c>
      <c r="L2681" s="55" t="s">
        <v>176</v>
      </c>
      <c r="M2681" s="55" t="s">
        <v>2824</v>
      </c>
      <c r="N2681" s="4" t="s">
        <v>177</v>
      </c>
      <c r="O2681" s="55" t="s">
        <v>178</v>
      </c>
    </row>
    <row r="2682" spans="2:15">
      <c r="B2682" s="20">
        <v>45338</v>
      </c>
      <c r="C2682" s="59">
        <v>50142397</v>
      </c>
      <c r="D2682" s="55" t="s">
        <v>557</v>
      </c>
      <c r="E2682" s="67">
        <v>250</v>
      </c>
      <c r="G2682" s="102">
        <v>250</v>
      </c>
      <c r="H2682" s="56" t="s">
        <v>92</v>
      </c>
      <c r="K2682" s="56">
        <v>768</v>
      </c>
      <c r="L2682" s="55" t="s">
        <v>176</v>
      </c>
      <c r="M2682" s="55" t="s">
        <v>2824</v>
      </c>
      <c r="N2682" s="4" t="s">
        <v>177</v>
      </c>
      <c r="O2682" s="55" t="s">
        <v>178</v>
      </c>
    </row>
    <row r="2683" spans="2:15">
      <c r="B2683" s="20">
        <v>45338</v>
      </c>
      <c r="C2683" s="59">
        <v>50142455</v>
      </c>
      <c r="D2683" s="55" t="s">
        <v>560</v>
      </c>
      <c r="E2683" s="67">
        <v>200</v>
      </c>
      <c r="G2683" s="102">
        <v>200</v>
      </c>
      <c r="H2683" s="56" t="s">
        <v>92</v>
      </c>
      <c r="K2683" s="56">
        <v>768</v>
      </c>
      <c r="L2683" s="55" t="s">
        <v>176</v>
      </c>
      <c r="M2683" s="55" t="s">
        <v>2824</v>
      </c>
      <c r="N2683" s="4" t="s">
        <v>177</v>
      </c>
      <c r="O2683" s="55" t="s">
        <v>178</v>
      </c>
    </row>
    <row r="2684" spans="2:15">
      <c r="B2684" s="20">
        <v>45338</v>
      </c>
      <c r="C2684" s="59">
        <v>50144376</v>
      </c>
      <c r="D2684" s="55" t="s">
        <v>19</v>
      </c>
      <c r="E2684" s="67">
        <v>500</v>
      </c>
      <c r="G2684" s="102">
        <v>3500</v>
      </c>
      <c r="H2684" s="56" t="s">
        <v>92</v>
      </c>
      <c r="K2684" s="56">
        <v>768</v>
      </c>
      <c r="L2684" s="55" t="s">
        <v>176</v>
      </c>
      <c r="M2684" s="55" t="s">
        <v>2824</v>
      </c>
      <c r="N2684" s="4" t="s">
        <v>177</v>
      </c>
      <c r="O2684" s="55" t="s">
        <v>178</v>
      </c>
    </row>
    <row r="2685" spans="2:15">
      <c r="B2685" s="20">
        <v>45338</v>
      </c>
      <c r="C2685" s="59">
        <v>50470190</v>
      </c>
      <c r="D2685" s="55" t="s">
        <v>12</v>
      </c>
      <c r="E2685" s="67">
        <v>289800</v>
      </c>
      <c r="G2685" s="102">
        <v>2318400</v>
      </c>
      <c r="H2685" s="56" t="s">
        <v>92</v>
      </c>
      <c r="K2685" s="56">
        <v>768</v>
      </c>
      <c r="L2685" s="55" t="s">
        <v>176</v>
      </c>
      <c r="M2685" s="55" t="s">
        <v>2824</v>
      </c>
      <c r="N2685" s="4" t="s">
        <v>177</v>
      </c>
      <c r="O2685" s="55" t="s">
        <v>178</v>
      </c>
    </row>
    <row r="2686" spans="2:15">
      <c r="B2686" s="20">
        <v>45338</v>
      </c>
      <c r="C2686" s="59">
        <v>50142334</v>
      </c>
      <c r="D2686" s="55" t="s">
        <v>257</v>
      </c>
      <c r="E2686" s="67">
        <v>681</v>
      </c>
      <c r="G2686" s="102">
        <v>681</v>
      </c>
      <c r="H2686" s="56" t="s">
        <v>82</v>
      </c>
      <c r="K2686" s="56">
        <v>768</v>
      </c>
      <c r="L2686" s="55" t="s">
        <v>176</v>
      </c>
      <c r="M2686" s="55" t="s">
        <v>2824</v>
      </c>
      <c r="N2686" s="4" t="s">
        <v>177</v>
      </c>
      <c r="O2686" s="55" t="s">
        <v>178</v>
      </c>
    </row>
    <row r="2687" spans="2:15">
      <c r="B2687" s="20">
        <v>45341</v>
      </c>
      <c r="C2687" s="59">
        <v>50799770</v>
      </c>
      <c r="D2687" s="55" t="s">
        <v>17</v>
      </c>
      <c r="E2687" s="67">
        <v>500</v>
      </c>
      <c r="G2687" s="102">
        <v>5500</v>
      </c>
      <c r="H2687" s="56" t="s">
        <v>92</v>
      </c>
      <c r="K2687" s="56">
        <v>769</v>
      </c>
      <c r="L2687" s="55" t="s">
        <v>176</v>
      </c>
      <c r="M2687" s="55" t="s">
        <v>2824</v>
      </c>
      <c r="N2687" s="4" t="s">
        <v>177</v>
      </c>
      <c r="O2687" s="55" t="s">
        <v>178</v>
      </c>
    </row>
    <row r="2688" spans="2:15">
      <c r="B2688" s="20">
        <v>45341</v>
      </c>
      <c r="C2688" s="59">
        <v>50470190</v>
      </c>
      <c r="D2688" s="55" t="s">
        <v>12</v>
      </c>
      <c r="E2688" s="67">
        <v>289800</v>
      </c>
      <c r="G2688" s="102">
        <v>2608200</v>
      </c>
      <c r="H2688" s="56" t="s">
        <v>92</v>
      </c>
      <c r="K2688" s="56">
        <v>769</v>
      </c>
      <c r="L2688" s="55" t="s">
        <v>176</v>
      </c>
      <c r="M2688" s="55" t="s">
        <v>2824</v>
      </c>
      <c r="N2688" s="4" t="s">
        <v>177</v>
      </c>
      <c r="O2688" s="55" t="s">
        <v>178</v>
      </c>
    </row>
    <row r="2689" spans="2:15">
      <c r="B2689" s="20">
        <v>45341</v>
      </c>
      <c r="C2689" s="59">
        <v>50821968</v>
      </c>
      <c r="D2689" s="55" t="s">
        <v>1204</v>
      </c>
      <c r="E2689" s="67">
        <v>456</v>
      </c>
      <c r="G2689" s="102">
        <v>3762.35</v>
      </c>
      <c r="H2689" s="56" t="s">
        <v>82</v>
      </c>
      <c r="K2689" s="56">
        <v>770</v>
      </c>
      <c r="L2689" s="55" t="s">
        <v>176</v>
      </c>
      <c r="M2689" s="55" t="s">
        <v>2824</v>
      </c>
      <c r="N2689" s="4" t="s">
        <v>177</v>
      </c>
      <c r="O2689" s="55" t="s">
        <v>178</v>
      </c>
    </row>
    <row r="2690" spans="2:15">
      <c r="B2690" s="20">
        <v>45341</v>
      </c>
      <c r="C2690" s="59">
        <v>50470190</v>
      </c>
      <c r="D2690" s="55" t="s">
        <v>12</v>
      </c>
      <c r="E2690" s="67">
        <v>289800</v>
      </c>
      <c r="G2690" s="102">
        <v>3477600</v>
      </c>
      <c r="H2690" s="56" t="s">
        <v>92</v>
      </c>
      <c r="K2690" s="56">
        <v>770</v>
      </c>
      <c r="L2690" s="55" t="s">
        <v>176</v>
      </c>
      <c r="M2690" s="55" t="s">
        <v>2824</v>
      </c>
      <c r="N2690" s="4" t="s">
        <v>177</v>
      </c>
      <c r="O2690" s="55" t="s">
        <v>178</v>
      </c>
    </row>
    <row r="2691" spans="2:15">
      <c r="B2691" s="20">
        <v>45342</v>
      </c>
      <c r="C2691" s="59">
        <v>50809145</v>
      </c>
      <c r="D2691" s="55" t="s">
        <v>946</v>
      </c>
      <c r="E2691" s="67">
        <v>456</v>
      </c>
      <c r="G2691" s="102">
        <v>4091.85</v>
      </c>
      <c r="H2691" s="56" t="s">
        <v>82</v>
      </c>
      <c r="K2691" s="56">
        <v>771</v>
      </c>
      <c r="L2691" s="55" t="s">
        <v>176</v>
      </c>
      <c r="M2691" s="55" t="s">
        <v>2824</v>
      </c>
      <c r="N2691" s="4" t="s">
        <v>177</v>
      </c>
      <c r="O2691" s="55" t="s">
        <v>178</v>
      </c>
    </row>
    <row r="2692" spans="2:15">
      <c r="B2692" s="20">
        <v>45342</v>
      </c>
      <c r="C2692" s="59">
        <v>50799770</v>
      </c>
      <c r="D2692" s="55" t="s">
        <v>17</v>
      </c>
      <c r="E2692" s="67">
        <v>500</v>
      </c>
      <c r="G2692" s="102">
        <v>5750</v>
      </c>
      <c r="H2692" s="56" t="s">
        <v>92</v>
      </c>
      <c r="K2692" s="56">
        <v>771</v>
      </c>
      <c r="L2692" s="55" t="s">
        <v>176</v>
      </c>
      <c r="M2692" s="55" t="s">
        <v>2824</v>
      </c>
      <c r="N2692" s="4" t="s">
        <v>177</v>
      </c>
      <c r="O2692" s="55" t="s">
        <v>178</v>
      </c>
    </row>
    <row r="2693" spans="2:15">
      <c r="B2693" s="20">
        <v>45342</v>
      </c>
      <c r="C2693" s="59">
        <v>50010080</v>
      </c>
      <c r="D2693" s="55" t="s">
        <v>354</v>
      </c>
      <c r="E2693" s="67">
        <v>1000</v>
      </c>
      <c r="G2693" s="102">
        <v>4000</v>
      </c>
      <c r="H2693" s="56" t="s">
        <v>82</v>
      </c>
      <c r="K2693" s="56">
        <v>772</v>
      </c>
      <c r="L2693" s="55" t="s">
        <v>176</v>
      </c>
      <c r="M2693" s="55" t="s">
        <v>2824</v>
      </c>
      <c r="N2693" s="4" t="s">
        <v>177</v>
      </c>
      <c r="O2693" s="55" t="s">
        <v>178</v>
      </c>
    </row>
    <row r="2694" spans="2:15">
      <c r="B2694" s="20">
        <v>45342</v>
      </c>
      <c r="C2694" s="59">
        <v>40011133</v>
      </c>
      <c r="D2694" s="55" t="s">
        <v>634</v>
      </c>
      <c r="E2694" s="67">
        <v>864</v>
      </c>
      <c r="G2694" s="102">
        <v>2016</v>
      </c>
      <c r="H2694" s="56" t="s">
        <v>80</v>
      </c>
      <c r="K2694" s="56">
        <v>772</v>
      </c>
      <c r="L2694" s="55" t="s">
        <v>176</v>
      </c>
      <c r="M2694" s="55" t="s">
        <v>2824</v>
      </c>
      <c r="N2694" s="4" t="s">
        <v>177</v>
      </c>
      <c r="O2694" s="55" t="s">
        <v>178</v>
      </c>
    </row>
    <row r="2695" spans="2:15">
      <c r="B2695" s="20">
        <v>45342</v>
      </c>
      <c r="C2695" s="59">
        <v>50272278</v>
      </c>
      <c r="D2695" s="55" t="s">
        <v>21</v>
      </c>
      <c r="E2695" s="67">
        <v>500</v>
      </c>
      <c r="G2695" s="102">
        <v>4000</v>
      </c>
      <c r="H2695" s="56" t="s">
        <v>92</v>
      </c>
      <c r="K2695" s="56">
        <v>772</v>
      </c>
      <c r="L2695" s="55" t="s">
        <v>176</v>
      </c>
      <c r="M2695" s="55" t="s">
        <v>2824</v>
      </c>
      <c r="N2695" s="4" t="s">
        <v>177</v>
      </c>
      <c r="O2695" s="55" t="s">
        <v>178</v>
      </c>
    </row>
    <row r="2696" spans="2:15">
      <c r="B2696" s="20">
        <v>45342</v>
      </c>
      <c r="C2696" s="59">
        <v>50337816</v>
      </c>
      <c r="D2696" s="55" t="s">
        <v>245</v>
      </c>
      <c r="E2696" s="67">
        <v>264</v>
      </c>
      <c r="G2696" s="102">
        <v>792</v>
      </c>
      <c r="H2696" s="56" t="s">
        <v>80</v>
      </c>
      <c r="K2696" s="56">
        <v>772</v>
      </c>
      <c r="L2696" s="55" t="s">
        <v>176</v>
      </c>
      <c r="M2696" s="55" t="s">
        <v>2824</v>
      </c>
      <c r="N2696" s="4" t="s">
        <v>177</v>
      </c>
      <c r="O2696" s="55" t="s">
        <v>178</v>
      </c>
    </row>
    <row r="2697" spans="2:15">
      <c r="B2697" s="20">
        <v>45342</v>
      </c>
      <c r="C2697" s="59">
        <v>50142327</v>
      </c>
      <c r="D2697" s="55" t="s">
        <v>256</v>
      </c>
      <c r="E2697" s="67">
        <v>681</v>
      </c>
      <c r="G2697" s="102">
        <v>681</v>
      </c>
      <c r="H2697" s="56" t="s">
        <v>82</v>
      </c>
      <c r="K2697" s="56">
        <v>772</v>
      </c>
      <c r="L2697" s="55" t="s">
        <v>176</v>
      </c>
      <c r="M2697" s="55" t="s">
        <v>2824</v>
      </c>
      <c r="N2697" s="4" t="s">
        <v>177</v>
      </c>
      <c r="O2697" s="55" t="s">
        <v>178</v>
      </c>
    </row>
    <row r="2698" spans="2:15">
      <c r="B2698" s="20">
        <v>45342</v>
      </c>
      <c r="C2698" s="59">
        <v>50142334</v>
      </c>
      <c r="D2698" s="55" t="s">
        <v>257</v>
      </c>
      <c r="E2698" s="67">
        <v>681</v>
      </c>
      <c r="G2698" s="102">
        <v>681</v>
      </c>
      <c r="H2698" s="56" t="s">
        <v>82</v>
      </c>
      <c r="K2698" s="56">
        <v>772</v>
      </c>
      <c r="L2698" s="55" t="s">
        <v>176</v>
      </c>
      <c r="M2698" s="55" t="s">
        <v>2824</v>
      </c>
      <c r="N2698" s="4" t="s">
        <v>177</v>
      </c>
      <c r="O2698" s="55" t="s">
        <v>178</v>
      </c>
    </row>
    <row r="2699" spans="2:15">
      <c r="B2699" s="20">
        <v>45343</v>
      </c>
      <c r="C2699" s="59">
        <v>50804970</v>
      </c>
      <c r="D2699" s="55" t="s">
        <v>857</v>
      </c>
      <c r="E2699" s="67">
        <v>2970000</v>
      </c>
      <c r="G2699" s="102">
        <v>3700000</v>
      </c>
      <c r="H2699" s="56" t="s">
        <v>92</v>
      </c>
      <c r="K2699" s="56">
        <v>773</v>
      </c>
      <c r="L2699" s="55" t="s">
        <v>176</v>
      </c>
      <c r="M2699" s="55" t="s">
        <v>2824</v>
      </c>
      <c r="N2699" s="4" t="s">
        <v>177</v>
      </c>
      <c r="O2699" s="55" t="s">
        <v>178</v>
      </c>
    </row>
    <row r="2700" spans="2:15">
      <c r="B2700" s="20">
        <v>45343</v>
      </c>
      <c r="C2700" s="59">
        <v>50804971</v>
      </c>
      <c r="D2700" s="55" t="s">
        <v>855</v>
      </c>
      <c r="E2700" s="67">
        <v>99000</v>
      </c>
      <c r="G2700" s="102">
        <v>1980000</v>
      </c>
      <c r="H2700" s="56" t="s">
        <v>92</v>
      </c>
      <c r="K2700" s="56">
        <v>773</v>
      </c>
      <c r="L2700" s="55" t="s">
        <v>176</v>
      </c>
      <c r="M2700" s="55" t="s">
        <v>2824</v>
      </c>
      <c r="N2700" s="4" t="s">
        <v>177</v>
      </c>
      <c r="O2700" s="55" t="s">
        <v>178</v>
      </c>
    </row>
    <row r="2701" spans="2:15">
      <c r="B2701" s="20">
        <v>45343</v>
      </c>
      <c r="C2701" s="59">
        <v>50804929</v>
      </c>
      <c r="D2701" s="55" t="s">
        <v>856</v>
      </c>
      <c r="E2701" s="67">
        <v>504000</v>
      </c>
      <c r="G2701" s="102">
        <v>1008000</v>
      </c>
      <c r="H2701" s="56" t="s">
        <v>92</v>
      </c>
      <c r="K2701" s="56">
        <v>773</v>
      </c>
      <c r="L2701" s="55" t="s">
        <v>176</v>
      </c>
      <c r="M2701" s="55" t="s">
        <v>2824</v>
      </c>
      <c r="N2701" s="4" t="s">
        <v>177</v>
      </c>
      <c r="O2701" s="55" t="s">
        <v>178</v>
      </c>
    </row>
    <row r="2702" spans="2:15">
      <c r="B2702" s="20">
        <v>45343</v>
      </c>
      <c r="C2702" s="59">
        <v>50272278</v>
      </c>
      <c r="D2702" s="55" t="s">
        <v>21</v>
      </c>
      <c r="E2702" s="67">
        <v>500</v>
      </c>
      <c r="G2702" s="102">
        <v>6500</v>
      </c>
      <c r="H2702" s="56" t="s">
        <v>92</v>
      </c>
      <c r="K2702" s="56">
        <v>773</v>
      </c>
      <c r="L2702" s="55" t="s">
        <v>176</v>
      </c>
      <c r="M2702" s="55" t="s">
        <v>2824</v>
      </c>
      <c r="N2702" s="4" t="s">
        <v>177</v>
      </c>
      <c r="O2702" s="55" t="s">
        <v>178</v>
      </c>
    </row>
    <row r="2703" spans="2:15">
      <c r="B2703" s="20">
        <v>45343</v>
      </c>
      <c r="C2703" s="59">
        <v>40011148</v>
      </c>
      <c r="D2703" s="55" t="s">
        <v>86</v>
      </c>
      <c r="E2703" s="67">
        <v>450</v>
      </c>
      <c r="G2703" s="102">
        <v>460</v>
      </c>
      <c r="H2703" s="56" t="s">
        <v>80</v>
      </c>
      <c r="K2703" s="56">
        <v>773</v>
      </c>
      <c r="L2703" s="55" t="s">
        <v>176</v>
      </c>
      <c r="M2703" s="55" t="s">
        <v>2824</v>
      </c>
      <c r="N2703" s="4" t="s">
        <v>177</v>
      </c>
      <c r="O2703" s="55" t="s">
        <v>178</v>
      </c>
    </row>
    <row r="2704" spans="2:15">
      <c r="B2704" s="20">
        <v>45343</v>
      </c>
      <c r="C2704" s="59">
        <v>50315365</v>
      </c>
      <c r="D2704" s="55" t="s">
        <v>584</v>
      </c>
      <c r="E2704" s="67">
        <v>264</v>
      </c>
      <c r="G2704" s="102">
        <v>528</v>
      </c>
      <c r="H2704" s="56" t="s">
        <v>80</v>
      </c>
      <c r="K2704" s="56">
        <v>773</v>
      </c>
      <c r="L2704" s="55" t="s">
        <v>176</v>
      </c>
      <c r="M2704" s="55" t="s">
        <v>2824</v>
      </c>
      <c r="N2704" s="4" t="s">
        <v>177</v>
      </c>
      <c r="O2704" s="55" t="s">
        <v>178</v>
      </c>
    </row>
    <row r="2705" spans="2:15">
      <c r="B2705" s="20">
        <v>45343</v>
      </c>
      <c r="C2705" s="59">
        <v>50272278</v>
      </c>
      <c r="D2705" s="55" t="s">
        <v>21</v>
      </c>
      <c r="E2705" s="67">
        <v>500</v>
      </c>
      <c r="G2705" s="102">
        <v>2000</v>
      </c>
      <c r="H2705" s="56" t="s">
        <v>92</v>
      </c>
      <c r="K2705" s="56">
        <v>774</v>
      </c>
      <c r="L2705" s="55" t="s">
        <v>326</v>
      </c>
      <c r="M2705" s="55" t="s">
        <v>326</v>
      </c>
      <c r="N2705" s="4" t="s">
        <v>327</v>
      </c>
      <c r="O2705" s="55" t="s">
        <v>178</v>
      </c>
    </row>
    <row r="2706" spans="2:15">
      <c r="B2706" s="20">
        <v>45343</v>
      </c>
      <c r="C2706" s="59">
        <v>50144376</v>
      </c>
      <c r="D2706" s="55" t="s">
        <v>19</v>
      </c>
      <c r="E2706" s="67">
        <v>500</v>
      </c>
      <c r="G2706" s="102">
        <v>2000</v>
      </c>
      <c r="H2706" s="56" t="s">
        <v>92</v>
      </c>
      <c r="K2706" s="56">
        <v>774</v>
      </c>
      <c r="L2706" s="55" t="s">
        <v>326</v>
      </c>
      <c r="M2706" s="55" t="s">
        <v>326</v>
      </c>
      <c r="N2706" s="4" t="s">
        <v>327</v>
      </c>
      <c r="O2706" s="55" t="s">
        <v>178</v>
      </c>
    </row>
    <row r="2707" spans="2:15">
      <c r="B2707" s="20">
        <v>45343</v>
      </c>
      <c r="C2707" s="59">
        <v>50145028</v>
      </c>
      <c r="D2707" s="55" t="s">
        <v>23</v>
      </c>
      <c r="E2707" s="67">
        <v>192</v>
      </c>
      <c r="G2707" s="102">
        <v>576</v>
      </c>
      <c r="H2707" s="56" t="s">
        <v>92</v>
      </c>
      <c r="K2707" s="56">
        <v>774</v>
      </c>
      <c r="L2707" s="55" t="s">
        <v>326</v>
      </c>
      <c r="M2707" s="55" t="s">
        <v>326</v>
      </c>
      <c r="N2707" s="4" t="s">
        <v>327</v>
      </c>
      <c r="O2707" s="55" t="s">
        <v>178</v>
      </c>
    </row>
    <row r="2708" spans="2:15">
      <c r="B2708" s="20">
        <v>45344</v>
      </c>
      <c r="C2708" s="59">
        <v>50522176</v>
      </c>
      <c r="D2708" s="55" t="s">
        <v>455</v>
      </c>
      <c r="E2708" s="67">
        <v>456</v>
      </c>
      <c r="G2708" s="102">
        <v>2749.95</v>
      </c>
      <c r="H2708" s="56" t="s">
        <v>82</v>
      </c>
      <c r="K2708" s="56">
        <v>775</v>
      </c>
      <c r="L2708" s="55" t="s">
        <v>176</v>
      </c>
      <c r="M2708" s="55" t="s">
        <v>2824</v>
      </c>
      <c r="N2708" s="4" t="s">
        <v>177</v>
      </c>
      <c r="O2708" s="55" t="s">
        <v>178</v>
      </c>
    </row>
    <row r="2709" spans="2:15">
      <c r="B2709" s="20">
        <v>45344</v>
      </c>
      <c r="C2709" s="59">
        <v>50272278</v>
      </c>
      <c r="D2709" s="55" t="s">
        <v>21</v>
      </c>
      <c r="E2709" s="67">
        <v>500</v>
      </c>
      <c r="G2709" s="102">
        <v>4000</v>
      </c>
      <c r="H2709" s="56" t="s">
        <v>92</v>
      </c>
      <c r="K2709" s="56">
        <v>775</v>
      </c>
      <c r="L2709" s="55" t="s">
        <v>176</v>
      </c>
      <c r="M2709" s="55" t="s">
        <v>2824</v>
      </c>
      <c r="N2709" s="4" t="s">
        <v>177</v>
      </c>
      <c r="O2709" s="55" t="s">
        <v>178</v>
      </c>
    </row>
    <row r="2710" spans="2:15">
      <c r="B2710" s="20">
        <v>45344</v>
      </c>
      <c r="C2710" s="59">
        <v>40011149</v>
      </c>
      <c r="D2710" s="55" t="s">
        <v>37</v>
      </c>
      <c r="E2710" s="67">
        <v>360</v>
      </c>
      <c r="G2710" s="102">
        <v>1080</v>
      </c>
      <c r="H2710" s="56" t="s">
        <v>80</v>
      </c>
      <c r="K2710" s="56">
        <v>775</v>
      </c>
      <c r="L2710" s="55" t="s">
        <v>176</v>
      </c>
      <c r="M2710" s="55" t="s">
        <v>2824</v>
      </c>
      <c r="N2710" s="4" t="s">
        <v>177</v>
      </c>
      <c r="O2710" s="55" t="s">
        <v>178</v>
      </c>
    </row>
    <row r="2711" spans="2:15">
      <c r="B2711" s="20">
        <v>45344</v>
      </c>
      <c r="C2711" s="59">
        <v>50470190</v>
      </c>
      <c r="D2711" s="55" t="s">
        <v>12</v>
      </c>
      <c r="E2711" s="67">
        <v>289800</v>
      </c>
      <c r="G2711" s="102">
        <v>579600</v>
      </c>
      <c r="H2711" s="56" t="s">
        <v>92</v>
      </c>
      <c r="K2711" s="56">
        <v>775</v>
      </c>
      <c r="L2711" s="55" t="s">
        <v>176</v>
      </c>
      <c r="M2711" s="55" t="s">
        <v>2824</v>
      </c>
      <c r="N2711" s="4" t="s">
        <v>177</v>
      </c>
      <c r="O2711" s="55" t="s">
        <v>178</v>
      </c>
    </row>
    <row r="2712" spans="2:15">
      <c r="B2712" s="20">
        <v>45345</v>
      </c>
      <c r="C2712" s="59">
        <v>50143893</v>
      </c>
      <c r="D2712" s="55" t="s">
        <v>24</v>
      </c>
      <c r="E2712" s="67">
        <v>990</v>
      </c>
      <c r="G2712" s="102">
        <v>1980</v>
      </c>
      <c r="H2712" s="56" t="s">
        <v>92</v>
      </c>
      <c r="K2712" s="56">
        <v>776</v>
      </c>
      <c r="L2712" s="55" t="s">
        <v>176</v>
      </c>
      <c r="M2712" s="55" t="s">
        <v>2824</v>
      </c>
      <c r="N2712" s="4" t="s">
        <v>177</v>
      </c>
      <c r="O2712" s="55" t="s">
        <v>178</v>
      </c>
    </row>
    <row r="2713" spans="2:15">
      <c r="B2713" s="20">
        <v>45345</v>
      </c>
      <c r="C2713" s="59">
        <v>50799770</v>
      </c>
      <c r="D2713" s="55" t="s">
        <v>17</v>
      </c>
      <c r="E2713" s="67">
        <v>500</v>
      </c>
      <c r="G2713" s="102">
        <v>4000</v>
      </c>
      <c r="H2713" s="56" t="s">
        <v>92</v>
      </c>
      <c r="K2713" s="56">
        <v>776</v>
      </c>
      <c r="L2713" s="55" t="s">
        <v>176</v>
      </c>
      <c r="M2713" s="55" t="s">
        <v>2824</v>
      </c>
      <c r="N2713" s="4" t="s">
        <v>177</v>
      </c>
      <c r="O2713" s="55" t="s">
        <v>178</v>
      </c>
    </row>
    <row r="2714" spans="2:15">
      <c r="B2714" s="20">
        <v>45345</v>
      </c>
      <c r="C2714" s="59">
        <v>50272278</v>
      </c>
      <c r="D2714" s="55" t="s">
        <v>21</v>
      </c>
      <c r="E2714" s="67">
        <v>500</v>
      </c>
      <c r="G2714" s="102">
        <v>2000</v>
      </c>
      <c r="H2714" s="56" t="s">
        <v>92</v>
      </c>
      <c r="K2714" s="56">
        <v>776</v>
      </c>
      <c r="L2714" s="55" t="s">
        <v>176</v>
      </c>
      <c r="M2714" s="55" t="s">
        <v>2824</v>
      </c>
      <c r="N2714" s="4" t="s">
        <v>177</v>
      </c>
      <c r="O2714" s="55" t="s">
        <v>178</v>
      </c>
    </row>
    <row r="2715" spans="2:15">
      <c r="B2715" s="20">
        <v>45345</v>
      </c>
      <c r="C2715" s="59">
        <v>50802401</v>
      </c>
      <c r="D2715" s="55" t="s">
        <v>13</v>
      </c>
      <c r="E2715" s="67">
        <v>289800</v>
      </c>
      <c r="G2715" s="102">
        <v>1159200</v>
      </c>
      <c r="H2715" s="56" t="s">
        <v>92</v>
      </c>
      <c r="K2715" s="56">
        <v>776</v>
      </c>
      <c r="L2715" s="55" t="s">
        <v>176</v>
      </c>
      <c r="M2715" s="55" t="s">
        <v>2824</v>
      </c>
      <c r="N2715" s="4" t="s">
        <v>177</v>
      </c>
      <c r="O2715" s="55" t="s">
        <v>178</v>
      </c>
    </row>
    <row r="2716" spans="2:15">
      <c r="B2716" s="20">
        <v>45345</v>
      </c>
      <c r="C2716" s="59">
        <v>40014087</v>
      </c>
      <c r="D2716" s="55" t="s">
        <v>1211</v>
      </c>
      <c r="E2716" s="67">
        <v>3360</v>
      </c>
      <c r="G2716" s="102">
        <f>3360+70</f>
        <v>3430</v>
      </c>
      <c r="H2716" s="56" t="s">
        <v>80</v>
      </c>
      <c r="K2716" s="56">
        <v>776</v>
      </c>
      <c r="L2716" s="55" t="s">
        <v>176</v>
      </c>
      <c r="M2716" s="55" t="s">
        <v>2824</v>
      </c>
      <c r="N2716" s="4" t="s">
        <v>177</v>
      </c>
      <c r="O2716" s="55" t="s">
        <v>178</v>
      </c>
    </row>
    <row r="2717" spans="2:15">
      <c r="B2717" s="20">
        <v>45345</v>
      </c>
      <c r="C2717" s="59">
        <v>40014089</v>
      </c>
      <c r="D2717" s="55" t="s">
        <v>1213</v>
      </c>
      <c r="E2717" s="67">
        <v>666</v>
      </c>
      <c r="G2717" s="102">
        <v>666</v>
      </c>
      <c r="H2717" s="56" t="s">
        <v>80</v>
      </c>
      <c r="K2717" s="56">
        <v>776</v>
      </c>
      <c r="L2717" s="55" t="s">
        <v>176</v>
      </c>
      <c r="M2717" s="55" t="s">
        <v>2824</v>
      </c>
      <c r="N2717" s="4" t="s">
        <v>177</v>
      </c>
      <c r="O2717" s="55" t="s">
        <v>178</v>
      </c>
    </row>
    <row r="2718" spans="2:15">
      <c r="B2718" s="20">
        <v>45345</v>
      </c>
      <c r="C2718" s="59">
        <v>40013999</v>
      </c>
      <c r="D2718" s="55" t="s">
        <v>1214</v>
      </c>
      <c r="E2718" s="67">
        <v>3360</v>
      </c>
      <c r="G2718" s="102">
        <v>3360</v>
      </c>
      <c r="H2718" s="56" t="s">
        <v>80</v>
      </c>
      <c r="K2718" s="56">
        <v>776</v>
      </c>
      <c r="L2718" s="55" t="s">
        <v>176</v>
      </c>
      <c r="M2718" s="55" t="s">
        <v>2824</v>
      </c>
      <c r="N2718" s="4" t="s">
        <v>177</v>
      </c>
      <c r="O2718" s="55" t="s">
        <v>178</v>
      </c>
    </row>
    <row r="2719" spans="2:15">
      <c r="B2719" s="20">
        <v>45345</v>
      </c>
      <c r="C2719" s="59">
        <v>40014002</v>
      </c>
      <c r="D2719" s="55" t="s">
        <v>1215</v>
      </c>
      <c r="E2719" s="67">
        <v>675</v>
      </c>
      <c r="G2719" s="102">
        <v>675</v>
      </c>
      <c r="H2719" s="56" t="s">
        <v>80</v>
      </c>
      <c r="K2719" s="56">
        <v>776</v>
      </c>
      <c r="L2719" s="55" t="s">
        <v>176</v>
      </c>
      <c r="M2719" s="55" t="s">
        <v>2824</v>
      </c>
      <c r="N2719" s="4" t="s">
        <v>177</v>
      </c>
      <c r="O2719" s="55" t="s">
        <v>178</v>
      </c>
    </row>
    <row r="2720" spans="2:15">
      <c r="B2720" s="20">
        <v>45345</v>
      </c>
      <c r="C2720" s="59">
        <v>40014087</v>
      </c>
      <c r="D2720" s="55" t="s">
        <v>1211</v>
      </c>
      <c r="G2720" s="102">
        <v>5250</v>
      </c>
      <c r="H2720" s="56" t="s">
        <v>80</v>
      </c>
      <c r="K2720" s="56">
        <v>777</v>
      </c>
      <c r="L2720" s="55" t="s">
        <v>176</v>
      </c>
      <c r="M2720" s="55" t="s">
        <v>2824</v>
      </c>
      <c r="N2720" s="4" t="s">
        <v>177</v>
      </c>
      <c r="O2720" s="55" t="s">
        <v>178</v>
      </c>
    </row>
    <row r="2721" spans="2:15">
      <c r="B2721" s="20">
        <v>45345</v>
      </c>
      <c r="C2721" s="59">
        <v>40014089</v>
      </c>
      <c r="D2721" s="55" t="s">
        <v>1213</v>
      </c>
      <c r="G2721" s="102">
        <v>1728</v>
      </c>
      <c r="H2721" s="56" t="s">
        <v>80</v>
      </c>
      <c r="K2721" s="56">
        <v>777</v>
      </c>
      <c r="L2721" s="55" t="s">
        <v>176</v>
      </c>
      <c r="M2721" s="55" t="s">
        <v>2824</v>
      </c>
      <c r="N2721" s="4" t="s">
        <v>177</v>
      </c>
      <c r="O2721" s="55" t="s">
        <v>178</v>
      </c>
    </row>
    <row r="2722" spans="2:15">
      <c r="B2722" s="20">
        <v>45345</v>
      </c>
      <c r="C2722" s="59">
        <v>40013999</v>
      </c>
      <c r="D2722" s="55" t="s">
        <v>1214</v>
      </c>
      <c r="G2722" s="102">
        <v>5855</v>
      </c>
      <c r="H2722" s="56" t="s">
        <v>80</v>
      </c>
      <c r="K2722" s="56">
        <v>777</v>
      </c>
      <c r="L2722" s="55" t="s">
        <v>176</v>
      </c>
      <c r="M2722" s="55" t="s">
        <v>2824</v>
      </c>
      <c r="N2722" s="4" t="s">
        <v>177</v>
      </c>
      <c r="O2722" s="55" t="s">
        <v>178</v>
      </c>
    </row>
    <row r="2723" spans="2:15">
      <c r="B2723" s="20">
        <v>45345</v>
      </c>
      <c r="C2723" s="59">
        <v>40014002</v>
      </c>
      <c r="D2723" s="55" t="s">
        <v>1215</v>
      </c>
      <c r="G2723" s="102">
        <v>1044</v>
      </c>
      <c r="H2723" s="56" t="s">
        <v>80</v>
      </c>
      <c r="K2723" s="56">
        <v>777</v>
      </c>
      <c r="L2723" s="55" t="s">
        <v>176</v>
      </c>
      <c r="M2723" s="55" t="s">
        <v>2824</v>
      </c>
      <c r="N2723" s="4" t="s">
        <v>177</v>
      </c>
      <c r="O2723" s="55" t="s">
        <v>178</v>
      </c>
    </row>
    <row r="2724" spans="2:15">
      <c r="B2724" s="20">
        <v>45345</v>
      </c>
      <c r="C2724" s="59">
        <v>40014086</v>
      </c>
      <c r="D2724" s="55" t="s">
        <v>1219</v>
      </c>
      <c r="G2724" s="102">
        <v>2100</v>
      </c>
      <c r="H2724" s="56" t="s">
        <v>80</v>
      </c>
      <c r="K2724" s="56">
        <v>777</v>
      </c>
      <c r="L2724" s="55" t="s">
        <v>176</v>
      </c>
      <c r="M2724" s="55" t="s">
        <v>2824</v>
      </c>
      <c r="N2724" s="4" t="s">
        <v>177</v>
      </c>
      <c r="O2724" s="55" t="s">
        <v>178</v>
      </c>
    </row>
    <row r="2725" spans="2:15">
      <c r="B2725" s="20">
        <v>45345</v>
      </c>
      <c r="C2725" s="59">
        <v>40014088</v>
      </c>
      <c r="D2725" s="55" t="s">
        <v>1221</v>
      </c>
      <c r="G2725" s="102">
        <v>2040</v>
      </c>
      <c r="H2725" s="56" t="s">
        <v>80</v>
      </c>
      <c r="K2725" s="56">
        <v>777</v>
      </c>
      <c r="L2725" s="55" t="s">
        <v>176</v>
      </c>
      <c r="M2725" s="55" t="s">
        <v>2824</v>
      </c>
      <c r="N2725" s="4" t="s">
        <v>177</v>
      </c>
      <c r="O2725" s="55" t="s">
        <v>178</v>
      </c>
    </row>
    <row r="2726" spans="2:15">
      <c r="B2726" s="20">
        <v>45345</v>
      </c>
      <c r="C2726" s="59">
        <v>40014000</v>
      </c>
      <c r="D2726" s="55" t="s">
        <v>1222</v>
      </c>
      <c r="G2726" s="102">
        <v>2109</v>
      </c>
      <c r="H2726" s="56" t="s">
        <v>80</v>
      </c>
      <c r="K2726" s="56">
        <v>777</v>
      </c>
      <c r="L2726" s="55" t="s">
        <v>176</v>
      </c>
      <c r="M2726" s="55" t="s">
        <v>2824</v>
      </c>
      <c r="N2726" s="4" t="s">
        <v>177</v>
      </c>
      <c r="O2726" s="55" t="s">
        <v>178</v>
      </c>
    </row>
    <row r="2727" spans="2:15">
      <c r="B2727" s="20">
        <v>45345</v>
      </c>
      <c r="C2727" s="59">
        <v>40014003</v>
      </c>
      <c r="D2727" s="55" t="s">
        <v>1223</v>
      </c>
      <c r="G2727" s="102">
        <v>2022</v>
      </c>
      <c r="H2727" s="56" t="s">
        <v>80</v>
      </c>
      <c r="K2727" s="56">
        <v>777</v>
      </c>
      <c r="L2727" s="55" t="s">
        <v>176</v>
      </c>
      <c r="M2727" s="55" t="s">
        <v>2824</v>
      </c>
      <c r="N2727" s="4" t="s">
        <v>177</v>
      </c>
      <c r="O2727" s="55" t="s">
        <v>178</v>
      </c>
    </row>
    <row r="2728" spans="2:15">
      <c r="B2728" s="20">
        <v>45345</v>
      </c>
      <c r="C2728" s="59">
        <v>50522176</v>
      </c>
      <c r="D2728" s="55" t="s">
        <v>455</v>
      </c>
      <c r="G2728" s="102">
        <v>718.15</v>
      </c>
      <c r="H2728" s="56" t="s">
        <v>82</v>
      </c>
      <c r="K2728" s="56">
        <v>777</v>
      </c>
      <c r="L2728" s="55" t="s">
        <v>176</v>
      </c>
      <c r="M2728" s="55" t="s">
        <v>2824</v>
      </c>
      <c r="N2728" s="4" t="s">
        <v>177</v>
      </c>
      <c r="O2728" s="55" t="s">
        <v>178</v>
      </c>
    </row>
    <row r="2729" spans="2:15">
      <c r="B2729" s="20">
        <v>45345</v>
      </c>
      <c r="C2729" s="59">
        <v>50272278</v>
      </c>
      <c r="D2729" s="55" t="s">
        <v>21</v>
      </c>
      <c r="E2729" s="67">
        <v>500</v>
      </c>
      <c r="G2729" s="102">
        <v>3000</v>
      </c>
      <c r="H2729" s="56" t="s">
        <v>92</v>
      </c>
      <c r="K2729" s="56">
        <v>777</v>
      </c>
      <c r="L2729" s="55" t="s">
        <v>176</v>
      </c>
      <c r="M2729" s="55" t="s">
        <v>2824</v>
      </c>
      <c r="N2729" s="4" t="s">
        <v>177</v>
      </c>
      <c r="O2729" s="55" t="s">
        <v>178</v>
      </c>
    </row>
    <row r="2730" spans="2:15">
      <c r="B2730" s="20">
        <v>45348</v>
      </c>
      <c r="C2730" s="59">
        <v>40011080</v>
      </c>
      <c r="D2730" s="55" t="s">
        <v>420</v>
      </c>
      <c r="E2730" s="67">
        <v>450</v>
      </c>
      <c r="G2730" s="102">
        <v>3150</v>
      </c>
      <c r="H2730" s="56" t="s">
        <v>80</v>
      </c>
      <c r="K2730" s="56">
        <v>778</v>
      </c>
      <c r="L2730" s="55" t="s">
        <v>176</v>
      </c>
      <c r="M2730" s="55" t="s">
        <v>2824</v>
      </c>
      <c r="N2730" s="4" t="s">
        <v>177</v>
      </c>
      <c r="O2730" s="55" t="s">
        <v>178</v>
      </c>
    </row>
    <row r="2731" spans="2:15">
      <c r="B2731" s="20">
        <v>45348</v>
      </c>
      <c r="C2731" s="59">
        <v>40011148</v>
      </c>
      <c r="D2731" s="55" t="s">
        <v>86</v>
      </c>
      <c r="E2731" s="67">
        <v>450</v>
      </c>
      <c r="G2731" s="102">
        <v>900</v>
      </c>
      <c r="H2731" s="56" t="s">
        <v>80</v>
      </c>
      <c r="K2731" s="56">
        <v>778</v>
      </c>
      <c r="L2731" s="55" t="s">
        <v>176</v>
      </c>
      <c r="M2731" s="55" t="s">
        <v>2824</v>
      </c>
      <c r="N2731" s="4" t="s">
        <v>177</v>
      </c>
      <c r="O2731" s="55" t="s">
        <v>178</v>
      </c>
    </row>
    <row r="2732" spans="2:15">
      <c r="B2732" s="20">
        <v>45348</v>
      </c>
      <c r="C2732" s="59">
        <v>50507916</v>
      </c>
      <c r="D2732" s="55" t="s">
        <v>406</v>
      </c>
      <c r="E2732" s="67">
        <v>264000</v>
      </c>
      <c r="G2732" s="102">
        <v>264000</v>
      </c>
      <c r="H2732" s="56" t="s">
        <v>92</v>
      </c>
      <c r="K2732" s="56">
        <v>778</v>
      </c>
      <c r="L2732" s="55" t="s">
        <v>176</v>
      </c>
      <c r="M2732" s="55" t="s">
        <v>2824</v>
      </c>
      <c r="N2732" s="4" t="s">
        <v>177</v>
      </c>
      <c r="O2732" s="55" t="s">
        <v>178</v>
      </c>
    </row>
    <row r="2733" spans="2:15">
      <c r="B2733" s="20">
        <v>45348</v>
      </c>
      <c r="C2733" s="59">
        <v>50470190</v>
      </c>
      <c r="D2733" s="55" t="s">
        <v>12</v>
      </c>
      <c r="E2733" s="67">
        <v>289800</v>
      </c>
      <c r="G2733" s="102">
        <v>2898000</v>
      </c>
      <c r="H2733" s="56" t="s">
        <v>92</v>
      </c>
      <c r="K2733" s="56">
        <v>778</v>
      </c>
      <c r="L2733" s="55" t="s">
        <v>176</v>
      </c>
      <c r="M2733" s="55" t="s">
        <v>2824</v>
      </c>
      <c r="N2733" s="4" t="s">
        <v>177</v>
      </c>
      <c r="O2733" s="55" t="s">
        <v>178</v>
      </c>
    </row>
    <row r="2734" spans="2:15">
      <c r="B2734" s="20">
        <v>45349</v>
      </c>
      <c r="C2734" s="59">
        <v>50551883</v>
      </c>
      <c r="D2734" s="55" t="s">
        <v>223</v>
      </c>
      <c r="E2734" s="67">
        <v>1400000</v>
      </c>
      <c r="G2734" s="102">
        <v>156000</v>
      </c>
      <c r="H2734" s="56" t="s">
        <v>92</v>
      </c>
      <c r="K2734" s="56">
        <v>779</v>
      </c>
      <c r="L2734" s="55" t="s">
        <v>176</v>
      </c>
      <c r="M2734" s="55" t="s">
        <v>2824</v>
      </c>
      <c r="N2734" s="4" t="s">
        <v>177</v>
      </c>
      <c r="O2734" s="55" t="s">
        <v>178</v>
      </c>
    </row>
    <row r="2735" spans="2:15">
      <c r="B2735" s="20">
        <v>45349</v>
      </c>
      <c r="C2735" s="59">
        <v>50272278</v>
      </c>
      <c r="D2735" s="55" t="s">
        <v>21</v>
      </c>
      <c r="E2735" s="67">
        <v>500</v>
      </c>
      <c r="G2735" s="102">
        <v>10000</v>
      </c>
      <c r="H2735" s="56" t="s">
        <v>92</v>
      </c>
      <c r="K2735" s="56">
        <v>779</v>
      </c>
      <c r="L2735" s="55" t="s">
        <v>176</v>
      </c>
      <c r="M2735" s="55" t="s">
        <v>2824</v>
      </c>
      <c r="N2735" s="4" t="s">
        <v>177</v>
      </c>
      <c r="O2735" s="55" t="s">
        <v>178</v>
      </c>
    </row>
    <row r="2736" spans="2:15">
      <c r="B2736" s="20">
        <v>45349</v>
      </c>
      <c r="C2736" s="59">
        <v>50010080</v>
      </c>
      <c r="D2736" s="55" t="s">
        <v>354</v>
      </c>
      <c r="E2736" s="67">
        <v>1000</v>
      </c>
      <c r="G2736" s="102">
        <v>4000</v>
      </c>
      <c r="H2736" s="56" t="s">
        <v>82</v>
      </c>
      <c r="K2736" s="56">
        <v>780</v>
      </c>
      <c r="L2736" s="55" t="s">
        <v>176</v>
      </c>
      <c r="M2736" s="55" t="s">
        <v>2824</v>
      </c>
      <c r="N2736" s="4" t="s">
        <v>177</v>
      </c>
      <c r="O2736" s="55" t="s">
        <v>178</v>
      </c>
    </row>
    <row r="2737" spans="2:15">
      <c r="B2737" s="20">
        <v>45349</v>
      </c>
      <c r="C2737" s="59">
        <v>50804929</v>
      </c>
      <c r="D2737" s="55" t="s">
        <v>856</v>
      </c>
      <c r="E2737" s="67">
        <v>504000</v>
      </c>
      <c r="G2737" s="102">
        <v>1008000</v>
      </c>
      <c r="H2737" s="56" t="s">
        <v>92</v>
      </c>
      <c r="K2737" s="56">
        <v>780</v>
      </c>
      <c r="L2737" s="55" t="s">
        <v>176</v>
      </c>
      <c r="M2737" s="55" t="s">
        <v>2824</v>
      </c>
      <c r="N2737" s="4" t="s">
        <v>177</v>
      </c>
      <c r="O2737" s="55" t="s">
        <v>178</v>
      </c>
    </row>
    <row r="2738" spans="2:15">
      <c r="B2738" s="20">
        <v>45349</v>
      </c>
      <c r="C2738" s="59">
        <v>50498271</v>
      </c>
      <c r="D2738" s="55" t="s">
        <v>1025</v>
      </c>
      <c r="E2738" s="67">
        <v>456</v>
      </c>
      <c r="G2738" s="102">
        <v>3640.07</v>
      </c>
      <c r="H2738" s="56" t="s">
        <v>82</v>
      </c>
      <c r="K2738" s="56">
        <v>780</v>
      </c>
      <c r="L2738" s="55" t="s">
        <v>176</v>
      </c>
      <c r="M2738" s="55" t="s">
        <v>2824</v>
      </c>
      <c r="N2738" s="4" t="s">
        <v>177</v>
      </c>
      <c r="O2738" s="55" t="s">
        <v>178</v>
      </c>
    </row>
    <row r="2739" spans="2:15">
      <c r="B2739" s="20">
        <v>45349</v>
      </c>
      <c r="C2739" s="59">
        <v>50507916</v>
      </c>
      <c r="D2739" s="55" t="s">
        <v>406</v>
      </c>
      <c r="E2739" s="67">
        <v>264000</v>
      </c>
      <c r="G2739" s="102">
        <v>528000</v>
      </c>
      <c r="H2739" s="56" t="s">
        <v>92</v>
      </c>
      <c r="K2739" s="56">
        <v>780</v>
      </c>
      <c r="L2739" s="55" t="s">
        <v>176</v>
      </c>
      <c r="M2739" s="55" t="s">
        <v>2824</v>
      </c>
      <c r="N2739" s="4" t="s">
        <v>177</v>
      </c>
      <c r="O2739" s="55" t="s">
        <v>178</v>
      </c>
    </row>
    <row r="2740" spans="2:15">
      <c r="B2740" s="20">
        <v>45349</v>
      </c>
      <c r="C2740" s="59">
        <v>50142327</v>
      </c>
      <c r="D2740" s="55" t="s">
        <v>256</v>
      </c>
      <c r="E2740" s="67">
        <v>681</v>
      </c>
      <c r="G2740" s="102">
        <v>2043</v>
      </c>
      <c r="H2740" s="56" t="s">
        <v>82</v>
      </c>
      <c r="K2740" s="56">
        <v>780</v>
      </c>
      <c r="L2740" s="55" t="s">
        <v>176</v>
      </c>
      <c r="M2740" s="55" t="s">
        <v>2824</v>
      </c>
      <c r="N2740" s="4" t="s">
        <v>177</v>
      </c>
      <c r="O2740" s="55" t="s">
        <v>178</v>
      </c>
    </row>
    <row r="2741" spans="2:15">
      <c r="B2741" s="20">
        <v>45349</v>
      </c>
      <c r="C2741" s="59">
        <v>50142334</v>
      </c>
      <c r="D2741" s="55" t="s">
        <v>257</v>
      </c>
      <c r="E2741" s="67">
        <v>681</v>
      </c>
      <c r="G2741" s="102">
        <v>1362</v>
      </c>
      <c r="H2741" s="56" t="s">
        <v>82</v>
      </c>
      <c r="K2741" s="56">
        <v>780</v>
      </c>
      <c r="L2741" s="55" t="s">
        <v>176</v>
      </c>
      <c r="M2741" s="55" t="s">
        <v>2824</v>
      </c>
      <c r="N2741" s="4" t="s">
        <v>177</v>
      </c>
      <c r="O2741" s="55" t="s">
        <v>178</v>
      </c>
    </row>
    <row r="2742" spans="2:15">
      <c r="B2742" s="20">
        <v>45350</v>
      </c>
      <c r="C2742" s="59">
        <v>50272278</v>
      </c>
      <c r="D2742" s="55" t="s">
        <v>21</v>
      </c>
      <c r="E2742" s="67">
        <v>500</v>
      </c>
      <c r="G2742" s="102">
        <v>11000</v>
      </c>
      <c r="H2742" s="56" t="s">
        <v>962</v>
      </c>
      <c r="K2742" s="56">
        <v>781</v>
      </c>
      <c r="L2742" s="55" t="s">
        <v>176</v>
      </c>
      <c r="M2742" s="55" t="s">
        <v>2824</v>
      </c>
      <c r="N2742" s="4" t="s">
        <v>177</v>
      </c>
      <c r="O2742" s="55" t="s">
        <v>178</v>
      </c>
    </row>
    <row r="2743" spans="2:15">
      <c r="B2743" s="20">
        <v>45351</v>
      </c>
      <c r="C2743" s="59">
        <v>50470190</v>
      </c>
      <c r="D2743" s="55" t="s">
        <v>12</v>
      </c>
      <c r="E2743" s="67">
        <v>289800</v>
      </c>
      <c r="G2743" s="102">
        <v>2608200</v>
      </c>
      <c r="H2743" s="56" t="s">
        <v>92</v>
      </c>
      <c r="K2743" s="56">
        <v>782</v>
      </c>
      <c r="L2743" s="55" t="s">
        <v>176</v>
      </c>
      <c r="M2743" s="55" t="s">
        <v>2824</v>
      </c>
      <c r="N2743" s="4" t="s">
        <v>177</v>
      </c>
      <c r="O2743" s="55" t="s">
        <v>178</v>
      </c>
    </row>
    <row r="2744" spans="2:15">
      <c r="B2744" s="20">
        <v>45351</v>
      </c>
      <c r="C2744" s="59">
        <v>50802401</v>
      </c>
      <c r="D2744" s="55" t="s">
        <v>13</v>
      </c>
      <c r="E2744" s="67">
        <v>289800</v>
      </c>
      <c r="G2744" s="102">
        <v>2608200</v>
      </c>
      <c r="H2744" s="56" t="s">
        <v>92</v>
      </c>
      <c r="K2744" s="56">
        <v>782</v>
      </c>
      <c r="L2744" s="55" t="s">
        <v>176</v>
      </c>
      <c r="M2744" s="55" t="s">
        <v>2824</v>
      </c>
      <c r="N2744" s="4" t="s">
        <v>177</v>
      </c>
      <c r="O2744" s="55" t="s">
        <v>178</v>
      </c>
    </row>
    <row r="2745" spans="2:15">
      <c r="B2745" s="20">
        <v>45351</v>
      </c>
      <c r="C2745" s="59">
        <v>50470190</v>
      </c>
      <c r="D2745" s="55" t="s">
        <v>12</v>
      </c>
      <c r="E2745" s="67">
        <v>289800</v>
      </c>
      <c r="G2745" s="102">
        <v>2608200</v>
      </c>
      <c r="H2745" s="56" t="s">
        <v>92</v>
      </c>
      <c r="K2745" s="56">
        <v>783</v>
      </c>
      <c r="L2745" s="55" t="s">
        <v>176</v>
      </c>
      <c r="M2745" s="55" t="s">
        <v>2824</v>
      </c>
      <c r="N2745" s="4" t="s">
        <v>177</v>
      </c>
      <c r="O2745" s="55" t="s">
        <v>178</v>
      </c>
    </row>
    <row r="2746" spans="2:15">
      <c r="B2746" s="20">
        <v>45351</v>
      </c>
      <c r="C2746" s="59">
        <v>50813995</v>
      </c>
      <c r="D2746" s="55" t="s">
        <v>960</v>
      </c>
      <c r="E2746" s="67">
        <v>564</v>
      </c>
      <c r="G2746" s="102">
        <v>5443.3</v>
      </c>
      <c r="H2746" s="56" t="s">
        <v>82</v>
      </c>
      <c r="K2746" s="56">
        <v>783</v>
      </c>
      <c r="L2746" s="55" t="s">
        <v>176</v>
      </c>
      <c r="M2746" s="55" t="s">
        <v>2824</v>
      </c>
      <c r="N2746" s="4" t="s">
        <v>177</v>
      </c>
      <c r="O2746" s="55" t="s">
        <v>178</v>
      </c>
    </row>
    <row r="2747" spans="2:15">
      <c r="B2747" s="20">
        <v>45351</v>
      </c>
      <c r="C2747" s="59">
        <v>50142137</v>
      </c>
      <c r="D2747" s="55" t="s">
        <v>840</v>
      </c>
      <c r="E2747" s="67">
        <v>1200</v>
      </c>
      <c r="G2747" s="102">
        <v>2400</v>
      </c>
      <c r="H2747" s="56" t="s">
        <v>82</v>
      </c>
      <c r="K2747" s="56">
        <v>784</v>
      </c>
      <c r="L2747" s="55" t="s">
        <v>176</v>
      </c>
      <c r="M2747" s="55" t="s">
        <v>2824</v>
      </c>
      <c r="N2747" s="4" t="s">
        <v>177</v>
      </c>
      <c r="O2747" s="55" t="s">
        <v>178</v>
      </c>
    </row>
    <row r="2748" spans="2:15">
      <c r="B2748" s="20">
        <v>45351</v>
      </c>
      <c r="C2748" s="59">
        <v>40009544</v>
      </c>
      <c r="D2748" s="55" t="s">
        <v>179</v>
      </c>
      <c r="E2748" s="67">
        <v>2940</v>
      </c>
      <c r="G2748" s="102">
        <v>5880</v>
      </c>
      <c r="H2748" s="56" t="s">
        <v>80</v>
      </c>
      <c r="K2748" s="56">
        <v>784</v>
      </c>
      <c r="L2748" s="55" t="s">
        <v>176</v>
      </c>
      <c r="M2748" s="55" t="s">
        <v>2824</v>
      </c>
      <c r="N2748" s="4" t="s">
        <v>177</v>
      </c>
      <c r="O2748" s="55" t="s">
        <v>178</v>
      </c>
    </row>
    <row r="2749" spans="2:15">
      <c r="B2749" s="20">
        <v>45351</v>
      </c>
      <c r="C2749" s="59">
        <v>40010087</v>
      </c>
      <c r="D2749" s="55" t="s">
        <v>387</v>
      </c>
      <c r="E2749" s="67">
        <v>864</v>
      </c>
      <c r="G2749" s="102">
        <v>864</v>
      </c>
      <c r="H2749" s="56" t="s">
        <v>80</v>
      </c>
      <c r="K2749" s="56">
        <v>784</v>
      </c>
      <c r="L2749" s="55" t="s">
        <v>176</v>
      </c>
      <c r="M2749" s="55" t="s">
        <v>2824</v>
      </c>
      <c r="N2749" s="4" t="s">
        <v>177</v>
      </c>
      <c r="O2749" s="55" t="s">
        <v>178</v>
      </c>
    </row>
    <row r="2750" spans="2:15">
      <c r="B2750" s="20">
        <v>45351</v>
      </c>
      <c r="C2750" s="59">
        <v>50145028</v>
      </c>
      <c r="D2750" s="55" t="s">
        <v>23</v>
      </c>
      <c r="E2750" s="67">
        <v>192</v>
      </c>
      <c r="G2750" s="102">
        <v>192</v>
      </c>
      <c r="H2750" s="56" t="s">
        <v>92</v>
      </c>
      <c r="K2750" s="56">
        <v>784</v>
      </c>
      <c r="L2750" s="55" t="s">
        <v>176</v>
      </c>
      <c r="M2750" s="55" t="s">
        <v>2824</v>
      </c>
      <c r="N2750" s="4" t="s">
        <v>177</v>
      </c>
      <c r="O2750" s="55" t="s">
        <v>178</v>
      </c>
    </row>
    <row r="2751" spans="2:15">
      <c r="B2751" s="20">
        <v>45351</v>
      </c>
      <c r="C2751" s="59">
        <v>40010083</v>
      </c>
      <c r="D2751" s="55" t="s">
        <v>85</v>
      </c>
      <c r="E2751" s="67">
        <v>3391</v>
      </c>
      <c r="G2751" s="102">
        <v>3391</v>
      </c>
      <c r="H2751" s="56" t="s">
        <v>80</v>
      </c>
      <c r="K2751" s="56">
        <v>784</v>
      </c>
      <c r="L2751" s="55" t="s">
        <v>176</v>
      </c>
      <c r="M2751" s="55" t="s">
        <v>2824</v>
      </c>
      <c r="N2751" s="4" t="s">
        <v>177</v>
      </c>
      <c r="O2751" s="55" t="s">
        <v>178</v>
      </c>
    </row>
    <row r="2752" spans="2:15">
      <c r="B2752" s="20">
        <v>45351</v>
      </c>
      <c r="C2752" s="59">
        <v>40011080</v>
      </c>
      <c r="D2752" s="55" t="s">
        <v>420</v>
      </c>
      <c r="E2752" s="67">
        <v>450</v>
      </c>
      <c r="G2752" s="102">
        <v>1350</v>
      </c>
      <c r="H2752" s="56" t="s">
        <v>80</v>
      </c>
      <c r="K2752" s="56">
        <v>784</v>
      </c>
      <c r="L2752" s="55" t="s">
        <v>176</v>
      </c>
      <c r="M2752" s="55" t="s">
        <v>2824</v>
      </c>
      <c r="N2752" s="4" t="s">
        <v>177</v>
      </c>
      <c r="O2752" s="55" t="s">
        <v>178</v>
      </c>
    </row>
    <row r="2753" spans="2:15">
      <c r="B2753" s="20">
        <v>45351</v>
      </c>
      <c r="C2753" s="59">
        <v>40011148</v>
      </c>
      <c r="D2753" s="55" t="s">
        <v>86</v>
      </c>
      <c r="E2753" s="67">
        <v>450</v>
      </c>
      <c r="G2753" s="102">
        <v>450</v>
      </c>
      <c r="H2753" s="56" t="s">
        <v>80</v>
      </c>
      <c r="K2753" s="56">
        <v>784</v>
      </c>
      <c r="L2753" s="55" t="s">
        <v>176</v>
      </c>
      <c r="M2753" s="55" t="s">
        <v>2824</v>
      </c>
      <c r="N2753" s="4" t="s">
        <v>177</v>
      </c>
      <c r="O2753" s="55" t="s">
        <v>178</v>
      </c>
    </row>
    <row r="2754" spans="2:15">
      <c r="B2754" s="20">
        <v>45351</v>
      </c>
      <c r="C2754" s="59">
        <v>50507916</v>
      </c>
      <c r="D2754" s="55" t="s">
        <v>406</v>
      </c>
      <c r="E2754" s="67">
        <v>264000</v>
      </c>
      <c r="G2754" s="102">
        <v>1056000</v>
      </c>
      <c r="H2754" s="56" t="s">
        <v>92</v>
      </c>
      <c r="K2754" s="56">
        <v>784</v>
      </c>
      <c r="L2754" s="55" t="s">
        <v>176</v>
      </c>
      <c r="M2754" s="55" t="s">
        <v>2824</v>
      </c>
      <c r="N2754" s="4" t="s">
        <v>177</v>
      </c>
      <c r="O2754" s="55" t="s">
        <v>178</v>
      </c>
    </row>
    <row r="2755" spans="2:15">
      <c r="B2755" s="20">
        <v>45351</v>
      </c>
      <c r="C2755" s="59">
        <v>50337816</v>
      </c>
      <c r="D2755" s="55" t="s">
        <v>245</v>
      </c>
      <c r="E2755" s="67">
        <v>264</v>
      </c>
      <c r="G2755" s="102">
        <v>1056</v>
      </c>
      <c r="H2755" s="56" t="s">
        <v>80</v>
      </c>
      <c r="K2755" s="56">
        <v>784</v>
      </c>
      <c r="L2755" s="55" t="s">
        <v>176</v>
      </c>
      <c r="M2755" s="55" t="s">
        <v>2824</v>
      </c>
      <c r="N2755" s="4" t="s">
        <v>177</v>
      </c>
      <c r="O2755" s="55" t="s">
        <v>178</v>
      </c>
    </row>
    <row r="2756" spans="2:15">
      <c r="B2756" s="20">
        <v>45351</v>
      </c>
      <c r="C2756" s="59">
        <v>50315365</v>
      </c>
      <c r="D2756" s="55" t="s">
        <v>584</v>
      </c>
      <c r="E2756" s="67">
        <v>264</v>
      </c>
      <c r="G2756" s="102">
        <v>792</v>
      </c>
      <c r="H2756" s="56" t="s">
        <v>80</v>
      </c>
      <c r="K2756" s="56">
        <v>784</v>
      </c>
      <c r="L2756" s="55" t="s">
        <v>176</v>
      </c>
      <c r="M2756" s="55" t="s">
        <v>2824</v>
      </c>
      <c r="N2756" s="4" t="s">
        <v>177</v>
      </c>
      <c r="O2756" s="55" t="s">
        <v>178</v>
      </c>
    </row>
    <row r="2757" spans="2:15">
      <c r="B2757" s="20">
        <v>45355</v>
      </c>
      <c r="C2757" s="59">
        <v>50144376</v>
      </c>
      <c r="D2757" s="55" t="s">
        <v>19</v>
      </c>
      <c r="E2757" s="67">
        <v>500</v>
      </c>
      <c r="G2757" s="102">
        <v>11000</v>
      </c>
      <c r="H2757" s="56" t="s">
        <v>92</v>
      </c>
      <c r="K2757" s="56">
        <v>785</v>
      </c>
      <c r="L2757" s="55" t="s">
        <v>176</v>
      </c>
      <c r="M2757" s="55" t="s">
        <v>2824</v>
      </c>
      <c r="N2757" s="4" t="s">
        <v>177</v>
      </c>
      <c r="O2757" s="55" t="s">
        <v>178</v>
      </c>
    </row>
    <row r="2758" spans="2:15">
      <c r="B2758" s="20">
        <v>45356</v>
      </c>
      <c r="C2758" s="59">
        <v>50010080</v>
      </c>
      <c r="D2758" s="55" t="s">
        <v>354</v>
      </c>
      <c r="E2758" s="67">
        <v>1000</v>
      </c>
      <c r="G2758" s="102">
        <v>2000</v>
      </c>
      <c r="H2758" s="56" t="s">
        <v>82</v>
      </c>
      <c r="K2758" s="56">
        <v>786</v>
      </c>
      <c r="L2758" s="55" t="s">
        <v>176</v>
      </c>
      <c r="M2758" s="55" t="s">
        <v>2824</v>
      </c>
      <c r="N2758" s="4" t="s">
        <v>177</v>
      </c>
      <c r="O2758" s="55" t="s">
        <v>178</v>
      </c>
    </row>
    <row r="2759" spans="2:15">
      <c r="B2759" s="20">
        <v>45356</v>
      </c>
      <c r="C2759" s="59">
        <v>50142330</v>
      </c>
      <c r="D2759" s="55" t="s">
        <v>195</v>
      </c>
      <c r="E2759" s="67">
        <v>359.28</v>
      </c>
      <c r="G2759" s="102">
        <v>2155.68</v>
      </c>
      <c r="H2759" s="56" t="s">
        <v>82</v>
      </c>
      <c r="K2759" s="56">
        <v>786</v>
      </c>
      <c r="L2759" s="55" t="s">
        <v>176</v>
      </c>
      <c r="M2759" s="55" t="s">
        <v>2824</v>
      </c>
      <c r="N2759" s="4" t="s">
        <v>177</v>
      </c>
      <c r="O2759" s="55" t="s">
        <v>178</v>
      </c>
    </row>
    <row r="2760" spans="2:15">
      <c r="B2760" s="20">
        <v>45356</v>
      </c>
      <c r="C2760" s="59">
        <v>50142281</v>
      </c>
      <c r="D2760" s="55" t="s">
        <v>204</v>
      </c>
      <c r="E2760" s="67">
        <v>450</v>
      </c>
      <c r="G2760" s="102">
        <v>450</v>
      </c>
      <c r="H2760" s="56" t="s">
        <v>82</v>
      </c>
      <c r="K2760" s="56">
        <v>786</v>
      </c>
      <c r="L2760" s="55" t="s">
        <v>176</v>
      </c>
      <c r="M2760" s="55" t="s">
        <v>2824</v>
      </c>
      <c r="N2760" s="4" t="s">
        <v>177</v>
      </c>
      <c r="O2760" s="55" t="s">
        <v>178</v>
      </c>
    </row>
    <row r="2761" spans="2:15">
      <c r="B2761" s="20">
        <v>45356</v>
      </c>
      <c r="C2761" s="59">
        <v>50142350</v>
      </c>
      <c r="D2761" s="55" t="s">
        <v>212</v>
      </c>
      <c r="E2761" s="67">
        <v>734.5</v>
      </c>
      <c r="G2761" s="102">
        <v>734.5</v>
      </c>
      <c r="H2761" s="56" t="s">
        <v>82</v>
      </c>
      <c r="K2761" s="56">
        <v>786</v>
      </c>
      <c r="L2761" s="55" t="s">
        <v>176</v>
      </c>
      <c r="M2761" s="55" t="s">
        <v>2824</v>
      </c>
      <c r="N2761" s="4" t="s">
        <v>177</v>
      </c>
      <c r="O2761" s="55" t="s">
        <v>178</v>
      </c>
    </row>
    <row r="2762" spans="2:15">
      <c r="B2762" s="20">
        <v>45356</v>
      </c>
      <c r="C2762" s="59">
        <v>50142327</v>
      </c>
      <c r="D2762" s="55" t="s">
        <v>256</v>
      </c>
      <c r="E2762" s="67">
        <v>681</v>
      </c>
      <c r="G2762" s="102">
        <v>1634.4</v>
      </c>
      <c r="H2762" s="56" t="s">
        <v>82</v>
      </c>
      <c r="K2762" s="56">
        <v>786</v>
      </c>
      <c r="L2762" s="55" t="s">
        <v>176</v>
      </c>
      <c r="M2762" s="55" t="s">
        <v>2824</v>
      </c>
      <c r="N2762" s="4" t="s">
        <v>177</v>
      </c>
      <c r="O2762" s="55" t="s">
        <v>178</v>
      </c>
    </row>
    <row r="2763" spans="2:15">
      <c r="B2763" s="20">
        <v>45356</v>
      </c>
      <c r="C2763" s="59">
        <v>50142334</v>
      </c>
      <c r="D2763" s="55" t="s">
        <v>257</v>
      </c>
      <c r="E2763" s="67">
        <v>681</v>
      </c>
      <c r="G2763" s="102">
        <v>2724</v>
      </c>
      <c r="H2763" s="56" t="s">
        <v>82</v>
      </c>
      <c r="K2763" s="56">
        <v>786</v>
      </c>
      <c r="L2763" s="55" t="s">
        <v>176</v>
      </c>
      <c r="M2763" s="55" t="s">
        <v>2824</v>
      </c>
      <c r="N2763" s="4" t="s">
        <v>177</v>
      </c>
      <c r="O2763" s="55" t="s">
        <v>178</v>
      </c>
    </row>
    <row r="2764" spans="2:15">
      <c r="B2764" s="20">
        <v>45356</v>
      </c>
      <c r="C2764" s="59">
        <v>40014089</v>
      </c>
      <c r="D2764" s="55" t="s">
        <v>1213</v>
      </c>
      <c r="E2764" s="67">
        <v>864</v>
      </c>
      <c r="G2764" s="102">
        <v>2592</v>
      </c>
      <c r="H2764" s="56" t="s">
        <v>80</v>
      </c>
      <c r="K2764" s="56">
        <v>786</v>
      </c>
      <c r="L2764" s="55" t="s">
        <v>176</v>
      </c>
      <c r="M2764" s="55" t="s">
        <v>2824</v>
      </c>
      <c r="N2764" s="4" t="s">
        <v>177</v>
      </c>
      <c r="O2764" s="55" t="s">
        <v>178</v>
      </c>
    </row>
    <row r="2765" spans="2:15">
      <c r="B2765" s="20">
        <v>45357</v>
      </c>
      <c r="C2765" s="59">
        <v>50522176</v>
      </c>
      <c r="D2765" s="55" t="s">
        <v>455</v>
      </c>
      <c r="E2765" s="67">
        <v>456</v>
      </c>
      <c r="G2765" s="102">
        <v>1192.93</v>
      </c>
      <c r="H2765" s="56" t="s">
        <v>82</v>
      </c>
      <c r="K2765" s="56">
        <v>787</v>
      </c>
      <c r="L2765" s="55" t="s">
        <v>176</v>
      </c>
      <c r="M2765" s="55" t="s">
        <v>2824</v>
      </c>
      <c r="N2765" s="4" t="s">
        <v>177</v>
      </c>
      <c r="O2765" s="55" t="s">
        <v>178</v>
      </c>
    </row>
    <row r="2766" spans="2:15">
      <c r="B2766" s="20">
        <v>45357</v>
      </c>
      <c r="C2766" s="59">
        <v>50143893</v>
      </c>
      <c r="D2766" s="55" t="s">
        <v>24</v>
      </c>
      <c r="E2766" s="67">
        <v>990</v>
      </c>
      <c r="G2766" s="102">
        <v>990</v>
      </c>
      <c r="H2766" s="56" t="s">
        <v>92</v>
      </c>
      <c r="K2766" s="56">
        <v>787</v>
      </c>
      <c r="L2766" s="55" t="s">
        <v>176</v>
      </c>
      <c r="M2766" s="55" t="s">
        <v>2824</v>
      </c>
      <c r="N2766" s="4" t="s">
        <v>177</v>
      </c>
      <c r="O2766" s="55" t="s">
        <v>178</v>
      </c>
    </row>
    <row r="2767" spans="2:15">
      <c r="B2767" s="20">
        <v>45357</v>
      </c>
      <c r="C2767" s="59">
        <v>50144376</v>
      </c>
      <c r="D2767" s="55" t="s">
        <v>19</v>
      </c>
      <c r="E2767" s="67">
        <v>500</v>
      </c>
      <c r="G2767" s="102">
        <v>3500</v>
      </c>
      <c r="H2767" s="56" t="s">
        <v>92</v>
      </c>
      <c r="K2767" s="56">
        <v>787</v>
      </c>
      <c r="L2767" s="55" t="s">
        <v>176</v>
      </c>
      <c r="M2767" s="55" t="s">
        <v>2824</v>
      </c>
      <c r="N2767" s="4" t="s">
        <v>177</v>
      </c>
      <c r="O2767" s="55" t="s">
        <v>178</v>
      </c>
    </row>
    <row r="2768" spans="2:15">
      <c r="B2768" s="20">
        <v>45357</v>
      </c>
      <c r="C2768" s="59">
        <v>50142237</v>
      </c>
      <c r="D2768" s="55" t="s">
        <v>617</v>
      </c>
      <c r="E2768" s="67">
        <v>1000</v>
      </c>
      <c r="G2768" s="102">
        <v>10000</v>
      </c>
      <c r="H2768" s="56" t="s">
        <v>92</v>
      </c>
      <c r="K2768" s="56">
        <v>787</v>
      </c>
      <c r="L2768" s="55" t="s">
        <v>176</v>
      </c>
      <c r="M2768" s="55" t="s">
        <v>2824</v>
      </c>
      <c r="N2768" s="4" t="s">
        <v>177</v>
      </c>
      <c r="O2768" s="55" t="s">
        <v>178</v>
      </c>
    </row>
    <row r="2769" spans="2:15">
      <c r="B2769" s="20">
        <v>45357</v>
      </c>
      <c r="C2769" s="59">
        <v>50470190</v>
      </c>
      <c r="D2769" s="55" t="s">
        <v>12</v>
      </c>
      <c r="E2769" s="67">
        <v>289800</v>
      </c>
      <c r="G2769" s="102">
        <v>2318400</v>
      </c>
      <c r="H2769" s="56" t="s">
        <v>92</v>
      </c>
      <c r="K2769" s="56">
        <v>787</v>
      </c>
      <c r="L2769" s="55" t="s">
        <v>176</v>
      </c>
      <c r="M2769" s="55" t="s">
        <v>2824</v>
      </c>
      <c r="N2769" s="4" t="s">
        <v>177</v>
      </c>
      <c r="O2769" s="55" t="s">
        <v>178</v>
      </c>
    </row>
    <row r="2770" spans="2:15">
      <c r="B2770" s="20">
        <v>45357</v>
      </c>
      <c r="C2770" s="59">
        <v>50814629</v>
      </c>
      <c r="D2770" s="55" t="s">
        <v>1226</v>
      </c>
      <c r="E2770" s="67">
        <v>220</v>
      </c>
      <c r="G2770" s="102">
        <v>525.05</v>
      </c>
      <c r="H2770" s="56" t="s">
        <v>82</v>
      </c>
      <c r="K2770" s="56">
        <v>788</v>
      </c>
      <c r="L2770" s="55" t="s">
        <v>326</v>
      </c>
      <c r="M2770" s="55" t="s">
        <v>326</v>
      </c>
      <c r="N2770" s="4" t="s">
        <v>2855</v>
      </c>
      <c r="O2770" s="55" t="s">
        <v>178</v>
      </c>
    </row>
    <row r="2771" spans="2:15">
      <c r="B2771" s="20">
        <v>45358</v>
      </c>
      <c r="C2771" s="59">
        <v>50470190</v>
      </c>
      <c r="D2771" s="55" t="s">
        <v>12</v>
      </c>
      <c r="E2771" s="67">
        <v>289800</v>
      </c>
      <c r="G2771" s="102">
        <v>2608200</v>
      </c>
      <c r="H2771" s="56" t="s">
        <v>92</v>
      </c>
      <c r="K2771" s="56">
        <v>789</v>
      </c>
      <c r="L2771" s="55" t="s">
        <v>176</v>
      </c>
      <c r="M2771" s="55" t="s">
        <v>2824</v>
      </c>
      <c r="N2771" s="4" t="s">
        <v>177</v>
      </c>
      <c r="O2771" s="55" t="s">
        <v>178</v>
      </c>
    </row>
    <row r="2772" spans="2:15">
      <c r="B2772" s="20">
        <v>45358</v>
      </c>
      <c r="C2772" s="59">
        <v>50802401</v>
      </c>
      <c r="D2772" s="55" t="s">
        <v>13</v>
      </c>
      <c r="E2772" s="67">
        <v>289800</v>
      </c>
      <c r="G2772" s="102">
        <v>2608200</v>
      </c>
      <c r="H2772" s="56" t="s">
        <v>92</v>
      </c>
      <c r="K2772" s="56">
        <v>789</v>
      </c>
      <c r="L2772" s="55" t="s">
        <v>176</v>
      </c>
      <c r="M2772" s="55" t="s">
        <v>2824</v>
      </c>
      <c r="N2772" s="4" t="s">
        <v>177</v>
      </c>
      <c r="O2772" s="55" t="s">
        <v>178</v>
      </c>
    </row>
    <row r="2773" spans="2:15">
      <c r="B2773" s="20">
        <v>45358</v>
      </c>
      <c r="C2773" s="59">
        <v>50144376</v>
      </c>
      <c r="D2773" s="55" t="s">
        <v>19</v>
      </c>
      <c r="E2773" s="67">
        <v>500</v>
      </c>
      <c r="G2773" s="102">
        <v>6500</v>
      </c>
      <c r="H2773" s="56" t="s">
        <v>92</v>
      </c>
      <c r="K2773" s="56">
        <v>790</v>
      </c>
      <c r="L2773" s="55" t="s">
        <v>176</v>
      </c>
      <c r="M2773" s="55" t="s">
        <v>2824</v>
      </c>
      <c r="N2773" s="4" t="s">
        <v>177</v>
      </c>
      <c r="O2773" s="55" t="s">
        <v>178</v>
      </c>
    </row>
    <row r="2774" spans="2:15">
      <c r="B2774" s="20">
        <v>45358</v>
      </c>
      <c r="C2774" s="59">
        <v>50272278</v>
      </c>
      <c r="D2774" s="55" t="s">
        <v>21</v>
      </c>
      <c r="E2774" s="67">
        <v>500</v>
      </c>
      <c r="G2774" s="102">
        <v>2500</v>
      </c>
      <c r="H2774" s="56" t="s">
        <v>92</v>
      </c>
      <c r="K2774" s="56">
        <v>790</v>
      </c>
      <c r="L2774" s="55" t="s">
        <v>176</v>
      </c>
      <c r="M2774" s="55" t="s">
        <v>2824</v>
      </c>
      <c r="N2774" s="4" t="s">
        <v>177</v>
      </c>
      <c r="O2774" s="55" t="s">
        <v>178</v>
      </c>
    </row>
    <row r="2775" spans="2:15">
      <c r="B2775" s="20">
        <v>45358</v>
      </c>
      <c r="C2775" s="59">
        <v>40014002</v>
      </c>
      <c r="D2775" s="55" t="s">
        <v>1215</v>
      </c>
      <c r="E2775" s="67">
        <v>864</v>
      </c>
      <c r="G2775" s="102">
        <v>3456</v>
      </c>
      <c r="H2775" s="56" t="s">
        <v>80</v>
      </c>
      <c r="K2775" s="56">
        <v>790</v>
      </c>
      <c r="L2775" s="55" t="s">
        <v>176</v>
      </c>
      <c r="M2775" s="55" t="s">
        <v>2824</v>
      </c>
      <c r="N2775" s="4" t="s">
        <v>177</v>
      </c>
      <c r="O2775" s="55" t="s">
        <v>178</v>
      </c>
    </row>
    <row r="2776" spans="2:15">
      <c r="B2776" s="20">
        <v>45359</v>
      </c>
      <c r="C2776" s="59">
        <v>40011133</v>
      </c>
      <c r="D2776" s="55" t="s">
        <v>634</v>
      </c>
      <c r="E2776" s="67">
        <v>486</v>
      </c>
      <c r="G2776" s="102">
        <v>486</v>
      </c>
      <c r="H2776" s="56" t="s">
        <v>80</v>
      </c>
      <c r="K2776" s="56">
        <v>791</v>
      </c>
      <c r="L2776" s="55" t="s">
        <v>176</v>
      </c>
      <c r="M2776" s="55" t="s">
        <v>2824</v>
      </c>
      <c r="N2776" s="4" t="s">
        <v>177</v>
      </c>
      <c r="O2776" s="55" t="s">
        <v>178</v>
      </c>
    </row>
    <row r="2777" spans="2:15">
      <c r="B2777" s="20">
        <v>45359</v>
      </c>
      <c r="C2777" s="59">
        <v>50143875</v>
      </c>
      <c r="D2777" s="55" t="s">
        <v>713</v>
      </c>
      <c r="E2777" s="67">
        <v>400</v>
      </c>
      <c r="G2777" s="102">
        <v>9400</v>
      </c>
      <c r="H2777" s="56" t="s">
        <v>92</v>
      </c>
      <c r="K2777" s="56">
        <v>791</v>
      </c>
      <c r="L2777" s="55" t="s">
        <v>176</v>
      </c>
      <c r="M2777" s="55" t="s">
        <v>2824</v>
      </c>
      <c r="N2777" s="4" t="s">
        <v>177</v>
      </c>
      <c r="O2777" s="55" t="s">
        <v>178</v>
      </c>
    </row>
    <row r="2778" spans="2:15">
      <c r="B2778" s="20">
        <v>45359</v>
      </c>
      <c r="C2778" s="59">
        <v>50142281</v>
      </c>
      <c r="D2778" s="55" t="s">
        <v>204</v>
      </c>
      <c r="E2778" s="67">
        <v>450</v>
      </c>
      <c r="G2778" s="102">
        <v>450</v>
      </c>
      <c r="H2778" s="56" t="s">
        <v>82</v>
      </c>
      <c r="K2778" s="56">
        <v>791</v>
      </c>
      <c r="L2778" s="55" t="s">
        <v>176</v>
      </c>
      <c r="M2778" s="55" t="s">
        <v>2824</v>
      </c>
      <c r="N2778" s="4" t="s">
        <v>177</v>
      </c>
      <c r="O2778" s="55" t="s">
        <v>178</v>
      </c>
    </row>
    <row r="2779" spans="2:15">
      <c r="B2779" s="20">
        <v>45359</v>
      </c>
      <c r="C2779" s="59">
        <v>50392045</v>
      </c>
      <c r="D2779" s="55" t="s">
        <v>707</v>
      </c>
      <c r="E2779" s="67">
        <v>6</v>
      </c>
      <c r="G2779" s="102">
        <v>30</v>
      </c>
      <c r="H2779" s="56" t="s">
        <v>505</v>
      </c>
      <c r="K2779" s="56">
        <v>791</v>
      </c>
      <c r="L2779" s="55" t="s">
        <v>176</v>
      </c>
      <c r="M2779" s="55" t="s">
        <v>2824</v>
      </c>
      <c r="N2779" s="4" t="s">
        <v>177</v>
      </c>
      <c r="O2779" s="55" t="s">
        <v>178</v>
      </c>
    </row>
    <row r="2780" spans="2:15">
      <c r="B2780" s="20">
        <v>45359</v>
      </c>
      <c r="C2780" s="59">
        <v>40011080</v>
      </c>
      <c r="D2780" s="55" t="s">
        <v>420</v>
      </c>
      <c r="E2780" s="67">
        <v>450</v>
      </c>
      <c r="G2780" s="102">
        <v>900</v>
      </c>
      <c r="H2780" s="56" t="s">
        <v>80</v>
      </c>
      <c r="K2780" s="56">
        <v>791</v>
      </c>
      <c r="L2780" s="55" t="s">
        <v>176</v>
      </c>
      <c r="M2780" s="55" t="s">
        <v>2824</v>
      </c>
      <c r="N2780" s="4" t="s">
        <v>177</v>
      </c>
      <c r="O2780" s="55" t="s">
        <v>178</v>
      </c>
    </row>
    <row r="2781" spans="2:15">
      <c r="B2781" s="20">
        <v>45359</v>
      </c>
      <c r="C2781" s="59">
        <v>50507916</v>
      </c>
      <c r="D2781" s="55" t="s">
        <v>406</v>
      </c>
      <c r="E2781" s="67">
        <v>264000</v>
      </c>
      <c r="G2781" s="102">
        <v>528000</v>
      </c>
      <c r="H2781" s="56" t="s">
        <v>92</v>
      </c>
      <c r="K2781" s="56">
        <v>791</v>
      </c>
      <c r="L2781" s="55" t="s">
        <v>176</v>
      </c>
      <c r="M2781" s="55" t="s">
        <v>2824</v>
      </c>
      <c r="N2781" s="4" t="s">
        <v>177</v>
      </c>
      <c r="O2781" s="55" t="s">
        <v>178</v>
      </c>
    </row>
    <row r="2782" spans="2:15">
      <c r="B2782" s="20">
        <v>45359</v>
      </c>
      <c r="C2782" s="59">
        <v>50470190</v>
      </c>
      <c r="D2782" s="55" t="s">
        <v>12</v>
      </c>
      <c r="E2782" s="67">
        <v>289800</v>
      </c>
      <c r="G2782" s="102">
        <v>3187800</v>
      </c>
      <c r="H2782" s="56" t="s">
        <v>92</v>
      </c>
      <c r="K2782" s="56">
        <v>791</v>
      </c>
      <c r="L2782" s="55" t="s">
        <v>176</v>
      </c>
      <c r="M2782" s="55" t="s">
        <v>2824</v>
      </c>
      <c r="N2782" s="4" t="s">
        <v>177</v>
      </c>
      <c r="O2782" s="55" t="s">
        <v>178</v>
      </c>
    </row>
    <row r="2783" spans="2:15">
      <c r="B2783" s="20">
        <v>45362</v>
      </c>
      <c r="C2783" s="59">
        <v>50809353</v>
      </c>
      <c r="D2783" s="55" t="s">
        <v>905</v>
      </c>
      <c r="E2783" s="67">
        <v>500</v>
      </c>
      <c r="G2783" s="102">
        <v>1000</v>
      </c>
      <c r="H2783" s="56" t="s">
        <v>82</v>
      </c>
      <c r="K2783" s="56">
        <v>792</v>
      </c>
      <c r="L2783" s="55" t="s">
        <v>176</v>
      </c>
      <c r="M2783" s="55" t="s">
        <v>2824</v>
      </c>
      <c r="N2783" s="4" t="s">
        <v>177</v>
      </c>
      <c r="O2783" s="55" t="s">
        <v>178</v>
      </c>
    </row>
    <row r="2784" spans="2:15">
      <c r="B2784" s="20">
        <v>45362</v>
      </c>
      <c r="C2784" s="59">
        <v>50809147</v>
      </c>
      <c r="D2784" s="55" t="s">
        <v>930</v>
      </c>
      <c r="E2784" s="67">
        <v>456</v>
      </c>
      <c r="G2784" s="102">
        <v>976</v>
      </c>
      <c r="H2784" s="56" t="s">
        <v>82</v>
      </c>
      <c r="K2784" s="56">
        <v>792</v>
      </c>
      <c r="L2784" s="55" t="s">
        <v>176</v>
      </c>
      <c r="M2784" s="55" t="s">
        <v>2824</v>
      </c>
      <c r="N2784" s="4" t="s">
        <v>177</v>
      </c>
      <c r="O2784" s="55" t="s">
        <v>178</v>
      </c>
    </row>
    <row r="2785" spans="2:15">
      <c r="B2785" s="20">
        <v>45362</v>
      </c>
      <c r="C2785" s="59">
        <v>50272278</v>
      </c>
      <c r="D2785" s="55" t="s">
        <v>21</v>
      </c>
      <c r="E2785" s="67">
        <v>500</v>
      </c>
      <c r="G2785" s="102">
        <v>8000</v>
      </c>
      <c r="H2785" s="56" t="s">
        <v>92</v>
      </c>
      <c r="K2785" s="56">
        <v>792</v>
      </c>
      <c r="L2785" s="55" t="s">
        <v>176</v>
      </c>
      <c r="M2785" s="55" t="s">
        <v>2824</v>
      </c>
      <c r="N2785" s="4" t="s">
        <v>177</v>
      </c>
      <c r="O2785" s="55" t="s">
        <v>178</v>
      </c>
    </row>
    <row r="2786" spans="2:15">
      <c r="B2786" s="20">
        <v>45362</v>
      </c>
      <c r="C2786" s="59">
        <v>50821478</v>
      </c>
      <c r="D2786" s="55" t="s">
        <v>1196</v>
      </c>
      <c r="E2786" s="67">
        <v>320000</v>
      </c>
      <c r="G2786" s="102">
        <v>320000</v>
      </c>
      <c r="H2786" s="56" t="s">
        <v>92</v>
      </c>
      <c r="K2786" s="56">
        <v>792</v>
      </c>
      <c r="L2786" s="55" t="s">
        <v>176</v>
      </c>
      <c r="M2786" s="55" t="s">
        <v>2824</v>
      </c>
      <c r="N2786" s="4" t="s">
        <v>177</v>
      </c>
      <c r="O2786" s="55" t="s">
        <v>178</v>
      </c>
    </row>
    <row r="2787" spans="2:15">
      <c r="B2787" s="20">
        <v>45362</v>
      </c>
      <c r="C2787" s="59">
        <v>50821479</v>
      </c>
      <c r="D2787" s="55" t="s">
        <v>1199</v>
      </c>
      <c r="E2787" s="67">
        <v>320000</v>
      </c>
      <c r="G2787" s="102">
        <v>283000</v>
      </c>
      <c r="H2787" s="56" t="s">
        <v>92</v>
      </c>
      <c r="K2787" s="56">
        <v>792</v>
      </c>
      <c r="L2787" s="55" t="s">
        <v>176</v>
      </c>
      <c r="M2787" s="55" t="s">
        <v>2824</v>
      </c>
      <c r="N2787" s="4" t="s">
        <v>177</v>
      </c>
      <c r="O2787" s="55" t="s">
        <v>178</v>
      </c>
    </row>
    <row r="2788" spans="2:15">
      <c r="B2788" s="20">
        <v>45362</v>
      </c>
      <c r="C2788" s="59">
        <v>50813995</v>
      </c>
      <c r="D2788" s="55" t="s">
        <v>960</v>
      </c>
      <c r="E2788" s="67">
        <v>566</v>
      </c>
      <c r="G2788" s="102">
        <v>5291.35</v>
      </c>
      <c r="H2788" s="56" t="s">
        <v>82</v>
      </c>
      <c r="K2788" s="56">
        <v>793</v>
      </c>
      <c r="L2788" s="55" t="s">
        <v>947</v>
      </c>
      <c r="M2788" s="55" t="s">
        <v>660</v>
      </c>
      <c r="N2788" s="4" t="s">
        <v>1203</v>
      </c>
      <c r="O2788" s="55" t="s">
        <v>178</v>
      </c>
    </row>
    <row r="2789" spans="2:15">
      <c r="B2789" s="20">
        <v>45364</v>
      </c>
      <c r="C2789" s="59">
        <v>50144376</v>
      </c>
      <c r="D2789" s="55" t="s">
        <v>19</v>
      </c>
      <c r="E2789" s="67">
        <v>500</v>
      </c>
      <c r="G2789" s="102">
        <v>8000</v>
      </c>
      <c r="H2789" s="56" t="s">
        <v>92</v>
      </c>
      <c r="K2789" s="56">
        <v>794</v>
      </c>
      <c r="L2789" s="55" t="s">
        <v>176</v>
      </c>
      <c r="M2789" s="55" t="s">
        <v>2824</v>
      </c>
      <c r="N2789" s="4" t="s">
        <v>177</v>
      </c>
      <c r="O2789" s="55" t="s">
        <v>178</v>
      </c>
    </row>
    <row r="2790" spans="2:15">
      <c r="B2790" s="20">
        <v>45364</v>
      </c>
      <c r="C2790" s="59">
        <v>50272278</v>
      </c>
      <c r="D2790" s="55" t="s">
        <v>21</v>
      </c>
      <c r="E2790" s="67">
        <v>500</v>
      </c>
      <c r="G2790" s="102">
        <v>3000</v>
      </c>
      <c r="H2790" s="56" t="s">
        <v>92</v>
      </c>
      <c r="K2790" s="56">
        <v>794</v>
      </c>
      <c r="L2790" s="55" t="s">
        <v>176</v>
      </c>
      <c r="M2790" s="55" t="s">
        <v>2824</v>
      </c>
      <c r="N2790" s="4" t="s">
        <v>177</v>
      </c>
      <c r="O2790" s="55" t="s">
        <v>178</v>
      </c>
    </row>
    <row r="2791" spans="2:15">
      <c r="B2791" s="20">
        <v>45364</v>
      </c>
      <c r="C2791" s="59">
        <v>50272278</v>
      </c>
      <c r="D2791" s="55" t="s">
        <v>21</v>
      </c>
      <c r="E2791" s="67">
        <v>330</v>
      </c>
      <c r="G2791" s="102">
        <v>7260</v>
      </c>
      <c r="H2791" s="56" t="s">
        <v>92</v>
      </c>
      <c r="K2791" s="56">
        <v>795</v>
      </c>
      <c r="L2791" s="55" t="s">
        <v>176</v>
      </c>
      <c r="M2791" s="55" t="s">
        <v>392</v>
      </c>
      <c r="N2791" s="4" t="s">
        <v>177</v>
      </c>
      <c r="O2791" s="55" t="s">
        <v>178</v>
      </c>
    </row>
    <row r="2792" spans="2:15">
      <c r="B2792" s="20">
        <v>45336</v>
      </c>
      <c r="C2792" s="59">
        <v>50804971</v>
      </c>
      <c r="D2792" s="55" t="s">
        <v>855</v>
      </c>
      <c r="E2792" s="67">
        <v>990000</v>
      </c>
      <c r="G2792" s="102">
        <v>990000</v>
      </c>
      <c r="H2792" s="56" t="s">
        <v>92</v>
      </c>
      <c r="K2792" s="56">
        <v>796</v>
      </c>
      <c r="L2792" s="55" t="s">
        <v>176</v>
      </c>
      <c r="M2792" s="55" t="s">
        <v>2824</v>
      </c>
      <c r="N2792" s="4" t="s">
        <v>177</v>
      </c>
      <c r="O2792" s="55" t="s">
        <v>178</v>
      </c>
    </row>
    <row r="2793" spans="2:15">
      <c r="B2793" s="20">
        <v>45336</v>
      </c>
      <c r="C2793" s="59">
        <v>50804929</v>
      </c>
      <c r="D2793" s="55" t="s">
        <v>856</v>
      </c>
      <c r="E2793" s="67">
        <v>504000</v>
      </c>
      <c r="G2793" s="102">
        <v>1008000</v>
      </c>
      <c r="H2793" s="56" t="s">
        <v>92</v>
      </c>
      <c r="K2793" s="56">
        <v>796</v>
      </c>
      <c r="L2793" s="55" t="s">
        <v>176</v>
      </c>
      <c r="M2793" s="55" t="s">
        <v>2824</v>
      </c>
      <c r="N2793" s="4" t="s">
        <v>177</v>
      </c>
      <c r="O2793" s="55" t="s">
        <v>178</v>
      </c>
    </row>
    <row r="2794" spans="2:15">
      <c r="B2794" s="20">
        <v>45336</v>
      </c>
      <c r="C2794" s="59">
        <v>40010087</v>
      </c>
      <c r="D2794" s="55" t="s">
        <v>387</v>
      </c>
      <c r="E2794" s="67">
        <v>864</v>
      </c>
      <c r="G2794" s="102">
        <v>2592</v>
      </c>
      <c r="H2794" s="56" t="s">
        <v>80</v>
      </c>
      <c r="K2794" s="56">
        <v>796</v>
      </c>
      <c r="L2794" s="55" t="s">
        <v>176</v>
      </c>
      <c r="M2794" s="55" t="s">
        <v>2824</v>
      </c>
      <c r="N2794" s="4" t="s">
        <v>177</v>
      </c>
      <c r="O2794" s="55" t="s">
        <v>178</v>
      </c>
    </row>
    <row r="2795" spans="2:15">
      <c r="B2795" s="20">
        <v>45336</v>
      </c>
      <c r="C2795" s="59">
        <v>40007942</v>
      </c>
      <c r="D2795" s="55" t="s">
        <v>219</v>
      </c>
      <c r="E2795" s="67">
        <v>2100</v>
      </c>
      <c r="G2795" s="102">
        <v>2100</v>
      </c>
      <c r="H2795" s="56" t="s">
        <v>80</v>
      </c>
      <c r="K2795" s="56">
        <v>796</v>
      </c>
      <c r="L2795" s="55" t="s">
        <v>176</v>
      </c>
      <c r="M2795" s="55" t="s">
        <v>2824</v>
      </c>
      <c r="N2795" s="4" t="s">
        <v>177</v>
      </c>
      <c r="O2795" s="55" t="s">
        <v>178</v>
      </c>
    </row>
    <row r="2796" spans="2:15">
      <c r="B2796" s="20">
        <v>45336</v>
      </c>
      <c r="C2796" s="59">
        <v>40011080</v>
      </c>
      <c r="D2796" s="55" t="s">
        <v>420</v>
      </c>
      <c r="E2796" s="67">
        <v>450</v>
      </c>
      <c r="G2796" s="102">
        <v>900</v>
      </c>
      <c r="H2796" s="56" t="s">
        <v>80</v>
      </c>
      <c r="K2796" s="56">
        <v>796</v>
      </c>
      <c r="L2796" s="55" t="s">
        <v>176</v>
      </c>
      <c r="M2796" s="55" t="s">
        <v>2824</v>
      </c>
      <c r="N2796" s="4" t="s">
        <v>177</v>
      </c>
      <c r="O2796" s="55" t="s">
        <v>178</v>
      </c>
    </row>
    <row r="2797" spans="2:15">
      <c r="B2797" s="20">
        <v>45336</v>
      </c>
      <c r="C2797" s="59">
        <v>50145187</v>
      </c>
      <c r="D2797" s="55" t="s">
        <v>465</v>
      </c>
      <c r="E2797" s="67">
        <v>264</v>
      </c>
      <c r="G2797" s="102">
        <v>792000</v>
      </c>
      <c r="H2797" s="56" t="s">
        <v>92</v>
      </c>
      <c r="K2797" s="56">
        <v>796</v>
      </c>
      <c r="L2797" s="55" t="s">
        <v>176</v>
      </c>
      <c r="M2797" s="55" t="s">
        <v>2824</v>
      </c>
      <c r="N2797" s="4" t="s">
        <v>177</v>
      </c>
      <c r="O2797" s="55" t="s">
        <v>178</v>
      </c>
    </row>
    <row r="2798" spans="2:15">
      <c r="B2798" s="20">
        <v>45336</v>
      </c>
      <c r="C2798" s="59">
        <v>50337816</v>
      </c>
      <c r="D2798" s="55" t="s">
        <v>245</v>
      </c>
      <c r="E2798" s="67">
        <v>264</v>
      </c>
      <c r="G2798" s="102">
        <v>528</v>
      </c>
      <c r="H2798" s="56" t="s">
        <v>80</v>
      </c>
      <c r="K2798" s="56">
        <v>796</v>
      </c>
      <c r="L2798" s="55" t="s">
        <v>176</v>
      </c>
      <c r="M2798" s="55" t="s">
        <v>2824</v>
      </c>
      <c r="N2798" s="4" t="s">
        <v>177</v>
      </c>
      <c r="O2798" s="55" t="s">
        <v>178</v>
      </c>
    </row>
    <row r="2799" spans="2:15">
      <c r="B2799" s="20">
        <v>45336</v>
      </c>
      <c r="C2799" s="59">
        <v>40011588</v>
      </c>
      <c r="D2799" s="55" t="s">
        <v>585</v>
      </c>
      <c r="E2799" s="67">
        <v>450</v>
      </c>
      <c r="G2799" s="102">
        <v>1950</v>
      </c>
      <c r="H2799" s="56" t="s">
        <v>80</v>
      </c>
      <c r="K2799" s="56">
        <v>796</v>
      </c>
      <c r="L2799" s="55" t="s">
        <v>176</v>
      </c>
      <c r="M2799" s="55" t="s">
        <v>2824</v>
      </c>
      <c r="N2799" s="4" t="s">
        <v>177</v>
      </c>
      <c r="O2799" s="55" t="s">
        <v>178</v>
      </c>
    </row>
    <row r="2800" spans="2:15">
      <c r="B2800" s="20">
        <v>45336</v>
      </c>
      <c r="C2800" s="59">
        <v>40014089</v>
      </c>
      <c r="D2800" s="55" t="s">
        <v>1213</v>
      </c>
      <c r="E2800" s="67">
        <v>864</v>
      </c>
      <c r="G2800" s="102">
        <v>1728</v>
      </c>
      <c r="H2800" s="56" t="s">
        <v>80</v>
      </c>
      <c r="K2800" s="56">
        <v>796</v>
      </c>
      <c r="L2800" s="55" t="s">
        <v>176</v>
      </c>
      <c r="M2800" s="55" t="s">
        <v>2824</v>
      </c>
      <c r="N2800" s="4" t="s">
        <v>177</v>
      </c>
      <c r="O2800" s="55" t="s">
        <v>178</v>
      </c>
    </row>
    <row r="2801" spans="2:15">
      <c r="B2801" s="20">
        <v>45336</v>
      </c>
      <c r="C2801" s="59">
        <v>50145028</v>
      </c>
      <c r="D2801" s="55" t="s">
        <v>23</v>
      </c>
      <c r="E2801" s="67">
        <v>192</v>
      </c>
      <c r="G2801" s="102">
        <v>768</v>
      </c>
      <c r="H2801" s="56" t="s">
        <v>92</v>
      </c>
      <c r="K2801" s="56">
        <v>797</v>
      </c>
      <c r="L2801" s="55" t="s">
        <v>326</v>
      </c>
      <c r="M2801" s="55" t="s">
        <v>326</v>
      </c>
      <c r="N2801" s="4" t="s">
        <v>239</v>
      </c>
      <c r="O2801" s="55" t="s">
        <v>178</v>
      </c>
    </row>
    <row r="2802" spans="2:15">
      <c r="B2802" s="20">
        <v>45336</v>
      </c>
      <c r="C2802" s="59">
        <v>50144376</v>
      </c>
      <c r="D2802" s="55" t="s">
        <v>19</v>
      </c>
      <c r="E2802" s="67">
        <v>500</v>
      </c>
      <c r="G2802" s="102">
        <v>500</v>
      </c>
      <c r="H2802" s="56" t="s">
        <v>92</v>
      </c>
      <c r="K2802" s="56">
        <v>797</v>
      </c>
      <c r="L2802" s="55" t="s">
        <v>326</v>
      </c>
      <c r="M2802" s="55" t="s">
        <v>326</v>
      </c>
      <c r="N2802" s="4" t="s">
        <v>239</v>
      </c>
      <c r="O2802" s="55" t="s">
        <v>178</v>
      </c>
    </row>
    <row r="2803" spans="2:15">
      <c r="B2803" s="20">
        <v>45336</v>
      </c>
      <c r="C2803" s="59">
        <v>50272278</v>
      </c>
      <c r="D2803" s="55" t="s">
        <v>21</v>
      </c>
      <c r="E2803" s="67">
        <v>500</v>
      </c>
      <c r="G2803" s="102">
        <v>6770</v>
      </c>
      <c r="H2803" s="56" t="s">
        <v>92</v>
      </c>
      <c r="K2803" s="56">
        <v>797</v>
      </c>
      <c r="L2803" s="55" t="s">
        <v>326</v>
      </c>
      <c r="M2803" s="55" t="s">
        <v>326</v>
      </c>
      <c r="N2803" s="4" t="s">
        <v>239</v>
      </c>
      <c r="O2803" s="55" t="s">
        <v>178</v>
      </c>
    </row>
    <row r="2804" spans="2:15">
      <c r="B2804" s="20">
        <v>45336</v>
      </c>
      <c r="C2804" s="59">
        <v>50010080</v>
      </c>
      <c r="D2804" s="55" t="s">
        <v>354</v>
      </c>
      <c r="E2804" s="67">
        <v>1000</v>
      </c>
      <c r="G2804" s="102">
        <v>6000</v>
      </c>
      <c r="H2804" s="56" t="s">
        <v>82</v>
      </c>
      <c r="K2804" s="56">
        <v>798</v>
      </c>
      <c r="L2804" s="55" t="s">
        <v>176</v>
      </c>
      <c r="M2804" s="55" t="s">
        <v>2824</v>
      </c>
      <c r="N2804" s="4" t="s">
        <v>177</v>
      </c>
      <c r="O2804" s="55" t="s">
        <v>178</v>
      </c>
    </row>
    <row r="2805" spans="2:15">
      <c r="B2805" s="20">
        <v>45336</v>
      </c>
      <c r="C2805" s="59">
        <v>50272278</v>
      </c>
      <c r="D2805" s="55" t="s">
        <v>21</v>
      </c>
      <c r="E2805" s="67">
        <v>500</v>
      </c>
      <c r="G2805" s="102">
        <v>2000</v>
      </c>
      <c r="H2805" s="56" t="s">
        <v>92</v>
      </c>
      <c r="K2805" s="56">
        <v>798</v>
      </c>
      <c r="L2805" s="55" t="s">
        <v>176</v>
      </c>
      <c r="M2805" s="55" t="s">
        <v>2824</v>
      </c>
      <c r="N2805" s="4" t="s">
        <v>177</v>
      </c>
      <c r="O2805" s="55" t="s">
        <v>178</v>
      </c>
    </row>
    <row r="2806" spans="2:15">
      <c r="B2806" s="20">
        <v>45336</v>
      </c>
      <c r="C2806" s="59">
        <v>50141533</v>
      </c>
      <c r="D2806" s="55" t="s">
        <v>494</v>
      </c>
      <c r="E2806" s="67">
        <v>1250</v>
      </c>
      <c r="G2806" s="102">
        <v>3750</v>
      </c>
      <c r="H2806" s="56" t="s">
        <v>82</v>
      </c>
      <c r="K2806" s="56">
        <v>798</v>
      </c>
      <c r="L2806" s="55" t="s">
        <v>176</v>
      </c>
      <c r="M2806" s="55" t="s">
        <v>2824</v>
      </c>
      <c r="N2806" s="4" t="s">
        <v>177</v>
      </c>
      <c r="O2806" s="55" t="s">
        <v>178</v>
      </c>
    </row>
    <row r="2807" spans="2:15">
      <c r="B2807" s="20">
        <v>45336</v>
      </c>
      <c r="C2807" s="59">
        <v>50802401</v>
      </c>
      <c r="D2807" s="55" t="s">
        <v>13</v>
      </c>
      <c r="E2807" s="67">
        <v>289800</v>
      </c>
      <c r="G2807" s="102">
        <v>1449000</v>
      </c>
      <c r="H2807" s="56" t="s">
        <v>92</v>
      </c>
      <c r="K2807" s="56">
        <v>798</v>
      </c>
      <c r="L2807" s="55" t="s">
        <v>176</v>
      </c>
      <c r="M2807" s="55" t="s">
        <v>2824</v>
      </c>
      <c r="N2807" s="4" t="s">
        <v>177</v>
      </c>
      <c r="O2807" s="55" t="s">
        <v>178</v>
      </c>
    </row>
    <row r="2808" spans="2:15">
      <c r="B2808" s="20">
        <v>45336</v>
      </c>
      <c r="C2808" s="59">
        <v>50142327</v>
      </c>
      <c r="D2808" s="55" t="s">
        <v>256</v>
      </c>
      <c r="E2808" s="67">
        <v>437.6</v>
      </c>
      <c r="G2808" s="102">
        <v>953.4</v>
      </c>
      <c r="H2808" s="56" t="s">
        <v>82</v>
      </c>
      <c r="K2808" s="56">
        <v>798</v>
      </c>
      <c r="L2808" s="55" t="s">
        <v>176</v>
      </c>
      <c r="M2808" s="55" t="s">
        <v>2824</v>
      </c>
      <c r="N2808" s="4" t="s">
        <v>177</v>
      </c>
      <c r="O2808" s="55" t="s">
        <v>178</v>
      </c>
    </row>
    <row r="2809" spans="2:15">
      <c r="B2809" s="20">
        <v>45337</v>
      </c>
      <c r="C2809" s="59">
        <v>50272278</v>
      </c>
      <c r="D2809" s="55" t="s">
        <v>21</v>
      </c>
      <c r="E2809" s="67">
        <v>500</v>
      </c>
      <c r="G2809" s="102">
        <v>5500</v>
      </c>
      <c r="H2809" s="56" t="s">
        <v>92</v>
      </c>
      <c r="K2809" s="56">
        <v>799</v>
      </c>
      <c r="L2809" s="55" t="s">
        <v>176</v>
      </c>
      <c r="M2809" s="55" t="s">
        <v>2824</v>
      </c>
      <c r="N2809" s="4" t="s">
        <v>177</v>
      </c>
      <c r="O2809" s="55" t="s">
        <v>178</v>
      </c>
    </row>
    <row r="2810" spans="2:15">
      <c r="B2810" s="20">
        <v>45337</v>
      </c>
      <c r="C2810" s="59">
        <v>50143894</v>
      </c>
      <c r="D2810" s="55" t="s">
        <v>944</v>
      </c>
      <c r="E2810" s="67">
        <v>5200</v>
      </c>
      <c r="G2810" s="102">
        <v>5200</v>
      </c>
      <c r="H2810" s="56" t="s">
        <v>92</v>
      </c>
      <c r="K2810" s="56">
        <v>799</v>
      </c>
      <c r="L2810" s="55" t="s">
        <v>176</v>
      </c>
      <c r="M2810" s="55" t="s">
        <v>2824</v>
      </c>
      <c r="N2810" s="4" t="s">
        <v>177</v>
      </c>
      <c r="O2810" s="55" t="s">
        <v>178</v>
      </c>
    </row>
    <row r="2811" spans="2:15">
      <c r="B2811" s="20">
        <v>45337</v>
      </c>
      <c r="C2811" s="59">
        <v>50507916</v>
      </c>
      <c r="D2811" s="55" t="s">
        <v>406</v>
      </c>
      <c r="E2811" s="67">
        <v>264000</v>
      </c>
      <c r="G2811" s="102">
        <v>2640000</v>
      </c>
      <c r="H2811" s="56" t="s">
        <v>92</v>
      </c>
      <c r="K2811" s="56">
        <v>799</v>
      </c>
      <c r="L2811" s="55" t="s">
        <v>176</v>
      </c>
      <c r="M2811" s="55" t="s">
        <v>2824</v>
      </c>
      <c r="N2811" s="4" t="s">
        <v>177</v>
      </c>
      <c r="O2811" s="55" t="s">
        <v>178</v>
      </c>
    </row>
    <row r="2812" spans="2:15">
      <c r="B2812" s="20">
        <v>45337</v>
      </c>
      <c r="C2812" s="59">
        <v>50470190</v>
      </c>
      <c r="D2812" s="55" t="s">
        <v>12</v>
      </c>
      <c r="E2812" s="67">
        <v>289800</v>
      </c>
      <c r="G2812" s="102">
        <v>2608200</v>
      </c>
      <c r="H2812" s="56" t="s">
        <v>92</v>
      </c>
      <c r="K2812" s="56">
        <v>800</v>
      </c>
      <c r="L2812" s="55" t="s">
        <v>176</v>
      </c>
      <c r="M2812" s="55" t="s">
        <v>2824</v>
      </c>
      <c r="N2812" s="4" t="s">
        <v>177</v>
      </c>
      <c r="O2812" s="55" t="s">
        <v>178</v>
      </c>
    </row>
    <row r="2813" spans="2:15">
      <c r="B2813" s="20">
        <v>45337</v>
      </c>
      <c r="C2813" s="59">
        <v>50802401</v>
      </c>
      <c r="D2813" s="55" t="s">
        <v>13</v>
      </c>
      <c r="E2813" s="67">
        <v>289800</v>
      </c>
      <c r="G2813" s="102">
        <v>2608200</v>
      </c>
      <c r="H2813" s="56" t="s">
        <v>92</v>
      </c>
      <c r="K2813" s="56">
        <v>800</v>
      </c>
      <c r="L2813" s="55" t="s">
        <v>176</v>
      </c>
      <c r="M2813" s="55" t="s">
        <v>2824</v>
      </c>
      <c r="N2813" s="4" t="s">
        <v>177</v>
      </c>
      <c r="O2813" s="55" t="s">
        <v>178</v>
      </c>
    </row>
    <row r="2814" spans="2:15">
      <c r="B2814" s="20">
        <v>45369</v>
      </c>
      <c r="C2814" s="59">
        <v>50143893</v>
      </c>
      <c r="D2814" s="55" t="s">
        <v>24</v>
      </c>
      <c r="E2814" s="67">
        <v>990</v>
      </c>
      <c r="G2814" s="102">
        <v>1980</v>
      </c>
      <c r="H2814" s="56" t="s">
        <v>92</v>
      </c>
      <c r="K2814" s="56">
        <v>801</v>
      </c>
      <c r="L2814" s="55" t="s">
        <v>176</v>
      </c>
      <c r="M2814" s="55" t="s">
        <v>2824</v>
      </c>
      <c r="N2814" s="4" t="s">
        <v>177</v>
      </c>
      <c r="O2814" s="55" t="s">
        <v>178</v>
      </c>
    </row>
    <row r="2815" spans="2:15">
      <c r="B2815" s="20">
        <v>45369</v>
      </c>
      <c r="C2815" s="59">
        <v>50272278</v>
      </c>
      <c r="D2815" s="55" t="s">
        <v>21</v>
      </c>
      <c r="E2815" s="67">
        <v>500</v>
      </c>
      <c r="G2815" s="102">
        <v>7000</v>
      </c>
      <c r="H2815" s="56" t="s">
        <v>92</v>
      </c>
      <c r="K2815" s="56">
        <v>801</v>
      </c>
      <c r="L2815" s="55" t="s">
        <v>176</v>
      </c>
      <c r="M2815" s="55" t="s">
        <v>2824</v>
      </c>
      <c r="N2815" s="4" t="s">
        <v>177</v>
      </c>
      <c r="O2815" s="55" t="s">
        <v>178</v>
      </c>
    </row>
    <row r="2816" spans="2:15">
      <c r="B2816" s="20">
        <v>45369</v>
      </c>
      <c r="C2816" s="59">
        <v>50337816</v>
      </c>
      <c r="D2816" s="55" t="s">
        <v>245</v>
      </c>
      <c r="E2816" s="67">
        <v>264</v>
      </c>
      <c r="G2816" s="102">
        <v>792</v>
      </c>
      <c r="H2816" s="56" t="s">
        <v>80</v>
      </c>
      <c r="K2816" s="56">
        <v>801</v>
      </c>
      <c r="L2816" s="55" t="s">
        <v>176</v>
      </c>
      <c r="M2816" s="55" t="s">
        <v>2824</v>
      </c>
      <c r="N2816" s="4" t="s">
        <v>177</v>
      </c>
      <c r="O2816" s="55" t="s">
        <v>178</v>
      </c>
    </row>
    <row r="2817" spans="2:15">
      <c r="B2817" s="20">
        <v>45369</v>
      </c>
      <c r="C2817" s="59">
        <v>50821479</v>
      </c>
      <c r="D2817" s="55" t="s">
        <v>1199</v>
      </c>
      <c r="E2817" s="67">
        <v>320000</v>
      </c>
      <c r="G2817" s="102">
        <v>960000</v>
      </c>
      <c r="H2817" s="56" t="s">
        <v>92</v>
      </c>
      <c r="K2817" s="56">
        <v>801</v>
      </c>
      <c r="L2817" s="55" t="s">
        <v>176</v>
      </c>
      <c r="M2817" s="55" t="s">
        <v>2824</v>
      </c>
      <c r="N2817" s="4" t="s">
        <v>177</v>
      </c>
      <c r="O2817" s="55" t="s">
        <v>178</v>
      </c>
    </row>
    <row r="2818" spans="2:15">
      <c r="B2818" s="20">
        <v>45369</v>
      </c>
      <c r="C2818" s="59">
        <v>50144376</v>
      </c>
      <c r="D2818" s="55" t="s">
        <v>19</v>
      </c>
      <c r="E2818" s="67">
        <v>500</v>
      </c>
      <c r="G2818" s="102">
        <v>5500</v>
      </c>
      <c r="H2818" s="56" t="s">
        <v>92</v>
      </c>
      <c r="K2818" s="56">
        <v>802</v>
      </c>
      <c r="L2818" s="55" t="s">
        <v>176</v>
      </c>
      <c r="M2818" s="55" t="s">
        <v>2824</v>
      </c>
      <c r="N2818" s="4" t="s">
        <v>177</v>
      </c>
      <c r="O2818" s="55" t="s">
        <v>178</v>
      </c>
    </row>
    <row r="2819" spans="2:15">
      <c r="B2819" s="20">
        <v>45369</v>
      </c>
      <c r="C2819" s="59">
        <v>50272278</v>
      </c>
      <c r="D2819" s="55" t="s">
        <v>21</v>
      </c>
      <c r="E2819" s="67">
        <v>500</v>
      </c>
      <c r="G2819" s="102">
        <v>5500</v>
      </c>
      <c r="H2819" s="56" t="s">
        <v>92</v>
      </c>
      <c r="K2819" s="56">
        <v>802</v>
      </c>
      <c r="L2819" s="55" t="s">
        <v>176</v>
      </c>
      <c r="M2819" s="55" t="s">
        <v>2824</v>
      </c>
      <c r="N2819" s="4" t="s">
        <v>177</v>
      </c>
      <c r="O2819" s="55" t="s">
        <v>178</v>
      </c>
    </row>
    <row r="2820" spans="2:15">
      <c r="B2820" s="20">
        <v>45370</v>
      </c>
      <c r="C2820" s="59">
        <v>50809147</v>
      </c>
      <c r="D2820" s="55" t="s">
        <v>930</v>
      </c>
      <c r="E2820" s="67">
        <v>456</v>
      </c>
      <c r="G2820" s="102">
        <v>3991.6</v>
      </c>
      <c r="H2820" s="56" t="s">
        <v>82</v>
      </c>
      <c r="K2820" s="56">
        <v>803</v>
      </c>
      <c r="L2820" s="55" t="s">
        <v>176</v>
      </c>
      <c r="M2820" s="55" t="s">
        <v>2824</v>
      </c>
      <c r="N2820" s="4" t="s">
        <v>177</v>
      </c>
      <c r="O2820" s="55" t="s">
        <v>178</v>
      </c>
    </row>
    <row r="2821" spans="2:15">
      <c r="B2821" s="20">
        <v>45370</v>
      </c>
      <c r="C2821" s="59">
        <v>50802401</v>
      </c>
      <c r="D2821" s="55" t="s">
        <v>13</v>
      </c>
      <c r="E2821" s="67">
        <v>289800</v>
      </c>
      <c r="G2821" s="102">
        <v>3187800</v>
      </c>
      <c r="H2821" s="56" t="s">
        <v>92</v>
      </c>
      <c r="K2821" s="56">
        <v>803</v>
      </c>
      <c r="L2821" s="55" t="s">
        <v>176</v>
      </c>
      <c r="M2821" s="55" t="s">
        <v>2824</v>
      </c>
      <c r="N2821" s="4" t="s">
        <v>177</v>
      </c>
      <c r="O2821" s="55" t="s">
        <v>178</v>
      </c>
    </row>
    <row r="2822" spans="2:15">
      <c r="B2822" s="20">
        <v>45370</v>
      </c>
      <c r="C2822" s="59">
        <v>40010087</v>
      </c>
      <c r="D2822" s="55" t="s">
        <v>387</v>
      </c>
      <c r="E2822" s="67">
        <v>864</v>
      </c>
      <c r="G2822" s="102">
        <v>1728</v>
      </c>
      <c r="H2822" s="56" t="s">
        <v>80</v>
      </c>
      <c r="K2822" s="56">
        <v>804</v>
      </c>
      <c r="L2822" s="55" t="s">
        <v>176</v>
      </c>
      <c r="M2822" s="55" t="s">
        <v>2824</v>
      </c>
      <c r="N2822" s="4" t="s">
        <v>177</v>
      </c>
      <c r="O2822" s="55" t="s">
        <v>178</v>
      </c>
    </row>
    <row r="2823" spans="2:15">
      <c r="B2823" s="20">
        <v>45370</v>
      </c>
      <c r="C2823" s="59">
        <v>20016185</v>
      </c>
      <c r="D2823" s="55" t="s">
        <v>285</v>
      </c>
      <c r="E2823" s="67">
        <v>1000</v>
      </c>
      <c r="G2823" s="102">
        <v>10000</v>
      </c>
      <c r="H2823" s="56" t="s">
        <v>92</v>
      </c>
      <c r="K2823" s="56">
        <v>804</v>
      </c>
      <c r="L2823" s="55" t="s">
        <v>176</v>
      </c>
      <c r="M2823" s="55" t="s">
        <v>2824</v>
      </c>
      <c r="N2823" s="4" t="s">
        <v>177</v>
      </c>
      <c r="O2823" s="55" t="s">
        <v>178</v>
      </c>
    </row>
    <row r="2824" spans="2:15">
      <c r="B2824" s="20">
        <v>45370</v>
      </c>
      <c r="C2824" s="59">
        <v>50144376</v>
      </c>
      <c r="D2824" s="55" t="s">
        <v>19</v>
      </c>
      <c r="E2824" s="67">
        <v>500</v>
      </c>
      <c r="G2824" s="102">
        <v>5500</v>
      </c>
      <c r="H2824" s="56" t="s">
        <v>92</v>
      </c>
      <c r="K2824" s="56">
        <v>804</v>
      </c>
      <c r="L2824" s="55" t="s">
        <v>176</v>
      </c>
      <c r="M2824" s="55" t="s">
        <v>2824</v>
      </c>
      <c r="N2824" s="4" t="s">
        <v>177</v>
      </c>
      <c r="O2824" s="55" t="s">
        <v>178</v>
      </c>
    </row>
    <row r="2825" spans="2:15">
      <c r="B2825" s="20">
        <v>45370</v>
      </c>
      <c r="C2825" s="59">
        <v>40007941</v>
      </c>
      <c r="D2825" s="55" t="s">
        <v>211</v>
      </c>
      <c r="E2825" s="67">
        <v>864</v>
      </c>
      <c r="G2825" s="102">
        <v>1746</v>
      </c>
      <c r="H2825" s="56" t="s">
        <v>80</v>
      </c>
      <c r="K2825" s="56">
        <v>804</v>
      </c>
      <c r="L2825" s="55" t="s">
        <v>176</v>
      </c>
      <c r="M2825" s="55" t="s">
        <v>2824</v>
      </c>
      <c r="N2825" s="4" t="s">
        <v>177</v>
      </c>
      <c r="O2825" s="55" t="s">
        <v>178</v>
      </c>
    </row>
    <row r="2826" spans="2:15">
      <c r="B2826" s="20">
        <v>45370</v>
      </c>
      <c r="C2826" s="59">
        <v>40011080</v>
      </c>
      <c r="D2826" s="55" t="s">
        <v>420</v>
      </c>
      <c r="E2826" s="67">
        <v>450</v>
      </c>
      <c r="G2826" s="102">
        <v>1167.8</v>
      </c>
      <c r="H2826" s="56" t="s">
        <v>80</v>
      </c>
      <c r="K2826" s="56">
        <v>804</v>
      </c>
      <c r="L2826" s="55" t="s">
        <v>176</v>
      </c>
      <c r="M2826" s="55" t="s">
        <v>2824</v>
      </c>
      <c r="N2826" s="4" t="s">
        <v>177</v>
      </c>
      <c r="O2826" s="55" t="s">
        <v>178</v>
      </c>
    </row>
    <row r="2827" spans="2:15">
      <c r="B2827" s="20">
        <v>45370</v>
      </c>
      <c r="C2827" s="59">
        <v>50507916</v>
      </c>
      <c r="D2827" s="55" t="s">
        <v>406</v>
      </c>
      <c r="E2827" s="67">
        <v>264</v>
      </c>
      <c r="G2827" s="102">
        <v>528000</v>
      </c>
      <c r="H2827" s="56" t="s">
        <v>92</v>
      </c>
      <c r="K2827" s="56">
        <v>804</v>
      </c>
      <c r="L2827" s="55" t="s">
        <v>176</v>
      </c>
      <c r="M2827" s="55" t="s">
        <v>2824</v>
      </c>
      <c r="N2827" s="4" t="s">
        <v>177</v>
      </c>
      <c r="O2827" s="55" t="s">
        <v>178</v>
      </c>
    </row>
    <row r="2828" spans="2:15">
      <c r="B2828" s="20">
        <v>45370</v>
      </c>
      <c r="C2828" s="59">
        <v>50392046</v>
      </c>
      <c r="D2828" s="55" t="s">
        <v>509</v>
      </c>
      <c r="E2828" s="67">
        <v>12</v>
      </c>
      <c r="G2828" s="102">
        <v>12</v>
      </c>
      <c r="H2828" s="99" t="s">
        <v>505</v>
      </c>
      <c r="K2828" s="56">
        <v>804</v>
      </c>
      <c r="L2828" s="55" t="s">
        <v>176</v>
      </c>
      <c r="M2828" s="55" t="s">
        <v>2824</v>
      </c>
      <c r="N2828" s="4" t="s">
        <v>177</v>
      </c>
      <c r="O2828" s="55" t="s">
        <v>178</v>
      </c>
    </row>
    <row r="2829" spans="2:15">
      <c r="B2829" s="20">
        <v>45370</v>
      </c>
      <c r="C2829" s="59">
        <v>50824145</v>
      </c>
      <c r="D2829" s="55" t="s">
        <v>1234</v>
      </c>
      <c r="E2829" s="67">
        <v>1056000</v>
      </c>
      <c r="G2829" s="102">
        <v>1056000</v>
      </c>
      <c r="H2829" s="56" t="s">
        <v>92</v>
      </c>
      <c r="K2829" s="56">
        <v>804</v>
      </c>
      <c r="L2829" s="55" t="s">
        <v>176</v>
      </c>
      <c r="M2829" s="55" t="s">
        <v>2824</v>
      </c>
      <c r="N2829" s="4" t="s">
        <v>177</v>
      </c>
      <c r="O2829" s="55" t="s">
        <v>178</v>
      </c>
    </row>
    <row r="2830" spans="2:15">
      <c r="B2830" s="20">
        <v>45370</v>
      </c>
      <c r="C2830" s="59">
        <v>50760002</v>
      </c>
      <c r="D2830" s="55" t="s">
        <v>1238</v>
      </c>
      <c r="E2830" s="67">
        <v>1056000</v>
      </c>
      <c r="G2830" s="102">
        <v>1056000</v>
      </c>
      <c r="H2830" s="56" t="s">
        <v>92</v>
      </c>
      <c r="K2830" s="56">
        <v>804</v>
      </c>
      <c r="L2830" s="55" t="s">
        <v>176</v>
      </c>
      <c r="M2830" s="55" t="s">
        <v>2824</v>
      </c>
      <c r="N2830" s="4" t="s">
        <v>177</v>
      </c>
      <c r="O2830" s="55" t="s">
        <v>178</v>
      </c>
    </row>
    <row r="2831" spans="2:15">
      <c r="B2831" s="20">
        <v>45372</v>
      </c>
      <c r="C2831" s="59">
        <v>40010087</v>
      </c>
      <c r="D2831" s="55" t="s">
        <v>387</v>
      </c>
      <c r="E2831" s="67">
        <v>864</v>
      </c>
      <c r="G2831" s="102">
        <v>1728</v>
      </c>
      <c r="H2831" s="56" t="s">
        <v>80</v>
      </c>
      <c r="K2831" s="56">
        <v>805</v>
      </c>
      <c r="L2831" s="55" t="s">
        <v>176</v>
      </c>
      <c r="M2831" s="55" t="s">
        <v>2824</v>
      </c>
      <c r="N2831" s="4" t="s">
        <v>177</v>
      </c>
      <c r="O2831" s="55" t="s">
        <v>178</v>
      </c>
    </row>
    <row r="2832" spans="2:15">
      <c r="B2832" s="20">
        <v>45372</v>
      </c>
      <c r="C2832" s="59">
        <v>50272278</v>
      </c>
      <c r="D2832" s="55" t="s">
        <v>21</v>
      </c>
      <c r="E2832" s="67">
        <v>500</v>
      </c>
      <c r="G2832" s="102">
        <v>6000</v>
      </c>
      <c r="H2832" s="56" t="s">
        <v>92</v>
      </c>
      <c r="K2832" s="56">
        <v>805</v>
      </c>
      <c r="L2832" s="55" t="s">
        <v>176</v>
      </c>
      <c r="M2832" s="55" t="s">
        <v>2824</v>
      </c>
      <c r="N2832" s="4" t="s">
        <v>177</v>
      </c>
      <c r="O2832" s="55" t="s">
        <v>178</v>
      </c>
    </row>
    <row r="2833" spans="2:15">
      <c r="B2833" s="20">
        <v>45372</v>
      </c>
      <c r="C2833" s="59">
        <v>40011080</v>
      </c>
      <c r="D2833" s="55" t="s">
        <v>420</v>
      </c>
      <c r="E2833" s="67">
        <v>450</v>
      </c>
      <c r="G2833" s="102">
        <v>1350</v>
      </c>
      <c r="H2833" s="56" t="s">
        <v>80</v>
      </c>
      <c r="K2833" s="56">
        <v>805</v>
      </c>
      <c r="L2833" s="55" t="s">
        <v>176</v>
      </c>
      <c r="M2833" s="55" t="s">
        <v>2824</v>
      </c>
      <c r="N2833" s="4" t="s">
        <v>177</v>
      </c>
      <c r="O2833" s="55" t="s">
        <v>178</v>
      </c>
    </row>
    <row r="2834" spans="2:15">
      <c r="B2834" s="20">
        <v>45372</v>
      </c>
      <c r="C2834" s="59">
        <v>50507916</v>
      </c>
      <c r="D2834" s="55" t="s">
        <v>406</v>
      </c>
      <c r="E2834" s="67">
        <v>264</v>
      </c>
      <c r="G2834" s="102">
        <v>1320000</v>
      </c>
      <c r="H2834" s="56" t="s">
        <v>92</v>
      </c>
      <c r="K2834" s="56">
        <v>805</v>
      </c>
      <c r="L2834" s="55" t="s">
        <v>176</v>
      </c>
      <c r="M2834" s="55" t="s">
        <v>2824</v>
      </c>
      <c r="N2834" s="4" t="s">
        <v>177</v>
      </c>
      <c r="O2834" s="55" t="s">
        <v>178</v>
      </c>
    </row>
    <row r="2835" spans="2:15">
      <c r="B2835" s="20">
        <v>45373</v>
      </c>
      <c r="C2835" s="59">
        <v>50804971</v>
      </c>
      <c r="D2835" s="55" t="s">
        <v>855</v>
      </c>
      <c r="E2835" s="67">
        <v>990000</v>
      </c>
      <c r="G2835" s="102">
        <v>1980000</v>
      </c>
      <c r="H2835" s="56" t="s">
        <v>92</v>
      </c>
      <c r="K2835" s="56">
        <v>806</v>
      </c>
      <c r="L2835" s="55" t="s">
        <v>176</v>
      </c>
      <c r="M2835" s="55" t="s">
        <v>2824</v>
      </c>
      <c r="N2835" s="4" t="s">
        <v>177</v>
      </c>
      <c r="O2835" s="55" t="s">
        <v>178</v>
      </c>
    </row>
    <row r="2836" spans="2:15">
      <c r="B2836" s="20">
        <v>45373</v>
      </c>
      <c r="C2836" s="59">
        <v>50804929</v>
      </c>
      <c r="D2836" s="55" t="s">
        <v>856</v>
      </c>
      <c r="E2836" s="67">
        <v>504000</v>
      </c>
      <c r="G2836" s="102">
        <v>504000</v>
      </c>
      <c r="H2836" s="56" t="s">
        <v>92</v>
      </c>
      <c r="K2836" s="56">
        <v>806</v>
      </c>
      <c r="L2836" s="55" t="s">
        <v>176</v>
      </c>
      <c r="M2836" s="55" t="s">
        <v>2824</v>
      </c>
      <c r="N2836" s="4" t="s">
        <v>177</v>
      </c>
      <c r="O2836" s="55" t="s">
        <v>178</v>
      </c>
    </row>
    <row r="2837" spans="2:15">
      <c r="B2837" s="20">
        <v>45373</v>
      </c>
      <c r="C2837" s="59">
        <v>40011133</v>
      </c>
      <c r="D2837" s="55" t="s">
        <v>634</v>
      </c>
      <c r="E2837" s="67">
        <v>864</v>
      </c>
      <c r="G2837" s="102">
        <v>1008</v>
      </c>
      <c r="H2837" s="56" t="s">
        <v>80</v>
      </c>
      <c r="K2837" s="56">
        <v>806</v>
      </c>
      <c r="L2837" s="55" t="s">
        <v>176</v>
      </c>
      <c r="M2837" s="55" t="s">
        <v>2824</v>
      </c>
      <c r="N2837" s="4" t="s">
        <v>177</v>
      </c>
      <c r="O2837" s="55" t="s">
        <v>178</v>
      </c>
    </row>
    <row r="2838" spans="2:15">
      <c r="B2838" s="20">
        <v>45373</v>
      </c>
      <c r="C2838" s="59">
        <v>50272278</v>
      </c>
      <c r="D2838" s="55" t="s">
        <v>21</v>
      </c>
      <c r="E2838" s="67">
        <v>500</v>
      </c>
      <c r="G2838" s="102">
        <v>5500</v>
      </c>
      <c r="H2838" s="56" t="s">
        <v>92</v>
      </c>
      <c r="K2838" s="56">
        <v>806</v>
      </c>
      <c r="L2838" s="55" t="s">
        <v>176</v>
      </c>
      <c r="M2838" s="55" t="s">
        <v>2824</v>
      </c>
      <c r="N2838" s="4" t="s">
        <v>177</v>
      </c>
      <c r="O2838" s="55" t="s">
        <v>178</v>
      </c>
    </row>
    <row r="2839" spans="2:15">
      <c r="B2839" s="20">
        <v>45373</v>
      </c>
      <c r="C2839" s="59">
        <v>50142237</v>
      </c>
      <c r="D2839" s="55" t="s">
        <v>617</v>
      </c>
      <c r="E2839" s="67">
        <v>1000</v>
      </c>
      <c r="G2839" s="102">
        <v>15000</v>
      </c>
      <c r="H2839" s="56" t="s">
        <v>92</v>
      </c>
      <c r="K2839" s="56">
        <v>806</v>
      </c>
      <c r="L2839" s="55" t="s">
        <v>176</v>
      </c>
      <c r="M2839" s="55" t="s">
        <v>2824</v>
      </c>
      <c r="N2839" s="4" t="s">
        <v>177</v>
      </c>
      <c r="O2839" s="55" t="s">
        <v>178</v>
      </c>
    </row>
    <row r="2840" spans="2:15">
      <c r="B2840" s="20">
        <v>45373</v>
      </c>
      <c r="C2840" s="59">
        <v>50145029</v>
      </c>
      <c r="D2840" s="55" t="s">
        <v>705</v>
      </c>
      <c r="E2840" s="67">
        <v>24</v>
      </c>
      <c r="G2840" s="102">
        <v>48</v>
      </c>
      <c r="H2840" s="56" t="s">
        <v>505</v>
      </c>
      <c r="K2840" s="56">
        <v>806</v>
      </c>
      <c r="L2840" s="55" t="s">
        <v>176</v>
      </c>
      <c r="M2840" s="55" t="s">
        <v>2824</v>
      </c>
      <c r="N2840" s="4" t="s">
        <v>177</v>
      </c>
      <c r="O2840" s="55" t="s">
        <v>178</v>
      </c>
    </row>
    <row r="2841" spans="2:15">
      <c r="B2841" s="20">
        <v>45373</v>
      </c>
      <c r="C2841" s="59">
        <v>40011080</v>
      </c>
      <c r="D2841" s="55" t="s">
        <v>420</v>
      </c>
      <c r="E2841" s="67">
        <v>450</v>
      </c>
      <c r="G2841" s="102">
        <v>900</v>
      </c>
      <c r="H2841" s="56" t="s">
        <v>80</v>
      </c>
      <c r="K2841" s="56">
        <v>806</v>
      </c>
      <c r="L2841" s="55" t="s">
        <v>176</v>
      </c>
      <c r="M2841" s="55" t="s">
        <v>2824</v>
      </c>
      <c r="N2841" s="4" t="s">
        <v>177</v>
      </c>
      <c r="O2841" s="55" t="s">
        <v>178</v>
      </c>
    </row>
    <row r="2842" spans="2:15">
      <c r="B2842" s="20">
        <v>45373</v>
      </c>
      <c r="C2842" s="59">
        <v>50818947</v>
      </c>
      <c r="D2842" s="55" t="s">
        <v>1174</v>
      </c>
      <c r="E2842" s="67">
        <v>320000</v>
      </c>
      <c r="G2842" s="102">
        <v>820000</v>
      </c>
      <c r="H2842" s="56" t="s">
        <v>92</v>
      </c>
      <c r="K2842" s="56">
        <v>806</v>
      </c>
      <c r="L2842" s="55" t="s">
        <v>176</v>
      </c>
      <c r="M2842" s="55" t="s">
        <v>2824</v>
      </c>
      <c r="N2842" s="4" t="s">
        <v>177</v>
      </c>
      <c r="O2842" s="55" t="s">
        <v>178</v>
      </c>
    </row>
    <row r="2843" spans="2:15">
      <c r="B2843" s="20">
        <v>45373</v>
      </c>
      <c r="C2843" s="59">
        <v>50145012</v>
      </c>
      <c r="D2843" s="55" t="s">
        <v>504</v>
      </c>
      <c r="E2843" s="67">
        <v>12</v>
      </c>
      <c r="G2843" s="102">
        <v>12</v>
      </c>
      <c r="H2843" s="56" t="s">
        <v>505</v>
      </c>
      <c r="K2843" s="56">
        <v>806</v>
      </c>
      <c r="L2843" s="55" t="s">
        <v>176</v>
      </c>
      <c r="M2843" s="55" t="s">
        <v>2824</v>
      </c>
      <c r="N2843" s="4" t="s">
        <v>177</v>
      </c>
      <c r="O2843" s="55" t="s">
        <v>178</v>
      </c>
    </row>
    <row r="2844" spans="2:15">
      <c r="B2844" s="20">
        <v>45373</v>
      </c>
      <c r="C2844" s="59">
        <v>40014089</v>
      </c>
      <c r="D2844" s="55" t="s">
        <v>1213</v>
      </c>
      <c r="E2844" s="67">
        <v>86</v>
      </c>
      <c r="G2844" s="102">
        <v>1728</v>
      </c>
      <c r="H2844" s="56" t="s">
        <v>80</v>
      </c>
      <c r="K2844" s="56">
        <v>806</v>
      </c>
      <c r="L2844" s="55" t="s">
        <v>176</v>
      </c>
      <c r="M2844" s="55" t="s">
        <v>2824</v>
      </c>
      <c r="N2844" s="4" t="s">
        <v>177</v>
      </c>
      <c r="O2844" s="55" t="s">
        <v>178</v>
      </c>
    </row>
    <row r="2845" spans="2:15">
      <c r="B2845" s="20">
        <v>45373</v>
      </c>
      <c r="C2845" s="59">
        <v>50010080</v>
      </c>
      <c r="D2845" s="55" t="s">
        <v>354</v>
      </c>
      <c r="E2845" s="67">
        <v>1000</v>
      </c>
      <c r="G2845" s="102">
        <v>5000</v>
      </c>
      <c r="H2845" s="56" t="s">
        <v>82</v>
      </c>
      <c r="K2845" s="56">
        <v>807</v>
      </c>
      <c r="L2845" s="55" t="s">
        <v>176</v>
      </c>
      <c r="M2845" s="55" t="s">
        <v>2824</v>
      </c>
      <c r="N2845" s="4" t="s">
        <v>177</v>
      </c>
      <c r="O2845" s="55" t="s">
        <v>178</v>
      </c>
    </row>
    <row r="2846" spans="2:15">
      <c r="B2846" s="20">
        <v>45373</v>
      </c>
      <c r="C2846" s="59">
        <v>50142281</v>
      </c>
      <c r="D2846" s="55" t="s">
        <v>204</v>
      </c>
      <c r="E2846" s="67">
        <v>450</v>
      </c>
      <c r="G2846" s="102">
        <v>1350</v>
      </c>
      <c r="H2846" s="56" t="s">
        <v>82</v>
      </c>
      <c r="K2846" s="56">
        <v>807</v>
      </c>
      <c r="L2846" s="55" t="s">
        <v>176</v>
      </c>
      <c r="M2846" s="55" t="s">
        <v>2824</v>
      </c>
      <c r="N2846" s="4" t="s">
        <v>177</v>
      </c>
      <c r="O2846" s="55" t="s">
        <v>178</v>
      </c>
    </row>
    <row r="2847" spans="2:15">
      <c r="B2847" s="20">
        <v>45373</v>
      </c>
      <c r="C2847" s="59">
        <v>50802401</v>
      </c>
      <c r="D2847" s="55" t="s">
        <v>13</v>
      </c>
      <c r="E2847" s="67">
        <v>289800</v>
      </c>
      <c r="G2847" s="102">
        <v>1449000</v>
      </c>
      <c r="H2847" s="56" t="s">
        <v>92</v>
      </c>
      <c r="K2847" s="56">
        <v>807</v>
      </c>
      <c r="L2847" s="55" t="s">
        <v>176</v>
      </c>
      <c r="M2847" s="55" t="s">
        <v>2824</v>
      </c>
      <c r="N2847" s="4" t="s">
        <v>177</v>
      </c>
      <c r="O2847" s="55" t="s">
        <v>178</v>
      </c>
    </row>
    <row r="2848" spans="2:15">
      <c r="B2848" s="20">
        <v>45373</v>
      </c>
      <c r="C2848" s="59">
        <v>50142327</v>
      </c>
      <c r="D2848" s="55" t="s">
        <v>256</v>
      </c>
      <c r="E2848" s="67">
        <v>476.7</v>
      </c>
      <c r="G2848" s="102">
        <v>1430.1</v>
      </c>
      <c r="H2848" s="56" t="s">
        <v>82</v>
      </c>
      <c r="K2848" s="56">
        <v>807</v>
      </c>
      <c r="L2848" s="55" t="s">
        <v>176</v>
      </c>
      <c r="M2848" s="55" t="s">
        <v>2824</v>
      </c>
      <c r="N2848" s="4" t="s">
        <v>177</v>
      </c>
      <c r="O2848" s="55" t="s">
        <v>178</v>
      </c>
    </row>
    <row r="2849" spans="2:15">
      <c r="B2849" s="20">
        <v>45373</v>
      </c>
      <c r="C2849" s="59">
        <v>50142334</v>
      </c>
      <c r="D2849" s="55" t="s">
        <v>257</v>
      </c>
      <c r="E2849" s="67">
        <v>681</v>
      </c>
      <c r="G2849" s="102">
        <v>2043</v>
      </c>
      <c r="H2849" s="56" t="s">
        <v>82</v>
      </c>
      <c r="K2849" s="56">
        <v>807</v>
      </c>
      <c r="L2849" s="55" t="s">
        <v>176</v>
      </c>
      <c r="M2849" s="55" t="s">
        <v>2824</v>
      </c>
      <c r="N2849" s="4" t="s">
        <v>177</v>
      </c>
      <c r="O2849" s="55" t="s">
        <v>178</v>
      </c>
    </row>
    <row r="2850" spans="2:15">
      <c r="B2850" s="20">
        <v>45376</v>
      </c>
      <c r="C2850" s="59">
        <v>50809146</v>
      </c>
      <c r="D2850" s="55" t="s">
        <v>1030</v>
      </c>
      <c r="E2850" s="67">
        <v>456</v>
      </c>
      <c r="G2850" s="102">
        <v>1020.15</v>
      </c>
      <c r="H2850" s="56" t="s">
        <v>82</v>
      </c>
      <c r="K2850" s="56">
        <v>808</v>
      </c>
      <c r="L2850" s="55" t="s">
        <v>176</v>
      </c>
      <c r="M2850" s="55" t="s">
        <v>2824</v>
      </c>
      <c r="N2850" s="4" t="s">
        <v>177</v>
      </c>
      <c r="O2850" s="55" t="s">
        <v>178</v>
      </c>
    </row>
    <row r="2851" spans="2:15">
      <c r="B2851" s="20">
        <v>45376</v>
      </c>
      <c r="C2851" s="59">
        <v>50144376</v>
      </c>
      <c r="D2851" s="55" t="s">
        <v>19</v>
      </c>
      <c r="E2851" s="67">
        <v>500</v>
      </c>
      <c r="G2851" s="102">
        <v>5000</v>
      </c>
      <c r="H2851" s="56" t="s">
        <v>92</v>
      </c>
      <c r="K2851" s="56">
        <v>808</v>
      </c>
      <c r="L2851" s="55" t="s">
        <v>176</v>
      </c>
      <c r="M2851" s="55" t="s">
        <v>2824</v>
      </c>
      <c r="N2851" s="4" t="s">
        <v>177</v>
      </c>
      <c r="O2851" s="55" t="s">
        <v>178</v>
      </c>
    </row>
    <row r="2852" spans="2:15">
      <c r="B2852" s="20">
        <v>45376</v>
      </c>
      <c r="C2852" s="59">
        <v>50272278</v>
      </c>
      <c r="D2852" s="55" t="s">
        <v>21</v>
      </c>
      <c r="E2852" s="67">
        <v>500</v>
      </c>
      <c r="G2852" s="102">
        <v>5000</v>
      </c>
      <c r="H2852" s="56" t="s">
        <v>92</v>
      </c>
      <c r="K2852" s="56">
        <v>808</v>
      </c>
      <c r="L2852" s="55" t="s">
        <v>176</v>
      </c>
      <c r="M2852" s="55" t="s">
        <v>2824</v>
      </c>
      <c r="N2852" s="4" t="s">
        <v>177</v>
      </c>
      <c r="O2852" s="55" t="s">
        <v>178</v>
      </c>
    </row>
    <row r="2853" spans="2:15">
      <c r="B2853" s="20">
        <v>45377</v>
      </c>
      <c r="C2853" s="59">
        <v>50142631</v>
      </c>
      <c r="D2853" s="55" t="s">
        <v>566</v>
      </c>
      <c r="E2853" s="67">
        <v>1500</v>
      </c>
      <c r="G2853" s="102">
        <v>1500</v>
      </c>
      <c r="H2853" s="56" t="s">
        <v>82</v>
      </c>
      <c r="K2853" s="56">
        <v>809</v>
      </c>
      <c r="L2853" s="55" t="s">
        <v>176</v>
      </c>
      <c r="M2853" s="55" t="s">
        <v>2824</v>
      </c>
      <c r="N2853" s="4" t="s">
        <v>177</v>
      </c>
      <c r="O2853" s="55" t="s">
        <v>178</v>
      </c>
    </row>
    <row r="2854" spans="2:15">
      <c r="B2854" s="20">
        <v>45377</v>
      </c>
      <c r="C2854" s="59">
        <v>40010086</v>
      </c>
      <c r="D2854" s="55" t="s">
        <v>79</v>
      </c>
      <c r="E2854" s="67">
        <v>4032</v>
      </c>
      <c r="G2854" s="102">
        <v>4032</v>
      </c>
      <c r="H2854" s="56" t="s">
        <v>80</v>
      </c>
      <c r="K2854" s="56">
        <v>809</v>
      </c>
      <c r="L2854" s="55" t="s">
        <v>176</v>
      </c>
      <c r="M2854" s="55" t="s">
        <v>2824</v>
      </c>
      <c r="N2854" s="4" t="s">
        <v>177</v>
      </c>
      <c r="O2854" s="55" t="s">
        <v>178</v>
      </c>
    </row>
    <row r="2855" spans="2:15">
      <c r="B2855" s="20">
        <v>45377</v>
      </c>
      <c r="C2855" s="59">
        <v>50142524</v>
      </c>
      <c r="D2855" s="55" t="s">
        <v>1155</v>
      </c>
      <c r="E2855" s="67">
        <v>1500</v>
      </c>
      <c r="G2855" s="102">
        <v>1500</v>
      </c>
      <c r="H2855" s="56" t="s">
        <v>92</v>
      </c>
      <c r="K2855" s="56">
        <v>809</v>
      </c>
      <c r="L2855" s="55" t="s">
        <v>176</v>
      </c>
      <c r="M2855" s="55" t="s">
        <v>2824</v>
      </c>
      <c r="N2855" s="4" t="s">
        <v>177</v>
      </c>
      <c r="O2855" s="55" t="s">
        <v>178</v>
      </c>
    </row>
    <row r="2856" spans="2:15">
      <c r="B2856" s="20">
        <v>45377</v>
      </c>
      <c r="C2856" s="59">
        <v>50142523</v>
      </c>
      <c r="D2856" s="55" t="s">
        <v>1157</v>
      </c>
      <c r="E2856" s="67">
        <v>2000</v>
      </c>
      <c r="G2856" s="102">
        <v>2000</v>
      </c>
      <c r="H2856" s="56" t="s">
        <v>92</v>
      </c>
      <c r="K2856" s="56">
        <v>809</v>
      </c>
      <c r="L2856" s="55" t="s">
        <v>176</v>
      </c>
      <c r="M2856" s="55" t="s">
        <v>2824</v>
      </c>
      <c r="N2856" s="4" t="s">
        <v>177</v>
      </c>
      <c r="O2856" s="55" t="s">
        <v>178</v>
      </c>
    </row>
    <row r="2857" spans="2:15">
      <c r="B2857" s="20">
        <v>45377</v>
      </c>
      <c r="C2857" s="59">
        <v>50142520</v>
      </c>
      <c r="D2857" s="55" t="s">
        <v>1156</v>
      </c>
      <c r="E2857" s="67">
        <v>3000</v>
      </c>
      <c r="G2857" s="102">
        <v>3000</v>
      </c>
      <c r="H2857" s="56" t="s">
        <v>92</v>
      </c>
      <c r="K2857" s="56">
        <v>809</v>
      </c>
      <c r="L2857" s="55" t="s">
        <v>176</v>
      </c>
      <c r="M2857" s="55" t="s">
        <v>2824</v>
      </c>
      <c r="N2857" s="4" t="s">
        <v>177</v>
      </c>
      <c r="O2857" s="55" t="s">
        <v>178</v>
      </c>
    </row>
    <row r="2858" spans="2:15">
      <c r="B2858" s="20">
        <v>45377</v>
      </c>
      <c r="C2858" s="59">
        <v>40010084</v>
      </c>
      <c r="D2858" s="55" t="s">
        <v>81</v>
      </c>
      <c r="E2858" s="67">
        <v>864</v>
      </c>
      <c r="G2858" s="102">
        <v>1920</v>
      </c>
      <c r="H2858" s="56" t="s">
        <v>80</v>
      </c>
      <c r="K2858" s="56">
        <v>809</v>
      </c>
      <c r="L2858" s="55" t="s">
        <v>176</v>
      </c>
      <c r="M2858" s="55" t="s">
        <v>2824</v>
      </c>
      <c r="N2858" s="4" t="s">
        <v>177</v>
      </c>
      <c r="O2858" s="55" t="s">
        <v>178</v>
      </c>
    </row>
    <row r="2859" spans="2:15">
      <c r="B2859" s="20">
        <v>45377</v>
      </c>
      <c r="C2859" s="59">
        <v>50793278</v>
      </c>
      <c r="D2859" s="55" t="s">
        <v>1086</v>
      </c>
      <c r="E2859" s="67">
        <v>10</v>
      </c>
      <c r="G2859" s="102">
        <v>40</v>
      </c>
      <c r="H2859" s="56" t="s">
        <v>1087</v>
      </c>
      <c r="K2859" s="56">
        <v>809</v>
      </c>
      <c r="L2859" s="55" t="s">
        <v>176</v>
      </c>
      <c r="M2859" s="55" t="s">
        <v>2824</v>
      </c>
      <c r="N2859" s="4" t="s">
        <v>177</v>
      </c>
      <c r="O2859" s="55" t="s">
        <v>178</v>
      </c>
    </row>
    <row r="2860" spans="2:15">
      <c r="B2860" s="20">
        <v>45377</v>
      </c>
      <c r="C2860" s="59">
        <v>50818947</v>
      </c>
      <c r="D2860" s="55" t="s">
        <v>1174</v>
      </c>
      <c r="E2860" s="67">
        <v>500000</v>
      </c>
      <c r="G2860" s="102">
        <v>800000</v>
      </c>
      <c r="H2860" s="56" t="s">
        <v>92</v>
      </c>
      <c r="K2860" s="56">
        <v>809</v>
      </c>
      <c r="L2860" s="55" t="s">
        <v>176</v>
      </c>
      <c r="M2860" s="55" t="s">
        <v>2824</v>
      </c>
      <c r="N2860" s="4" t="s">
        <v>177</v>
      </c>
      <c r="O2860" s="55" t="s">
        <v>178</v>
      </c>
    </row>
    <row r="2861" spans="2:15">
      <c r="B2861" s="20">
        <v>45377</v>
      </c>
      <c r="C2861" s="59">
        <v>50802401</v>
      </c>
      <c r="D2861" s="55" t="s">
        <v>13</v>
      </c>
      <c r="E2861" s="67">
        <v>289800</v>
      </c>
      <c r="G2861" s="102">
        <v>1449000</v>
      </c>
      <c r="H2861" s="56" t="s">
        <v>92</v>
      </c>
      <c r="K2861" s="56">
        <v>809</v>
      </c>
      <c r="L2861" s="55" t="s">
        <v>176</v>
      </c>
      <c r="M2861" s="55" t="s">
        <v>2824</v>
      </c>
      <c r="N2861" s="4" t="s">
        <v>177</v>
      </c>
      <c r="O2861" s="55" t="s">
        <v>178</v>
      </c>
    </row>
    <row r="2862" spans="2:15">
      <c r="B2862" s="20">
        <v>45377</v>
      </c>
      <c r="C2862" s="59">
        <v>40014002</v>
      </c>
      <c r="D2862" s="55" t="s">
        <v>1215</v>
      </c>
      <c r="E2862" s="67">
        <v>864</v>
      </c>
      <c r="G2862" s="102">
        <v>864</v>
      </c>
      <c r="H2862" s="56" t="s">
        <v>80</v>
      </c>
      <c r="K2862" s="56">
        <v>809</v>
      </c>
      <c r="L2862" s="55" t="s">
        <v>176</v>
      </c>
      <c r="M2862" s="55" t="s">
        <v>2824</v>
      </c>
      <c r="N2862" s="4" t="s">
        <v>177</v>
      </c>
      <c r="O2862" s="55" t="s">
        <v>178</v>
      </c>
    </row>
    <row r="2863" spans="2:15">
      <c r="B2863" s="20">
        <v>45377</v>
      </c>
      <c r="C2863" s="59">
        <v>50470190</v>
      </c>
      <c r="D2863" s="55" t="s">
        <v>12</v>
      </c>
      <c r="E2863" s="67">
        <v>289800</v>
      </c>
      <c r="G2863" s="102">
        <v>2608200</v>
      </c>
      <c r="H2863" s="56" t="s">
        <v>92</v>
      </c>
      <c r="K2863" s="56">
        <v>810</v>
      </c>
      <c r="L2863" s="55" t="s">
        <v>176</v>
      </c>
      <c r="M2863" s="55" t="s">
        <v>2824</v>
      </c>
      <c r="N2863" s="4" t="s">
        <v>177</v>
      </c>
      <c r="O2863" s="55" t="s">
        <v>178</v>
      </c>
    </row>
    <row r="2864" spans="2:15">
      <c r="B2864" s="20">
        <v>45377</v>
      </c>
      <c r="C2864" s="59">
        <v>50802401</v>
      </c>
      <c r="D2864" s="55" t="s">
        <v>13</v>
      </c>
      <c r="E2864" s="67">
        <v>289800</v>
      </c>
      <c r="G2864" s="102">
        <v>2608200</v>
      </c>
      <c r="H2864" s="56" t="s">
        <v>92</v>
      </c>
      <c r="K2864" s="56">
        <v>810</v>
      </c>
      <c r="L2864" s="55" t="s">
        <v>176</v>
      </c>
      <c r="M2864" s="55" t="s">
        <v>2824</v>
      </c>
      <c r="N2864" s="4" t="s">
        <v>177</v>
      </c>
      <c r="O2864" s="55" t="s">
        <v>178</v>
      </c>
    </row>
    <row r="2865" spans="2:15">
      <c r="B2865" s="20">
        <v>45378</v>
      </c>
      <c r="C2865" s="59">
        <v>50470190</v>
      </c>
      <c r="D2865" s="55" t="s">
        <v>12</v>
      </c>
      <c r="E2865" s="67">
        <v>289800</v>
      </c>
      <c r="G2865" s="102">
        <v>5216400</v>
      </c>
      <c r="H2865" s="56" t="s">
        <v>92</v>
      </c>
      <c r="K2865" s="56">
        <v>811</v>
      </c>
      <c r="L2865" s="55" t="s">
        <v>176</v>
      </c>
      <c r="M2865" s="55" t="s">
        <v>2824</v>
      </c>
      <c r="N2865" s="4" t="s">
        <v>177</v>
      </c>
      <c r="O2865" s="55" t="s">
        <v>178</v>
      </c>
    </row>
    <row r="2866" spans="2:15">
      <c r="B2866" s="20">
        <v>45378</v>
      </c>
      <c r="C2866" s="59">
        <v>50143893</v>
      </c>
      <c r="D2866" s="55" t="s">
        <v>24</v>
      </c>
      <c r="E2866" s="67">
        <v>990</v>
      </c>
      <c r="G2866" s="102">
        <v>1980</v>
      </c>
      <c r="H2866" s="56" t="s">
        <v>92</v>
      </c>
      <c r="K2866" s="56">
        <v>812</v>
      </c>
      <c r="L2866" s="55" t="s">
        <v>176</v>
      </c>
      <c r="M2866" s="55" t="s">
        <v>2824</v>
      </c>
      <c r="N2866" s="4" t="s">
        <v>177</v>
      </c>
      <c r="O2866" s="55" t="s">
        <v>178</v>
      </c>
    </row>
    <row r="2867" spans="2:15">
      <c r="B2867" s="20">
        <v>45378</v>
      </c>
      <c r="C2867" s="59">
        <v>50144376</v>
      </c>
      <c r="D2867" s="55" t="s">
        <v>19</v>
      </c>
      <c r="E2867" s="67">
        <v>500</v>
      </c>
      <c r="G2867" s="102">
        <v>8000</v>
      </c>
      <c r="H2867" s="56" t="s">
        <v>92</v>
      </c>
      <c r="K2867" s="56">
        <v>812</v>
      </c>
      <c r="L2867" s="55" t="s">
        <v>176</v>
      </c>
      <c r="M2867" s="55" t="s">
        <v>2824</v>
      </c>
      <c r="N2867" s="4" t="s">
        <v>177</v>
      </c>
      <c r="O2867" s="55" t="s">
        <v>178</v>
      </c>
    </row>
    <row r="2868" spans="2:15">
      <c r="B2868" s="20">
        <v>45378</v>
      </c>
      <c r="C2868" s="59">
        <v>50145187</v>
      </c>
      <c r="D2868" s="55" t="s">
        <v>465</v>
      </c>
      <c r="E2868" s="67">
        <v>264000</v>
      </c>
      <c r="G2868" s="102">
        <v>528000</v>
      </c>
      <c r="H2868" s="56" t="s">
        <v>92</v>
      </c>
      <c r="K2868" s="56">
        <v>812</v>
      </c>
      <c r="L2868" s="55" t="s">
        <v>176</v>
      </c>
      <c r="M2868" s="55" t="s">
        <v>2824</v>
      </c>
      <c r="N2868" s="4" t="s">
        <v>177</v>
      </c>
      <c r="O2868" s="55" t="s">
        <v>178</v>
      </c>
    </row>
    <row r="2869" spans="2:15">
      <c r="B2869" s="20">
        <v>45378</v>
      </c>
      <c r="C2869" s="59">
        <v>50818948</v>
      </c>
      <c r="D2869" s="55" t="s">
        <v>1173</v>
      </c>
      <c r="E2869" s="67">
        <v>400000</v>
      </c>
      <c r="G2869" s="102">
        <v>800000</v>
      </c>
      <c r="H2869" s="56" t="s">
        <v>92</v>
      </c>
      <c r="K2869" s="56">
        <v>812</v>
      </c>
      <c r="L2869" s="55" t="s">
        <v>176</v>
      </c>
      <c r="M2869" s="55" t="s">
        <v>2824</v>
      </c>
      <c r="N2869" s="4" t="s">
        <v>177</v>
      </c>
      <c r="O2869" s="55" t="s">
        <v>178</v>
      </c>
    </row>
    <row r="2870" spans="2:15">
      <c r="B2870" s="20">
        <v>45383</v>
      </c>
      <c r="C2870" s="59">
        <v>50470190</v>
      </c>
      <c r="D2870" s="55" t="s">
        <v>12</v>
      </c>
      <c r="E2870" s="67">
        <v>289800</v>
      </c>
      <c r="G2870" s="102">
        <v>2898000</v>
      </c>
      <c r="H2870" s="56" t="s">
        <v>92</v>
      </c>
      <c r="K2870" s="56">
        <v>813</v>
      </c>
      <c r="L2870" s="55" t="s">
        <v>176</v>
      </c>
      <c r="M2870" s="55" t="s">
        <v>2824</v>
      </c>
      <c r="N2870" s="4" t="s">
        <v>177</v>
      </c>
      <c r="O2870" s="55" t="s">
        <v>178</v>
      </c>
    </row>
    <row r="2871" spans="2:15">
      <c r="B2871" s="20">
        <v>45383</v>
      </c>
      <c r="C2871" s="59">
        <v>50272278</v>
      </c>
      <c r="D2871" s="55" t="s">
        <v>21</v>
      </c>
      <c r="E2871" s="67">
        <v>500</v>
      </c>
      <c r="G2871" s="102">
        <v>5000</v>
      </c>
      <c r="H2871" s="56" t="s">
        <v>92</v>
      </c>
      <c r="K2871" s="56">
        <v>813</v>
      </c>
      <c r="L2871" s="55" t="s">
        <v>176</v>
      </c>
      <c r="M2871" s="55" t="s">
        <v>2824</v>
      </c>
      <c r="N2871" s="4" t="s">
        <v>177</v>
      </c>
      <c r="O2871" s="55" t="s">
        <v>178</v>
      </c>
    </row>
    <row r="2872" spans="2:15">
      <c r="B2872" s="20">
        <v>45383</v>
      </c>
      <c r="C2872" s="59">
        <v>50272278</v>
      </c>
      <c r="D2872" s="55" t="s">
        <v>21</v>
      </c>
      <c r="E2872" s="67">
        <v>500</v>
      </c>
      <c r="G2872" s="102">
        <v>11000</v>
      </c>
      <c r="H2872" s="56" t="s">
        <v>92</v>
      </c>
      <c r="K2872" s="56">
        <v>814</v>
      </c>
      <c r="L2872" s="55" t="s">
        <v>176</v>
      </c>
      <c r="M2872" s="55" t="s">
        <v>2824</v>
      </c>
      <c r="N2872" s="4" t="s">
        <v>177</v>
      </c>
      <c r="O2872" s="55" t="s">
        <v>178</v>
      </c>
    </row>
    <row r="2873" spans="2:15">
      <c r="B2873" s="20">
        <v>45383</v>
      </c>
      <c r="C2873" s="59">
        <v>40010086</v>
      </c>
      <c r="D2873" s="55" t="s">
        <v>79</v>
      </c>
      <c r="E2873" s="67">
        <v>4032</v>
      </c>
      <c r="G2873" s="102">
        <v>4688</v>
      </c>
      <c r="H2873" s="56" t="s">
        <v>80</v>
      </c>
      <c r="K2873" s="56">
        <v>815</v>
      </c>
      <c r="L2873" s="55" t="s">
        <v>176</v>
      </c>
      <c r="M2873" s="55" t="s">
        <v>2824</v>
      </c>
      <c r="N2873" s="4" t="s">
        <v>177</v>
      </c>
      <c r="O2873" s="55" t="s">
        <v>178</v>
      </c>
    </row>
    <row r="2874" spans="2:15">
      <c r="B2874" s="20">
        <v>45383</v>
      </c>
      <c r="C2874" s="59">
        <v>40007941</v>
      </c>
      <c r="D2874" s="55" t="s">
        <v>211</v>
      </c>
      <c r="E2874" s="67">
        <v>864</v>
      </c>
      <c r="G2874" s="102">
        <v>1728</v>
      </c>
      <c r="H2874" s="56" t="s">
        <v>80</v>
      </c>
      <c r="K2874" s="56">
        <v>815</v>
      </c>
      <c r="L2874" s="55" t="s">
        <v>176</v>
      </c>
      <c r="M2874" s="55" t="s">
        <v>2824</v>
      </c>
      <c r="N2874" s="4" t="s">
        <v>177</v>
      </c>
      <c r="O2874" s="55" t="s">
        <v>178</v>
      </c>
    </row>
    <row r="2875" spans="2:15">
      <c r="B2875" s="20">
        <v>45383</v>
      </c>
      <c r="C2875" s="59">
        <v>40011080</v>
      </c>
      <c r="D2875" s="55" t="s">
        <v>420</v>
      </c>
      <c r="E2875" s="67">
        <v>450</v>
      </c>
      <c r="G2875" s="102">
        <v>900</v>
      </c>
      <c r="H2875" s="56" t="s">
        <v>80</v>
      </c>
      <c r="K2875" s="56">
        <v>815</v>
      </c>
      <c r="L2875" s="55" t="s">
        <v>176</v>
      </c>
      <c r="M2875" s="55" t="s">
        <v>2824</v>
      </c>
      <c r="N2875" s="4" t="s">
        <v>177</v>
      </c>
      <c r="O2875" s="55" t="s">
        <v>178</v>
      </c>
    </row>
    <row r="2876" spans="2:15">
      <c r="B2876" s="20">
        <v>45383</v>
      </c>
      <c r="C2876" s="59">
        <v>50470190</v>
      </c>
      <c r="D2876" s="55" t="s">
        <v>12</v>
      </c>
      <c r="E2876" s="67">
        <v>289800</v>
      </c>
      <c r="G2876" s="102">
        <v>3187800</v>
      </c>
      <c r="H2876" s="56" t="s">
        <v>92</v>
      </c>
      <c r="K2876" s="56">
        <v>815</v>
      </c>
      <c r="L2876" s="55" t="s">
        <v>176</v>
      </c>
      <c r="M2876" s="55" t="s">
        <v>2824</v>
      </c>
      <c r="N2876" s="4" t="s">
        <v>177</v>
      </c>
      <c r="O2876" s="55" t="s">
        <v>178</v>
      </c>
    </row>
    <row r="2877" spans="2:15">
      <c r="B2877" s="20">
        <v>45383</v>
      </c>
      <c r="C2877" s="59">
        <v>40014002</v>
      </c>
      <c r="D2877" s="55" t="s">
        <v>1215</v>
      </c>
      <c r="E2877" s="67">
        <v>864</v>
      </c>
      <c r="G2877" s="102">
        <v>864</v>
      </c>
      <c r="H2877" s="56" t="s">
        <v>80</v>
      </c>
      <c r="K2877" s="56">
        <v>815</v>
      </c>
      <c r="L2877" s="55" t="s">
        <v>176</v>
      </c>
      <c r="M2877" s="55" t="s">
        <v>2824</v>
      </c>
      <c r="N2877" s="4" t="s">
        <v>177</v>
      </c>
      <c r="O2877" s="55" t="s">
        <v>178</v>
      </c>
    </row>
    <row r="2878" spans="2:15">
      <c r="B2878" s="20">
        <v>45383</v>
      </c>
      <c r="C2878" s="59">
        <v>50821478</v>
      </c>
      <c r="D2878" s="55" t="s">
        <v>1196</v>
      </c>
      <c r="E2878" s="67">
        <v>320000</v>
      </c>
      <c r="G2878" s="102">
        <v>640000</v>
      </c>
      <c r="H2878" s="56" t="s">
        <v>92</v>
      </c>
      <c r="K2878" s="56">
        <v>815</v>
      </c>
      <c r="L2878" s="55" t="s">
        <v>176</v>
      </c>
      <c r="M2878" s="55" t="s">
        <v>2824</v>
      </c>
      <c r="N2878" s="4" t="s">
        <v>177</v>
      </c>
      <c r="O2878" s="55" t="s">
        <v>178</v>
      </c>
    </row>
    <row r="2879" spans="2:15">
      <c r="B2879" s="20">
        <v>45384</v>
      </c>
      <c r="C2879" s="59">
        <v>50010080</v>
      </c>
      <c r="D2879" s="55" t="s">
        <v>354</v>
      </c>
      <c r="E2879" s="67">
        <v>1000</v>
      </c>
      <c r="G2879" s="102">
        <v>6000</v>
      </c>
      <c r="H2879" s="56" t="s">
        <v>82</v>
      </c>
      <c r="K2879" s="56">
        <v>816</v>
      </c>
      <c r="L2879" s="55" t="s">
        <v>176</v>
      </c>
      <c r="M2879" s="55" t="s">
        <v>2824</v>
      </c>
      <c r="N2879" s="4" t="s">
        <v>177</v>
      </c>
      <c r="O2879" s="55" t="s">
        <v>178</v>
      </c>
    </row>
    <row r="2880" spans="2:15">
      <c r="B2880" s="20">
        <v>45384</v>
      </c>
      <c r="C2880" s="59">
        <v>50144376</v>
      </c>
      <c r="D2880" s="55" t="s">
        <v>19</v>
      </c>
      <c r="E2880" s="67">
        <v>500</v>
      </c>
      <c r="G2880" s="102">
        <v>2000</v>
      </c>
      <c r="H2880" s="56" t="s">
        <v>92</v>
      </c>
      <c r="K2880" s="56">
        <v>816</v>
      </c>
      <c r="L2880" s="55" t="s">
        <v>176</v>
      </c>
      <c r="M2880" s="55" t="s">
        <v>2824</v>
      </c>
      <c r="N2880" s="4" t="s">
        <v>177</v>
      </c>
      <c r="O2880" s="55" t="s">
        <v>178</v>
      </c>
    </row>
    <row r="2881" spans="2:15">
      <c r="B2881" s="20">
        <v>45384</v>
      </c>
      <c r="C2881" s="59">
        <v>50142350</v>
      </c>
      <c r="D2881" s="55" t="s">
        <v>212</v>
      </c>
      <c r="E2881" s="67">
        <v>734.5</v>
      </c>
      <c r="G2881" s="102">
        <v>734.5</v>
      </c>
      <c r="H2881" s="56" t="s">
        <v>82</v>
      </c>
      <c r="K2881" s="56">
        <v>816</v>
      </c>
      <c r="L2881" s="55" t="s">
        <v>176</v>
      </c>
      <c r="M2881" s="55" t="s">
        <v>2824</v>
      </c>
      <c r="N2881" s="4" t="s">
        <v>177</v>
      </c>
      <c r="O2881" s="55" t="s">
        <v>178</v>
      </c>
    </row>
    <row r="2882" spans="2:15">
      <c r="B2882" s="20">
        <v>45384</v>
      </c>
      <c r="C2882" s="59">
        <v>50142327</v>
      </c>
      <c r="D2882" s="55" t="s">
        <v>256</v>
      </c>
      <c r="E2882" s="67">
        <v>439.5</v>
      </c>
      <c r="G2882" s="102">
        <v>2860.2</v>
      </c>
      <c r="H2882" s="56" t="s">
        <v>82</v>
      </c>
      <c r="K2882" s="56">
        <v>816</v>
      </c>
      <c r="L2882" s="55" t="s">
        <v>176</v>
      </c>
      <c r="M2882" s="55" t="s">
        <v>2824</v>
      </c>
      <c r="N2882" s="4" t="s">
        <v>177</v>
      </c>
      <c r="O2882" s="55" t="s">
        <v>178</v>
      </c>
    </row>
    <row r="2883" spans="2:15">
      <c r="B2883" s="20">
        <v>45384</v>
      </c>
      <c r="C2883" s="59">
        <v>50142334</v>
      </c>
      <c r="D2883" s="55" t="s">
        <v>257</v>
      </c>
      <c r="E2883" s="67">
        <v>681</v>
      </c>
      <c r="G2883" s="102">
        <v>2043</v>
      </c>
      <c r="H2883" s="56" t="s">
        <v>82</v>
      </c>
      <c r="K2883" s="56">
        <v>816</v>
      </c>
      <c r="L2883" s="55" t="s">
        <v>176</v>
      </c>
      <c r="M2883" s="55" t="s">
        <v>2824</v>
      </c>
      <c r="N2883" s="4" t="s">
        <v>177</v>
      </c>
      <c r="O2883" s="55" t="s">
        <v>178</v>
      </c>
    </row>
    <row r="2884" spans="2:15">
      <c r="B2884" s="20">
        <v>45384</v>
      </c>
      <c r="C2884" s="59">
        <v>50145028</v>
      </c>
      <c r="D2884" s="55" t="s">
        <v>23</v>
      </c>
      <c r="E2884" s="67">
        <v>192</v>
      </c>
      <c r="G2884" s="102">
        <v>192</v>
      </c>
      <c r="H2884" s="56" t="s">
        <v>92</v>
      </c>
      <c r="K2884" s="56">
        <v>817</v>
      </c>
      <c r="L2884" s="55" t="s">
        <v>176</v>
      </c>
      <c r="M2884" s="55" t="s">
        <v>2824</v>
      </c>
      <c r="N2884" s="4" t="s">
        <v>177</v>
      </c>
      <c r="O2884" s="55" t="s">
        <v>178</v>
      </c>
    </row>
    <row r="2885" spans="2:15">
      <c r="B2885" s="20">
        <v>45384</v>
      </c>
      <c r="C2885" s="59">
        <v>50272278</v>
      </c>
      <c r="D2885" s="55" t="s">
        <v>21</v>
      </c>
      <c r="E2885" s="67">
        <v>500</v>
      </c>
      <c r="G2885" s="102">
        <v>5500</v>
      </c>
      <c r="H2885" s="56" t="s">
        <v>92</v>
      </c>
      <c r="K2885" s="56">
        <v>817</v>
      </c>
      <c r="L2885" s="55" t="s">
        <v>176</v>
      </c>
      <c r="M2885" s="55" t="s">
        <v>2824</v>
      </c>
      <c r="N2885" s="4" t="s">
        <v>177</v>
      </c>
      <c r="O2885" s="55" t="s">
        <v>178</v>
      </c>
    </row>
    <row r="2886" spans="2:15">
      <c r="B2886" s="20">
        <v>45384</v>
      </c>
      <c r="C2886" s="59">
        <v>50142373</v>
      </c>
      <c r="D2886" s="55" t="s">
        <v>1130</v>
      </c>
      <c r="E2886" s="67">
        <v>300</v>
      </c>
      <c r="G2886" s="102">
        <v>300</v>
      </c>
      <c r="H2886" s="56" t="s">
        <v>82</v>
      </c>
      <c r="K2886" s="56">
        <v>817</v>
      </c>
      <c r="L2886" s="55" t="s">
        <v>176</v>
      </c>
      <c r="M2886" s="55" t="s">
        <v>2824</v>
      </c>
      <c r="N2886" s="4" t="s">
        <v>177</v>
      </c>
      <c r="O2886" s="55" t="s">
        <v>178</v>
      </c>
    </row>
    <row r="2887" spans="2:15">
      <c r="B2887" s="20">
        <v>45384</v>
      </c>
      <c r="C2887" s="59">
        <v>50142237</v>
      </c>
      <c r="D2887" s="55" t="s">
        <v>617</v>
      </c>
      <c r="E2887" s="67">
        <v>1000</v>
      </c>
      <c r="G2887" s="102">
        <v>10000</v>
      </c>
      <c r="H2887" s="56" t="s">
        <v>92</v>
      </c>
      <c r="K2887" s="56">
        <v>817</v>
      </c>
      <c r="L2887" s="55" t="s">
        <v>176</v>
      </c>
      <c r="M2887" s="55" t="s">
        <v>2824</v>
      </c>
      <c r="N2887" s="4" t="s">
        <v>177</v>
      </c>
      <c r="O2887" s="55" t="s">
        <v>178</v>
      </c>
    </row>
    <row r="2888" spans="2:15">
      <c r="B2888" s="20">
        <v>45384</v>
      </c>
      <c r="C2888" s="59">
        <v>50818948</v>
      </c>
      <c r="D2888" s="55" t="s">
        <v>1173</v>
      </c>
      <c r="E2888" s="67">
        <v>500000</v>
      </c>
      <c r="G2888" s="102">
        <v>1000000</v>
      </c>
      <c r="H2888" s="56" t="s">
        <v>92</v>
      </c>
      <c r="K2888" s="56">
        <v>817</v>
      </c>
      <c r="L2888" s="55" t="s">
        <v>176</v>
      </c>
      <c r="M2888" s="55" t="s">
        <v>2824</v>
      </c>
      <c r="N2888" s="4" t="s">
        <v>177</v>
      </c>
      <c r="O2888" s="55" t="s">
        <v>178</v>
      </c>
    </row>
    <row r="2889" spans="2:15">
      <c r="B2889" s="20">
        <v>45384</v>
      </c>
      <c r="C2889" s="59">
        <v>50507916</v>
      </c>
      <c r="D2889" s="55" t="s">
        <v>406</v>
      </c>
      <c r="E2889" s="67">
        <v>264000</v>
      </c>
      <c r="G2889" s="102">
        <v>1254000</v>
      </c>
      <c r="H2889" s="56" t="s">
        <v>92</v>
      </c>
      <c r="K2889" s="56">
        <v>817</v>
      </c>
      <c r="L2889" s="55" t="s">
        <v>176</v>
      </c>
      <c r="M2889" s="55" t="s">
        <v>2824</v>
      </c>
      <c r="N2889" s="4" t="s">
        <v>177</v>
      </c>
      <c r="O2889" s="55" t="s">
        <v>178</v>
      </c>
    </row>
    <row r="2890" spans="2:15">
      <c r="B2890" s="20">
        <v>45384</v>
      </c>
      <c r="C2890" s="59">
        <v>50818947</v>
      </c>
      <c r="D2890" s="55" t="s">
        <v>1174</v>
      </c>
      <c r="E2890" s="67">
        <v>4000000</v>
      </c>
      <c r="G2890" s="102">
        <v>900000</v>
      </c>
      <c r="H2890" s="56" t="s">
        <v>92</v>
      </c>
      <c r="K2890" s="56">
        <v>817</v>
      </c>
      <c r="L2890" s="55" t="s">
        <v>176</v>
      </c>
      <c r="M2890" s="55" t="s">
        <v>2824</v>
      </c>
      <c r="N2890" s="4" t="s">
        <v>177</v>
      </c>
      <c r="O2890" s="55" t="s">
        <v>178</v>
      </c>
    </row>
    <row r="2891" spans="2:15">
      <c r="B2891" s="20">
        <v>45385</v>
      </c>
      <c r="C2891" s="59">
        <v>50145028</v>
      </c>
      <c r="D2891" s="55" t="s">
        <v>23</v>
      </c>
      <c r="E2891" s="67">
        <v>192</v>
      </c>
      <c r="G2891" s="102">
        <v>960</v>
      </c>
      <c r="H2891" s="56" t="s">
        <v>92</v>
      </c>
      <c r="K2891" s="56">
        <v>818</v>
      </c>
      <c r="L2891" s="55" t="s">
        <v>392</v>
      </c>
      <c r="M2891" s="55" t="s">
        <v>392</v>
      </c>
      <c r="N2891" s="4" t="s">
        <v>2852</v>
      </c>
      <c r="O2891" s="55" t="s">
        <v>178</v>
      </c>
    </row>
    <row r="2892" spans="2:15">
      <c r="B2892" s="20">
        <v>45385</v>
      </c>
      <c r="C2892" s="59">
        <v>50142237</v>
      </c>
      <c r="D2892" s="55" t="s">
        <v>617</v>
      </c>
      <c r="E2892" s="67">
        <v>1000</v>
      </c>
      <c r="G2892" s="102">
        <v>5000</v>
      </c>
      <c r="H2892" s="56" t="s">
        <v>92</v>
      </c>
      <c r="K2892" s="56">
        <v>818</v>
      </c>
      <c r="L2892" s="55" t="s">
        <v>392</v>
      </c>
      <c r="M2892" s="55" t="s">
        <v>392</v>
      </c>
      <c r="N2892" s="4" t="s">
        <v>2852</v>
      </c>
      <c r="O2892" s="55" t="s">
        <v>178</v>
      </c>
    </row>
    <row r="2893" spans="2:15">
      <c r="B2893" s="20">
        <v>45386</v>
      </c>
      <c r="C2893" s="59">
        <v>50809147</v>
      </c>
      <c r="D2893" s="55" t="s">
        <v>930</v>
      </c>
      <c r="E2893" s="67">
        <v>456</v>
      </c>
      <c r="G2893" s="102">
        <v>4766.05</v>
      </c>
      <c r="H2893" s="56" t="s">
        <v>82</v>
      </c>
      <c r="K2893" s="56">
        <v>819</v>
      </c>
      <c r="L2893" s="55" t="s">
        <v>176</v>
      </c>
      <c r="M2893" s="55" t="s">
        <v>2824</v>
      </c>
      <c r="N2893" s="4" t="s">
        <v>177</v>
      </c>
      <c r="O2893" s="55" t="s">
        <v>178</v>
      </c>
    </row>
    <row r="2894" spans="2:15">
      <c r="B2894" s="20">
        <v>45386</v>
      </c>
      <c r="C2894" s="59">
        <v>50272278</v>
      </c>
      <c r="D2894" s="55" t="s">
        <v>21</v>
      </c>
      <c r="E2894" s="67">
        <v>500</v>
      </c>
      <c r="G2894" s="102">
        <v>5500</v>
      </c>
      <c r="H2894" s="56" t="s">
        <v>92</v>
      </c>
      <c r="K2894" s="56">
        <v>819</v>
      </c>
      <c r="L2894" s="55" t="s">
        <v>176</v>
      </c>
      <c r="M2894" s="55" t="s">
        <v>2824</v>
      </c>
      <c r="N2894" s="4" t="s">
        <v>177</v>
      </c>
      <c r="O2894" s="55" t="s">
        <v>178</v>
      </c>
    </row>
    <row r="2895" spans="2:15">
      <c r="B2895" s="20">
        <v>45386</v>
      </c>
      <c r="C2895" s="59">
        <v>20003859</v>
      </c>
      <c r="D2895" s="55" t="s">
        <v>214</v>
      </c>
      <c r="E2895" s="67">
        <v>110</v>
      </c>
      <c r="G2895" s="102">
        <v>110</v>
      </c>
      <c r="H2895" s="56" t="s">
        <v>92</v>
      </c>
      <c r="K2895" s="56">
        <v>819</v>
      </c>
      <c r="L2895" s="55" t="s">
        <v>176</v>
      </c>
      <c r="M2895" s="55" t="s">
        <v>2824</v>
      </c>
      <c r="N2895" s="4" t="s">
        <v>177</v>
      </c>
      <c r="O2895" s="55" t="s">
        <v>178</v>
      </c>
    </row>
    <row r="2896" spans="2:15">
      <c r="B2896" s="20">
        <v>45386</v>
      </c>
      <c r="C2896" s="59">
        <v>20015620</v>
      </c>
      <c r="D2896" s="55" t="s">
        <v>1255</v>
      </c>
      <c r="E2896" s="67">
        <v>110</v>
      </c>
      <c r="G2896" s="102">
        <v>110</v>
      </c>
      <c r="H2896" s="56" t="s">
        <v>92</v>
      </c>
      <c r="K2896" s="56">
        <v>819</v>
      </c>
      <c r="L2896" s="55" t="s">
        <v>176</v>
      </c>
      <c r="M2896" s="55" t="s">
        <v>2824</v>
      </c>
      <c r="N2896" s="4" t="s">
        <v>177</v>
      </c>
      <c r="O2896" s="55" t="s">
        <v>178</v>
      </c>
    </row>
    <row r="2897" spans="2:15">
      <c r="B2897" s="20">
        <v>45387</v>
      </c>
      <c r="C2897" s="59">
        <v>50272278</v>
      </c>
      <c r="D2897" s="55" t="s">
        <v>21</v>
      </c>
      <c r="E2897" s="67">
        <v>500</v>
      </c>
      <c r="G2897" s="102">
        <v>4000</v>
      </c>
      <c r="H2897" s="56" t="s">
        <v>92</v>
      </c>
      <c r="K2897" s="56">
        <v>820</v>
      </c>
      <c r="L2897" s="55" t="s">
        <v>176</v>
      </c>
      <c r="M2897" s="55" t="s">
        <v>2824</v>
      </c>
      <c r="N2897" s="4" t="s">
        <v>177</v>
      </c>
      <c r="O2897" s="55" t="s">
        <v>178</v>
      </c>
    </row>
    <row r="2898" spans="2:15">
      <c r="B2898" s="20">
        <v>45387</v>
      </c>
      <c r="C2898" s="59">
        <v>40011080</v>
      </c>
      <c r="D2898" s="55" t="s">
        <v>420</v>
      </c>
      <c r="E2898" s="67">
        <v>450</v>
      </c>
      <c r="G2898" s="102">
        <v>900</v>
      </c>
      <c r="H2898" s="56" t="s">
        <v>80</v>
      </c>
      <c r="K2898" s="56">
        <v>820</v>
      </c>
      <c r="L2898" s="55" t="s">
        <v>176</v>
      </c>
      <c r="M2898" s="55" t="s">
        <v>2824</v>
      </c>
      <c r="N2898" s="4" t="s">
        <v>177</v>
      </c>
      <c r="O2898" s="55" t="s">
        <v>178</v>
      </c>
    </row>
    <row r="2899" spans="2:15">
      <c r="B2899" s="20">
        <v>45387</v>
      </c>
      <c r="C2899" s="59">
        <v>40011148</v>
      </c>
      <c r="D2899" s="55" t="s">
        <v>86</v>
      </c>
      <c r="E2899" s="67">
        <v>450</v>
      </c>
      <c r="G2899" s="102">
        <v>450</v>
      </c>
      <c r="H2899" s="56" t="s">
        <v>80</v>
      </c>
      <c r="K2899" s="56">
        <v>820</v>
      </c>
      <c r="L2899" s="55" t="s">
        <v>176</v>
      </c>
      <c r="M2899" s="55" t="s">
        <v>2824</v>
      </c>
      <c r="N2899" s="4" t="s">
        <v>177</v>
      </c>
      <c r="O2899" s="55" t="s">
        <v>178</v>
      </c>
    </row>
    <row r="2900" spans="2:15">
      <c r="B2900" s="20">
        <v>45387</v>
      </c>
      <c r="C2900" s="59">
        <v>50470190</v>
      </c>
      <c r="D2900" s="55" t="s">
        <v>12</v>
      </c>
      <c r="E2900" s="67">
        <v>289800</v>
      </c>
      <c r="G2900" s="102">
        <v>2318400</v>
      </c>
      <c r="H2900" s="56" t="s">
        <v>92</v>
      </c>
      <c r="K2900" s="56">
        <v>820</v>
      </c>
      <c r="L2900" s="55" t="s">
        <v>176</v>
      </c>
      <c r="M2900" s="55" t="s">
        <v>2824</v>
      </c>
      <c r="N2900" s="4" t="s">
        <v>177</v>
      </c>
      <c r="O2900" s="55" t="s">
        <v>178</v>
      </c>
    </row>
    <row r="2901" spans="2:15">
      <c r="B2901" s="20">
        <v>45387</v>
      </c>
      <c r="C2901" s="59">
        <v>40014089</v>
      </c>
      <c r="D2901" s="55" t="s">
        <v>1213</v>
      </c>
      <c r="E2901" s="67">
        <v>864</v>
      </c>
      <c r="G2901" s="102">
        <v>864</v>
      </c>
      <c r="H2901" s="56" t="s">
        <v>80</v>
      </c>
      <c r="K2901" s="56">
        <v>820</v>
      </c>
      <c r="L2901" s="55" t="s">
        <v>176</v>
      </c>
      <c r="M2901" s="55" t="s">
        <v>2824</v>
      </c>
      <c r="N2901" s="4" t="s">
        <v>177</v>
      </c>
      <c r="O2901" s="55" t="s">
        <v>178</v>
      </c>
    </row>
    <row r="2902" spans="2:15">
      <c r="B2902" s="20">
        <v>45387</v>
      </c>
      <c r="C2902" s="59">
        <v>50142055</v>
      </c>
      <c r="D2902" s="55" t="s">
        <v>206</v>
      </c>
      <c r="E2902" s="67">
        <v>600</v>
      </c>
      <c r="G2902" s="102">
        <v>3000</v>
      </c>
      <c r="H2902" s="56" t="s">
        <v>82</v>
      </c>
      <c r="K2902" s="56">
        <v>821</v>
      </c>
      <c r="L2902" s="55" t="s">
        <v>176</v>
      </c>
      <c r="M2902" s="55" t="s">
        <v>2824</v>
      </c>
      <c r="N2902" s="4" t="s">
        <v>177</v>
      </c>
      <c r="O2902" s="55" t="s">
        <v>178</v>
      </c>
    </row>
    <row r="2903" spans="2:15">
      <c r="B2903" s="20">
        <v>45387</v>
      </c>
      <c r="C2903" s="59">
        <v>50010080</v>
      </c>
      <c r="D2903" s="55" t="s">
        <v>354</v>
      </c>
      <c r="E2903" s="67">
        <v>1000</v>
      </c>
      <c r="G2903" s="102">
        <v>3000</v>
      </c>
      <c r="H2903" s="56" t="s">
        <v>82</v>
      </c>
      <c r="K2903" s="56">
        <v>821</v>
      </c>
      <c r="L2903" s="55" t="s">
        <v>176</v>
      </c>
      <c r="M2903" s="55" t="s">
        <v>2824</v>
      </c>
      <c r="N2903" s="4" t="s">
        <v>177</v>
      </c>
      <c r="O2903" s="55" t="s">
        <v>178</v>
      </c>
    </row>
    <row r="2904" spans="2:15">
      <c r="B2904" s="20">
        <v>45387</v>
      </c>
      <c r="C2904" s="59">
        <v>50144376</v>
      </c>
      <c r="D2904" s="55" t="s">
        <v>19</v>
      </c>
      <c r="E2904" s="67">
        <v>500</v>
      </c>
      <c r="G2904" s="102">
        <v>1000</v>
      </c>
      <c r="H2904" s="56" t="s">
        <v>92</v>
      </c>
      <c r="K2904" s="56">
        <v>821</v>
      </c>
      <c r="L2904" s="55" t="s">
        <v>176</v>
      </c>
      <c r="M2904" s="55" t="s">
        <v>2824</v>
      </c>
      <c r="N2904" s="4" t="s">
        <v>177</v>
      </c>
      <c r="O2904" s="55" t="s">
        <v>178</v>
      </c>
    </row>
    <row r="2905" spans="2:15">
      <c r="B2905" s="20">
        <v>45387</v>
      </c>
      <c r="C2905" s="59">
        <v>50802401</v>
      </c>
      <c r="D2905" s="55" t="s">
        <v>13</v>
      </c>
      <c r="E2905" s="67">
        <v>289800</v>
      </c>
      <c r="G2905" s="102">
        <v>1159200</v>
      </c>
      <c r="H2905" s="56" t="s">
        <v>92</v>
      </c>
      <c r="K2905" s="56">
        <v>821</v>
      </c>
      <c r="L2905" s="55" t="s">
        <v>176</v>
      </c>
      <c r="M2905" s="55" t="s">
        <v>2824</v>
      </c>
      <c r="N2905" s="4" t="s">
        <v>177</v>
      </c>
      <c r="O2905" s="55" t="s">
        <v>178</v>
      </c>
    </row>
    <row r="2906" spans="2:15">
      <c r="B2906" s="20">
        <v>45387</v>
      </c>
      <c r="C2906" s="59">
        <v>50142327</v>
      </c>
      <c r="D2906" s="55" t="s">
        <v>256</v>
      </c>
      <c r="E2906" s="67">
        <v>476.7</v>
      </c>
      <c r="G2906" s="102">
        <v>476.7</v>
      </c>
      <c r="H2906" s="56" t="s">
        <v>82</v>
      </c>
      <c r="K2906" s="56">
        <v>821</v>
      </c>
      <c r="L2906" s="55" t="s">
        <v>176</v>
      </c>
      <c r="M2906" s="55" t="s">
        <v>2824</v>
      </c>
      <c r="N2906" s="4" t="s">
        <v>177</v>
      </c>
      <c r="O2906" s="55" t="s">
        <v>178</v>
      </c>
    </row>
    <row r="2907" spans="2:15">
      <c r="B2907" s="20">
        <v>45387</v>
      </c>
      <c r="C2907" s="59">
        <v>50142334</v>
      </c>
      <c r="D2907" s="55" t="s">
        <v>257</v>
      </c>
      <c r="E2907" s="67">
        <v>681</v>
      </c>
      <c r="G2907" s="102">
        <v>681</v>
      </c>
      <c r="H2907" s="56" t="s">
        <v>82</v>
      </c>
      <c r="K2907" s="56">
        <v>821</v>
      </c>
      <c r="L2907" s="55" t="s">
        <v>176</v>
      </c>
      <c r="M2907" s="55" t="s">
        <v>2824</v>
      </c>
      <c r="N2907" s="4" t="s">
        <v>177</v>
      </c>
      <c r="O2907" s="55" t="s">
        <v>178</v>
      </c>
    </row>
    <row r="2908" spans="2:15">
      <c r="B2908" s="20">
        <v>45387</v>
      </c>
      <c r="C2908" s="59">
        <v>50821478</v>
      </c>
      <c r="D2908" s="55" t="s">
        <v>1196</v>
      </c>
      <c r="E2908" s="67">
        <v>320000</v>
      </c>
      <c r="G2908" s="102">
        <v>1390000</v>
      </c>
      <c r="H2908" s="56" t="s">
        <v>92</v>
      </c>
      <c r="K2908" s="56">
        <v>821</v>
      </c>
      <c r="L2908" s="55" t="s">
        <v>176</v>
      </c>
      <c r="M2908" s="55" t="s">
        <v>2824</v>
      </c>
      <c r="N2908" s="4" t="s">
        <v>177</v>
      </c>
      <c r="O2908" s="55" t="s">
        <v>178</v>
      </c>
    </row>
    <row r="2909" spans="2:15">
      <c r="B2909" s="20">
        <v>45390</v>
      </c>
      <c r="C2909" s="59">
        <v>50272278</v>
      </c>
      <c r="D2909" s="55" t="s">
        <v>21</v>
      </c>
      <c r="E2909" s="67">
        <v>500</v>
      </c>
      <c r="G2909" s="102">
        <v>11000</v>
      </c>
      <c r="H2909" s="56" t="s">
        <v>92</v>
      </c>
      <c r="K2909" s="56">
        <v>822</v>
      </c>
      <c r="L2909" s="55" t="s">
        <v>176</v>
      </c>
      <c r="M2909" s="55" t="s">
        <v>2824</v>
      </c>
      <c r="N2909" s="4" t="s">
        <v>177</v>
      </c>
      <c r="O2909" s="55" t="s">
        <v>178</v>
      </c>
    </row>
    <row r="2910" spans="2:15">
      <c r="B2910" s="20">
        <v>45390</v>
      </c>
      <c r="C2910" s="59">
        <v>40010087</v>
      </c>
      <c r="D2910" s="55" t="s">
        <v>387</v>
      </c>
      <c r="E2910" s="67">
        <v>864</v>
      </c>
      <c r="G2910" s="102">
        <v>2778</v>
      </c>
      <c r="H2910" s="56" t="s">
        <v>80</v>
      </c>
      <c r="K2910" s="56">
        <v>823</v>
      </c>
      <c r="L2910" s="55" t="s">
        <v>176</v>
      </c>
      <c r="M2910" s="55" t="s">
        <v>2824</v>
      </c>
      <c r="N2910" s="4" t="s">
        <v>177</v>
      </c>
      <c r="O2910" s="55" t="s">
        <v>178</v>
      </c>
    </row>
    <row r="2911" spans="2:15">
      <c r="B2911" s="20">
        <v>45390</v>
      </c>
      <c r="C2911" s="59">
        <v>50470190</v>
      </c>
      <c r="D2911" s="55" t="s">
        <v>12</v>
      </c>
      <c r="E2911" s="67">
        <v>289800</v>
      </c>
      <c r="G2911" s="102">
        <v>2898000</v>
      </c>
      <c r="H2911" s="56" t="s">
        <v>92</v>
      </c>
      <c r="K2911" s="56">
        <v>823</v>
      </c>
      <c r="L2911" s="55" t="s">
        <v>176</v>
      </c>
      <c r="M2911" s="55" t="s">
        <v>2824</v>
      </c>
      <c r="N2911" s="4" t="s">
        <v>177</v>
      </c>
      <c r="O2911" s="55" t="s">
        <v>178</v>
      </c>
    </row>
    <row r="2912" spans="2:15">
      <c r="B2912" s="20">
        <v>45390</v>
      </c>
      <c r="C2912" s="59">
        <v>40011588</v>
      </c>
      <c r="D2912" s="55" t="s">
        <v>585</v>
      </c>
      <c r="E2912" s="67">
        <v>264</v>
      </c>
      <c r="G2912" s="102">
        <v>2700</v>
      </c>
      <c r="H2912" s="56" t="s">
        <v>80</v>
      </c>
      <c r="K2912" s="56">
        <v>823</v>
      </c>
      <c r="L2912" s="55" t="s">
        <v>176</v>
      </c>
      <c r="M2912" s="55" t="s">
        <v>2824</v>
      </c>
      <c r="N2912" s="4" t="s">
        <v>177</v>
      </c>
      <c r="O2912" s="55" t="s">
        <v>178</v>
      </c>
    </row>
    <row r="2913" spans="2:15">
      <c r="B2913" s="20">
        <v>45391</v>
      </c>
      <c r="C2913" s="59">
        <v>50809152</v>
      </c>
      <c r="D2913" s="55" t="s">
        <v>953</v>
      </c>
      <c r="E2913" s="67">
        <v>456</v>
      </c>
      <c r="G2913" s="102">
        <v>2004.1</v>
      </c>
      <c r="H2913" s="56" t="s">
        <v>82</v>
      </c>
      <c r="K2913" s="56">
        <v>824</v>
      </c>
      <c r="L2913" s="55" t="s">
        <v>176</v>
      </c>
      <c r="M2913" s="55" t="s">
        <v>2824</v>
      </c>
      <c r="N2913" s="4" t="s">
        <v>177</v>
      </c>
      <c r="O2913" s="55" t="s">
        <v>178</v>
      </c>
    </row>
    <row r="2914" spans="2:15">
      <c r="B2914" s="20">
        <v>45391</v>
      </c>
      <c r="C2914" s="59">
        <v>50272278</v>
      </c>
      <c r="D2914" s="55" t="s">
        <v>21</v>
      </c>
      <c r="E2914" s="67">
        <v>500</v>
      </c>
      <c r="G2914" s="102">
        <v>8000</v>
      </c>
      <c r="H2914" s="56" t="s">
        <v>92</v>
      </c>
      <c r="K2914" s="56">
        <v>824</v>
      </c>
      <c r="L2914" s="55" t="s">
        <v>176</v>
      </c>
      <c r="M2914" s="55" t="s">
        <v>2824</v>
      </c>
      <c r="N2914" s="4" t="s">
        <v>177</v>
      </c>
      <c r="O2914" s="55" t="s">
        <v>178</v>
      </c>
    </row>
    <row r="2915" spans="2:15">
      <c r="B2915" s="20">
        <v>45391</v>
      </c>
      <c r="C2915" s="59">
        <v>40011080</v>
      </c>
      <c r="D2915" s="55" t="s">
        <v>420</v>
      </c>
      <c r="E2915" s="67">
        <v>450</v>
      </c>
      <c r="G2915" s="102">
        <v>900</v>
      </c>
      <c r="H2915" s="56" t="s">
        <v>80</v>
      </c>
      <c r="K2915" s="56">
        <v>824</v>
      </c>
      <c r="L2915" s="55" t="s">
        <v>176</v>
      </c>
      <c r="M2915" s="55" t="s">
        <v>2824</v>
      </c>
      <c r="N2915" s="4" t="s">
        <v>177</v>
      </c>
      <c r="O2915" s="55" t="s">
        <v>178</v>
      </c>
    </row>
    <row r="2916" spans="2:15">
      <c r="B2916" s="20">
        <v>45391</v>
      </c>
      <c r="C2916" s="59">
        <v>50809353</v>
      </c>
      <c r="D2916" s="55" t="s">
        <v>905</v>
      </c>
      <c r="E2916" s="67">
        <v>750</v>
      </c>
      <c r="G2916" s="102">
        <v>750</v>
      </c>
      <c r="H2916" s="56" t="s">
        <v>82</v>
      </c>
      <c r="K2916" s="56">
        <v>825</v>
      </c>
      <c r="L2916" s="55" t="s">
        <v>176</v>
      </c>
      <c r="M2916" s="55" t="s">
        <v>2824</v>
      </c>
      <c r="N2916" s="4" t="s">
        <v>177</v>
      </c>
      <c r="O2916" s="55" t="s">
        <v>178</v>
      </c>
    </row>
    <row r="2917" spans="2:15">
      <c r="B2917" s="20">
        <v>45391</v>
      </c>
      <c r="C2917" s="59">
        <v>40011130</v>
      </c>
      <c r="D2917" s="55" t="s">
        <v>631</v>
      </c>
      <c r="E2917" s="67">
        <v>3360</v>
      </c>
      <c r="G2917" s="102">
        <v>3360</v>
      </c>
      <c r="H2917" s="56" t="s">
        <v>80</v>
      </c>
      <c r="K2917" s="56">
        <v>825</v>
      </c>
      <c r="L2917" s="55" t="s">
        <v>176</v>
      </c>
      <c r="M2917" s="55" t="s">
        <v>2824</v>
      </c>
      <c r="N2917" s="4" t="s">
        <v>177</v>
      </c>
      <c r="O2917" s="55" t="s">
        <v>178</v>
      </c>
    </row>
    <row r="2918" spans="2:15">
      <c r="B2918" s="20">
        <v>45391</v>
      </c>
      <c r="C2918" s="59">
        <v>50551885</v>
      </c>
      <c r="D2918" s="55" t="s">
        <v>1251</v>
      </c>
      <c r="E2918" s="67">
        <v>720000</v>
      </c>
      <c r="G2918" s="102">
        <v>720000</v>
      </c>
      <c r="H2918" s="56" t="s">
        <v>92</v>
      </c>
      <c r="K2918" s="56">
        <v>825</v>
      </c>
      <c r="L2918" s="55" t="s">
        <v>176</v>
      </c>
      <c r="M2918" s="55" t="s">
        <v>2824</v>
      </c>
      <c r="N2918" s="4" t="s">
        <v>177</v>
      </c>
      <c r="O2918" s="55" t="s">
        <v>178</v>
      </c>
    </row>
    <row r="2919" spans="2:15">
      <c r="B2919" s="20">
        <v>45391</v>
      </c>
      <c r="C2919" s="59">
        <v>50804929</v>
      </c>
      <c r="D2919" s="55" t="s">
        <v>856</v>
      </c>
      <c r="E2919" s="67">
        <v>504000</v>
      </c>
      <c r="G2919" s="102">
        <v>504000</v>
      </c>
      <c r="H2919" s="56" t="s">
        <v>92</v>
      </c>
      <c r="K2919" s="56">
        <v>825</v>
      </c>
      <c r="L2919" s="55" t="s">
        <v>176</v>
      </c>
      <c r="M2919" s="55" t="s">
        <v>2824</v>
      </c>
      <c r="N2919" s="4" t="s">
        <v>177</v>
      </c>
      <c r="O2919" s="55" t="s">
        <v>178</v>
      </c>
    </row>
    <row r="2920" spans="2:15">
      <c r="B2920" s="20">
        <v>45391</v>
      </c>
      <c r="C2920" s="59">
        <v>50272278</v>
      </c>
      <c r="D2920" s="55" t="s">
        <v>21</v>
      </c>
      <c r="E2920" s="67">
        <v>500</v>
      </c>
      <c r="G2920" s="102">
        <v>9500</v>
      </c>
      <c r="H2920" s="56" t="s">
        <v>92</v>
      </c>
      <c r="K2920" s="56">
        <v>825</v>
      </c>
      <c r="L2920" s="55" t="s">
        <v>176</v>
      </c>
      <c r="M2920" s="55" t="s">
        <v>2824</v>
      </c>
      <c r="N2920" s="4" t="s">
        <v>177</v>
      </c>
      <c r="O2920" s="55" t="s">
        <v>178</v>
      </c>
    </row>
    <row r="2921" spans="2:15">
      <c r="B2921" s="20">
        <v>45391</v>
      </c>
      <c r="C2921" s="59">
        <v>50145187</v>
      </c>
      <c r="D2921" s="55" t="s">
        <v>465</v>
      </c>
      <c r="E2921" s="67">
        <v>264000</v>
      </c>
      <c r="G2921" s="102">
        <v>792000</v>
      </c>
      <c r="H2921" s="56" t="s">
        <v>92</v>
      </c>
      <c r="K2921" s="56">
        <v>825</v>
      </c>
      <c r="L2921" s="55" t="s">
        <v>176</v>
      </c>
      <c r="M2921" s="55" t="s">
        <v>2824</v>
      </c>
      <c r="N2921" s="4" t="s">
        <v>177</v>
      </c>
      <c r="O2921" s="55" t="s">
        <v>178</v>
      </c>
    </row>
    <row r="2922" spans="2:15">
      <c r="B2922" s="20">
        <v>45391</v>
      </c>
      <c r="C2922" s="59">
        <v>50818947</v>
      </c>
      <c r="D2922" s="55" t="s">
        <v>1174</v>
      </c>
      <c r="E2922" s="67">
        <v>500000</v>
      </c>
      <c r="G2922" s="102">
        <v>500000</v>
      </c>
      <c r="H2922" s="56" t="s">
        <v>92</v>
      </c>
      <c r="K2922" s="56">
        <v>825</v>
      </c>
      <c r="L2922" s="55" t="s">
        <v>176</v>
      </c>
      <c r="M2922" s="55" t="s">
        <v>2824</v>
      </c>
      <c r="N2922" s="4" t="s">
        <v>177</v>
      </c>
      <c r="O2922" s="55" t="s">
        <v>178</v>
      </c>
    </row>
    <row r="2923" spans="2:15">
      <c r="B2923" s="20">
        <v>45391</v>
      </c>
      <c r="C2923" s="59">
        <v>50470190</v>
      </c>
      <c r="D2923" s="55" t="s">
        <v>12</v>
      </c>
      <c r="E2923" s="67">
        <v>289800</v>
      </c>
      <c r="G2923" s="102">
        <v>1738800</v>
      </c>
      <c r="H2923" s="56" t="s">
        <v>92</v>
      </c>
      <c r="K2923" s="56">
        <v>825</v>
      </c>
      <c r="L2923" s="55" t="s">
        <v>176</v>
      </c>
      <c r="M2923" s="55" t="s">
        <v>2824</v>
      </c>
      <c r="N2923" s="4" t="s">
        <v>177</v>
      </c>
      <c r="O2923" s="55" t="s">
        <v>178</v>
      </c>
    </row>
    <row r="2924" spans="2:15">
      <c r="B2924" s="20">
        <v>45391</v>
      </c>
      <c r="C2924" s="59">
        <v>40014002</v>
      </c>
      <c r="D2924" s="55" t="s">
        <v>1215</v>
      </c>
      <c r="E2924" s="67">
        <v>864</v>
      </c>
      <c r="G2924" s="102">
        <v>1728</v>
      </c>
      <c r="H2924" s="56" t="s">
        <v>80</v>
      </c>
      <c r="K2924" s="56">
        <v>825</v>
      </c>
      <c r="L2924" s="55" t="s">
        <v>176</v>
      </c>
      <c r="M2924" s="55" t="s">
        <v>2824</v>
      </c>
      <c r="N2924" s="4" t="s">
        <v>177</v>
      </c>
      <c r="O2924" s="55" t="s">
        <v>178</v>
      </c>
    </row>
    <row r="2925" spans="2:15">
      <c r="B2925" s="20">
        <v>45392</v>
      </c>
      <c r="C2925" s="59">
        <v>50799770</v>
      </c>
      <c r="D2925" s="55" t="s">
        <v>17</v>
      </c>
      <c r="E2925" s="67">
        <v>250</v>
      </c>
      <c r="G2925" s="102">
        <v>6250</v>
      </c>
      <c r="H2925" s="56" t="s">
        <v>92</v>
      </c>
      <c r="K2925" s="56">
        <v>826</v>
      </c>
      <c r="L2925" s="55" t="s">
        <v>176</v>
      </c>
      <c r="M2925" s="55" t="s">
        <v>2824</v>
      </c>
      <c r="N2925" s="4" t="s">
        <v>177</v>
      </c>
      <c r="O2925" s="55" t="s">
        <v>178</v>
      </c>
    </row>
    <row r="2926" spans="2:15">
      <c r="B2926" s="20">
        <v>45392</v>
      </c>
      <c r="C2926" s="59">
        <v>50144376</v>
      </c>
      <c r="D2926" s="55" t="s">
        <v>19</v>
      </c>
      <c r="E2926" s="67">
        <v>500</v>
      </c>
      <c r="G2926" s="102">
        <v>5000</v>
      </c>
      <c r="H2926" s="56" t="s">
        <v>92</v>
      </c>
      <c r="K2926" s="56">
        <v>827</v>
      </c>
      <c r="L2926" s="55" t="s">
        <v>326</v>
      </c>
      <c r="M2926" s="55" t="s">
        <v>326</v>
      </c>
      <c r="N2926" s="4" t="s">
        <v>239</v>
      </c>
      <c r="O2926" s="55" t="s">
        <v>178</v>
      </c>
    </row>
    <row r="2927" spans="2:15">
      <c r="B2927" s="20">
        <v>45392</v>
      </c>
      <c r="C2927" s="59">
        <v>50145028</v>
      </c>
      <c r="D2927" s="55" t="s">
        <v>23</v>
      </c>
      <c r="E2927" s="67">
        <v>192</v>
      </c>
      <c r="G2927" s="102">
        <v>576</v>
      </c>
      <c r="H2927" s="56" t="s">
        <v>92</v>
      </c>
      <c r="K2927" s="56">
        <v>827</v>
      </c>
      <c r="L2927" s="55" t="s">
        <v>326</v>
      </c>
      <c r="M2927" s="55" t="s">
        <v>326</v>
      </c>
      <c r="N2927" s="4" t="s">
        <v>239</v>
      </c>
      <c r="O2927" s="55" t="s">
        <v>178</v>
      </c>
    </row>
    <row r="2928" spans="2:15">
      <c r="B2928" s="20">
        <v>45393</v>
      </c>
      <c r="C2928" s="59">
        <v>50799770</v>
      </c>
      <c r="D2928" s="55" t="s">
        <v>17</v>
      </c>
      <c r="E2928" s="67">
        <v>500</v>
      </c>
      <c r="G2928" s="102">
        <v>5000</v>
      </c>
      <c r="H2928" s="56" t="s">
        <v>92</v>
      </c>
      <c r="K2928" s="56">
        <v>828</v>
      </c>
      <c r="L2928" s="55" t="s">
        <v>176</v>
      </c>
      <c r="M2928" s="55" t="s">
        <v>2824</v>
      </c>
      <c r="N2928" s="4" t="s">
        <v>177</v>
      </c>
      <c r="O2928" s="55" t="s">
        <v>178</v>
      </c>
    </row>
    <row r="2929" spans="2:15">
      <c r="B2929" s="20">
        <v>45393</v>
      </c>
      <c r="C2929" s="59">
        <v>50470190</v>
      </c>
      <c r="D2929" s="55" t="s">
        <v>12</v>
      </c>
      <c r="E2929" s="67">
        <v>289800</v>
      </c>
      <c r="G2929" s="102">
        <v>2318400</v>
      </c>
      <c r="H2929" s="56" t="s">
        <v>92</v>
      </c>
      <c r="K2929" s="56">
        <v>828</v>
      </c>
      <c r="L2929" s="55" t="s">
        <v>176</v>
      </c>
      <c r="M2929" s="55" t="s">
        <v>2824</v>
      </c>
      <c r="N2929" s="4" t="s">
        <v>177</v>
      </c>
      <c r="O2929" s="55" t="s">
        <v>178</v>
      </c>
    </row>
    <row r="2930" spans="2:15">
      <c r="B2930" s="20">
        <v>45393</v>
      </c>
      <c r="C2930" s="59">
        <v>50522176</v>
      </c>
      <c r="D2930" s="55" t="s">
        <v>455</v>
      </c>
      <c r="E2930" s="67">
        <v>456</v>
      </c>
      <c r="G2930" s="102">
        <v>729.9</v>
      </c>
      <c r="H2930" s="56" t="s">
        <v>82</v>
      </c>
      <c r="K2930" s="56">
        <v>828</v>
      </c>
      <c r="L2930" s="55" t="s">
        <v>176</v>
      </c>
      <c r="M2930" s="55" t="s">
        <v>2824</v>
      </c>
      <c r="N2930" s="4" t="s">
        <v>177</v>
      </c>
      <c r="O2930" s="55" t="s">
        <v>178</v>
      </c>
    </row>
    <row r="2931" spans="2:15">
      <c r="B2931" s="20">
        <v>45393</v>
      </c>
      <c r="C2931" s="59">
        <v>50495561</v>
      </c>
      <c r="D2931" s="55" t="s">
        <v>2856</v>
      </c>
      <c r="E2931" s="67">
        <v>990000</v>
      </c>
      <c r="G2931" s="102">
        <v>990000</v>
      </c>
      <c r="H2931" s="56" t="s">
        <v>92</v>
      </c>
      <c r="K2931" s="56">
        <v>829</v>
      </c>
      <c r="L2931" s="55" t="s">
        <v>176</v>
      </c>
      <c r="M2931" s="55" t="s">
        <v>2824</v>
      </c>
      <c r="N2931" s="4" t="s">
        <v>177</v>
      </c>
      <c r="O2931" s="55" t="s">
        <v>178</v>
      </c>
    </row>
    <row r="2932" spans="2:15">
      <c r="B2932" s="20">
        <v>45393</v>
      </c>
      <c r="C2932" s="59">
        <v>50809152</v>
      </c>
      <c r="D2932" s="55" t="s">
        <v>953</v>
      </c>
      <c r="E2932" s="67">
        <v>456</v>
      </c>
      <c r="G2932" s="102">
        <v>1256</v>
      </c>
      <c r="H2932" s="56" t="s">
        <v>82</v>
      </c>
      <c r="K2932" s="56">
        <v>829</v>
      </c>
      <c r="L2932" s="55" t="s">
        <v>176</v>
      </c>
      <c r="M2932" s="55" t="s">
        <v>2824</v>
      </c>
      <c r="N2932" s="4" t="s">
        <v>177</v>
      </c>
      <c r="O2932" s="55" t="s">
        <v>178</v>
      </c>
    </row>
    <row r="2933" spans="2:15">
      <c r="B2933" s="20">
        <v>45393</v>
      </c>
      <c r="C2933" s="59">
        <v>50272278</v>
      </c>
      <c r="D2933" s="55" t="s">
        <v>21</v>
      </c>
      <c r="E2933" s="67">
        <v>500</v>
      </c>
      <c r="G2933" s="102">
        <v>1000</v>
      </c>
      <c r="H2933" s="56" t="s">
        <v>92</v>
      </c>
      <c r="K2933" s="56">
        <v>829</v>
      </c>
      <c r="L2933" s="55" t="s">
        <v>176</v>
      </c>
      <c r="M2933" s="55" t="s">
        <v>2824</v>
      </c>
      <c r="N2933" s="4" t="s">
        <v>177</v>
      </c>
      <c r="O2933" s="55" t="s">
        <v>178</v>
      </c>
    </row>
    <row r="2934" spans="2:15">
      <c r="B2934" s="20">
        <v>45393</v>
      </c>
      <c r="C2934" s="59">
        <v>50815214</v>
      </c>
      <c r="D2934" s="55" t="s">
        <v>1111</v>
      </c>
      <c r="E2934" s="67">
        <v>320000</v>
      </c>
      <c r="G2934" s="102">
        <v>3520000</v>
      </c>
      <c r="H2934" s="56" t="s">
        <v>92</v>
      </c>
      <c r="K2934" s="56">
        <v>829</v>
      </c>
      <c r="L2934" s="55" t="s">
        <v>176</v>
      </c>
      <c r="M2934" s="55" t="s">
        <v>2824</v>
      </c>
      <c r="N2934" s="4" t="s">
        <v>177</v>
      </c>
      <c r="O2934" s="55" t="s">
        <v>178</v>
      </c>
    </row>
    <row r="2935" spans="2:15">
      <c r="B2935" s="20">
        <v>45393</v>
      </c>
      <c r="C2935" s="59">
        <v>50815261</v>
      </c>
      <c r="D2935" s="55" t="s">
        <v>1107</v>
      </c>
      <c r="E2935" s="67">
        <v>320000</v>
      </c>
      <c r="G2935" s="102">
        <v>2118050</v>
      </c>
      <c r="H2935" s="56" t="s">
        <v>92</v>
      </c>
      <c r="K2935" s="56">
        <v>829</v>
      </c>
      <c r="L2935" s="55" t="s">
        <v>176</v>
      </c>
      <c r="M2935" s="55" t="s">
        <v>2824</v>
      </c>
      <c r="N2935" s="4" t="s">
        <v>177</v>
      </c>
      <c r="O2935" s="55" t="s">
        <v>178</v>
      </c>
    </row>
    <row r="2936" spans="2:15">
      <c r="B2936" s="20">
        <v>45394</v>
      </c>
      <c r="C2936" s="59">
        <v>50272278</v>
      </c>
      <c r="D2936" s="55" t="s">
        <v>21</v>
      </c>
      <c r="E2936" s="67">
        <v>500</v>
      </c>
      <c r="G2936" s="102">
        <v>6000</v>
      </c>
      <c r="H2936" s="56" t="s">
        <v>92</v>
      </c>
      <c r="K2936" s="56">
        <v>830</v>
      </c>
      <c r="L2936" s="55" t="s">
        <v>176</v>
      </c>
      <c r="M2936" s="55" t="s">
        <v>2824</v>
      </c>
      <c r="N2936" s="4" t="s">
        <v>177</v>
      </c>
      <c r="O2936" s="55" t="s">
        <v>178</v>
      </c>
    </row>
    <row r="2937" spans="2:15">
      <c r="B2937" s="20">
        <v>45394</v>
      </c>
      <c r="C2937" s="59">
        <v>40011080</v>
      </c>
      <c r="D2937" s="55" t="s">
        <v>420</v>
      </c>
      <c r="E2937" s="67">
        <v>450</v>
      </c>
      <c r="G2937" s="102">
        <v>900</v>
      </c>
      <c r="H2937" s="56" t="s">
        <v>80</v>
      </c>
      <c r="K2937" s="56">
        <v>830</v>
      </c>
      <c r="L2937" s="55" t="s">
        <v>176</v>
      </c>
      <c r="M2937" s="55" t="s">
        <v>2824</v>
      </c>
      <c r="N2937" s="4" t="s">
        <v>177</v>
      </c>
      <c r="O2937" s="55" t="s">
        <v>178</v>
      </c>
    </row>
    <row r="2938" spans="2:15">
      <c r="B2938" s="20">
        <v>45394</v>
      </c>
      <c r="C2938" s="59">
        <v>50145187</v>
      </c>
      <c r="D2938" s="55" t="s">
        <v>465</v>
      </c>
      <c r="E2938" s="67">
        <v>289800</v>
      </c>
      <c r="G2938" s="102">
        <v>528000</v>
      </c>
      <c r="H2938" s="56" t="s">
        <v>92</v>
      </c>
      <c r="K2938" s="56">
        <v>830</v>
      </c>
      <c r="L2938" s="55" t="s">
        <v>176</v>
      </c>
      <c r="M2938" s="55" t="s">
        <v>2824</v>
      </c>
      <c r="N2938" s="4" t="s">
        <v>177</v>
      </c>
      <c r="O2938" s="55" t="s">
        <v>178</v>
      </c>
    </row>
    <row r="2939" spans="2:15">
      <c r="B2939" s="20">
        <v>45394</v>
      </c>
      <c r="C2939" s="59">
        <v>50802401</v>
      </c>
      <c r="D2939" s="55" t="s">
        <v>13</v>
      </c>
      <c r="E2939" s="67">
        <v>289800</v>
      </c>
      <c r="G2939" s="102">
        <v>1449000</v>
      </c>
      <c r="H2939" s="56" t="s">
        <v>92</v>
      </c>
      <c r="K2939" s="56">
        <v>830</v>
      </c>
      <c r="L2939" s="55" t="s">
        <v>176</v>
      </c>
      <c r="M2939" s="55" t="s">
        <v>2824</v>
      </c>
      <c r="N2939" s="4" t="s">
        <v>177</v>
      </c>
      <c r="O2939" s="55" t="s">
        <v>178</v>
      </c>
    </row>
    <row r="2940" spans="2:15">
      <c r="B2940" s="20">
        <v>45394</v>
      </c>
      <c r="C2940" s="59">
        <v>50010080</v>
      </c>
      <c r="D2940" s="55" t="s">
        <v>354</v>
      </c>
      <c r="E2940" s="67">
        <v>1000</v>
      </c>
      <c r="G2940" s="102">
        <v>1000</v>
      </c>
      <c r="H2940" s="56" t="s">
        <v>82</v>
      </c>
      <c r="K2940" s="56">
        <v>831</v>
      </c>
      <c r="L2940" s="55" t="s">
        <v>176</v>
      </c>
      <c r="M2940" s="55" t="s">
        <v>2824</v>
      </c>
      <c r="N2940" s="4" t="s">
        <v>177</v>
      </c>
      <c r="O2940" s="55" t="s">
        <v>178</v>
      </c>
    </row>
    <row r="2941" spans="2:15">
      <c r="B2941" s="20">
        <v>45394</v>
      </c>
      <c r="C2941" s="59">
        <v>50809146</v>
      </c>
      <c r="D2941" s="55" t="s">
        <v>1030</v>
      </c>
      <c r="E2941" s="67">
        <v>456</v>
      </c>
      <c r="G2941" s="102">
        <v>2060.95</v>
      </c>
      <c r="H2941" s="56" t="s">
        <v>82</v>
      </c>
      <c r="K2941" s="56">
        <v>831</v>
      </c>
      <c r="L2941" s="55" t="s">
        <v>176</v>
      </c>
      <c r="M2941" s="55" t="s">
        <v>2824</v>
      </c>
      <c r="N2941" s="4" t="s">
        <v>177</v>
      </c>
      <c r="O2941" s="55" t="s">
        <v>178</v>
      </c>
    </row>
    <row r="2942" spans="2:15">
      <c r="B2942" s="20">
        <v>45394</v>
      </c>
      <c r="C2942" s="59">
        <v>50809152</v>
      </c>
      <c r="D2942" s="55" t="s">
        <v>953</v>
      </c>
      <c r="E2942" s="67">
        <v>456</v>
      </c>
      <c r="G2942" s="102">
        <v>1820</v>
      </c>
      <c r="H2942" s="56" t="s">
        <v>82</v>
      </c>
      <c r="K2942" s="56">
        <v>831</v>
      </c>
      <c r="L2942" s="55" t="s">
        <v>176</v>
      </c>
      <c r="M2942" s="55" t="s">
        <v>2824</v>
      </c>
      <c r="N2942" s="4" t="s">
        <v>177</v>
      </c>
      <c r="O2942" s="55" t="s">
        <v>178</v>
      </c>
    </row>
    <row r="2943" spans="2:15">
      <c r="B2943" s="20">
        <v>45394</v>
      </c>
      <c r="C2943" s="59">
        <v>50143893</v>
      </c>
      <c r="D2943" s="55" t="s">
        <v>24</v>
      </c>
      <c r="E2943" s="67">
        <v>990</v>
      </c>
      <c r="G2943" s="102">
        <v>2970</v>
      </c>
      <c r="H2943" s="56" t="s">
        <v>92</v>
      </c>
      <c r="K2943" s="56">
        <v>831</v>
      </c>
      <c r="L2943" s="55" t="s">
        <v>176</v>
      </c>
      <c r="M2943" s="55" t="s">
        <v>2824</v>
      </c>
      <c r="N2943" s="4" t="s">
        <v>177</v>
      </c>
      <c r="O2943" s="55" t="s">
        <v>178</v>
      </c>
    </row>
    <row r="2944" spans="2:15">
      <c r="B2944" s="20">
        <v>45394</v>
      </c>
      <c r="C2944" s="59">
        <v>50142327</v>
      </c>
      <c r="D2944" s="55" t="s">
        <v>256</v>
      </c>
      <c r="E2944" s="67">
        <v>476.6</v>
      </c>
      <c r="G2944" s="102">
        <v>953.4</v>
      </c>
      <c r="H2944" s="56" t="s">
        <v>82</v>
      </c>
      <c r="K2944" s="56">
        <v>831</v>
      </c>
      <c r="L2944" s="55" t="s">
        <v>176</v>
      </c>
      <c r="M2944" s="55" t="s">
        <v>2824</v>
      </c>
      <c r="N2944" s="4" t="s">
        <v>177</v>
      </c>
      <c r="O2944" s="55" t="s">
        <v>178</v>
      </c>
    </row>
    <row r="2945" spans="2:15">
      <c r="B2945" s="20">
        <v>45394</v>
      </c>
      <c r="C2945" s="59">
        <v>50142334</v>
      </c>
      <c r="D2945" s="55" t="s">
        <v>257</v>
      </c>
      <c r="E2945" s="67">
        <v>681</v>
      </c>
      <c r="G2945" s="102">
        <v>681</v>
      </c>
      <c r="H2945" s="56" t="s">
        <v>82</v>
      </c>
      <c r="K2945" s="56">
        <v>831</v>
      </c>
      <c r="L2945" s="55" t="s">
        <v>176</v>
      </c>
      <c r="M2945" s="55" t="s">
        <v>2824</v>
      </c>
      <c r="N2945" s="4" t="s">
        <v>177</v>
      </c>
      <c r="O2945" s="55" t="s">
        <v>178</v>
      </c>
    </row>
    <row r="2946" spans="2:15">
      <c r="B2946" s="20">
        <v>45394</v>
      </c>
      <c r="C2946" s="59">
        <v>50272278</v>
      </c>
      <c r="D2946" s="55" t="s">
        <v>21</v>
      </c>
      <c r="E2946" s="67">
        <v>500</v>
      </c>
      <c r="G2946" s="102">
        <v>3500</v>
      </c>
      <c r="H2946" s="56" t="s">
        <v>92</v>
      </c>
      <c r="K2946" s="56">
        <v>831</v>
      </c>
      <c r="L2946" s="55" t="s">
        <v>176</v>
      </c>
      <c r="M2946" s="55" t="s">
        <v>2824</v>
      </c>
      <c r="N2946" s="4" t="s">
        <v>177</v>
      </c>
      <c r="O2946" s="55" t="s">
        <v>178</v>
      </c>
    </row>
    <row r="2947" spans="2:15">
      <c r="B2947" s="20">
        <v>45397</v>
      </c>
      <c r="C2947" s="59">
        <v>50824293</v>
      </c>
      <c r="D2947" s="55" t="s">
        <v>861</v>
      </c>
      <c r="E2947" s="67">
        <v>1270</v>
      </c>
      <c r="G2947" s="102">
        <v>3312000</v>
      </c>
      <c r="H2947" s="56" t="s">
        <v>92</v>
      </c>
      <c r="K2947" s="56">
        <v>832</v>
      </c>
      <c r="L2947" s="55" t="s">
        <v>176</v>
      </c>
      <c r="M2947" s="55" t="s">
        <v>2824</v>
      </c>
      <c r="N2947" s="4" t="s">
        <v>177</v>
      </c>
      <c r="O2947" s="55" t="s">
        <v>178</v>
      </c>
    </row>
    <row r="2948" spans="2:15">
      <c r="B2948" s="20">
        <v>45397</v>
      </c>
      <c r="C2948" s="59">
        <v>50144376</v>
      </c>
      <c r="D2948" s="55" t="s">
        <v>19</v>
      </c>
      <c r="E2948" s="67">
        <v>500</v>
      </c>
      <c r="G2948" s="102">
        <v>10000</v>
      </c>
      <c r="H2948" s="56" t="s">
        <v>92</v>
      </c>
      <c r="K2948" s="56">
        <v>832</v>
      </c>
      <c r="L2948" s="55" t="s">
        <v>176</v>
      </c>
      <c r="M2948" s="55" t="s">
        <v>2824</v>
      </c>
      <c r="N2948" s="4" t="s">
        <v>177</v>
      </c>
      <c r="O2948" s="55" t="s">
        <v>178</v>
      </c>
    </row>
    <row r="2949" spans="2:15">
      <c r="B2949" s="20">
        <v>45399</v>
      </c>
      <c r="C2949" s="59">
        <v>40011080</v>
      </c>
      <c r="D2949" s="55" t="s">
        <v>420</v>
      </c>
      <c r="E2949" s="67">
        <v>450</v>
      </c>
      <c r="F2949" s="67">
        <v>5</v>
      </c>
      <c r="G2949" s="102">
        <f>5*450</f>
        <v>2250</v>
      </c>
      <c r="H2949" s="56" t="s">
        <v>80</v>
      </c>
      <c r="K2949" s="56">
        <v>833</v>
      </c>
      <c r="L2949" s="55" t="s">
        <v>176</v>
      </c>
      <c r="M2949" s="55" t="s">
        <v>2824</v>
      </c>
      <c r="N2949" s="4" t="s">
        <v>177</v>
      </c>
      <c r="O2949" s="55" t="s">
        <v>533</v>
      </c>
    </row>
    <row r="2950" spans="2:15">
      <c r="B2950" s="20">
        <v>45399</v>
      </c>
      <c r="C2950" s="59">
        <v>40011148</v>
      </c>
      <c r="D2950" s="55" t="s">
        <v>86</v>
      </c>
      <c r="E2950" s="67">
        <v>450</v>
      </c>
      <c r="F2950" s="67">
        <v>2</v>
      </c>
      <c r="G2950" s="102">
        <v>900</v>
      </c>
      <c r="H2950" s="56" t="s">
        <v>80</v>
      </c>
      <c r="K2950" s="56">
        <v>833</v>
      </c>
      <c r="L2950" s="55" t="s">
        <v>176</v>
      </c>
      <c r="M2950" s="55" t="s">
        <v>2824</v>
      </c>
      <c r="N2950" s="4" t="s">
        <v>177</v>
      </c>
      <c r="O2950" s="55" t="s">
        <v>533</v>
      </c>
    </row>
    <row r="2951" spans="2:15">
      <c r="B2951" s="20">
        <v>45399</v>
      </c>
      <c r="C2951" s="59">
        <v>50818948</v>
      </c>
      <c r="D2951" s="55" t="s">
        <v>1173</v>
      </c>
      <c r="E2951" s="67">
        <v>500000</v>
      </c>
      <c r="F2951" s="67">
        <v>2</v>
      </c>
      <c r="G2951" s="102">
        <v>1000000</v>
      </c>
      <c r="H2951" s="56" t="s">
        <v>92</v>
      </c>
      <c r="K2951" s="56">
        <v>833</v>
      </c>
      <c r="L2951" s="55" t="s">
        <v>176</v>
      </c>
      <c r="M2951" s="55" t="s">
        <v>2824</v>
      </c>
      <c r="N2951" s="4" t="s">
        <v>177</v>
      </c>
      <c r="O2951" s="55" t="s">
        <v>533</v>
      </c>
    </row>
    <row r="2952" spans="2:15">
      <c r="B2952" s="20">
        <v>45399</v>
      </c>
      <c r="C2952" s="59">
        <v>40011133</v>
      </c>
      <c r="D2952" s="55" t="s">
        <v>634</v>
      </c>
      <c r="E2952" s="67">
        <v>864</v>
      </c>
      <c r="F2952" s="67">
        <v>2</v>
      </c>
      <c r="G2952" s="102">
        <v>1728</v>
      </c>
      <c r="H2952" s="56" t="s">
        <v>80</v>
      </c>
      <c r="K2952" s="56">
        <v>833</v>
      </c>
      <c r="L2952" s="55" t="s">
        <v>176</v>
      </c>
      <c r="M2952" s="55" t="s">
        <v>2824</v>
      </c>
      <c r="N2952" s="4" t="s">
        <v>177</v>
      </c>
      <c r="O2952" s="55" t="s">
        <v>533</v>
      </c>
    </row>
    <row r="2953" spans="2:15">
      <c r="B2953" s="20">
        <v>45399</v>
      </c>
      <c r="C2953" s="59">
        <v>50144376</v>
      </c>
      <c r="D2953" s="55" t="s">
        <v>19</v>
      </c>
      <c r="E2953" s="67">
        <v>500</v>
      </c>
      <c r="F2953" s="67">
        <v>9</v>
      </c>
      <c r="G2953" s="102">
        <v>4500</v>
      </c>
      <c r="H2953" s="56" t="s">
        <v>92</v>
      </c>
      <c r="K2953" s="56">
        <v>833</v>
      </c>
      <c r="L2953" s="55" t="s">
        <v>176</v>
      </c>
      <c r="M2953" s="55" t="s">
        <v>2824</v>
      </c>
      <c r="N2953" s="4" t="s">
        <v>177</v>
      </c>
      <c r="O2953" s="55" t="s">
        <v>533</v>
      </c>
    </row>
    <row r="2954" spans="2:15">
      <c r="B2954" s="20">
        <v>45400</v>
      </c>
      <c r="C2954" s="59">
        <v>50141786</v>
      </c>
      <c r="D2954" s="55" t="s">
        <v>188</v>
      </c>
      <c r="E2954" s="67">
        <v>560</v>
      </c>
      <c r="F2954" s="67">
        <v>20</v>
      </c>
      <c r="G2954" s="102">
        <v>11200</v>
      </c>
      <c r="H2954" s="56" t="s">
        <v>82</v>
      </c>
      <c r="K2954" s="56">
        <v>834</v>
      </c>
      <c r="L2954" s="55" t="s">
        <v>176</v>
      </c>
      <c r="M2954" s="55" t="s">
        <v>2824</v>
      </c>
      <c r="N2954" s="4" t="s">
        <v>177</v>
      </c>
      <c r="O2954" s="55" t="s">
        <v>533</v>
      </c>
    </row>
    <row r="2955" spans="2:15">
      <c r="B2955" s="20">
        <v>45400</v>
      </c>
      <c r="C2955" s="59">
        <v>40011069</v>
      </c>
      <c r="D2955" s="55" t="s">
        <v>442</v>
      </c>
      <c r="E2955" s="67">
        <v>1368</v>
      </c>
      <c r="F2955" s="67">
        <v>1</v>
      </c>
      <c r="G2955" s="102">
        <v>1368</v>
      </c>
      <c r="H2955" s="56" t="s">
        <v>80</v>
      </c>
      <c r="K2955" s="56">
        <v>835</v>
      </c>
      <c r="L2955" s="55" t="s">
        <v>176</v>
      </c>
      <c r="M2955" s="55" t="s">
        <v>2824</v>
      </c>
      <c r="N2955" s="4" t="s">
        <v>177</v>
      </c>
      <c r="O2955" s="55" t="s">
        <v>533</v>
      </c>
    </row>
    <row r="2956" spans="2:15">
      <c r="B2956" s="20">
        <v>45400</v>
      </c>
      <c r="C2956" s="59">
        <v>40011070</v>
      </c>
      <c r="D2956" s="55" t="s">
        <v>444</v>
      </c>
      <c r="E2956" s="67">
        <v>1535</v>
      </c>
      <c r="F2956" s="67">
        <v>1</v>
      </c>
      <c r="G2956" s="102">
        <v>1535</v>
      </c>
      <c r="H2956" s="56" t="s">
        <v>80</v>
      </c>
      <c r="K2956" s="56">
        <v>835</v>
      </c>
      <c r="L2956" s="55" t="s">
        <v>176</v>
      </c>
      <c r="M2956" s="55" t="s">
        <v>2824</v>
      </c>
      <c r="N2956" s="4" t="s">
        <v>177</v>
      </c>
      <c r="O2956" s="55" t="s">
        <v>533</v>
      </c>
    </row>
    <row r="2957" spans="2:15">
      <c r="B2957" s="20">
        <v>45400</v>
      </c>
      <c r="C2957" s="59">
        <v>50470190</v>
      </c>
      <c r="D2957" s="55" t="s">
        <v>12</v>
      </c>
      <c r="E2957" s="67">
        <v>289800</v>
      </c>
      <c r="F2957" s="67">
        <v>16</v>
      </c>
      <c r="G2957" s="102">
        <v>4636800</v>
      </c>
      <c r="H2957" s="56" t="s">
        <v>92</v>
      </c>
      <c r="K2957" s="56">
        <v>835</v>
      </c>
      <c r="L2957" s="55" t="s">
        <v>176</v>
      </c>
      <c r="M2957" s="55" t="s">
        <v>2824</v>
      </c>
      <c r="N2957" s="4" t="s">
        <v>177</v>
      </c>
      <c r="O2957" s="55" t="s">
        <v>533</v>
      </c>
    </row>
    <row r="2958" spans="2:15">
      <c r="B2958" s="20">
        <v>45401</v>
      </c>
      <c r="C2958" s="59">
        <v>50144376</v>
      </c>
      <c r="D2958" s="55" t="s">
        <v>19</v>
      </c>
      <c r="E2958" s="67">
        <v>500</v>
      </c>
      <c r="G2958" s="102">
        <v>4500</v>
      </c>
      <c r="H2958" s="56" t="s">
        <v>92</v>
      </c>
      <c r="K2958" s="56">
        <v>826</v>
      </c>
      <c r="L2958" s="55" t="s">
        <v>416</v>
      </c>
      <c r="M2958" s="55" t="s">
        <v>416</v>
      </c>
      <c r="N2958" s="4" t="s">
        <v>417</v>
      </c>
      <c r="O2958" s="55" t="s">
        <v>178</v>
      </c>
    </row>
    <row r="2959" spans="2:15">
      <c r="B2959" s="20">
        <v>45401</v>
      </c>
      <c r="C2959" s="59">
        <v>50145028</v>
      </c>
      <c r="D2959" s="55" t="s">
        <v>23</v>
      </c>
      <c r="E2959" s="67">
        <v>192</v>
      </c>
      <c r="G2959" s="102">
        <v>768</v>
      </c>
      <c r="H2959" s="56" t="s">
        <v>92</v>
      </c>
      <c r="K2959" s="56">
        <v>836</v>
      </c>
      <c r="L2959" s="55" t="s">
        <v>416</v>
      </c>
      <c r="M2959" s="55" t="s">
        <v>416</v>
      </c>
      <c r="N2959" s="4" t="s">
        <v>417</v>
      </c>
      <c r="O2959" s="55" t="s">
        <v>178</v>
      </c>
    </row>
    <row r="2960" spans="2:15">
      <c r="B2960" s="20">
        <v>45401</v>
      </c>
      <c r="C2960" s="59">
        <v>50272278</v>
      </c>
      <c r="D2960" s="55" t="s">
        <v>21</v>
      </c>
      <c r="E2960" s="67">
        <v>500</v>
      </c>
      <c r="G2960" s="102">
        <v>600</v>
      </c>
      <c r="H2960" s="56" t="s">
        <v>92</v>
      </c>
      <c r="K2960" s="56">
        <v>836</v>
      </c>
      <c r="L2960" s="55" t="s">
        <v>416</v>
      </c>
      <c r="M2960" s="55" t="s">
        <v>416</v>
      </c>
      <c r="N2960" s="4" t="s">
        <v>417</v>
      </c>
      <c r="O2960" s="55" t="s">
        <v>178</v>
      </c>
    </row>
    <row r="2961" spans="2:15">
      <c r="B2961" s="20">
        <v>45401</v>
      </c>
      <c r="C2961" s="59">
        <v>50144376</v>
      </c>
      <c r="D2961" s="55" t="s">
        <v>19</v>
      </c>
      <c r="E2961" s="67">
        <v>500</v>
      </c>
      <c r="G2961" s="102">
        <v>11000</v>
      </c>
      <c r="H2961" s="56" t="s">
        <v>92</v>
      </c>
      <c r="K2961" s="56">
        <v>837</v>
      </c>
      <c r="L2961" s="55" t="s">
        <v>176</v>
      </c>
      <c r="M2961" s="55" t="s">
        <v>2824</v>
      </c>
      <c r="N2961" s="4" t="s">
        <v>177</v>
      </c>
      <c r="O2961" s="55" t="s">
        <v>178</v>
      </c>
    </row>
    <row r="2962" spans="2:15">
      <c r="B2962" s="20">
        <v>45404</v>
      </c>
      <c r="C2962" s="59">
        <v>50143893</v>
      </c>
      <c r="D2962" s="55" t="s">
        <v>24</v>
      </c>
      <c r="E2962" s="67">
        <v>990</v>
      </c>
      <c r="G2962" s="102">
        <v>2970</v>
      </c>
      <c r="H2962" s="56" t="s">
        <v>92</v>
      </c>
      <c r="K2962" s="56">
        <v>838</v>
      </c>
      <c r="L2962" s="55" t="s">
        <v>176</v>
      </c>
      <c r="M2962" s="55" t="s">
        <v>2824</v>
      </c>
      <c r="N2962" s="4" t="s">
        <v>177</v>
      </c>
      <c r="O2962" s="55" t="s">
        <v>178</v>
      </c>
    </row>
    <row r="2963" spans="2:15">
      <c r="B2963" s="20">
        <v>45404</v>
      </c>
      <c r="C2963" s="59">
        <v>50142281</v>
      </c>
      <c r="D2963" s="55" t="s">
        <v>204</v>
      </c>
      <c r="E2963" s="67">
        <v>450</v>
      </c>
      <c r="G2963" s="102">
        <v>1800</v>
      </c>
      <c r="H2963" s="56" t="s">
        <v>82</v>
      </c>
      <c r="K2963" s="56">
        <v>838</v>
      </c>
      <c r="L2963" s="55" t="s">
        <v>176</v>
      </c>
      <c r="M2963" s="55" t="s">
        <v>2824</v>
      </c>
      <c r="N2963" s="4" t="s">
        <v>177</v>
      </c>
      <c r="O2963" s="55" t="s">
        <v>178</v>
      </c>
    </row>
    <row r="2964" spans="2:15">
      <c r="B2964" s="20">
        <v>45404</v>
      </c>
      <c r="C2964" s="59">
        <v>40011080</v>
      </c>
      <c r="D2964" s="55" t="s">
        <v>420</v>
      </c>
      <c r="E2964" s="67">
        <v>450</v>
      </c>
      <c r="G2964" s="102">
        <v>1350</v>
      </c>
      <c r="H2964" s="56" t="s">
        <v>80</v>
      </c>
      <c r="K2964" s="56">
        <v>838</v>
      </c>
      <c r="L2964" s="55" t="s">
        <v>176</v>
      </c>
      <c r="M2964" s="55" t="s">
        <v>2824</v>
      </c>
      <c r="N2964" s="4" t="s">
        <v>177</v>
      </c>
      <c r="O2964" s="55" t="s">
        <v>178</v>
      </c>
    </row>
    <row r="2965" spans="2:15">
      <c r="B2965" s="20">
        <v>45404</v>
      </c>
      <c r="C2965" s="59">
        <v>50802401</v>
      </c>
      <c r="D2965" s="55" t="s">
        <v>13</v>
      </c>
      <c r="E2965" s="67">
        <v>289800</v>
      </c>
      <c r="G2965" s="102">
        <v>2898000</v>
      </c>
      <c r="H2965" s="56" t="s">
        <v>92</v>
      </c>
      <c r="K2965" s="56">
        <v>838</v>
      </c>
      <c r="L2965" s="55" t="s">
        <v>176</v>
      </c>
      <c r="M2965" s="55" t="s">
        <v>2824</v>
      </c>
      <c r="N2965" s="4" t="s">
        <v>177</v>
      </c>
      <c r="O2965" s="55" t="s">
        <v>178</v>
      </c>
    </row>
    <row r="2966" spans="2:15">
      <c r="B2966" s="20">
        <v>45404</v>
      </c>
      <c r="C2966" s="59">
        <v>50141786</v>
      </c>
      <c r="D2966" s="55" t="s">
        <v>188</v>
      </c>
      <c r="E2966" s="67">
        <v>560</v>
      </c>
      <c r="G2966" s="102">
        <v>11200</v>
      </c>
      <c r="H2966" s="56" t="s">
        <v>82</v>
      </c>
      <c r="K2966" s="56">
        <v>839</v>
      </c>
      <c r="L2966" s="55" t="s">
        <v>176</v>
      </c>
      <c r="M2966" s="55" t="s">
        <v>2824</v>
      </c>
      <c r="N2966" s="4" t="s">
        <v>177</v>
      </c>
      <c r="O2966" s="55" t="s">
        <v>178</v>
      </c>
    </row>
    <row r="2967" spans="2:15">
      <c r="B2967" s="20">
        <v>45406</v>
      </c>
      <c r="C2967" s="59">
        <v>50804970</v>
      </c>
      <c r="D2967" s="55" t="s">
        <v>857</v>
      </c>
      <c r="E2967" s="67">
        <v>2090000</v>
      </c>
      <c r="G2967" s="102">
        <v>2090000</v>
      </c>
      <c r="H2967" s="56" t="s">
        <v>92</v>
      </c>
      <c r="K2967" s="56">
        <v>840</v>
      </c>
      <c r="L2967" s="55" t="s">
        <v>176</v>
      </c>
      <c r="M2967" s="55" t="s">
        <v>2824</v>
      </c>
      <c r="N2967" s="4" t="s">
        <v>177</v>
      </c>
      <c r="O2967" s="55" t="s">
        <v>178</v>
      </c>
    </row>
    <row r="2968" spans="2:15">
      <c r="B2968" s="20">
        <v>45406</v>
      </c>
      <c r="C2968" s="59">
        <v>50804971</v>
      </c>
      <c r="D2968" s="55" t="s">
        <v>855</v>
      </c>
      <c r="E2968" s="67">
        <v>73000</v>
      </c>
      <c r="G2968" s="102">
        <v>730000</v>
      </c>
      <c r="H2968" s="56" t="s">
        <v>92</v>
      </c>
      <c r="K2968" s="56">
        <v>840</v>
      </c>
      <c r="L2968" s="55" t="s">
        <v>176</v>
      </c>
      <c r="M2968" s="55" t="s">
        <v>2824</v>
      </c>
      <c r="N2968" s="4" t="s">
        <v>177</v>
      </c>
      <c r="O2968" s="55" t="s">
        <v>178</v>
      </c>
    </row>
    <row r="2969" spans="2:15">
      <c r="B2969" s="20">
        <v>45406</v>
      </c>
      <c r="C2969" s="59">
        <v>50804929</v>
      </c>
      <c r="D2969" s="55" t="s">
        <v>856</v>
      </c>
      <c r="E2969" s="67">
        <v>504000</v>
      </c>
      <c r="G2969" s="102">
        <v>1512000</v>
      </c>
      <c r="H2969" s="56" t="s">
        <v>92</v>
      </c>
      <c r="K2969" s="56">
        <v>840</v>
      </c>
      <c r="L2969" s="55" t="s">
        <v>176</v>
      </c>
      <c r="M2969" s="55" t="s">
        <v>2824</v>
      </c>
      <c r="N2969" s="4" t="s">
        <v>177</v>
      </c>
      <c r="O2969" s="55" t="s">
        <v>178</v>
      </c>
    </row>
    <row r="2970" spans="2:15">
      <c r="B2970" s="20">
        <v>45406</v>
      </c>
      <c r="C2970" s="59">
        <v>50272278</v>
      </c>
      <c r="D2970" s="55" t="s">
        <v>21</v>
      </c>
      <c r="E2970" s="67">
        <v>500</v>
      </c>
      <c r="G2970" s="102">
        <v>5000</v>
      </c>
      <c r="H2970" s="56" t="s">
        <v>92</v>
      </c>
      <c r="K2970" s="56">
        <v>840</v>
      </c>
      <c r="L2970" s="55" t="s">
        <v>176</v>
      </c>
      <c r="M2970" s="55" t="s">
        <v>2824</v>
      </c>
      <c r="N2970" s="4" t="s">
        <v>177</v>
      </c>
      <c r="O2970" s="55" t="s">
        <v>178</v>
      </c>
    </row>
    <row r="2971" spans="2:15">
      <c r="B2971" s="20">
        <v>45406</v>
      </c>
      <c r="C2971" s="59">
        <v>50145187</v>
      </c>
      <c r="D2971" s="55" t="s">
        <v>465</v>
      </c>
      <c r="E2971" s="67">
        <v>264</v>
      </c>
      <c r="G2971" s="102">
        <v>264000</v>
      </c>
      <c r="H2971" s="56" t="s">
        <v>92</v>
      </c>
      <c r="K2971" s="56">
        <v>840</v>
      </c>
      <c r="L2971" s="55" t="s">
        <v>176</v>
      </c>
      <c r="M2971" s="55" t="s">
        <v>2824</v>
      </c>
      <c r="N2971" s="4" t="s">
        <v>177</v>
      </c>
      <c r="O2971" s="55" t="s">
        <v>178</v>
      </c>
    </row>
    <row r="2972" spans="2:15">
      <c r="B2972" s="20">
        <v>45406</v>
      </c>
      <c r="C2972" s="59">
        <v>40011588</v>
      </c>
      <c r="D2972" s="55" t="s">
        <v>585</v>
      </c>
      <c r="E2972" s="67">
        <v>450</v>
      </c>
      <c r="G2972" s="102">
        <v>900</v>
      </c>
      <c r="H2972" s="56" t="s">
        <v>80</v>
      </c>
      <c r="K2972" s="56">
        <v>840</v>
      </c>
      <c r="L2972" s="55" t="s">
        <v>176</v>
      </c>
      <c r="M2972" s="55" t="s">
        <v>2824</v>
      </c>
      <c r="N2972" s="4" t="s">
        <v>177</v>
      </c>
      <c r="O2972" s="55" t="s">
        <v>178</v>
      </c>
    </row>
    <row r="2973" spans="2:15">
      <c r="B2973" s="20">
        <v>45406</v>
      </c>
      <c r="C2973" s="59">
        <v>50809144</v>
      </c>
      <c r="D2973" s="55" t="s">
        <v>989</v>
      </c>
      <c r="E2973" s="67">
        <v>456</v>
      </c>
      <c r="G2973" s="102">
        <v>2058.9</v>
      </c>
      <c r="H2973" s="56" t="s">
        <v>82</v>
      </c>
      <c r="K2973" s="56">
        <v>840</v>
      </c>
      <c r="L2973" s="55" t="s">
        <v>176</v>
      </c>
      <c r="M2973" s="55" t="s">
        <v>2824</v>
      </c>
      <c r="N2973" s="4" t="s">
        <v>177</v>
      </c>
      <c r="O2973" s="55" t="s">
        <v>178</v>
      </c>
    </row>
    <row r="2974" spans="2:15">
      <c r="B2974" s="20">
        <v>45407</v>
      </c>
      <c r="C2974" s="59">
        <v>50470190</v>
      </c>
      <c r="D2974" s="55" t="s">
        <v>12</v>
      </c>
      <c r="E2974" s="67">
        <v>289800</v>
      </c>
      <c r="G2974" s="102">
        <v>5216400</v>
      </c>
      <c r="H2974" s="56" t="s">
        <v>92</v>
      </c>
      <c r="K2974" s="56">
        <v>841</v>
      </c>
      <c r="L2974" s="55" t="s">
        <v>176</v>
      </c>
      <c r="M2974" s="55" t="s">
        <v>2824</v>
      </c>
      <c r="N2974" s="4" t="s">
        <v>177</v>
      </c>
      <c r="O2974" s="55" t="s">
        <v>178</v>
      </c>
    </row>
    <row r="2975" spans="2:15">
      <c r="B2975" s="20">
        <v>45407</v>
      </c>
      <c r="C2975" s="59">
        <v>50010080</v>
      </c>
      <c r="D2975" s="55" t="s">
        <v>354</v>
      </c>
      <c r="E2975" s="67">
        <v>1000</v>
      </c>
      <c r="G2975" s="102">
        <v>6000</v>
      </c>
      <c r="H2975" s="56" t="s">
        <v>82</v>
      </c>
      <c r="K2975" s="56">
        <v>842</v>
      </c>
      <c r="L2975" s="55" t="s">
        <v>176</v>
      </c>
      <c r="M2975" s="55" t="s">
        <v>2824</v>
      </c>
      <c r="N2975" s="4" t="s">
        <v>177</v>
      </c>
      <c r="O2975" s="55" t="s">
        <v>178</v>
      </c>
    </row>
    <row r="2976" spans="2:15">
      <c r="B2976" s="20">
        <v>45407</v>
      </c>
      <c r="C2976" s="59">
        <v>50272278</v>
      </c>
      <c r="D2976" s="55" t="s">
        <v>21</v>
      </c>
      <c r="E2976" s="67">
        <v>500</v>
      </c>
      <c r="G2976" s="102">
        <v>1500</v>
      </c>
      <c r="H2976" s="56" t="s">
        <v>92</v>
      </c>
      <c r="K2976" s="56">
        <v>842</v>
      </c>
      <c r="L2976" s="55" t="s">
        <v>176</v>
      </c>
      <c r="M2976" s="55" t="s">
        <v>2824</v>
      </c>
      <c r="N2976" s="4" t="s">
        <v>177</v>
      </c>
      <c r="O2976" s="55" t="s">
        <v>178</v>
      </c>
    </row>
    <row r="2977" spans="2:15">
      <c r="B2977" s="20">
        <v>45407</v>
      </c>
      <c r="C2977" s="59">
        <v>50793278</v>
      </c>
      <c r="D2977" s="55" t="s">
        <v>1086</v>
      </c>
      <c r="E2977" s="67">
        <v>10</v>
      </c>
      <c r="G2977" s="102">
        <v>40</v>
      </c>
      <c r="H2977" s="56" t="s">
        <v>1087</v>
      </c>
      <c r="K2977" s="56">
        <v>842</v>
      </c>
      <c r="L2977" s="55" t="s">
        <v>176</v>
      </c>
      <c r="M2977" s="55" t="s">
        <v>2824</v>
      </c>
      <c r="N2977" s="4" t="s">
        <v>177</v>
      </c>
      <c r="O2977" s="55" t="s">
        <v>178</v>
      </c>
    </row>
    <row r="2978" spans="2:15">
      <c r="B2978" s="20">
        <v>45407</v>
      </c>
      <c r="C2978" s="59">
        <v>50142327</v>
      </c>
      <c r="D2978" s="55" t="s">
        <v>256</v>
      </c>
      <c r="E2978" s="67">
        <v>476.6</v>
      </c>
      <c r="G2978" s="102">
        <v>1430.1</v>
      </c>
      <c r="H2978" s="56" t="s">
        <v>82</v>
      </c>
      <c r="K2978" s="56">
        <v>842</v>
      </c>
      <c r="L2978" s="55" t="s">
        <v>176</v>
      </c>
      <c r="M2978" s="55" t="s">
        <v>2824</v>
      </c>
      <c r="N2978" s="4" t="s">
        <v>177</v>
      </c>
      <c r="O2978" s="55" t="s">
        <v>178</v>
      </c>
    </row>
    <row r="2979" spans="2:15">
      <c r="B2979" s="20">
        <v>45407</v>
      </c>
      <c r="C2979" s="59">
        <v>50142334</v>
      </c>
      <c r="D2979" s="55" t="s">
        <v>257</v>
      </c>
      <c r="E2979" s="67">
        <v>681</v>
      </c>
      <c r="G2979" s="102">
        <v>2724</v>
      </c>
      <c r="H2979" s="56" t="s">
        <v>82</v>
      </c>
      <c r="K2979" s="56">
        <v>842</v>
      </c>
      <c r="L2979" s="55" t="s">
        <v>176</v>
      </c>
      <c r="M2979" s="55" t="s">
        <v>2824</v>
      </c>
      <c r="N2979" s="4" t="s">
        <v>177</v>
      </c>
      <c r="O2979" s="55" t="s">
        <v>178</v>
      </c>
    </row>
    <row r="2980" spans="2:15">
      <c r="B2980" s="20">
        <v>45407</v>
      </c>
      <c r="C2980" s="59">
        <v>50142631</v>
      </c>
      <c r="D2980" s="55" t="s">
        <v>566</v>
      </c>
      <c r="E2980" s="67">
        <v>1500</v>
      </c>
      <c r="G2980" s="102">
        <v>1500</v>
      </c>
      <c r="H2980" s="56" t="s">
        <v>82</v>
      </c>
      <c r="K2980" s="56">
        <v>843</v>
      </c>
      <c r="L2980" s="55" t="s">
        <v>176</v>
      </c>
      <c r="M2980" s="55" t="s">
        <v>2824</v>
      </c>
      <c r="N2980" s="4" t="s">
        <v>177</v>
      </c>
      <c r="O2980" s="55" t="s">
        <v>178</v>
      </c>
    </row>
    <row r="2981" spans="2:15">
      <c r="B2981" s="20">
        <v>45407</v>
      </c>
      <c r="C2981" s="59">
        <v>50144376</v>
      </c>
      <c r="D2981" s="55" t="s">
        <v>19</v>
      </c>
      <c r="E2981" s="67">
        <v>500</v>
      </c>
      <c r="G2981" s="102">
        <v>5500</v>
      </c>
      <c r="H2981" s="56" t="s">
        <v>92</v>
      </c>
      <c r="K2981" s="56">
        <v>843</v>
      </c>
      <c r="L2981" s="55" t="s">
        <v>176</v>
      </c>
      <c r="M2981" s="55" t="s">
        <v>2824</v>
      </c>
      <c r="N2981" s="4" t="s">
        <v>177</v>
      </c>
      <c r="O2981" s="55" t="s">
        <v>178</v>
      </c>
    </row>
    <row r="2982" spans="2:15">
      <c r="B2982" s="20">
        <v>45407</v>
      </c>
      <c r="C2982" s="59">
        <v>50142237</v>
      </c>
      <c r="D2982" s="55" t="s">
        <v>617</v>
      </c>
      <c r="E2982" s="67">
        <v>1000</v>
      </c>
      <c r="G2982" s="102">
        <v>10000</v>
      </c>
      <c r="H2982" s="56" t="s">
        <v>92</v>
      </c>
      <c r="K2982" s="56">
        <v>843</v>
      </c>
      <c r="L2982" s="55" t="s">
        <v>176</v>
      </c>
      <c r="M2982" s="55" t="s">
        <v>2824</v>
      </c>
      <c r="N2982" s="4" t="s">
        <v>177</v>
      </c>
      <c r="O2982" s="55" t="s">
        <v>178</v>
      </c>
    </row>
    <row r="2983" spans="2:15">
      <c r="B2983" s="20">
        <v>45407</v>
      </c>
      <c r="C2983" s="59">
        <v>50145029</v>
      </c>
      <c r="D2983" s="55" t="s">
        <v>705</v>
      </c>
      <c r="E2983" s="67">
        <v>12</v>
      </c>
      <c r="G2983" s="102">
        <v>12</v>
      </c>
      <c r="H2983" s="56" t="s">
        <v>505</v>
      </c>
      <c r="K2983" s="56">
        <v>843</v>
      </c>
      <c r="L2983" s="55" t="s">
        <v>176</v>
      </c>
      <c r="M2983" s="55" t="s">
        <v>2824</v>
      </c>
      <c r="N2983" s="4" t="s">
        <v>177</v>
      </c>
      <c r="O2983" s="55" t="s">
        <v>178</v>
      </c>
    </row>
    <row r="2984" spans="2:15">
      <c r="B2984" s="20">
        <v>45407</v>
      </c>
      <c r="C2984" s="59">
        <v>50392045</v>
      </c>
      <c r="D2984" s="55" t="s">
        <v>707</v>
      </c>
      <c r="E2984" s="67">
        <v>24</v>
      </c>
      <c r="G2984" s="102">
        <v>24</v>
      </c>
      <c r="H2984" s="56" t="s">
        <v>505</v>
      </c>
      <c r="K2984" s="56">
        <v>843</v>
      </c>
      <c r="L2984" s="55" t="s">
        <v>176</v>
      </c>
      <c r="M2984" s="55" t="s">
        <v>2824</v>
      </c>
      <c r="N2984" s="4" t="s">
        <v>177</v>
      </c>
      <c r="O2984" s="55" t="s">
        <v>178</v>
      </c>
    </row>
    <row r="2985" spans="2:15">
      <c r="B2985" s="20">
        <v>45407</v>
      </c>
      <c r="C2985" s="59">
        <v>50802401</v>
      </c>
      <c r="D2985" s="55" t="s">
        <v>13</v>
      </c>
      <c r="E2985" s="67">
        <v>289800</v>
      </c>
      <c r="G2985" s="102">
        <v>1738800</v>
      </c>
      <c r="H2985" s="56" t="s">
        <v>92</v>
      </c>
      <c r="K2985" s="56">
        <v>843</v>
      </c>
      <c r="L2985" s="55" t="s">
        <v>176</v>
      </c>
      <c r="M2985" s="55" t="s">
        <v>2824</v>
      </c>
      <c r="N2985" s="4" t="s">
        <v>177</v>
      </c>
      <c r="O2985" s="55" t="s">
        <v>178</v>
      </c>
    </row>
    <row r="2986" spans="2:15">
      <c r="B2986" s="20">
        <v>45407</v>
      </c>
      <c r="C2986" s="59">
        <v>50145012</v>
      </c>
      <c r="D2986" s="55" t="s">
        <v>504</v>
      </c>
      <c r="E2986" s="67">
        <v>12</v>
      </c>
      <c r="G2986" s="102">
        <v>12</v>
      </c>
      <c r="H2986" s="56" t="s">
        <v>505</v>
      </c>
      <c r="K2986" s="56">
        <v>843</v>
      </c>
      <c r="L2986" s="55" t="s">
        <v>176</v>
      </c>
      <c r="M2986" s="55" t="s">
        <v>2824</v>
      </c>
      <c r="N2986" s="4" t="s">
        <v>177</v>
      </c>
      <c r="O2986" s="55" t="s">
        <v>178</v>
      </c>
    </row>
    <row r="2987" spans="2:15">
      <c r="B2987" s="20">
        <v>45407</v>
      </c>
      <c r="C2987" s="59">
        <v>50392046</v>
      </c>
      <c r="D2987" s="55" t="s">
        <v>509</v>
      </c>
      <c r="E2987" s="67">
        <v>12</v>
      </c>
      <c r="G2987" s="102">
        <v>12</v>
      </c>
      <c r="H2987" s="99" t="s">
        <v>505</v>
      </c>
      <c r="K2987" s="56">
        <v>843</v>
      </c>
      <c r="L2987" s="55" t="s">
        <v>176</v>
      </c>
      <c r="M2987" s="55" t="s">
        <v>2824</v>
      </c>
      <c r="N2987" s="4" t="s">
        <v>177</v>
      </c>
      <c r="O2987" s="55" t="s">
        <v>178</v>
      </c>
    </row>
    <row r="2988" spans="2:15">
      <c r="B2988" s="20">
        <v>45408</v>
      </c>
      <c r="C2988" s="59">
        <v>50551885</v>
      </c>
      <c r="D2988" s="55" t="s">
        <v>1251</v>
      </c>
      <c r="E2988" s="67">
        <v>720000</v>
      </c>
      <c r="G2988" s="102">
        <v>720000</v>
      </c>
      <c r="H2988" s="56" t="s">
        <v>92</v>
      </c>
      <c r="K2988" s="56">
        <v>117</v>
      </c>
      <c r="L2988" s="55" t="s">
        <v>176</v>
      </c>
      <c r="M2988" s="55" t="s">
        <v>2824</v>
      </c>
      <c r="N2988" s="4" t="s">
        <v>177</v>
      </c>
      <c r="O2988" s="55" t="s">
        <v>178</v>
      </c>
    </row>
    <row r="2989" spans="2:15">
      <c r="B2989" s="20">
        <v>45408</v>
      </c>
      <c r="C2989" s="59">
        <v>50144376</v>
      </c>
      <c r="D2989" s="55" t="s">
        <v>19</v>
      </c>
      <c r="E2989" s="67">
        <v>500</v>
      </c>
      <c r="G2989" s="102">
        <v>6000</v>
      </c>
      <c r="H2989" s="56" t="s">
        <v>92</v>
      </c>
      <c r="K2989" s="56">
        <v>117</v>
      </c>
      <c r="L2989" s="55" t="s">
        <v>176</v>
      </c>
      <c r="M2989" s="55" t="s">
        <v>2824</v>
      </c>
      <c r="N2989" s="4" t="s">
        <v>177</v>
      </c>
      <c r="O2989" s="55" t="s">
        <v>178</v>
      </c>
    </row>
    <row r="2990" spans="2:15">
      <c r="B2990" s="20">
        <v>45408</v>
      </c>
      <c r="C2990" s="59">
        <v>50272278</v>
      </c>
      <c r="D2990" s="55" t="s">
        <v>21</v>
      </c>
      <c r="E2990" s="67">
        <v>500</v>
      </c>
      <c r="G2990" s="102">
        <v>3500</v>
      </c>
      <c r="H2990" s="56" t="s">
        <v>92</v>
      </c>
      <c r="K2990" s="56">
        <v>117</v>
      </c>
      <c r="L2990" s="55" t="s">
        <v>176</v>
      </c>
      <c r="M2990" s="55" t="s">
        <v>2824</v>
      </c>
      <c r="N2990" s="4" t="s">
        <v>177</v>
      </c>
      <c r="O2990" s="55" t="s">
        <v>178</v>
      </c>
    </row>
    <row r="2991" spans="2:15">
      <c r="B2991" s="20">
        <v>45408</v>
      </c>
      <c r="C2991" s="59">
        <v>50818947</v>
      </c>
      <c r="D2991" s="55" t="s">
        <v>1174</v>
      </c>
      <c r="E2991" s="67">
        <v>500000</v>
      </c>
      <c r="G2991" s="102">
        <v>1000000</v>
      </c>
      <c r="H2991" s="56" t="s">
        <v>92</v>
      </c>
      <c r="K2991" s="56">
        <v>118</v>
      </c>
      <c r="L2991" s="55" t="s">
        <v>176</v>
      </c>
      <c r="M2991" s="55" t="s">
        <v>2824</v>
      </c>
      <c r="N2991" s="4" t="s">
        <v>177</v>
      </c>
      <c r="O2991" s="55" t="s">
        <v>178</v>
      </c>
    </row>
    <row r="2992" spans="2:15">
      <c r="B2992" s="20">
        <v>45408</v>
      </c>
      <c r="C2992" s="59">
        <v>50534881</v>
      </c>
      <c r="D2992" s="55" t="s">
        <v>227</v>
      </c>
      <c r="E2992" s="67">
        <v>9000</v>
      </c>
      <c r="G2992" s="102">
        <v>81000</v>
      </c>
      <c r="H2992" s="56" t="s">
        <v>92</v>
      </c>
      <c r="K2992" s="56">
        <v>118</v>
      </c>
      <c r="L2992" s="55" t="s">
        <v>176</v>
      </c>
      <c r="M2992" s="55" t="s">
        <v>2824</v>
      </c>
      <c r="N2992" s="4" t="s">
        <v>177</v>
      </c>
      <c r="O2992" s="55" t="s">
        <v>178</v>
      </c>
    </row>
    <row r="2993" spans="2:15">
      <c r="B2993" s="20">
        <v>45408</v>
      </c>
      <c r="C2993" s="59">
        <v>50799770</v>
      </c>
      <c r="D2993" s="55" t="s">
        <v>17</v>
      </c>
      <c r="E2993" s="67">
        <v>500</v>
      </c>
      <c r="G2993" s="102">
        <v>6500</v>
      </c>
      <c r="H2993" s="56" t="s">
        <v>92</v>
      </c>
      <c r="K2993" s="56">
        <v>844</v>
      </c>
      <c r="L2993" s="55" t="s">
        <v>326</v>
      </c>
      <c r="M2993" s="55" t="s">
        <v>326</v>
      </c>
      <c r="N2993" s="4" t="s">
        <v>327</v>
      </c>
      <c r="O2993" s="55" t="s">
        <v>178</v>
      </c>
    </row>
    <row r="2994" spans="2:15">
      <c r="B2994" s="20">
        <v>45411</v>
      </c>
      <c r="C2994" s="59">
        <v>50814629</v>
      </c>
      <c r="D2994" s="55" t="s">
        <v>1226</v>
      </c>
      <c r="E2994" s="67">
        <v>456</v>
      </c>
      <c r="G2994" s="102">
        <v>1173.05</v>
      </c>
      <c r="H2994" s="56" t="s">
        <v>82</v>
      </c>
      <c r="K2994" s="56">
        <v>845</v>
      </c>
      <c r="L2994" s="55" t="s">
        <v>176</v>
      </c>
      <c r="M2994" s="55" t="s">
        <v>2824</v>
      </c>
      <c r="N2994" s="4" t="s">
        <v>177</v>
      </c>
      <c r="O2994" s="55" t="s">
        <v>178</v>
      </c>
    </row>
    <row r="2995" spans="2:15">
      <c r="B2995" s="20">
        <v>45411</v>
      </c>
      <c r="C2995" s="59">
        <v>40010087</v>
      </c>
      <c r="D2995" s="55" t="s">
        <v>387</v>
      </c>
      <c r="E2995" s="67">
        <v>864</v>
      </c>
      <c r="G2995" s="102">
        <v>3456</v>
      </c>
      <c r="H2995" s="56" t="s">
        <v>80</v>
      </c>
      <c r="K2995" s="56">
        <v>845</v>
      </c>
      <c r="L2995" s="55" t="s">
        <v>176</v>
      </c>
      <c r="M2995" s="55" t="s">
        <v>2824</v>
      </c>
      <c r="N2995" s="4" t="s">
        <v>177</v>
      </c>
      <c r="O2995" s="55" t="s">
        <v>178</v>
      </c>
    </row>
    <row r="2996" spans="2:15">
      <c r="B2996" s="20">
        <v>45411</v>
      </c>
      <c r="C2996" s="59">
        <v>50272278</v>
      </c>
      <c r="D2996" s="55" t="s">
        <v>21</v>
      </c>
      <c r="E2996" s="67">
        <v>500</v>
      </c>
      <c r="G2996" s="102">
        <v>8000</v>
      </c>
      <c r="H2996" s="56" t="s">
        <v>92</v>
      </c>
      <c r="K2996" s="56">
        <v>845</v>
      </c>
      <c r="L2996" s="55" t="s">
        <v>176</v>
      </c>
      <c r="M2996" s="55" t="s">
        <v>2824</v>
      </c>
      <c r="N2996" s="4" t="s">
        <v>177</v>
      </c>
      <c r="O2996" s="55" t="s">
        <v>178</v>
      </c>
    </row>
    <row r="2997" spans="2:15">
      <c r="B2997" s="20">
        <v>45411</v>
      </c>
      <c r="C2997" s="59">
        <v>40011148</v>
      </c>
      <c r="D2997" s="55" t="s">
        <v>86</v>
      </c>
      <c r="E2997" s="67">
        <v>450</v>
      </c>
      <c r="G2997" s="102">
        <v>450</v>
      </c>
      <c r="H2997" s="56" t="s">
        <v>80</v>
      </c>
      <c r="K2997" s="56">
        <v>845</v>
      </c>
      <c r="L2997" s="55" t="s">
        <v>176</v>
      </c>
      <c r="M2997" s="55" t="s">
        <v>2824</v>
      </c>
      <c r="N2997" s="4" t="s">
        <v>177</v>
      </c>
      <c r="O2997" s="55" t="s">
        <v>178</v>
      </c>
    </row>
    <row r="2998" spans="2:15">
      <c r="B2998" s="20">
        <v>45411</v>
      </c>
      <c r="C2998" s="59">
        <v>50337814</v>
      </c>
      <c r="D2998" s="55" t="s">
        <v>669</v>
      </c>
      <c r="E2998" s="67">
        <v>264</v>
      </c>
      <c r="G2998" s="102">
        <v>528</v>
      </c>
      <c r="H2998" s="56" t="s">
        <v>80</v>
      </c>
      <c r="K2998" s="56">
        <v>845</v>
      </c>
      <c r="L2998" s="55" t="s">
        <v>176</v>
      </c>
      <c r="M2998" s="55" t="s">
        <v>2824</v>
      </c>
      <c r="N2998" s="4" t="s">
        <v>177</v>
      </c>
      <c r="O2998" s="55" t="s">
        <v>178</v>
      </c>
    </row>
    <row r="2999" spans="2:15">
      <c r="B2999" s="20">
        <v>45414</v>
      </c>
      <c r="C2999" s="59">
        <v>50809147</v>
      </c>
      <c r="D2999" s="55" t="s">
        <v>930</v>
      </c>
      <c r="E2999" s="67">
        <v>456</v>
      </c>
      <c r="G2999" s="102">
        <v>3196.6</v>
      </c>
      <c r="H2999" s="56" t="s">
        <v>82</v>
      </c>
      <c r="K2999" s="56">
        <v>846</v>
      </c>
      <c r="L2999" s="55" t="s">
        <v>176</v>
      </c>
      <c r="M2999" s="55" t="s">
        <v>2824</v>
      </c>
      <c r="N2999" s="4" t="s">
        <v>177</v>
      </c>
      <c r="O2999" s="55" t="s">
        <v>178</v>
      </c>
    </row>
    <row r="3000" spans="2:15">
      <c r="B3000" s="20">
        <v>45414</v>
      </c>
      <c r="C3000" s="59">
        <v>50813995</v>
      </c>
      <c r="D3000" s="69" t="s">
        <v>960</v>
      </c>
      <c r="E3000" s="67">
        <v>564</v>
      </c>
      <c r="G3000" s="102">
        <v>4870.7</v>
      </c>
      <c r="H3000" s="56" t="s">
        <v>82</v>
      </c>
      <c r="K3000" s="56">
        <v>846</v>
      </c>
      <c r="L3000" s="55" t="s">
        <v>176</v>
      </c>
      <c r="M3000" s="55" t="s">
        <v>2824</v>
      </c>
      <c r="N3000" s="4" t="s">
        <v>177</v>
      </c>
      <c r="O3000" s="55" t="s">
        <v>178</v>
      </c>
    </row>
    <row r="3001" spans="2:15">
      <c r="B3001" s="20">
        <v>45414</v>
      </c>
      <c r="C3001" s="59">
        <v>50498271</v>
      </c>
      <c r="D3001" s="55" t="s">
        <v>1025</v>
      </c>
      <c r="E3001" s="67">
        <v>654</v>
      </c>
      <c r="G3001" s="102">
        <v>2860.15</v>
      </c>
      <c r="H3001" s="56" t="s">
        <v>82</v>
      </c>
      <c r="K3001" s="56">
        <v>846</v>
      </c>
      <c r="L3001" s="55" t="s">
        <v>176</v>
      </c>
      <c r="M3001" s="55" t="s">
        <v>2824</v>
      </c>
      <c r="N3001" s="4" t="s">
        <v>177</v>
      </c>
      <c r="O3001" s="55" t="s">
        <v>178</v>
      </c>
    </row>
    <row r="3002" spans="2:15">
      <c r="B3002" s="20">
        <v>45414</v>
      </c>
      <c r="C3002" s="59">
        <v>50144376</v>
      </c>
      <c r="D3002" s="55" t="s">
        <v>19</v>
      </c>
      <c r="E3002" s="67">
        <v>500</v>
      </c>
      <c r="G3002" s="102">
        <v>5500</v>
      </c>
      <c r="H3002" s="56" t="s">
        <v>92</v>
      </c>
      <c r="K3002" s="56">
        <v>847</v>
      </c>
      <c r="L3002" s="55" t="s">
        <v>176</v>
      </c>
      <c r="M3002" s="55" t="s">
        <v>2824</v>
      </c>
      <c r="N3002" s="4" t="s">
        <v>177</v>
      </c>
      <c r="O3002" s="55" t="s">
        <v>178</v>
      </c>
    </row>
    <row r="3003" spans="2:15">
      <c r="B3003" s="20">
        <v>45414</v>
      </c>
      <c r="C3003" s="59">
        <v>50802401</v>
      </c>
      <c r="D3003" s="55" t="s">
        <v>13</v>
      </c>
      <c r="E3003" s="67">
        <v>289800</v>
      </c>
      <c r="G3003" s="102">
        <v>2318400</v>
      </c>
      <c r="H3003" s="56" t="s">
        <v>92</v>
      </c>
      <c r="K3003" s="56">
        <v>847</v>
      </c>
      <c r="L3003" s="55" t="s">
        <v>176</v>
      </c>
      <c r="M3003" s="55" t="s">
        <v>2824</v>
      </c>
      <c r="N3003" s="4" t="s">
        <v>177</v>
      </c>
      <c r="O3003" s="55" t="s">
        <v>178</v>
      </c>
    </row>
    <row r="3004" spans="2:15">
      <c r="B3004" s="20">
        <v>45415</v>
      </c>
      <c r="C3004" s="59">
        <v>50142551</v>
      </c>
      <c r="D3004" s="55" t="s">
        <v>215</v>
      </c>
      <c r="E3004" s="78">
        <v>25</v>
      </c>
      <c r="G3004" s="102">
        <v>100</v>
      </c>
      <c r="H3004" s="56" t="s">
        <v>92</v>
      </c>
      <c r="K3004" s="56">
        <v>847</v>
      </c>
      <c r="L3004" s="55" t="s">
        <v>176</v>
      </c>
      <c r="M3004" s="55" t="s">
        <v>2824</v>
      </c>
      <c r="N3004" s="4" t="s">
        <v>177</v>
      </c>
      <c r="O3004" s="55" t="s">
        <v>178</v>
      </c>
    </row>
    <row r="3005" spans="2:15">
      <c r="B3005" s="20">
        <v>45415</v>
      </c>
      <c r="C3005" s="59">
        <v>50142397</v>
      </c>
      <c r="D3005" s="55" t="s">
        <v>557</v>
      </c>
      <c r="E3005" s="78">
        <v>25</v>
      </c>
      <c r="G3005" s="102">
        <v>100</v>
      </c>
      <c r="H3005" s="56" t="s">
        <v>92</v>
      </c>
      <c r="K3005" s="56">
        <v>847</v>
      </c>
      <c r="L3005" s="55" t="s">
        <v>176</v>
      </c>
      <c r="M3005" s="55" t="s">
        <v>2824</v>
      </c>
      <c r="N3005" s="4" t="s">
        <v>177</v>
      </c>
      <c r="O3005" s="55" t="s">
        <v>178</v>
      </c>
    </row>
    <row r="3006" spans="2:15">
      <c r="B3006" s="20">
        <v>45415</v>
      </c>
      <c r="C3006" s="59">
        <v>50142455</v>
      </c>
      <c r="D3006" s="55" t="s">
        <v>560</v>
      </c>
      <c r="E3006" s="78">
        <v>25</v>
      </c>
      <c r="G3006" s="102">
        <v>100</v>
      </c>
      <c r="H3006" s="56" t="s">
        <v>92</v>
      </c>
      <c r="K3006" s="56">
        <v>847</v>
      </c>
      <c r="L3006" s="55" t="s">
        <v>176</v>
      </c>
      <c r="M3006" s="55" t="s">
        <v>2824</v>
      </c>
      <c r="N3006" s="4" t="s">
        <v>177</v>
      </c>
      <c r="O3006" s="55" t="s">
        <v>178</v>
      </c>
    </row>
    <row r="3007" spans="2:15">
      <c r="B3007" s="20">
        <v>45415</v>
      </c>
      <c r="C3007" s="59">
        <v>50272278</v>
      </c>
      <c r="D3007" s="55" t="s">
        <v>21</v>
      </c>
      <c r="E3007" s="78">
        <v>500</v>
      </c>
      <c r="G3007" s="102">
        <v>6500</v>
      </c>
      <c r="H3007" s="56" t="s">
        <v>92</v>
      </c>
      <c r="K3007" s="56">
        <v>847</v>
      </c>
      <c r="L3007" s="55" t="s">
        <v>176</v>
      </c>
      <c r="M3007" s="55" t="s">
        <v>2824</v>
      </c>
      <c r="N3007" s="4" t="s">
        <v>177</v>
      </c>
      <c r="O3007" s="55" t="s">
        <v>178</v>
      </c>
    </row>
    <row r="3008" spans="2:15">
      <c r="B3008" s="20">
        <v>45415</v>
      </c>
      <c r="C3008" s="59">
        <v>40011080</v>
      </c>
      <c r="D3008" s="55" t="s">
        <v>420</v>
      </c>
      <c r="E3008" s="78">
        <v>450</v>
      </c>
      <c r="G3008" s="102">
        <v>900</v>
      </c>
      <c r="H3008" s="56" t="s">
        <v>80</v>
      </c>
      <c r="K3008" s="56">
        <v>847</v>
      </c>
      <c r="L3008" s="55" t="s">
        <v>176</v>
      </c>
      <c r="M3008" s="55" t="s">
        <v>2824</v>
      </c>
      <c r="N3008" s="4" t="s">
        <v>177</v>
      </c>
      <c r="O3008" s="55" t="s">
        <v>178</v>
      </c>
    </row>
    <row r="3009" spans="2:15">
      <c r="B3009" s="20">
        <v>45415</v>
      </c>
      <c r="C3009" s="59">
        <v>40011148</v>
      </c>
      <c r="D3009" s="55" t="s">
        <v>86</v>
      </c>
      <c r="E3009" s="78">
        <v>450</v>
      </c>
      <c r="G3009" s="102">
        <v>900</v>
      </c>
      <c r="H3009" s="56" t="s">
        <v>80</v>
      </c>
      <c r="K3009" s="56">
        <v>847</v>
      </c>
      <c r="L3009" s="55" t="s">
        <v>176</v>
      </c>
      <c r="M3009" s="55" t="s">
        <v>2824</v>
      </c>
      <c r="N3009" s="4" t="s">
        <v>177</v>
      </c>
      <c r="O3009" s="55" t="s">
        <v>178</v>
      </c>
    </row>
    <row r="3010" spans="2:15">
      <c r="B3010" s="20">
        <v>45415</v>
      </c>
      <c r="C3010" s="59">
        <v>50818948</v>
      </c>
      <c r="D3010" s="55" t="s">
        <v>1173</v>
      </c>
      <c r="E3010" s="78">
        <v>500000</v>
      </c>
      <c r="G3010" s="102">
        <v>198700</v>
      </c>
      <c r="H3010" s="56" t="s">
        <v>92</v>
      </c>
      <c r="K3010" s="56">
        <v>847</v>
      </c>
      <c r="L3010" s="55" t="s">
        <v>176</v>
      </c>
      <c r="M3010" s="55" t="s">
        <v>2824</v>
      </c>
      <c r="N3010" s="4" t="s">
        <v>177</v>
      </c>
      <c r="O3010" s="55" t="s">
        <v>178</v>
      </c>
    </row>
    <row r="3011" spans="2:15">
      <c r="B3011" s="20">
        <v>45415</v>
      </c>
      <c r="C3011" s="59">
        <v>50818947</v>
      </c>
      <c r="D3011" s="55" t="s">
        <v>1174</v>
      </c>
      <c r="E3011" s="78">
        <v>500000</v>
      </c>
      <c r="G3011" s="102">
        <v>1000000</v>
      </c>
      <c r="H3011" s="56" t="s">
        <v>92</v>
      </c>
      <c r="K3011" s="56">
        <v>847</v>
      </c>
      <c r="L3011" s="55" t="s">
        <v>176</v>
      </c>
      <c r="M3011" s="55" t="s">
        <v>2824</v>
      </c>
      <c r="N3011" s="4" t="s">
        <v>177</v>
      </c>
      <c r="O3011" s="55" t="s">
        <v>178</v>
      </c>
    </row>
    <row r="3012" spans="2:15">
      <c r="B3012" s="20">
        <v>45415</v>
      </c>
      <c r="C3012" s="59">
        <v>40011588</v>
      </c>
      <c r="D3012" s="55" t="s">
        <v>585</v>
      </c>
      <c r="E3012" s="78">
        <v>450</v>
      </c>
      <c r="G3012" s="102">
        <v>450</v>
      </c>
      <c r="H3012" s="56" t="s">
        <v>80</v>
      </c>
      <c r="K3012" s="56">
        <v>847</v>
      </c>
      <c r="L3012" s="55" t="s">
        <v>176</v>
      </c>
      <c r="M3012" s="55" t="s">
        <v>2824</v>
      </c>
      <c r="N3012" s="4" t="s">
        <v>177</v>
      </c>
      <c r="O3012" s="55" t="s">
        <v>178</v>
      </c>
    </row>
    <row r="3013" spans="2:15">
      <c r="B3013" s="20">
        <v>45415</v>
      </c>
      <c r="C3013" s="59">
        <v>50272278</v>
      </c>
      <c r="D3013" s="55" t="s">
        <v>21</v>
      </c>
      <c r="E3013" s="67">
        <v>500</v>
      </c>
      <c r="G3013" s="102">
        <v>4000</v>
      </c>
      <c r="H3013" s="56" t="s">
        <v>92</v>
      </c>
      <c r="K3013" s="56">
        <v>848</v>
      </c>
      <c r="L3013" s="55" t="s">
        <v>176</v>
      </c>
      <c r="M3013" s="55" t="s">
        <v>2824</v>
      </c>
      <c r="N3013" s="4" t="s">
        <v>177</v>
      </c>
      <c r="O3013" s="55" t="s">
        <v>178</v>
      </c>
    </row>
    <row r="3014" spans="2:15">
      <c r="B3014" s="20">
        <v>45415</v>
      </c>
      <c r="C3014" s="59">
        <v>50470190</v>
      </c>
      <c r="D3014" s="55" t="s">
        <v>12</v>
      </c>
      <c r="E3014" s="67">
        <v>289800</v>
      </c>
      <c r="G3014" s="102">
        <v>1159200</v>
      </c>
      <c r="H3014" s="56" t="s">
        <v>92</v>
      </c>
      <c r="K3014" s="56">
        <v>848</v>
      </c>
      <c r="L3014" s="55" t="s">
        <v>176</v>
      </c>
      <c r="M3014" s="55" t="s">
        <v>2824</v>
      </c>
      <c r="N3014" s="4" t="s">
        <v>177</v>
      </c>
      <c r="O3014" s="55" t="s">
        <v>178</v>
      </c>
    </row>
    <row r="3015" spans="2:15">
      <c r="B3015" s="20">
        <v>45415</v>
      </c>
      <c r="C3015" s="59">
        <v>50802401</v>
      </c>
      <c r="D3015" s="55" t="s">
        <v>13</v>
      </c>
      <c r="E3015" s="67">
        <v>289800</v>
      </c>
      <c r="G3015" s="102">
        <v>2318400</v>
      </c>
      <c r="H3015" s="56" t="s">
        <v>92</v>
      </c>
      <c r="K3015" s="56">
        <v>849</v>
      </c>
      <c r="L3015" s="55" t="s">
        <v>176</v>
      </c>
      <c r="M3015" s="55" t="s">
        <v>2824</v>
      </c>
      <c r="N3015" s="4" t="s">
        <v>177</v>
      </c>
      <c r="O3015" s="55" t="s">
        <v>178</v>
      </c>
    </row>
    <row r="3016" spans="2:15">
      <c r="B3016" s="20">
        <v>45415</v>
      </c>
      <c r="C3016" s="59">
        <v>50814629</v>
      </c>
      <c r="D3016" s="55" t="s">
        <v>1226</v>
      </c>
      <c r="E3016" s="67">
        <v>645</v>
      </c>
      <c r="G3016" s="102">
        <v>810.65</v>
      </c>
      <c r="H3016" s="56" t="s">
        <v>82</v>
      </c>
      <c r="K3016" s="56">
        <v>850</v>
      </c>
      <c r="L3016" s="55" t="s">
        <v>416</v>
      </c>
      <c r="M3016" s="55" t="s">
        <v>416</v>
      </c>
      <c r="N3016" s="4" t="s">
        <v>417</v>
      </c>
      <c r="O3016" s="55" t="s">
        <v>178</v>
      </c>
    </row>
    <row r="3017" spans="2:15">
      <c r="B3017" s="20">
        <v>45418</v>
      </c>
      <c r="C3017" s="59">
        <v>50142551</v>
      </c>
      <c r="D3017" s="55" t="s">
        <v>215</v>
      </c>
      <c r="E3017" s="67">
        <v>25</v>
      </c>
      <c r="G3017" s="102">
        <v>100</v>
      </c>
      <c r="H3017" s="56" t="s">
        <v>92</v>
      </c>
      <c r="K3017" s="56">
        <v>851</v>
      </c>
      <c r="L3017" s="55" t="s">
        <v>176</v>
      </c>
      <c r="M3017" s="55" t="s">
        <v>2824</v>
      </c>
      <c r="N3017" s="4" t="s">
        <v>177</v>
      </c>
      <c r="O3017" s="55" t="s">
        <v>178</v>
      </c>
    </row>
    <row r="3018" spans="2:15">
      <c r="B3018" s="20">
        <v>45418</v>
      </c>
      <c r="C3018" s="59">
        <v>20016185</v>
      </c>
      <c r="D3018" s="55" t="s">
        <v>285</v>
      </c>
      <c r="E3018" s="67">
        <v>1000</v>
      </c>
      <c r="G3018" s="102">
        <v>10000</v>
      </c>
      <c r="H3018" s="56" t="s">
        <v>92</v>
      </c>
      <c r="K3018" s="56">
        <v>851</v>
      </c>
      <c r="L3018" s="55" t="s">
        <v>176</v>
      </c>
      <c r="M3018" s="55" t="s">
        <v>2824</v>
      </c>
      <c r="N3018" s="4" t="s">
        <v>177</v>
      </c>
      <c r="O3018" s="55" t="s">
        <v>178</v>
      </c>
    </row>
    <row r="3019" spans="2:15">
      <c r="B3019" s="20">
        <v>45418</v>
      </c>
      <c r="C3019" s="59">
        <v>50272278</v>
      </c>
      <c r="D3019" s="55" t="s">
        <v>21</v>
      </c>
      <c r="E3019" s="67">
        <v>500</v>
      </c>
      <c r="G3019" s="102">
        <v>4000</v>
      </c>
      <c r="H3019" s="56" t="s">
        <v>92</v>
      </c>
      <c r="K3019" s="56">
        <v>851</v>
      </c>
      <c r="L3019" s="55" t="s">
        <v>176</v>
      </c>
      <c r="M3019" s="55" t="s">
        <v>2824</v>
      </c>
      <c r="N3019" s="4" t="s">
        <v>177</v>
      </c>
      <c r="O3019" s="55" t="s">
        <v>178</v>
      </c>
    </row>
    <row r="3020" spans="2:15">
      <c r="B3020" s="20">
        <v>45418</v>
      </c>
      <c r="C3020" s="59">
        <v>50793278</v>
      </c>
      <c r="D3020" s="55" t="s">
        <v>1086</v>
      </c>
      <c r="E3020" s="67">
        <v>10</v>
      </c>
      <c r="G3020" s="102">
        <v>40</v>
      </c>
      <c r="H3020" s="56" t="s">
        <v>1087</v>
      </c>
      <c r="K3020" s="56">
        <v>851</v>
      </c>
      <c r="L3020" s="55" t="s">
        <v>176</v>
      </c>
      <c r="M3020" s="55" t="s">
        <v>2824</v>
      </c>
      <c r="N3020" s="4" t="s">
        <v>177</v>
      </c>
      <c r="O3020" s="55" t="s">
        <v>178</v>
      </c>
    </row>
    <row r="3021" spans="2:15">
      <c r="B3021" s="20">
        <v>45418</v>
      </c>
      <c r="C3021" s="59">
        <v>50142237</v>
      </c>
      <c r="D3021" s="55" t="s">
        <v>617</v>
      </c>
      <c r="E3021" s="67">
        <v>1000</v>
      </c>
      <c r="G3021" s="102">
        <v>10000</v>
      </c>
      <c r="H3021" s="56" t="s">
        <v>92</v>
      </c>
      <c r="K3021" s="56">
        <v>851</v>
      </c>
      <c r="L3021" s="55" t="s">
        <v>176</v>
      </c>
      <c r="M3021" s="55" t="s">
        <v>2824</v>
      </c>
      <c r="N3021" s="4" t="s">
        <v>177</v>
      </c>
      <c r="O3021" s="55" t="s">
        <v>178</v>
      </c>
    </row>
    <row r="3022" spans="2:15">
      <c r="B3022" s="20">
        <v>45418</v>
      </c>
      <c r="C3022" s="59">
        <v>50470190</v>
      </c>
      <c r="D3022" s="55" t="s">
        <v>12</v>
      </c>
      <c r="E3022" s="67">
        <v>289800</v>
      </c>
      <c r="G3022" s="102">
        <v>1738800</v>
      </c>
      <c r="H3022" s="56" t="s">
        <v>92</v>
      </c>
      <c r="K3022" s="56">
        <v>851</v>
      </c>
      <c r="L3022" s="55" t="s">
        <v>176</v>
      </c>
      <c r="M3022" s="55" t="s">
        <v>2824</v>
      </c>
      <c r="N3022" s="4" t="s">
        <v>177</v>
      </c>
      <c r="O3022" s="55" t="s">
        <v>178</v>
      </c>
    </row>
    <row r="3023" spans="2:15">
      <c r="B3023" s="20">
        <v>45419</v>
      </c>
      <c r="C3023" s="59">
        <v>50010080</v>
      </c>
      <c r="D3023" s="55" t="s">
        <v>354</v>
      </c>
      <c r="E3023" s="67">
        <v>1000</v>
      </c>
      <c r="G3023" s="102">
        <v>5000</v>
      </c>
      <c r="H3023" s="56" t="s">
        <v>82</v>
      </c>
      <c r="K3023" s="56">
        <v>852</v>
      </c>
      <c r="L3023" s="55" t="s">
        <v>176</v>
      </c>
      <c r="M3023" s="55" t="s">
        <v>2824</v>
      </c>
      <c r="N3023" s="4" t="s">
        <v>177</v>
      </c>
      <c r="O3023" s="55" t="s">
        <v>178</v>
      </c>
    </row>
    <row r="3024" spans="2:15">
      <c r="B3024" s="20">
        <v>45419</v>
      </c>
      <c r="C3024" s="59">
        <v>40011148</v>
      </c>
      <c r="D3024" s="55" t="s">
        <v>86</v>
      </c>
      <c r="E3024" s="67">
        <v>450</v>
      </c>
      <c r="G3024" s="102">
        <v>900</v>
      </c>
      <c r="H3024" s="56" t="s">
        <v>80</v>
      </c>
      <c r="K3024" s="56">
        <v>852</v>
      </c>
      <c r="L3024" s="55" t="s">
        <v>176</v>
      </c>
      <c r="M3024" s="55" t="s">
        <v>2824</v>
      </c>
      <c r="N3024" s="4" t="s">
        <v>177</v>
      </c>
      <c r="O3024" s="55" t="s">
        <v>178</v>
      </c>
    </row>
    <row r="3025" spans="2:15">
      <c r="B3025" s="20">
        <v>45419</v>
      </c>
      <c r="C3025" s="59">
        <v>40011588</v>
      </c>
      <c r="D3025" s="55" t="s">
        <v>585</v>
      </c>
      <c r="E3025" s="67">
        <v>450</v>
      </c>
      <c r="G3025" s="102">
        <v>900</v>
      </c>
      <c r="H3025" s="56" t="s">
        <v>80</v>
      </c>
      <c r="K3025" s="56">
        <v>852</v>
      </c>
      <c r="L3025" s="55" t="s">
        <v>176</v>
      </c>
      <c r="M3025" s="55" t="s">
        <v>2824</v>
      </c>
      <c r="N3025" s="4" t="s">
        <v>177</v>
      </c>
      <c r="O3025" s="55" t="s">
        <v>178</v>
      </c>
    </row>
    <row r="3026" spans="2:15">
      <c r="B3026" s="20">
        <v>45419</v>
      </c>
      <c r="C3026" s="59">
        <v>50802401</v>
      </c>
      <c r="D3026" s="55" t="s">
        <v>13</v>
      </c>
      <c r="E3026" s="67">
        <v>289800</v>
      </c>
      <c r="G3026" s="102">
        <v>869400</v>
      </c>
      <c r="H3026" s="56" t="s">
        <v>92</v>
      </c>
      <c r="K3026" s="56">
        <v>852</v>
      </c>
      <c r="L3026" s="55" t="s">
        <v>176</v>
      </c>
      <c r="M3026" s="55" t="s">
        <v>2824</v>
      </c>
      <c r="N3026" s="4" t="s">
        <v>177</v>
      </c>
      <c r="O3026" s="55" t="s">
        <v>178</v>
      </c>
    </row>
    <row r="3027" spans="2:15">
      <c r="B3027" s="20">
        <v>45419</v>
      </c>
      <c r="C3027" s="59">
        <v>50142327</v>
      </c>
      <c r="D3027" s="55" t="s">
        <v>256</v>
      </c>
      <c r="E3027" s="67">
        <v>476</v>
      </c>
      <c r="G3027" s="102">
        <v>1906.8</v>
      </c>
      <c r="H3027" s="56" t="s">
        <v>82</v>
      </c>
      <c r="K3027" s="56">
        <v>852</v>
      </c>
      <c r="L3027" s="55" t="s">
        <v>176</v>
      </c>
      <c r="M3027" s="55" t="s">
        <v>2824</v>
      </c>
      <c r="N3027" s="4" t="s">
        <v>177</v>
      </c>
      <c r="O3027" s="55" t="s">
        <v>178</v>
      </c>
    </row>
    <row r="3028" spans="2:15">
      <c r="B3028" s="20">
        <v>45419</v>
      </c>
      <c r="C3028" s="59">
        <v>50142334</v>
      </c>
      <c r="D3028" s="55" t="s">
        <v>257</v>
      </c>
      <c r="E3028" s="67">
        <v>681</v>
      </c>
      <c r="G3028" s="102">
        <v>2724</v>
      </c>
      <c r="H3028" s="56" t="s">
        <v>82</v>
      </c>
      <c r="K3028" s="56">
        <v>852</v>
      </c>
      <c r="L3028" s="55" t="s">
        <v>176</v>
      </c>
      <c r="M3028" s="55" t="s">
        <v>2824</v>
      </c>
      <c r="N3028" s="4" t="s">
        <v>177</v>
      </c>
      <c r="O3028" s="55" t="s">
        <v>178</v>
      </c>
    </row>
    <row r="3029" spans="2:15">
      <c r="B3029" s="20">
        <v>45420</v>
      </c>
      <c r="C3029" s="59">
        <v>50272278</v>
      </c>
      <c r="D3029" s="55" t="s">
        <v>21</v>
      </c>
      <c r="E3029" s="67">
        <v>500</v>
      </c>
      <c r="G3029" s="102">
        <v>11000</v>
      </c>
      <c r="H3029" s="56" t="s">
        <v>92</v>
      </c>
      <c r="K3029" s="56">
        <v>853</v>
      </c>
      <c r="L3029" s="55" t="s">
        <v>176</v>
      </c>
      <c r="M3029" s="55" t="s">
        <v>2824</v>
      </c>
      <c r="N3029" s="4" t="s">
        <v>177</v>
      </c>
      <c r="O3029" s="55" t="s">
        <v>178</v>
      </c>
    </row>
    <row r="3030" spans="2:15">
      <c r="B3030" s="20">
        <v>45420</v>
      </c>
      <c r="C3030" s="59">
        <v>50809145</v>
      </c>
      <c r="D3030" s="55" t="s">
        <v>946</v>
      </c>
      <c r="E3030" s="67">
        <v>456</v>
      </c>
      <c r="G3030" s="102">
        <v>2033.2</v>
      </c>
      <c r="H3030" s="56" t="s">
        <v>82</v>
      </c>
      <c r="K3030" s="56">
        <v>854</v>
      </c>
      <c r="L3030" s="55" t="s">
        <v>176</v>
      </c>
      <c r="M3030" s="55" t="s">
        <v>2824</v>
      </c>
      <c r="N3030" s="4" t="s">
        <v>177</v>
      </c>
      <c r="O3030" s="55" t="s">
        <v>178</v>
      </c>
    </row>
    <row r="3031" spans="2:15">
      <c r="B3031" s="20">
        <v>45420</v>
      </c>
      <c r="C3031" s="59">
        <v>50144376</v>
      </c>
      <c r="D3031" s="55" t="s">
        <v>19</v>
      </c>
      <c r="E3031" s="67">
        <v>500</v>
      </c>
      <c r="G3031" s="102">
        <v>3000</v>
      </c>
      <c r="H3031" s="56" t="s">
        <v>92</v>
      </c>
      <c r="K3031" s="56">
        <v>854</v>
      </c>
      <c r="L3031" s="55" t="s">
        <v>176</v>
      </c>
      <c r="M3031" s="55" t="s">
        <v>2824</v>
      </c>
      <c r="N3031" s="4" t="s">
        <v>177</v>
      </c>
      <c r="O3031" s="55" t="s">
        <v>178</v>
      </c>
    </row>
    <row r="3032" spans="2:15">
      <c r="B3032" s="20">
        <v>45420</v>
      </c>
      <c r="C3032" s="59">
        <v>50145187</v>
      </c>
      <c r="D3032" s="55" t="s">
        <v>465</v>
      </c>
      <c r="E3032" s="67">
        <v>264000</v>
      </c>
      <c r="G3032" s="102">
        <v>528000</v>
      </c>
      <c r="H3032" s="56" t="s">
        <v>92</v>
      </c>
      <c r="K3032" s="56">
        <v>854</v>
      </c>
      <c r="L3032" s="55" t="s">
        <v>176</v>
      </c>
      <c r="M3032" s="55" t="s">
        <v>2824</v>
      </c>
      <c r="N3032" s="4" t="s">
        <v>177</v>
      </c>
      <c r="O3032" s="55" t="s">
        <v>178</v>
      </c>
    </row>
    <row r="3033" spans="2:15">
      <c r="B3033" s="20">
        <v>45420</v>
      </c>
      <c r="C3033" s="59">
        <v>50470190</v>
      </c>
      <c r="D3033" s="55" t="s">
        <v>12</v>
      </c>
      <c r="E3033" s="67">
        <v>289800</v>
      </c>
      <c r="G3033" s="102">
        <v>1738800</v>
      </c>
      <c r="H3033" s="56" t="s">
        <v>92</v>
      </c>
      <c r="K3033" s="56">
        <v>854</v>
      </c>
      <c r="L3033" s="55" t="s">
        <v>176</v>
      </c>
      <c r="M3033" s="55" t="s">
        <v>2824</v>
      </c>
      <c r="N3033" s="4" t="s">
        <v>177</v>
      </c>
      <c r="O3033" s="55" t="s">
        <v>178</v>
      </c>
    </row>
    <row r="3034" spans="2:15">
      <c r="B3034" s="20">
        <v>45420</v>
      </c>
      <c r="C3034" s="59">
        <v>50270855</v>
      </c>
      <c r="D3034" s="55" t="s">
        <v>740</v>
      </c>
      <c r="E3034" s="67">
        <v>264000</v>
      </c>
      <c r="G3034" s="102">
        <v>528000</v>
      </c>
      <c r="H3034" s="56" t="s">
        <v>92</v>
      </c>
      <c r="K3034" s="56">
        <v>854</v>
      </c>
      <c r="L3034" s="55" t="s">
        <v>176</v>
      </c>
      <c r="M3034" s="55" t="s">
        <v>2824</v>
      </c>
      <c r="N3034" s="4" t="s">
        <v>177</v>
      </c>
      <c r="O3034" s="55" t="s">
        <v>178</v>
      </c>
    </row>
    <row r="3035" spans="2:15">
      <c r="B3035" s="20">
        <v>45421</v>
      </c>
      <c r="C3035" s="59">
        <v>50804929</v>
      </c>
      <c r="D3035" s="55" t="s">
        <v>856</v>
      </c>
      <c r="E3035" s="67">
        <v>504000</v>
      </c>
      <c r="G3035" s="102">
        <v>1008000</v>
      </c>
      <c r="H3035" s="56" t="s">
        <v>92</v>
      </c>
      <c r="K3035" s="56">
        <v>855</v>
      </c>
      <c r="L3035" s="55" t="s">
        <v>176</v>
      </c>
      <c r="M3035" s="55" t="s">
        <v>2824</v>
      </c>
      <c r="N3035" s="4" t="s">
        <v>177</v>
      </c>
      <c r="O3035" s="55" t="s">
        <v>178</v>
      </c>
    </row>
    <row r="3036" spans="2:15">
      <c r="B3036" s="20">
        <v>45421</v>
      </c>
      <c r="C3036" s="59">
        <v>50145187</v>
      </c>
      <c r="D3036" s="55" t="s">
        <v>465</v>
      </c>
      <c r="E3036" s="67">
        <v>264000</v>
      </c>
      <c r="G3036" s="102">
        <v>528000</v>
      </c>
      <c r="H3036" s="56" t="s">
        <v>92</v>
      </c>
      <c r="K3036" s="56">
        <v>855</v>
      </c>
      <c r="L3036" s="55" t="s">
        <v>176</v>
      </c>
      <c r="M3036" s="55" t="s">
        <v>2824</v>
      </c>
      <c r="N3036" s="4" t="s">
        <v>177</v>
      </c>
      <c r="O3036" s="55" t="s">
        <v>178</v>
      </c>
    </row>
    <row r="3037" spans="2:15">
      <c r="B3037" s="20">
        <v>45421</v>
      </c>
      <c r="C3037" s="59">
        <v>50818948</v>
      </c>
      <c r="D3037" s="55" t="s">
        <v>1173</v>
      </c>
      <c r="E3037" s="67">
        <v>500000</v>
      </c>
      <c r="G3037" s="102">
        <v>10000</v>
      </c>
      <c r="H3037" s="56" t="s">
        <v>92</v>
      </c>
      <c r="K3037" s="56">
        <v>855</v>
      </c>
      <c r="L3037" s="55" t="s">
        <v>176</v>
      </c>
      <c r="M3037" s="55" t="s">
        <v>2824</v>
      </c>
      <c r="N3037" s="4" t="s">
        <v>177</v>
      </c>
      <c r="O3037" s="55" t="s">
        <v>178</v>
      </c>
    </row>
    <row r="3038" spans="2:15">
      <c r="B3038" s="20">
        <v>45421</v>
      </c>
      <c r="C3038" s="59">
        <v>50507916</v>
      </c>
      <c r="D3038" s="55" t="s">
        <v>406</v>
      </c>
      <c r="E3038" s="67">
        <v>264000</v>
      </c>
      <c r="G3038" s="102">
        <v>231000</v>
      </c>
      <c r="H3038" s="56" t="s">
        <v>92</v>
      </c>
      <c r="K3038" s="56">
        <v>855</v>
      </c>
      <c r="L3038" s="55" t="s">
        <v>176</v>
      </c>
      <c r="M3038" s="55" t="s">
        <v>2824</v>
      </c>
      <c r="N3038" s="4" t="s">
        <v>177</v>
      </c>
      <c r="O3038" s="55" t="s">
        <v>178</v>
      </c>
    </row>
    <row r="3039" spans="2:15">
      <c r="B3039" s="20">
        <v>45421</v>
      </c>
      <c r="C3039" s="59">
        <v>50470190</v>
      </c>
      <c r="D3039" s="55" t="s">
        <v>12</v>
      </c>
      <c r="E3039" s="67">
        <v>289800</v>
      </c>
      <c r="G3039" s="102">
        <v>3477600</v>
      </c>
      <c r="H3039" s="56" t="s">
        <v>92</v>
      </c>
      <c r="K3039" s="56">
        <v>855</v>
      </c>
      <c r="L3039" s="55" t="s">
        <v>176</v>
      </c>
      <c r="M3039" s="55" t="s">
        <v>2824</v>
      </c>
      <c r="N3039" s="4" t="s">
        <v>177</v>
      </c>
      <c r="O3039" s="55" t="s">
        <v>178</v>
      </c>
    </row>
    <row r="3040" spans="2:15">
      <c r="B3040" s="20">
        <v>45421</v>
      </c>
      <c r="C3040" s="59">
        <v>50809353</v>
      </c>
      <c r="D3040" s="55" t="s">
        <v>905</v>
      </c>
      <c r="E3040" s="67">
        <v>25</v>
      </c>
      <c r="G3040" s="102">
        <v>375</v>
      </c>
      <c r="H3040" s="56" t="s">
        <v>82</v>
      </c>
      <c r="K3040" s="56">
        <v>856</v>
      </c>
      <c r="L3040" s="55" t="s">
        <v>2857</v>
      </c>
      <c r="M3040" s="55" t="s">
        <v>2858</v>
      </c>
      <c r="N3040" s="4" t="s">
        <v>2859</v>
      </c>
      <c r="O3040" s="55" t="s">
        <v>178</v>
      </c>
    </row>
    <row r="3041" spans="2:15">
      <c r="B3041" s="20">
        <v>45421</v>
      </c>
      <c r="C3041" s="59">
        <v>50272278</v>
      </c>
      <c r="D3041" s="55" t="s">
        <v>21</v>
      </c>
      <c r="E3041" s="67">
        <v>500</v>
      </c>
      <c r="G3041" s="102">
        <v>7000</v>
      </c>
      <c r="H3041" s="56" t="s">
        <v>92</v>
      </c>
      <c r="K3041" s="56">
        <v>857</v>
      </c>
      <c r="L3041" s="55" t="s">
        <v>176</v>
      </c>
      <c r="M3041" s="55" t="s">
        <v>2824</v>
      </c>
      <c r="N3041" s="4" t="s">
        <v>177</v>
      </c>
      <c r="O3041" s="55" t="s">
        <v>178</v>
      </c>
    </row>
    <row r="3042" spans="2:15">
      <c r="B3042" s="20">
        <v>45421</v>
      </c>
      <c r="C3042" s="59">
        <v>50144376</v>
      </c>
      <c r="D3042" s="55" t="s">
        <v>19</v>
      </c>
      <c r="E3042" s="67">
        <v>500</v>
      </c>
      <c r="G3042" s="102">
        <v>4000</v>
      </c>
      <c r="H3042" s="56" t="s">
        <v>92</v>
      </c>
      <c r="K3042" s="56">
        <v>857</v>
      </c>
      <c r="L3042" s="55" t="s">
        <v>176</v>
      </c>
      <c r="M3042" s="55" t="s">
        <v>2824</v>
      </c>
      <c r="N3042" s="4" t="s">
        <v>177</v>
      </c>
      <c r="O3042" s="55" t="s">
        <v>178</v>
      </c>
    </row>
    <row r="3043" spans="2:15">
      <c r="B3043" s="20">
        <v>45422</v>
      </c>
      <c r="C3043" s="59">
        <v>50809144</v>
      </c>
      <c r="D3043" s="55" t="s">
        <v>989</v>
      </c>
      <c r="E3043" s="67">
        <v>456</v>
      </c>
      <c r="G3043" s="102">
        <v>2668.75</v>
      </c>
      <c r="H3043" s="56" t="s">
        <v>82</v>
      </c>
      <c r="K3043" s="56">
        <v>859</v>
      </c>
      <c r="L3043" s="55" t="s">
        <v>176</v>
      </c>
      <c r="M3043" s="55" t="s">
        <v>2824</v>
      </c>
      <c r="N3043" s="4" t="s">
        <v>177</v>
      </c>
      <c r="O3043" s="55" t="s">
        <v>178</v>
      </c>
    </row>
    <row r="3044" spans="2:15">
      <c r="B3044" s="20">
        <v>45422</v>
      </c>
      <c r="C3044" s="59">
        <v>50470190</v>
      </c>
      <c r="D3044" s="55" t="s">
        <v>12</v>
      </c>
      <c r="E3044" s="67">
        <v>289800</v>
      </c>
      <c r="G3044" s="102">
        <v>2318400</v>
      </c>
      <c r="H3044" s="56" t="s">
        <v>92</v>
      </c>
      <c r="K3044" s="56">
        <v>859</v>
      </c>
      <c r="L3044" s="55" t="s">
        <v>176</v>
      </c>
      <c r="M3044" s="55" t="s">
        <v>2824</v>
      </c>
      <c r="N3044" s="4" t="s">
        <v>177</v>
      </c>
      <c r="O3044" s="55" t="s">
        <v>178</v>
      </c>
    </row>
    <row r="3045" spans="2:15">
      <c r="B3045" s="20">
        <v>45422</v>
      </c>
      <c r="C3045" s="59">
        <v>50802401</v>
      </c>
      <c r="D3045" s="55" t="s">
        <v>13</v>
      </c>
      <c r="E3045" s="67">
        <v>289800</v>
      </c>
      <c r="G3045" s="102">
        <v>1159200</v>
      </c>
      <c r="H3045" s="56" t="s">
        <v>92</v>
      </c>
      <c r="K3045" s="56">
        <v>859</v>
      </c>
      <c r="L3045" s="55" t="s">
        <v>176</v>
      </c>
      <c r="M3045" s="55" t="s">
        <v>2824</v>
      </c>
      <c r="N3045" s="4" t="s">
        <v>177</v>
      </c>
      <c r="O3045" s="55" t="s">
        <v>178</v>
      </c>
    </row>
    <row r="3046" spans="2:15">
      <c r="B3046" s="20">
        <v>45425</v>
      </c>
      <c r="C3046" s="59">
        <v>50142137</v>
      </c>
      <c r="D3046" s="55" t="s">
        <v>840</v>
      </c>
      <c r="E3046" s="67">
        <v>1200</v>
      </c>
      <c r="G3046" s="102">
        <v>3600</v>
      </c>
      <c r="H3046" s="56" t="s">
        <v>82</v>
      </c>
      <c r="K3046" s="56">
        <v>860</v>
      </c>
      <c r="L3046" s="55" t="s">
        <v>176</v>
      </c>
      <c r="M3046" s="55" t="s">
        <v>2824</v>
      </c>
      <c r="N3046" s="4" t="s">
        <v>177</v>
      </c>
      <c r="O3046" s="55" t="s">
        <v>178</v>
      </c>
    </row>
    <row r="3047" spans="2:15">
      <c r="B3047" s="20">
        <v>45425</v>
      </c>
      <c r="C3047" s="59">
        <v>40010087</v>
      </c>
      <c r="D3047" s="55" t="s">
        <v>387</v>
      </c>
      <c r="E3047" s="67">
        <v>864</v>
      </c>
      <c r="G3047" s="102">
        <v>1728</v>
      </c>
      <c r="H3047" s="56" t="s">
        <v>80</v>
      </c>
      <c r="K3047" s="56">
        <v>860</v>
      </c>
      <c r="L3047" s="55" t="s">
        <v>176</v>
      </c>
      <c r="M3047" s="55" t="s">
        <v>2824</v>
      </c>
      <c r="N3047" s="4" t="s">
        <v>177</v>
      </c>
      <c r="O3047" s="55" t="s">
        <v>178</v>
      </c>
    </row>
    <row r="3048" spans="2:15">
      <c r="B3048" s="20">
        <v>45425</v>
      </c>
      <c r="C3048" s="59">
        <v>50272278</v>
      </c>
      <c r="D3048" s="55" t="s">
        <v>21</v>
      </c>
      <c r="E3048" s="67">
        <v>500</v>
      </c>
      <c r="G3048" s="102">
        <v>1500</v>
      </c>
      <c r="H3048" s="56" t="s">
        <v>92</v>
      </c>
      <c r="K3048" s="56">
        <v>860</v>
      </c>
      <c r="L3048" s="55" t="s">
        <v>176</v>
      </c>
      <c r="M3048" s="55" t="s">
        <v>2824</v>
      </c>
      <c r="N3048" s="4" t="s">
        <v>177</v>
      </c>
      <c r="O3048" s="55" t="s">
        <v>178</v>
      </c>
    </row>
    <row r="3049" spans="2:15">
      <c r="B3049" s="20">
        <v>45425</v>
      </c>
      <c r="C3049" s="59">
        <v>50145029</v>
      </c>
      <c r="D3049" s="55" t="s">
        <v>705</v>
      </c>
      <c r="E3049" s="67">
        <v>12</v>
      </c>
      <c r="G3049" s="102">
        <v>36</v>
      </c>
      <c r="H3049" s="56" t="s">
        <v>505</v>
      </c>
      <c r="K3049" s="56">
        <v>860</v>
      </c>
      <c r="L3049" s="55" t="s">
        <v>176</v>
      </c>
      <c r="M3049" s="55" t="s">
        <v>2824</v>
      </c>
      <c r="N3049" s="4" t="s">
        <v>177</v>
      </c>
      <c r="O3049" s="55" t="s">
        <v>178</v>
      </c>
    </row>
    <row r="3050" spans="2:15">
      <c r="B3050" s="20">
        <v>45425</v>
      </c>
      <c r="C3050" s="59">
        <v>50392045</v>
      </c>
      <c r="D3050" s="55" t="s">
        <v>707</v>
      </c>
      <c r="E3050" s="67">
        <v>12</v>
      </c>
      <c r="G3050" s="102">
        <v>36</v>
      </c>
      <c r="H3050" s="56" t="s">
        <v>505</v>
      </c>
      <c r="K3050" s="56">
        <v>860</v>
      </c>
      <c r="L3050" s="55" t="s">
        <v>176</v>
      </c>
      <c r="M3050" s="55" t="s">
        <v>2824</v>
      </c>
      <c r="N3050" s="4" t="s">
        <v>177</v>
      </c>
      <c r="O3050" s="55" t="s">
        <v>178</v>
      </c>
    </row>
    <row r="3051" spans="2:15">
      <c r="B3051" s="20">
        <v>45425</v>
      </c>
      <c r="C3051" s="59">
        <v>40011080</v>
      </c>
      <c r="D3051" s="55" t="s">
        <v>420</v>
      </c>
      <c r="E3051" s="67">
        <v>450</v>
      </c>
      <c r="G3051" s="102">
        <v>900</v>
      </c>
      <c r="H3051" s="56" t="s">
        <v>80</v>
      </c>
      <c r="K3051" s="56">
        <v>860</v>
      </c>
      <c r="L3051" s="55" t="s">
        <v>176</v>
      </c>
      <c r="M3051" s="55" t="s">
        <v>2824</v>
      </c>
      <c r="N3051" s="4" t="s">
        <v>177</v>
      </c>
      <c r="O3051" s="55" t="s">
        <v>178</v>
      </c>
    </row>
    <row r="3052" spans="2:15">
      <c r="B3052" s="20">
        <v>45425</v>
      </c>
      <c r="C3052" s="59">
        <v>50507916</v>
      </c>
      <c r="D3052" s="55" t="s">
        <v>406</v>
      </c>
      <c r="E3052" s="67">
        <v>264000</v>
      </c>
      <c r="G3052" s="102">
        <v>1056000</v>
      </c>
      <c r="H3052" s="56" t="s">
        <v>92</v>
      </c>
      <c r="K3052" s="56">
        <v>860</v>
      </c>
      <c r="L3052" s="55" t="s">
        <v>176</v>
      </c>
      <c r="M3052" s="55" t="s">
        <v>2824</v>
      </c>
      <c r="N3052" s="4" t="s">
        <v>177</v>
      </c>
      <c r="O3052" s="55" t="s">
        <v>178</v>
      </c>
    </row>
    <row r="3053" spans="2:15">
      <c r="B3053" s="20">
        <v>45425</v>
      </c>
      <c r="C3053" s="59">
        <v>50470190</v>
      </c>
      <c r="D3053" s="55" t="s">
        <v>12</v>
      </c>
      <c r="E3053" s="67">
        <v>289800</v>
      </c>
      <c r="G3053" s="102">
        <v>1738800</v>
      </c>
      <c r="H3053" s="56" t="s">
        <v>92</v>
      </c>
      <c r="K3053" s="56">
        <v>860</v>
      </c>
      <c r="L3053" s="55" t="s">
        <v>176</v>
      </c>
      <c r="M3053" s="55" t="s">
        <v>2824</v>
      </c>
      <c r="N3053" s="4" t="s">
        <v>177</v>
      </c>
      <c r="O3053" s="55" t="s">
        <v>178</v>
      </c>
    </row>
    <row r="3054" spans="2:15">
      <c r="B3054" s="20">
        <v>45428</v>
      </c>
      <c r="C3054" s="59">
        <v>50144376</v>
      </c>
      <c r="D3054" s="55" t="s">
        <v>19</v>
      </c>
      <c r="E3054" s="67">
        <v>500</v>
      </c>
      <c r="G3054" s="102">
        <v>5500</v>
      </c>
      <c r="H3054" s="56" t="s">
        <v>92</v>
      </c>
      <c r="K3054" s="56">
        <v>861</v>
      </c>
      <c r="L3054" s="55" t="s">
        <v>176</v>
      </c>
      <c r="M3054" s="55" t="s">
        <v>2824</v>
      </c>
      <c r="N3054" s="4" t="s">
        <v>177</v>
      </c>
      <c r="O3054" s="55" t="s">
        <v>178</v>
      </c>
    </row>
    <row r="3055" spans="2:15">
      <c r="B3055" s="20">
        <v>45428</v>
      </c>
      <c r="C3055" s="59">
        <v>50272278</v>
      </c>
      <c r="D3055" s="55" t="s">
        <v>21</v>
      </c>
      <c r="E3055" s="67">
        <v>500</v>
      </c>
      <c r="G3055" s="102">
        <v>5500</v>
      </c>
      <c r="H3055" s="56" t="s">
        <v>92</v>
      </c>
      <c r="K3055" s="56">
        <v>861</v>
      </c>
      <c r="L3055" s="55" t="s">
        <v>176</v>
      </c>
      <c r="M3055" s="55" t="s">
        <v>2824</v>
      </c>
      <c r="N3055" s="4" t="s">
        <v>177</v>
      </c>
      <c r="O3055" s="55" t="s">
        <v>178</v>
      </c>
    </row>
    <row r="3056" spans="2:15">
      <c r="B3056" s="20">
        <v>45428</v>
      </c>
      <c r="C3056" s="59">
        <v>50142330</v>
      </c>
      <c r="D3056" s="55" t="s">
        <v>195</v>
      </c>
      <c r="E3056" s="67">
        <v>356</v>
      </c>
      <c r="G3056" s="102">
        <v>2155.68</v>
      </c>
      <c r="H3056" s="56" t="s">
        <v>82</v>
      </c>
      <c r="K3056" s="56">
        <v>862</v>
      </c>
      <c r="L3056" s="55" t="s">
        <v>176</v>
      </c>
      <c r="M3056" s="55" t="s">
        <v>2824</v>
      </c>
      <c r="N3056" s="4" t="s">
        <v>177</v>
      </c>
      <c r="O3056" s="55" t="s">
        <v>178</v>
      </c>
    </row>
    <row r="3057" spans="2:15">
      <c r="B3057" s="20">
        <v>45428</v>
      </c>
      <c r="C3057" s="59">
        <v>50470190</v>
      </c>
      <c r="D3057" s="55" t="s">
        <v>12</v>
      </c>
      <c r="E3057" s="67">
        <v>289800</v>
      </c>
      <c r="G3057" s="102">
        <v>1738800</v>
      </c>
      <c r="H3057" s="56" t="s">
        <v>92</v>
      </c>
      <c r="K3057" s="56">
        <v>862</v>
      </c>
      <c r="L3057" s="55" t="s">
        <v>176</v>
      </c>
      <c r="M3057" s="55" t="s">
        <v>2824</v>
      </c>
      <c r="N3057" s="4" t="s">
        <v>177</v>
      </c>
      <c r="O3057" s="55" t="s">
        <v>178</v>
      </c>
    </row>
    <row r="3058" spans="2:15">
      <c r="B3058" s="20">
        <v>45428</v>
      </c>
      <c r="C3058" s="59">
        <v>50802401</v>
      </c>
      <c r="D3058" s="55" t="s">
        <v>13</v>
      </c>
      <c r="E3058" s="67">
        <v>289800</v>
      </c>
      <c r="G3058" s="102">
        <v>1159200</v>
      </c>
      <c r="H3058" s="56" t="s">
        <v>92</v>
      </c>
      <c r="K3058" s="56">
        <v>862</v>
      </c>
      <c r="L3058" s="55" t="s">
        <v>176</v>
      </c>
      <c r="M3058" s="55" t="s">
        <v>2824</v>
      </c>
      <c r="N3058" s="4" t="s">
        <v>177</v>
      </c>
      <c r="O3058" s="55" t="s">
        <v>178</v>
      </c>
    </row>
    <row r="3059" spans="2:15">
      <c r="B3059" s="20">
        <v>45428</v>
      </c>
      <c r="C3059" s="59">
        <v>50142327</v>
      </c>
      <c r="D3059" s="55" t="s">
        <v>256</v>
      </c>
      <c r="E3059" s="67">
        <v>476</v>
      </c>
      <c r="G3059" s="102">
        <v>953.4</v>
      </c>
      <c r="H3059" s="56" t="s">
        <v>82</v>
      </c>
      <c r="K3059" s="56">
        <v>862</v>
      </c>
      <c r="L3059" s="55" t="s">
        <v>176</v>
      </c>
      <c r="M3059" s="55" t="s">
        <v>2824</v>
      </c>
      <c r="N3059" s="4" t="s">
        <v>177</v>
      </c>
      <c r="O3059" s="55" t="s">
        <v>178</v>
      </c>
    </row>
    <row r="3060" spans="2:15">
      <c r="B3060" s="20">
        <v>45428</v>
      </c>
      <c r="C3060" s="59">
        <v>50534881</v>
      </c>
      <c r="D3060" s="55" t="s">
        <v>227</v>
      </c>
      <c r="E3060" s="67">
        <v>900</v>
      </c>
      <c r="G3060" s="102">
        <v>63000</v>
      </c>
      <c r="H3060" s="56" t="s">
        <v>92</v>
      </c>
      <c r="K3060" s="56">
        <v>863</v>
      </c>
      <c r="L3060" s="55" t="s">
        <v>176</v>
      </c>
      <c r="M3060" s="55" t="s">
        <v>2824</v>
      </c>
      <c r="N3060" s="4" t="s">
        <v>177</v>
      </c>
      <c r="O3060" s="55" t="s">
        <v>178</v>
      </c>
    </row>
    <row r="3061" spans="2:15">
      <c r="B3061" s="20">
        <v>45428</v>
      </c>
      <c r="C3061" s="59">
        <v>50799770</v>
      </c>
      <c r="D3061" s="55" t="s">
        <v>17</v>
      </c>
      <c r="E3061" s="67">
        <v>500</v>
      </c>
      <c r="G3061" s="102">
        <v>3000</v>
      </c>
      <c r="H3061" s="56" t="s">
        <v>92</v>
      </c>
      <c r="K3061" s="56">
        <v>863</v>
      </c>
      <c r="L3061" s="55" t="s">
        <v>176</v>
      </c>
      <c r="M3061" s="55" t="s">
        <v>2824</v>
      </c>
      <c r="N3061" s="4" t="s">
        <v>177</v>
      </c>
      <c r="O3061" s="55" t="s">
        <v>178</v>
      </c>
    </row>
    <row r="3062" spans="2:15">
      <c r="B3062" s="20">
        <v>45428</v>
      </c>
      <c r="C3062" s="59">
        <v>50272278</v>
      </c>
      <c r="D3062" s="55" t="s">
        <v>21</v>
      </c>
      <c r="E3062" s="67">
        <v>500</v>
      </c>
      <c r="G3062" s="102">
        <v>4500</v>
      </c>
      <c r="H3062" s="56" t="s">
        <v>92</v>
      </c>
      <c r="K3062" s="56">
        <v>863</v>
      </c>
      <c r="L3062" s="55" t="s">
        <v>176</v>
      </c>
      <c r="M3062" s="55" t="s">
        <v>2824</v>
      </c>
      <c r="N3062" s="4" t="s">
        <v>177</v>
      </c>
      <c r="O3062" s="55" t="s">
        <v>178</v>
      </c>
    </row>
    <row r="3063" spans="2:15">
      <c r="B3063" s="20">
        <v>45429</v>
      </c>
      <c r="C3063" s="59">
        <v>50534881</v>
      </c>
      <c r="D3063" s="55" t="s">
        <v>227</v>
      </c>
      <c r="E3063" s="67">
        <v>9000</v>
      </c>
      <c r="G3063" s="102">
        <v>90000</v>
      </c>
      <c r="H3063" s="56" t="s">
        <v>92</v>
      </c>
      <c r="K3063" s="56">
        <v>864</v>
      </c>
      <c r="L3063" s="55" t="s">
        <v>176</v>
      </c>
      <c r="M3063" s="55" t="s">
        <v>2824</v>
      </c>
      <c r="N3063" s="4" t="s">
        <v>177</v>
      </c>
      <c r="O3063" s="55" t="s">
        <v>178</v>
      </c>
    </row>
    <row r="3064" spans="2:15">
      <c r="B3064" s="20">
        <v>45429</v>
      </c>
      <c r="C3064" s="59">
        <v>50498271</v>
      </c>
      <c r="D3064" s="55" t="s">
        <v>1025</v>
      </c>
      <c r="E3064" s="67">
        <v>456</v>
      </c>
      <c r="G3064" s="102">
        <v>2602.48</v>
      </c>
      <c r="H3064" s="56" t="s">
        <v>82</v>
      </c>
      <c r="K3064" s="56">
        <v>864</v>
      </c>
      <c r="L3064" s="55" t="s">
        <v>176</v>
      </c>
      <c r="M3064" s="55" t="s">
        <v>2824</v>
      </c>
      <c r="N3064" s="4" t="s">
        <v>177</v>
      </c>
      <c r="O3064" s="55" t="s">
        <v>178</v>
      </c>
    </row>
    <row r="3065" spans="2:15">
      <c r="B3065" s="20">
        <v>45429</v>
      </c>
      <c r="C3065" s="59">
        <v>40010080</v>
      </c>
      <c r="D3065" s="55" t="s">
        <v>784</v>
      </c>
      <c r="E3065" s="67">
        <v>1408</v>
      </c>
      <c r="G3065" s="102">
        <v>1408</v>
      </c>
      <c r="H3065" s="56" t="s">
        <v>80</v>
      </c>
      <c r="K3065" s="56">
        <v>864</v>
      </c>
      <c r="L3065" s="55" t="s">
        <v>176</v>
      </c>
      <c r="M3065" s="55" t="s">
        <v>2824</v>
      </c>
      <c r="N3065" s="4" t="s">
        <v>177</v>
      </c>
      <c r="O3065" s="55" t="s">
        <v>178</v>
      </c>
    </row>
    <row r="3066" spans="2:15">
      <c r="B3066" s="20">
        <v>45429</v>
      </c>
      <c r="C3066" s="59">
        <v>50799770</v>
      </c>
      <c r="D3066" s="55" t="s">
        <v>17</v>
      </c>
      <c r="E3066" s="67">
        <v>500</v>
      </c>
      <c r="G3066" s="102">
        <v>3000</v>
      </c>
      <c r="H3066" s="56" t="s">
        <v>92</v>
      </c>
      <c r="K3066" s="56">
        <v>864</v>
      </c>
      <c r="L3066" s="55" t="s">
        <v>176</v>
      </c>
      <c r="M3066" s="55" t="s">
        <v>2824</v>
      </c>
      <c r="N3066" s="4" t="s">
        <v>177</v>
      </c>
      <c r="O3066" s="55" t="s">
        <v>178</v>
      </c>
    </row>
    <row r="3067" spans="2:15">
      <c r="B3067" s="20">
        <v>45429</v>
      </c>
      <c r="C3067" s="59">
        <v>40010084</v>
      </c>
      <c r="D3067" s="55" t="s">
        <v>81</v>
      </c>
      <c r="E3067" s="67">
        <v>864</v>
      </c>
      <c r="G3067" s="102">
        <v>1536</v>
      </c>
      <c r="H3067" s="56" t="s">
        <v>80</v>
      </c>
      <c r="K3067" s="56">
        <v>865</v>
      </c>
      <c r="L3067" s="55" t="s">
        <v>176</v>
      </c>
      <c r="M3067" s="55" t="s">
        <v>2824</v>
      </c>
      <c r="N3067" s="4" t="s">
        <v>177</v>
      </c>
      <c r="O3067" s="55" t="s">
        <v>178</v>
      </c>
    </row>
    <row r="3068" spans="2:15">
      <c r="B3068" s="20">
        <v>45429</v>
      </c>
      <c r="C3068" s="59">
        <v>50799770</v>
      </c>
      <c r="D3068" s="55" t="s">
        <v>17</v>
      </c>
      <c r="E3068" s="67">
        <v>500</v>
      </c>
      <c r="G3068" s="102">
        <v>5000</v>
      </c>
      <c r="H3068" s="56" t="s">
        <v>92</v>
      </c>
      <c r="K3068" s="56">
        <v>865</v>
      </c>
      <c r="L3068" s="55" t="s">
        <v>176</v>
      </c>
      <c r="M3068" s="55" t="s">
        <v>2824</v>
      </c>
      <c r="N3068" s="4" t="s">
        <v>177</v>
      </c>
      <c r="O3068" s="55" t="s">
        <v>178</v>
      </c>
    </row>
    <row r="3069" spans="2:15">
      <c r="B3069" s="20">
        <v>45429</v>
      </c>
      <c r="C3069" s="59">
        <v>40007941</v>
      </c>
      <c r="D3069" s="55" t="s">
        <v>211</v>
      </c>
      <c r="E3069" s="67">
        <v>864</v>
      </c>
      <c r="G3069" s="102">
        <v>2592</v>
      </c>
      <c r="H3069" s="56" t="s">
        <v>80</v>
      </c>
      <c r="K3069" s="56">
        <v>865</v>
      </c>
      <c r="L3069" s="55" t="s">
        <v>176</v>
      </c>
      <c r="M3069" s="55" t="s">
        <v>2824</v>
      </c>
      <c r="N3069" s="4" t="s">
        <v>177</v>
      </c>
      <c r="O3069" s="55" t="s">
        <v>178</v>
      </c>
    </row>
    <row r="3070" spans="2:15">
      <c r="B3070" s="20">
        <v>45429</v>
      </c>
      <c r="C3070" s="59">
        <v>40007942</v>
      </c>
      <c r="D3070" s="55" t="s">
        <v>219</v>
      </c>
      <c r="E3070" s="67">
        <v>4302</v>
      </c>
      <c r="G3070" s="102">
        <v>4032</v>
      </c>
      <c r="H3070" s="56" t="s">
        <v>80</v>
      </c>
      <c r="K3070" s="56">
        <v>865</v>
      </c>
      <c r="L3070" s="55" t="s">
        <v>176</v>
      </c>
      <c r="M3070" s="55" t="s">
        <v>2824</v>
      </c>
      <c r="N3070" s="4" t="s">
        <v>177</v>
      </c>
      <c r="O3070" s="55" t="s">
        <v>178</v>
      </c>
    </row>
    <row r="3071" spans="2:15">
      <c r="B3071" s="20">
        <v>45429</v>
      </c>
      <c r="C3071" s="59">
        <v>40011080</v>
      </c>
      <c r="D3071" s="55" t="s">
        <v>420</v>
      </c>
      <c r="E3071" s="67">
        <v>450</v>
      </c>
      <c r="G3071" s="102">
        <v>2250</v>
      </c>
      <c r="H3071" s="56" t="s">
        <v>80</v>
      </c>
      <c r="K3071" s="56">
        <v>865</v>
      </c>
      <c r="L3071" s="55" t="s">
        <v>176</v>
      </c>
      <c r="M3071" s="55" t="s">
        <v>2824</v>
      </c>
      <c r="N3071" s="4" t="s">
        <v>177</v>
      </c>
      <c r="O3071" s="55" t="s">
        <v>178</v>
      </c>
    </row>
    <row r="3072" spans="2:15">
      <c r="B3072" s="20">
        <v>45429</v>
      </c>
      <c r="C3072" s="59">
        <v>50507916</v>
      </c>
      <c r="D3072" s="55" t="s">
        <v>406</v>
      </c>
      <c r="E3072" s="67">
        <v>264000</v>
      </c>
      <c r="G3072" s="102">
        <v>264000</v>
      </c>
      <c r="H3072" s="56" t="s">
        <v>92</v>
      </c>
      <c r="K3072" s="56">
        <v>865</v>
      </c>
      <c r="L3072" s="55" t="s">
        <v>176</v>
      </c>
      <c r="M3072" s="55" t="s">
        <v>2824</v>
      </c>
      <c r="N3072" s="4" t="s">
        <v>177</v>
      </c>
      <c r="O3072" s="55" t="s">
        <v>178</v>
      </c>
    </row>
    <row r="3073" spans="2:15">
      <c r="B3073" s="20">
        <v>45429</v>
      </c>
      <c r="C3073" s="59">
        <v>50818964</v>
      </c>
      <c r="D3073" s="55" t="s">
        <v>1279</v>
      </c>
      <c r="E3073" s="67">
        <v>38713</v>
      </c>
      <c r="G3073" s="102">
        <v>38713</v>
      </c>
      <c r="H3073" s="56" t="s">
        <v>92</v>
      </c>
      <c r="K3073" s="56">
        <v>865</v>
      </c>
      <c r="L3073" s="55" t="s">
        <v>176</v>
      </c>
      <c r="M3073" s="55" t="s">
        <v>2824</v>
      </c>
      <c r="N3073" s="4" t="s">
        <v>177</v>
      </c>
      <c r="O3073" s="55" t="s">
        <v>178</v>
      </c>
    </row>
    <row r="3074" spans="2:15">
      <c r="B3074" s="20">
        <v>45433</v>
      </c>
      <c r="C3074" s="59">
        <v>50824293</v>
      </c>
      <c r="D3074" s="55" t="s">
        <v>861</v>
      </c>
      <c r="E3074" s="67">
        <v>1712</v>
      </c>
      <c r="G3074" s="102">
        <v>3440000</v>
      </c>
      <c r="H3074" s="56" t="s">
        <v>92</v>
      </c>
      <c r="K3074" s="56">
        <v>866</v>
      </c>
      <c r="L3074" s="55" t="s">
        <v>176</v>
      </c>
      <c r="M3074" s="55" t="s">
        <v>2824</v>
      </c>
      <c r="N3074" s="4" t="s">
        <v>177</v>
      </c>
      <c r="O3074" s="55" t="s">
        <v>178</v>
      </c>
    </row>
    <row r="3075" spans="2:15">
      <c r="B3075" s="20">
        <v>45433</v>
      </c>
      <c r="C3075" s="59">
        <v>50272278</v>
      </c>
      <c r="D3075" s="55" t="s">
        <v>21</v>
      </c>
      <c r="E3075" s="67">
        <v>500</v>
      </c>
      <c r="G3075" s="102">
        <v>9500</v>
      </c>
      <c r="H3075" s="56" t="s">
        <v>92</v>
      </c>
      <c r="K3075" s="56">
        <v>866</v>
      </c>
      <c r="L3075" s="55" t="s">
        <v>176</v>
      </c>
      <c r="M3075" s="55" t="s">
        <v>2824</v>
      </c>
      <c r="N3075" s="4" t="s">
        <v>177</v>
      </c>
      <c r="O3075" s="55" t="s">
        <v>178</v>
      </c>
    </row>
    <row r="3076" spans="2:15">
      <c r="B3076" s="20">
        <v>45433</v>
      </c>
      <c r="C3076" s="59">
        <v>40011080</v>
      </c>
      <c r="D3076" s="55" t="s">
        <v>420</v>
      </c>
      <c r="E3076" s="67">
        <v>450</v>
      </c>
      <c r="G3076" s="102">
        <v>900</v>
      </c>
      <c r="H3076" s="56" t="s">
        <v>80</v>
      </c>
      <c r="K3076" s="56">
        <v>867</v>
      </c>
      <c r="L3076" s="55" t="s">
        <v>176</v>
      </c>
      <c r="M3076" s="55" t="s">
        <v>2824</v>
      </c>
      <c r="N3076" s="4" t="s">
        <v>177</v>
      </c>
      <c r="O3076" s="55" t="s">
        <v>178</v>
      </c>
    </row>
    <row r="3077" spans="2:15">
      <c r="B3077" s="20">
        <v>45433</v>
      </c>
      <c r="C3077" s="59">
        <v>50507916</v>
      </c>
      <c r="D3077" s="55" t="s">
        <v>406</v>
      </c>
      <c r="E3077" s="67">
        <v>264000</v>
      </c>
      <c r="G3077" s="102">
        <v>528000</v>
      </c>
      <c r="H3077" s="56" t="s">
        <v>92</v>
      </c>
      <c r="K3077" s="56">
        <v>867</v>
      </c>
      <c r="L3077" s="55" t="s">
        <v>176</v>
      </c>
      <c r="M3077" s="55" t="s">
        <v>2824</v>
      </c>
      <c r="N3077" s="4" t="s">
        <v>177</v>
      </c>
      <c r="O3077" s="55" t="s">
        <v>178</v>
      </c>
    </row>
    <row r="3078" spans="2:15">
      <c r="B3078" s="20">
        <v>45433</v>
      </c>
      <c r="C3078" s="59">
        <v>50470190</v>
      </c>
      <c r="D3078" s="55" t="s">
        <v>12</v>
      </c>
      <c r="E3078" s="67">
        <v>289800</v>
      </c>
      <c r="G3078" s="102">
        <v>4057200</v>
      </c>
      <c r="H3078" s="56" t="s">
        <v>92</v>
      </c>
      <c r="K3078" s="56">
        <v>867</v>
      </c>
      <c r="L3078" s="55" t="s">
        <v>176</v>
      </c>
      <c r="M3078" s="55" t="s">
        <v>2824</v>
      </c>
      <c r="N3078" s="4" t="s">
        <v>177</v>
      </c>
      <c r="O3078" s="55" t="s">
        <v>178</v>
      </c>
    </row>
    <row r="3079" spans="2:15">
      <c r="B3079" s="20">
        <v>45433</v>
      </c>
      <c r="C3079" s="59">
        <v>50813995</v>
      </c>
      <c r="D3079" s="55" t="s">
        <v>960</v>
      </c>
      <c r="E3079" s="67">
        <v>456</v>
      </c>
      <c r="G3079" s="102">
        <v>3376.45</v>
      </c>
      <c r="H3079" s="56" t="s">
        <v>82</v>
      </c>
      <c r="K3079" s="56">
        <v>868</v>
      </c>
      <c r="L3079" s="55" t="s">
        <v>176</v>
      </c>
      <c r="M3079" s="55" t="s">
        <v>2824</v>
      </c>
      <c r="N3079" s="4" t="s">
        <v>177</v>
      </c>
      <c r="O3079" s="55" t="s">
        <v>178</v>
      </c>
    </row>
    <row r="3080" spans="2:15">
      <c r="B3080" s="20">
        <v>45433</v>
      </c>
      <c r="C3080" s="59">
        <v>50470190</v>
      </c>
      <c r="D3080" s="55" t="s">
        <v>12</v>
      </c>
      <c r="E3080" s="67">
        <v>289800</v>
      </c>
      <c r="G3080" s="102">
        <v>2898000</v>
      </c>
      <c r="H3080" s="56" t="s">
        <v>92</v>
      </c>
      <c r="K3080" s="56">
        <v>868</v>
      </c>
      <c r="L3080" s="55" t="s">
        <v>176</v>
      </c>
      <c r="M3080" s="55" t="s">
        <v>2824</v>
      </c>
      <c r="N3080" s="4" t="s">
        <v>177</v>
      </c>
      <c r="O3080" s="55" t="s">
        <v>178</v>
      </c>
    </row>
    <row r="3081" spans="2:15">
      <c r="B3081" s="20">
        <v>45434</v>
      </c>
      <c r="C3081" s="59">
        <v>50145028</v>
      </c>
      <c r="D3081" s="55" t="s">
        <v>23</v>
      </c>
      <c r="E3081" s="67">
        <v>192</v>
      </c>
      <c r="G3081" s="102">
        <v>576</v>
      </c>
      <c r="H3081" s="56" t="s">
        <v>92</v>
      </c>
      <c r="K3081" s="56">
        <v>869</v>
      </c>
      <c r="L3081" s="55" t="s">
        <v>326</v>
      </c>
      <c r="M3081" s="55" t="s">
        <v>326</v>
      </c>
      <c r="N3081" s="4" t="s">
        <v>239</v>
      </c>
      <c r="O3081" s="55" t="s">
        <v>178</v>
      </c>
    </row>
    <row r="3082" spans="2:15">
      <c r="B3082" s="20">
        <v>45434</v>
      </c>
      <c r="C3082" s="59">
        <v>50144334</v>
      </c>
      <c r="D3082" s="55" t="s">
        <v>426</v>
      </c>
      <c r="E3082" s="67">
        <v>750</v>
      </c>
      <c r="G3082" s="102">
        <v>750</v>
      </c>
      <c r="H3082" s="56" t="s">
        <v>82</v>
      </c>
      <c r="K3082" s="56">
        <v>869</v>
      </c>
      <c r="L3082" s="55" t="s">
        <v>326</v>
      </c>
      <c r="M3082" s="55" t="s">
        <v>326</v>
      </c>
      <c r="N3082" s="4" t="s">
        <v>239</v>
      </c>
      <c r="O3082" s="55" t="s">
        <v>178</v>
      </c>
    </row>
    <row r="3083" spans="2:15">
      <c r="B3083" s="20">
        <v>45435</v>
      </c>
      <c r="C3083" s="59">
        <v>50010080</v>
      </c>
      <c r="D3083" s="55" t="s">
        <v>354</v>
      </c>
      <c r="E3083" s="67">
        <v>1000</v>
      </c>
      <c r="G3083" s="102">
        <v>3000</v>
      </c>
      <c r="H3083" s="56" t="s">
        <v>82</v>
      </c>
      <c r="K3083" s="56">
        <v>870</v>
      </c>
      <c r="L3083" s="55" t="s">
        <v>176</v>
      </c>
      <c r="M3083" s="55" t="s">
        <v>2824</v>
      </c>
      <c r="N3083" s="4" t="s">
        <v>177</v>
      </c>
      <c r="O3083" s="55" t="s">
        <v>178</v>
      </c>
    </row>
    <row r="3084" spans="2:15">
      <c r="B3084" s="20">
        <v>45435</v>
      </c>
      <c r="C3084" s="59">
        <v>40010086</v>
      </c>
      <c r="D3084" s="55" t="s">
        <v>79</v>
      </c>
      <c r="E3084" s="67">
        <v>4032</v>
      </c>
      <c r="G3084" s="102">
        <v>4032</v>
      </c>
      <c r="H3084" s="56" t="s">
        <v>80</v>
      </c>
      <c r="K3084" s="56">
        <v>870</v>
      </c>
      <c r="L3084" s="55" t="s">
        <v>176</v>
      </c>
      <c r="M3084" s="55" t="s">
        <v>2824</v>
      </c>
      <c r="N3084" s="4" t="s">
        <v>177</v>
      </c>
      <c r="O3084" s="55" t="s">
        <v>178</v>
      </c>
    </row>
    <row r="3085" spans="2:15">
      <c r="B3085" s="20">
        <v>45435</v>
      </c>
      <c r="C3085" s="59">
        <v>40010087</v>
      </c>
      <c r="D3085" s="55" t="s">
        <v>387</v>
      </c>
      <c r="E3085" s="67">
        <v>864</v>
      </c>
      <c r="G3085" s="102">
        <v>864</v>
      </c>
      <c r="H3085" s="56" t="s">
        <v>80</v>
      </c>
      <c r="K3085" s="56">
        <v>870</v>
      </c>
      <c r="L3085" s="55" t="s">
        <v>176</v>
      </c>
      <c r="M3085" s="55" t="s">
        <v>2824</v>
      </c>
      <c r="N3085" s="4" t="s">
        <v>177</v>
      </c>
      <c r="O3085" s="55" t="s">
        <v>178</v>
      </c>
    </row>
    <row r="3086" spans="2:15">
      <c r="B3086" s="20">
        <v>45435</v>
      </c>
      <c r="C3086" s="59">
        <v>40011133</v>
      </c>
      <c r="D3086" s="55" t="s">
        <v>634</v>
      </c>
      <c r="E3086" s="67">
        <v>864</v>
      </c>
      <c r="G3086" s="102">
        <v>2592</v>
      </c>
      <c r="H3086" s="56" t="s">
        <v>80</v>
      </c>
      <c r="K3086" s="56">
        <v>870</v>
      </c>
      <c r="L3086" s="55" t="s">
        <v>176</v>
      </c>
      <c r="M3086" s="55" t="s">
        <v>2824</v>
      </c>
      <c r="N3086" s="4" t="s">
        <v>177</v>
      </c>
      <c r="O3086" s="55" t="s">
        <v>178</v>
      </c>
    </row>
    <row r="3087" spans="2:15">
      <c r="B3087" s="20">
        <v>45435</v>
      </c>
      <c r="C3087" s="59">
        <v>50141533</v>
      </c>
      <c r="D3087" s="55" t="s">
        <v>494</v>
      </c>
      <c r="E3087" s="67">
        <v>1250</v>
      </c>
      <c r="G3087" s="102">
        <v>3750</v>
      </c>
      <c r="H3087" s="56" t="s">
        <v>82</v>
      </c>
      <c r="K3087" s="56">
        <v>870</v>
      </c>
      <c r="L3087" s="55" t="s">
        <v>176</v>
      </c>
      <c r="M3087" s="55" t="s">
        <v>2824</v>
      </c>
      <c r="N3087" s="4" t="s">
        <v>177</v>
      </c>
      <c r="O3087" s="55" t="s">
        <v>178</v>
      </c>
    </row>
    <row r="3088" spans="2:15">
      <c r="B3088" s="20">
        <v>45435</v>
      </c>
      <c r="C3088" s="59">
        <v>50507916</v>
      </c>
      <c r="D3088" s="55" t="s">
        <v>406</v>
      </c>
      <c r="E3088" s="67">
        <v>264000</v>
      </c>
      <c r="G3088" s="102">
        <v>792000</v>
      </c>
      <c r="H3088" s="56" t="s">
        <v>92</v>
      </c>
      <c r="K3088" s="56">
        <v>870</v>
      </c>
      <c r="L3088" s="55" t="s">
        <v>176</v>
      </c>
      <c r="M3088" s="55" t="s">
        <v>2824</v>
      </c>
      <c r="N3088" s="4" t="s">
        <v>177</v>
      </c>
      <c r="O3088" s="55" t="s">
        <v>178</v>
      </c>
    </row>
    <row r="3089" spans="2:15">
      <c r="B3089" s="20">
        <v>45435</v>
      </c>
      <c r="C3089" s="59">
        <v>50818947</v>
      </c>
      <c r="D3089" s="55" t="s">
        <v>1174</v>
      </c>
      <c r="E3089" s="67">
        <v>500000</v>
      </c>
      <c r="G3089" s="102">
        <v>500000</v>
      </c>
      <c r="H3089" s="56" t="s">
        <v>92</v>
      </c>
      <c r="K3089" s="56">
        <v>870</v>
      </c>
      <c r="L3089" s="55" t="s">
        <v>176</v>
      </c>
      <c r="M3089" s="55" t="s">
        <v>2824</v>
      </c>
      <c r="N3089" s="4" t="s">
        <v>177</v>
      </c>
      <c r="O3089" s="55" t="s">
        <v>178</v>
      </c>
    </row>
    <row r="3090" spans="2:15">
      <c r="B3090" s="20">
        <v>45435</v>
      </c>
      <c r="C3090" s="59">
        <v>50142327</v>
      </c>
      <c r="D3090" s="55" t="s">
        <v>256</v>
      </c>
      <c r="E3090" s="67">
        <v>467</v>
      </c>
      <c r="G3090" s="102">
        <v>953.4</v>
      </c>
      <c r="H3090" s="56" t="s">
        <v>82</v>
      </c>
      <c r="K3090" s="56">
        <v>870</v>
      </c>
      <c r="L3090" s="55" t="s">
        <v>176</v>
      </c>
      <c r="M3090" s="55" t="s">
        <v>2824</v>
      </c>
      <c r="N3090" s="4" t="s">
        <v>177</v>
      </c>
      <c r="O3090" s="55" t="s">
        <v>178</v>
      </c>
    </row>
    <row r="3091" spans="2:15">
      <c r="B3091" s="20">
        <v>45435</v>
      </c>
      <c r="C3091" s="59">
        <v>50142334</v>
      </c>
      <c r="D3091" s="55" t="s">
        <v>257</v>
      </c>
      <c r="E3091" s="67">
        <v>681</v>
      </c>
      <c r="G3091" s="102">
        <v>2043</v>
      </c>
      <c r="H3091" s="56" t="s">
        <v>82</v>
      </c>
      <c r="K3091" s="56">
        <v>870</v>
      </c>
      <c r="L3091" s="55" t="s">
        <v>176</v>
      </c>
      <c r="M3091" s="55" t="s">
        <v>2824</v>
      </c>
      <c r="N3091" s="4" t="s">
        <v>177</v>
      </c>
      <c r="O3091" s="55" t="s">
        <v>178</v>
      </c>
    </row>
    <row r="3092" spans="2:15">
      <c r="B3092" s="20">
        <v>45436</v>
      </c>
      <c r="C3092" s="59">
        <v>50144376</v>
      </c>
      <c r="D3092" s="55" t="s">
        <v>19</v>
      </c>
      <c r="E3092" s="67">
        <v>500</v>
      </c>
      <c r="G3092" s="102">
        <v>3500</v>
      </c>
      <c r="H3092" s="56" t="s">
        <v>92</v>
      </c>
      <c r="K3092" s="56">
        <v>871</v>
      </c>
      <c r="L3092" s="55" t="s">
        <v>176</v>
      </c>
      <c r="M3092" s="55" t="s">
        <v>2824</v>
      </c>
      <c r="N3092" s="4" t="s">
        <v>177</v>
      </c>
      <c r="O3092" s="55" t="s">
        <v>178</v>
      </c>
    </row>
    <row r="3093" spans="2:15">
      <c r="B3093" s="20">
        <v>45436</v>
      </c>
      <c r="C3093" s="59">
        <v>50272278</v>
      </c>
      <c r="D3093" s="55" t="s">
        <v>21</v>
      </c>
      <c r="E3093" s="67">
        <v>500</v>
      </c>
      <c r="G3093" s="102">
        <v>7500</v>
      </c>
      <c r="H3093" s="56" t="s">
        <v>92</v>
      </c>
      <c r="K3093" s="56">
        <v>871</v>
      </c>
      <c r="L3093" s="55" t="s">
        <v>176</v>
      </c>
      <c r="M3093" s="55" t="s">
        <v>2824</v>
      </c>
      <c r="N3093" s="4" t="s">
        <v>177</v>
      </c>
      <c r="O3093" s="55" t="s">
        <v>178</v>
      </c>
    </row>
    <row r="3094" spans="2:15">
      <c r="B3094" s="20">
        <v>45436</v>
      </c>
      <c r="C3094" s="59">
        <v>50145028</v>
      </c>
      <c r="D3094" s="55" t="s">
        <v>23</v>
      </c>
      <c r="E3094" s="67">
        <v>192</v>
      </c>
      <c r="G3094" s="102">
        <v>470</v>
      </c>
      <c r="H3094" s="56" t="s">
        <v>92</v>
      </c>
      <c r="K3094" s="56">
        <v>872</v>
      </c>
      <c r="L3094" s="55" t="s">
        <v>392</v>
      </c>
      <c r="M3094" s="55" t="s">
        <v>392</v>
      </c>
      <c r="N3094" s="4" t="s">
        <v>2852</v>
      </c>
      <c r="O3094" s="55" t="s">
        <v>178</v>
      </c>
    </row>
    <row r="3095" spans="2:15">
      <c r="B3095" s="20">
        <v>45436</v>
      </c>
      <c r="C3095" s="59">
        <v>50144376</v>
      </c>
      <c r="D3095" s="55" t="s">
        <v>19</v>
      </c>
      <c r="E3095" s="67">
        <v>500</v>
      </c>
      <c r="G3095" s="102">
        <v>4850</v>
      </c>
      <c r="H3095" s="56" t="s">
        <v>92</v>
      </c>
      <c r="K3095" s="56">
        <v>872</v>
      </c>
      <c r="L3095" s="55" t="s">
        <v>392</v>
      </c>
      <c r="M3095" s="55" t="s">
        <v>392</v>
      </c>
      <c r="N3095" s="4" t="s">
        <v>2852</v>
      </c>
      <c r="O3095" s="55" t="s">
        <v>178</v>
      </c>
    </row>
    <row r="3096" spans="2:15">
      <c r="B3096" s="20">
        <v>45436</v>
      </c>
      <c r="C3096" s="59">
        <v>50142237</v>
      </c>
      <c r="D3096" s="55" t="s">
        <v>617</v>
      </c>
      <c r="E3096" s="67">
        <v>1000</v>
      </c>
      <c r="G3096" s="102">
        <v>6000</v>
      </c>
      <c r="H3096" s="56" t="s">
        <v>92</v>
      </c>
      <c r="K3096" s="56">
        <v>872</v>
      </c>
      <c r="L3096" s="55" t="s">
        <v>392</v>
      </c>
      <c r="M3096" s="55" t="s">
        <v>392</v>
      </c>
      <c r="N3096" s="4" t="s">
        <v>2852</v>
      </c>
      <c r="O3096" s="55" t="s">
        <v>178</v>
      </c>
    </row>
    <row r="3097" spans="2:15">
      <c r="B3097" s="20">
        <v>45436</v>
      </c>
      <c r="C3097" s="59">
        <v>50829090</v>
      </c>
      <c r="D3097" s="55" t="s">
        <v>1295</v>
      </c>
      <c r="E3097" s="67">
        <v>456</v>
      </c>
      <c r="G3097" s="102">
        <v>2919.35</v>
      </c>
      <c r="H3097" s="56" t="s">
        <v>82</v>
      </c>
      <c r="K3097" s="56">
        <v>873</v>
      </c>
      <c r="L3097" s="55" t="s">
        <v>176</v>
      </c>
      <c r="M3097" s="55" t="s">
        <v>2824</v>
      </c>
      <c r="N3097" s="4" t="s">
        <v>177</v>
      </c>
      <c r="O3097" s="55" t="s">
        <v>178</v>
      </c>
    </row>
    <row r="3098" spans="2:15">
      <c r="B3098" s="20">
        <v>45436</v>
      </c>
      <c r="C3098" s="59">
        <v>50470190</v>
      </c>
      <c r="D3098" s="55" t="s">
        <v>12</v>
      </c>
      <c r="E3098" s="67">
        <v>289800</v>
      </c>
      <c r="G3098" s="102">
        <v>3477600</v>
      </c>
      <c r="H3098" s="56" t="s">
        <v>92</v>
      </c>
      <c r="K3098" s="56">
        <v>873</v>
      </c>
      <c r="L3098" s="55" t="s">
        <v>176</v>
      </c>
      <c r="M3098" s="55" t="s">
        <v>2824</v>
      </c>
      <c r="N3098" s="4" t="s">
        <v>177</v>
      </c>
      <c r="O3098" s="55" t="s">
        <v>178</v>
      </c>
    </row>
    <row r="3099" spans="2:15">
      <c r="B3099" s="20">
        <v>45436</v>
      </c>
      <c r="C3099" s="59">
        <v>50804971</v>
      </c>
      <c r="D3099" s="55" t="s">
        <v>855</v>
      </c>
      <c r="E3099" s="67">
        <v>99000</v>
      </c>
      <c r="G3099" s="102">
        <v>1110000</v>
      </c>
      <c r="H3099" s="56" t="s">
        <v>92</v>
      </c>
      <c r="K3099" s="56">
        <v>874</v>
      </c>
      <c r="L3099" s="55" t="s">
        <v>176</v>
      </c>
      <c r="M3099" s="55" t="s">
        <v>2824</v>
      </c>
      <c r="N3099" s="4" t="s">
        <v>177</v>
      </c>
      <c r="O3099" s="55" t="s">
        <v>178</v>
      </c>
    </row>
    <row r="3100" spans="2:15">
      <c r="B3100" s="20">
        <v>45436</v>
      </c>
      <c r="C3100" s="59">
        <v>40009546</v>
      </c>
      <c r="D3100" s="55" t="s">
        <v>174</v>
      </c>
      <c r="E3100" s="67">
        <v>756</v>
      </c>
      <c r="G3100" s="102">
        <v>4644</v>
      </c>
      <c r="H3100" s="56" t="s">
        <v>80</v>
      </c>
      <c r="K3100" s="56">
        <v>874</v>
      </c>
      <c r="L3100" s="55" t="s">
        <v>176</v>
      </c>
      <c r="M3100" s="55" t="s">
        <v>2824</v>
      </c>
      <c r="N3100" s="4" t="s">
        <v>177</v>
      </c>
      <c r="O3100" s="55" t="s">
        <v>178</v>
      </c>
    </row>
    <row r="3101" spans="2:15">
      <c r="B3101" s="20">
        <v>45436</v>
      </c>
      <c r="C3101" s="59">
        <v>50804929</v>
      </c>
      <c r="D3101" s="55" t="s">
        <v>856</v>
      </c>
      <c r="E3101" s="67">
        <v>504000</v>
      </c>
      <c r="G3101" s="102">
        <v>723990</v>
      </c>
      <c r="H3101" s="56" t="s">
        <v>92</v>
      </c>
      <c r="K3101" s="56">
        <v>874</v>
      </c>
      <c r="L3101" s="55" t="s">
        <v>176</v>
      </c>
      <c r="M3101" s="55" t="s">
        <v>2824</v>
      </c>
      <c r="N3101" s="4" t="s">
        <v>177</v>
      </c>
      <c r="O3101" s="55" t="s">
        <v>178</v>
      </c>
    </row>
    <row r="3102" spans="2:15">
      <c r="B3102" s="20">
        <v>45436</v>
      </c>
      <c r="C3102" s="59">
        <v>40011133</v>
      </c>
      <c r="D3102" s="55" t="s">
        <v>634</v>
      </c>
      <c r="E3102" s="67">
        <v>864</v>
      </c>
      <c r="G3102" s="102">
        <v>1728</v>
      </c>
      <c r="H3102" s="56" t="s">
        <v>80</v>
      </c>
      <c r="K3102" s="56">
        <v>874</v>
      </c>
      <c r="L3102" s="55" t="s">
        <v>176</v>
      </c>
      <c r="M3102" s="55" t="s">
        <v>2824</v>
      </c>
      <c r="N3102" s="4" t="s">
        <v>177</v>
      </c>
      <c r="O3102" s="55" t="s">
        <v>178</v>
      </c>
    </row>
    <row r="3103" spans="2:15">
      <c r="B3103" s="20">
        <v>45436</v>
      </c>
      <c r="C3103" s="59">
        <v>50142281</v>
      </c>
      <c r="D3103" s="55" t="s">
        <v>204</v>
      </c>
      <c r="E3103" s="67">
        <v>450</v>
      </c>
      <c r="G3103" s="102">
        <v>900</v>
      </c>
      <c r="H3103" s="56" t="s">
        <v>82</v>
      </c>
      <c r="K3103" s="56">
        <v>874</v>
      </c>
      <c r="L3103" s="55" t="s">
        <v>176</v>
      </c>
      <c r="M3103" s="55" t="s">
        <v>2824</v>
      </c>
      <c r="N3103" s="4" t="s">
        <v>177</v>
      </c>
      <c r="O3103" s="55" t="s">
        <v>178</v>
      </c>
    </row>
    <row r="3104" spans="2:15">
      <c r="B3104" s="20">
        <v>45436</v>
      </c>
      <c r="C3104" s="59">
        <v>50145187</v>
      </c>
      <c r="D3104" s="55" t="s">
        <v>465</v>
      </c>
      <c r="E3104" s="67">
        <v>264000</v>
      </c>
      <c r="G3104" s="102">
        <v>792000</v>
      </c>
      <c r="H3104" s="56" t="s">
        <v>92</v>
      </c>
      <c r="K3104" s="56">
        <v>874</v>
      </c>
      <c r="L3104" s="55" t="s">
        <v>176</v>
      </c>
      <c r="M3104" s="55" t="s">
        <v>2824</v>
      </c>
      <c r="N3104" s="4" t="s">
        <v>177</v>
      </c>
      <c r="O3104" s="55" t="s">
        <v>178</v>
      </c>
    </row>
    <row r="3105" spans="2:15">
      <c r="B3105" s="20">
        <v>45436</v>
      </c>
      <c r="C3105" s="59">
        <v>50818948</v>
      </c>
      <c r="D3105" s="55" t="s">
        <v>1173</v>
      </c>
      <c r="E3105" s="67">
        <v>400000</v>
      </c>
      <c r="G3105" s="102">
        <v>780680</v>
      </c>
      <c r="H3105" s="56" t="s">
        <v>92</v>
      </c>
      <c r="K3105" s="56">
        <v>874</v>
      </c>
      <c r="L3105" s="55" t="s">
        <v>176</v>
      </c>
      <c r="M3105" s="55" t="s">
        <v>2824</v>
      </c>
      <c r="N3105" s="4" t="s">
        <v>177</v>
      </c>
      <c r="O3105" s="55" t="s">
        <v>178</v>
      </c>
    </row>
    <row r="3106" spans="2:15">
      <c r="B3106" s="20">
        <v>45436</v>
      </c>
      <c r="C3106" s="59">
        <v>50818947</v>
      </c>
      <c r="D3106" s="55" t="s">
        <v>1174</v>
      </c>
      <c r="E3106" s="67">
        <v>400000</v>
      </c>
      <c r="G3106" s="102">
        <v>900000</v>
      </c>
      <c r="H3106" s="56" t="s">
        <v>92</v>
      </c>
      <c r="K3106" s="56">
        <v>874</v>
      </c>
      <c r="L3106" s="55" t="s">
        <v>176</v>
      </c>
      <c r="M3106" s="55" t="s">
        <v>2824</v>
      </c>
      <c r="N3106" s="4" t="s">
        <v>177</v>
      </c>
      <c r="O3106" s="55" t="s">
        <v>178</v>
      </c>
    </row>
    <row r="3107" spans="2:15">
      <c r="B3107" s="20">
        <v>45440</v>
      </c>
      <c r="C3107" s="59">
        <v>50814629</v>
      </c>
      <c r="D3107" s="55" t="s">
        <v>1226</v>
      </c>
      <c r="E3107" s="67">
        <v>456</v>
      </c>
      <c r="G3107" s="102">
        <v>610.9</v>
      </c>
      <c r="H3107" s="56" t="s">
        <v>987</v>
      </c>
      <c r="K3107" s="56">
        <v>875</v>
      </c>
      <c r="L3107" s="55" t="s">
        <v>326</v>
      </c>
      <c r="M3107" s="55" t="s">
        <v>326</v>
      </c>
      <c r="N3107" s="4" t="s">
        <v>712</v>
      </c>
      <c r="O3107" s="55" t="s">
        <v>178</v>
      </c>
    </row>
    <row r="3108" spans="2:15">
      <c r="B3108" s="20">
        <v>45440</v>
      </c>
      <c r="C3108" s="59">
        <v>50144376</v>
      </c>
      <c r="D3108" s="55" t="s">
        <v>19</v>
      </c>
      <c r="E3108" s="67">
        <v>500</v>
      </c>
      <c r="G3108" s="102">
        <v>2500</v>
      </c>
      <c r="H3108" s="56" t="s">
        <v>92</v>
      </c>
      <c r="K3108" s="56">
        <v>876</v>
      </c>
      <c r="L3108" s="55" t="s">
        <v>176</v>
      </c>
      <c r="M3108" s="55" t="s">
        <v>2824</v>
      </c>
      <c r="N3108" s="4" t="s">
        <v>177</v>
      </c>
      <c r="O3108" s="55" t="s">
        <v>178</v>
      </c>
    </row>
    <row r="3109" spans="2:15">
      <c r="B3109" s="20">
        <v>45440</v>
      </c>
      <c r="C3109" s="59">
        <v>50272278</v>
      </c>
      <c r="D3109" s="55" t="s">
        <v>21</v>
      </c>
      <c r="E3109" s="67">
        <v>500</v>
      </c>
      <c r="G3109" s="102">
        <v>8000</v>
      </c>
      <c r="H3109" s="56" t="s">
        <v>92</v>
      </c>
      <c r="K3109" s="56">
        <v>876</v>
      </c>
      <c r="L3109" s="55" t="s">
        <v>176</v>
      </c>
      <c r="M3109" s="55" t="s">
        <v>2824</v>
      </c>
      <c r="N3109" s="4" t="s">
        <v>177</v>
      </c>
      <c r="O3109" s="55" t="s">
        <v>178</v>
      </c>
    </row>
    <row r="3110" spans="2:15">
      <c r="B3110" s="20">
        <v>45440</v>
      </c>
      <c r="C3110" s="59">
        <v>50793278</v>
      </c>
      <c r="D3110" s="55" t="s">
        <v>1086</v>
      </c>
      <c r="E3110" s="67">
        <v>10</v>
      </c>
      <c r="G3110" s="102">
        <v>10</v>
      </c>
      <c r="H3110" s="56" t="s">
        <v>1087</v>
      </c>
      <c r="K3110" s="56">
        <v>876</v>
      </c>
      <c r="L3110" s="55" t="s">
        <v>176</v>
      </c>
      <c r="M3110" s="55" t="s">
        <v>2824</v>
      </c>
      <c r="N3110" s="4" t="s">
        <v>177</v>
      </c>
      <c r="O3110" s="55" t="s">
        <v>178</v>
      </c>
    </row>
    <row r="3111" spans="2:15">
      <c r="B3111" s="20">
        <v>45443</v>
      </c>
      <c r="C3111" s="59">
        <v>50010080</v>
      </c>
      <c r="D3111" s="55" t="s">
        <v>354</v>
      </c>
      <c r="E3111" s="67">
        <v>1000</v>
      </c>
      <c r="G3111" s="102">
        <v>2000</v>
      </c>
      <c r="H3111" s="56" t="s">
        <v>82</v>
      </c>
      <c r="K3111" s="56">
        <v>877</v>
      </c>
      <c r="L3111" s="55" t="s">
        <v>176</v>
      </c>
      <c r="M3111" s="55" t="s">
        <v>2824</v>
      </c>
      <c r="N3111" s="4" t="s">
        <v>177</v>
      </c>
      <c r="O3111" s="55" t="s">
        <v>178</v>
      </c>
    </row>
    <row r="3112" spans="2:15">
      <c r="B3112" s="20">
        <v>45443</v>
      </c>
      <c r="C3112" s="59">
        <v>40011130</v>
      </c>
      <c r="D3112" s="55" t="s">
        <v>631</v>
      </c>
      <c r="E3112" s="67">
        <v>3336</v>
      </c>
      <c r="G3112" s="102">
        <v>7165</v>
      </c>
      <c r="H3112" s="56" t="s">
        <v>80</v>
      </c>
      <c r="K3112" s="56">
        <v>877</v>
      </c>
      <c r="L3112" s="55" t="s">
        <v>176</v>
      </c>
      <c r="M3112" s="55" t="s">
        <v>2824</v>
      </c>
      <c r="N3112" s="4" t="s">
        <v>177</v>
      </c>
      <c r="O3112" s="55" t="s">
        <v>178</v>
      </c>
    </row>
    <row r="3113" spans="2:15">
      <c r="B3113" s="20">
        <v>45443</v>
      </c>
      <c r="C3113" s="59">
        <v>50507916</v>
      </c>
      <c r="D3113" s="55" t="s">
        <v>406</v>
      </c>
      <c r="E3113" s="67">
        <v>264000</v>
      </c>
      <c r="G3113" s="102">
        <v>1584000</v>
      </c>
      <c r="H3113" s="56" t="s">
        <v>92</v>
      </c>
      <c r="K3113" s="56">
        <v>877</v>
      </c>
      <c r="L3113" s="55" t="s">
        <v>176</v>
      </c>
      <c r="M3113" s="55" t="s">
        <v>2824</v>
      </c>
      <c r="N3113" s="4" t="s">
        <v>177</v>
      </c>
      <c r="O3113" s="55" t="s">
        <v>178</v>
      </c>
    </row>
    <row r="3114" spans="2:15">
      <c r="B3114" s="20">
        <v>45443</v>
      </c>
      <c r="C3114" s="59">
        <v>50818947</v>
      </c>
      <c r="D3114" s="55" t="s">
        <v>1174</v>
      </c>
      <c r="E3114" s="67">
        <v>400000</v>
      </c>
      <c r="G3114" s="102">
        <v>1800000</v>
      </c>
      <c r="H3114" s="56" t="s">
        <v>92</v>
      </c>
      <c r="K3114" s="56">
        <v>877</v>
      </c>
      <c r="L3114" s="55" t="s">
        <v>176</v>
      </c>
      <c r="M3114" s="55" t="s">
        <v>2824</v>
      </c>
      <c r="N3114" s="4" t="s">
        <v>177</v>
      </c>
      <c r="O3114" s="55" t="s">
        <v>178</v>
      </c>
    </row>
    <row r="3115" spans="2:15">
      <c r="B3115" s="20">
        <v>45443</v>
      </c>
      <c r="C3115" s="59">
        <v>50142350</v>
      </c>
      <c r="D3115" s="55" t="s">
        <v>212</v>
      </c>
      <c r="E3115" s="67">
        <v>282.5</v>
      </c>
      <c r="G3115" s="102">
        <v>282.5</v>
      </c>
      <c r="H3115" s="56" t="s">
        <v>82</v>
      </c>
      <c r="K3115" s="56">
        <v>877</v>
      </c>
      <c r="L3115" s="55" t="s">
        <v>176</v>
      </c>
      <c r="M3115" s="55" t="s">
        <v>2824</v>
      </c>
      <c r="N3115" s="4" t="s">
        <v>177</v>
      </c>
      <c r="O3115" s="55" t="s">
        <v>178</v>
      </c>
    </row>
    <row r="3116" spans="2:15">
      <c r="B3116" s="20">
        <v>45443</v>
      </c>
      <c r="C3116" s="59">
        <v>50142327</v>
      </c>
      <c r="D3116" s="55" t="s">
        <v>256</v>
      </c>
      <c r="E3116" s="67">
        <v>476</v>
      </c>
      <c r="G3116" s="102">
        <v>476.7</v>
      </c>
      <c r="H3116" s="56" t="s">
        <v>82</v>
      </c>
      <c r="K3116" s="56">
        <v>877</v>
      </c>
      <c r="L3116" s="55" t="s">
        <v>176</v>
      </c>
      <c r="M3116" s="55" t="s">
        <v>2824</v>
      </c>
      <c r="N3116" s="4" t="s">
        <v>177</v>
      </c>
      <c r="O3116" s="55" t="s">
        <v>178</v>
      </c>
    </row>
    <row r="3117" spans="2:15">
      <c r="B3117" s="20">
        <v>45443</v>
      </c>
      <c r="C3117" s="59">
        <v>50142334</v>
      </c>
      <c r="D3117" s="55" t="s">
        <v>257</v>
      </c>
      <c r="E3117" s="67">
        <v>681</v>
      </c>
      <c r="G3117" s="102">
        <v>681</v>
      </c>
      <c r="H3117" s="56" t="s">
        <v>82</v>
      </c>
      <c r="K3117" s="56">
        <v>877</v>
      </c>
      <c r="L3117" s="55" t="s">
        <v>176</v>
      </c>
      <c r="M3117" s="55" t="s">
        <v>2824</v>
      </c>
      <c r="N3117" s="4" t="s">
        <v>177</v>
      </c>
      <c r="O3117" s="55" t="s">
        <v>178</v>
      </c>
    </row>
    <row r="3118" spans="2:15">
      <c r="B3118" s="20">
        <v>45443</v>
      </c>
      <c r="C3118" s="59">
        <v>50142121</v>
      </c>
      <c r="D3118" s="55" t="s">
        <v>1243</v>
      </c>
      <c r="E3118" s="67">
        <v>25</v>
      </c>
      <c r="G3118" s="102">
        <v>25</v>
      </c>
      <c r="H3118" s="56" t="s">
        <v>82</v>
      </c>
      <c r="K3118" s="56">
        <v>877</v>
      </c>
      <c r="L3118" s="55" t="s">
        <v>176</v>
      </c>
      <c r="M3118" s="55" t="s">
        <v>2824</v>
      </c>
      <c r="N3118" s="4" t="s">
        <v>177</v>
      </c>
      <c r="O3118" s="55" t="s">
        <v>178</v>
      </c>
    </row>
    <row r="3119" spans="2:15">
      <c r="B3119" s="20">
        <v>45446</v>
      </c>
      <c r="C3119" s="59">
        <v>40010087</v>
      </c>
      <c r="D3119" s="55" t="s">
        <v>387</v>
      </c>
      <c r="E3119" s="67">
        <v>864</v>
      </c>
      <c r="G3119" s="102">
        <v>2592</v>
      </c>
      <c r="H3119" s="56" t="s">
        <v>80</v>
      </c>
      <c r="K3119" s="56">
        <v>878</v>
      </c>
      <c r="L3119" s="55" t="s">
        <v>176</v>
      </c>
      <c r="M3119" s="55" t="s">
        <v>2824</v>
      </c>
      <c r="N3119" s="4" t="s">
        <v>177</v>
      </c>
      <c r="O3119" s="55" t="s">
        <v>178</v>
      </c>
    </row>
    <row r="3120" spans="2:15">
      <c r="B3120" s="20">
        <v>45446</v>
      </c>
      <c r="C3120" s="59">
        <v>50272278</v>
      </c>
      <c r="D3120" s="55" t="s">
        <v>21</v>
      </c>
      <c r="E3120" s="67">
        <v>350</v>
      </c>
      <c r="G3120" s="102">
        <v>3500</v>
      </c>
      <c r="H3120" s="56" t="s">
        <v>92</v>
      </c>
      <c r="K3120" s="56">
        <v>878</v>
      </c>
      <c r="L3120" s="55" t="s">
        <v>176</v>
      </c>
      <c r="M3120" s="55" t="s">
        <v>2824</v>
      </c>
      <c r="N3120" s="4" t="s">
        <v>177</v>
      </c>
      <c r="O3120" s="55" t="s">
        <v>178</v>
      </c>
    </row>
    <row r="3121" spans="2:15">
      <c r="B3121" s="20">
        <v>45446</v>
      </c>
      <c r="C3121" s="59">
        <v>50507916</v>
      </c>
      <c r="D3121" s="55" t="s">
        <v>406</v>
      </c>
      <c r="E3121" s="67">
        <v>26400</v>
      </c>
      <c r="G3121" s="102">
        <v>1056000</v>
      </c>
      <c r="H3121" s="56" t="s">
        <v>92</v>
      </c>
      <c r="K3121" s="56">
        <v>878</v>
      </c>
      <c r="L3121" s="55" t="s">
        <v>176</v>
      </c>
      <c r="M3121" s="55" t="s">
        <v>2824</v>
      </c>
      <c r="N3121" s="4" t="s">
        <v>177</v>
      </c>
      <c r="O3121" s="55" t="s">
        <v>178</v>
      </c>
    </row>
    <row r="3122" spans="2:15">
      <c r="B3122" s="20">
        <v>45446</v>
      </c>
      <c r="C3122" s="59">
        <v>50337816</v>
      </c>
      <c r="D3122" s="55" t="s">
        <v>245</v>
      </c>
      <c r="E3122" s="67">
        <v>264</v>
      </c>
      <c r="G3122" s="102">
        <v>1056</v>
      </c>
      <c r="H3122" s="56" t="s">
        <v>80</v>
      </c>
      <c r="K3122" s="56">
        <v>878</v>
      </c>
      <c r="L3122" s="55" t="s">
        <v>176</v>
      </c>
      <c r="M3122" s="55" t="s">
        <v>2824</v>
      </c>
      <c r="N3122" s="4" t="s">
        <v>177</v>
      </c>
      <c r="O3122" s="55" t="s">
        <v>178</v>
      </c>
    </row>
    <row r="3123" spans="2:15">
      <c r="B3123" s="20">
        <v>45447</v>
      </c>
      <c r="C3123" s="59">
        <v>50142055</v>
      </c>
      <c r="D3123" s="55" t="s">
        <v>206</v>
      </c>
      <c r="E3123" s="67">
        <v>600</v>
      </c>
      <c r="G3123" s="102">
        <v>2600</v>
      </c>
      <c r="H3123" s="56" t="s">
        <v>82</v>
      </c>
      <c r="K3123" s="56">
        <v>879</v>
      </c>
      <c r="L3123" s="55" t="s">
        <v>176</v>
      </c>
      <c r="M3123" s="55" t="s">
        <v>2824</v>
      </c>
      <c r="N3123" s="4" t="s">
        <v>177</v>
      </c>
      <c r="O3123" s="55" t="s">
        <v>178</v>
      </c>
    </row>
    <row r="3124" spans="2:15">
      <c r="B3124" s="20">
        <v>45447</v>
      </c>
      <c r="C3124" s="59">
        <v>50809147</v>
      </c>
      <c r="D3124" s="55" t="s">
        <v>930</v>
      </c>
      <c r="E3124" s="67">
        <v>456</v>
      </c>
      <c r="G3124" s="102">
        <v>3871.22</v>
      </c>
      <c r="H3124" s="56" t="s">
        <v>82</v>
      </c>
      <c r="K3124" s="56">
        <v>879</v>
      </c>
      <c r="L3124" s="55" t="s">
        <v>176</v>
      </c>
      <c r="M3124" s="55" t="s">
        <v>2824</v>
      </c>
      <c r="N3124" s="4" t="s">
        <v>177</v>
      </c>
      <c r="O3124" s="55" t="s">
        <v>178</v>
      </c>
    </row>
    <row r="3125" spans="2:15">
      <c r="B3125" s="20">
        <v>45447</v>
      </c>
      <c r="C3125" s="59">
        <v>50272278</v>
      </c>
      <c r="D3125" s="55" t="s">
        <v>21</v>
      </c>
      <c r="E3125" s="67">
        <v>500</v>
      </c>
      <c r="G3125" s="102">
        <v>4000</v>
      </c>
      <c r="H3125" s="56" t="s">
        <v>92</v>
      </c>
      <c r="K3125" s="56">
        <v>879</v>
      </c>
      <c r="L3125" s="55" t="s">
        <v>176</v>
      </c>
      <c r="M3125" s="55" t="s">
        <v>2824</v>
      </c>
      <c r="N3125" s="4" t="s">
        <v>177</v>
      </c>
      <c r="O3125" s="55" t="s">
        <v>178</v>
      </c>
    </row>
    <row r="3126" spans="2:15">
      <c r="B3126" s="20">
        <v>45447</v>
      </c>
      <c r="C3126" s="59">
        <v>50793278</v>
      </c>
      <c r="D3126" s="55" t="s">
        <v>1086</v>
      </c>
      <c r="E3126" s="67">
        <v>10</v>
      </c>
      <c r="G3126" s="102">
        <v>10</v>
      </c>
      <c r="H3126" s="56" t="s">
        <v>1087</v>
      </c>
      <c r="K3126" s="56">
        <v>879</v>
      </c>
      <c r="L3126" s="55" t="s">
        <v>176</v>
      </c>
      <c r="M3126" s="55" t="s">
        <v>2824</v>
      </c>
      <c r="N3126" s="4" t="s">
        <v>177</v>
      </c>
      <c r="O3126" s="55" t="s">
        <v>178</v>
      </c>
    </row>
    <row r="3127" spans="2:15">
      <c r="B3127" s="20">
        <v>45449</v>
      </c>
      <c r="C3127" s="59">
        <v>50470190</v>
      </c>
      <c r="D3127" s="55" t="s">
        <v>12</v>
      </c>
      <c r="E3127" s="67">
        <v>289800</v>
      </c>
      <c r="G3127" s="102">
        <v>3477600</v>
      </c>
      <c r="H3127" s="56" t="s">
        <v>92</v>
      </c>
      <c r="K3127" s="56">
        <v>880</v>
      </c>
      <c r="L3127" s="55" t="s">
        <v>176</v>
      </c>
      <c r="M3127" s="55" t="s">
        <v>2824</v>
      </c>
      <c r="N3127" s="4" t="s">
        <v>177</v>
      </c>
      <c r="O3127" s="55" t="s">
        <v>178</v>
      </c>
    </row>
    <row r="3128" spans="2:15">
      <c r="B3128" s="20">
        <v>45449</v>
      </c>
      <c r="C3128" s="59">
        <v>50802401</v>
      </c>
      <c r="D3128" s="55" t="s">
        <v>13</v>
      </c>
      <c r="E3128" s="67">
        <v>289800</v>
      </c>
      <c r="G3128" s="102">
        <v>1449000</v>
      </c>
      <c r="H3128" s="56" t="s">
        <v>92</v>
      </c>
      <c r="K3128" s="56">
        <v>880</v>
      </c>
      <c r="L3128" s="55" t="s">
        <v>176</v>
      </c>
      <c r="M3128" s="55" t="s">
        <v>2824</v>
      </c>
      <c r="N3128" s="4" t="s">
        <v>177</v>
      </c>
      <c r="O3128" s="55" t="s">
        <v>178</v>
      </c>
    </row>
    <row r="3129" spans="2:15">
      <c r="B3129" s="20">
        <v>45449</v>
      </c>
      <c r="C3129" s="59">
        <v>50169446</v>
      </c>
      <c r="D3129" s="55" t="s">
        <v>1345</v>
      </c>
      <c r="E3129" s="67">
        <v>130.6</v>
      </c>
      <c r="G3129" s="102">
        <v>130.6</v>
      </c>
      <c r="H3129" s="56" t="s">
        <v>82</v>
      </c>
      <c r="K3129" s="56">
        <v>880</v>
      </c>
      <c r="L3129" s="55" t="s">
        <v>176</v>
      </c>
      <c r="M3129" s="55" t="s">
        <v>2824</v>
      </c>
      <c r="N3129" s="4" t="s">
        <v>177</v>
      </c>
      <c r="O3129" s="55" t="s">
        <v>178</v>
      </c>
    </row>
    <row r="3130" spans="2:15">
      <c r="B3130" s="20">
        <v>45449</v>
      </c>
      <c r="C3130" s="59">
        <v>50809147</v>
      </c>
      <c r="D3130" s="55" t="s">
        <v>930</v>
      </c>
      <c r="E3130" s="67">
        <v>456</v>
      </c>
      <c r="G3130" s="102">
        <v>2696.88</v>
      </c>
      <c r="H3130" s="56" t="s">
        <v>82</v>
      </c>
      <c r="K3130" s="56">
        <v>881</v>
      </c>
      <c r="L3130" s="55" t="s">
        <v>176</v>
      </c>
      <c r="M3130" s="55" t="s">
        <v>2824</v>
      </c>
      <c r="N3130" s="4" t="s">
        <v>177</v>
      </c>
      <c r="O3130" s="55" t="s">
        <v>178</v>
      </c>
    </row>
    <row r="3131" spans="2:15">
      <c r="B3131" s="20">
        <v>45449</v>
      </c>
      <c r="C3131" s="59">
        <v>50272278</v>
      </c>
      <c r="D3131" s="55" t="s">
        <v>21</v>
      </c>
      <c r="E3131" s="67">
        <v>500</v>
      </c>
      <c r="G3131" s="102">
        <v>2000</v>
      </c>
      <c r="H3131" s="56" t="s">
        <v>92</v>
      </c>
      <c r="K3131" s="56">
        <v>881</v>
      </c>
      <c r="L3131" s="55" t="s">
        <v>176</v>
      </c>
      <c r="M3131" s="55" t="s">
        <v>2824</v>
      </c>
      <c r="N3131" s="4" t="s">
        <v>177</v>
      </c>
      <c r="O3131" s="55" t="s">
        <v>178</v>
      </c>
    </row>
    <row r="3132" spans="2:15">
      <c r="B3132" s="20">
        <v>45449</v>
      </c>
      <c r="C3132" s="59">
        <v>40007938</v>
      </c>
      <c r="D3132" s="55" t="s">
        <v>202</v>
      </c>
      <c r="E3132" s="67">
        <v>3024</v>
      </c>
      <c r="G3132" s="102">
        <v>3024</v>
      </c>
      <c r="H3132" s="56" t="s">
        <v>80</v>
      </c>
      <c r="K3132" s="56">
        <v>881</v>
      </c>
      <c r="L3132" s="55" t="s">
        <v>176</v>
      </c>
      <c r="M3132" s="55" t="s">
        <v>2824</v>
      </c>
      <c r="N3132" s="4" t="s">
        <v>177</v>
      </c>
      <c r="O3132" s="55" t="s">
        <v>178</v>
      </c>
    </row>
    <row r="3133" spans="2:15">
      <c r="B3133" s="20">
        <v>45449</v>
      </c>
      <c r="C3133" s="59">
        <v>40007855</v>
      </c>
      <c r="D3133" s="55" t="s">
        <v>84</v>
      </c>
      <c r="E3133" s="67">
        <v>344</v>
      </c>
      <c r="G3133" s="102">
        <v>4032</v>
      </c>
      <c r="H3133" s="56" t="s">
        <v>80</v>
      </c>
      <c r="K3133" s="56">
        <v>881</v>
      </c>
      <c r="L3133" s="55" t="s">
        <v>176</v>
      </c>
      <c r="M3133" s="55" t="s">
        <v>2824</v>
      </c>
      <c r="N3133" s="4" t="s">
        <v>177</v>
      </c>
      <c r="O3133" s="55" t="s">
        <v>178</v>
      </c>
    </row>
    <row r="3134" spans="2:15">
      <c r="B3134" s="20">
        <v>45449</v>
      </c>
      <c r="C3134" s="59">
        <v>40009541</v>
      </c>
      <c r="D3134" s="55" t="s">
        <v>685</v>
      </c>
      <c r="E3134" s="67">
        <v>4801</v>
      </c>
      <c r="G3134" s="102">
        <v>4801</v>
      </c>
      <c r="H3134" s="56" t="s">
        <v>80</v>
      </c>
      <c r="K3134" s="56">
        <v>881</v>
      </c>
      <c r="L3134" s="55" t="s">
        <v>176</v>
      </c>
      <c r="M3134" s="55" t="s">
        <v>2824</v>
      </c>
      <c r="N3134" s="4" t="s">
        <v>177</v>
      </c>
      <c r="O3134" s="55" t="s">
        <v>178</v>
      </c>
    </row>
    <row r="3135" spans="2:15">
      <c r="B3135" s="20">
        <v>45449</v>
      </c>
      <c r="C3135" s="59">
        <v>40011148</v>
      </c>
      <c r="D3135" s="55" t="s">
        <v>86</v>
      </c>
      <c r="E3135" s="67">
        <v>450</v>
      </c>
      <c r="G3135" s="102">
        <v>900</v>
      </c>
      <c r="H3135" s="56" t="s">
        <v>80</v>
      </c>
      <c r="K3135" s="56">
        <v>881</v>
      </c>
      <c r="L3135" s="55" t="s">
        <v>176</v>
      </c>
      <c r="M3135" s="55" t="s">
        <v>2824</v>
      </c>
      <c r="N3135" s="4" t="s">
        <v>177</v>
      </c>
      <c r="O3135" s="55" t="s">
        <v>178</v>
      </c>
    </row>
    <row r="3136" spans="2:15">
      <c r="B3136" s="20">
        <v>45449</v>
      </c>
      <c r="C3136" s="59">
        <v>50818948</v>
      </c>
      <c r="D3136" s="55" t="s">
        <v>1173</v>
      </c>
      <c r="E3136" s="67">
        <v>400000</v>
      </c>
      <c r="G3136" s="102">
        <v>400000</v>
      </c>
      <c r="H3136" s="56" t="s">
        <v>92</v>
      </c>
      <c r="K3136" s="56">
        <v>881</v>
      </c>
      <c r="L3136" s="55" t="s">
        <v>176</v>
      </c>
      <c r="M3136" s="55" t="s">
        <v>2824</v>
      </c>
      <c r="N3136" s="4" t="s">
        <v>177</v>
      </c>
      <c r="O3136" s="55" t="s">
        <v>178</v>
      </c>
    </row>
    <row r="3137" spans="2:15">
      <c r="B3137" s="20">
        <v>45450</v>
      </c>
      <c r="C3137" s="59">
        <v>50272278</v>
      </c>
      <c r="D3137" s="55" t="s">
        <v>21</v>
      </c>
      <c r="E3137" s="67">
        <v>500</v>
      </c>
      <c r="G3137" s="102">
        <v>11000</v>
      </c>
      <c r="H3137" s="56" t="s">
        <v>92</v>
      </c>
      <c r="K3137" s="56">
        <v>882</v>
      </c>
      <c r="L3137" s="55" t="s">
        <v>176</v>
      </c>
      <c r="M3137" s="55" t="s">
        <v>2824</v>
      </c>
      <c r="N3137" s="4" t="s">
        <v>177</v>
      </c>
      <c r="O3137" s="55" t="s">
        <v>178</v>
      </c>
    </row>
    <row r="3138" spans="2:15">
      <c r="B3138" s="20">
        <v>45450</v>
      </c>
      <c r="C3138" s="59">
        <v>50010080</v>
      </c>
      <c r="D3138" s="55" t="s">
        <v>354</v>
      </c>
      <c r="E3138" s="67">
        <v>1000</v>
      </c>
      <c r="G3138" s="102">
        <v>3000</v>
      </c>
      <c r="H3138" s="56" t="s">
        <v>82</v>
      </c>
      <c r="K3138" s="56">
        <v>883</v>
      </c>
      <c r="L3138" s="55" t="s">
        <v>176</v>
      </c>
      <c r="M3138" s="55" t="s">
        <v>2824</v>
      </c>
      <c r="N3138" s="4" t="s">
        <v>177</v>
      </c>
      <c r="O3138" s="55" t="s">
        <v>178</v>
      </c>
    </row>
    <row r="3139" spans="2:15">
      <c r="B3139" s="20">
        <v>45450</v>
      </c>
      <c r="C3139" s="59">
        <v>50793278</v>
      </c>
      <c r="D3139" s="55" t="s">
        <v>1086</v>
      </c>
      <c r="E3139" s="67">
        <v>10</v>
      </c>
      <c r="G3139" s="102">
        <v>30</v>
      </c>
      <c r="H3139" s="56" t="s">
        <v>1087</v>
      </c>
      <c r="K3139" s="56">
        <v>883</v>
      </c>
      <c r="L3139" s="55" t="s">
        <v>176</v>
      </c>
      <c r="M3139" s="55" t="s">
        <v>2824</v>
      </c>
      <c r="N3139" s="4" t="s">
        <v>177</v>
      </c>
      <c r="O3139" s="55" t="s">
        <v>178</v>
      </c>
    </row>
    <row r="3140" spans="2:15">
      <c r="B3140" s="20">
        <v>45450</v>
      </c>
      <c r="C3140" s="59">
        <v>50470190</v>
      </c>
      <c r="D3140" s="55" t="s">
        <v>12</v>
      </c>
      <c r="E3140" s="67">
        <v>289800</v>
      </c>
      <c r="G3140" s="102">
        <v>1449000</v>
      </c>
      <c r="H3140" s="56" t="s">
        <v>92</v>
      </c>
      <c r="K3140" s="56">
        <v>883</v>
      </c>
      <c r="L3140" s="55" t="s">
        <v>176</v>
      </c>
      <c r="M3140" s="55" t="s">
        <v>2824</v>
      </c>
      <c r="N3140" s="4" t="s">
        <v>177</v>
      </c>
      <c r="O3140" s="55" t="s">
        <v>178</v>
      </c>
    </row>
    <row r="3141" spans="2:15">
      <c r="B3141" s="20">
        <v>45450</v>
      </c>
      <c r="C3141" s="59">
        <v>50802401</v>
      </c>
      <c r="D3141" s="55" t="s">
        <v>13</v>
      </c>
      <c r="E3141" s="67">
        <v>289800</v>
      </c>
      <c r="G3141" s="102">
        <v>1449000</v>
      </c>
      <c r="H3141" s="56" t="s">
        <v>92</v>
      </c>
      <c r="K3141" s="56">
        <v>883</v>
      </c>
      <c r="L3141" s="55" t="s">
        <v>176</v>
      </c>
      <c r="M3141" s="55" t="s">
        <v>2824</v>
      </c>
      <c r="N3141" s="4" t="s">
        <v>177</v>
      </c>
      <c r="O3141" s="55" t="s">
        <v>178</v>
      </c>
    </row>
    <row r="3142" spans="2:15">
      <c r="B3142" s="20">
        <v>45450</v>
      </c>
      <c r="C3142" s="59">
        <v>50809147</v>
      </c>
      <c r="D3142" s="55" t="s">
        <v>930</v>
      </c>
      <c r="E3142" s="67">
        <v>456</v>
      </c>
      <c r="G3142" s="102">
        <v>4419.48</v>
      </c>
      <c r="H3142" s="56" t="s">
        <v>82</v>
      </c>
      <c r="K3142" s="56">
        <v>883</v>
      </c>
      <c r="L3142" s="55" t="s">
        <v>176</v>
      </c>
      <c r="M3142" s="55" t="s">
        <v>2824</v>
      </c>
      <c r="N3142" s="4" t="s">
        <v>177</v>
      </c>
      <c r="O3142" s="55" t="s">
        <v>178</v>
      </c>
    </row>
    <row r="3143" spans="2:15">
      <c r="B3143" s="20">
        <v>45450</v>
      </c>
      <c r="C3143" s="59">
        <v>50142327</v>
      </c>
      <c r="D3143" s="55" t="s">
        <v>256</v>
      </c>
      <c r="E3143" s="67">
        <v>467</v>
      </c>
      <c r="G3143" s="102">
        <v>1021.5</v>
      </c>
      <c r="H3143" s="56" t="s">
        <v>82</v>
      </c>
      <c r="K3143" s="56">
        <v>883</v>
      </c>
      <c r="L3143" s="55" t="s">
        <v>176</v>
      </c>
      <c r="M3143" s="55" t="s">
        <v>2824</v>
      </c>
      <c r="N3143" s="4" t="s">
        <v>177</v>
      </c>
      <c r="O3143" s="55" t="s">
        <v>178</v>
      </c>
    </row>
    <row r="3144" spans="2:15">
      <c r="B3144" s="20">
        <v>45450</v>
      </c>
      <c r="C3144" s="59">
        <v>50145028</v>
      </c>
      <c r="D3144" s="55" t="s">
        <v>23</v>
      </c>
      <c r="E3144" s="67">
        <v>192</v>
      </c>
      <c r="G3144" s="102">
        <v>576</v>
      </c>
      <c r="H3144" s="56" t="s">
        <v>92</v>
      </c>
      <c r="K3144" s="56">
        <v>884</v>
      </c>
      <c r="L3144" s="55" t="s">
        <v>326</v>
      </c>
      <c r="M3144" s="55" t="s">
        <v>326</v>
      </c>
      <c r="N3144" s="4" t="s">
        <v>712</v>
      </c>
      <c r="O3144" s="55" t="s">
        <v>178</v>
      </c>
    </row>
    <row r="3145" spans="2:15">
      <c r="B3145" s="20">
        <v>45450</v>
      </c>
      <c r="C3145" s="59">
        <v>50144376</v>
      </c>
      <c r="D3145" s="55" t="s">
        <v>19</v>
      </c>
      <c r="E3145" s="67">
        <v>500</v>
      </c>
      <c r="G3145" s="102">
        <v>5000</v>
      </c>
      <c r="H3145" s="56" t="s">
        <v>92</v>
      </c>
      <c r="K3145" s="56">
        <v>884</v>
      </c>
      <c r="L3145" s="55" t="s">
        <v>326</v>
      </c>
      <c r="M3145" s="55" t="s">
        <v>326</v>
      </c>
      <c r="N3145" s="4" t="s">
        <v>712</v>
      </c>
      <c r="O3145" s="55" t="s">
        <v>178</v>
      </c>
    </row>
    <row r="3146" spans="2:15">
      <c r="B3146" s="20">
        <v>45454</v>
      </c>
      <c r="C3146" s="59">
        <v>50272278</v>
      </c>
      <c r="D3146" s="55" t="s">
        <v>21</v>
      </c>
      <c r="E3146" s="67">
        <v>500</v>
      </c>
      <c r="G3146" s="102">
        <v>11000</v>
      </c>
      <c r="H3146" s="56" t="s">
        <v>92</v>
      </c>
      <c r="K3146" s="56">
        <v>885</v>
      </c>
      <c r="L3146" s="55" t="s">
        <v>176</v>
      </c>
      <c r="M3146" s="55" t="s">
        <v>2824</v>
      </c>
      <c r="N3146" s="4" t="s">
        <v>177</v>
      </c>
      <c r="O3146" s="55" t="s">
        <v>178</v>
      </c>
    </row>
    <row r="3147" spans="2:15">
      <c r="B3147" s="20">
        <v>45454</v>
      </c>
      <c r="C3147" s="59">
        <v>50470190</v>
      </c>
      <c r="D3147" s="55" t="s">
        <v>12</v>
      </c>
      <c r="E3147" s="67">
        <v>289800</v>
      </c>
      <c r="G3147" s="102">
        <v>2898000</v>
      </c>
      <c r="H3147" s="56" t="s">
        <v>92</v>
      </c>
      <c r="K3147" s="56">
        <v>886</v>
      </c>
      <c r="L3147" s="55" t="s">
        <v>176</v>
      </c>
      <c r="M3147" s="55" t="s">
        <v>2824</v>
      </c>
      <c r="N3147" s="4" t="s">
        <v>177</v>
      </c>
      <c r="O3147" s="55" t="s">
        <v>178</v>
      </c>
    </row>
    <row r="3148" spans="2:15">
      <c r="B3148" s="20">
        <v>45454</v>
      </c>
      <c r="C3148" s="59">
        <v>50144376</v>
      </c>
      <c r="D3148" s="55" t="s">
        <v>19</v>
      </c>
      <c r="E3148" s="67">
        <v>500</v>
      </c>
      <c r="G3148" s="102">
        <v>5000</v>
      </c>
      <c r="H3148" s="56" t="s">
        <v>92</v>
      </c>
      <c r="K3148" s="56">
        <v>886</v>
      </c>
      <c r="L3148" s="55" t="s">
        <v>176</v>
      </c>
      <c r="M3148" s="55" t="s">
        <v>2824</v>
      </c>
      <c r="N3148" s="4" t="s">
        <v>177</v>
      </c>
      <c r="O3148" s="55" t="s">
        <v>178</v>
      </c>
    </row>
    <row r="3149" spans="2:15">
      <c r="B3149" s="20">
        <v>45456</v>
      </c>
      <c r="C3149" s="59">
        <v>50272278</v>
      </c>
      <c r="D3149" s="55" t="s">
        <v>21</v>
      </c>
      <c r="E3149" s="67">
        <v>350</v>
      </c>
      <c r="G3149" s="102">
        <v>3500</v>
      </c>
      <c r="H3149" s="56" t="s">
        <v>92</v>
      </c>
      <c r="K3149" s="56">
        <v>887</v>
      </c>
      <c r="L3149" s="55" t="s">
        <v>176</v>
      </c>
      <c r="M3149" s="55" t="s">
        <v>2824</v>
      </c>
      <c r="N3149" s="4" t="s">
        <v>177</v>
      </c>
      <c r="O3149" s="55" t="s">
        <v>178</v>
      </c>
    </row>
    <row r="3150" spans="2:15">
      <c r="B3150" s="20">
        <v>45456</v>
      </c>
      <c r="C3150" s="59">
        <v>50802401</v>
      </c>
      <c r="D3150" s="55" t="s">
        <v>13</v>
      </c>
      <c r="E3150" s="67">
        <v>289800</v>
      </c>
      <c r="G3150" s="102">
        <v>2898000</v>
      </c>
      <c r="H3150" s="56" t="s">
        <v>92</v>
      </c>
      <c r="K3150" s="56">
        <v>888</v>
      </c>
      <c r="L3150" s="55" t="s">
        <v>176</v>
      </c>
      <c r="M3150" s="55" t="s">
        <v>2824</v>
      </c>
      <c r="N3150" s="4" t="s">
        <v>177</v>
      </c>
      <c r="O3150" s="55" t="s">
        <v>178</v>
      </c>
    </row>
    <row r="3151" spans="2:15">
      <c r="B3151" s="20">
        <v>45456</v>
      </c>
      <c r="C3151" s="59">
        <v>20016185</v>
      </c>
      <c r="D3151" s="55" t="s">
        <v>285</v>
      </c>
      <c r="E3151" s="67">
        <v>1000</v>
      </c>
      <c r="G3151" s="102">
        <v>10000</v>
      </c>
      <c r="H3151" s="56" t="s">
        <v>92</v>
      </c>
      <c r="K3151" s="56">
        <v>888</v>
      </c>
      <c r="L3151" s="55" t="s">
        <v>176</v>
      </c>
      <c r="M3151" s="55" t="s">
        <v>2824</v>
      </c>
      <c r="N3151" s="4" t="s">
        <v>177</v>
      </c>
      <c r="O3151" s="55" t="s">
        <v>178</v>
      </c>
    </row>
    <row r="3152" spans="2:15">
      <c r="B3152" s="20">
        <v>45456</v>
      </c>
      <c r="C3152" s="59">
        <v>50143875</v>
      </c>
      <c r="D3152" s="55" t="s">
        <v>713</v>
      </c>
      <c r="E3152" s="67">
        <v>9500</v>
      </c>
      <c r="G3152" s="102">
        <v>9500</v>
      </c>
      <c r="H3152" s="56" t="s">
        <v>92</v>
      </c>
      <c r="K3152" s="56">
        <v>888</v>
      </c>
      <c r="L3152" s="55" t="s">
        <v>176</v>
      </c>
      <c r="M3152" s="55" t="s">
        <v>2824</v>
      </c>
      <c r="N3152" s="4" t="s">
        <v>177</v>
      </c>
      <c r="O3152" s="55" t="s">
        <v>178</v>
      </c>
    </row>
    <row r="3153" spans="2:15">
      <c r="B3153" s="20">
        <v>45456</v>
      </c>
      <c r="C3153" s="59">
        <v>50143894</v>
      </c>
      <c r="D3153" s="55" t="s">
        <v>944</v>
      </c>
      <c r="E3153" s="67">
        <v>5000</v>
      </c>
      <c r="G3153" s="102">
        <v>5000</v>
      </c>
      <c r="H3153" s="56" t="s">
        <v>92</v>
      </c>
      <c r="K3153" s="56">
        <v>888</v>
      </c>
      <c r="L3153" s="55" t="s">
        <v>176</v>
      </c>
      <c r="M3153" s="55" t="s">
        <v>2824</v>
      </c>
      <c r="N3153" s="4" t="s">
        <v>177</v>
      </c>
      <c r="O3153" s="55" t="s">
        <v>178</v>
      </c>
    </row>
    <row r="3154" spans="2:15">
      <c r="B3154" s="20">
        <v>45456</v>
      </c>
      <c r="C3154" s="59">
        <v>40011080</v>
      </c>
      <c r="D3154" s="55" t="s">
        <v>420</v>
      </c>
      <c r="E3154" s="67">
        <v>450</v>
      </c>
      <c r="G3154" s="102">
        <v>1350</v>
      </c>
      <c r="H3154" s="56" t="s">
        <v>80</v>
      </c>
      <c r="K3154" s="56">
        <v>888</v>
      </c>
      <c r="L3154" s="55" t="s">
        <v>176</v>
      </c>
      <c r="M3154" s="55" t="s">
        <v>2824</v>
      </c>
      <c r="N3154" s="4" t="s">
        <v>177</v>
      </c>
      <c r="O3154" s="55" t="s">
        <v>178</v>
      </c>
    </row>
    <row r="3155" spans="2:15">
      <c r="B3155" s="20">
        <v>45456</v>
      </c>
      <c r="C3155" s="59">
        <v>50337816</v>
      </c>
      <c r="D3155" s="55" t="s">
        <v>245</v>
      </c>
      <c r="E3155" s="67">
        <v>264</v>
      </c>
      <c r="G3155" s="102">
        <v>1056</v>
      </c>
      <c r="H3155" s="56" t="s">
        <v>80</v>
      </c>
      <c r="K3155" s="56">
        <v>888</v>
      </c>
      <c r="L3155" s="55" t="s">
        <v>176</v>
      </c>
      <c r="M3155" s="55" t="s">
        <v>2824</v>
      </c>
      <c r="N3155" s="4" t="s">
        <v>177</v>
      </c>
      <c r="O3155" s="55" t="s">
        <v>178</v>
      </c>
    </row>
    <row r="3156" spans="2:15">
      <c r="B3156" s="20">
        <v>45456</v>
      </c>
      <c r="C3156" s="59">
        <v>50470190</v>
      </c>
      <c r="D3156" s="55" t="s">
        <v>12</v>
      </c>
      <c r="E3156" s="67">
        <v>289800</v>
      </c>
      <c r="G3156" s="102">
        <v>2608200</v>
      </c>
      <c r="H3156" s="56" t="s">
        <v>92</v>
      </c>
      <c r="K3156" s="56">
        <v>888</v>
      </c>
      <c r="L3156" s="55" t="s">
        <v>176</v>
      </c>
      <c r="M3156" s="55" t="s">
        <v>2824</v>
      </c>
      <c r="N3156" s="4" t="s">
        <v>177</v>
      </c>
      <c r="O3156" s="55" t="s">
        <v>178</v>
      </c>
    </row>
    <row r="3157" spans="2:15">
      <c r="B3157" s="20">
        <v>45456</v>
      </c>
      <c r="C3157" s="59">
        <v>50144334</v>
      </c>
      <c r="D3157" s="55" t="s">
        <v>426</v>
      </c>
      <c r="E3157" s="67">
        <v>10</v>
      </c>
      <c r="G3157" s="102">
        <v>10</v>
      </c>
      <c r="H3157" s="56" t="s">
        <v>82</v>
      </c>
      <c r="K3157" s="56">
        <v>889</v>
      </c>
      <c r="M3157" s="55" t="s">
        <v>2824</v>
      </c>
      <c r="O3157" s="55" t="s">
        <v>178</v>
      </c>
    </row>
    <row r="3158" spans="2:15">
      <c r="B3158" s="20">
        <v>45457</v>
      </c>
      <c r="C3158" s="59">
        <v>50809353</v>
      </c>
      <c r="D3158" s="55" t="s">
        <v>905</v>
      </c>
      <c r="E3158" s="67">
        <v>375</v>
      </c>
      <c r="G3158" s="102">
        <v>375</v>
      </c>
      <c r="H3158" s="56" t="s">
        <v>82</v>
      </c>
      <c r="K3158" s="56">
        <v>890</v>
      </c>
      <c r="L3158" s="55" t="s">
        <v>176</v>
      </c>
      <c r="M3158" s="55" t="s">
        <v>2824</v>
      </c>
      <c r="N3158" s="4" t="s">
        <v>177</v>
      </c>
      <c r="O3158" s="55" t="s">
        <v>178</v>
      </c>
    </row>
    <row r="3159" spans="2:15">
      <c r="B3159" s="20">
        <v>45457</v>
      </c>
      <c r="C3159" s="59">
        <v>50010080</v>
      </c>
      <c r="D3159" s="55" t="s">
        <v>354</v>
      </c>
      <c r="E3159" s="67">
        <v>1000</v>
      </c>
      <c r="G3159" s="102">
        <v>2000</v>
      </c>
      <c r="H3159" s="56" t="s">
        <v>82</v>
      </c>
      <c r="K3159" s="56">
        <v>890</v>
      </c>
      <c r="L3159" s="55" t="s">
        <v>176</v>
      </c>
      <c r="M3159" s="55" t="s">
        <v>2824</v>
      </c>
      <c r="N3159" s="4" t="s">
        <v>177</v>
      </c>
      <c r="O3159" s="55" t="s">
        <v>178</v>
      </c>
    </row>
    <row r="3160" spans="2:15">
      <c r="B3160" s="20">
        <v>45457</v>
      </c>
      <c r="C3160" s="59">
        <v>50142424</v>
      </c>
      <c r="D3160" s="55" t="s">
        <v>33</v>
      </c>
      <c r="E3160" s="67">
        <v>1000</v>
      </c>
      <c r="G3160" s="102">
        <v>1000</v>
      </c>
      <c r="H3160" s="56" t="s">
        <v>82</v>
      </c>
      <c r="K3160" s="56">
        <v>890</v>
      </c>
      <c r="L3160" s="55" t="s">
        <v>176</v>
      </c>
      <c r="M3160" s="55" t="s">
        <v>2824</v>
      </c>
      <c r="N3160" s="4" t="s">
        <v>177</v>
      </c>
      <c r="O3160" s="55" t="s">
        <v>178</v>
      </c>
    </row>
    <row r="3161" spans="2:15">
      <c r="B3161" s="20">
        <v>45457</v>
      </c>
      <c r="C3161" s="59">
        <v>50143893</v>
      </c>
      <c r="D3161" s="55" t="s">
        <v>24</v>
      </c>
      <c r="E3161" s="67">
        <v>990</v>
      </c>
      <c r="G3161" s="102">
        <v>2970</v>
      </c>
      <c r="H3161" s="56" t="s">
        <v>92</v>
      </c>
      <c r="K3161" s="56">
        <v>890</v>
      </c>
      <c r="L3161" s="55" t="s">
        <v>176</v>
      </c>
      <c r="M3161" s="55" t="s">
        <v>2824</v>
      </c>
      <c r="N3161" s="4" t="s">
        <v>177</v>
      </c>
      <c r="O3161" s="55" t="s">
        <v>178</v>
      </c>
    </row>
    <row r="3162" spans="2:15">
      <c r="B3162" s="20">
        <v>45457</v>
      </c>
      <c r="C3162" s="59">
        <v>50272278</v>
      </c>
      <c r="D3162" s="55" t="s">
        <v>21</v>
      </c>
      <c r="E3162" s="67">
        <v>500</v>
      </c>
      <c r="G3162" s="102">
        <v>6000</v>
      </c>
      <c r="H3162" s="56" t="s">
        <v>92</v>
      </c>
      <c r="K3162" s="56">
        <v>890</v>
      </c>
      <c r="L3162" s="55" t="s">
        <v>176</v>
      </c>
      <c r="M3162" s="55" t="s">
        <v>2824</v>
      </c>
      <c r="N3162" s="4" t="s">
        <v>177</v>
      </c>
      <c r="O3162" s="55" t="s">
        <v>178</v>
      </c>
    </row>
    <row r="3163" spans="2:15">
      <c r="B3163" s="20">
        <v>45457</v>
      </c>
      <c r="C3163" s="59">
        <v>50793278</v>
      </c>
      <c r="D3163" s="55" t="s">
        <v>1086</v>
      </c>
      <c r="E3163" s="67">
        <v>10</v>
      </c>
      <c r="G3163" s="102">
        <v>20</v>
      </c>
      <c r="H3163" s="56" t="s">
        <v>1087</v>
      </c>
      <c r="K3163" s="56">
        <v>890</v>
      </c>
      <c r="L3163" s="55" t="s">
        <v>176</v>
      </c>
      <c r="M3163" s="55" t="s">
        <v>2824</v>
      </c>
      <c r="N3163" s="4" t="s">
        <v>177</v>
      </c>
      <c r="O3163" s="55" t="s">
        <v>178</v>
      </c>
    </row>
    <row r="3164" spans="2:15">
      <c r="B3164" s="20">
        <v>45457</v>
      </c>
      <c r="C3164" s="59">
        <v>50010080</v>
      </c>
      <c r="D3164" s="55" t="s">
        <v>354</v>
      </c>
      <c r="E3164" s="67">
        <v>1000</v>
      </c>
      <c r="G3164" s="102">
        <v>2000</v>
      </c>
      <c r="H3164" s="56" t="s">
        <v>82</v>
      </c>
      <c r="K3164" s="56">
        <v>891</v>
      </c>
      <c r="L3164" s="55" t="s">
        <v>176</v>
      </c>
      <c r="M3164" s="55" t="s">
        <v>2824</v>
      </c>
      <c r="N3164" s="4" t="s">
        <v>177</v>
      </c>
      <c r="O3164" s="55" t="s">
        <v>178</v>
      </c>
    </row>
    <row r="3165" spans="2:15">
      <c r="B3165" s="20">
        <v>45457</v>
      </c>
      <c r="C3165" s="59">
        <v>50804971</v>
      </c>
      <c r="D3165" s="55" t="s">
        <v>855</v>
      </c>
      <c r="E3165" s="67">
        <v>99000</v>
      </c>
      <c r="G3165" s="102">
        <v>2038800</v>
      </c>
      <c r="H3165" s="56" t="s">
        <v>92</v>
      </c>
      <c r="K3165" s="56">
        <v>891</v>
      </c>
      <c r="L3165" s="55" t="s">
        <v>176</v>
      </c>
      <c r="M3165" s="55" t="s">
        <v>2824</v>
      </c>
      <c r="N3165" s="4" t="s">
        <v>177</v>
      </c>
      <c r="O3165" s="55" t="s">
        <v>178</v>
      </c>
    </row>
    <row r="3166" spans="2:15">
      <c r="B3166" s="20">
        <v>45457</v>
      </c>
      <c r="C3166" s="59">
        <v>50804929</v>
      </c>
      <c r="D3166" s="55" t="s">
        <v>856</v>
      </c>
      <c r="E3166" s="67">
        <v>504000</v>
      </c>
      <c r="G3166" s="102">
        <v>1008000</v>
      </c>
      <c r="H3166" s="56" t="s">
        <v>92</v>
      </c>
      <c r="K3166" s="56">
        <v>891</v>
      </c>
      <c r="L3166" s="55" t="s">
        <v>176</v>
      </c>
      <c r="M3166" s="55" t="s">
        <v>2824</v>
      </c>
      <c r="N3166" s="4" t="s">
        <v>177</v>
      </c>
      <c r="O3166" s="55" t="s">
        <v>178</v>
      </c>
    </row>
    <row r="3167" spans="2:15">
      <c r="B3167" s="20">
        <v>45457</v>
      </c>
      <c r="C3167" s="59">
        <v>50145187</v>
      </c>
      <c r="D3167" s="55" t="s">
        <v>465</v>
      </c>
      <c r="E3167" s="67">
        <v>2640000</v>
      </c>
      <c r="G3167" s="102">
        <v>528000</v>
      </c>
      <c r="H3167" s="56" t="s">
        <v>92</v>
      </c>
      <c r="K3167" s="56">
        <v>891</v>
      </c>
      <c r="L3167" s="55" t="s">
        <v>176</v>
      </c>
      <c r="M3167" s="55" t="s">
        <v>2824</v>
      </c>
      <c r="N3167" s="4" t="s">
        <v>177</v>
      </c>
      <c r="O3167" s="55" t="s">
        <v>178</v>
      </c>
    </row>
    <row r="3168" spans="2:15">
      <c r="B3168" s="20">
        <v>45457</v>
      </c>
      <c r="C3168" s="59">
        <v>50470190</v>
      </c>
      <c r="D3168" s="55" t="s">
        <v>12</v>
      </c>
      <c r="E3168" s="67">
        <v>289800</v>
      </c>
      <c r="G3168" s="102">
        <v>2318400</v>
      </c>
      <c r="H3168" s="56" t="s">
        <v>92</v>
      </c>
      <c r="K3168" s="56">
        <v>891</v>
      </c>
      <c r="L3168" s="55" t="s">
        <v>176</v>
      </c>
      <c r="M3168" s="55" t="s">
        <v>2824</v>
      </c>
      <c r="N3168" s="4" t="s">
        <v>177</v>
      </c>
      <c r="O3168" s="55" t="s">
        <v>178</v>
      </c>
    </row>
    <row r="3169" spans="2:15">
      <c r="B3169" s="20">
        <v>45457</v>
      </c>
      <c r="C3169" s="59">
        <v>50142327</v>
      </c>
      <c r="D3169" s="55" t="s">
        <v>256</v>
      </c>
      <c r="E3169" s="67">
        <v>475</v>
      </c>
      <c r="G3169" s="102">
        <v>953.4</v>
      </c>
      <c r="H3169" s="56" t="s">
        <v>82</v>
      </c>
      <c r="K3169" s="56">
        <v>891</v>
      </c>
      <c r="L3169" s="55" t="s">
        <v>176</v>
      </c>
      <c r="M3169" s="55" t="s">
        <v>2824</v>
      </c>
      <c r="N3169" s="4" t="s">
        <v>177</v>
      </c>
      <c r="O3169" s="55" t="s">
        <v>178</v>
      </c>
    </row>
    <row r="3170" spans="2:15">
      <c r="B3170" s="20">
        <v>45457</v>
      </c>
      <c r="C3170" s="59">
        <v>50142334</v>
      </c>
      <c r="D3170" s="55" t="s">
        <v>257</v>
      </c>
      <c r="E3170" s="67">
        <v>475</v>
      </c>
      <c r="G3170" s="102">
        <v>953.4</v>
      </c>
      <c r="H3170" s="56" t="s">
        <v>82</v>
      </c>
      <c r="K3170" s="56">
        <v>891</v>
      </c>
      <c r="L3170" s="55" t="s">
        <v>176</v>
      </c>
      <c r="M3170" s="55" t="s">
        <v>2824</v>
      </c>
      <c r="N3170" s="4" t="s">
        <v>177</v>
      </c>
      <c r="O3170" s="55" t="s">
        <v>178</v>
      </c>
    </row>
    <row r="3171" spans="2:15">
      <c r="B3171" s="20">
        <v>45457</v>
      </c>
      <c r="C3171" s="59">
        <v>50144376</v>
      </c>
      <c r="D3171" s="55" t="s">
        <v>19</v>
      </c>
      <c r="E3171" s="67">
        <v>500</v>
      </c>
      <c r="G3171" s="102">
        <v>5000</v>
      </c>
      <c r="H3171" s="56" t="s">
        <v>92</v>
      </c>
      <c r="K3171" s="56">
        <v>892</v>
      </c>
      <c r="L3171" s="55" t="s">
        <v>176</v>
      </c>
      <c r="M3171" s="55" t="s">
        <v>2824</v>
      </c>
      <c r="N3171" s="4" t="s">
        <v>177</v>
      </c>
      <c r="O3171" s="55" t="s">
        <v>178</v>
      </c>
    </row>
    <row r="3172" spans="2:15">
      <c r="B3172" s="20">
        <v>45460</v>
      </c>
      <c r="C3172" s="59">
        <v>50813995</v>
      </c>
      <c r="D3172" s="55" t="s">
        <v>960</v>
      </c>
      <c r="E3172" s="67">
        <v>456</v>
      </c>
      <c r="G3172" s="102">
        <v>4463.4</v>
      </c>
      <c r="H3172" s="56" t="s">
        <v>82</v>
      </c>
      <c r="K3172" s="56">
        <v>893</v>
      </c>
      <c r="L3172" s="55" t="s">
        <v>176</v>
      </c>
      <c r="M3172" s="55" t="s">
        <v>2824</v>
      </c>
      <c r="N3172" s="4" t="s">
        <v>177</v>
      </c>
      <c r="O3172" s="55" t="s">
        <v>178</v>
      </c>
    </row>
    <row r="3173" spans="2:15">
      <c r="B3173" s="20">
        <v>45460</v>
      </c>
      <c r="C3173" s="59">
        <v>50144376</v>
      </c>
      <c r="D3173" s="55" t="s">
        <v>19</v>
      </c>
      <c r="E3173" s="67">
        <v>500</v>
      </c>
      <c r="G3173" s="102">
        <v>5500</v>
      </c>
      <c r="H3173" s="56" t="s">
        <v>92</v>
      </c>
      <c r="K3173" s="56">
        <v>893</v>
      </c>
      <c r="L3173" s="55" t="s">
        <v>176</v>
      </c>
      <c r="M3173" s="55" t="s">
        <v>2824</v>
      </c>
      <c r="N3173" s="4" t="s">
        <v>177</v>
      </c>
      <c r="O3173" s="55" t="s">
        <v>178</v>
      </c>
    </row>
    <row r="3174" spans="2:15">
      <c r="B3174" s="20">
        <v>45460</v>
      </c>
      <c r="C3174" s="59">
        <v>40499</v>
      </c>
      <c r="D3174" s="55" t="s">
        <v>1094</v>
      </c>
      <c r="E3174" s="67">
        <v>20</v>
      </c>
      <c r="G3174" s="102">
        <v>20</v>
      </c>
      <c r="H3174" s="56" t="s">
        <v>92</v>
      </c>
      <c r="K3174" s="56">
        <v>893</v>
      </c>
      <c r="L3174" s="55" t="s">
        <v>176</v>
      </c>
      <c r="M3174" s="55" t="s">
        <v>2824</v>
      </c>
      <c r="N3174" s="4" t="s">
        <v>177</v>
      </c>
      <c r="O3174" s="55" t="s">
        <v>178</v>
      </c>
    </row>
    <row r="3175" spans="2:15">
      <c r="B3175" s="20">
        <v>45461</v>
      </c>
      <c r="C3175" s="59">
        <v>50498271</v>
      </c>
      <c r="D3175" s="55" t="s">
        <v>1025</v>
      </c>
      <c r="E3175" s="67">
        <v>456</v>
      </c>
      <c r="G3175" s="102">
        <v>2670.05</v>
      </c>
      <c r="H3175" s="56" t="s">
        <v>82</v>
      </c>
      <c r="K3175" s="56">
        <v>894</v>
      </c>
      <c r="L3175" s="55" t="s">
        <v>176</v>
      </c>
      <c r="M3175" s="55" t="s">
        <v>2824</v>
      </c>
      <c r="N3175" s="4" t="s">
        <v>177</v>
      </c>
      <c r="O3175" s="55" t="s">
        <v>178</v>
      </c>
    </row>
    <row r="3176" spans="2:15">
      <c r="B3176" s="20">
        <v>45461</v>
      </c>
      <c r="C3176" s="59">
        <v>50144376</v>
      </c>
      <c r="D3176" s="55" t="s">
        <v>19</v>
      </c>
      <c r="E3176" s="67">
        <v>500</v>
      </c>
      <c r="G3176" s="102">
        <v>5500</v>
      </c>
      <c r="H3176" s="56" t="s">
        <v>92</v>
      </c>
      <c r="K3176" s="56">
        <v>894</v>
      </c>
      <c r="L3176" s="55" t="s">
        <v>176</v>
      </c>
      <c r="M3176" s="55" t="s">
        <v>2824</v>
      </c>
      <c r="N3176" s="4" t="s">
        <v>177</v>
      </c>
      <c r="O3176" s="55" t="s">
        <v>178</v>
      </c>
    </row>
    <row r="3177" spans="2:15">
      <c r="B3177" s="20">
        <v>45461</v>
      </c>
      <c r="C3177" s="59">
        <v>50507916</v>
      </c>
      <c r="D3177" s="55" t="s">
        <v>406</v>
      </c>
      <c r="E3177" s="67">
        <v>264000</v>
      </c>
      <c r="G3177" s="102">
        <v>792000</v>
      </c>
      <c r="H3177" s="56" t="s">
        <v>92</v>
      </c>
      <c r="K3177" s="56">
        <v>894</v>
      </c>
      <c r="L3177" s="55" t="s">
        <v>176</v>
      </c>
      <c r="M3177" s="55" t="s">
        <v>2824</v>
      </c>
      <c r="N3177" s="4" t="s">
        <v>177</v>
      </c>
      <c r="O3177" s="55" t="s">
        <v>178</v>
      </c>
    </row>
    <row r="3178" spans="2:15">
      <c r="B3178" s="20">
        <v>45461</v>
      </c>
      <c r="C3178" s="59">
        <v>40011080</v>
      </c>
      <c r="D3178" s="55" t="s">
        <v>420</v>
      </c>
      <c r="E3178" s="67">
        <v>450</v>
      </c>
      <c r="G3178" s="102">
        <v>900</v>
      </c>
      <c r="H3178" s="56" t="s">
        <v>80</v>
      </c>
      <c r="K3178" s="56">
        <v>894</v>
      </c>
      <c r="L3178" s="55" t="s">
        <v>176</v>
      </c>
      <c r="M3178" s="55" t="s">
        <v>2824</v>
      </c>
      <c r="N3178" s="4" t="s">
        <v>177</v>
      </c>
      <c r="O3178" s="55" t="s">
        <v>178</v>
      </c>
    </row>
    <row r="3179" spans="2:15">
      <c r="B3179" s="20">
        <v>45461</v>
      </c>
      <c r="C3179" s="59">
        <v>50142373</v>
      </c>
      <c r="D3179" s="55" t="s">
        <v>1130</v>
      </c>
      <c r="E3179" s="67">
        <v>150</v>
      </c>
      <c r="G3179" s="102">
        <v>150</v>
      </c>
      <c r="H3179" s="56" t="s">
        <v>82</v>
      </c>
      <c r="K3179" s="56">
        <v>265</v>
      </c>
      <c r="M3179" s="55" t="s">
        <v>2860</v>
      </c>
      <c r="N3179" s="4" t="s">
        <v>1445</v>
      </c>
      <c r="O3179" s="55" t="s">
        <v>178</v>
      </c>
    </row>
    <row r="3180" spans="2:15">
      <c r="B3180" s="20">
        <v>45461</v>
      </c>
      <c r="C3180" s="59">
        <v>50144376</v>
      </c>
      <c r="D3180" s="55" t="s">
        <v>19</v>
      </c>
      <c r="E3180" s="67">
        <v>500</v>
      </c>
      <c r="G3180" s="102">
        <v>3500</v>
      </c>
      <c r="H3180" s="56" t="s">
        <v>92</v>
      </c>
      <c r="K3180" s="56">
        <v>895</v>
      </c>
      <c r="L3180" s="55" t="s">
        <v>176</v>
      </c>
      <c r="M3180" s="55" t="s">
        <v>2824</v>
      </c>
      <c r="N3180" s="4" t="s">
        <v>177</v>
      </c>
      <c r="O3180" s="55" t="s">
        <v>178</v>
      </c>
    </row>
    <row r="3181" spans="2:15">
      <c r="B3181" s="20">
        <v>45461</v>
      </c>
      <c r="C3181" s="59">
        <v>50145187</v>
      </c>
      <c r="D3181" s="55" t="s">
        <v>465</v>
      </c>
      <c r="E3181" s="67">
        <v>264000</v>
      </c>
      <c r="G3181" s="102">
        <v>132000</v>
      </c>
      <c r="H3181" s="56" t="s">
        <v>92</v>
      </c>
      <c r="K3181" s="56">
        <v>895</v>
      </c>
      <c r="L3181" s="55" t="s">
        <v>176</v>
      </c>
      <c r="M3181" s="55" t="s">
        <v>2824</v>
      </c>
      <c r="N3181" s="4" t="s">
        <v>177</v>
      </c>
      <c r="O3181" s="55" t="s">
        <v>178</v>
      </c>
    </row>
    <row r="3182" spans="2:15">
      <c r="B3182" s="20">
        <v>45461</v>
      </c>
      <c r="C3182" s="59">
        <v>50392470</v>
      </c>
      <c r="D3182" s="55" t="s">
        <v>841</v>
      </c>
      <c r="E3182" s="67">
        <v>11000</v>
      </c>
      <c r="G3182" s="102">
        <v>22000</v>
      </c>
      <c r="H3182" s="56" t="s">
        <v>92</v>
      </c>
      <c r="K3182" s="56">
        <v>895</v>
      </c>
      <c r="L3182" s="55" t="s">
        <v>176</v>
      </c>
      <c r="M3182" s="55" t="s">
        <v>2824</v>
      </c>
      <c r="N3182" s="4" t="s">
        <v>177</v>
      </c>
      <c r="O3182" s="55" t="s">
        <v>178</v>
      </c>
    </row>
    <row r="3183" spans="2:15">
      <c r="B3183" s="20">
        <v>45461</v>
      </c>
      <c r="C3183" s="59">
        <v>50470190</v>
      </c>
      <c r="D3183" s="55" t="s">
        <v>12</v>
      </c>
      <c r="E3183" s="67">
        <v>289800</v>
      </c>
      <c r="G3183" s="102">
        <v>2898000</v>
      </c>
      <c r="H3183" s="56" t="s">
        <v>92</v>
      </c>
      <c r="K3183" s="56">
        <v>895</v>
      </c>
      <c r="L3183" s="55" t="s">
        <v>176</v>
      </c>
      <c r="M3183" s="55" t="s">
        <v>2824</v>
      </c>
      <c r="N3183" s="4" t="s">
        <v>177</v>
      </c>
      <c r="O3183" s="55" t="s">
        <v>178</v>
      </c>
    </row>
    <row r="3184" spans="2:15">
      <c r="B3184" s="20">
        <v>45461</v>
      </c>
      <c r="C3184" s="59">
        <v>50232060</v>
      </c>
      <c r="D3184" s="55" t="s">
        <v>361</v>
      </c>
      <c r="E3184" s="67">
        <v>264000</v>
      </c>
      <c r="G3184" s="102">
        <v>121000</v>
      </c>
      <c r="H3184" s="56" t="s">
        <v>92</v>
      </c>
      <c r="K3184" s="56">
        <v>895</v>
      </c>
      <c r="L3184" s="55" t="s">
        <v>176</v>
      </c>
      <c r="M3184" s="55" t="s">
        <v>2824</v>
      </c>
      <c r="N3184" s="4" t="s">
        <v>177</v>
      </c>
      <c r="O3184" s="55" t="s">
        <v>178</v>
      </c>
    </row>
    <row r="3185" spans="2:15">
      <c r="B3185" s="20">
        <v>45461</v>
      </c>
      <c r="C3185" s="59">
        <v>50142281</v>
      </c>
      <c r="D3185" s="55" t="s">
        <v>204</v>
      </c>
      <c r="E3185" s="67">
        <v>450</v>
      </c>
      <c r="G3185" s="102">
        <v>450</v>
      </c>
      <c r="H3185" s="56" t="s">
        <v>82</v>
      </c>
      <c r="K3185" s="56">
        <v>895</v>
      </c>
      <c r="L3185" s="55" t="s">
        <v>176</v>
      </c>
      <c r="M3185" s="55" t="s">
        <v>2824</v>
      </c>
      <c r="N3185" s="4" t="s">
        <v>177</v>
      </c>
      <c r="O3185" s="55" t="s">
        <v>178</v>
      </c>
    </row>
    <row r="3186" spans="2:15">
      <c r="B3186" s="20">
        <v>45462</v>
      </c>
      <c r="C3186" s="59">
        <v>50799770</v>
      </c>
      <c r="D3186" s="55" t="s">
        <v>17</v>
      </c>
      <c r="E3186" s="67">
        <v>500</v>
      </c>
      <c r="G3186" s="102">
        <v>5500</v>
      </c>
      <c r="H3186" s="56" t="s">
        <v>92</v>
      </c>
      <c r="K3186" s="56">
        <v>896</v>
      </c>
      <c r="L3186" s="55" t="s">
        <v>176</v>
      </c>
      <c r="M3186" s="55" t="s">
        <v>2824</v>
      </c>
      <c r="N3186" s="4" t="s">
        <v>177</v>
      </c>
      <c r="O3186" s="55" t="s">
        <v>178</v>
      </c>
    </row>
    <row r="3187" spans="2:15">
      <c r="B3187" s="20">
        <v>45462</v>
      </c>
      <c r="C3187" s="59">
        <v>50144376</v>
      </c>
      <c r="D3187" s="55" t="s">
        <v>19</v>
      </c>
      <c r="E3187" s="67">
        <v>500</v>
      </c>
      <c r="G3187" s="102">
        <v>5500</v>
      </c>
      <c r="H3187" s="56" t="s">
        <v>92</v>
      </c>
      <c r="K3187" s="56">
        <v>896</v>
      </c>
      <c r="L3187" s="55" t="s">
        <v>176</v>
      </c>
      <c r="M3187" s="55" t="s">
        <v>2824</v>
      </c>
      <c r="N3187" s="4" t="s">
        <v>177</v>
      </c>
      <c r="O3187" s="55" t="s">
        <v>178</v>
      </c>
    </row>
    <row r="3188" spans="2:15">
      <c r="B3188" s="20">
        <v>45462</v>
      </c>
      <c r="C3188" s="59">
        <v>50534881</v>
      </c>
      <c r="D3188" s="55" t="s">
        <v>227</v>
      </c>
      <c r="E3188" s="67">
        <v>9000</v>
      </c>
      <c r="G3188" s="102">
        <v>89692</v>
      </c>
      <c r="H3188" s="56" t="s">
        <v>92</v>
      </c>
      <c r="K3188" s="56">
        <v>897</v>
      </c>
      <c r="L3188" s="55" t="s">
        <v>176</v>
      </c>
      <c r="M3188" s="55" t="s">
        <v>2824</v>
      </c>
      <c r="N3188" s="4" t="s">
        <v>177</v>
      </c>
      <c r="O3188" s="55" t="s">
        <v>178</v>
      </c>
    </row>
    <row r="3189" spans="2:15">
      <c r="B3189" s="20">
        <v>45463</v>
      </c>
      <c r="C3189" s="59">
        <v>50799770</v>
      </c>
      <c r="D3189" s="55" t="s">
        <v>17</v>
      </c>
      <c r="E3189" s="67">
        <v>500</v>
      </c>
      <c r="G3189" s="102">
        <v>6000</v>
      </c>
      <c r="H3189" s="56" t="s">
        <v>92</v>
      </c>
      <c r="K3189" s="56">
        <v>897</v>
      </c>
      <c r="L3189" s="55" t="s">
        <v>176</v>
      </c>
      <c r="M3189" s="55" t="s">
        <v>2824</v>
      </c>
      <c r="N3189" s="4" t="s">
        <v>177</v>
      </c>
      <c r="O3189" s="55" t="s">
        <v>178</v>
      </c>
    </row>
    <row r="3190" spans="2:15">
      <c r="B3190" s="20">
        <v>45463</v>
      </c>
      <c r="C3190" s="59">
        <v>50144376</v>
      </c>
      <c r="D3190" s="55" t="s">
        <v>19</v>
      </c>
      <c r="E3190" s="67">
        <v>500</v>
      </c>
      <c r="G3190" s="102">
        <v>2500</v>
      </c>
      <c r="H3190" s="56" t="s">
        <v>92</v>
      </c>
      <c r="K3190" s="56">
        <v>898</v>
      </c>
      <c r="L3190" s="55" t="s">
        <v>176</v>
      </c>
      <c r="M3190" s="55" t="s">
        <v>2824</v>
      </c>
      <c r="N3190" s="4" t="s">
        <v>177</v>
      </c>
      <c r="O3190" s="55" t="s">
        <v>178</v>
      </c>
    </row>
    <row r="3191" spans="2:15">
      <c r="B3191" s="20">
        <v>45463</v>
      </c>
      <c r="C3191" s="59">
        <v>50272278</v>
      </c>
      <c r="D3191" s="55" t="s">
        <v>21</v>
      </c>
      <c r="E3191" s="67">
        <v>500</v>
      </c>
      <c r="G3191" s="102">
        <v>6500</v>
      </c>
      <c r="H3191" s="56" t="s">
        <v>92</v>
      </c>
      <c r="K3191" s="56">
        <v>898</v>
      </c>
      <c r="L3191" s="55" t="s">
        <v>176</v>
      </c>
      <c r="M3191" s="55" t="s">
        <v>2824</v>
      </c>
      <c r="N3191" s="4" t="s">
        <v>177</v>
      </c>
      <c r="O3191" s="55" t="s">
        <v>178</v>
      </c>
    </row>
    <row r="3192" spans="2:15">
      <c r="B3192" s="20">
        <v>45463</v>
      </c>
      <c r="C3192" s="59">
        <v>50141951</v>
      </c>
      <c r="D3192" s="55" t="s">
        <v>1386</v>
      </c>
      <c r="E3192" s="67">
        <v>180</v>
      </c>
      <c r="G3192" s="102">
        <v>720</v>
      </c>
      <c r="H3192" s="56" t="s">
        <v>82</v>
      </c>
      <c r="K3192" s="56">
        <v>898</v>
      </c>
      <c r="L3192" s="55" t="s">
        <v>176</v>
      </c>
      <c r="M3192" s="55" t="s">
        <v>2824</v>
      </c>
      <c r="N3192" s="4" t="s">
        <v>177</v>
      </c>
      <c r="O3192" s="55" t="s">
        <v>178</v>
      </c>
    </row>
    <row r="3193" spans="2:15">
      <c r="B3193" s="20">
        <v>45463</v>
      </c>
      <c r="C3193" s="59">
        <v>50534881</v>
      </c>
      <c r="D3193" s="55" t="s">
        <v>227</v>
      </c>
      <c r="E3193" s="67">
        <v>9000</v>
      </c>
      <c r="G3193" s="102">
        <v>45000</v>
      </c>
      <c r="H3193" s="56" t="s">
        <v>92</v>
      </c>
      <c r="K3193" s="56">
        <v>899</v>
      </c>
      <c r="L3193" s="55" t="s">
        <v>176</v>
      </c>
      <c r="M3193" s="55" t="s">
        <v>2824</v>
      </c>
      <c r="N3193" s="4" t="s">
        <v>177</v>
      </c>
      <c r="O3193" s="55" t="s">
        <v>178</v>
      </c>
    </row>
    <row r="3194" spans="2:15">
      <c r="B3194" s="20">
        <v>45463</v>
      </c>
      <c r="C3194" s="59">
        <v>50145028</v>
      </c>
      <c r="D3194" s="55" t="s">
        <v>23</v>
      </c>
      <c r="E3194" s="67">
        <v>192</v>
      </c>
      <c r="G3194" s="102">
        <v>384</v>
      </c>
      <c r="H3194" s="56" t="s">
        <v>92</v>
      </c>
      <c r="K3194" s="56">
        <v>899</v>
      </c>
      <c r="L3194" s="55" t="s">
        <v>176</v>
      </c>
      <c r="M3194" s="55" t="s">
        <v>2824</v>
      </c>
      <c r="N3194" s="4" t="s">
        <v>177</v>
      </c>
      <c r="O3194" s="55" t="s">
        <v>178</v>
      </c>
    </row>
    <row r="3195" spans="2:15">
      <c r="B3195" s="20">
        <v>45463</v>
      </c>
      <c r="C3195" s="59">
        <v>50802401</v>
      </c>
      <c r="D3195" s="55" t="s">
        <v>13</v>
      </c>
      <c r="E3195" s="67">
        <v>289800</v>
      </c>
      <c r="G3195" s="102">
        <v>1159200</v>
      </c>
      <c r="H3195" s="56" t="s">
        <v>92</v>
      </c>
      <c r="K3195" s="56">
        <v>899</v>
      </c>
      <c r="L3195" s="55" t="s">
        <v>176</v>
      </c>
      <c r="M3195" s="55" t="s">
        <v>2824</v>
      </c>
      <c r="N3195" s="4" t="s">
        <v>177</v>
      </c>
      <c r="O3195" s="55" t="s">
        <v>178</v>
      </c>
    </row>
    <row r="3196" spans="2:15">
      <c r="B3196" s="20">
        <v>45463</v>
      </c>
      <c r="C3196" s="59">
        <v>50142327</v>
      </c>
      <c r="D3196" s="55" t="s">
        <v>256</v>
      </c>
      <c r="E3196" s="67">
        <v>476.5</v>
      </c>
      <c r="G3196" s="102">
        <v>953.4</v>
      </c>
      <c r="H3196" s="56" t="s">
        <v>82</v>
      </c>
      <c r="K3196" s="56">
        <v>899</v>
      </c>
      <c r="L3196" s="55" t="s">
        <v>176</v>
      </c>
      <c r="M3196" s="55" t="s">
        <v>2824</v>
      </c>
      <c r="N3196" s="4" t="s">
        <v>177</v>
      </c>
      <c r="O3196" s="55" t="s">
        <v>178</v>
      </c>
    </row>
    <row r="3197" spans="2:15">
      <c r="B3197" s="20">
        <v>45463</v>
      </c>
      <c r="C3197" s="59">
        <v>50142334</v>
      </c>
      <c r="D3197" s="55" t="s">
        <v>257</v>
      </c>
      <c r="E3197" s="67">
        <v>476.5</v>
      </c>
      <c r="G3197" s="102">
        <v>953.4</v>
      </c>
      <c r="H3197" s="56" t="s">
        <v>82</v>
      </c>
      <c r="K3197" s="56">
        <v>899</v>
      </c>
      <c r="L3197" s="55" t="s">
        <v>176</v>
      </c>
      <c r="M3197" s="55" t="s">
        <v>2824</v>
      </c>
      <c r="N3197" s="4" t="s">
        <v>177</v>
      </c>
      <c r="O3197" s="55" t="s">
        <v>178</v>
      </c>
    </row>
    <row r="3198" spans="2:15">
      <c r="B3198" s="20">
        <v>45463</v>
      </c>
      <c r="C3198" s="59">
        <v>50272278</v>
      </c>
      <c r="D3198" s="55" t="s">
        <v>21</v>
      </c>
      <c r="E3198" s="67">
        <v>500</v>
      </c>
      <c r="G3198" s="102">
        <v>2500</v>
      </c>
      <c r="H3198" s="56" t="s">
        <v>92</v>
      </c>
      <c r="K3198" s="56">
        <v>899</v>
      </c>
      <c r="L3198" s="55" t="s">
        <v>176</v>
      </c>
      <c r="M3198" s="55" t="s">
        <v>2824</v>
      </c>
      <c r="N3198" s="4" t="s">
        <v>177</v>
      </c>
      <c r="O3198" s="55" t="s">
        <v>178</v>
      </c>
    </row>
    <row r="3199" spans="2:15">
      <c r="B3199" s="20">
        <v>45464</v>
      </c>
      <c r="C3199" s="59">
        <v>50145028</v>
      </c>
      <c r="D3199" s="55" t="s">
        <v>23</v>
      </c>
      <c r="E3199" s="67">
        <v>192</v>
      </c>
      <c r="G3199" s="102">
        <v>768</v>
      </c>
      <c r="H3199" s="56" t="s">
        <v>92</v>
      </c>
      <c r="K3199" s="56">
        <v>900</v>
      </c>
      <c r="L3199" s="55" t="s">
        <v>392</v>
      </c>
      <c r="M3199" s="55" t="s">
        <v>392</v>
      </c>
      <c r="N3199" s="4" t="s">
        <v>1273</v>
      </c>
      <c r="O3199" s="55" t="s">
        <v>178</v>
      </c>
    </row>
    <row r="3200" spans="2:15">
      <c r="B3200" s="20">
        <v>45464</v>
      </c>
      <c r="C3200" s="59">
        <v>50142237</v>
      </c>
      <c r="D3200" s="55" t="s">
        <v>617</v>
      </c>
      <c r="E3200" s="67">
        <v>1000</v>
      </c>
      <c r="G3200" s="102">
        <v>6000</v>
      </c>
      <c r="H3200" s="56" t="s">
        <v>92</v>
      </c>
      <c r="K3200" s="56">
        <v>900</v>
      </c>
      <c r="L3200" s="55" t="s">
        <v>392</v>
      </c>
      <c r="M3200" s="55" t="s">
        <v>392</v>
      </c>
      <c r="N3200" s="4" t="s">
        <v>1273</v>
      </c>
      <c r="O3200" s="55" t="s">
        <v>178</v>
      </c>
    </row>
    <row r="3201" spans="2:15">
      <c r="B3201" s="20">
        <v>45464</v>
      </c>
      <c r="C3201" s="59">
        <v>50472692</v>
      </c>
      <c r="D3201" s="55" t="s">
        <v>1304</v>
      </c>
      <c r="E3201" s="67">
        <v>13</v>
      </c>
      <c r="G3201" s="102">
        <v>13</v>
      </c>
      <c r="H3201" s="56" t="s">
        <v>80</v>
      </c>
      <c r="K3201" s="56">
        <v>901</v>
      </c>
      <c r="L3201" s="55" t="s">
        <v>2601</v>
      </c>
      <c r="M3201" s="55" t="s">
        <v>2824</v>
      </c>
      <c r="O3201" s="55" t="s">
        <v>178</v>
      </c>
    </row>
    <row r="3202" spans="2:15">
      <c r="B3202" s="20">
        <v>45464</v>
      </c>
      <c r="C3202" s="59">
        <v>50472696</v>
      </c>
      <c r="D3202" s="55" t="s">
        <v>1308</v>
      </c>
      <c r="E3202" s="67">
        <v>17.5</v>
      </c>
      <c r="G3202" s="102">
        <v>17.5</v>
      </c>
      <c r="H3202" s="56" t="s">
        <v>80</v>
      </c>
      <c r="K3202" s="56">
        <v>901</v>
      </c>
      <c r="L3202" s="55" t="s">
        <v>2601</v>
      </c>
      <c r="M3202" s="55" t="s">
        <v>2824</v>
      </c>
      <c r="O3202" s="55" t="s">
        <v>178</v>
      </c>
    </row>
    <row r="3203" spans="2:15">
      <c r="B3203" s="20">
        <v>45467</v>
      </c>
      <c r="C3203" s="59">
        <v>50142520</v>
      </c>
      <c r="D3203" s="55" t="s">
        <v>1156</v>
      </c>
      <c r="E3203" s="67">
        <v>500</v>
      </c>
      <c r="G3203" s="102">
        <v>2000</v>
      </c>
      <c r="H3203" s="56" t="s">
        <v>92</v>
      </c>
      <c r="K3203" s="56">
        <v>902</v>
      </c>
      <c r="L3203" s="55" t="s">
        <v>176</v>
      </c>
      <c r="M3203" s="55" t="s">
        <v>2824</v>
      </c>
      <c r="N3203" s="4" t="s">
        <v>177</v>
      </c>
      <c r="O3203" s="55" t="s">
        <v>178</v>
      </c>
    </row>
    <row r="3204" spans="2:15">
      <c r="B3204" s="20">
        <v>45467</v>
      </c>
      <c r="C3204" s="59">
        <v>50272278</v>
      </c>
      <c r="D3204" s="55" t="s">
        <v>21</v>
      </c>
      <c r="E3204" s="67">
        <v>500</v>
      </c>
      <c r="G3204" s="102">
        <v>6000</v>
      </c>
      <c r="H3204" s="56" t="s">
        <v>92</v>
      </c>
      <c r="K3204" s="56">
        <v>902</v>
      </c>
      <c r="L3204" s="55" t="s">
        <v>176</v>
      </c>
      <c r="M3204" s="55" t="s">
        <v>2824</v>
      </c>
      <c r="N3204" s="4" t="s">
        <v>177</v>
      </c>
      <c r="O3204" s="55" t="s">
        <v>178</v>
      </c>
    </row>
    <row r="3205" spans="2:15">
      <c r="B3205" s="20">
        <v>45467</v>
      </c>
      <c r="C3205" s="59">
        <v>40499</v>
      </c>
      <c r="D3205" s="55" t="s">
        <v>1094</v>
      </c>
      <c r="E3205" s="67">
        <v>24</v>
      </c>
      <c r="G3205" s="102">
        <v>24</v>
      </c>
      <c r="H3205" s="56" t="s">
        <v>92</v>
      </c>
      <c r="K3205" s="56">
        <v>902</v>
      </c>
      <c r="L3205" s="55" t="s">
        <v>176</v>
      </c>
      <c r="M3205" s="55" t="s">
        <v>2824</v>
      </c>
      <c r="N3205" s="4" t="s">
        <v>177</v>
      </c>
      <c r="O3205" s="55" t="s">
        <v>178</v>
      </c>
    </row>
    <row r="3206" spans="2:15">
      <c r="B3206" s="20">
        <v>45467</v>
      </c>
      <c r="C3206" s="59">
        <v>50470190</v>
      </c>
      <c r="D3206" s="55" t="s">
        <v>12</v>
      </c>
      <c r="E3206" s="67">
        <v>289800</v>
      </c>
      <c r="G3206" s="102">
        <v>1159200</v>
      </c>
      <c r="H3206" s="56" t="s">
        <v>92</v>
      </c>
      <c r="K3206" s="56">
        <v>902</v>
      </c>
      <c r="L3206" s="55" t="s">
        <v>176</v>
      </c>
      <c r="M3206" s="55" t="s">
        <v>2824</v>
      </c>
      <c r="N3206" s="4" t="s">
        <v>177</v>
      </c>
      <c r="O3206" s="55" t="s">
        <v>178</v>
      </c>
    </row>
    <row r="3207" spans="2:15">
      <c r="B3207" s="20">
        <v>45467</v>
      </c>
      <c r="C3207" s="59">
        <v>50802401</v>
      </c>
      <c r="D3207" s="55" t="s">
        <v>13</v>
      </c>
      <c r="E3207" s="67">
        <v>289800</v>
      </c>
      <c r="G3207" s="102">
        <v>1159200</v>
      </c>
      <c r="H3207" s="56" t="s">
        <v>92</v>
      </c>
      <c r="K3207" s="56">
        <v>902</v>
      </c>
      <c r="L3207" s="55" t="s">
        <v>176</v>
      </c>
      <c r="M3207" s="55" t="s">
        <v>2824</v>
      </c>
      <c r="N3207" s="4" t="s">
        <v>177</v>
      </c>
      <c r="O3207" s="55" t="s">
        <v>178</v>
      </c>
    </row>
    <row r="3208" spans="2:15">
      <c r="B3208" s="20">
        <v>45468</v>
      </c>
      <c r="C3208" s="59">
        <v>50010080</v>
      </c>
      <c r="D3208" s="55" t="s">
        <v>354</v>
      </c>
      <c r="E3208" s="67">
        <v>1000</v>
      </c>
      <c r="G3208" s="102">
        <v>4000</v>
      </c>
      <c r="H3208" s="56" t="s">
        <v>82</v>
      </c>
      <c r="K3208" s="56">
        <v>903</v>
      </c>
      <c r="L3208" s="55" t="s">
        <v>176</v>
      </c>
      <c r="M3208" s="55" t="s">
        <v>2824</v>
      </c>
      <c r="N3208" s="4" t="s">
        <v>177</v>
      </c>
      <c r="O3208" s="55" t="s">
        <v>178</v>
      </c>
    </row>
    <row r="3209" spans="2:15">
      <c r="B3209" s="20">
        <v>45468</v>
      </c>
      <c r="C3209" s="59">
        <v>40009544</v>
      </c>
      <c r="D3209" s="55" t="s">
        <v>179</v>
      </c>
      <c r="E3209" s="67">
        <v>2940</v>
      </c>
      <c r="G3209" s="102">
        <v>8820</v>
      </c>
      <c r="H3209" s="56" t="s">
        <v>80</v>
      </c>
      <c r="K3209" s="56">
        <v>903</v>
      </c>
      <c r="L3209" s="55" t="s">
        <v>176</v>
      </c>
      <c r="M3209" s="55" t="s">
        <v>2824</v>
      </c>
      <c r="N3209" s="4" t="s">
        <v>177</v>
      </c>
      <c r="O3209" s="55" t="s">
        <v>178</v>
      </c>
    </row>
    <row r="3210" spans="2:15">
      <c r="B3210" s="20">
        <v>45468</v>
      </c>
      <c r="C3210" s="59">
        <v>40009546</v>
      </c>
      <c r="D3210" s="55" t="s">
        <v>174</v>
      </c>
      <c r="E3210" s="67">
        <v>864</v>
      </c>
      <c r="G3210" s="102">
        <v>1728</v>
      </c>
      <c r="H3210" s="56" t="s">
        <v>80</v>
      </c>
      <c r="K3210" s="56">
        <v>903</v>
      </c>
      <c r="L3210" s="55" t="s">
        <v>176</v>
      </c>
      <c r="M3210" s="55" t="s">
        <v>2824</v>
      </c>
      <c r="N3210" s="4" t="s">
        <v>177</v>
      </c>
      <c r="O3210" s="55" t="s">
        <v>178</v>
      </c>
    </row>
    <row r="3211" spans="2:15">
      <c r="B3211" s="20">
        <v>45468</v>
      </c>
      <c r="C3211" s="59">
        <v>40011080</v>
      </c>
      <c r="D3211" s="55" t="s">
        <v>420</v>
      </c>
      <c r="E3211" s="67">
        <v>450</v>
      </c>
      <c r="G3211" s="102">
        <v>1350</v>
      </c>
      <c r="H3211" s="56" t="s">
        <v>80</v>
      </c>
      <c r="K3211" s="56">
        <v>903</v>
      </c>
      <c r="L3211" s="55" t="s">
        <v>176</v>
      </c>
      <c r="M3211" s="55" t="s">
        <v>2824</v>
      </c>
      <c r="N3211" s="4" t="s">
        <v>177</v>
      </c>
      <c r="O3211" s="55" t="s">
        <v>178</v>
      </c>
    </row>
    <row r="3212" spans="2:15">
      <c r="B3212" s="20">
        <v>45468</v>
      </c>
      <c r="C3212" s="59">
        <v>50818948</v>
      </c>
      <c r="D3212" s="55" t="s">
        <v>1173</v>
      </c>
      <c r="E3212" s="67">
        <v>50000</v>
      </c>
      <c r="G3212" s="102">
        <v>500000</v>
      </c>
      <c r="H3212" s="56" t="s">
        <v>92</v>
      </c>
      <c r="K3212" s="56">
        <v>903</v>
      </c>
      <c r="L3212" s="55" t="s">
        <v>176</v>
      </c>
      <c r="M3212" s="55" t="s">
        <v>2824</v>
      </c>
      <c r="N3212" s="4" t="s">
        <v>177</v>
      </c>
      <c r="O3212" s="55" t="s">
        <v>178</v>
      </c>
    </row>
    <row r="3213" spans="2:15">
      <c r="B3213" s="20">
        <v>45468</v>
      </c>
      <c r="C3213" s="59">
        <v>50507916</v>
      </c>
      <c r="D3213" s="55" t="s">
        <v>406</v>
      </c>
      <c r="E3213" s="67">
        <v>264000</v>
      </c>
      <c r="G3213" s="102">
        <v>1947000</v>
      </c>
      <c r="H3213" s="56" t="s">
        <v>92</v>
      </c>
      <c r="K3213" s="56">
        <v>903</v>
      </c>
      <c r="L3213" s="55" t="s">
        <v>176</v>
      </c>
      <c r="M3213" s="55" t="s">
        <v>2824</v>
      </c>
      <c r="N3213" s="4" t="s">
        <v>177</v>
      </c>
      <c r="O3213" s="55" t="s">
        <v>178</v>
      </c>
    </row>
    <row r="3214" spans="2:15">
      <c r="B3214" s="20">
        <v>45470</v>
      </c>
      <c r="C3214" s="59">
        <v>50272278</v>
      </c>
      <c r="D3214" s="55" t="s">
        <v>21</v>
      </c>
      <c r="E3214" s="67">
        <v>250</v>
      </c>
      <c r="G3214" s="102">
        <v>11000</v>
      </c>
      <c r="H3214" s="56" t="s">
        <v>92</v>
      </c>
      <c r="K3214" s="56">
        <v>904</v>
      </c>
      <c r="L3214" s="55" t="s">
        <v>176</v>
      </c>
      <c r="M3214" s="55" t="s">
        <v>2824</v>
      </c>
      <c r="N3214" s="4" t="s">
        <v>177</v>
      </c>
      <c r="O3214" s="55" t="s">
        <v>178</v>
      </c>
    </row>
    <row r="3215" spans="2:15">
      <c r="B3215" s="20">
        <v>45470</v>
      </c>
      <c r="C3215" s="59">
        <v>50809146</v>
      </c>
      <c r="D3215" s="55" t="s">
        <v>1030</v>
      </c>
      <c r="E3215" s="67">
        <v>456</v>
      </c>
      <c r="G3215" s="102">
        <v>2980</v>
      </c>
      <c r="H3215" s="56" t="s">
        <v>82</v>
      </c>
      <c r="K3215" s="56">
        <v>905</v>
      </c>
      <c r="L3215" s="55" t="s">
        <v>176</v>
      </c>
      <c r="M3215" s="55" t="s">
        <v>2824</v>
      </c>
      <c r="N3215" s="4" t="s">
        <v>177</v>
      </c>
      <c r="O3215" s="55" t="s">
        <v>178</v>
      </c>
    </row>
    <row r="3216" spans="2:15">
      <c r="B3216" s="20">
        <v>45470</v>
      </c>
      <c r="C3216" s="59">
        <v>50470190</v>
      </c>
      <c r="D3216" s="55" t="s">
        <v>12</v>
      </c>
      <c r="E3216" s="67">
        <v>289800</v>
      </c>
      <c r="G3216" s="102">
        <v>2028600</v>
      </c>
      <c r="H3216" s="56" t="s">
        <v>92</v>
      </c>
      <c r="K3216" s="56">
        <v>905</v>
      </c>
      <c r="L3216" s="55" t="s">
        <v>176</v>
      </c>
      <c r="M3216" s="55" t="s">
        <v>2824</v>
      </c>
      <c r="N3216" s="4" t="s">
        <v>177</v>
      </c>
      <c r="O3216" s="55" t="s">
        <v>178</v>
      </c>
    </row>
    <row r="3217" spans="2:15">
      <c r="B3217" s="20">
        <v>45470</v>
      </c>
      <c r="C3217" s="59">
        <v>50802401</v>
      </c>
      <c r="D3217" s="55" t="s">
        <v>13</v>
      </c>
      <c r="E3217" s="67">
        <v>289800</v>
      </c>
      <c r="G3217" s="102">
        <v>1449000</v>
      </c>
      <c r="H3217" s="56" t="s">
        <v>92</v>
      </c>
      <c r="K3217" s="56">
        <v>905</v>
      </c>
      <c r="L3217" s="55" t="s">
        <v>176</v>
      </c>
      <c r="M3217" s="55" t="s">
        <v>2824</v>
      </c>
      <c r="N3217" s="4" t="s">
        <v>177</v>
      </c>
      <c r="O3217" s="55" t="s">
        <v>178</v>
      </c>
    </row>
    <row r="3218" spans="2:15">
      <c r="B3218" s="20">
        <v>45470</v>
      </c>
      <c r="C3218" s="59">
        <v>50470190</v>
      </c>
      <c r="D3218" s="55" t="s">
        <v>12</v>
      </c>
      <c r="E3218" s="67">
        <v>289800</v>
      </c>
      <c r="G3218" s="102">
        <v>2898000</v>
      </c>
      <c r="H3218" s="56" t="s">
        <v>92</v>
      </c>
      <c r="K3218" s="56">
        <v>906</v>
      </c>
      <c r="L3218" s="55" t="s">
        <v>176</v>
      </c>
      <c r="M3218" s="55" t="s">
        <v>2824</v>
      </c>
      <c r="N3218" s="4" t="s">
        <v>177</v>
      </c>
      <c r="O3218" s="55" t="s">
        <v>178</v>
      </c>
    </row>
    <row r="3219" spans="2:15">
      <c r="B3219" s="20">
        <v>45470</v>
      </c>
      <c r="C3219" s="59">
        <v>50338577</v>
      </c>
      <c r="D3219" s="55" t="s">
        <v>1097</v>
      </c>
      <c r="E3219" s="67">
        <v>600</v>
      </c>
      <c r="G3219" s="102">
        <v>5750</v>
      </c>
      <c r="H3219" s="56" t="s">
        <v>82</v>
      </c>
      <c r="K3219" s="56">
        <v>906</v>
      </c>
      <c r="L3219" s="55" t="s">
        <v>176</v>
      </c>
      <c r="M3219" s="55" t="s">
        <v>2824</v>
      </c>
      <c r="N3219" s="4" t="s">
        <v>177</v>
      </c>
      <c r="O3219" s="55" t="s">
        <v>178</v>
      </c>
    </row>
    <row r="3220" spans="2:15">
      <c r="B3220" s="20">
        <v>45471</v>
      </c>
      <c r="C3220" s="59">
        <v>40010084</v>
      </c>
      <c r="D3220" s="55" t="s">
        <v>81</v>
      </c>
      <c r="E3220" s="67">
        <v>607</v>
      </c>
      <c r="G3220" s="102">
        <v>2143</v>
      </c>
      <c r="H3220" s="56" t="s">
        <v>1248</v>
      </c>
      <c r="K3220" s="56">
        <v>907</v>
      </c>
      <c r="L3220" s="55" t="s">
        <v>176</v>
      </c>
      <c r="M3220" s="55" t="s">
        <v>2824</v>
      </c>
      <c r="N3220" s="4" t="s">
        <v>177</v>
      </c>
      <c r="O3220" s="55" t="s">
        <v>178</v>
      </c>
    </row>
    <row r="3221" spans="2:15">
      <c r="B3221" s="20">
        <v>45471</v>
      </c>
      <c r="C3221" s="59">
        <v>50144376</v>
      </c>
      <c r="D3221" s="55" t="s">
        <v>19</v>
      </c>
      <c r="E3221" s="67">
        <v>250</v>
      </c>
      <c r="G3221" s="102">
        <v>4000</v>
      </c>
      <c r="H3221" s="56" t="s">
        <v>92</v>
      </c>
      <c r="K3221" s="56">
        <v>907</v>
      </c>
      <c r="L3221" s="55" t="s">
        <v>176</v>
      </c>
      <c r="M3221" s="55" t="s">
        <v>2824</v>
      </c>
      <c r="N3221" s="4" t="s">
        <v>177</v>
      </c>
      <c r="O3221" s="55" t="s">
        <v>178</v>
      </c>
    </row>
    <row r="3222" spans="2:15">
      <c r="B3222" s="20">
        <v>45471</v>
      </c>
      <c r="C3222" s="59">
        <v>50272278</v>
      </c>
      <c r="D3222" s="55" t="s">
        <v>21</v>
      </c>
      <c r="E3222" s="67">
        <v>250</v>
      </c>
      <c r="G3222" s="102">
        <v>2000</v>
      </c>
      <c r="H3222" s="56" t="s">
        <v>92</v>
      </c>
      <c r="K3222" s="56">
        <v>907</v>
      </c>
      <c r="L3222" s="55" t="s">
        <v>176</v>
      </c>
      <c r="M3222" s="55" t="s">
        <v>2824</v>
      </c>
      <c r="N3222" s="4" t="s">
        <v>177</v>
      </c>
      <c r="O3222" s="55" t="s">
        <v>178</v>
      </c>
    </row>
    <row r="3223" spans="2:15">
      <c r="B3223" s="20">
        <v>45471</v>
      </c>
      <c r="C3223" s="59">
        <v>50818948</v>
      </c>
      <c r="D3223" s="55" t="s">
        <v>1173</v>
      </c>
      <c r="E3223" s="67">
        <v>390000</v>
      </c>
      <c r="G3223" s="102">
        <v>390000</v>
      </c>
      <c r="H3223" s="56" t="s">
        <v>92</v>
      </c>
      <c r="K3223" s="56">
        <v>907</v>
      </c>
      <c r="L3223" s="55" t="s">
        <v>176</v>
      </c>
      <c r="M3223" s="55" t="s">
        <v>2824</v>
      </c>
      <c r="N3223" s="4" t="s">
        <v>177</v>
      </c>
      <c r="O3223" s="55" t="s">
        <v>178</v>
      </c>
    </row>
    <row r="3224" spans="2:15">
      <c r="B3224" s="20">
        <v>45471</v>
      </c>
      <c r="C3224" s="59">
        <v>50507916</v>
      </c>
      <c r="D3224" s="55" t="s">
        <v>406</v>
      </c>
      <c r="E3224" s="67">
        <v>264000</v>
      </c>
      <c r="G3224" s="102">
        <v>792000</v>
      </c>
      <c r="H3224" s="56" t="s">
        <v>92</v>
      </c>
      <c r="K3224" s="56">
        <v>907</v>
      </c>
      <c r="L3224" s="55" t="s">
        <v>176</v>
      </c>
      <c r="M3224" s="55" t="s">
        <v>2824</v>
      </c>
      <c r="N3224" s="4" t="s">
        <v>177</v>
      </c>
      <c r="O3224" s="55" t="s">
        <v>178</v>
      </c>
    </row>
    <row r="3225" spans="2:15">
      <c r="B3225" s="20">
        <v>45471</v>
      </c>
      <c r="C3225" s="59">
        <v>50470190</v>
      </c>
      <c r="D3225" s="55" t="s">
        <v>12</v>
      </c>
      <c r="E3225" s="67">
        <v>289800</v>
      </c>
      <c r="G3225" s="102">
        <v>1449000</v>
      </c>
      <c r="H3225" s="56" t="s">
        <v>92</v>
      </c>
      <c r="K3225" s="56">
        <v>907</v>
      </c>
      <c r="L3225" s="55" t="s">
        <v>176</v>
      </c>
      <c r="M3225" s="55" t="s">
        <v>2824</v>
      </c>
      <c r="N3225" s="4" t="s">
        <v>177</v>
      </c>
      <c r="O3225" s="55" t="s">
        <v>178</v>
      </c>
    </row>
    <row r="3226" spans="2:15">
      <c r="B3226" s="20">
        <v>45471</v>
      </c>
      <c r="C3226" s="59">
        <v>50010080</v>
      </c>
      <c r="D3226" s="55" t="s">
        <v>354</v>
      </c>
      <c r="E3226" s="67">
        <v>1000</v>
      </c>
      <c r="G3226" s="102">
        <v>4000</v>
      </c>
      <c r="H3226" s="56" t="s">
        <v>82</v>
      </c>
      <c r="K3226" s="56">
        <v>908</v>
      </c>
      <c r="L3226" s="55" t="s">
        <v>176</v>
      </c>
      <c r="M3226" s="55" t="s">
        <v>2824</v>
      </c>
      <c r="N3226" s="4" t="s">
        <v>177</v>
      </c>
      <c r="O3226" s="55" t="s">
        <v>178</v>
      </c>
    </row>
    <row r="3227" spans="2:15">
      <c r="B3227" s="20">
        <v>45471</v>
      </c>
      <c r="C3227" s="59">
        <v>50809145</v>
      </c>
      <c r="D3227" s="55" t="s">
        <v>946</v>
      </c>
      <c r="E3227" s="67">
        <v>456</v>
      </c>
      <c r="G3227" s="102">
        <v>2681.3</v>
      </c>
      <c r="H3227" s="56" t="s">
        <v>82</v>
      </c>
      <c r="K3227" s="56">
        <v>908</v>
      </c>
      <c r="L3227" s="55" t="s">
        <v>176</v>
      </c>
      <c r="M3227" s="55" t="s">
        <v>2824</v>
      </c>
      <c r="N3227" s="4" t="s">
        <v>177</v>
      </c>
      <c r="O3227" s="55" t="s">
        <v>178</v>
      </c>
    </row>
    <row r="3228" spans="2:15">
      <c r="B3228" s="20">
        <v>45471</v>
      </c>
      <c r="C3228" s="59">
        <v>50144376</v>
      </c>
      <c r="D3228" s="55" t="s">
        <v>19</v>
      </c>
      <c r="E3228" s="67">
        <v>250</v>
      </c>
      <c r="G3228" s="102">
        <v>1500</v>
      </c>
      <c r="H3228" s="56" t="s">
        <v>92</v>
      </c>
      <c r="K3228" s="56">
        <v>908</v>
      </c>
      <c r="L3228" s="55" t="s">
        <v>176</v>
      </c>
      <c r="M3228" s="55" t="s">
        <v>2824</v>
      </c>
      <c r="N3228" s="4" t="s">
        <v>177</v>
      </c>
      <c r="O3228" s="55" t="s">
        <v>178</v>
      </c>
    </row>
    <row r="3229" spans="2:15">
      <c r="B3229" s="20">
        <v>45471</v>
      </c>
      <c r="C3229" s="59">
        <v>50142281</v>
      </c>
      <c r="D3229" s="55" t="s">
        <v>204</v>
      </c>
      <c r="E3229" s="67">
        <v>450</v>
      </c>
      <c r="G3229" s="102">
        <v>900</v>
      </c>
      <c r="H3229" s="56" t="s">
        <v>82</v>
      </c>
      <c r="K3229" s="56">
        <v>908</v>
      </c>
      <c r="L3229" s="55" t="s">
        <v>176</v>
      </c>
      <c r="M3229" s="55" t="s">
        <v>2824</v>
      </c>
      <c r="N3229" s="4" t="s">
        <v>177</v>
      </c>
      <c r="O3229" s="55" t="s">
        <v>178</v>
      </c>
    </row>
    <row r="3230" spans="2:15">
      <c r="B3230" s="20">
        <v>45471</v>
      </c>
      <c r="C3230" s="59">
        <v>40011148</v>
      </c>
      <c r="D3230" s="55" t="s">
        <v>86</v>
      </c>
      <c r="E3230" s="67">
        <v>450</v>
      </c>
      <c r="G3230" s="102">
        <v>1350</v>
      </c>
      <c r="H3230" s="56" t="s">
        <v>80</v>
      </c>
      <c r="K3230" s="56">
        <v>908</v>
      </c>
      <c r="L3230" s="55" t="s">
        <v>176</v>
      </c>
      <c r="M3230" s="55" t="s">
        <v>2824</v>
      </c>
      <c r="N3230" s="4" t="s">
        <v>177</v>
      </c>
      <c r="O3230" s="55" t="s">
        <v>178</v>
      </c>
    </row>
    <row r="3231" spans="2:15">
      <c r="B3231" s="20">
        <v>45471</v>
      </c>
      <c r="C3231" s="59">
        <v>50145187</v>
      </c>
      <c r="D3231" s="55" t="s">
        <v>465</v>
      </c>
      <c r="E3231" s="67">
        <v>264000</v>
      </c>
      <c r="G3231" s="102">
        <v>528000</v>
      </c>
      <c r="H3231" s="56" t="s">
        <v>92</v>
      </c>
      <c r="K3231" s="56">
        <v>908</v>
      </c>
      <c r="L3231" s="55" t="s">
        <v>176</v>
      </c>
      <c r="M3231" s="55" t="s">
        <v>2824</v>
      </c>
      <c r="N3231" s="4" t="s">
        <v>177</v>
      </c>
      <c r="O3231" s="55" t="s">
        <v>178</v>
      </c>
    </row>
    <row r="3232" spans="2:15">
      <c r="B3232" s="20">
        <v>45471</v>
      </c>
      <c r="C3232" s="59">
        <v>50337814</v>
      </c>
      <c r="D3232" s="55" t="s">
        <v>669</v>
      </c>
      <c r="E3232" s="67">
        <v>264</v>
      </c>
      <c r="G3232" s="102">
        <v>264</v>
      </c>
      <c r="H3232" s="56" t="s">
        <v>80</v>
      </c>
      <c r="K3232" s="56">
        <v>908</v>
      </c>
      <c r="L3232" s="55" t="s">
        <v>176</v>
      </c>
      <c r="M3232" s="55" t="s">
        <v>2824</v>
      </c>
      <c r="N3232" s="4" t="s">
        <v>177</v>
      </c>
      <c r="O3232" s="55" t="s">
        <v>178</v>
      </c>
    </row>
    <row r="3233" spans="2:15">
      <c r="B3233" s="20">
        <v>45471</v>
      </c>
      <c r="C3233" s="59">
        <v>50392046</v>
      </c>
      <c r="D3233" s="55" t="s">
        <v>509</v>
      </c>
      <c r="E3233" s="67">
        <v>30</v>
      </c>
      <c r="G3233" s="102">
        <v>30</v>
      </c>
      <c r="H3233" s="99" t="s">
        <v>505</v>
      </c>
      <c r="K3233" s="56">
        <v>908</v>
      </c>
      <c r="L3233" s="55" t="s">
        <v>176</v>
      </c>
      <c r="M3233" s="55" t="s">
        <v>2824</v>
      </c>
      <c r="N3233" s="4" t="s">
        <v>177</v>
      </c>
      <c r="O3233" s="55" t="s">
        <v>178</v>
      </c>
    </row>
    <row r="3234" spans="2:15">
      <c r="B3234" s="20">
        <v>45474</v>
      </c>
      <c r="C3234" s="59">
        <v>50804970</v>
      </c>
      <c r="D3234" s="55" t="s">
        <v>857</v>
      </c>
      <c r="E3234" s="67">
        <v>2970000</v>
      </c>
      <c r="G3234" s="102">
        <v>2970000</v>
      </c>
      <c r="H3234" s="56" t="s">
        <v>92</v>
      </c>
      <c r="K3234" s="56">
        <v>909</v>
      </c>
      <c r="L3234" s="55" t="s">
        <v>176</v>
      </c>
      <c r="M3234" s="55" t="s">
        <v>2824</v>
      </c>
      <c r="N3234" s="4" t="s">
        <v>177</v>
      </c>
      <c r="O3234" s="55" t="s">
        <v>178</v>
      </c>
    </row>
    <row r="3235" spans="2:15">
      <c r="B3235" s="20">
        <v>45474</v>
      </c>
      <c r="C3235" s="59">
        <v>50804971</v>
      </c>
      <c r="D3235" s="55" t="s">
        <v>855</v>
      </c>
      <c r="E3235" s="67">
        <v>990000</v>
      </c>
      <c r="G3235" s="102">
        <v>990000</v>
      </c>
      <c r="H3235" s="56" t="s">
        <v>92</v>
      </c>
      <c r="K3235" s="56">
        <v>909</v>
      </c>
      <c r="L3235" s="55" t="s">
        <v>176</v>
      </c>
      <c r="M3235" s="55" t="s">
        <v>2824</v>
      </c>
      <c r="N3235" s="4" t="s">
        <v>177</v>
      </c>
      <c r="O3235" s="55" t="s">
        <v>178</v>
      </c>
    </row>
    <row r="3236" spans="2:15">
      <c r="B3236" s="20">
        <v>45474</v>
      </c>
      <c r="C3236" s="59">
        <v>50804929</v>
      </c>
      <c r="D3236" s="55" t="s">
        <v>856</v>
      </c>
      <c r="E3236" s="67">
        <v>504000</v>
      </c>
      <c r="G3236" s="102">
        <v>1008000</v>
      </c>
      <c r="H3236" s="56" t="s">
        <v>92</v>
      </c>
      <c r="K3236" s="56">
        <v>909</v>
      </c>
      <c r="L3236" s="55" t="s">
        <v>176</v>
      </c>
      <c r="M3236" s="55" t="s">
        <v>2824</v>
      </c>
      <c r="N3236" s="4" t="s">
        <v>177</v>
      </c>
      <c r="O3236" s="55" t="s">
        <v>178</v>
      </c>
    </row>
    <row r="3237" spans="2:15">
      <c r="B3237" s="20">
        <v>45474</v>
      </c>
      <c r="C3237" s="59">
        <v>40010087</v>
      </c>
      <c r="D3237" s="55" t="s">
        <v>387</v>
      </c>
      <c r="E3237" s="67">
        <v>864</v>
      </c>
      <c r="G3237" s="102">
        <v>1728</v>
      </c>
      <c r="H3237" s="56" t="s">
        <v>80</v>
      </c>
      <c r="K3237" s="56">
        <v>909</v>
      </c>
      <c r="L3237" s="55" t="s">
        <v>176</v>
      </c>
      <c r="M3237" s="55" t="s">
        <v>2824</v>
      </c>
      <c r="N3237" s="4" t="s">
        <v>177</v>
      </c>
      <c r="O3237" s="55" t="s">
        <v>178</v>
      </c>
    </row>
    <row r="3238" spans="2:15">
      <c r="B3238" s="20">
        <v>45474</v>
      </c>
      <c r="C3238" s="59">
        <v>50144376</v>
      </c>
      <c r="D3238" s="55" t="s">
        <v>19</v>
      </c>
      <c r="E3238" s="67">
        <v>250</v>
      </c>
      <c r="G3238" s="102">
        <v>3000</v>
      </c>
      <c r="H3238" s="56" t="s">
        <v>92</v>
      </c>
      <c r="K3238" s="56">
        <v>909</v>
      </c>
      <c r="L3238" s="55" t="s">
        <v>176</v>
      </c>
      <c r="M3238" s="55" t="s">
        <v>2824</v>
      </c>
      <c r="N3238" s="4" t="s">
        <v>177</v>
      </c>
      <c r="O3238" s="55" t="s">
        <v>178</v>
      </c>
    </row>
    <row r="3239" spans="2:15">
      <c r="B3239" s="20">
        <v>45474</v>
      </c>
      <c r="C3239" s="59">
        <v>40499</v>
      </c>
      <c r="D3239" s="55" t="s">
        <v>1094</v>
      </c>
      <c r="E3239" s="67">
        <v>1</v>
      </c>
      <c r="G3239" s="102">
        <v>12</v>
      </c>
      <c r="H3239" s="56" t="s">
        <v>92</v>
      </c>
      <c r="K3239" s="56">
        <v>909</v>
      </c>
      <c r="L3239" s="55" t="s">
        <v>176</v>
      </c>
      <c r="M3239" s="55" t="s">
        <v>2824</v>
      </c>
      <c r="N3239" s="4" t="s">
        <v>177</v>
      </c>
      <c r="O3239" s="55" t="s">
        <v>178</v>
      </c>
    </row>
    <row r="3240" spans="2:15">
      <c r="B3240" s="20">
        <v>45474</v>
      </c>
      <c r="C3240" s="59">
        <v>40010083</v>
      </c>
      <c r="D3240" s="55" t="s">
        <v>85</v>
      </c>
      <c r="E3240" s="67">
        <v>973</v>
      </c>
      <c r="G3240" s="102">
        <v>6349</v>
      </c>
      <c r="H3240" s="56" t="s">
        <v>80</v>
      </c>
      <c r="K3240" s="56">
        <v>909</v>
      </c>
      <c r="L3240" s="55" t="s">
        <v>176</v>
      </c>
      <c r="M3240" s="55" t="s">
        <v>2824</v>
      </c>
      <c r="N3240" s="4" t="s">
        <v>177</v>
      </c>
      <c r="O3240" s="55" t="s">
        <v>178</v>
      </c>
    </row>
    <row r="3241" spans="2:15">
      <c r="B3241" s="20">
        <v>45474</v>
      </c>
      <c r="C3241" s="59">
        <v>50145187</v>
      </c>
      <c r="D3241" s="55" t="s">
        <v>465</v>
      </c>
      <c r="E3241" s="67">
        <v>264000</v>
      </c>
      <c r="G3241" s="102">
        <v>528000</v>
      </c>
      <c r="H3241" s="56" t="s">
        <v>92</v>
      </c>
      <c r="K3241" s="56">
        <v>909</v>
      </c>
      <c r="L3241" s="55" t="s">
        <v>176</v>
      </c>
      <c r="M3241" s="55" t="s">
        <v>2824</v>
      </c>
      <c r="N3241" s="4" t="s">
        <v>177</v>
      </c>
      <c r="O3241" s="55" t="s">
        <v>178</v>
      </c>
    </row>
    <row r="3242" spans="2:15">
      <c r="B3242" s="20">
        <v>45474</v>
      </c>
      <c r="C3242" s="59">
        <v>50818948</v>
      </c>
      <c r="D3242" s="55" t="s">
        <v>1173</v>
      </c>
      <c r="E3242" s="67">
        <v>500000</v>
      </c>
      <c r="G3242" s="102">
        <v>500000</v>
      </c>
      <c r="H3242" s="56" t="s">
        <v>92</v>
      </c>
      <c r="K3242" s="56">
        <v>909</v>
      </c>
      <c r="L3242" s="55" t="s">
        <v>176</v>
      </c>
      <c r="M3242" s="55" t="s">
        <v>2824</v>
      </c>
      <c r="N3242" s="4" t="s">
        <v>177</v>
      </c>
      <c r="O3242" s="55" t="s">
        <v>178</v>
      </c>
    </row>
    <row r="3243" spans="2:15">
      <c r="B3243" s="20">
        <v>45474</v>
      </c>
      <c r="C3243" s="59">
        <v>50507916</v>
      </c>
      <c r="D3243" s="55" t="s">
        <v>406</v>
      </c>
      <c r="E3243" s="67">
        <v>264000</v>
      </c>
      <c r="G3243" s="102">
        <v>792000</v>
      </c>
      <c r="H3243" s="56" t="s">
        <v>92</v>
      </c>
      <c r="K3243" s="56">
        <v>909</v>
      </c>
      <c r="L3243" s="55" t="s">
        <v>176</v>
      </c>
      <c r="M3243" s="55" t="s">
        <v>2824</v>
      </c>
      <c r="N3243" s="4" t="s">
        <v>177</v>
      </c>
      <c r="O3243" s="55" t="s">
        <v>178</v>
      </c>
    </row>
    <row r="3244" spans="2:15">
      <c r="B3244" s="20">
        <v>45475</v>
      </c>
      <c r="C3244" s="59">
        <v>50271649</v>
      </c>
      <c r="D3244" s="55" t="s">
        <v>1435</v>
      </c>
      <c r="G3244" s="102">
        <v>13266</v>
      </c>
      <c r="H3244" s="56" t="s">
        <v>92</v>
      </c>
      <c r="K3244" s="56">
        <v>910</v>
      </c>
      <c r="L3244" s="55" t="s">
        <v>392</v>
      </c>
      <c r="M3244" s="55" t="s">
        <v>392</v>
      </c>
      <c r="N3244" s="4" t="s">
        <v>2852</v>
      </c>
      <c r="O3244" s="55" t="s">
        <v>178</v>
      </c>
    </row>
    <row r="3245" spans="2:15">
      <c r="B3245" s="20">
        <v>45475</v>
      </c>
      <c r="C3245" s="59">
        <v>50144376</v>
      </c>
      <c r="D3245" s="55" t="s">
        <v>19</v>
      </c>
      <c r="E3245" s="67">
        <v>250</v>
      </c>
      <c r="G3245" s="102">
        <v>7000</v>
      </c>
      <c r="H3245" s="56" t="s">
        <v>92</v>
      </c>
      <c r="K3245" s="56">
        <v>911</v>
      </c>
      <c r="L3245" s="55" t="s">
        <v>176</v>
      </c>
      <c r="M3245" s="55" t="s">
        <v>2824</v>
      </c>
      <c r="N3245" s="4" t="s">
        <v>177</v>
      </c>
      <c r="O3245" s="55" t="s">
        <v>178</v>
      </c>
    </row>
    <row r="3246" spans="2:15">
      <c r="B3246" s="20">
        <v>45475</v>
      </c>
      <c r="C3246" s="59">
        <v>40499</v>
      </c>
      <c r="D3246" s="55" t="s">
        <v>1094</v>
      </c>
      <c r="E3246" s="67">
        <v>28</v>
      </c>
      <c r="G3246" s="102">
        <v>28</v>
      </c>
      <c r="H3246" s="56" t="s">
        <v>92</v>
      </c>
      <c r="K3246" s="56">
        <v>911</v>
      </c>
      <c r="L3246" s="55" t="s">
        <v>176</v>
      </c>
      <c r="M3246" s="55" t="s">
        <v>2824</v>
      </c>
      <c r="N3246" s="4" t="s">
        <v>177</v>
      </c>
      <c r="O3246" s="55" t="s">
        <v>178</v>
      </c>
    </row>
    <row r="3247" spans="2:15">
      <c r="B3247" s="20">
        <v>45475</v>
      </c>
      <c r="C3247" s="59">
        <v>50470190</v>
      </c>
      <c r="D3247" s="55" t="s">
        <v>12</v>
      </c>
      <c r="E3247" s="67">
        <v>289800</v>
      </c>
      <c r="G3247" s="102">
        <v>1738800</v>
      </c>
      <c r="H3247" s="56" t="s">
        <v>92</v>
      </c>
      <c r="K3247" s="56">
        <v>911</v>
      </c>
      <c r="L3247" s="55" t="s">
        <v>176</v>
      </c>
      <c r="M3247" s="55" t="s">
        <v>2824</v>
      </c>
      <c r="N3247" s="4" t="s">
        <v>177</v>
      </c>
      <c r="O3247" s="55" t="s">
        <v>178</v>
      </c>
    </row>
    <row r="3248" spans="2:15">
      <c r="B3248" s="20">
        <v>45476</v>
      </c>
      <c r="C3248" s="59">
        <v>40010086</v>
      </c>
      <c r="D3248" s="55" t="s">
        <v>79</v>
      </c>
      <c r="E3248" s="67">
        <v>4032</v>
      </c>
      <c r="G3248" s="102">
        <v>8064</v>
      </c>
      <c r="H3248" s="56" t="s">
        <v>80</v>
      </c>
      <c r="K3248" s="56">
        <v>912</v>
      </c>
      <c r="L3248" s="55" t="s">
        <v>176</v>
      </c>
      <c r="M3248" s="55" t="s">
        <v>2824</v>
      </c>
      <c r="N3248" s="4" t="s">
        <v>177</v>
      </c>
      <c r="O3248" s="55" t="s">
        <v>178</v>
      </c>
    </row>
    <row r="3249" spans="2:15">
      <c r="B3249" s="20">
        <v>45476</v>
      </c>
      <c r="C3249" s="59">
        <v>40010087</v>
      </c>
      <c r="D3249" s="55" t="s">
        <v>387</v>
      </c>
      <c r="E3249" s="67">
        <v>864</v>
      </c>
      <c r="G3249" s="102">
        <v>3456</v>
      </c>
      <c r="H3249" s="56" t="s">
        <v>80</v>
      </c>
      <c r="K3249" s="56">
        <v>912</v>
      </c>
      <c r="L3249" s="55" t="s">
        <v>176</v>
      </c>
      <c r="M3249" s="55" t="s">
        <v>2824</v>
      </c>
      <c r="N3249" s="4" t="s">
        <v>177</v>
      </c>
      <c r="O3249" s="55" t="s">
        <v>178</v>
      </c>
    </row>
    <row r="3250" spans="2:15">
      <c r="B3250" s="20">
        <v>45476</v>
      </c>
      <c r="C3250" s="59">
        <v>50144376</v>
      </c>
      <c r="D3250" s="55" t="s">
        <v>19</v>
      </c>
      <c r="E3250" s="67">
        <v>250</v>
      </c>
      <c r="G3250" s="102">
        <v>7000</v>
      </c>
      <c r="H3250" s="56" t="s">
        <v>92</v>
      </c>
      <c r="K3250" s="56">
        <v>912</v>
      </c>
      <c r="L3250" s="55" t="s">
        <v>176</v>
      </c>
      <c r="M3250" s="55" t="s">
        <v>2824</v>
      </c>
      <c r="N3250" s="4" t="s">
        <v>177</v>
      </c>
      <c r="O3250" s="55" t="s">
        <v>178</v>
      </c>
    </row>
    <row r="3251" spans="2:15">
      <c r="B3251" s="20">
        <v>45476</v>
      </c>
      <c r="C3251" s="59">
        <v>40499</v>
      </c>
      <c r="D3251" s="55" t="s">
        <v>1094</v>
      </c>
      <c r="E3251" s="67">
        <v>28</v>
      </c>
      <c r="G3251" s="102">
        <v>28</v>
      </c>
      <c r="H3251" s="56" t="s">
        <v>92</v>
      </c>
      <c r="K3251" s="56">
        <v>912</v>
      </c>
      <c r="L3251" s="55" t="s">
        <v>176</v>
      </c>
      <c r="M3251" s="55" t="s">
        <v>2824</v>
      </c>
      <c r="N3251" s="4" t="s">
        <v>177</v>
      </c>
      <c r="O3251" s="55" t="s">
        <v>178</v>
      </c>
    </row>
    <row r="3252" spans="2:15">
      <c r="B3252" s="20">
        <v>45476</v>
      </c>
      <c r="C3252" s="59">
        <v>40011080</v>
      </c>
      <c r="D3252" s="55" t="s">
        <v>420</v>
      </c>
      <c r="E3252" s="67">
        <v>450</v>
      </c>
      <c r="G3252" s="102">
        <v>900</v>
      </c>
      <c r="H3252" s="56" t="s">
        <v>80</v>
      </c>
      <c r="K3252" s="56">
        <v>912</v>
      </c>
      <c r="L3252" s="55" t="s">
        <v>176</v>
      </c>
      <c r="M3252" s="55" t="s">
        <v>2824</v>
      </c>
      <c r="N3252" s="4" t="s">
        <v>177</v>
      </c>
      <c r="O3252" s="55" t="s">
        <v>178</v>
      </c>
    </row>
    <row r="3253" spans="2:15">
      <c r="B3253" s="20">
        <v>45476</v>
      </c>
      <c r="C3253" s="59">
        <v>50435419</v>
      </c>
      <c r="D3253" s="55" t="s">
        <v>656</v>
      </c>
      <c r="E3253" s="67">
        <v>896</v>
      </c>
      <c r="G3253" s="102">
        <v>8960</v>
      </c>
      <c r="H3253" s="56" t="s">
        <v>82</v>
      </c>
      <c r="K3253" s="56">
        <v>913</v>
      </c>
      <c r="L3253" s="55" t="s">
        <v>326</v>
      </c>
      <c r="M3253" s="55" t="s">
        <v>2824</v>
      </c>
      <c r="N3253" s="4" t="s">
        <v>239</v>
      </c>
      <c r="O3253" s="55" t="s">
        <v>178</v>
      </c>
    </row>
    <row r="3254" spans="2:15">
      <c r="B3254" s="20">
        <v>45476</v>
      </c>
      <c r="C3254" s="59">
        <v>50751654</v>
      </c>
      <c r="D3254" s="55" t="s">
        <v>874</v>
      </c>
      <c r="E3254" s="67">
        <v>896</v>
      </c>
      <c r="G3254" s="102">
        <v>3584</v>
      </c>
      <c r="H3254" s="56" t="s">
        <v>82</v>
      </c>
      <c r="K3254" s="56">
        <v>913</v>
      </c>
      <c r="L3254" s="55" t="s">
        <v>326</v>
      </c>
      <c r="M3254" s="55" t="s">
        <v>2824</v>
      </c>
      <c r="N3254" s="4" t="s">
        <v>239</v>
      </c>
      <c r="O3254" s="55" t="s">
        <v>178</v>
      </c>
    </row>
    <row r="3255" spans="2:15">
      <c r="B3255" s="20">
        <v>45476</v>
      </c>
      <c r="C3255" s="59">
        <v>50010080</v>
      </c>
      <c r="D3255" s="55" t="s">
        <v>354</v>
      </c>
      <c r="E3255" s="67">
        <v>1000</v>
      </c>
      <c r="G3255" s="102">
        <v>6000</v>
      </c>
      <c r="H3255" s="56" t="s">
        <v>82</v>
      </c>
      <c r="K3255" s="56">
        <v>913</v>
      </c>
      <c r="L3255" s="55" t="s">
        <v>326</v>
      </c>
      <c r="M3255" s="55" t="s">
        <v>2824</v>
      </c>
      <c r="N3255" s="4" t="s">
        <v>239</v>
      </c>
      <c r="O3255" s="55" t="s">
        <v>178</v>
      </c>
    </row>
    <row r="3256" spans="2:15">
      <c r="B3256" s="20">
        <v>45477</v>
      </c>
      <c r="C3256" s="59">
        <v>50144376</v>
      </c>
      <c r="D3256" s="55" t="s">
        <v>19</v>
      </c>
      <c r="E3256" s="67">
        <v>250</v>
      </c>
      <c r="G3256" s="102">
        <v>5000</v>
      </c>
      <c r="H3256" s="56" t="s">
        <v>92</v>
      </c>
      <c r="K3256" s="56">
        <v>914</v>
      </c>
      <c r="L3256" s="55" t="s">
        <v>176</v>
      </c>
      <c r="M3256" s="55" t="s">
        <v>2824</v>
      </c>
      <c r="N3256" s="4" t="s">
        <v>177</v>
      </c>
      <c r="O3256" s="55" t="s">
        <v>178</v>
      </c>
    </row>
    <row r="3257" spans="2:15">
      <c r="B3257" s="20">
        <v>45477</v>
      </c>
      <c r="C3257" s="59">
        <v>50470190</v>
      </c>
      <c r="D3257" s="55" t="s">
        <v>12</v>
      </c>
      <c r="E3257" s="67">
        <v>289800</v>
      </c>
      <c r="G3257" s="102">
        <v>2898000</v>
      </c>
      <c r="H3257" s="56" t="s">
        <v>92</v>
      </c>
      <c r="K3257" s="56">
        <v>914</v>
      </c>
      <c r="L3257" s="55" t="s">
        <v>176</v>
      </c>
      <c r="M3257" s="55" t="s">
        <v>2824</v>
      </c>
      <c r="N3257" s="4" t="s">
        <v>177</v>
      </c>
      <c r="O3257" s="55" t="s">
        <v>178</v>
      </c>
    </row>
    <row r="3258" spans="2:15">
      <c r="B3258" s="20">
        <v>45478</v>
      </c>
      <c r="C3258" s="59">
        <v>50144376</v>
      </c>
      <c r="D3258" s="55" t="s">
        <v>19</v>
      </c>
      <c r="E3258" s="67">
        <v>350</v>
      </c>
      <c r="G3258" s="102">
        <v>3500</v>
      </c>
      <c r="H3258" s="56" t="s">
        <v>92</v>
      </c>
      <c r="K3258" s="56">
        <v>915</v>
      </c>
      <c r="L3258" s="55" t="s">
        <v>176</v>
      </c>
      <c r="M3258" s="55" t="s">
        <v>2824</v>
      </c>
      <c r="N3258" s="4" t="s">
        <v>177</v>
      </c>
      <c r="O3258" s="55" t="s">
        <v>178</v>
      </c>
    </row>
    <row r="3259" spans="2:15">
      <c r="B3259" s="20">
        <v>45478</v>
      </c>
      <c r="C3259" s="59">
        <v>50272278</v>
      </c>
      <c r="D3259" s="55" t="s">
        <v>21</v>
      </c>
      <c r="E3259" s="67">
        <v>350</v>
      </c>
      <c r="G3259" s="102">
        <v>4200</v>
      </c>
      <c r="H3259" s="56" t="s">
        <v>92</v>
      </c>
      <c r="K3259" s="56">
        <v>915</v>
      </c>
      <c r="L3259" s="55" t="s">
        <v>176</v>
      </c>
      <c r="M3259" s="55" t="s">
        <v>2824</v>
      </c>
      <c r="N3259" s="4" t="s">
        <v>177</v>
      </c>
      <c r="O3259" s="55" t="s">
        <v>178</v>
      </c>
    </row>
    <row r="3260" spans="2:15">
      <c r="B3260" s="20">
        <v>45478</v>
      </c>
      <c r="C3260" s="59">
        <v>40499</v>
      </c>
      <c r="D3260" s="55" t="s">
        <v>1094</v>
      </c>
      <c r="E3260" s="67">
        <v>22</v>
      </c>
      <c r="G3260" s="102">
        <v>22</v>
      </c>
      <c r="H3260" s="56" t="s">
        <v>92</v>
      </c>
      <c r="K3260" s="56">
        <v>915</v>
      </c>
      <c r="L3260" s="55" t="s">
        <v>176</v>
      </c>
      <c r="M3260" s="55" t="s">
        <v>2824</v>
      </c>
      <c r="N3260" s="4" t="s">
        <v>177</v>
      </c>
      <c r="O3260" s="55" t="s">
        <v>178</v>
      </c>
    </row>
    <row r="3261" spans="2:15">
      <c r="B3261" s="20">
        <v>45478</v>
      </c>
      <c r="C3261" s="59">
        <v>50793278</v>
      </c>
      <c r="D3261" s="55" t="s">
        <v>1086</v>
      </c>
      <c r="E3261" s="67">
        <v>10</v>
      </c>
      <c r="G3261" s="102">
        <v>20</v>
      </c>
      <c r="H3261" s="56" t="s">
        <v>1087</v>
      </c>
      <c r="K3261" s="56">
        <v>916</v>
      </c>
      <c r="L3261" s="55" t="s">
        <v>176</v>
      </c>
      <c r="M3261" s="55" t="s">
        <v>2824</v>
      </c>
      <c r="N3261" s="4" t="s">
        <v>177</v>
      </c>
      <c r="O3261" s="55" t="s">
        <v>178</v>
      </c>
    </row>
    <row r="3262" spans="2:15">
      <c r="B3262" s="20">
        <v>45478</v>
      </c>
      <c r="C3262" s="59">
        <v>40499</v>
      </c>
      <c r="D3262" s="55" t="s">
        <v>1094</v>
      </c>
      <c r="E3262" s="67">
        <v>5</v>
      </c>
      <c r="G3262" s="102">
        <v>5</v>
      </c>
      <c r="H3262" s="56" t="s">
        <v>92</v>
      </c>
      <c r="K3262" s="56">
        <v>916</v>
      </c>
      <c r="L3262" s="55" t="s">
        <v>176</v>
      </c>
      <c r="M3262" s="55" t="s">
        <v>2824</v>
      </c>
      <c r="N3262" s="4" t="s">
        <v>177</v>
      </c>
      <c r="O3262" s="55" t="s">
        <v>178</v>
      </c>
    </row>
    <row r="3263" spans="2:15">
      <c r="B3263" s="20">
        <v>45478</v>
      </c>
      <c r="C3263" s="59">
        <v>50470190</v>
      </c>
      <c r="D3263" s="55" t="s">
        <v>12</v>
      </c>
      <c r="E3263" s="67">
        <v>289800</v>
      </c>
      <c r="G3263" s="102">
        <v>3187800</v>
      </c>
      <c r="H3263" s="56" t="s">
        <v>92</v>
      </c>
      <c r="K3263" s="56">
        <v>916</v>
      </c>
      <c r="L3263" s="55" t="s">
        <v>176</v>
      </c>
      <c r="M3263" s="55" t="s">
        <v>2824</v>
      </c>
      <c r="N3263" s="4" t="s">
        <v>177</v>
      </c>
      <c r="O3263" s="55" t="s">
        <v>178</v>
      </c>
    </row>
    <row r="3264" spans="2:15">
      <c r="B3264" s="20">
        <v>45478</v>
      </c>
      <c r="C3264" s="59">
        <v>50142327</v>
      </c>
      <c r="D3264" s="55" t="s">
        <v>256</v>
      </c>
      <c r="E3264" s="67">
        <v>476.7</v>
      </c>
      <c r="G3264" s="102">
        <v>1430</v>
      </c>
      <c r="H3264" s="56" t="s">
        <v>82</v>
      </c>
      <c r="K3264" s="56">
        <v>916</v>
      </c>
      <c r="L3264" s="55" t="s">
        <v>176</v>
      </c>
      <c r="M3264" s="55" t="s">
        <v>2824</v>
      </c>
      <c r="N3264" s="4" t="s">
        <v>177</v>
      </c>
      <c r="O3264" s="55" t="s">
        <v>178</v>
      </c>
    </row>
    <row r="3265" spans="2:15">
      <c r="B3265" s="20">
        <v>45478</v>
      </c>
      <c r="C3265" s="59">
        <v>50142334</v>
      </c>
      <c r="D3265" s="55" t="s">
        <v>257</v>
      </c>
      <c r="E3265" s="67">
        <v>476.7</v>
      </c>
      <c r="G3265" s="102">
        <v>953.4</v>
      </c>
      <c r="H3265" s="56" t="s">
        <v>82</v>
      </c>
      <c r="K3265" s="56">
        <v>916</v>
      </c>
      <c r="L3265" s="55" t="s">
        <v>176</v>
      </c>
      <c r="M3265" s="55" t="s">
        <v>2824</v>
      </c>
      <c r="N3265" s="4" t="s">
        <v>177</v>
      </c>
      <c r="O3265" s="55" t="s">
        <v>178</v>
      </c>
    </row>
    <row r="3266" spans="2:15">
      <c r="B3266" s="20">
        <v>45478</v>
      </c>
      <c r="C3266" s="59">
        <v>50144376</v>
      </c>
      <c r="D3266" s="55" t="s">
        <v>19</v>
      </c>
      <c r="G3266" s="102">
        <v>3000</v>
      </c>
      <c r="H3266" s="56" t="s">
        <v>92</v>
      </c>
      <c r="K3266" s="56">
        <v>917</v>
      </c>
      <c r="L3266" s="55" t="s">
        <v>176</v>
      </c>
      <c r="M3266" s="55" t="s">
        <v>2824</v>
      </c>
      <c r="N3266" s="4" t="s">
        <v>177</v>
      </c>
      <c r="O3266" s="55" t="s">
        <v>178</v>
      </c>
    </row>
    <row r="3267" spans="2:15">
      <c r="B3267" s="20">
        <v>45478</v>
      </c>
      <c r="C3267" s="59">
        <v>50793278</v>
      </c>
      <c r="D3267" s="55" t="s">
        <v>1086</v>
      </c>
      <c r="G3267" s="102">
        <v>50</v>
      </c>
      <c r="H3267" s="56" t="s">
        <v>1087</v>
      </c>
      <c r="K3267" s="56">
        <v>917</v>
      </c>
      <c r="L3267" s="55" t="s">
        <v>176</v>
      </c>
      <c r="M3267" s="55" t="s">
        <v>2824</v>
      </c>
      <c r="N3267" s="4" t="s">
        <v>177</v>
      </c>
      <c r="O3267" s="55" t="s">
        <v>178</v>
      </c>
    </row>
    <row r="3268" spans="2:15">
      <c r="B3268" s="20">
        <v>45478</v>
      </c>
      <c r="C3268" s="59">
        <v>40011080</v>
      </c>
      <c r="D3268" s="55" t="s">
        <v>420</v>
      </c>
      <c r="G3268" s="102">
        <v>450</v>
      </c>
      <c r="H3268" s="56" t="s">
        <v>80</v>
      </c>
      <c r="K3268" s="56">
        <v>917</v>
      </c>
      <c r="L3268" s="55" t="s">
        <v>176</v>
      </c>
      <c r="M3268" s="55" t="s">
        <v>2824</v>
      </c>
      <c r="N3268" s="4" t="s">
        <v>177</v>
      </c>
      <c r="O3268" s="55" t="s">
        <v>178</v>
      </c>
    </row>
    <row r="3269" spans="2:15">
      <c r="B3269" s="20">
        <v>45478</v>
      </c>
      <c r="C3269" s="59">
        <v>50818948</v>
      </c>
      <c r="D3269" s="55" t="s">
        <v>1173</v>
      </c>
      <c r="G3269" s="102">
        <v>500000</v>
      </c>
      <c r="H3269" s="56" t="s">
        <v>92</v>
      </c>
      <c r="K3269" s="56">
        <v>917</v>
      </c>
      <c r="L3269" s="55" t="s">
        <v>176</v>
      </c>
      <c r="M3269" s="55" t="s">
        <v>2824</v>
      </c>
      <c r="N3269" s="4" t="s">
        <v>177</v>
      </c>
      <c r="O3269" s="55" t="s">
        <v>178</v>
      </c>
    </row>
    <row r="3270" spans="2:15">
      <c r="B3270" s="20">
        <v>45478</v>
      </c>
      <c r="C3270" s="59">
        <v>50337814</v>
      </c>
      <c r="D3270" s="55" t="s">
        <v>669</v>
      </c>
      <c r="G3270" s="102">
        <v>528</v>
      </c>
      <c r="H3270" s="56" t="s">
        <v>80</v>
      </c>
      <c r="K3270" s="56">
        <v>917</v>
      </c>
      <c r="L3270" s="55" t="s">
        <v>176</v>
      </c>
      <c r="M3270" s="55" t="s">
        <v>2824</v>
      </c>
      <c r="N3270" s="4" t="s">
        <v>177</v>
      </c>
      <c r="O3270" s="55" t="s">
        <v>178</v>
      </c>
    </row>
    <row r="3271" spans="2:15">
      <c r="B3271" s="20">
        <v>45478</v>
      </c>
      <c r="C3271" s="59">
        <v>50470190</v>
      </c>
      <c r="D3271" s="55" t="s">
        <v>12</v>
      </c>
      <c r="G3271" s="102">
        <v>1449000</v>
      </c>
      <c r="H3271" s="56" t="s">
        <v>92</v>
      </c>
      <c r="K3271" s="56">
        <v>917</v>
      </c>
      <c r="L3271" s="55" t="s">
        <v>176</v>
      </c>
      <c r="M3271" s="55" t="s">
        <v>2824</v>
      </c>
      <c r="N3271" s="4" t="s">
        <v>177</v>
      </c>
      <c r="O3271" s="55" t="s">
        <v>178</v>
      </c>
    </row>
    <row r="3272" spans="2:15">
      <c r="B3272" s="20">
        <v>45478</v>
      </c>
      <c r="C3272" s="59">
        <v>50142237</v>
      </c>
      <c r="D3272" s="55" t="s">
        <v>617</v>
      </c>
      <c r="G3272" s="102">
        <v>2000</v>
      </c>
      <c r="H3272" s="56" t="s">
        <v>962</v>
      </c>
      <c r="K3272" s="56">
        <v>918</v>
      </c>
      <c r="M3272" s="55" t="s">
        <v>2824</v>
      </c>
      <c r="N3272" s="4" t="s">
        <v>178</v>
      </c>
      <c r="O3272" s="55" t="s">
        <v>178</v>
      </c>
    </row>
    <row r="3273" spans="2:15">
      <c r="B3273" s="20">
        <v>45481</v>
      </c>
      <c r="C3273" s="59">
        <v>50142424</v>
      </c>
      <c r="D3273" s="55" t="s">
        <v>33</v>
      </c>
      <c r="E3273" s="67">
        <v>1000</v>
      </c>
      <c r="G3273" s="102">
        <v>1000</v>
      </c>
      <c r="H3273" s="56" t="s">
        <v>82</v>
      </c>
      <c r="K3273" s="56">
        <v>919</v>
      </c>
      <c r="L3273" s="55" t="s">
        <v>326</v>
      </c>
      <c r="M3273" s="55" t="s">
        <v>2824</v>
      </c>
      <c r="N3273" s="4" t="s">
        <v>239</v>
      </c>
      <c r="O3273" s="55" t="s">
        <v>178</v>
      </c>
    </row>
    <row r="3274" spans="2:15">
      <c r="B3274" s="20">
        <v>45481</v>
      </c>
      <c r="C3274" s="59">
        <v>50144376</v>
      </c>
      <c r="D3274" s="55" t="s">
        <v>19</v>
      </c>
      <c r="G3274" s="102">
        <v>5500</v>
      </c>
      <c r="H3274" s="56" t="s">
        <v>92</v>
      </c>
      <c r="K3274" s="56">
        <v>919</v>
      </c>
      <c r="L3274" s="55" t="s">
        <v>326</v>
      </c>
      <c r="M3274" s="55" t="s">
        <v>2824</v>
      </c>
      <c r="N3274" s="4" t="s">
        <v>239</v>
      </c>
      <c r="O3274" s="55" t="s">
        <v>178</v>
      </c>
    </row>
    <row r="3275" spans="2:15">
      <c r="B3275" s="20">
        <v>45481</v>
      </c>
      <c r="C3275" s="59">
        <v>50272278</v>
      </c>
      <c r="D3275" s="55" t="s">
        <v>21</v>
      </c>
      <c r="G3275" s="102">
        <v>3500</v>
      </c>
      <c r="H3275" s="56" t="s">
        <v>92</v>
      </c>
      <c r="K3275" s="56">
        <v>919</v>
      </c>
      <c r="L3275" s="55" t="s">
        <v>326</v>
      </c>
      <c r="M3275" s="55" t="s">
        <v>2824</v>
      </c>
      <c r="N3275" s="4" t="s">
        <v>239</v>
      </c>
      <c r="O3275" s="55" t="s">
        <v>178</v>
      </c>
    </row>
    <row r="3276" spans="2:15">
      <c r="B3276" s="20">
        <v>45481</v>
      </c>
      <c r="C3276" s="59">
        <v>40499</v>
      </c>
      <c r="D3276" s="55" t="s">
        <v>1094</v>
      </c>
      <c r="G3276" s="102">
        <v>32</v>
      </c>
      <c r="H3276" s="56" t="s">
        <v>92</v>
      </c>
      <c r="K3276" s="56">
        <v>919</v>
      </c>
      <c r="L3276" s="55" t="s">
        <v>326</v>
      </c>
      <c r="M3276" s="55" t="s">
        <v>2824</v>
      </c>
      <c r="N3276" s="4" t="s">
        <v>239</v>
      </c>
      <c r="O3276" s="55" t="s">
        <v>178</v>
      </c>
    </row>
    <row r="3277" spans="2:15">
      <c r="B3277" s="20">
        <v>45482</v>
      </c>
      <c r="C3277" s="59">
        <v>50142631</v>
      </c>
      <c r="D3277" s="55" t="s">
        <v>566</v>
      </c>
      <c r="G3277" s="102">
        <v>1500</v>
      </c>
      <c r="H3277" s="56" t="s">
        <v>82</v>
      </c>
      <c r="K3277" s="56">
        <v>920</v>
      </c>
      <c r="L3277" s="55" t="s">
        <v>176</v>
      </c>
      <c r="M3277" s="55" t="s">
        <v>2824</v>
      </c>
      <c r="N3277" s="4" t="s">
        <v>177</v>
      </c>
      <c r="O3277" s="55" t="s">
        <v>178</v>
      </c>
    </row>
    <row r="3278" spans="2:15">
      <c r="B3278" s="20">
        <v>45482</v>
      </c>
      <c r="C3278" s="59">
        <v>50272278</v>
      </c>
      <c r="D3278" s="55" t="s">
        <v>21</v>
      </c>
      <c r="G3278" s="102">
        <v>5950</v>
      </c>
      <c r="H3278" s="56" t="s">
        <v>92</v>
      </c>
      <c r="K3278" s="56">
        <v>920</v>
      </c>
      <c r="L3278" s="55" t="s">
        <v>176</v>
      </c>
      <c r="M3278" s="55" t="s">
        <v>2824</v>
      </c>
      <c r="N3278" s="4" t="s">
        <v>177</v>
      </c>
      <c r="O3278" s="55" t="s">
        <v>178</v>
      </c>
    </row>
    <row r="3279" spans="2:15">
      <c r="B3279" s="20">
        <v>45482</v>
      </c>
      <c r="C3279" s="59">
        <v>50142237</v>
      </c>
      <c r="D3279" s="55" t="s">
        <v>617</v>
      </c>
      <c r="G3279" s="102">
        <v>15000</v>
      </c>
      <c r="H3279" s="56" t="s">
        <v>92</v>
      </c>
      <c r="K3279" s="56">
        <v>920</v>
      </c>
      <c r="L3279" s="55" t="s">
        <v>176</v>
      </c>
      <c r="M3279" s="55" t="s">
        <v>2824</v>
      </c>
      <c r="N3279" s="4" t="s">
        <v>177</v>
      </c>
      <c r="O3279" s="55" t="s">
        <v>178</v>
      </c>
    </row>
    <row r="3280" spans="2:15">
      <c r="B3280" s="20">
        <v>45482</v>
      </c>
      <c r="C3280" s="59">
        <v>50507916</v>
      </c>
      <c r="D3280" s="55" t="s">
        <v>406</v>
      </c>
      <c r="G3280" s="102">
        <v>528000</v>
      </c>
      <c r="H3280" s="56" t="s">
        <v>92</v>
      </c>
      <c r="K3280" s="56">
        <v>920</v>
      </c>
      <c r="L3280" s="55" t="s">
        <v>176</v>
      </c>
      <c r="M3280" s="55" t="s">
        <v>2824</v>
      </c>
      <c r="N3280" s="4" t="s">
        <v>177</v>
      </c>
      <c r="O3280" s="55" t="s">
        <v>178</v>
      </c>
    </row>
    <row r="3281" spans="2:15">
      <c r="B3281" s="20">
        <v>45482</v>
      </c>
      <c r="C3281" s="59">
        <v>50397884</v>
      </c>
      <c r="D3281" s="55" t="s">
        <v>1296</v>
      </c>
      <c r="G3281" s="102">
        <v>11.25</v>
      </c>
      <c r="H3281" s="56" t="s">
        <v>80</v>
      </c>
      <c r="K3281" s="56">
        <v>920</v>
      </c>
      <c r="L3281" s="55" t="s">
        <v>176</v>
      </c>
      <c r="M3281" s="55" t="s">
        <v>2824</v>
      </c>
      <c r="N3281" s="4" t="s">
        <v>177</v>
      </c>
      <c r="O3281" s="55" t="s">
        <v>178</v>
      </c>
    </row>
    <row r="3282" spans="2:15">
      <c r="B3282" s="20">
        <v>45482</v>
      </c>
      <c r="C3282" s="59">
        <v>40499</v>
      </c>
      <c r="D3282" s="55" t="s">
        <v>1094</v>
      </c>
      <c r="G3282" s="102">
        <v>17</v>
      </c>
      <c r="H3282" s="56" t="s">
        <v>92</v>
      </c>
      <c r="K3282" s="56">
        <v>920</v>
      </c>
      <c r="L3282" s="55" t="s">
        <v>176</v>
      </c>
      <c r="M3282" s="55" t="s">
        <v>2824</v>
      </c>
      <c r="N3282" s="4" t="s">
        <v>177</v>
      </c>
      <c r="O3282" s="55" t="s">
        <v>178</v>
      </c>
    </row>
    <row r="3283" spans="2:15">
      <c r="B3283" s="20">
        <v>45482</v>
      </c>
      <c r="C3283" s="59">
        <v>50142551</v>
      </c>
      <c r="D3283" s="55" t="s">
        <v>215</v>
      </c>
      <c r="G3283" s="102">
        <v>150</v>
      </c>
      <c r="H3283" s="56" t="s">
        <v>92</v>
      </c>
      <c r="K3283" s="56">
        <v>921</v>
      </c>
      <c r="L3283" s="55" t="s">
        <v>176</v>
      </c>
      <c r="M3283" s="55" t="s">
        <v>2824</v>
      </c>
      <c r="N3283" s="4" t="s">
        <v>177</v>
      </c>
      <c r="O3283" s="55" t="s">
        <v>178</v>
      </c>
    </row>
    <row r="3284" spans="2:15">
      <c r="B3284" s="20">
        <v>45482</v>
      </c>
      <c r="C3284" s="59">
        <v>50142397</v>
      </c>
      <c r="D3284" s="55" t="s">
        <v>557</v>
      </c>
      <c r="G3284" s="102">
        <v>140</v>
      </c>
      <c r="H3284" s="56" t="s">
        <v>92</v>
      </c>
      <c r="K3284" s="56">
        <v>921</v>
      </c>
      <c r="L3284" s="55" t="s">
        <v>176</v>
      </c>
      <c r="M3284" s="55" t="s">
        <v>2824</v>
      </c>
      <c r="N3284" s="4" t="s">
        <v>177</v>
      </c>
      <c r="O3284" s="55" t="s">
        <v>178</v>
      </c>
    </row>
    <row r="3285" spans="2:15">
      <c r="B3285" s="20">
        <v>45482</v>
      </c>
      <c r="C3285" s="59">
        <v>50142551</v>
      </c>
      <c r="D3285" s="55" t="s">
        <v>215</v>
      </c>
      <c r="G3285" s="102">
        <v>150</v>
      </c>
      <c r="H3285" s="56" t="s">
        <v>92</v>
      </c>
      <c r="K3285" s="56">
        <v>921</v>
      </c>
      <c r="L3285" s="55" t="s">
        <v>176</v>
      </c>
      <c r="M3285" s="55" t="s">
        <v>2824</v>
      </c>
      <c r="N3285" s="4" t="s">
        <v>177</v>
      </c>
      <c r="O3285" s="55" t="s">
        <v>178</v>
      </c>
    </row>
    <row r="3286" spans="2:15">
      <c r="B3286" s="20">
        <v>45482</v>
      </c>
      <c r="C3286" s="59">
        <v>20016185</v>
      </c>
      <c r="D3286" s="55" t="s">
        <v>285</v>
      </c>
      <c r="G3286" s="102">
        <v>10000</v>
      </c>
      <c r="H3286" s="56" t="s">
        <v>92</v>
      </c>
      <c r="K3286" s="56">
        <v>921</v>
      </c>
      <c r="L3286" s="55" t="s">
        <v>176</v>
      </c>
      <c r="M3286" s="55" t="s">
        <v>2824</v>
      </c>
      <c r="N3286" s="4" t="s">
        <v>177</v>
      </c>
      <c r="O3286" s="55" t="s">
        <v>178</v>
      </c>
    </row>
    <row r="3287" spans="2:15">
      <c r="B3287" s="20">
        <v>45482</v>
      </c>
      <c r="C3287" s="59">
        <v>50272278</v>
      </c>
      <c r="D3287" s="55" t="s">
        <v>21</v>
      </c>
      <c r="G3287" s="102">
        <v>700</v>
      </c>
      <c r="H3287" s="56" t="s">
        <v>92</v>
      </c>
      <c r="K3287" s="56">
        <v>921</v>
      </c>
      <c r="L3287" s="55" t="s">
        <v>176</v>
      </c>
      <c r="M3287" s="55" t="s">
        <v>2824</v>
      </c>
      <c r="N3287" s="4" t="s">
        <v>177</v>
      </c>
      <c r="O3287" s="55" t="s">
        <v>178</v>
      </c>
    </row>
    <row r="3288" spans="2:15">
      <c r="B3288" s="20">
        <v>45482</v>
      </c>
      <c r="C3288" s="59">
        <v>40499</v>
      </c>
      <c r="D3288" s="55" t="s">
        <v>1094</v>
      </c>
      <c r="G3288" s="102">
        <v>19</v>
      </c>
      <c r="H3288" s="56" t="s">
        <v>92</v>
      </c>
      <c r="K3288" s="56">
        <v>921</v>
      </c>
      <c r="L3288" s="55" t="s">
        <v>176</v>
      </c>
      <c r="M3288" s="55" t="s">
        <v>2824</v>
      </c>
      <c r="N3288" s="4" t="s">
        <v>177</v>
      </c>
      <c r="O3288" s="55" t="s">
        <v>178</v>
      </c>
    </row>
    <row r="3289" spans="2:15">
      <c r="B3289" s="20">
        <v>45482</v>
      </c>
      <c r="C3289" s="59">
        <v>50145029</v>
      </c>
      <c r="D3289" s="55" t="s">
        <v>705</v>
      </c>
      <c r="G3289" s="102">
        <v>12</v>
      </c>
      <c r="H3289" s="56" t="s">
        <v>505</v>
      </c>
      <c r="K3289" s="56">
        <v>921</v>
      </c>
      <c r="L3289" s="55" t="s">
        <v>176</v>
      </c>
      <c r="M3289" s="55" t="s">
        <v>2824</v>
      </c>
      <c r="N3289" s="4" t="s">
        <v>177</v>
      </c>
      <c r="O3289" s="55" t="s">
        <v>178</v>
      </c>
    </row>
    <row r="3290" spans="2:15">
      <c r="B3290" s="20">
        <v>45482</v>
      </c>
      <c r="C3290" s="59">
        <v>50392045</v>
      </c>
      <c r="D3290" s="55" t="s">
        <v>707</v>
      </c>
      <c r="G3290" s="102">
        <v>30</v>
      </c>
      <c r="H3290" s="56" t="s">
        <v>505</v>
      </c>
      <c r="K3290" s="56">
        <v>921</v>
      </c>
      <c r="L3290" s="55" t="s">
        <v>176</v>
      </c>
      <c r="M3290" s="55" t="s">
        <v>2824</v>
      </c>
      <c r="N3290" s="4" t="s">
        <v>177</v>
      </c>
      <c r="O3290" s="55" t="s">
        <v>178</v>
      </c>
    </row>
    <row r="3291" spans="2:15">
      <c r="B3291" s="20">
        <v>45482</v>
      </c>
      <c r="C3291" s="59">
        <v>50145187</v>
      </c>
      <c r="D3291" s="55" t="s">
        <v>465</v>
      </c>
      <c r="G3291" s="102">
        <v>528000</v>
      </c>
      <c r="H3291" s="56" t="s">
        <v>92</v>
      </c>
      <c r="K3291" s="56">
        <v>921</v>
      </c>
      <c r="L3291" s="55" t="s">
        <v>176</v>
      </c>
      <c r="M3291" s="55" t="s">
        <v>2824</v>
      </c>
      <c r="N3291" s="4" t="s">
        <v>177</v>
      </c>
      <c r="O3291" s="55" t="s">
        <v>178</v>
      </c>
    </row>
    <row r="3292" spans="2:15">
      <c r="B3292" s="20">
        <v>45482</v>
      </c>
      <c r="C3292" s="59">
        <v>50507916</v>
      </c>
      <c r="D3292" s="55" t="s">
        <v>406</v>
      </c>
      <c r="G3292" s="102">
        <v>1056000</v>
      </c>
      <c r="H3292" s="56" t="s">
        <v>92</v>
      </c>
      <c r="K3292" s="56">
        <v>921</v>
      </c>
      <c r="L3292" s="55" t="s">
        <v>176</v>
      </c>
      <c r="M3292" s="55" t="s">
        <v>2824</v>
      </c>
      <c r="N3292" s="4" t="s">
        <v>177</v>
      </c>
      <c r="O3292" s="55" t="s">
        <v>178</v>
      </c>
    </row>
    <row r="3293" spans="2:15">
      <c r="B3293" s="20">
        <v>45482</v>
      </c>
      <c r="C3293" s="59">
        <v>50145012</v>
      </c>
      <c r="D3293" s="55" t="s">
        <v>504</v>
      </c>
      <c r="G3293" s="102">
        <v>6</v>
      </c>
      <c r="H3293" s="56" t="s">
        <v>505</v>
      </c>
      <c r="K3293" s="56">
        <v>921</v>
      </c>
      <c r="L3293" s="55" t="s">
        <v>176</v>
      </c>
      <c r="M3293" s="55" t="s">
        <v>2824</v>
      </c>
      <c r="N3293" s="4" t="s">
        <v>177</v>
      </c>
      <c r="O3293" s="55" t="s">
        <v>178</v>
      </c>
    </row>
    <row r="3294" spans="2:15">
      <c r="B3294" s="20">
        <v>45482</v>
      </c>
      <c r="C3294" s="59">
        <v>50470190</v>
      </c>
      <c r="D3294" s="55" t="s">
        <v>12</v>
      </c>
      <c r="G3294" s="102">
        <v>1738800</v>
      </c>
      <c r="H3294" s="56" t="s">
        <v>92</v>
      </c>
      <c r="K3294" s="56">
        <v>921</v>
      </c>
      <c r="L3294" s="55" t="s">
        <v>176</v>
      </c>
      <c r="M3294" s="55" t="s">
        <v>2824</v>
      </c>
      <c r="N3294" s="4" t="s">
        <v>177</v>
      </c>
      <c r="O3294" s="55" t="s">
        <v>178</v>
      </c>
    </row>
    <row r="3295" spans="2:15">
      <c r="B3295" s="20">
        <v>45482</v>
      </c>
      <c r="C3295" s="59">
        <v>50802401</v>
      </c>
      <c r="D3295" s="55" t="s">
        <v>13</v>
      </c>
      <c r="G3295" s="102">
        <v>579600</v>
      </c>
      <c r="H3295" s="56" t="s">
        <v>92</v>
      </c>
      <c r="K3295" s="56">
        <v>921</v>
      </c>
      <c r="L3295" s="55" t="s">
        <v>176</v>
      </c>
      <c r="M3295" s="55" t="s">
        <v>2824</v>
      </c>
      <c r="N3295" s="4" t="s">
        <v>177</v>
      </c>
      <c r="O3295" s="55" t="s">
        <v>178</v>
      </c>
    </row>
    <row r="3296" spans="2:15">
      <c r="B3296" s="20">
        <v>45484</v>
      </c>
      <c r="C3296" s="59">
        <v>50010080</v>
      </c>
      <c r="D3296" s="55" t="s">
        <v>354</v>
      </c>
      <c r="G3296" s="102">
        <v>2000</v>
      </c>
      <c r="H3296" s="56" t="s">
        <v>82</v>
      </c>
      <c r="K3296" s="56">
        <v>922</v>
      </c>
      <c r="L3296" s="55" t="s">
        <v>326</v>
      </c>
      <c r="M3296" s="55" t="s">
        <v>2824</v>
      </c>
      <c r="N3296" s="4" t="s">
        <v>327</v>
      </c>
      <c r="O3296" s="55" t="s">
        <v>178</v>
      </c>
    </row>
    <row r="3297" spans="2:15">
      <c r="B3297" s="20">
        <v>45484</v>
      </c>
      <c r="C3297" s="59">
        <v>50272278</v>
      </c>
      <c r="D3297" s="55" t="s">
        <v>21</v>
      </c>
      <c r="G3297" s="102">
        <v>4550</v>
      </c>
      <c r="H3297" s="56" t="s">
        <v>92</v>
      </c>
      <c r="K3297" s="56">
        <v>922</v>
      </c>
      <c r="L3297" s="55" t="s">
        <v>326</v>
      </c>
      <c r="M3297" s="55" t="s">
        <v>2824</v>
      </c>
      <c r="N3297" s="4" t="s">
        <v>327</v>
      </c>
      <c r="O3297" s="55" t="s">
        <v>178</v>
      </c>
    </row>
    <row r="3298" spans="2:15">
      <c r="B3298" s="20">
        <v>45484</v>
      </c>
      <c r="C3298" s="59">
        <v>50145187</v>
      </c>
      <c r="D3298" s="55" t="s">
        <v>465</v>
      </c>
      <c r="G3298" s="102">
        <v>374000</v>
      </c>
      <c r="H3298" s="56" t="s">
        <v>92</v>
      </c>
      <c r="K3298" s="56">
        <v>922</v>
      </c>
      <c r="L3298" s="55" t="s">
        <v>326</v>
      </c>
      <c r="M3298" s="55" t="s">
        <v>2824</v>
      </c>
      <c r="N3298" s="4" t="s">
        <v>327</v>
      </c>
      <c r="O3298" s="55" t="s">
        <v>178</v>
      </c>
    </row>
    <row r="3299" spans="2:15">
      <c r="B3299" s="20">
        <v>45484</v>
      </c>
      <c r="C3299" s="59">
        <v>50142327</v>
      </c>
      <c r="D3299" s="55" t="s">
        <v>256</v>
      </c>
      <c r="G3299" s="102">
        <v>953.4</v>
      </c>
      <c r="H3299" s="56" t="s">
        <v>82</v>
      </c>
      <c r="K3299" s="56">
        <v>922</v>
      </c>
      <c r="L3299" s="55" t="s">
        <v>326</v>
      </c>
      <c r="M3299" s="55" t="s">
        <v>2824</v>
      </c>
      <c r="N3299" s="4" t="s">
        <v>327</v>
      </c>
      <c r="O3299" s="55" t="s">
        <v>178</v>
      </c>
    </row>
    <row r="3300" spans="2:15">
      <c r="B3300" s="20">
        <v>45484</v>
      </c>
      <c r="C3300" s="59">
        <v>50142334</v>
      </c>
      <c r="D3300" s="55" t="s">
        <v>257</v>
      </c>
      <c r="G3300" s="102">
        <v>953.4</v>
      </c>
      <c r="H3300" s="56" t="s">
        <v>82</v>
      </c>
      <c r="K3300" s="56">
        <v>922</v>
      </c>
      <c r="L3300" s="55" t="s">
        <v>326</v>
      </c>
      <c r="M3300" s="55" t="s">
        <v>2824</v>
      </c>
      <c r="N3300" s="4" t="s">
        <v>327</v>
      </c>
      <c r="O3300" s="55" t="s">
        <v>178</v>
      </c>
    </row>
    <row r="3301" spans="2:15">
      <c r="B3301" s="20">
        <v>45485</v>
      </c>
      <c r="C3301" s="59">
        <v>50272278</v>
      </c>
      <c r="D3301" s="55" t="s">
        <v>21</v>
      </c>
      <c r="G3301" s="102">
        <v>3500</v>
      </c>
      <c r="H3301" s="56" t="s">
        <v>92</v>
      </c>
      <c r="K3301" s="56">
        <v>923</v>
      </c>
      <c r="L3301" s="55" t="s">
        <v>176</v>
      </c>
      <c r="M3301" s="55" t="s">
        <v>2824</v>
      </c>
      <c r="N3301" s="4" t="s">
        <v>177</v>
      </c>
      <c r="O3301" s="55" t="s">
        <v>178</v>
      </c>
    </row>
    <row r="3302" spans="2:15">
      <c r="B3302" s="20">
        <v>45485</v>
      </c>
      <c r="C3302" s="59">
        <v>50470190</v>
      </c>
      <c r="D3302" s="55" t="s">
        <v>12</v>
      </c>
      <c r="G3302" s="102">
        <v>2898000</v>
      </c>
      <c r="H3302" s="56" t="s">
        <v>92</v>
      </c>
      <c r="K3302" s="56">
        <v>923</v>
      </c>
      <c r="L3302" s="55" t="s">
        <v>176</v>
      </c>
      <c r="M3302" s="55" t="s">
        <v>2824</v>
      </c>
      <c r="N3302" s="4" t="s">
        <v>177</v>
      </c>
      <c r="O3302" s="55" t="s">
        <v>178</v>
      </c>
    </row>
    <row r="3303" spans="2:15">
      <c r="B3303" s="20">
        <v>45485</v>
      </c>
      <c r="C3303" s="59">
        <v>40499</v>
      </c>
      <c r="D3303" s="55" t="s">
        <v>1094</v>
      </c>
      <c r="G3303" s="102">
        <v>10</v>
      </c>
      <c r="H3303" s="56" t="s">
        <v>92</v>
      </c>
      <c r="K3303" s="56">
        <v>923</v>
      </c>
      <c r="L3303" s="55" t="s">
        <v>176</v>
      </c>
      <c r="M3303" s="55" t="s">
        <v>2824</v>
      </c>
      <c r="N3303" s="4" t="s">
        <v>177</v>
      </c>
      <c r="O3303" s="55" t="s">
        <v>178</v>
      </c>
    </row>
    <row r="3304" spans="2:15">
      <c r="B3304" s="20">
        <v>45485</v>
      </c>
      <c r="C3304" s="59">
        <v>50804971</v>
      </c>
      <c r="D3304" s="55" t="s">
        <v>855</v>
      </c>
      <c r="G3304" s="102">
        <v>960000</v>
      </c>
      <c r="H3304" s="56" t="s">
        <v>92</v>
      </c>
      <c r="K3304" s="56">
        <v>924</v>
      </c>
      <c r="L3304" s="55" t="s">
        <v>326</v>
      </c>
      <c r="M3304" s="55" t="s">
        <v>2824</v>
      </c>
      <c r="N3304" s="4" t="s">
        <v>239</v>
      </c>
      <c r="O3304" s="55" t="s">
        <v>178</v>
      </c>
    </row>
    <row r="3305" spans="2:15">
      <c r="B3305" s="20">
        <v>45485</v>
      </c>
      <c r="C3305" s="59">
        <v>50498271</v>
      </c>
      <c r="D3305" s="55" t="s">
        <v>1025</v>
      </c>
      <c r="G3305" s="102">
        <v>1059.1</v>
      </c>
      <c r="H3305" s="56" t="s">
        <v>82</v>
      </c>
      <c r="K3305" s="56">
        <v>924</v>
      </c>
      <c r="L3305" s="55" t="s">
        <v>326</v>
      </c>
      <c r="M3305" s="55" t="s">
        <v>2824</v>
      </c>
      <c r="N3305" s="4" t="s">
        <v>239</v>
      </c>
      <c r="O3305" s="55" t="s">
        <v>178</v>
      </c>
    </row>
    <row r="3306" spans="2:15">
      <c r="B3306" s="20">
        <v>45485</v>
      </c>
      <c r="C3306" s="59">
        <v>50272278</v>
      </c>
      <c r="D3306" s="55" t="s">
        <v>21</v>
      </c>
      <c r="G3306" s="102">
        <v>5600</v>
      </c>
      <c r="H3306" s="56" t="s">
        <v>92</v>
      </c>
      <c r="K3306" s="56">
        <v>924</v>
      </c>
      <c r="L3306" s="55" t="s">
        <v>326</v>
      </c>
      <c r="M3306" s="55" t="s">
        <v>2824</v>
      </c>
      <c r="N3306" s="4" t="s">
        <v>239</v>
      </c>
      <c r="O3306" s="55" t="s">
        <v>178</v>
      </c>
    </row>
    <row r="3307" spans="2:15">
      <c r="B3307" s="20">
        <v>45485</v>
      </c>
      <c r="C3307" s="59">
        <v>50793278</v>
      </c>
      <c r="D3307" s="55" t="s">
        <v>1086</v>
      </c>
      <c r="G3307" s="102">
        <v>10</v>
      </c>
      <c r="H3307" s="56" t="s">
        <v>1087</v>
      </c>
      <c r="K3307" s="56">
        <v>924</v>
      </c>
      <c r="L3307" s="55" t="s">
        <v>326</v>
      </c>
      <c r="M3307" s="55" t="s">
        <v>2824</v>
      </c>
      <c r="N3307" s="4" t="s">
        <v>239</v>
      </c>
      <c r="O3307" s="55" t="s">
        <v>178</v>
      </c>
    </row>
    <row r="3308" spans="2:15">
      <c r="B3308" s="20">
        <v>45485</v>
      </c>
      <c r="C3308" s="59">
        <v>50142281</v>
      </c>
      <c r="D3308" s="55" t="s">
        <v>204</v>
      </c>
      <c r="G3308" s="102">
        <v>450</v>
      </c>
      <c r="H3308" s="56" t="s">
        <v>82</v>
      </c>
      <c r="K3308" s="56">
        <v>924</v>
      </c>
      <c r="L3308" s="55" t="s">
        <v>326</v>
      </c>
      <c r="M3308" s="55" t="s">
        <v>2824</v>
      </c>
      <c r="N3308" s="4" t="s">
        <v>239</v>
      </c>
      <c r="O3308" s="55" t="s">
        <v>178</v>
      </c>
    </row>
    <row r="3309" spans="2:15">
      <c r="B3309" s="20">
        <v>45485</v>
      </c>
      <c r="C3309" s="59">
        <v>50515034</v>
      </c>
      <c r="D3309" s="55" t="s">
        <v>41</v>
      </c>
      <c r="G3309" s="102">
        <v>28.8</v>
      </c>
      <c r="H3309" s="56" t="s">
        <v>80</v>
      </c>
      <c r="K3309" s="56">
        <v>924</v>
      </c>
      <c r="L3309" s="55" t="s">
        <v>326</v>
      </c>
      <c r="M3309" s="55" t="s">
        <v>2824</v>
      </c>
      <c r="N3309" s="4" t="s">
        <v>239</v>
      </c>
      <c r="O3309" s="55" t="s">
        <v>178</v>
      </c>
    </row>
    <row r="3310" spans="2:15">
      <c r="B3310" s="20">
        <v>45485</v>
      </c>
      <c r="C3310" s="59">
        <v>40499</v>
      </c>
      <c r="D3310" s="55" t="s">
        <v>1094</v>
      </c>
      <c r="G3310" s="102">
        <v>16</v>
      </c>
      <c r="H3310" s="56" t="s">
        <v>92</v>
      </c>
      <c r="K3310" s="56">
        <v>924</v>
      </c>
      <c r="L3310" s="55" t="s">
        <v>326</v>
      </c>
      <c r="M3310" s="55" t="s">
        <v>2824</v>
      </c>
      <c r="N3310" s="4" t="s">
        <v>239</v>
      </c>
      <c r="O3310" s="55" t="s">
        <v>178</v>
      </c>
    </row>
    <row r="3311" spans="2:15">
      <c r="B3311" s="20">
        <v>45485</v>
      </c>
      <c r="C3311" s="59">
        <v>50400554</v>
      </c>
      <c r="D3311" s="55" t="s">
        <v>1311</v>
      </c>
      <c r="F3311" s="67">
        <v>16</v>
      </c>
      <c r="G3311" s="102">
        <v>61.44</v>
      </c>
      <c r="H3311" s="56" t="s">
        <v>80</v>
      </c>
      <c r="K3311" s="56">
        <v>925</v>
      </c>
      <c r="L3311" s="55" t="s">
        <v>392</v>
      </c>
      <c r="M3311" s="55" t="s">
        <v>2824</v>
      </c>
      <c r="N3311" s="4" t="s">
        <v>2861</v>
      </c>
      <c r="O3311" s="55" t="s">
        <v>178</v>
      </c>
    </row>
    <row r="3312" spans="2:15">
      <c r="B3312" s="20">
        <v>45486</v>
      </c>
      <c r="C3312" s="59">
        <v>50400554</v>
      </c>
      <c r="D3312" s="55" t="s">
        <v>1311</v>
      </c>
      <c r="F3312" s="67">
        <v>24</v>
      </c>
      <c r="G3312" s="102">
        <v>92.16</v>
      </c>
      <c r="H3312" s="56" t="s">
        <v>80</v>
      </c>
      <c r="K3312" s="56">
        <v>926</v>
      </c>
      <c r="L3312" s="55" t="s">
        <v>392</v>
      </c>
      <c r="M3312" s="55" t="s">
        <v>2824</v>
      </c>
      <c r="N3312" s="4" t="s">
        <v>2852</v>
      </c>
      <c r="O3312" s="55" t="s">
        <v>178</v>
      </c>
    </row>
    <row r="3313" spans="2:15">
      <c r="B3313" s="20">
        <v>45486</v>
      </c>
      <c r="C3313" s="59">
        <v>50400554</v>
      </c>
      <c r="D3313" s="55" t="s">
        <v>1311</v>
      </c>
      <c r="F3313" s="67">
        <v>24</v>
      </c>
      <c r="G3313" s="102">
        <v>92.16</v>
      </c>
      <c r="H3313" s="56" t="s">
        <v>80</v>
      </c>
      <c r="K3313" s="56">
        <v>927</v>
      </c>
      <c r="L3313" s="55" t="s">
        <v>392</v>
      </c>
      <c r="M3313" s="55" t="s">
        <v>2824</v>
      </c>
      <c r="N3313" s="4" t="s">
        <v>2861</v>
      </c>
      <c r="O3313" s="55" t="s">
        <v>178</v>
      </c>
    </row>
    <row r="3314" spans="2:15">
      <c r="B3314" s="20">
        <v>45486</v>
      </c>
      <c r="C3314" s="59">
        <v>50400554</v>
      </c>
      <c r="D3314" s="55" t="s">
        <v>1311</v>
      </c>
      <c r="F3314" s="67">
        <v>24</v>
      </c>
      <c r="G3314" s="102">
        <v>92.16</v>
      </c>
      <c r="H3314" s="56" t="s">
        <v>80</v>
      </c>
      <c r="K3314" s="56">
        <v>928</v>
      </c>
      <c r="L3314" s="55" t="s">
        <v>392</v>
      </c>
      <c r="M3314" s="55" t="s">
        <v>2824</v>
      </c>
      <c r="N3314" s="4" t="s">
        <v>1273</v>
      </c>
      <c r="O3314" s="55" t="s">
        <v>178</v>
      </c>
    </row>
    <row r="3315" spans="2:15">
      <c r="B3315" s="20">
        <v>45486</v>
      </c>
      <c r="C3315" s="59">
        <v>50400554</v>
      </c>
      <c r="D3315" s="55" t="s">
        <v>1311</v>
      </c>
      <c r="F3315" s="67">
        <v>24</v>
      </c>
      <c r="G3315" s="102">
        <v>92.16</v>
      </c>
      <c r="H3315" s="56" t="s">
        <v>80</v>
      </c>
      <c r="K3315" s="56">
        <v>929</v>
      </c>
      <c r="L3315" s="55" t="s">
        <v>392</v>
      </c>
      <c r="M3315" s="55" t="s">
        <v>2824</v>
      </c>
      <c r="N3315" s="4" t="s">
        <v>2852</v>
      </c>
      <c r="O3315" s="55" t="s">
        <v>178</v>
      </c>
    </row>
    <row r="3316" spans="2:15">
      <c r="B3316" s="20">
        <v>45486</v>
      </c>
      <c r="C3316" s="59">
        <v>50400554</v>
      </c>
      <c r="D3316" s="55" t="s">
        <v>1311</v>
      </c>
      <c r="F3316" s="67">
        <v>24</v>
      </c>
      <c r="G3316" s="102">
        <v>92.16</v>
      </c>
      <c r="H3316" s="56" t="s">
        <v>80</v>
      </c>
      <c r="K3316" s="56">
        <v>930</v>
      </c>
      <c r="L3316" s="55" t="s">
        <v>392</v>
      </c>
      <c r="M3316" s="55" t="s">
        <v>2824</v>
      </c>
      <c r="N3316" s="4" t="s">
        <v>2852</v>
      </c>
      <c r="O3316" s="55" t="s">
        <v>178</v>
      </c>
    </row>
    <row r="3317" spans="2:15">
      <c r="B3317" s="20">
        <v>45488</v>
      </c>
      <c r="C3317" s="59">
        <v>50809145</v>
      </c>
      <c r="D3317" s="55" t="s">
        <v>946</v>
      </c>
      <c r="G3317" s="102">
        <v>987.05</v>
      </c>
      <c r="H3317" s="56" t="s">
        <v>82</v>
      </c>
      <c r="K3317" s="56">
        <v>931</v>
      </c>
      <c r="L3317" s="55" t="s">
        <v>176</v>
      </c>
      <c r="M3317" s="55" t="s">
        <v>2824</v>
      </c>
      <c r="N3317" s="4" t="s">
        <v>177</v>
      </c>
      <c r="O3317" s="55" t="s">
        <v>178</v>
      </c>
    </row>
    <row r="3318" spans="2:15">
      <c r="B3318" s="20">
        <v>45488</v>
      </c>
      <c r="C3318" s="59">
        <v>50498271</v>
      </c>
      <c r="D3318" s="55" t="s">
        <v>1025</v>
      </c>
      <c r="G3318" s="102">
        <v>2876.85</v>
      </c>
      <c r="H3318" s="56" t="s">
        <v>82</v>
      </c>
      <c r="K3318" s="56">
        <v>931</v>
      </c>
      <c r="L3318" s="55" t="s">
        <v>176</v>
      </c>
      <c r="M3318" s="55" t="s">
        <v>2824</v>
      </c>
      <c r="N3318" s="4" t="s">
        <v>177</v>
      </c>
      <c r="O3318" s="55" t="s">
        <v>178</v>
      </c>
    </row>
    <row r="3319" spans="2:15">
      <c r="B3319" s="20">
        <v>45488</v>
      </c>
      <c r="C3319" s="59">
        <v>50824293</v>
      </c>
      <c r="D3319" s="55" t="s">
        <v>861</v>
      </c>
      <c r="G3319" s="102">
        <v>1728000</v>
      </c>
      <c r="H3319" s="56" t="s">
        <v>92</v>
      </c>
      <c r="K3319" s="56">
        <v>931</v>
      </c>
      <c r="L3319" s="55" t="s">
        <v>176</v>
      </c>
      <c r="M3319" s="55" t="s">
        <v>2824</v>
      </c>
      <c r="N3319" s="4" t="s">
        <v>177</v>
      </c>
      <c r="O3319" s="55" t="s">
        <v>178</v>
      </c>
    </row>
    <row r="3320" spans="2:15">
      <c r="B3320" s="20">
        <v>45488</v>
      </c>
      <c r="C3320" s="59">
        <v>50272278</v>
      </c>
      <c r="D3320" s="55" t="s">
        <v>21</v>
      </c>
      <c r="G3320" s="102">
        <v>4550</v>
      </c>
      <c r="H3320" s="56" t="s">
        <v>92</v>
      </c>
      <c r="K3320" s="56">
        <v>931</v>
      </c>
      <c r="L3320" s="55" t="s">
        <v>176</v>
      </c>
      <c r="M3320" s="55" t="s">
        <v>2824</v>
      </c>
      <c r="N3320" s="4" t="s">
        <v>177</v>
      </c>
      <c r="O3320" s="55" t="s">
        <v>178</v>
      </c>
    </row>
    <row r="3321" spans="2:15">
      <c r="B3321" s="20">
        <v>45488</v>
      </c>
      <c r="C3321" s="59">
        <v>40499</v>
      </c>
      <c r="D3321" s="55" t="s">
        <v>1094</v>
      </c>
      <c r="G3321" s="102">
        <v>13</v>
      </c>
      <c r="H3321" s="56" t="s">
        <v>92</v>
      </c>
      <c r="K3321" s="56">
        <v>931</v>
      </c>
      <c r="L3321" s="55" t="s">
        <v>176</v>
      </c>
      <c r="M3321" s="55" t="s">
        <v>2824</v>
      </c>
      <c r="N3321" s="4" t="s">
        <v>177</v>
      </c>
      <c r="O3321" s="55" t="s">
        <v>178</v>
      </c>
    </row>
    <row r="3322" spans="2:15">
      <c r="B3322" s="20">
        <v>45488</v>
      </c>
      <c r="C3322" s="59">
        <v>50400554</v>
      </c>
      <c r="D3322" s="55" t="s">
        <v>1311</v>
      </c>
      <c r="F3322" s="67">
        <v>24</v>
      </c>
      <c r="G3322" s="102">
        <v>92.16</v>
      </c>
      <c r="H3322" s="56" t="s">
        <v>80</v>
      </c>
      <c r="K3322" s="56">
        <v>932</v>
      </c>
      <c r="L3322" s="55" t="s">
        <v>392</v>
      </c>
      <c r="M3322" s="55" t="s">
        <v>2824</v>
      </c>
      <c r="N3322" s="4" t="s">
        <v>1273</v>
      </c>
      <c r="O3322" s="55" t="s">
        <v>178</v>
      </c>
    </row>
    <row r="3323" spans="2:15">
      <c r="B3323" s="20">
        <v>45488</v>
      </c>
      <c r="C3323" s="59">
        <v>50272278</v>
      </c>
      <c r="D3323" s="55" t="s">
        <v>21</v>
      </c>
      <c r="G3323" s="102">
        <v>2800</v>
      </c>
      <c r="H3323" s="56" t="s">
        <v>92</v>
      </c>
      <c r="K3323" s="56">
        <v>933</v>
      </c>
      <c r="L3323" s="55" t="s">
        <v>176</v>
      </c>
      <c r="M3323" s="55" t="s">
        <v>2824</v>
      </c>
      <c r="N3323" s="4" t="s">
        <v>177</v>
      </c>
      <c r="O3323" s="55" t="s">
        <v>178</v>
      </c>
    </row>
    <row r="3324" spans="2:15">
      <c r="B3324" s="20">
        <v>45488</v>
      </c>
      <c r="C3324" s="59">
        <v>50470190</v>
      </c>
      <c r="D3324" s="55" t="s">
        <v>12</v>
      </c>
      <c r="G3324" s="102">
        <v>3477600</v>
      </c>
      <c r="H3324" s="56" t="s">
        <v>92</v>
      </c>
      <c r="K3324" s="56">
        <v>933</v>
      </c>
      <c r="L3324" s="55" t="s">
        <v>176</v>
      </c>
      <c r="M3324" s="55" t="s">
        <v>2824</v>
      </c>
      <c r="N3324" s="4" t="s">
        <v>177</v>
      </c>
      <c r="O3324" s="55" t="s">
        <v>178</v>
      </c>
    </row>
    <row r="3325" spans="2:15">
      <c r="B3325" s="20">
        <v>45488</v>
      </c>
      <c r="C3325" s="59">
        <v>40499</v>
      </c>
      <c r="D3325" s="55" t="s">
        <v>1094</v>
      </c>
      <c r="G3325" s="102">
        <v>8</v>
      </c>
      <c r="H3325" s="56" t="s">
        <v>92</v>
      </c>
      <c r="K3325" s="56">
        <v>933</v>
      </c>
      <c r="L3325" s="55" t="s">
        <v>176</v>
      </c>
      <c r="M3325" s="55" t="s">
        <v>2824</v>
      </c>
      <c r="N3325" s="4" t="s">
        <v>177</v>
      </c>
      <c r="O3325" s="55" t="s">
        <v>178</v>
      </c>
    </row>
    <row r="3326" spans="2:15">
      <c r="B3326" s="20">
        <v>45488</v>
      </c>
      <c r="C3326" s="59">
        <v>50400554</v>
      </c>
      <c r="D3326" s="55" t="s">
        <v>1311</v>
      </c>
      <c r="F3326" s="67">
        <v>24</v>
      </c>
      <c r="G3326" s="102">
        <v>92.16</v>
      </c>
      <c r="H3326" s="56" t="s">
        <v>80</v>
      </c>
      <c r="K3326" s="56">
        <v>934</v>
      </c>
      <c r="L3326" s="55" t="s">
        <v>392</v>
      </c>
      <c r="M3326" s="55" t="s">
        <v>2824</v>
      </c>
      <c r="N3326" s="4" t="s">
        <v>2852</v>
      </c>
      <c r="O3326" s="55" t="s">
        <v>178</v>
      </c>
    </row>
    <row r="3327" spans="2:15">
      <c r="B3327" s="20">
        <v>45489</v>
      </c>
      <c r="C3327" s="59">
        <v>50400554</v>
      </c>
      <c r="D3327" s="55" t="s">
        <v>1311</v>
      </c>
      <c r="F3327" s="67">
        <v>24</v>
      </c>
      <c r="G3327" s="102">
        <v>92.16</v>
      </c>
      <c r="H3327" s="56" t="s">
        <v>80</v>
      </c>
      <c r="K3327" s="56">
        <v>935</v>
      </c>
      <c r="L3327" s="55" t="s">
        <v>392</v>
      </c>
      <c r="M3327" s="55" t="s">
        <v>2824</v>
      </c>
      <c r="N3327" s="4" t="s">
        <v>1273</v>
      </c>
      <c r="O3327" s="55" t="s">
        <v>178</v>
      </c>
    </row>
    <row r="3328" spans="2:15">
      <c r="B3328" s="20">
        <v>45489</v>
      </c>
      <c r="C3328" s="59">
        <v>40009546</v>
      </c>
      <c r="D3328" s="55" t="s">
        <v>174</v>
      </c>
      <c r="G3328" s="102">
        <v>2592</v>
      </c>
      <c r="H3328" s="56" t="s">
        <v>80</v>
      </c>
      <c r="K3328" s="56">
        <v>936</v>
      </c>
      <c r="L3328" s="55" t="s">
        <v>176</v>
      </c>
      <c r="M3328" s="55" t="s">
        <v>2824</v>
      </c>
      <c r="N3328" s="4" t="s">
        <v>177</v>
      </c>
      <c r="O3328" s="55" t="s">
        <v>178</v>
      </c>
    </row>
    <row r="3329" spans="2:15">
      <c r="B3329" s="20">
        <v>45489</v>
      </c>
      <c r="C3329" s="59">
        <v>50272278</v>
      </c>
      <c r="D3329" s="55" t="s">
        <v>21</v>
      </c>
      <c r="G3329" s="102">
        <v>3850</v>
      </c>
      <c r="H3329" s="56" t="s">
        <v>92</v>
      </c>
      <c r="K3329" s="56">
        <v>936</v>
      </c>
      <c r="L3329" s="55" t="s">
        <v>176</v>
      </c>
      <c r="M3329" s="55" t="s">
        <v>2824</v>
      </c>
      <c r="N3329" s="4" t="s">
        <v>177</v>
      </c>
      <c r="O3329" s="55" t="s">
        <v>178</v>
      </c>
    </row>
    <row r="3330" spans="2:15">
      <c r="B3330" s="20">
        <v>45489</v>
      </c>
      <c r="C3330" s="59">
        <v>40007941</v>
      </c>
      <c r="D3330" s="55" t="s">
        <v>211</v>
      </c>
      <c r="G3330" s="102">
        <v>864</v>
      </c>
      <c r="H3330" s="56" t="s">
        <v>80</v>
      </c>
      <c r="K3330" s="56">
        <v>936</v>
      </c>
      <c r="L3330" s="55" t="s">
        <v>176</v>
      </c>
      <c r="M3330" s="55" t="s">
        <v>2824</v>
      </c>
      <c r="N3330" s="4" t="s">
        <v>177</v>
      </c>
      <c r="O3330" s="55" t="s">
        <v>178</v>
      </c>
    </row>
    <row r="3331" spans="2:15">
      <c r="B3331" s="20">
        <v>45489</v>
      </c>
      <c r="C3331" s="59">
        <v>40011080</v>
      </c>
      <c r="D3331" s="55" t="s">
        <v>420</v>
      </c>
      <c r="G3331" s="102">
        <v>900</v>
      </c>
      <c r="H3331" s="56" t="s">
        <v>80</v>
      </c>
      <c r="K3331" s="56">
        <v>936</v>
      </c>
      <c r="L3331" s="55" t="s">
        <v>176</v>
      </c>
      <c r="M3331" s="55" t="s">
        <v>2824</v>
      </c>
      <c r="N3331" s="4" t="s">
        <v>177</v>
      </c>
      <c r="O3331" s="55" t="s">
        <v>178</v>
      </c>
    </row>
    <row r="3332" spans="2:15">
      <c r="B3332" s="20">
        <v>45489</v>
      </c>
      <c r="C3332" s="59">
        <v>50337816</v>
      </c>
      <c r="D3332" s="55" t="s">
        <v>245</v>
      </c>
      <c r="G3332" s="102">
        <v>1276</v>
      </c>
      <c r="H3332" s="56" t="s">
        <v>80</v>
      </c>
      <c r="K3332" s="56">
        <v>936</v>
      </c>
      <c r="L3332" s="55" t="s">
        <v>176</v>
      </c>
      <c r="M3332" s="55" t="s">
        <v>2824</v>
      </c>
      <c r="N3332" s="4" t="s">
        <v>177</v>
      </c>
      <c r="O3332" s="55" t="s">
        <v>178</v>
      </c>
    </row>
    <row r="3333" spans="2:15">
      <c r="B3333" s="20">
        <v>45489</v>
      </c>
      <c r="C3333" s="59">
        <v>40499</v>
      </c>
      <c r="D3333" s="55" t="s">
        <v>1094</v>
      </c>
      <c r="G3333" s="102">
        <v>11</v>
      </c>
      <c r="H3333" s="56" t="s">
        <v>92</v>
      </c>
      <c r="K3333" s="56">
        <v>936</v>
      </c>
      <c r="L3333" s="55" t="s">
        <v>176</v>
      </c>
      <c r="M3333" s="55" t="s">
        <v>2824</v>
      </c>
      <c r="N3333" s="4" t="s">
        <v>177</v>
      </c>
      <c r="O3333" s="55" t="s">
        <v>178</v>
      </c>
    </row>
    <row r="3334" spans="2:15">
      <c r="B3334" s="20">
        <v>45489</v>
      </c>
      <c r="C3334" s="59">
        <v>50400554</v>
      </c>
      <c r="D3334" s="55" t="s">
        <v>1311</v>
      </c>
      <c r="F3334" s="67">
        <v>24</v>
      </c>
      <c r="G3334" s="102">
        <v>92.16</v>
      </c>
      <c r="H3334" s="56" t="s">
        <v>80</v>
      </c>
      <c r="K3334" s="56">
        <v>937</v>
      </c>
      <c r="L3334" s="55" t="s">
        <v>392</v>
      </c>
      <c r="M3334" s="55" t="s">
        <v>2824</v>
      </c>
      <c r="N3334" s="4" t="s">
        <v>2861</v>
      </c>
      <c r="O3334" s="55" t="s">
        <v>178</v>
      </c>
    </row>
    <row r="3335" spans="2:15">
      <c r="B3335" s="20">
        <v>45489</v>
      </c>
      <c r="C3335" s="59">
        <v>50400554</v>
      </c>
      <c r="D3335" s="55" t="s">
        <v>1311</v>
      </c>
      <c r="F3335" s="67">
        <v>24</v>
      </c>
      <c r="G3335" s="102">
        <v>92.16</v>
      </c>
      <c r="H3335" s="56" t="s">
        <v>80</v>
      </c>
      <c r="K3335" s="56">
        <v>938</v>
      </c>
      <c r="L3335" s="55" t="s">
        <v>392</v>
      </c>
      <c r="M3335" s="55" t="s">
        <v>2824</v>
      </c>
      <c r="N3335" s="4" t="s">
        <v>2852</v>
      </c>
      <c r="O3335" s="55" t="s">
        <v>178</v>
      </c>
    </row>
    <row r="3336" spans="2:15">
      <c r="B3336" s="20">
        <v>45490</v>
      </c>
      <c r="C3336" s="59">
        <v>50272278</v>
      </c>
      <c r="D3336" s="55" t="s">
        <v>21</v>
      </c>
      <c r="G3336" s="102">
        <v>6650</v>
      </c>
      <c r="H3336" s="56" t="s">
        <v>92</v>
      </c>
      <c r="K3336" s="56">
        <v>939</v>
      </c>
      <c r="L3336" s="55" t="s">
        <v>326</v>
      </c>
      <c r="M3336" s="55" t="s">
        <v>2824</v>
      </c>
      <c r="N3336" s="4" t="s">
        <v>239</v>
      </c>
      <c r="O3336" s="55" t="s">
        <v>178</v>
      </c>
    </row>
    <row r="3337" spans="2:15">
      <c r="B3337" s="20">
        <v>45490</v>
      </c>
      <c r="C3337" s="59">
        <v>40499</v>
      </c>
      <c r="D3337" s="55" t="s">
        <v>1094</v>
      </c>
      <c r="G3337" s="102">
        <v>19</v>
      </c>
      <c r="H3337" s="56" t="s">
        <v>92</v>
      </c>
      <c r="K3337" s="56">
        <v>939</v>
      </c>
      <c r="L3337" s="55" t="s">
        <v>326</v>
      </c>
      <c r="M3337" s="55" t="s">
        <v>2824</v>
      </c>
      <c r="N3337" s="4" t="s">
        <v>239</v>
      </c>
      <c r="O3337" s="55" t="s">
        <v>178</v>
      </c>
    </row>
    <row r="3338" spans="2:15">
      <c r="B3338" s="20">
        <v>45490</v>
      </c>
      <c r="C3338" s="59">
        <v>50470190</v>
      </c>
      <c r="D3338" s="55" t="s">
        <v>12</v>
      </c>
      <c r="G3338" s="102">
        <v>579600</v>
      </c>
      <c r="H3338" s="56" t="s">
        <v>92</v>
      </c>
      <c r="K3338" s="56">
        <v>939</v>
      </c>
      <c r="L3338" s="55" t="s">
        <v>326</v>
      </c>
      <c r="M3338" s="55" t="s">
        <v>2824</v>
      </c>
      <c r="N3338" s="4" t="s">
        <v>239</v>
      </c>
      <c r="O3338" s="55" t="s">
        <v>178</v>
      </c>
    </row>
    <row r="3339" spans="2:15">
      <c r="B3339" s="20">
        <v>45490</v>
      </c>
      <c r="C3339" s="59">
        <v>50400554</v>
      </c>
      <c r="D3339" s="55" t="s">
        <v>1311</v>
      </c>
      <c r="F3339" s="67">
        <v>24</v>
      </c>
      <c r="G3339" s="102">
        <v>92.16</v>
      </c>
      <c r="H3339" s="56" t="s">
        <v>80</v>
      </c>
      <c r="K3339" s="56">
        <v>940</v>
      </c>
      <c r="L3339" s="55" t="s">
        <v>392</v>
      </c>
      <c r="M3339" s="55" t="s">
        <v>2824</v>
      </c>
      <c r="N3339" s="4" t="s">
        <v>2861</v>
      </c>
      <c r="O3339" s="55" t="s">
        <v>178</v>
      </c>
    </row>
    <row r="3340" spans="2:15">
      <c r="B3340" s="20">
        <v>45491</v>
      </c>
      <c r="C3340" s="59">
        <v>50470190</v>
      </c>
      <c r="D3340" s="55" t="s">
        <v>12</v>
      </c>
      <c r="G3340" s="102">
        <v>5216400</v>
      </c>
      <c r="H3340" s="56" t="s">
        <v>92</v>
      </c>
      <c r="K3340" s="56">
        <v>941</v>
      </c>
      <c r="L3340" s="55" t="s">
        <v>176</v>
      </c>
      <c r="M3340" s="55" t="s">
        <v>2824</v>
      </c>
      <c r="N3340" s="4" t="s">
        <v>177</v>
      </c>
      <c r="O3340" s="55" t="s">
        <v>178</v>
      </c>
    </row>
    <row r="3341" spans="2:15">
      <c r="B3341" s="20">
        <v>45491</v>
      </c>
      <c r="C3341" s="59">
        <v>50272278</v>
      </c>
      <c r="D3341" s="55" t="s">
        <v>21</v>
      </c>
      <c r="G3341" s="102">
        <v>7700</v>
      </c>
      <c r="H3341" s="56" t="s">
        <v>92</v>
      </c>
      <c r="K3341" s="56">
        <v>942</v>
      </c>
      <c r="L3341" s="55" t="s">
        <v>176</v>
      </c>
      <c r="M3341" s="55" t="s">
        <v>2824</v>
      </c>
      <c r="N3341" s="4" t="s">
        <v>177</v>
      </c>
      <c r="O3341" s="55" t="s">
        <v>178</v>
      </c>
    </row>
    <row r="3342" spans="2:15">
      <c r="B3342" s="20">
        <v>45491</v>
      </c>
      <c r="C3342" s="59">
        <v>40499</v>
      </c>
      <c r="D3342" s="55" t="s">
        <v>1094</v>
      </c>
      <c r="G3342" s="102">
        <v>22</v>
      </c>
      <c r="H3342" s="56" t="s">
        <v>92</v>
      </c>
      <c r="K3342" s="56">
        <v>942</v>
      </c>
      <c r="L3342" s="55" t="s">
        <v>176</v>
      </c>
      <c r="M3342" s="55" t="s">
        <v>2824</v>
      </c>
      <c r="N3342" s="4" t="s">
        <v>177</v>
      </c>
      <c r="O3342" s="55" t="s">
        <v>178</v>
      </c>
    </row>
    <row r="3343" spans="2:15">
      <c r="B3343" s="20">
        <v>45491</v>
      </c>
      <c r="C3343" s="59">
        <v>50400554</v>
      </c>
      <c r="D3343" s="55" t="s">
        <v>1311</v>
      </c>
      <c r="F3343" s="67">
        <v>24</v>
      </c>
      <c r="G3343" s="102">
        <v>92.16</v>
      </c>
      <c r="H3343" s="56" t="s">
        <v>80</v>
      </c>
      <c r="K3343" s="56">
        <v>943</v>
      </c>
      <c r="L3343" s="55" t="s">
        <v>392</v>
      </c>
      <c r="M3343" s="55" t="s">
        <v>2824</v>
      </c>
      <c r="N3343" s="4" t="s">
        <v>2861</v>
      </c>
      <c r="O3343" s="55" t="s">
        <v>178</v>
      </c>
    </row>
    <row r="3344" spans="2:15">
      <c r="B3344" s="20">
        <v>45491</v>
      </c>
      <c r="C3344" s="59">
        <v>50400554</v>
      </c>
      <c r="D3344" s="55" t="s">
        <v>1311</v>
      </c>
      <c r="F3344" s="67">
        <v>24</v>
      </c>
      <c r="G3344" s="102">
        <v>92.16</v>
      </c>
      <c r="H3344" s="56" t="s">
        <v>80</v>
      </c>
      <c r="K3344" s="56">
        <v>944</v>
      </c>
      <c r="L3344" s="55" t="s">
        <v>392</v>
      </c>
      <c r="M3344" s="55" t="s">
        <v>2824</v>
      </c>
      <c r="N3344" s="4" t="s">
        <v>1273</v>
      </c>
      <c r="O3344" s="55" t="s">
        <v>178</v>
      </c>
    </row>
    <row r="3345" spans="2:15">
      <c r="B3345" s="20">
        <v>45491</v>
      </c>
      <c r="C3345" s="59">
        <v>50400554</v>
      </c>
      <c r="D3345" s="55" t="s">
        <v>1311</v>
      </c>
      <c r="F3345" s="67">
        <v>24</v>
      </c>
      <c r="G3345" s="102">
        <v>92.16</v>
      </c>
      <c r="H3345" s="56" t="s">
        <v>80</v>
      </c>
      <c r="K3345" s="56">
        <v>945</v>
      </c>
      <c r="L3345" s="55" t="s">
        <v>392</v>
      </c>
      <c r="M3345" s="55" t="s">
        <v>2824</v>
      </c>
      <c r="N3345" s="4" t="s">
        <v>2852</v>
      </c>
      <c r="O3345" s="55" t="s">
        <v>178</v>
      </c>
    </row>
    <row r="3346" spans="2:15">
      <c r="B3346" s="20">
        <v>45492</v>
      </c>
      <c r="C3346" s="59">
        <v>50142055</v>
      </c>
      <c r="D3346" s="55" t="s">
        <v>206</v>
      </c>
      <c r="G3346" s="102">
        <v>3400</v>
      </c>
      <c r="H3346" s="56" t="s">
        <v>82</v>
      </c>
      <c r="K3346" s="56">
        <v>946</v>
      </c>
      <c r="L3346" s="55" t="s">
        <v>176</v>
      </c>
      <c r="M3346" s="55" t="s">
        <v>2824</v>
      </c>
      <c r="N3346" s="4" t="s">
        <v>177</v>
      </c>
      <c r="O3346" s="55" t="s">
        <v>178</v>
      </c>
    </row>
    <row r="3347" spans="2:15">
      <c r="B3347" s="20">
        <v>45492</v>
      </c>
      <c r="C3347" s="59">
        <v>50809145</v>
      </c>
      <c r="D3347" s="55" t="s">
        <v>946</v>
      </c>
      <c r="G3347" s="102">
        <v>2531.65</v>
      </c>
      <c r="H3347" s="56" t="s">
        <v>82</v>
      </c>
      <c r="K3347" s="56">
        <v>946</v>
      </c>
      <c r="L3347" s="55" t="s">
        <v>176</v>
      </c>
      <c r="M3347" s="55" t="s">
        <v>2824</v>
      </c>
      <c r="N3347" s="4" t="s">
        <v>177</v>
      </c>
      <c r="O3347" s="55" t="s">
        <v>178</v>
      </c>
    </row>
    <row r="3348" spans="2:15">
      <c r="B3348" s="20">
        <v>45492</v>
      </c>
      <c r="C3348" s="59">
        <v>50142327</v>
      </c>
      <c r="D3348" s="55" t="s">
        <v>256</v>
      </c>
      <c r="G3348" s="102">
        <v>1906.8</v>
      </c>
      <c r="H3348" s="56" t="s">
        <v>82</v>
      </c>
      <c r="K3348" s="56">
        <v>946</v>
      </c>
      <c r="L3348" s="55" t="s">
        <v>176</v>
      </c>
      <c r="M3348" s="55" t="s">
        <v>2824</v>
      </c>
      <c r="N3348" s="4" t="s">
        <v>177</v>
      </c>
      <c r="O3348" s="55" t="s">
        <v>178</v>
      </c>
    </row>
    <row r="3349" spans="2:15">
      <c r="B3349" s="20">
        <v>45492</v>
      </c>
      <c r="C3349" s="59">
        <v>50142334</v>
      </c>
      <c r="D3349" s="55" t="s">
        <v>257</v>
      </c>
      <c r="G3349" s="102">
        <v>1906.8</v>
      </c>
      <c r="H3349" s="56" t="s">
        <v>82</v>
      </c>
      <c r="K3349" s="56">
        <v>946</v>
      </c>
      <c r="L3349" s="55" t="s">
        <v>176</v>
      </c>
      <c r="M3349" s="55" t="s">
        <v>2824</v>
      </c>
      <c r="N3349" s="4" t="s">
        <v>177</v>
      </c>
      <c r="O3349" s="55" t="s">
        <v>178</v>
      </c>
    </row>
    <row r="3350" spans="2:15">
      <c r="B3350" s="20">
        <v>45492</v>
      </c>
      <c r="C3350" s="59">
        <v>50142520</v>
      </c>
      <c r="D3350" s="55" t="s">
        <v>1156</v>
      </c>
      <c r="G3350" s="102">
        <v>3000</v>
      </c>
      <c r="H3350" s="56" t="s">
        <v>92</v>
      </c>
      <c r="K3350" s="56">
        <v>946</v>
      </c>
      <c r="L3350" s="55" t="s">
        <v>176</v>
      </c>
      <c r="M3350" s="55" t="s">
        <v>2824</v>
      </c>
      <c r="N3350" s="4" t="s">
        <v>177</v>
      </c>
      <c r="O3350" s="55" t="s">
        <v>178</v>
      </c>
    </row>
    <row r="3351" spans="2:15">
      <c r="B3351" s="20">
        <v>45492</v>
      </c>
      <c r="C3351" s="59">
        <v>40499</v>
      </c>
      <c r="D3351" s="55" t="s">
        <v>1094</v>
      </c>
      <c r="G3351" s="102">
        <v>8</v>
      </c>
      <c r="H3351" s="56" t="s">
        <v>92</v>
      </c>
      <c r="K3351" s="56">
        <v>946</v>
      </c>
      <c r="L3351" s="55" t="s">
        <v>176</v>
      </c>
      <c r="M3351" s="55" t="s">
        <v>2824</v>
      </c>
      <c r="N3351" s="4" t="s">
        <v>177</v>
      </c>
      <c r="O3351" s="55" t="s">
        <v>178</v>
      </c>
    </row>
    <row r="3352" spans="2:15">
      <c r="B3352" s="20">
        <v>45492</v>
      </c>
      <c r="C3352" s="59">
        <v>50809145</v>
      </c>
      <c r="D3352" s="55" t="s">
        <v>946</v>
      </c>
      <c r="G3352" s="102">
        <v>984.1</v>
      </c>
      <c r="H3352" s="56" t="s">
        <v>82</v>
      </c>
      <c r="K3352" s="56">
        <v>947</v>
      </c>
      <c r="L3352" s="55" t="s">
        <v>326</v>
      </c>
      <c r="M3352" s="55" t="s">
        <v>2824</v>
      </c>
      <c r="N3352" s="4" t="s">
        <v>239</v>
      </c>
      <c r="O3352" s="55" t="s">
        <v>178</v>
      </c>
    </row>
    <row r="3353" spans="2:15">
      <c r="B3353" s="20">
        <v>45492</v>
      </c>
      <c r="C3353" s="59">
        <v>50272278</v>
      </c>
      <c r="D3353" s="55" t="s">
        <v>21</v>
      </c>
      <c r="G3353" s="102">
        <v>2800</v>
      </c>
      <c r="H3353" s="56" t="s">
        <v>92</v>
      </c>
      <c r="K3353" s="56">
        <v>947</v>
      </c>
      <c r="L3353" s="55" t="s">
        <v>326</v>
      </c>
      <c r="M3353" s="55" t="s">
        <v>2824</v>
      </c>
      <c r="N3353" s="4" t="s">
        <v>239</v>
      </c>
      <c r="O3353" s="55" t="s">
        <v>178</v>
      </c>
    </row>
    <row r="3354" spans="2:15">
      <c r="B3354" s="20">
        <v>45492</v>
      </c>
      <c r="C3354" s="59">
        <v>40499</v>
      </c>
      <c r="D3354" s="55" t="s">
        <v>1094</v>
      </c>
      <c r="G3354" s="102">
        <v>8</v>
      </c>
      <c r="H3354" s="56" t="s">
        <v>92</v>
      </c>
      <c r="K3354" s="56">
        <v>947</v>
      </c>
      <c r="L3354" s="55" t="s">
        <v>326</v>
      </c>
      <c r="M3354" s="55" t="s">
        <v>2824</v>
      </c>
      <c r="N3354" s="4" t="s">
        <v>239</v>
      </c>
      <c r="O3354" s="55" t="s">
        <v>178</v>
      </c>
    </row>
    <row r="3355" spans="2:15">
      <c r="B3355" s="20">
        <v>45492</v>
      </c>
      <c r="C3355" s="59">
        <v>50802401</v>
      </c>
      <c r="D3355" s="55" t="s">
        <v>13</v>
      </c>
      <c r="G3355" s="102">
        <v>2898000</v>
      </c>
      <c r="H3355" s="56" t="s">
        <v>92</v>
      </c>
      <c r="K3355" s="56">
        <v>947</v>
      </c>
      <c r="L3355" s="55" t="s">
        <v>326</v>
      </c>
      <c r="M3355" s="55" t="s">
        <v>2824</v>
      </c>
      <c r="N3355" s="4" t="s">
        <v>239</v>
      </c>
      <c r="O3355" s="55" t="s">
        <v>178</v>
      </c>
    </row>
    <row r="3356" spans="2:15">
      <c r="B3356" s="20">
        <v>45492</v>
      </c>
      <c r="C3356" s="59">
        <v>50400554</v>
      </c>
      <c r="D3356" s="55" t="s">
        <v>1311</v>
      </c>
      <c r="F3356" s="67">
        <v>24</v>
      </c>
      <c r="G3356" s="102">
        <v>92.16</v>
      </c>
      <c r="H3356" s="56" t="s">
        <v>80</v>
      </c>
      <c r="K3356" s="56">
        <v>948</v>
      </c>
      <c r="L3356" s="55" t="s">
        <v>392</v>
      </c>
      <c r="M3356" s="55" t="s">
        <v>2824</v>
      </c>
      <c r="N3356" s="4" t="s">
        <v>1273</v>
      </c>
      <c r="O3356" s="55" t="s">
        <v>178</v>
      </c>
    </row>
    <row r="3357" spans="2:15">
      <c r="B3357" s="20">
        <v>45492</v>
      </c>
      <c r="C3357" s="59">
        <v>50400554</v>
      </c>
      <c r="D3357" s="55" t="s">
        <v>1311</v>
      </c>
      <c r="F3357" s="67">
        <v>24</v>
      </c>
      <c r="G3357" s="102">
        <v>92.16</v>
      </c>
      <c r="H3357" s="56" t="s">
        <v>80</v>
      </c>
      <c r="K3357" s="56">
        <v>949</v>
      </c>
      <c r="L3357" s="55" t="s">
        <v>392</v>
      </c>
      <c r="M3357" s="55" t="s">
        <v>2824</v>
      </c>
      <c r="N3357" s="4" t="s">
        <v>2852</v>
      </c>
      <c r="O3357" s="55" t="s">
        <v>178</v>
      </c>
    </row>
    <row r="3358" spans="2:15">
      <c r="B3358" s="20">
        <v>45492</v>
      </c>
      <c r="C3358" s="59">
        <v>50272278</v>
      </c>
      <c r="D3358" s="55" t="s">
        <v>21</v>
      </c>
      <c r="G3358" s="102">
        <v>7000</v>
      </c>
      <c r="H3358" s="56" t="s">
        <v>92</v>
      </c>
      <c r="K3358" s="56">
        <v>950</v>
      </c>
      <c r="L3358" s="55" t="s">
        <v>326</v>
      </c>
      <c r="M3358" s="55" t="s">
        <v>2824</v>
      </c>
      <c r="N3358" s="4" t="s">
        <v>327</v>
      </c>
      <c r="O3358" s="55" t="s">
        <v>178</v>
      </c>
    </row>
    <row r="3359" spans="2:15">
      <c r="B3359" s="20">
        <v>45492</v>
      </c>
      <c r="C3359" s="59">
        <v>40499</v>
      </c>
      <c r="D3359" s="55" t="s">
        <v>1094</v>
      </c>
      <c r="G3359" s="102">
        <v>20</v>
      </c>
      <c r="H3359" s="56" t="s">
        <v>92</v>
      </c>
      <c r="K3359" s="56">
        <v>950</v>
      </c>
      <c r="L3359" s="55" t="s">
        <v>326</v>
      </c>
      <c r="M3359" s="55" t="s">
        <v>2824</v>
      </c>
      <c r="N3359" s="4" t="s">
        <v>327</v>
      </c>
      <c r="O3359" s="55" t="s">
        <v>178</v>
      </c>
    </row>
    <row r="3360" spans="2:15">
      <c r="B3360" s="20">
        <v>45492</v>
      </c>
      <c r="C3360" s="59">
        <v>50804971</v>
      </c>
      <c r="D3360" s="55" t="s">
        <v>855</v>
      </c>
      <c r="G3360" s="102">
        <v>990000</v>
      </c>
      <c r="H3360" s="56" t="s">
        <v>92</v>
      </c>
      <c r="K3360" s="56">
        <v>951</v>
      </c>
      <c r="L3360" s="55" t="s">
        <v>326</v>
      </c>
      <c r="M3360" s="55" t="s">
        <v>2824</v>
      </c>
      <c r="N3360" s="4" t="s">
        <v>239</v>
      </c>
      <c r="O3360" s="55" t="s">
        <v>178</v>
      </c>
    </row>
    <row r="3361" spans="2:15">
      <c r="B3361" s="20">
        <v>45492</v>
      </c>
      <c r="C3361" s="59">
        <v>50804929</v>
      </c>
      <c r="D3361" s="55" t="s">
        <v>856</v>
      </c>
      <c r="E3361" s="67">
        <v>504000</v>
      </c>
      <c r="G3361" s="102">
        <v>1488000</v>
      </c>
      <c r="H3361" s="56" t="s">
        <v>92</v>
      </c>
      <c r="K3361" s="56">
        <v>951</v>
      </c>
      <c r="L3361" s="55" t="s">
        <v>326</v>
      </c>
      <c r="M3361" s="55" t="s">
        <v>2824</v>
      </c>
      <c r="N3361" s="4" t="s">
        <v>239</v>
      </c>
      <c r="O3361" s="55" t="s">
        <v>178</v>
      </c>
    </row>
    <row r="3362" spans="2:15">
      <c r="B3362" s="20">
        <v>45492</v>
      </c>
      <c r="C3362" s="59">
        <v>40011133</v>
      </c>
      <c r="D3362" s="55" t="s">
        <v>634</v>
      </c>
      <c r="E3362" s="67">
        <v>864</v>
      </c>
      <c r="G3362" s="102">
        <v>2592</v>
      </c>
      <c r="H3362" s="56" t="s">
        <v>80</v>
      </c>
      <c r="K3362" s="56">
        <v>951</v>
      </c>
      <c r="L3362" s="55" t="s">
        <v>326</v>
      </c>
      <c r="M3362" s="55" t="s">
        <v>2824</v>
      </c>
      <c r="N3362" s="4" t="s">
        <v>239</v>
      </c>
      <c r="O3362" s="55" t="s">
        <v>178</v>
      </c>
    </row>
    <row r="3363" spans="2:15">
      <c r="B3363" s="20">
        <v>45492</v>
      </c>
      <c r="C3363" s="59">
        <v>50272278</v>
      </c>
      <c r="D3363" s="55" t="s">
        <v>21</v>
      </c>
      <c r="G3363" s="102">
        <v>2450</v>
      </c>
      <c r="H3363" s="56" t="s">
        <v>92</v>
      </c>
      <c r="K3363" s="56">
        <v>951</v>
      </c>
      <c r="L3363" s="55" t="s">
        <v>326</v>
      </c>
      <c r="M3363" s="55" t="s">
        <v>2824</v>
      </c>
      <c r="N3363" s="4" t="s">
        <v>239</v>
      </c>
      <c r="O3363" s="55" t="s">
        <v>178</v>
      </c>
    </row>
    <row r="3364" spans="2:15">
      <c r="B3364" s="20">
        <v>45492</v>
      </c>
      <c r="C3364" s="59">
        <v>40499</v>
      </c>
      <c r="D3364" s="55" t="s">
        <v>1094</v>
      </c>
      <c r="G3364" s="102">
        <v>23</v>
      </c>
      <c r="H3364" s="56" t="s">
        <v>92</v>
      </c>
      <c r="K3364" s="56">
        <v>951</v>
      </c>
      <c r="L3364" s="55" t="s">
        <v>326</v>
      </c>
      <c r="M3364" s="55" t="s">
        <v>2824</v>
      </c>
      <c r="N3364" s="4" t="s">
        <v>239</v>
      </c>
      <c r="O3364" s="55" t="s">
        <v>178</v>
      </c>
    </row>
    <row r="3365" spans="2:15">
      <c r="B3365" s="20">
        <v>45492</v>
      </c>
      <c r="C3365" s="59">
        <v>50507916</v>
      </c>
      <c r="D3365" s="55" t="s">
        <v>406</v>
      </c>
      <c r="G3365" s="102">
        <v>792000</v>
      </c>
      <c r="H3365" s="56" t="s">
        <v>92</v>
      </c>
      <c r="K3365" s="56">
        <v>951</v>
      </c>
      <c r="L3365" s="55" t="s">
        <v>326</v>
      </c>
      <c r="M3365" s="55" t="s">
        <v>2824</v>
      </c>
      <c r="N3365" s="4" t="s">
        <v>239</v>
      </c>
      <c r="O3365" s="55" t="s">
        <v>178</v>
      </c>
    </row>
    <row r="3366" spans="2:15">
      <c r="B3366" s="20">
        <v>45492</v>
      </c>
      <c r="C3366" s="59">
        <v>50818947</v>
      </c>
      <c r="D3366" s="55" t="s">
        <v>1174</v>
      </c>
      <c r="G3366" s="102">
        <v>2000000</v>
      </c>
      <c r="H3366" s="56" t="s">
        <v>92</v>
      </c>
      <c r="K3366" s="56">
        <v>951</v>
      </c>
      <c r="L3366" s="55" t="s">
        <v>326</v>
      </c>
      <c r="M3366" s="55" t="s">
        <v>2824</v>
      </c>
      <c r="N3366" s="4" t="s">
        <v>239</v>
      </c>
      <c r="O3366" s="55" t="s">
        <v>178</v>
      </c>
    </row>
    <row r="3367" spans="2:15">
      <c r="B3367" s="20">
        <v>45495</v>
      </c>
      <c r="C3367" s="59">
        <v>50809147</v>
      </c>
      <c r="D3367" s="55" t="s">
        <v>930</v>
      </c>
      <c r="G3367" s="102">
        <v>1427.55</v>
      </c>
      <c r="H3367" s="56" t="s">
        <v>82</v>
      </c>
      <c r="K3367" s="56">
        <v>952</v>
      </c>
      <c r="L3367" s="55" t="s">
        <v>176</v>
      </c>
      <c r="M3367" s="55" t="s">
        <v>2824</v>
      </c>
      <c r="N3367" s="4" t="s">
        <v>177</v>
      </c>
      <c r="O3367" s="55" t="s">
        <v>178</v>
      </c>
    </row>
    <row r="3368" spans="2:15">
      <c r="B3368" s="20">
        <v>45495</v>
      </c>
      <c r="C3368" s="59">
        <v>50824293</v>
      </c>
      <c r="D3368" s="55" t="s">
        <v>861</v>
      </c>
      <c r="G3368" s="102">
        <v>1728000</v>
      </c>
      <c r="H3368" s="56" t="s">
        <v>92</v>
      </c>
      <c r="K3368" s="56">
        <v>952</v>
      </c>
      <c r="L3368" s="55" t="s">
        <v>176</v>
      </c>
      <c r="M3368" s="55" t="s">
        <v>2824</v>
      </c>
      <c r="N3368" s="4" t="s">
        <v>177</v>
      </c>
      <c r="O3368" s="55" t="s">
        <v>178</v>
      </c>
    </row>
    <row r="3369" spans="2:15">
      <c r="B3369" s="20">
        <v>45495</v>
      </c>
      <c r="C3369" s="59">
        <v>50272278</v>
      </c>
      <c r="D3369" s="55" t="s">
        <v>21</v>
      </c>
      <c r="G3369" s="102">
        <v>5600</v>
      </c>
      <c r="H3369" s="56" t="s">
        <v>92</v>
      </c>
      <c r="K3369" s="56">
        <v>952</v>
      </c>
      <c r="L3369" s="55" t="s">
        <v>176</v>
      </c>
      <c r="M3369" s="55" t="s">
        <v>2824</v>
      </c>
      <c r="N3369" s="4" t="s">
        <v>177</v>
      </c>
      <c r="O3369" s="55" t="s">
        <v>178</v>
      </c>
    </row>
    <row r="3370" spans="2:15">
      <c r="B3370" s="20">
        <v>45495</v>
      </c>
      <c r="C3370" s="59">
        <v>40499</v>
      </c>
      <c r="D3370" s="55" t="s">
        <v>1094</v>
      </c>
      <c r="G3370" s="63">
        <v>16</v>
      </c>
      <c r="H3370" s="56" t="s">
        <v>92</v>
      </c>
      <c r="K3370" s="56">
        <v>952</v>
      </c>
      <c r="L3370" s="55" t="s">
        <v>176</v>
      </c>
      <c r="M3370" s="55" t="s">
        <v>2824</v>
      </c>
      <c r="N3370" s="4" t="s">
        <v>177</v>
      </c>
      <c r="O3370" s="55" t="s">
        <v>178</v>
      </c>
    </row>
    <row r="3371" spans="2:15">
      <c r="B3371" s="20">
        <v>45495</v>
      </c>
      <c r="C3371" s="59">
        <v>40007857</v>
      </c>
      <c r="D3371" s="55" t="s">
        <v>225</v>
      </c>
      <c r="G3371" s="102">
        <v>2896</v>
      </c>
      <c r="H3371" s="56" t="s">
        <v>80</v>
      </c>
      <c r="K3371" s="56">
        <v>952</v>
      </c>
      <c r="L3371" s="55" t="s">
        <v>176</v>
      </c>
      <c r="M3371" s="55" t="s">
        <v>2824</v>
      </c>
      <c r="N3371" s="4" t="s">
        <v>177</v>
      </c>
      <c r="O3371" s="55" t="s">
        <v>178</v>
      </c>
    </row>
    <row r="3372" spans="2:15">
      <c r="B3372" s="20">
        <v>45495</v>
      </c>
      <c r="C3372" s="59">
        <v>50818948</v>
      </c>
      <c r="D3372" s="55" t="s">
        <v>1173</v>
      </c>
      <c r="G3372" s="102">
        <v>500000</v>
      </c>
      <c r="H3372" s="56" t="s">
        <v>92</v>
      </c>
      <c r="K3372" s="56">
        <v>952</v>
      </c>
      <c r="L3372" s="55" t="s">
        <v>176</v>
      </c>
      <c r="M3372" s="55" t="s">
        <v>2824</v>
      </c>
      <c r="N3372" s="4" t="s">
        <v>177</v>
      </c>
      <c r="O3372" s="55" t="s">
        <v>178</v>
      </c>
    </row>
    <row r="3373" spans="2:15">
      <c r="B3373" s="20">
        <v>45495</v>
      </c>
      <c r="C3373" s="59">
        <v>50397884</v>
      </c>
      <c r="D3373" s="55" t="s">
        <v>1296</v>
      </c>
      <c r="G3373" s="102">
        <v>900</v>
      </c>
      <c r="H3373" s="56" t="s">
        <v>80</v>
      </c>
      <c r="K3373" s="56">
        <v>953</v>
      </c>
      <c r="L3373" s="55" t="s">
        <v>176</v>
      </c>
      <c r="M3373" s="55" t="s">
        <v>2824</v>
      </c>
      <c r="N3373" s="4" t="s">
        <v>177</v>
      </c>
      <c r="O3373" s="55" t="s">
        <v>178</v>
      </c>
    </row>
    <row r="3374" spans="2:15">
      <c r="B3374" s="20">
        <v>45495</v>
      </c>
      <c r="C3374" s="59">
        <v>50472692</v>
      </c>
      <c r="D3374" s="55" t="s">
        <v>1304</v>
      </c>
      <c r="G3374" s="102">
        <v>2951</v>
      </c>
      <c r="H3374" s="56" t="s">
        <v>80</v>
      </c>
      <c r="K3374" s="56">
        <v>953</v>
      </c>
      <c r="L3374" s="55" t="s">
        <v>176</v>
      </c>
      <c r="M3374" s="55" t="s">
        <v>2824</v>
      </c>
      <c r="N3374" s="4" t="s">
        <v>177</v>
      </c>
      <c r="O3374" s="55" t="s">
        <v>178</v>
      </c>
    </row>
    <row r="3375" spans="2:15">
      <c r="B3375" s="20">
        <v>45495</v>
      </c>
      <c r="C3375" s="59">
        <v>50472696</v>
      </c>
      <c r="D3375" s="55" t="s">
        <v>1308</v>
      </c>
      <c r="G3375" s="102">
        <v>2607.5</v>
      </c>
      <c r="H3375" s="56" t="s">
        <v>80</v>
      </c>
      <c r="K3375" s="56">
        <v>953</v>
      </c>
      <c r="L3375" s="55" t="s">
        <v>176</v>
      </c>
      <c r="M3375" s="55" t="s">
        <v>2824</v>
      </c>
      <c r="N3375" s="4" t="s">
        <v>177</v>
      </c>
      <c r="O3375" s="55" t="s">
        <v>178</v>
      </c>
    </row>
    <row r="3376" spans="2:15">
      <c r="B3376" s="20">
        <v>45495</v>
      </c>
      <c r="C3376" s="59">
        <v>50515034</v>
      </c>
      <c r="D3376" s="55" t="s">
        <v>41</v>
      </c>
      <c r="G3376" s="102">
        <v>259.2</v>
      </c>
      <c r="H3376" s="56" t="s">
        <v>80</v>
      </c>
      <c r="K3376" s="56">
        <v>953</v>
      </c>
      <c r="L3376" s="55" t="s">
        <v>176</v>
      </c>
      <c r="M3376" s="55" t="s">
        <v>2824</v>
      </c>
      <c r="N3376" s="4" t="s">
        <v>177</v>
      </c>
      <c r="O3376" s="55" t="s">
        <v>178</v>
      </c>
    </row>
    <row r="3377" spans="2:15">
      <c r="B3377" s="20">
        <v>45495</v>
      </c>
      <c r="C3377" s="59">
        <v>50272278</v>
      </c>
      <c r="D3377" s="55" t="s">
        <v>21</v>
      </c>
      <c r="G3377" s="102">
        <v>4900</v>
      </c>
      <c r="H3377" s="56" t="s">
        <v>92</v>
      </c>
      <c r="K3377" s="56">
        <v>954</v>
      </c>
      <c r="L3377" s="55" t="s">
        <v>176</v>
      </c>
      <c r="M3377" s="55" t="s">
        <v>2824</v>
      </c>
      <c r="N3377" s="4" t="s">
        <v>177</v>
      </c>
      <c r="O3377" s="55" t="s">
        <v>178</v>
      </c>
    </row>
    <row r="3378" spans="2:15">
      <c r="B3378" s="20">
        <v>45495</v>
      </c>
      <c r="C3378" s="59">
        <v>40499</v>
      </c>
      <c r="D3378" s="55" t="s">
        <v>1094</v>
      </c>
      <c r="G3378" s="102">
        <v>14</v>
      </c>
      <c r="H3378" s="56" t="s">
        <v>92</v>
      </c>
      <c r="K3378" s="56">
        <v>954</v>
      </c>
      <c r="L3378" s="55" t="s">
        <v>176</v>
      </c>
      <c r="M3378" s="55" t="s">
        <v>2824</v>
      </c>
      <c r="N3378" s="4" t="s">
        <v>177</v>
      </c>
      <c r="O3378" s="55" t="s">
        <v>178</v>
      </c>
    </row>
    <row r="3379" spans="2:15">
      <c r="B3379" s="20">
        <v>45495</v>
      </c>
      <c r="C3379" s="59">
        <v>50470190</v>
      </c>
      <c r="D3379" s="55" t="s">
        <v>12</v>
      </c>
      <c r="G3379" s="102">
        <v>869400</v>
      </c>
      <c r="H3379" s="56" t="s">
        <v>92</v>
      </c>
      <c r="K3379" s="56">
        <v>954</v>
      </c>
      <c r="L3379" s="55" t="s">
        <v>176</v>
      </c>
      <c r="M3379" s="55" t="s">
        <v>2824</v>
      </c>
      <c r="N3379" s="4" t="s">
        <v>177</v>
      </c>
      <c r="O3379" s="55" t="s">
        <v>178</v>
      </c>
    </row>
    <row r="3380" spans="2:15">
      <c r="B3380" s="20">
        <v>45495</v>
      </c>
      <c r="C3380" s="59">
        <v>50802401</v>
      </c>
      <c r="D3380" s="55" t="s">
        <v>13</v>
      </c>
      <c r="G3380" s="102">
        <v>869400</v>
      </c>
      <c r="H3380" s="56" t="s">
        <v>92</v>
      </c>
      <c r="K3380" s="56">
        <v>954</v>
      </c>
      <c r="L3380" s="55" t="s">
        <v>176</v>
      </c>
      <c r="M3380" s="55" t="s">
        <v>2824</v>
      </c>
      <c r="N3380" s="4" t="s">
        <v>177</v>
      </c>
      <c r="O3380" s="55" t="s">
        <v>178</v>
      </c>
    </row>
    <row r="3381" spans="2:15">
      <c r="B3381" s="20">
        <v>45496</v>
      </c>
      <c r="C3381" s="59">
        <v>50142424</v>
      </c>
      <c r="D3381" s="55" t="s">
        <v>33</v>
      </c>
      <c r="G3381" s="102">
        <v>1000</v>
      </c>
      <c r="H3381" s="56" t="s">
        <v>82</v>
      </c>
      <c r="K3381" s="56">
        <v>955</v>
      </c>
      <c r="L3381" s="55" t="s">
        <v>176</v>
      </c>
      <c r="M3381" s="55" t="s">
        <v>2824</v>
      </c>
      <c r="N3381" s="4" t="s">
        <v>177</v>
      </c>
      <c r="O3381" s="55" t="s">
        <v>178</v>
      </c>
    </row>
    <row r="3382" spans="2:15">
      <c r="B3382" s="20">
        <v>45496</v>
      </c>
      <c r="C3382" s="59">
        <v>20016185</v>
      </c>
      <c r="D3382" s="55" t="s">
        <v>285</v>
      </c>
      <c r="G3382" s="102">
        <v>10000</v>
      </c>
      <c r="H3382" s="56" t="s">
        <v>92</v>
      </c>
      <c r="K3382" s="56">
        <v>955</v>
      </c>
      <c r="L3382" s="55" t="s">
        <v>176</v>
      </c>
      <c r="M3382" s="55" t="s">
        <v>2824</v>
      </c>
      <c r="N3382" s="4" t="s">
        <v>177</v>
      </c>
      <c r="O3382" s="55" t="s">
        <v>178</v>
      </c>
    </row>
    <row r="3383" spans="2:15">
      <c r="B3383" s="20">
        <v>45496</v>
      </c>
      <c r="C3383" s="59">
        <v>50272278</v>
      </c>
      <c r="D3383" s="55" t="s">
        <v>21</v>
      </c>
      <c r="G3383" s="102">
        <v>4200</v>
      </c>
      <c r="H3383" s="56" t="s">
        <v>92</v>
      </c>
      <c r="K3383" s="56">
        <v>955</v>
      </c>
      <c r="L3383" s="55" t="s">
        <v>176</v>
      </c>
      <c r="M3383" s="55" t="s">
        <v>2824</v>
      </c>
      <c r="N3383" s="4" t="s">
        <v>177</v>
      </c>
      <c r="O3383" s="55" t="s">
        <v>178</v>
      </c>
    </row>
    <row r="3384" spans="2:15">
      <c r="B3384" s="20">
        <v>45496</v>
      </c>
      <c r="C3384" s="59">
        <v>40499</v>
      </c>
      <c r="D3384" s="55" t="s">
        <v>1094</v>
      </c>
      <c r="G3384" s="102">
        <v>12</v>
      </c>
      <c r="H3384" s="56" t="s">
        <v>92</v>
      </c>
      <c r="K3384" s="56">
        <v>955</v>
      </c>
      <c r="L3384" s="55" t="s">
        <v>176</v>
      </c>
      <c r="M3384" s="55" t="s">
        <v>2824</v>
      </c>
      <c r="N3384" s="4" t="s">
        <v>177</v>
      </c>
      <c r="O3384" s="55" t="s">
        <v>178</v>
      </c>
    </row>
    <row r="3385" spans="2:15">
      <c r="B3385" s="20">
        <v>45496</v>
      </c>
      <c r="C3385" s="59">
        <v>50142281</v>
      </c>
      <c r="D3385" s="55" t="s">
        <v>204</v>
      </c>
      <c r="G3385" s="102">
        <v>900</v>
      </c>
      <c r="H3385" s="56" t="s">
        <v>82</v>
      </c>
      <c r="K3385" s="56">
        <v>955</v>
      </c>
      <c r="L3385" s="55" t="s">
        <v>176</v>
      </c>
      <c r="M3385" s="55" t="s">
        <v>2824</v>
      </c>
      <c r="N3385" s="4" t="s">
        <v>177</v>
      </c>
      <c r="O3385" s="55" t="s">
        <v>178</v>
      </c>
    </row>
    <row r="3386" spans="2:15">
      <c r="B3386" s="20">
        <v>45496</v>
      </c>
      <c r="C3386" s="59">
        <v>50507916</v>
      </c>
      <c r="D3386" s="55" t="s">
        <v>406</v>
      </c>
      <c r="G3386" s="102">
        <v>792000</v>
      </c>
      <c r="H3386" s="56" t="s">
        <v>92</v>
      </c>
      <c r="K3386" s="56">
        <v>955</v>
      </c>
      <c r="L3386" s="55" t="s">
        <v>176</v>
      </c>
      <c r="M3386" s="55" t="s">
        <v>2824</v>
      </c>
      <c r="N3386" s="4" t="s">
        <v>177</v>
      </c>
      <c r="O3386" s="55" t="s">
        <v>178</v>
      </c>
    </row>
    <row r="3387" spans="2:15">
      <c r="B3387" s="20">
        <v>45496</v>
      </c>
      <c r="C3387" s="59">
        <v>50470190</v>
      </c>
      <c r="D3387" s="55" t="s">
        <v>12</v>
      </c>
      <c r="G3387" s="102">
        <v>579600</v>
      </c>
      <c r="H3387" s="56" t="s">
        <v>92</v>
      </c>
      <c r="K3387" s="56">
        <v>955</v>
      </c>
      <c r="L3387" s="55" t="s">
        <v>176</v>
      </c>
      <c r="M3387" s="55" t="s">
        <v>2824</v>
      </c>
      <c r="N3387" s="4" t="s">
        <v>177</v>
      </c>
      <c r="O3387" s="55" t="s">
        <v>178</v>
      </c>
    </row>
    <row r="3388" spans="2:15">
      <c r="B3388" s="20">
        <v>45496</v>
      </c>
      <c r="C3388" s="59">
        <v>20016059</v>
      </c>
      <c r="D3388" s="55" t="s">
        <v>1498</v>
      </c>
      <c r="G3388" s="102">
        <v>100</v>
      </c>
      <c r="H3388" s="56" t="s">
        <v>92</v>
      </c>
      <c r="K3388" s="56">
        <v>955</v>
      </c>
      <c r="L3388" s="55" t="s">
        <v>176</v>
      </c>
      <c r="M3388" s="55" t="s">
        <v>2824</v>
      </c>
      <c r="N3388" s="4" t="s">
        <v>177</v>
      </c>
      <c r="O3388" s="55" t="s">
        <v>178</v>
      </c>
    </row>
    <row r="3389" spans="2:15">
      <c r="B3389" s="20">
        <v>45497</v>
      </c>
      <c r="C3389" s="59">
        <v>50142424</v>
      </c>
      <c r="D3389" s="55" t="s">
        <v>33</v>
      </c>
      <c r="G3389" s="102">
        <v>7000</v>
      </c>
      <c r="H3389" s="56" t="s">
        <v>82</v>
      </c>
      <c r="K3389" s="56">
        <v>956</v>
      </c>
      <c r="L3389" s="55" t="s">
        <v>176</v>
      </c>
      <c r="M3389" s="55" t="s">
        <v>2824</v>
      </c>
      <c r="N3389" s="4" t="s">
        <v>177</v>
      </c>
      <c r="O3389" s="55" t="s">
        <v>178</v>
      </c>
    </row>
    <row r="3390" spans="2:15">
      <c r="B3390" s="20">
        <v>45497</v>
      </c>
      <c r="C3390" s="59">
        <v>50272278</v>
      </c>
      <c r="D3390" s="55" t="s">
        <v>21</v>
      </c>
      <c r="G3390" s="102">
        <v>5250</v>
      </c>
      <c r="H3390" s="56" t="s">
        <v>92</v>
      </c>
      <c r="K3390" s="56">
        <v>956</v>
      </c>
      <c r="L3390" s="55" t="s">
        <v>176</v>
      </c>
      <c r="M3390" s="55" t="s">
        <v>2824</v>
      </c>
      <c r="N3390" s="4" t="s">
        <v>177</v>
      </c>
      <c r="O3390" s="55" t="s">
        <v>178</v>
      </c>
    </row>
    <row r="3391" spans="2:15">
      <c r="B3391" s="20">
        <v>45497</v>
      </c>
      <c r="C3391" s="59">
        <v>40499</v>
      </c>
      <c r="D3391" s="55" t="s">
        <v>1094</v>
      </c>
      <c r="G3391" s="102">
        <v>15</v>
      </c>
      <c r="H3391" s="56" t="s">
        <v>92</v>
      </c>
      <c r="K3391" s="56">
        <v>956</v>
      </c>
      <c r="L3391" s="55" t="s">
        <v>176</v>
      </c>
      <c r="M3391" s="55" t="s">
        <v>2824</v>
      </c>
      <c r="N3391" s="4" t="s">
        <v>177</v>
      </c>
      <c r="O3391" s="55" t="s">
        <v>178</v>
      </c>
    </row>
    <row r="3392" spans="2:15">
      <c r="B3392" s="20">
        <v>45497</v>
      </c>
      <c r="C3392" s="59">
        <v>40010086</v>
      </c>
      <c r="D3392" s="55" t="s">
        <v>79</v>
      </c>
      <c r="G3392" s="102">
        <v>23</v>
      </c>
      <c r="H3392" s="56" t="s">
        <v>80</v>
      </c>
      <c r="K3392" s="56">
        <v>957</v>
      </c>
      <c r="M3392" s="55" t="s">
        <v>326</v>
      </c>
      <c r="O3392" s="55" t="s">
        <v>178</v>
      </c>
    </row>
    <row r="3393" spans="2:15">
      <c r="B3393" s="20">
        <v>45497</v>
      </c>
      <c r="C3393" s="59">
        <v>50143646</v>
      </c>
      <c r="D3393" s="55" t="s">
        <v>191</v>
      </c>
      <c r="G3393" s="102">
        <v>20</v>
      </c>
      <c r="H3393" s="56" t="s">
        <v>82</v>
      </c>
      <c r="K3393" s="56">
        <v>957</v>
      </c>
      <c r="M3393" s="55" t="s">
        <v>326</v>
      </c>
      <c r="O3393" s="55" t="s">
        <v>178</v>
      </c>
    </row>
    <row r="3394" spans="2:15">
      <c r="B3394" s="20">
        <v>45497</v>
      </c>
      <c r="C3394" s="59">
        <v>40009544</v>
      </c>
      <c r="D3394" s="55" t="s">
        <v>179</v>
      </c>
      <c r="G3394" s="102">
        <v>70</v>
      </c>
      <c r="H3394" s="56" t="s">
        <v>80</v>
      </c>
      <c r="K3394" s="56">
        <v>957</v>
      </c>
      <c r="M3394" s="55" t="s">
        <v>326</v>
      </c>
      <c r="O3394" s="55" t="s">
        <v>178</v>
      </c>
    </row>
    <row r="3395" spans="2:15">
      <c r="B3395" s="20">
        <v>45497</v>
      </c>
      <c r="C3395" s="59">
        <v>40009546</v>
      </c>
      <c r="D3395" s="55" t="s">
        <v>174</v>
      </c>
      <c r="G3395" s="102">
        <v>18</v>
      </c>
      <c r="H3395" s="56" t="s">
        <v>80</v>
      </c>
      <c r="K3395" s="56">
        <v>957</v>
      </c>
      <c r="M3395" s="55" t="s">
        <v>326</v>
      </c>
      <c r="O3395" s="55" t="s">
        <v>178</v>
      </c>
    </row>
    <row r="3396" spans="2:15">
      <c r="B3396" s="20">
        <v>45497</v>
      </c>
      <c r="C3396" s="59">
        <v>40010087</v>
      </c>
      <c r="D3396" s="55" t="s">
        <v>387</v>
      </c>
      <c r="G3396" s="102">
        <v>18</v>
      </c>
      <c r="H3396" s="56" t="s">
        <v>80</v>
      </c>
      <c r="K3396" s="56">
        <v>957</v>
      </c>
      <c r="M3396" s="55" t="s">
        <v>326</v>
      </c>
      <c r="O3396" s="55" t="s">
        <v>178</v>
      </c>
    </row>
    <row r="3397" spans="2:15">
      <c r="B3397" s="20">
        <v>45497</v>
      </c>
      <c r="C3397" s="59">
        <v>40011133</v>
      </c>
      <c r="D3397" s="55" t="s">
        <v>634</v>
      </c>
      <c r="E3397" s="67">
        <v>864</v>
      </c>
      <c r="G3397" s="102">
        <v>18</v>
      </c>
      <c r="H3397" s="56" t="s">
        <v>80</v>
      </c>
      <c r="K3397" s="56">
        <v>957</v>
      </c>
      <c r="M3397" s="55" t="s">
        <v>326</v>
      </c>
      <c r="O3397" s="55" t="s">
        <v>178</v>
      </c>
    </row>
    <row r="3398" spans="2:15">
      <c r="B3398" s="20">
        <v>45497</v>
      </c>
      <c r="C3398" s="59">
        <v>50824293</v>
      </c>
      <c r="D3398" s="55" t="s">
        <v>861</v>
      </c>
      <c r="G3398" s="102">
        <v>8000</v>
      </c>
      <c r="H3398" s="56" t="s">
        <v>92</v>
      </c>
      <c r="K3398" s="56">
        <v>957</v>
      </c>
      <c r="M3398" s="55" t="s">
        <v>326</v>
      </c>
      <c r="O3398" s="55" t="s">
        <v>178</v>
      </c>
    </row>
    <row r="3399" spans="2:15">
      <c r="B3399" s="20">
        <v>45497</v>
      </c>
      <c r="C3399" s="120">
        <v>40007941</v>
      </c>
      <c r="D3399" s="55" t="s">
        <v>211</v>
      </c>
      <c r="G3399" s="102">
        <v>18</v>
      </c>
      <c r="H3399" s="56" t="s">
        <v>80</v>
      </c>
      <c r="K3399" s="56">
        <v>958</v>
      </c>
      <c r="M3399" s="55" t="s">
        <v>326</v>
      </c>
      <c r="O3399" s="55" t="s">
        <v>178</v>
      </c>
    </row>
    <row r="3400" spans="2:15">
      <c r="B3400" s="20">
        <v>45497</v>
      </c>
      <c r="C3400" s="120">
        <v>40007942</v>
      </c>
      <c r="D3400" s="55" t="s">
        <v>219</v>
      </c>
      <c r="G3400" s="102">
        <v>84</v>
      </c>
      <c r="H3400" s="56" t="s">
        <v>80</v>
      </c>
      <c r="K3400" s="56">
        <v>958</v>
      </c>
      <c r="M3400" s="55" t="s">
        <v>326</v>
      </c>
      <c r="O3400" s="55" t="s">
        <v>178</v>
      </c>
    </row>
    <row r="3401" spans="2:15">
      <c r="B3401" s="20">
        <v>45497</v>
      </c>
      <c r="C3401" s="59">
        <v>50143646</v>
      </c>
      <c r="D3401" s="55" t="s">
        <v>191</v>
      </c>
      <c r="G3401" s="102">
        <v>4780</v>
      </c>
      <c r="H3401" s="56" t="s">
        <v>82</v>
      </c>
      <c r="K3401" s="56">
        <v>959</v>
      </c>
      <c r="L3401" s="55" t="s">
        <v>176</v>
      </c>
      <c r="M3401" s="55" t="s">
        <v>2824</v>
      </c>
      <c r="N3401" s="4" t="s">
        <v>177</v>
      </c>
      <c r="O3401" s="55" t="s">
        <v>178</v>
      </c>
    </row>
    <row r="3402" spans="2:15">
      <c r="B3402" s="20">
        <v>45497</v>
      </c>
      <c r="C3402" s="59">
        <v>50470190</v>
      </c>
      <c r="D3402" s="55" t="s">
        <v>12</v>
      </c>
      <c r="G3402" s="102">
        <v>2898000</v>
      </c>
      <c r="H3402" s="56" t="s">
        <v>92</v>
      </c>
      <c r="K3402" s="56">
        <v>959</v>
      </c>
      <c r="L3402" s="55" t="s">
        <v>176</v>
      </c>
      <c r="M3402" s="55" t="s">
        <v>2824</v>
      </c>
      <c r="N3402" s="4" t="s">
        <v>177</v>
      </c>
      <c r="O3402" s="55" t="s">
        <v>178</v>
      </c>
    </row>
    <row r="3403" spans="2:15">
      <c r="B3403" s="20">
        <v>45498</v>
      </c>
      <c r="C3403" s="59">
        <v>50143646</v>
      </c>
      <c r="D3403" s="55" t="s">
        <v>191</v>
      </c>
      <c r="G3403" s="102">
        <v>5280</v>
      </c>
      <c r="H3403" s="56" t="s">
        <v>82</v>
      </c>
      <c r="K3403" s="56">
        <v>960</v>
      </c>
      <c r="L3403" s="55" t="s">
        <v>176</v>
      </c>
      <c r="M3403" s="55" t="s">
        <v>2824</v>
      </c>
      <c r="N3403" s="4" t="s">
        <v>177</v>
      </c>
      <c r="O3403" s="55" t="s">
        <v>178</v>
      </c>
    </row>
    <row r="3404" spans="2:15">
      <c r="B3404" s="20">
        <v>45498</v>
      </c>
      <c r="C3404" s="59">
        <v>50142055</v>
      </c>
      <c r="D3404" s="55" t="s">
        <v>206</v>
      </c>
      <c r="G3404" s="102">
        <v>1800</v>
      </c>
      <c r="H3404" s="56" t="s">
        <v>82</v>
      </c>
      <c r="K3404" s="56">
        <v>960</v>
      </c>
      <c r="L3404" s="55" t="s">
        <v>176</v>
      </c>
      <c r="M3404" s="55" t="s">
        <v>2824</v>
      </c>
      <c r="N3404" s="4" t="s">
        <v>177</v>
      </c>
      <c r="O3404" s="55" t="s">
        <v>178</v>
      </c>
    </row>
    <row r="3405" spans="2:15">
      <c r="B3405" s="20">
        <v>45498</v>
      </c>
      <c r="C3405" s="59">
        <v>40010084</v>
      </c>
      <c r="D3405" s="55" t="s">
        <v>81</v>
      </c>
      <c r="G3405" s="102">
        <v>3820</v>
      </c>
      <c r="H3405" s="56" t="s">
        <v>80</v>
      </c>
      <c r="K3405" s="56">
        <v>960</v>
      </c>
      <c r="L3405" s="55" t="s">
        <v>176</v>
      </c>
      <c r="M3405" s="55" t="s">
        <v>2824</v>
      </c>
      <c r="N3405" s="4" t="s">
        <v>177</v>
      </c>
      <c r="O3405" s="55" t="s">
        <v>178</v>
      </c>
    </row>
    <row r="3406" spans="2:15">
      <c r="B3406" s="20">
        <v>45498</v>
      </c>
      <c r="C3406" s="59">
        <v>50818948</v>
      </c>
      <c r="D3406" s="55" t="s">
        <v>1173</v>
      </c>
      <c r="G3406" s="102">
        <v>1366020</v>
      </c>
      <c r="H3406" s="56" t="s">
        <v>92</v>
      </c>
      <c r="K3406" s="56">
        <v>960</v>
      </c>
      <c r="L3406" s="55" t="s">
        <v>176</v>
      </c>
      <c r="M3406" s="55" t="s">
        <v>2824</v>
      </c>
      <c r="N3406" s="4" t="s">
        <v>177</v>
      </c>
      <c r="O3406" s="55" t="s">
        <v>178</v>
      </c>
    </row>
    <row r="3407" spans="2:15">
      <c r="B3407" s="20">
        <v>45499</v>
      </c>
      <c r="C3407" s="59">
        <v>40010087</v>
      </c>
      <c r="D3407" s="55" t="s">
        <v>387</v>
      </c>
      <c r="G3407" s="102">
        <v>3438</v>
      </c>
      <c r="H3407" s="56" t="s">
        <v>80</v>
      </c>
      <c r="K3407" s="56">
        <v>961</v>
      </c>
      <c r="L3407" s="55" t="s">
        <v>176</v>
      </c>
      <c r="M3407" s="55" t="s">
        <v>2824</v>
      </c>
      <c r="N3407" s="4" t="s">
        <v>177</v>
      </c>
      <c r="O3407" s="55" t="s">
        <v>178</v>
      </c>
    </row>
    <row r="3408" spans="2:15">
      <c r="B3408" s="20">
        <v>45499</v>
      </c>
      <c r="C3408" s="59">
        <v>50809147</v>
      </c>
      <c r="D3408" s="55" t="s">
        <v>930</v>
      </c>
      <c r="G3408" s="102">
        <v>3189.4</v>
      </c>
      <c r="H3408" s="56" t="s">
        <v>82</v>
      </c>
      <c r="K3408" s="56">
        <v>961</v>
      </c>
      <c r="L3408" s="55" t="s">
        <v>176</v>
      </c>
      <c r="M3408" s="55" t="s">
        <v>2824</v>
      </c>
      <c r="N3408" s="4" t="s">
        <v>177</v>
      </c>
      <c r="O3408" s="55" t="s">
        <v>178</v>
      </c>
    </row>
    <row r="3409" spans="2:15">
      <c r="B3409" s="20">
        <v>45499</v>
      </c>
      <c r="C3409" s="59">
        <v>50802401</v>
      </c>
      <c r="D3409" s="55" t="s">
        <v>13</v>
      </c>
      <c r="G3409" s="102">
        <v>1738800</v>
      </c>
      <c r="H3409" s="56" t="s">
        <v>92</v>
      </c>
      <c r="K3409" s="56">
        <v>961</v>
      </c>
      <c r="L3409" s="55" t="s">
        <v>176</v>
      </c>
      <c r="M3409" s="55" t="s">
        <v>2824</v>
      </c>
      <c r="N3409" s="4" t="s">
        <v>177</v>
      </c>
      <c r="O3409" s="55" t="s">
        <v>178</v>
      </c>
    </row>
    <row r="3410" spans="2:15">
      <c r="B3410" s="20">
        <v>45499</v>
      </c>
      <c r="C3410" s="59">
        <v>50397884</v>
      </c>
      <c r="D3410" s="55" t="s">
        <v>1296</v>
      </c>
      <c r="G3410" s="102">
        <v>843.75</v>
      </c>
      <c r="H3410" s="56" t="s">
        <v>80</v>
      </c>
      <c r="K3410" s="56">
        <v>961</v>
      </c>
      <c r="L3410" s="55" t="s">
        <v>176</v>
      </c>
      <c r="M3410" s="55" t="s">
        <v>2824</v>
      </c>
      <c r="N3410" s="4" t="s">
        <v>177</v>
      </c>
      <c r="O3410" s="55" t="s">
        <v>178</v>
      </c>
    </row>
    <row r="3411" spans="2:15">
      <c r="B3411" s="20">
        <v>45502</v>
      </c>
      <c r="C3411" s="59">
        <v>50272278</v>
      </c>
      <c r="D3411" s="55" t="s">
        <v>21</v>
      </c>
      <c r="G3411" s="102">
        <v>7700</v>
      </c>
      <c r="H3411" s="56" t="s">
        <v>92</v>
      </c>
      <c r="K3411" s="56">
        <v>962</v>
      </c>
      <c r="L3411" s="55" t="s">
        <v>176</v>
      </c>
      <c r="M3411" s="55" t="s">
        <v>2824</v>
      </c>
      <c r="N3411" s="4" t="s">
        <v>177</v>
      </c>
      <c r="O3411" s="55" t="s">
        <v>178</v>
      </c>
    </row>
    <row r="3412" spans="2:15">
      <c r="B3412" s="20">
        <v>45502</v>
      </c>
      <c r="C3412" s="59">
        <v>40499</v>
      </c>
      <c r="D3412" s="55" t="s">
        <v>1094</v>
      </c>
      <c r="G3412" s="102">
        <v>22</v>
      </c>
      <c r="H3412" s="56" t="s">
        <v>92</v>
      </c>
      <c r="K3412" s="56">
        <v>962</v>
      </c>
      <c r="L3412" s="55" t="s">
        <v>176</v>
      </c>
      <c r="M3412" s="55" t="s">
        <v>2824</v>
      </c>
      <c r="N3412" s="4" t="s">
        <v>177</v>
      </c>
      <c r="O3412" s="55" t="s">
        <v>178</v>
      </c>
    </row>
    <row r="3413" spans="2:15">
      <c r="B3413" s="20">
        <v>45502</v>
      </c>
      <c r="C3413" s="59">
        <v>50470190</v>
      </c>
      <c r="D3413" s="55" t="s">
        <v>12</v>
      </c>
      <c r="G3413" s="102">
        <v>5216400</v>
      </c>
      <c r="H3413" s="56" t="s">
        <v>92</v>
      </c>
      <c r="K3413" s="56">
        <v>963</v>
      </c>
      <c r="L3413" s="55" t="s">
        <v>176</v>
      </c>
      <c r="M3413" s="55" t="s">
        <v>2824</v>
      </c>
      <c r="N3413" s="4" t="s">
        <v>177</v>
      </c>
      <c r="O3413" s="55" t="s">
        <v>178</v>
      </c>
    </row>
    <row r="3414" spans="2:15">
      <c r="B3414" s="20">
        <v>45503</v>
      </c>
      <c r="C3414" s="59">
        <v>50507916</v>
      </c>
      <c r="D3414" s="55" t="s">
        <v>406</v>
      </c>
      <c r="G3414" s="102">
        <v>528000</v>
      </c>
      <c r="H3414" s="56" t="s">
        <v>92</v>
      </c>
      <c r="K3414" s="56">
        <v>964</v>
      </c>
      <c r="L3414" s="55" t="s">
        <v>176</v>
      </c>
      <c r="M3414" s="55" t="s">
        <v>2824</v>
      </c>
      <c r="N3414" s="4" t="s">
        <v>177</v>
      </c>
      <c r="O3414" s="55" t="s">
        <v>178</v>
      </c>
    </row>
    <row r="3415" spans="2:15">
      <c r="B3415" s="20">
        <v>45503</v>
      </c>
      <c r="C3415" s="59">
        <v>50802401</v>
      </c>
      <c r="D3415" s="55" t="s">
        <v>13</v>
      </c>
      <c r="G3415" s="102">
        <v>1449000</v>
      </c>
      <c r="H3415" s="56" t="s">
        <v>92</v>
      </c>
      <c r="K3415" s="56">
        <v>964</v>
      </c>
      <c r="L3415" s="55" t="s">
        <v>176</v>
      </c>
      <c r="M3415" s="55" t="s">
        <v>2824</v>
      </c>
      <c r="N3415" s="4" t="s">
        <v>177</v>
      </c>
      <c r="O3415" s="55" t="s">
        <v>178</v>
      </c>
    </row>
    <row r="3416" spans="2:15">
      <c r="B3416" s="20">
        <v>45503</v>
      </c>
      <c r="C3416" s="59">
        <v>50142327</v>
      </c>
      <c r="D3416" s="55" t="s">
        <v>256</v>
      </c>
      <c r="G3416" s="102">
        <v>1430.1</v>
      </c>
      <c r="H3416" s="56" t="s">
        <v>82</v>
      </c>
      <c r="K3416" s="56">
        <v>964</v>
      </c>
      <c r="L3416" s="55" t="s">
        <v>176</v>
      </c>
      <c r="M3416" s="55" t="s">
        <v>2824</v>
      </c>
      <c r="N3416" s="4" t="s">
        <v>177</v>
      </c>
      <c r="O3416" s="55" t="s">
        <v>178</v>
      </c>
    </row>
    <row r="3417" spans="2:15">
      <c r="B3417" s="20">
        <v>45503</v>
      </c>
      <c r="C3417" s="59">
        <v>50142334</v>
      </c>
      <c r="D3417" s="55" t="s">
        <v>257</v>
      </c>
      <c r="G3417" s="102">
        <v>1430.1</v>
      </c>
      <c r="H3417" s="56" t="s">
        <v>82</v>
      </c>
      <c r="K3417" s="56">
        <v>964</v>
      </c>
      <c r="L3417" s="55" t="s">
        <v>176</v>
      </c>
      <c r="M3417" s="55" t="s">
        <v>2824</v>
      </c>
      <c r="N3417" s="4" t="s">
        <v>177</v>
      </c>
      <c r="O3417" s="55" t="s">
        <v>178</v>
      </c>
    </row>
    <row r="3418" spans="2:15">
      <c r="B3418" s="20">
        <v>45503</v>
      </c>
      <c r="C3418" s="59">
        <v>50397884</v>
      </c>
      <c r="D3418" s="55" t="s">
        <v>1296</v>
      </c>
      <c r="G3418" s="102">
        <v>900</v>
      </c>
      <c r="H3418" s="56" t="s">
        <v>80</v>
      </c>
      <c r="K3418" s="56">
        <v>964</v>
      </c>
      <c r="L3418" s="55" t="s">
        <v>176</v>
      </c>
      <c r="M3418" s="55" t="s">
        <v>2824</v>
      </c>
      <c r="N3418" s="4" t="s">
        <v>177</v>
      </c>
      <c r="O3418" s="55" t="s">
        <v>178</v>
      </c>
    </row>
    <row r="3419" spans="2:15">
      <c r="B3419" s="20">
        <v>45503</v>
      </c>
      <c r="C3419" s="59">
        <v>50472696</v>
      </c>
      <c r="D3419" s="55" t="s">
        <v>1308</v>
      </c>
      <c r="G3419" s="102">
        <v>1470</v>
      </c>
      <c r="H3419" s="56" t="s">
        <v>80</v>
      </c>
      <c r="K3419" s="56">
        <v>964</v>
      </c>
      <c r="L3419" s="55" t="s">
        <v>176</v>
      </c>
      <c r="M3419" s="55" t="s">
        <v>2824</v>
      </c>
      <c r="N3419" s="4" t="s">
        <v>177</v>
      </c>
      <c r="O3419" s="55" t="s">
        <v>178</v>
      </c>
    </row>
    <row r="3420" spans="2:15">
      <c r="B3420" s="20">
        <v>45503</v>
      </c>
      <c r="C3420" s="59">
        <v>40499</v>
      </c>
      <c r="D3420" s="55" t="s">
        <v>1094</v>
      </c>
      <c r="G3420" s="102">
        <v>6</v>
      </c>
      <c r="H3420" s="56" t="s">
        <v>92</v>
      </c>
      <c r="K3420" s="56">
        <v>964</v>
      </c>
      <c r="L3420" s="55" t="s">
        <v>176</v>
      </c>
      <c r="M3420" s="55" t="s">
        <v>2824</v>
      </c>
      <c r="N3420" s="4" t="s">
        <v>177</v>
      </c>
      <c r="O3420" s="55" t="s">
        <v>178</v>
      </c>
    </row>
    <row r="3421" spans="2:15">
      <c r="B3421" s="20">
        <v>45503</v>
      </c>
      <c r="C3421" s="59">
        <v>50010080</v>
      </c>
      <c r="D3421" s="55" t="s">
        <v>354</v>
      </c>
      <c r="G3421" s="102">
        <v>3000</v>
      </c>
      <c r="H3421" s="56" t="s">
        <v>82</v>
      </c>
      <c r="K3421" s="56">
        <v>965</v>
      </c>
      <c r="L3421" s="55" t="s">
        <v>176</v>
      </c>
      <c r="M3421" s="55" t="s">
        <v>2824</v>
      </c>
      <c r="N3421" s="4" t="s">
        <v>177</v>
      </c>
      <c r="O3421" s="55" t="s">
        <v>178</v>
      </c>
    </row>
    <row r="3422" spans="2:15">
      <c r="B3422" s="20">
        <v>45503</v>
      </c>
      <c r="C3422" s="59">
        <v>40009546</v>
      </c>
      <c r="D3422" s="55" t="s">
        <v>174</v>
      </c>
      <c r="G3422" s="102">
        <v>1728</v>
      </c>
      <c r="H3422" s="56" t="s">
        <v>80</v>
      </c>
      <c r="K3422" s="56">
        <v>965</v>
      </c>
      <c r="L3422" s="55" t="s">
        <v>176</v>
      </c>
      <c r="M3422" s="55" t="s">
        <v>2824</v>
      </c>
      <c r="N3422" s="4" t="s">
        <v>177</v>
      </c>
      <c r="O3422" s="55" t="s">
        <v>178</v>
      </c>
    </row>
    <row r="3423" spans="2:15">
      <c r="B3423" s="20">
        <v>45503</v>
      </c>
      <c r="C3423" s="59">
        <v>50144376</v>
      </c>
      <c r="D3423" s="55" t="s">
        <v>19</v>
      </c>
      <c r="G3423" s="102">
        <v>1000</v>
      </c>
      <c r="H3423" s="56" t="s">
        <v>92</v>
      </c>
      <c r="K3423" s="56">
        <v>965</v>
      </c>
      <c r="L3423" s="55" t="s">
        <v>176</v>
      </c>
      <c r="M3423" s="55" t="s">
        <v>2824</v>
      </c>
      <c r="N3423" s="4" t="s">
        <v>177</v>
      </c>
      <c r="O3423" s="55" t="s">
        <v>178</v>
      </c>
    </row>
    <row r="3424" spans="2:15">
      <c r="B3424" s="20">
        <v>45503</v>
      </c>
      <c r="C3424" s="59">
        <v>50793278</v>
      </c>
      <c r="D3424" s="55" t="s">
        <v>1086</v>
      </c>
      <c r="G3424" s="102">
        <v>70</v>
      </c>
      <c r="H3424" s="56" t="s">
        <v>1087</v>
      </c>
      <c r="K3424" s="56">
        <v>965</v>
      </c>
      <c r="L3424" s="55" t="s">
        <v>176</v>
      </c>
      <c r="M3424" s="55" t="s">
        <v>2824</v>
      </c>
      <c r="N3424" s="4" t="s">
        <v>177</v>
      </c>
      <c r="O3424" s="55" t="s">
        <v>178</v>
      </c>
    </row>
    <row r="3425" spans="2:15">
      <c r="B3425" s="20">
        <v>45503</v>
      </c>
      <c r="C3425" s="59">
        <v>40011080</v>
      </c>
      <c r="D3425" s="55" t="s">
        <v>420</v>
      </c>
      <c r="G3425" s="102">
        <v>1350</v>
      </c>
      <c r="H3425" s="56" t="s">
        <v>80</v>
      </c>
      <c r="K3425" s="56">
        <v>965</v>
      </c>
      <c r="L3425" s="55" t="s">
        <v>176</v>
      </c>
      <c r="M3425" s="55" t="s">
        <v>2824</v>
      </c>
      <c r="N3425" s="4" t="s">
        <v>177</v>
      </c>
      <c r="O3425" s="55" t="s">
        <v>178</v>
      </c>
    </row>
    <row r="3426" spans="2:15">
      <c r="B3426" s="20">
        <v>45503</v>
      </c>
      <c r="C3426" s="59">
        <v>50145187</v>
      </c>
      <c r="D3426" s="55" t="s">
        <v>465</v>
      </c>
      <c r="G3426" s="102">
        <v>792000</v>
      </c>
      <c r="H3426" s="56" t="s">
        <v>92</v>
      </c>
      <c r="K3426" s="56">
        <v>965</v>
      </c>
      <c r="L3426" s="55" t="s">
        <v>176</v>
      </c>
      <c r="M3426" s="55" t="s">
        <v>2824</v>
      </c>
      <c r="N3426" s="4" t="s">
        <v>177</v>
      </c>
      <c r="O3426" s="55" t="s">
        <v>178</v>
      </c>
    </row>
    <row r="3427" spans="2:15">
      <c r="B3427" s="20">
        <v>45503</v>
      </c>
      <c r="C3427" s="59">
        <v>40499</v>
      </c>
      <c r="D3427" s="55" t="s">
        <v>1094</v>
      </c>
      <c r="G3427" s="102">
        <v>4</v>
      </c>
      <c r="H3427" s="56" t="s">
        <v>92</v>
      </c>
      <c r="K3427" s="56">
        <v>965</v>
      </c>
      <c r="L3427" s="55" t="s">
        <v>176</v>
      </c>
      <c r="M3427" s="55" t="s">
        <v>2824</v>
      </c>
      <c r="N3427" s="4" t="s">
        <v>177</v>
      </c>
      <c r="O3427" s="55" t="s">
        <v>178</v>
      </c>
    </row>
    <row r="3428" spans="2:15">
      <c r="B3428" s="20">
        <v>45503</v>
      </c>
      <c r="C3428" s="59">
        <v>50809353</v>
      </c>
      <c r="D3428" s="55" t="s">
        <v>905</v>
      </c>
      <c r="G3428" s="102">
        <v>5000</v>
      </c>
      <c r="H3428" s="56" t="s">
        <v>82</v>
      </c>
      <c r="K3428" s="56">
        <v>966</v>
      </c>
      <c r="L3428" s="55" t="s">
        <v>176</v>
      </c>
      <c r="M3428" s="55" t="s">
        <v>2824</v>
      </c>
      <c r="N3428" s="4" t="s">
        <v>177</v>
      </c>
      <c r="O3428" s="55" t="s">
        <v>178</v>
      </c>
    </row>
    <row r="3429" spans="2:15">
      <c r="B3429" s="20">
        <v>45503</v>
      </c>
      <c r="C3429" s="59">
        <v>50144376</v>
      </c>
      <c r="D3429" s="55" t="s">
        <v>19</v>
      </c>
      <c r="G3429" s="102">
        <v>3300</v>
      </c>
      <c r="H3429" s="56" t="s">
        <v>92</v>
      </c>
      <c r="K3429" s="56">
        <v>966</v>
      </c>
      <c r="L3429" s="55" t="s">
        <v>176</v>
      </c>
      <c r="M3429" s="55" t="s">
        <v>2824</v>
      </c>
      <c r="N3429" s="4" t="s">
        <v>177</v>
      </c>
      <c r="O3429" s="55" t="s">
        <v>178</v>
      </c>
    </row>
    <row r="3430" spans="2:15">
      <c r="B3430" s="20">
        <v>45503</v>
      </c>
      <c r="C3430" s="59">
        <v>40499</v>
      </c>
      <c r="D3430" s="55" t="s">
        <v>1094</v>
      </c>
      <c r="G3430" s="102">
        <v>10</v>
      </c>
      <c r="H3430" s="56" t="s">
        <v>92</v>
      </c>
      <c r="K3430" s="56">
        <v>966</v>
      </c>
      <c r="L3430" s="55" t="s">
        <v>176</v>
      </c>
      <c r="M3430" s="55" t="s">
        <v>2824</v>
      </c>
      <c r="N3430" s="4" t="s">
        <v>177</v>
      </c>
      <c r="O3430" s="55" t="s">
        <v>178</v>
      </c>
    </row>
    <row r="3431" spans="2:15">
      <c r="B3431" s="20">
        <v>45503</v>
      </c>
      <c r="C3431" s="59">
        <v>50802401</v>
      </c>
      <c r="D3431" s="55" t="s">
        <v>13</v>
      </c>
      <c r="G3431" s="102">
        <v>579600</v>
      </c>
      <c r="H3431" s="56" t="s">
        <v>92</v>
      </c>
      <c r="K3431" s="56">
        <v>966</v>
      </c>
      <c r="L3431" s="55" t="s">
        <v>176</v>
      </c>
      <c r="M3431" s="55" t="s">
        <v>2824</v>
      </c>
      <c r="N3431" s="4" t="s">
        <v>177</v>
      </c>
      <c r="O3431" s="55" t="s">
        <v>178</v>
      </c>
    </row>
    <row r="3432" spans="2:15">
      <c r="B3432" s="20">
        <v>45504</v>
      </c>
      <c r="C3432" s="59">
        <v>50144376</v>
      </c>
      <c r="D3432" s="55" t="s">
        <v>19</v>
      </c>
      <c r="G3432" s="102">
        <v>3150</v>
      </c>
      <c r="H3432" s="56" t="s">
        <v>92</v>
      </c>
      <c r="K3432" s="56">
        <v>967</v>
      </c>
      <c r="L3432" s="55" t="s">
        <v>176</v>
      </c>
      <c r="M3432" s="55" t="s">
        <v>2824</v>
      </c>
      <c r="N3432" s="4" t="s">
        <v>177</v>
      </c>
      <c r="O3432" s="55" t="s">
        <v>178</v>
      </c>
    </row>
    <row r="3433" spans="2:15">
      <c r="B3433" s="20">
        <v>45504</v>
      </c>
      <c r="C3433" s="59">
        <v>40011080</v>
      </c>
      <c r="D3433" s="55" t="s">
        <v>420</v>
      </c>
      <c r="G3433" s="102">
        <v>1350</v>
      </c>
      <c r="H3433" s="56" t="s">
        <v>80</v>
      </c>
      <c r="K3433" s="56">
        <v>967</v>
      </c>
      <c r="L3433" s="55" t="s">
        <v>176</v>
      </c>
      <c r="M3433" s="55" t="s">
        <v>2824</v>
      </c>
      <c r="N3433" s="4" t="s">
        <v>177</v>
      </c>
      <c r="O3433" s="55" t="s">
        <v>178</v>
      </c>
    </row>
    <row r="3434" spans="2:15">
      <c r="B3434" s="20">
        <v>45504</v>
      </c>
      <c r="C3434" s="59">
        <v>50507916</v>
      </c>
      <c r="D3434" s="55" t="s">
        <v>406</v>
      </c>
      <c r="G3434" s="102">
        <v>528000</v>
      </c>
      <c r="H3434" s="56" t="s">
        <v>92</v>
      </c>
      <c r="K3434" s="56">
        <v>967</v>
      </c>
      <c r="L3434" s="55" t="s">
        <v>176</v>
      </c>
      <c r="M3434" s="55" t="s">
        <v>2824</v>
      </c>
      <c r="N3434" s="4" t="s">
        <v>177</v>
      </c>
      <c r="O3434" s="55" t="s">
        <v>178</v>
      </c>
    </row>
    <row r="3435" spans="2:15">
      <c r="B3435" s="20">
        <v>45504</v>
      </c>
      <c r="C3435" s="59">
        <v>50802401</v>
      </c>
      <c r="D3435" s="55" t="s">
        <v>13</v>
      </c>
      <c r="G3435" s="102">
        <v>1738800</v>
      </c>
      <c r="H3435" s="56" t="s">
        <v>92</v>
      </c>
      <c r="K3435" s="56">
        <v>967</v>
      </c>
      <c r="L3435" s="55" t="s">
        <v>176</v>
      </c>
      <c r="M3435" s="55" t="s">
        <v>2824</v>
      </c>
      <c r="N3435" s="4" t="s">
        <v>177</v>
      </c>
      <c r="O3435" s="55" t="s">
        <v>178</v>
      </c>
    </row>
    <row r="3436" spans="2:15">
      <c r="B3436" s="20">
        <v>45504</v>
      </c>
      <c r="C3436" s="59">
        <v>40499</v>
      </c>
      <c r="D3436" s="55" t="s">
        <v>1094</v>
      </c>
      <c r="G3436" s="102">
        <v>9</v>
      </c>
      <c r="H3436" s="56" t="s">
        <v>92</v>
      </c>
      <c r="K3436" s="56">
        <v>967</v>
      </c>
      <c r="L3436" s="55" t="s">
        <v>176</v>
      </c>
      <c r="M3436" s="55" t="s">
        <v>2824</v>
      </c>
      <c r="N3436" s="4" t="s">
        <v>177</v>
      </c>
      <c r="O3436" s="55" t="s">
        <v>178</v>
      </c>
    </row>
    <row r="3437" spans="2:15">
      <c r="B3437" s="20">
        <v>45505</v>
      </c>
      <c r="C3437" s="59">
        <v>50272278</v>
      </c>
      <c r="D3437" s="55" t="s">
        <v>21</v>
      </c>
      <c r="G3437" s="102">
        <v>9016</v>
      </c>
      <c r="H3437" s="56" t="s">
        <v>92</v>
      </c>
      <c r="K3437" s="56">
        <v>968</v>
      </c>
      <c r="L3437" s="55" t="s">
        <v>176</v>
      </c>
      <c r="M3437" s="55" t="s">
        <v>2824</v>
      </c>
      <c r="N3437" s="4" t="s">
        <v>177</v>
      </c>
      <c r="O3437" s="55" t="s">
        <v>178</v>
      </c>
    </row>
    <row r="3438" spans="2:15">
      <c r="B3438" s="20">
        <v>45505</v>
      </c>
      <c r="C3438" s="59">
        <v>40499</v>
      </c>
      <c r="D3438" s="55" t="s">
        <v>1094</v>
      </c>
      <c r="G3438" s="102">
        <v>36</v>
      </c>
      <c r="H3438" s="56" t="s">
        <v>92</v>
      </c>
      <c r="K3438" s="56">
        <v>968</v>
      </c>
      <c r="L3438" s="55" t="s">
        <v>176</v>
      </c>
      <c r="M3438" s="55" t="s">
        <v>2824</v>
      </c>
      <c r="N3438" s="4" t="s">
        <v>177</v>
      </c>
      <c r="O3438" s="55" t="s">
        <v>178</v>
      </c>
    </row>
    <row r="3439" spans="2:15">
      <c r="B3439" s="20">
        <v>45505</v>
      </c>
      <c r="C3439" s="59">
        <v>50502050</v>
      </c>
      <c r="D3439" s="55" t="s">
        <v>1500</v>
      </c>
      <c r="G3439" s="102">
        <v>2000</v>
      </c>
      <c r="H3439" s="56" t="s">
        <v>898</v>
      </c>
      <c r="K3439" s="56">
        <v>968</v>
      </c>
      <c r="L3439" s="55" t="s">
        <v>176</v>
      </c>
      <c r="M3439" s="55" t="s">
        <v>2824</v>
      </c>
      <c r="N3439" s="4" t="s">
        <v>177</v>
      </c>
      <c r="O3439" s="55" t="s">
        <v>178</v>
      </c>
    </row>
    <row r="3440" spans="2:15">
      <c r="B3440" s="20">
        <v>45505</v>
      </c>
      <c r="C3440" s="59">
        <v>50470190</v>
      </c>
      <c r="D3440" s="55" t="s">
        <v>12</v>
      </c>
      <c r="G3440" s="102">
        <v>3767400</v>
      </c>
      <c r="H3440" s="56" t="s">
        <v>92</v>
      </c>
      <c r="K3440" s="56">
        <v>969</v>
      </c>
      <c r="L3440" s="55" t="s">
        <v>176</v>
      </c>
      <c r="M3440" s="55" t="s">
        <v>2824</v>
      </c>
      <c r="N3440" s="4" t="s">
        <v>177</v>
      </c>
      <c r="O3440" s="55" t="s">
        <v>178</v>
      </c>
    </row>
    <row r="3441" spans="2:15">
      <c r="B3441" s="20">
        <v>45505</v>
      </c>
      <c r="C3441" s="59">
        <v>50802401</v>
      </c>
      <c r="D3441" s="55" t="s">
        <v>13</v>
      </c>
      <c r="G3441" s="102">
        <v>1449000</v>
      </c>
      <c r="H3441" s="56" t="s">
        <v>92</v>
      </c>
      <c r="K3441" s="56">
        <v>969</v>
      </c>
      <c r="L3441" s="55" t="s">
        <v>176</v>
      </c>
      <c r="M3441" s="55" t="s">
        <v>2824</v>
      </c>
      <c r="N3441" s="4" t="s">
        <v>177</v>
      </c>
      <c r="O3441" s="55" t="s">
        <v>178</v>
      </c>
    </row>
    <row r="3442" spans="2:15">
      <c r="B3442" s="20">
        <v>45505</v>
      </c>
      <c r="C3442" s="59">
        <v>40010086</v>
      </c>
      <c r="D3442" s="55" t="s">
        <v>79</v>
      </c>
      <c r="G3442" s="102">
        <v>4032</v>
      </c>
      <c r="H3442" s="56" t="s">
        <v>80</v>
      </c>
      <c r="K3442" s="56">
        <v>970</v>
      </c>
      <c r="L3442" s="55" t="s">
        <v>176</v>
      </c>
      <c r="M3442" s="55" t="s">
        <v>2824</v>
      </c>
      <c r="N3442" s="4" t="s">
        <v>177</v>
      </c>
      <c r="O3442" s="55" t="s">
        <v>178</v>
      </c>
    </row>
    <row r="3443" spans="2:15">
      <c r="B3443" s="20">
        <v>45505</v>
      </c>
      <c r="C3443" s="59">
        <v>40010087</v>
      </c>
      <c r="D3443" s="55" t="s">
        <v>387</v>
      </c>
      <c r="G3443" s="102">
        <v>1728</v>
      </c>
      <c r="H3443" s="56" t="s">
        <v>80</v>
      </c>
      <c r="K3443" s="56">
        <v>970</v>
      </c>
      <c r="L3443" s="55" t="s">
        <v>176</v>
      </c>
      <c r="M3443" s="55" t="s">
        <v>2824</v>
      </c>
      <c r="N3443" s="4" t="s">
        <v>177</v>
      </c>
      <c r="O3443" s="55" t="s">
        <v>178</v>
      </c>
    </row>
    <row r="3444" spans="2:15">
      <c r="B3444" s="20">
        <v>45505</v>
      </c>
      <c r="C3444" s="59">
        <v>50813995</v>
      </c>
      <c r="D3444" s="69" t="s">
        <v>960</v>
      </c>
      <c r="G3444" s="102">
        <v>2003.65</v>
      </c>
      <c r="H3444" s="56" t="s">
        <v>82</v>
      </c>
      <c r="K3444" s="56">
        <v>970</v>
      </c>
      <c r="L3444" s="55" t="s">
        <v>176</v>
      </c>
      <c r="M3444" s="55" t="s">
        <v>2824</v>
      </c>
      <c r="N3444" s="4" t="s">
        <v>177</v>
      </c>
      <c r="O3444" s="55" t="s">
        <v>178</v>
      </c>
    </row>
    <row r="3445" spans="2:15">
      <c r="B3445" s="20">
        <v>45505</v>
      </c>
      <c r="C3445" s="59">
        <v>50144376</v>
      </c>
      <c r="D3445" s="55" t="s">
        <v>19</v>
      </c>
      <c r="G3445" s="102">
        <v>2450</v>
      </c>
      <c r="H3445" s="56" t="s">
        <v>92</v>
      </c>
      <c r="K3445" s="56">
        <v>970</v>
      </c>
      <c r="L3445" s="55" t="s">
        <v>176</v>
      </c>
      <c r="M3445" s="55" t="s">
        <v>2824</v>
      </c>
      <c r="N3445" s="4" t="s">
        <v>177</v>
      </c>
      <c r="O3445" s="55" t="s">
        <v>178</v>
      </c>
    </row>
    <row r="3446" spans="2:15">
      <c r="B3446" s="20">
        <v>45505</v>
      </c>
      <c r="C3446" s="59">
        <v>40011080</v>
      </c>
      <c r="D3446" s="55" t="s">
        <v>420</v>
      </c>
      <c r="G3446" s="102">
        <v>900</v>
      </c>
      <c r="H3446" s="56" t="s">
        <v>80</v>
      </c>
      <c r="K3446" s="56">
        <v>970</v>
      </c>
      <c r="L3446" s="55" t="s">
        <v>176</v>
      </c>
      <c r="M3446" s="55" t="s">
        <v>2824</v>
      </c>
      <c r="N3446" s="4" t="s">
        <v>177</v>
      </c>
      <c r="O3446" s="55" t="s">
        <v>178</v>
      </c>
    </row>
    <row r="3447" spans="2:15">
      <c r="B3447" s="20">
        <v>45505</v>
      </c>
      <c r="C3447" s="59">
        <v>50145187</v>
      </c>
      <c r="D3447" s="55" t="s">
        <v>465</v>
      </c>
      <c r="G3447" s="102">
        <v>528000</v>
      </c>
      <c r="H3447" s="56" t="s">
        <v>92</v>
      </c>
      <c r="K3447" s="56">
        <v>970</v>
      </c>
      <c r="L3447" s="55" t="s">
        <v>176</v>
      </c>
      <c r="M3447" s="55" t="s">
        <v>2824</v>
      </c>
      <c r="N3447" s="4" t="s">
        <v>177</v>
      </c>
      <c r="O3447" s="55" t="s">
        <v>178</v>
      </c>
    </row>
    <row r="3448" spans="2:15">
      <c r="B3448" s="20">
        <v>45505</v>
      </c>
      <c r="C3448" s="59">
        <v>50507916</v>
      </c>
      <c r="D3448" s="55" t="s">
        <v>406</v>
      </c>
      <c r="G3448" s="102">
        <v>528000</v>
      </c>
      <c r="H3448" s="56" t="s">
        <v>92</v>
      </c>
      <c r="K3448" s="56">
        <v>970</v>
      </c>
      <c r="L3448" s="55" t="s">
        <v>176</v>
      </c>
      <c r="M3448" s="55" t="s">
        <v>2824</v>
      </c>
      <c r="N3448" s="4" t="s">
        <v>177</v>
      </c>
      <c r="O3448" s="55" t="s">
        <v>178</v>
      </c>
    </row>
    <row r="3449" spans="2:15">
      <c r="B3449" s="20">
        <v>45505</v>
      </c>
      <c r="C3449" s="59">
        <v>50337816</v>
      </c>
      <c r="D3449" s="55" t="s">
        <v>245</v>
      </c>
      <c r="G3449" s="102">
        <v>528</v>
      </c>
      <c r="H3449" s="56" t="s">
        <v>80</v>
      </c>
      <c r="K3449" s="56">
        <v>970</v>
      </c>
      <c r="L3449" s="55" t="s">
        <v>176</v>
      </c>
      <c r="M3449" s="55" t="s">
        <v>2824</v>
      </c>
      <c r="N3449" s="4" t="s">
        <v>177</v>
      </c>
      <c r="O3449" s="55" t="s">
        <v>178</v>
      </c>
    </row>
    <row r="3450" spans="2:15">
      <c r="B3450" s="20">
        <v>45505</v>
      </c>
      <c r="C3450" s="59">
        <v>50010080</v>
      </c>
      <c r="D3450" s="55" t="s">
        <v>354</v>
      </c>
      <c r="G3450" s="102">
        <v>2000</v>
      </c>
      <c r="H3450" s="56" t="s">
        <v>82</v>
      </c>
      <c r="K3450" s="56">
        <v>971</v>
      </c>
      <c r="L3450" s="55" t="s">
        <v>176</v>
      </c>
      <c r="M3450" s="55" t="s">
        <v>2824</v>
      </c>
      <c r="N3450" s="4" t="s">
        <v>177</v>
      </c>
      <c r="O3450" s="55" t="s">
        <v>178</v>
      </c>
    </row>
    <row r="3451" spans="2:15">
      <c r="B3451" s="20">
        <v>45505</v>
      </c>
      <c r="C3451" s="59">
        <v>50804929</v>
      </c>
      <c r="D3451" s="55" t="s">
        <v>856</v>
      </c>
      <c r="E3451" s="67">
        <v>504000</v>
      </c>
      <c r="G3451" s="102">
        <v>1008000</v>
      </c>
      <c r="H3451" s="56" t="s">
        <v>92</v>
      </c>
      <c r="K3451" s="56">
        <v>971</v>
      </c>
      <c r="L3451" s="55" t="s">
        <v>176</v>
      </c>
      <c r="M3451" s="55" t="s">
        <v>2824</v>
      </c>
      <c r="N3451" s="4" t="s">
        <v>177</v>
      </c>
      <c r="O3451" s="55" t="s">
        <v>178</v>
      </c>
    </row>
    <row r="3452" spans="2:15">
      <c r="B3452" s="20">
        <v>45505</v>
      </c>
      <c r="C3452" s="59">
        <v>50144376</v>
      </c>
      <c r="D3452" s="55" t="s">
        <v>19</v>
      </c>
      <c r="G3452" s="102">
        <v>7700</v>
      </c>
      <c r="H3452" s="56" t="s">
        <v>92</v>
      </c>
      <c r="K3452" s="56">
        <v>971</v>
      </c>
      <c r="L3452" s="55" t="s">
        <v>176</v>
      </c>
      <c r="M3452" s="55" t="s">
        <v>2824</v>
      </c>
      <c r="N3452" s="4" t="s">
        <v>177</v>
      </c>
      <c r="O3452" s="55" t="s">
        <v>178</v>
      </c>
    </row>
    <row r="3453" spans="2:15">
      <c r="B3453" s="20">
        <v>45505</v>
      </c>
      <c r="C3453" s="59">
        <v>40499</v>
      </c>
      <c r="D3453" s="55" t="s">
        <v>1094</v>
      </c>
      <c r="G3453" s="102">
        <v>58</v>
      </c>
      <c r="H3453" s="56" t="s">
        <v>92</v>
      </c>
      <c r="K3453" s="56">
        <v>971</v>
      </c>
      <c r="L3453" s="55" t="s">
        <v>176</v>
      </c>
      <c r="M3453" s="55" t="s">
        <v>2824</v>
      </c>
      <c r="N3453" s="4" t="s">
        <v>177</v>
      </c>
      <c r="O3453" s="55" t="s">
        <v>178</v>
      </c>
    </row>
    <row r="3454" spans="2:15">
      <c r="B3454" s="20">
        <v>45505</v>
      </c>
      <c r="C3454" s="59">
        <v>50142327</v>
      </c>
      <c r="D3454" s="55" t="s">
        <v>256</v>
      </c>
      <c r="G3454" s="102">
        <v>476.7</v>
      </c>
      <c r="H3454" s="56" t="s">
        <v>82</v>
      </c>
      <c r="K3454" s="56">
        <v>971</v>
      </c>
      <c r="L3454" s="55" t="s">
        <v>176</v>
      </c>
      <c r="M3454" s="55" t="s">
        <v>2824</v>
      </c>
      <c r="N3454" s="4" t="s">
        <v>177</v>
      </c>
      <c r="O3454" s="55" t="s">
        <v>178</v>
      </c>
    </row>
    <row r="3455" spans="2:15">
      <c r="B3455" s="20">
        <v>45505</v>
      </c>
      <c r="C3455" s="59">
        <v>50142334</v>
      </c>
      <c r="D3455" s="55" t="s">
        <v>257</v>
      </c>
      <c r="G3455" s="102">
        <v>476.7</v>
      </c>
      <c r="H3455" s="56" t="s">
        <v>82</v>
      </c>
      <c r="K3455" s="56">
        <v>971</v>
      </c>
      <c r="L3455" s="55" t="s">
        <v>176</v>
      </c>
      <c r="M3455" s="55" t="s">
        <v>2824</v>
      </c>
      <c r="N3455" s="4" t="s">
        <v>177</v>
      </c>
      <c r="O3455" s="55" t="s">
        <v>178</v>
      </c>
    </row>
    <row r="3456" spans="2:15">
      <c r="B3456" s="20">
        <v>45506</v>
      </c>
      <c r="C3456" s="59">
        <v>50145028</v>
      </c>
      <c r="D3456" s="55" t="s">
        <v>23</v>
      </c>
      <c r="G3456" s="102">
        <v>576</v>
      </c>
      <c r="H3456" s="56" t="s">
        <v>92</v>
      </c>
      <c r="K3456" s="56">
        <v>972</v>
      </c>
      <c r="L3456" s="55" t="s">
        <v>326</v>
      </c>
      <c r="M3456" s="55" t="s">
        <v>2824</v>
      </c>
      <c r="N3456" s="4" t="s">
        <v>327</v>
      </c>
      <c r="O3456" s="55" t="s">
        <v>178</v>
      </c>
    </row>
    <row r="3457" spans="2:15">
      <c r="B3457" s="20">
        <v>45506</v>
      </c>
      <c r="C3457" s="59">
        <v>50272278</v>
      </c>
      <c r="D3457" s="55" t="s">
        <v>21</v>
      </c>
      <c r="G3457" s="102">
        <v>5000</v>
      </c>
      <c r="H3457" s="56" t="s">
        <v>92</v>
      </c>
      <c r="K3457" s="56">
        <v>972</v>
      </c>
      <c r="L3457" s="55" t="s">
        <v>326</v>
      </c>
      <c r="M3457" s="55" t="s">
        <v>2824</v>
      </c>
      <c r="N3457" s="4" t="s">
        <v>327</v>
      </c>
      <c r="O3457" s="55" t="s">
        <v>178</v>
      </c>
    </row>
    <row r="3458" spans="2:15">
      <c r="B3458" s="20">
        <v>45506</v>
      </c>
      <c r="C3458" s="59">
        <v>50814629</v>
      </c>
      <c r="D3458" s="55" t="s">
        <v>1226</v>
      </c>
      <c r="G3458" s="102">
        <v>2018.8</v>
      </c>
      <c r="H3458" s="56" t="s">
        <v>82</v>
      </c>
      <c r="K3458" s="56">
        <v>972</v>
      </c>
      <c r="L3458" s="55" t="s">
        <v>326</v>
      </c>
      <c r="M3458" s="55" t="s">
        <v>2824</v>
      </c>
      <c r="N3458" s="4" t="s">
        <v>327</v>
      </c>
      <c r="O3458" s="55" t="s">
        <v>178</v>
      </c>
    </row>
    <row r="3459" spans="2:15">
      <c r="B3459" s="20">
        <v>45506</v>
      </c>
      <c r="C3459" s="59">
        <v>50272278</v>
      </c>
      <c r="D3459" s="55" t="s">
        <v>21</v>
      </c>
      <c r="G3459" s="102">
        <v>6450</v>
      </c>
      <c r="H3459" s="56" t="s">
        <v>92</v>
      </c>
      <c r="K3459" s="56">
        <v>973</v>
      </c>
      <c r="L3459" s="55" t="s">
        <v>326</v>
      </c>
      <c r="M3459" s="55" t="s">
        <v>2824</v>
      </c>
      <c r="N3459" s="4" t="s">
        <v>327</v>
      </c>
      <c r="O3459" s="55" t="s">
        <v>178</v>
      </c>
    </row>
    <row r="3460" spans="2:15">
      <c r="B3460" s="20">
        <v>45506</v>
      </c>
      <c r="C3460" s="59">
        <v>50470190</v>
      </c>
      <c r="D3460" s="55" t="s">
        <v>12</v>
      </c>
      <c r="G3460" s="102">
        <v>1159200</v>
      </c>
      <c r="H3460" s="56" t="s">
        <v>92</v>
      </c>
      <c r="K3460" s="56">
        <v>973</v>
      </c>
      <c r="L3460" s="55" t="s">
        <v>326</v>
      </c>
      <c r="M3460" s="55" t="s">
        <v>2824</v>
      </c>
      <c r="N3460" s="4" t="s">
        <v>327</v>
      </c>
      <c r="O3460" s="55" t="s">
        <v>178</v>
      </c>
    </row>
    <row r="3461" spans="2:15">
      <c r="B3461" s="20">
        <v>45506</v>
      </c>
      <c r="C3461" s="59">
        <v>40499</v>
      </c>
      <c r="D3461" s="55" t="s">
        <v>1094</v>
      </c>
      <c r="G3461" s="102">
        <v>21</v>
      </c>
      <c r="H3461" s="56" t="s">
        <v>92</v>
      </c>
      <c r="K3461" s="56">
        <v>973</v>
      </c>
      <c r="L3461" s="55" t="s">
        <v>326</v>
      </c>
      <c r="M3461" s="55" t="s">
        <v>2824</v>
      </c>
      <c r="N3461" s="4" t="s">
        <v>327</v>
      </c>
      <c r="O3461" s="55" t="s">
        <v>178</v>
      </c>
    </row>
    <row r="3462" spans="2:15">
      <c r="B3462" s="20">
        <v>45507</v>
      </c>
      <c r="C3462" s="59">
        <v>50400554</v>
      </c>
      <c r="D3462" s="55" t="s">
        <v>1311</v>
      </c>
      <c r="F3462" s="67">
        <v>24</v>
      </c>
      <c r="G3462" s="102">
        <v>92.16</v>
      </c>
      <c r="H3462" s="56" t="s">
        <v>80</v>
      </c>
      <c r="K3462" s="56">
        <v>974</v>
      </c>
      <c r="L3462" s="55" t="s">
        <v>392</v>
      </c>
      <c r="M3462" s="55" t="s">
        <v>392</v>
      </c>
      <c r="N3462" s="4" t="s">
        <v>2852</v>
      </c>
      <c r="O3462" s="55" t="s">
        <v>178</v>
      </c>
    </row>
    <row r="3463" spans="2:15">
      <c r="B3463" s="20">
        <v>45507</v>
      </c>
      <c r="C3463" s="59">
        <v>50400554</v>
      </c>
      <c r="D3463" s="55" t="s">
        <v>1311</v>
      </c>
      <c r="F3463" s="67">
        <v>24</v>
      </c>
      <c r="G3463" s="102">
        <v>92.16</v>
      </c>
      <c r="H3463" s="56" t="s">
        <v>80</v>
      </c>
      <c r="K3463" s="56">
        <v>975</v>
      </c>
      <c r="L3463" s="55" t="s">
        <v>392</v>
      </c>
      <c r="M3463" s="55" t="s">
        <v>392</v>
      </c>
      <c r="N3463" s="4" t="s">
        <v>2852</v>
      </c>
      <c r="O3463" s="55" t="s">
        <v>178</v>
      </c>
    </row>
    <row r="3464" spans="2:15">
      <c r="B3464" s="20">
        <v>45507</v>
      </c>
      <c r="C3464" s="59">
        <v>50400554</v>
      </c>
      <c r="D3464" s="55" t="s">
        <v>1311</v>
      </c>
      <c r="F3464" s="67">
        <v>24</v>
      </c>
      <c r="G3464" s="102">
        <v>92.16</v>
      </c>
      <c r="H3464" s="56" t="s">
        <v>80</v>
      </c>
      <c r="K3464" s="56">
        <v>976</v>
      </c>
      <c r="L3464" s="55" t="s">
        <v>392</v>
      </c>
      <c r="M3464" s="55" t="s">
        <v>392</v>
      </c>
      <c r="N3464" s="4" t="s">
        <v>2852</v>
      </c>
      <c r="O3464" s="55" t="s">
        <v>178</v>
      </c>
    </row>
    <row r="3465" spans="2:15">
      <c r="B3465" s="20">
        <v>45507</v>
      </c>
      <c r="C3465" s="59">
        <v>50272278</v>
      </c>
      <c r="D3465" s="55" t="s">
        <v>21</v>
      </c>
      <c r="G3465" s="102">
        <v>12350</v>
      </c>
      <c r="H3465" s="56" t="s">
        <v>92</v>
      </c>
      <c r="K3465" s="56">
        <v>977</v>
      </c>
      <c r="L3465" s="55" t="s">
        <v>392</v>
      </c>
      <c r="M3465" s="55" t="s">
        <v>2824</v>
      </c>
      <c r="N3465" s="4" t="s">
        <v>2071</v>
      </c>
      <c r="O3465" s="55" t="s">
        <v>178</v>
      </c>
    </row>
    <row r="3466" spans="2:15">
      <c r="B3466" s="20">
        <v>45507</v>
      </c>
      <c r="C3466" s="59">
        <v>40499</v>
      </c>
      <c r="D3466" s="55" t="s">
        <v>1094</v>
      </c>
      <c r="G3466" s="63">
        <v>50</v>
      </c>
      <c r="H3466" s="56" t="s">
        <v>92</v>
      </c>
      <c r="K3466" s="56">
        <v>977</v>
      </c>
      <c r="L3466" s="55" t="s">
        <v>392</v>
      </c>
      <c r="M3466" s="55" t="s">
        <v>2824</v>
      </c>
      <c r="N3466" s="4" t="s">
        <v>2071</v>
      </c>
      <c r="O3466" s="55" t="s">
        <v>178</v>
      </c>
    </row>
    <row r="3467" spans="2:15">
      <c r="B3467" s="20">
        <v>45507</v>
      </c>
      <c r="C3467" s="59">
        <v>50470190</v>
      </c>
      <c r="D3467" s="55" t="s">
        <v>12</v>
      </c>
      <c r="G3467" s="102">
        <v>1159200</v>
      </c>
      <c r="H3467" s="56" t="s">
        <v>92</v>
      </c>
      <c r="K3467" s="56">
        <v>977</v>
      </c>
      <c r="L3467" s="55" t="s">
        <v>392</v>
      </c>
      <c r="M3467" s="55" t="s">
        <v>2824</v>
      </c>
      <c r="N3467" s="4" t="s">
        <v>2071</v>
      </c>
      <c r="O3467" s="55" t="s">
        <v>178</v>
      </c>
    </row>
    <row r="3468" spans="2:15">
      <c r="B3468" s="20">
        <v>45509</v>
      </c>
      <c r="C3468" s="59">
        <v>50809147</v>
      </c>
      <c r="D3468" s="55" t="s">
        <v>930</v>
      </c>
      <c r="G3468" s="102">
        <v>2123.75</v>
      </c>
      <c r="H3468" s="56" t="s">
        <v>82</v>
      </c>
      <c r="K3468" s="56">
        <v>978</v>
      </c>
      <c r="L3468" s="55" t="s">
        <v>176</v>
      </c>
      <c r="M3468" s="55" t="s">
        <v>2824</v>
      </c>
      <c r="N3468" s="4" t="s">
        <v>177</v>
      </c>
      <c r="O3468" s="55" t="s">
        <v>178</v>
      </c>
    </row>
    <row r="3469" spans="2:15">
      <c r="B3469" s="20">
        <v>45509</v>
      </c>
      <c r="C3469" s="59">
        <v>50144376</v>
      </c>
      <c r="D3469" s="55" t="s">
        <v>19</v>
      </c>
      <c r="G3469" s="102">
        <v>5950</v>
      </c>
      <c r="H3469" s="56" t="s">
        <v>92</v>
      </c>
      <c r="K3469" s="56">
        <v>978</v>
      </c>
      <c r="L3469" s="55" t="s">
        <v>176</v>
      </c>
      <c r="M3469" s="55" t="s">
        <v>2824</v>
      </c>
      <c r="N3469" s="4" t="s">
        <v>177</v>
      </c>
      <c r="O3469" s="55" t="s">
        <v>178</v>
      </c>
    </row>
    <row r="3470" spans="2:15">
      <c r="B3470" s="20">
        <v>45509</v>
      </c>
      <c r="C3470" s="59">
        <v>40499</v>
      </c>
      <c r="D3470" s="55" t="s">
        <v>1094</v>
      </c>
      <c r="G3470" s="102">
        <v>17</v>
      </c>
      <c r="H3470" s="56" t="s">
        <v>92</v>
      </c>
      <c r="K3470" s="56">
        <v>978</v>
      </c>
      <c r="L3470" s="55" t="s">
        <v>176</v>
      </c>
      <c r="M3470" s="55" t="s">
        <v>2824</v>
      </c>
      <c r="N3470" s="4" t="s">
        <v>177</v>
      </c>
      <c r="O3470" s="55" t="s">
        <v>178</v>
      </c>
    </row>
    <row r="3471" spans="2:15">
      <c r="B3471" s="20">
        <v>45509</v>
      </c>
      <c r="C3471" s="59">
        <v>50470190</v>
      </c>
      <c r="D3471" s="55" t="s">
        <v>12</v>
      </c>
      <c r="G3471" s="102">
        <v>1159200</v>
      </c>
      <c r="H3471" s="56" t="s">
        <v>92</v>
      </c>
      <c r="K3471" s="56">
        <v>978</v>
      </c>
      <c r="L3471" s="55" t="s">
        <v>176</v>
      </c>
      <c r="M3471" s="55" t="s">
        <v>2824</v>
      </c>
      <c r="N3471" s="4" t="s">
        <v>177</v>
      </c>
      <c r="O3471" s="55" t="s">
        <v>178</v>
      </c>
    </row>
    <row r="3472" spans="2:15">
      <c r="B3472" s="20">
        <v>45509</v>
      </c>
      <c r="C3472" s="59">
        <v>50400554</v>
      </c>
      <c r="D3472" s="55" t="s">
        <v>1311</v>
      </c>
      <c r="F3472" s="67">
        <v>24</v>
      </c>
      <c r="G3472" s="102">
        <v>92.16</v>
      </c>
      <c r="H3472" s="56" t="s">
        <v>80</v>
      </c>
      <c r="K3472" s="56">
        <v>979</v>
      </c>
      <c r="L3472" s="55" t="s">
        <v>392</v>
      </c>
      <c r="M3472" s="55" t="s">
        <v>392</v>
      </c>
      <c r="N3472" s="4" t="s">
        <v>2071</v>
      </c>
      <c r="O3472" s="55" t="s">
        <v>178</v>
      </c>
    </row>
    <row r="3473" spans="2:15">
      <c r="B3473" s="20">
        <v>45509</v>
      </c>
      <c r="C3473" s="59">
        <v>50400554</v>
      </c>
      <c r="D3473" s="55" t="s">
        <v>1311</v>
      </c>
      <c r="G3473" s="102">
        <v>11.52</v>
      </c>
      <c r="H3473" s="56" t="s">
        <v>80</v>
      </c>
      <c r="K3473" s="56">
        <v>980</v>
      </c>
      <c r="L3473" s="55" t="s">
        <v>2601</v>
      </c>
      <c r="M3473" s="55" t="s">
        <v>1791</v>
      </c>
      <c r="N3473" s="4" t="s">
        <v>1793</v>
      </c>
      <c r="O3473" s="55" t="s">
        <v>178</v>
      </c>
    </row>
    <row r="3474" spans="2:15">
      <c r="B3474" s="20">
        <v>45510</v>
      </c>
      <c r="C3474" s="59">
        <v>50145028</v>
      </c>
      <c r="D3474" s="55" t="s">
        <v>23</v>
      </c>
      <c r="G3474" s="102">
        <v>576</v>
      </c>
      <c r="H3474" s="56" t="s">
        <v>92</v>
      </c>
      <c r="K3474" s="56">
        <v>981</v>
      </c>
      <c r="L3474" s="55" t="s">
        <v>416</v>
      </c>
      <c r="M3474" s="55" t="s">
        <v>416</v>
      </c>
      <c r="N3474" s="4" t="s">
        <v>417</v>
      </c>
      <c r="O3474" s="55" t="s">
        <v>178</v>
      </c>
    </row>
    <row r="3475" spans="2:15">
      <c r="B3475" s="20">
        <v>45510</v>
      </c>
      <c r="C3475" s="59">
        <v>50144376</v>
      </c>
      <c r="D3475" s="55" t="s">
        <v>19</v>
      </c>
      <c r="G3475" s="102">
        <v>1750</v>
      </c>
      <c r="H3475" s="56" t="s">
        <v>92</v>
      </c>
      <c r="K3475" s="56">
        <v>981</v>
      </c>
      <c r="L3475" s="55" t="s">
        <v>416</v>
      </c>
      <c r="M3475" s="55" t="s">
        <v>416</v>
      </c>
      <c r="N3475" s="4" t="s">
        <v>417</v>
      </c>
      <c r="O3475" s="55" t="s">
        <v>178</v>
      </c>
    </row>
    <row r="3476" spans="2:15">
      <c r="B3476" s="20">
        <v>45510</v>
      </c>
      <c r="C3476" s="59">
        <v>50272278</v>
      </c>
      <c r="D3476" s="55" t="s">
        <v>21</v>
      </c>
      <c r="G3476" s="102">
        <v>1750</v>
      </c>
      <c r="H3476" s="56" t="s">
        <v>92</v>
      </c>
      <c r="K3476" s="56">
        <v>981</v>
      </c>
      <c r="L3476" s="55" t="s">
        <v>416</v>
      </c>
      <c r="M3476" s="55" t="s">
        <v>416</v>
      </c>
      <c r="N3476" s="4" t="s">
        <v>417</v>
      </c>
      <c r="O3476" s="55" t="s">
        <v>178</v>
      </c>
    </row>
    <row r="3477" spans="2:15">
      <c r="B3477" s="20">
        <v>45510</v>
      </c>
      <c r="C3477" s="59">
        <v>50400554</v>
      </c>
      <c r="D3477" s="55" t="s">
        <v>1311</v>
      </c>
      <c r="G3477" s="102">
        <v>92.16</v>
      </c>
      <c r="H3477" s="56" t="s">
        <v>80</v>
      </c>
      <c r="K3477" s="56">
        <v>982</v>
      </c>
      <c r="L3477" s="55" t="s">
        <v>392</v>
      </c>
      <c r="M3477" s="55" t="s">
        <v>2824</v>
      </c>
      <c r="N3477" s="4" t="s">
        <v>1273</v>
      </c>
      <c r="O3477" s="55" t="s">
        <v>178</v>
      </c>
    </row>
    <row r="3478" spans="2:15">
      <c r="B3478" s="20">
        <v>45510</v>
      </c>
      <c r="C3478" s="59">
        <v>50400554</v>
      </c>
      <c r="D3478" s="55" t="s">
        <v>1311</v>
      </c>
      <c r="G3478" s="102">
        <v>92.16</v>
      </c>
      <c r="H3478" s="56" t="s">
        <v>80</v>
      </c>
      <c r="K3478" s="56">
        <v>983</v>
      </c>
      <c r="L3478" s="55" t="s">
        <v>392</v>
      </c>
      <c r="M3478" s="55" t="s">
        <v>2824</v>
      </c>
      <c r="N3478" s="4" t="s">
        <v>1273</v>
      </c>
      <c r="O3478" s="55" t="s">
        <v>178</v>
      </c>
    </row>
    <row r="3479" spans="2:15">
      <c r="B3479" s="20">
        <v>45510</v>
      </c>
      <c r="C3479" s="59">
        <v>50400554</v>
      </c>
      <c r="D3479" s="55" t="s">
        <v>1311</v>
      </c>
      <c r="G3479" s="102">
        <v>107.52</v>
      </c>
      <c r="H3479" s="56" t="s">
        <v>80</v>
      </c>
      <c r="K3479" s="56">
        <v>984</v>
      </c>
      <c r="L3479" s="55" t="s">
        <v>392</v>
      </c>
      <c r="M3479" s="55" t="s">
        <v>2824</v>
      </c>
      <c r="N3479" s="4" t="s">
        <v>1273</v>
      </c>
      <c r="O3479" s="55" t="s">
        <v>178</v>
      </c>
    </row>
    <row r="3480" spans="2:15">
      <c r="B3480" s="20">
        <v>45510</v>
      </c>
      <c r="C3480" s="59">
        <v>50010080</v>
      </c>
      <c r="D3480" s="55" t="s">
        <v>354</v>
      </c>
      <c r="G3480" s="102">
        <v>7000</v>
      </c>
      <c r="H3480" s="56" t="s">
        <v>82</v>
      </c>
      <c r="K3480" s="56">
        <v>985</v>
      </c>
      <c r="L3480" s="55" t="s">
        <v>326</v>
      </c>
      <c r="M3480" s="55" t="s">
        <v>2824</v>
      </c>
      <c r="N3480" s="4" t="s">
        <v>327</v>
      </c>
      <c r="O3480" s="55" t="s">
        <v>178</v>
      </c>
    </row>
    <row r="3481" spans="2:15">
      <c r="B3481" s="20">
        <v>45510</v>
      </c>
      <c r="C3481" s="59">
        <v>40009546</v>
      </c>
      <c r="D3481" s="55" t="s">
        <v>174</v>
      </c>
      <c r="G3481" s="102">
        <v>3456</v>
      </c>
      <c r="H3481" s="56" t="s">
        <v>80</v>
      </c>
      <c r="K3481" s="56">
        <v>985</v>
      </c>
      <c r="L3481" s="55" t="s">
        <v>326</v>
      </c>
      <c r="M3481" s="55" t="s">
        <v>2824</v>
      </c>
      <c r="N3481" s="4" t="s">
        <v>327</v>
      </c>
      <c r="O3481" s="55" t="s">
        <v>178</v>
      </c>
    </row>
    <row r="3482" spans="2:15">
      <c r="B3482" s="20">
        <v>45510</v>
      </c>
      <c r="C3482" s="59">
        <v>50804929</v>
      </c>
      <c r="D3482" s="55" t="s">
        <v>856</v>
      </c>
      <c r="E3482" s="67">
        <v>504000</v>
      </c>
      <c r="G3482" s="102">
        <v>504000</v>
      </c>
      <c r="H3482" s="56" t="s">
        <v>92</v>
      </c>
      <c r="K3482" s="56">
        <v>985</v>
      </c>
      <c r="L3482" s="55" t="s">
        <v>326</v>
      </c>
      <c r="M3482" s="55" t="s">
        <v>2824</v>
      </c>
      <c r="N3482" s="4" t="s">
        <v>327</v>
      </c>
      <c r="O3482" s="55" t="s">
        <v>178</v>
      </c>
    </row>
    <row r="3483" spans="2:15">
      <c r="B3483" s="20">
        <v>45510</v>
      </c>
      <c r="C3483" s="59">
        <v>50142281</v>
      </c>
      <c r="D3483" s="55" t="s">
        <v>204</v>
      </c>
      <c r="G3483" s="102">
        <v>450</v>
      </c>
      <c r="H3483" s="56" t="s">
        <v>82</v>
      </c>
      <c r="K3483" s="56">
        <v>985</v>
      </c>
      <c r="L3483" s="55" t="s">
        <v>326</v>
      </c>
      <c r="M3483" s="55" t="s">
        <v>2824</v>
      </c>
      <c r="N3483" s="4" t="s">
        <v>327</v>
      </c>
      <c r="O3483" s="55" t="s">
        <v>178</v>
      </c>
    </row>
    <row r="3484" spans="2:15">
      <c r="B3484" s="20">
        <v>45510</v>
      </c>
      <c r="C3484" s="59">
        <v>40011148</v>
      </c>
      <c r="D3484" s="55" t="s">
        <v>86</v>
      </c>
      <c r="G3484" s="102">
        <v>450</v>
      </c>
      <c r="H3484" s="56" t="s">
        <v>80</v>
      </c>
      <c r="K3484" s="56">
        <v>985</v>
      </c>
      <c r="L3484" s="55" t="s">
        <v>326</v>
      </c>
      <c r="M3484" s="55" t="s">
        <v>2824</v>
      </c>
      <c r="N3484" s="4" t="s">
        <v>327</v>
      </c>
      <c r="O3484" s="55" t="s">
        <v>178</v>
      </c>
    </row>
    <row r="3485" spans="2:15">
      <c r="B3485" s="20">
        <v>45510</v>
      </c>
      <c r="C3485" s="59">
        <v>50145187</v>
      </c>
      <c r="D3485" s="55" t="s">
        <v>465</v>
      </c>
      <c r="G3485" s="102">
        <v>528000</v>
      </c>
      <c r="H3485" s="56" t="s">
        <v>92</v>
      </c>
      <c r="K3485" s="56">
        <v>985</v>
      </c>
      <c r="L3485" s="55" t="s">
        <v>326</v>
      </c>
      <c r="M3485" s="55" t="s">
        <v>2824</v>
      </c>
      <c r="N3485" s="4" t="s">
        <v>327</v>
      </c>
      <c r="O3485" s="55" t="s">
        <v>178</v>
      </c>
    </row>
    <row r="3486" spans="2:15">
      <c r="B3486" s="20">
        <v>45510</v>
      </c>
      <c r="C3486" s="59">
        <v>50337814</v>
      </c>
      <c r="D3486" s="55" t="s">
        <v>669</v>
      </c>
      <c r="G3486" s="102">
        <v>528</v>
      </c>
      <c r="H3486" s="56" t="s">
        <v>80</v>
      </c>
      <c r="K3486" s="56">
        <v>985</v>
      </c>
      <c r="L3486" s="55" t="s">
        <v>326</v>
      </c>
      <c r="M3486" s="55" t="s">
        <v>2824</v>
      </c>
      <c r="N3486" s="4" t="s">
        <v>327</v>
      </c>
      <c r="O3486" s="55" t="s">
        <v>178</v>
      </c>
    </row>
    <row r="3487" spans="2:15">
      <c r="B3487" s="20">
        <v>45511</v>
      </c>
      <c r="C3487" s="59">
        <v>50400554</v>
      </c>
      <c r="D3487" s="55" t="s">
        <v>1311</v>
      </c>
      <c r="G3487" s="102">
        <v>107.52</v>
      </c>
      <c r="H3487" s="56" t="s">
        <v>80</v>
      </c>
      <c r="K3487" s="56">
        <v>986</v>
      </c>
      <c r="L3487" s="55" t="s">
        <v>392</v>
      </c>
      <c r="M3487" s="55" t="s">
        <v>392</v>
      </c>
      <c r="N3487" s="4" t="s">
        <v>2852</v>
      </c>
      <c r="O3487" s="55" t="s">
        <v>178</v>
      </c>
    </row>
    <row r="3488" spans="2:15">
      <c r="B3488" s="20">
        <v>45511</v>
      </c>
      <c r="C3488" s="59">
        <v>50145028</v>
      </c>
      <c r="D3488" s="55" t="s">
        <v>23</v>
      </c>
      <c r="G3488" s="102">
        <v>1728</v>
      </c>
      <c r="H3488" s="56" t="s">
        <v>92</v>
      </c>
      <c r="K3488" s="56">
        <v>987</v>
      </c>
      <c r="L3488" s="55" t="s">
        <v>392</v>
      </c>
      <c r="M3488" s="55" t="s">
        <v>392</v>
      </c>
      <c r="N3488" s="4" t="s">
        <v>2071</v>
      </c>
      <c r="O3488" s="55" t="s">
        <v>178</v>
      </c>
    </row>
    <row r="3489" spans="2:15">
      <c r="B3489" s="20">
        <v>45511</v>
      </c>
      <c r="C3489" s="59">
        <v>50144376</v>
      </c>
      <c r="D3489" s="55" t="s">
        <v>19</v>
      </c>
      <c r="G3489" s="102">
        <v>2500</v>
      </c>
      <c r="H3489" s="56" t="s">
        <v>92</v>
      </c>
      <c r="K3489" s="56">
        <v>987</v>
      </c>
      <c r="L3489" s="55" t="s">
        <v>392</v>
      </c>
      <c r="M3489" s="55" t="s">
        <v>392</v>
      </c>
      <c r="N3489" s="4" t="s">
        <v>2071</v>
      </c>
      <c r="O3489" s="55" t="s">
        <v>178</v>
      </c>
    </row>
    <row r="3490" spans="2:15">
      <c r="B3490" s="20">
        <v>45511</v>
      </c>
      <c r="C3490" s="59">
        <v>50272278</v>
      </c>
      <c r="D3490" s="55" t="s">
        <v>21</v>
      </c>
      <c r="G3490" s="102">
        <v>1750</v>
      </c>
      <c r="H3490" s="56" t="s">
        <v>92</v>
      </c>
      <c r="K3490" s="56">
        <v>987</v>
      </c>
      <c r="L3490" s="55" t="s">
        <v>392</v>
      </c>
      <c r="M3490" s="55" t="s">
        <v>392</v>
      </c>
      <c r="N3490" s="4" t="s">
        <v>2071</v>
      </c>
      <c r="O3490" s="55" t="s">
        <v>178</v>
      </c>
    </row>
    <row r="3491" spans="2:15">
      <c r="B3491" s="20">
        <v>45511</v>
      </c>
      <c r="C3491" s="59">
        <v>50142237</v>
      </c>
      <c r="D3491" s="55" t="s">
        <v>617</v>
      </c>
      <c r="G3491" s="102">
        <v>6000</v>
      </c>
      <c r="H3491" s="56" t="s">
        <v>92</v>
      </c>
      <c r="K3491" s="56">
        <v>987</v>
      </c>
      <c r="L3491" s="55" t="s">
        <v>392</v>
      </c>
      <c r="M3491" s="55" t="s">
        <v>392</v>
      </c>
      <c r="N3491" s="4" t="s">
        <v>2071</v>
      </c>
      <c r="O3491" s="55" t="s">
        <v>178</v>
      </c>
    </row>
    <row r="3492" spans="2:15">
      <c r="B3492" s="20">
        <v>45511</v>
      </c>
      <c r="C3492" s="59">
        <v>50400554</v>
      </c>
      <c r="D3492" s="55" t="s">
        <v>1311</v>
      </c>
      <c r="G3492" s="102">
        <v>107.52</v>
      </c>
      <c r="H3492" s="56" t="s">
        <v>80</v>
      </c>
      <c r="K3492" s="56">
        <v>988</v>
      </c>
      <c r="L3492" s="55" t="s">
        <v>392</v>
      </c>
      <c r="M3492" s="55" t="s">
        <v>392</v>
      </c>
      <c r="N3492" s="4" t="s">
        <v>1273</v>
      </c>
      <c r="O3492" s="55" t="s">
        <v>178</v>
      </c>
    </row>
    <row r="3493" spans="2:15">
      <c r="B3493" s="20">
        <v>45511</v>
      </c>
      <c r="C3493" s="59">
        <v>50400554</v>
      </c>
      <c r="D3493" s="55" t="s">
        <v>1311</v>
      </c>
      <c r="G3493" s="102">
        <v>107.52</v>
      </c>
      <c r="H3493" s="56" t="s">
        <v>80</v>
      </c>
      <c r="K3493" s="56">
        <v>989</v>
      </c>
      <c r="L3493" s="55" t="s">
        <v>392</v>
      </c>
      <c r="M3493" s="55" t="s">
        <v>392</v>
      </c>
      <c r="N3493" s="4" t="s">
        <v>2071</v>
      </c>
      <c r="O3493" s="55" t="s">
        <v>178</v>
      </c>
    </row>
    <row r="3494" spans="2:15">
      <c r="B3494" s="20">
        <v>45512</v>
      </c>
      <c r="C3494" s="59">
        <v>50144376</v>
      </c>
      <c r="D3494" s="55" t="s">
        <v>19</v>
      </c>
      <c r="G3494" s="102">
        <v>5500</v>
      </c>
      <c r="H3494" s="56" t="s">
        <v>92</v>
      </c>
      <c r="K3494" s="56">
        <v>990</v>
      </c>
      <c r="L3494" s="55" t="s">
        <v>176</v>
      </c>
      <c r="M3494" s="55" t="s">
        <v>2824</v>
      </c>
      <c r="N3494" s="4" t="s">
        <v>177</v>
      </c>
      <c r="O3494" s="55" t="s">
        <v>178</v>
      </c>
    </row>
    <row r="3495" spans="2:15">
      <c r="B3495" s="20">
        <v>45512</v>
      </c>
      <c r="C3495" s="59">
        <v>50272278</v>
      </c>
      <c r="D3495" s="55" t="s">
        <v>21</v>
      </c>
      <c r="G3495" s="102">
        <v>5000</v>
      </c>
      <c r="H3495" s="56" t="s">
        <v>92</v>
      </c>
      <c r="K3495" s="56">
        <v>990</v>
      </c>
      <c r="L3495" s="55" t="s">
        <v>176</v>
      </c>
      <c r="M3495" s="55" t="s">
        <v>2824</v>
      </c>
      <c r="N3495" s="4" t="s">
        <v>177</v>
      </c>
      <c r="O3495" s="55" t="s">
        <v>178</v>
      </c>
    </row>
    <row r="3496" spans="2:15">
      <c r="B3496" s="20">
        <v>45512</v>
      </c>
      <c r="C3496" s="59">
        <v>40499</v>
      </c>
      <c r="D3496" s="55" t="s">
        <v>1094</v>
      </c>
      <c r="G3496" s="102">
        <v>42</v>
      </c>
      <c r="H3496" s="56" t="s">
        <v>92</v>
      </c>
      <c r="K3496" s="56">
        <v>990</v>
      </c>
      <c r="L3496" s="55" t="s">
        <v>176</v>
      </c>
      <c r="M3496" s="55" t="s">
        <v>2824</v>
      </c>
      <c r="N3496" s="4" t="s">
        <v>177</v>
      </c>
      <c r="O3496" s="55" t="s">
        <v>178</v>
      </c>
    </row>
    <row r="3497" spans="2:15">
      <c r="B3497" s="20">
        <v>45512</v>
      </c>
      <c r="C3497" s="59">
        <v>50400554</v>
      </c>
      <c r="D3497" s="55" t="s">
        <v>1311</v>
      </c>
      <c r="G3497" s="102">
        <v>107.52</v>
      </c>
      <c r="H3497" s="56" t="s">
        <v>80</v>
      </c>
      <c r="K3497" s="56">
        <v>991</v>
      </c>
      <c r="L3497" s="55" t="s">
        <v>392</v>
      </c>
      <c r="M3497" s="55" t="s">
        <v>392</v>
      </c>
      <c r="N3497" s="4" t="s">
        <v>1273</v>
      </c>
      <c r="O3497" s="55" t="s">
        <v>178</v>
      </c>
    </row>
    <row r="3498" spans="2:15">
      <c r="B3498" s="20">
        <v>45512</v>
      </c>
      <c r="C3498" s="59">
        <v>50400554</v>
      </c>
      <c r="D3498" s="55" t="s">
        <v>1311</v>
      </c>
      <c r="G3498" s="102">
        <v>107.52</v>
      </c>
      <c r="H3498" s="56" t="s">
        <v>80</v>
      </c>
      <c r="K3498" s="56">
        <v>992</v>
      </c>
      <c r="L3498" s="55" t="s">
        <v>392</v>
      </c>
      <c r="M3498" s="55" t="s">
        <v>392</v>
      </c>
      <c r="N3498" s="4" t="s">
        <v>2852</v>
      </c>
      <c r="O3498" s="55" t="s">
        <v>178</v>
      </c>
    </row>
    <row r="3499" spans="2:15">
      <c r="B3499" s="20">
        <v>45512</v>
      </c>
      <c r="C3499" s="59">
        <v>50813995</v>
      </c>
      <c r="D3499" s="55" t="s">
        <v>960</v>
      </c>
      <c r="G3499" s="102">
        <v>3436.9</v>
      </c>
      <c r="H3499" s="56" t="s">
        <v>82</v>
      </c>
      <c r="K3499" s="56">
        <v>993</v>
      </c>
      <c r="L3499" s="55" t="s">
        <v>176</v>
      </c>
      <c r="M3499" s="55" t="s">
        <v>2824</v>
      </c>
      <c r="N3499" s="4" t="s">
        <v>177</v>
      </c>
      <c r="O3499" s="55" t="s">
        <v>178</v>
      </c>
    </row>
    <row r="3500" spans="2:15">
      <c r="B3500" s="20">
        <v>45512</v>
      </c>
      <c r="C3500" s="59">
        <v>40011148</v>
      </c>
      <c r="D3500" s="55" t="s">
        <v>86</v>
      </c>
      <c r="G3500" s="102">
        <v>450</v>
      </c>
      <c r="H3500" s="56" t="s">
        <v>80</v>
      </c>
      <c r="K3500" s="56">
        <v>993</v>
      </c>
      <c r="L3500" s="55" t="s">
        <v>176</v>
      </c>
      <c r="M3500" s="55" t="s">
        <v>2824</v>
      </c>
      <c r="N3500" s="4" t="s">
        <v>177</v>
      </c>
      <c r="O3500" s="55" t="s">
        <v>178</v>
      </c>
    </row>
    <row r="3501" spans="2:15">
      <c r="B3501" s="20">
        <v>45512</v>
      </c>
      <c r="C3501" s="59">
        <v>50145187</v>
      </c>
      <c r="D3501" s="55" t="s">
        <v>465</v>
      </c>
      <c r="G3501" s="102">
        <v>528000</v>
      </c>
      <c r="H3501" s="56" t="s">
        <v>92</v>
      </c>
      <c r="K3501" s="56">
        <v>993</v>
      </c>
      <c r="L3501" s="55" t="s">
        <v>176</v>
      </c>
      <c r="M3501" s="55" t="s">
        <v>2824</v>
      </c>
      <c r="N3501" s="4" t="s">
        <v>177</v>
      </c>
      <c r="O3501" s="55" t="s">
        <v>178</v>
      </c>
    </row>
    <row r="3502" spans="2:15">
      <c r="B3502" s="20">
        <v>45512</v>
      </c>
      <c r="C3502" s="59">
        <v>50337814</v>
      </c>
      <c r="D3502" s="55" t="s">
        <v>669</v>
      </c>
      <c r="G3502" s="102">
        <v>528</v>
      </c>
      <c r="H3502" s="56" t="s">
        <v>80</v>
      </c>
      <c r="K3502" s="56">
        <v>993</v>
      </c>
      <c r="L3502" s="55" t="s">
        <v>176</v>
      </c>
      <c r="M3502" s="55" t="s">
        <v>2824</v>
      </c>
      <c r="N3502" s="4" t="s">
        <v>177</v>
      </c>
      <c r="O3502" s="55" t="s">
        <v>178</v>
      </c>
    </row>
    <row r="3503" spans="2:15">
      <c r="B3503" s="20">
        <v>45512</v>
      </c>
      <c r="C3503" s="59">
        <v>50470190</v>
      </c>
      <c r="D3503" s="55" t="s">
        <v>12</v>
      </c>
      <c r="G3503" s="102">
        <v>2318400</v>
      </c>
      <c r="H3503" s="56" t="s">
        <v>92</v>
      </c>
      <c r="K3503" s="56">
        <v>993</v>
      </c>
      <c r="L3503" s="55" t="s">
        <v>176</v>
      </c>
      <c r="M3503" s="55" t="s">
        <v>2824</v>
      </c>
      <c r="N3503" s="4" t="s">
        <v>177</v>
      </c>
      <c r="O3503" s="55" t="s">
        <v>178</v>
      </c>
    </row>
    <row r="3504" spans="2:15">
      <c r="B3504" s="20">
        <v>45513</v>
      </c>
      <c r="C3504" s="59">
        <v>50144376</v>
      </c>
      <c r="D3504" s="55" t="s">
        <v>19</v>
      </c>
      <c r="G3504" s="102">
        <v>2950</v>
      </c>
      <c r="H3504" s="56" t="s">
        <v>92</v>
      </c>
      <c r="K3504" s="56">
        <v>994</v>
      </c>
      <c r="L3504" s="55" t="s">
        <v>176</v>
      </c>
      <c r="M3504" s="55" t="s">
        <v>2824</v>
      </c>
      <c r="N3504" s="4" t="s">
        <v>177</v>
      </c>
      <c r="O3504" s="55" t="s">
        <v>178</v>
      </c>
    </row>
    <row r="3505" spans="2:15">
      <c r="B3505" s="20">
        <v>45513</v>
      </c>
      <c r="C3505" s="59">
        <v>40499</v>
      </c>
      <c r="D3505" s="55" t="s">
        <v>1094</v>
      </c>
      <c r="G3505" s="102">
        <v>9</v>
      </c>
      <c r="H3505" s="56" t="s">
        <v>92</v>
      </c>
      <c r="K3505" s="56">
        <v>994</v>
      </c>
      <c r="L3505" s="55" t="s">
        <v>176</v>
      </c>
      <c r="M3505" s="55" t="s">
        <v>2824</v>
      </c>
      <c r="N3505" s="4" t="s">
        <v>177</v>
      </c>
      <c r="O3505" s="55" t="s">
        <v>178</v>
      </c>
    </row>
    <row r="3506" spans="2:15">
      <c r="B3506" s="20">
        <v>45513</v>
      </c>
      <c r="C3506" s="59">
        <v>50802401</v>
      </c>
      <c r="D3506" s="55" t="s">
        <v>13</v>
      </c>
      <c r="G3506" s="102">
        <v>3477600</v>
      </c>
      <c r="H3506" s="56" t="s">
        <v>92</v>
      </c>
      <c r="K3506" s="56">
        <v>994</v>
      </c>
      <c r="L3506" s="55" t="s">
        <v>176</v>
      </c>
      <c r="M3506" s="55" t="s">
        <v>2824</v>
      </c>
      <c r="N3506" s="4" t="s">
        <v>177</v>
      </c>
      <c r="O3506" s="55" t="s">
        <v>178</v>
      </c>
    </row>
    <row r="3507" spans="2:15">
      <c r="B3507" s="20">
        <v>45513</v>
      </c>
      <c r="C3507" s="59">
        <v>50400554</v>
      </c>
      <c r="D3507" s="55" t="s">
        <v>1311</v>
      </c>
      <c r="G3507" s="102">
        <v>107.52</v>
      </c>
      <c r="H3507" s="56" t="s">
        <v>80</v>
      </c>
      <c r="K3507" s="56">
        <v>995</v>
      </c>
      <c r="L3507" s="55" t="s">
        <v>392</v>
      </c>
      <c r="M3507" s="55" t="s">
        <v>392</v>
      </c>
      <c r="N3507" s="4" t="s">
        <v>2071</v>
      </c>
      <c r="O3507" s="55" t="s">
        <v>178</v>
      </c>
    </row>
    <row r="3508" spans="2:15">
      <c r="B3508" s="20">
        <v>45513</v>
      </c>
      <c r="C3508" s="59">
        <v>50400554</v>
      </c>
      <c r="D3508" s="55" t="s">
        <v>1311</v>
      </c>
      <c r="G3508" s="102">
        <v>107.52</v>
      </c>
      <c r="H3508" s="56" t="s">
        <v>80</v>
      </c>
      <c r="K3508" s="56">
        <v>996</v>
      </c>
      <c r="L3508" s="55" t="s">
        <v>392</v>
      </c>
      <c r="M3508" s="55" t="s">
        <v>392</v>
      </c>
      <c r="N3508" s="4" t="s">
        <v>2852</v>
      </c>
      <c r="O3508" s="55" t="s">
        <v>178</v>
      </c>
    </row>
    <row r="3509" spans="2:15">
      <c r="B3509" s="20">
        <v>45513</v>
      </c>
      <c r="C3509" s="59">
        <v>50804929</v>
      </c>
      <c r="D3509" s="55" t="s">
        <v>856</v>
      </c>
      <c r="E3509" s="67">
        <v>504000</v>
      </c>
      <c r="G3509" s="102">
        <v>504000</v>
      </c>
      <c r="H3509" s="56" t="s">
        <v>92</v>
      </c>
      <c r="K3509" s="56">
        <v>997</v>
      </c>
      <c r="L3509" s="55" t="s">
        <v>326</v>
      </c>
      <c r="M3509" s="55" t="s">
        <v>2824</v>
      </c>
      <c r="N3509" s="4" t="s">
        <v>239</v>
      </c>
      <c r="O3509" s="55" t="s">
        <v>178</v>
      </c>
    </row>
    <row r="3510" spans="2:15">
      <c r="B3510" s="20">
        <v>45513</v>
      </c>
      <c r="C3510" s="59">
        <v>50809147</v>
      </c>
      <c r="D3510" s="55" t="s">
        <v>930</v>
      </c>
      <c r="G3510" s="102">
        <v>2677.1</v>
      </c>
      <c r="H3510" s="56" t="s">
        <v>82</v>
      </c>
      <c r="K3510" s="56">
        <v>997</v>
      </c>
      <c r="L3510" s="55" t="s">
        <v>326</v>
      </c>
      <c r="M3510" s="55" t="s">
        <v>2824</v>
      </c>
      <c r="N3510" s="4" t="s">
        <v>239</v>
      </c>
      <c r="O3510" s="55" t="s">
        <v>178</v>
      </c>
    </row>
    <row r="3511" spans="2:15">
      <c r="B3511" s="20">
        <v>45513</v>
      </c>
      <c r="C3511" s="59">
        <v>50272278</v>
      </c>
      <c r="D3511" s="55" t="s">
        <v>21</v>
      </c>
      <c r="G3511" s="102">
        <v>4500</v>
      </c>
      <c r="H3511" s="56" t="s">
        <v>92</v>
      </c>
      <c r="K3511" s="56">
        <v>997</v>
      </c>
      <c r="L3511" s="55" t="s">
        <v>326</v>
      </c>
      <c r="M3511" s="55" t="s">
        <v>2824</v>
      </c>
      <c r="N3511" s="4" t="s">
        <v>239</v>
      </c>
      <c r="O3511" s="55" t="s">
        <v>178</v>
      </c>
    </row>
    <row r="3512" spans="2:15">
      <c r="B3512" s="20">
        <v>45513</v>
      </c>
      <c r="C3512" s="59">
        <v>40499</v>
      </c>
      <c r="D3512" s="55" t="s">
        <v>1094</v>
      </c>
      <c r="G3512" s="102">
        <v>32</v>
      </c>
      <c r="H3512" s="56" t="s">
        <v>92</v>
      </c>
      <c r="K3512" s="56">
        <v>997</v>
      </c>
      <c r="L3512" s="55" t="s">
        <v>326</v>
      </c>
      <c r="M3512" s="55" t="s">
        <v>2824</v>
      </c>
      <c r="N3512" s="4" t="s">
        <v>239</v>
      </c>
      <c r="O3512" s="55" t="s">
        <v>178</v>
      </c>
    </row>
    <row r="3513" spans="2:15">
      <c r="B3513" s="20">
        <v>45513</v>
      </c>
      <c r="C3513" s="59">
        <v>50142327</v>
      </c>
      <c r="D3513" s="55" t="s">
        <v>256</v>
      </c>
      <c r="F3513" s="67">
        <f>+G3513/476.7</f>
        <v>2</v>
      </c>
      <c r="G3513" s="102">
        <v>953.4</v>
      </c>
      <c r="H3513" s="56" t="s">
        <v>82</v>
      </c>
      <c r="K3513" s="56">
        <v>997</v>
      </c>
      <c r="L3513" s="55" t="s">
        <v>326</v>
      </c>
      <c r="M3513" s="55" t="s">
        <v>2824</v>
      </c>
      <c r="N3513" s="4" t="s">
        <v>239</v>
      </c>
      <c r="O3513" s="55" t="s">
        <v>178</v>
      </c>
    </row>
    <row r="3514" spans="2:15">
      <c r="B3514" s="20">
        <v>45513</v>
      </c>
      <c r="C3514" s="59">
        <v>50142334</v>
      </c>
      <c r="D3514" s="55" t="s">
        <v>257</v>
      </c>
      <c r="G3514" s="102">
        <v>1430.1</v>
      </c>
      <c r="H3514" s="56" t="s">
        <v>82</v>
      </c>
      <c r="K3514" s="56">
        <v>997</v>
      </c>
      <c r="L3514" s="55" t="s">
        <v>326</v>
      </c>
      <c r="M3514" s="55" t="s">
        <v>2824</v>
      </c>
      <c r="N3514" s="4" t="s">
        <v>239</v>
      </c>
      <c r="O3514" s="55" t="s">
        <v>178</v>
      </c>
    </row>
    <row r="3515" spans="2:15">
      <c r="B3515" s="20">
        <v>45513</v>
      </c>
      <c r="C3515" s="59">
        <v>50400554</v>
      </c>
      <c r="D3515" s="55" t="s">
        <v>1311</v>
      </c>
      <c r="G3515" s="102">
        <v>107.52</v>
      </c>
      <c r="H3515" s="56" t="s">
        <v>80</v>
      </c>
      <c r="K3515" s="56">
        <v>998</v>
      </c>
      <c r="L3515" s="55" t="s">
        <v>392</v>
      </c>
      <c r="M3515" s="55" t="s">
        <v>392</v>
      </c>
      <c r="N3515" s="4" t="s">
        <v>2852</v>
      </c>
      <c r="O3515" s="55" t="s">
        <v>178</v>
      </c>
    </row>
    <row r="3516" spans="2:15">
      <c r="B3516" s="20">
        <v>45514</v>
      </c>
      <c r="C3516" s="59">
        <v>50400554</v>
      </c>
      <c r="D3516" s="55" t="s">
        <v>1311</v>
      </c>
      <c r="G3516" s="102">
        <v>80.64</v>
      </c>
      <c r="H3516" s="56" t="s">
        <v>80</v>
      </c>
      <c r="K3516" s="56">
        <v>999</v>
      </c>
      <c r="L3516" s="55" t="s">
        <v>2601</v>
      </c>
      <c r="M3516" s="55" t="s">
        <v>392</v>
      </c>
      <c r="N3516" s="4" t="s">
        <v>1793</v>
      </c>
      <c r="O3516" s="55" t="s">
        <v>178</v>
      </c>
    </row>
    <row r="3517" spans="2:15">
      <c r="B3517" s="20">
        <v>45514</v>
      </c>
      <c r="C3517" s="59">
        <v>50400554</v>
      </c>
      <c r="D3517" s="55" t="s">
        <v>1311</v>
      </c>
      <c r="G3517" s="102">
        <v>76.8</v>
      </c>
      <c r="H3517" s="56" t="s">
        <v>80</v>
      </c>
      <c r="K3517" s="56">
        <v>1000</v>
      </c>
      <c r="L3517" s="55" t="s">
        <v>2601</v>
      </c>
      <c r="M3517" s="55" t="s">
        <v>392</v>
      </c>
      <c r="N3517" s="4" t="s">
        <v>1793</v>
      </c>
      <c r="O3517" s="55" t="s">
        <v>178</v>
      </c>
    </row>
    <row r="3518" spans="2:15">
      <c r="B3518" s="20">
        <v>45516</v>
      </c>
      <c r="C3518" s="59">
        <v>50142237</v>
      </c>
      <c r="D3518" s="55" t="s">
        <v>617</v>
      </c>
      <c r="G3518" s="102">
        <v>3000</v>
      </c>
      <c r="H3518" s="56" t="s">
        <v>92</v>
      </c>
      <c r="K3518" s="56">
        <v>1001</v>
      </c>
      <c r="L3518" s="55" t="s">
        <v>2601</v>
      </c>
      <c r="M3518" s="55" t="s">
        <v>2824</v>
      </c>
      <c r="N3518" s="4" t="s">
        <v>1793</v>
      </c>
      <c r="O3518" s="55" t="s">
        <v>178</v>
      </c>
    </row>
    <row r="3519" spans="2:15">
      <c r="B3519" s="20">
        <v>45516</v>
      </c>
      <c r="C3519" s="59">
        <v>50142237</v>
      </c>
      <c r="D3519" s="55" t="s">
        <v>617</v>
      </c>
      <c r="G3519" s="102">
        <v>7000</v>
      </c>
      <c r="H3519" s="56" t="s">
        <v>92</v>
      </c>
      <c r="K3519" s="56">
        <v>1002</v>
      </c>
      <c r="L3519" s="55" t="s">
        <v>326</v>
      </c>
      <c r="M3519" s="55" t="s">
        <v>2824</v>
      </c>
      <c r="N3519" s="4" t="s">
        <v>327</v>
      </c>
      <c r="O3519" s="55" t="s">
        <v>178</v>
      </c>
    </row>
    <row r="3520" spans="2:15">
      <c r="B3520" s="20">
        <v>45516</v>
      </c>
      <c r="C3520" s="59">
        <v>50552275</v>
      </c>
      <c r="D3520" s="55" t="s">
        <v>1187</v>
      </c>
      <c r="G3520" s="102">
        <v>512000</v>
      </c>
      <c r="H3520" s="56" t="s">
        <v>92</v>
      </c>
      <c r="K3520" s="56">
        <v>1002</v>
      </c>
      <c r="L3520" s="55" t="s">
        <v>326</v>
      </c>
      <c r="M3520" s="55" t="s">
        <v>2824</v>
      </c>
      <c r="N3520" s="4" t="s">
        <v>327</v>
      </c>
      <c r="O3520" s="55" t="s">
        <v>178</v>
      </c>
    </row>
    <row r="3521" spans="2:15">
      <c r="B3521" s="20">
        <v>45516</v>
      </c>
      <c r="C3521" s="59">
        <v>50552276</v>
      </c>
      <c r="D3521" s="55" t="s">
        <v>1192</v>
      </c>
      <c r="G3521" s="102">
        <v>512000</v>
      </c>
      <c r="H3521" s="56" t="s">
        <v>92</v>
      </c>
      <c r="K3521" s="56">
        <v>1002</v>
      </c>
      <c r="L3521" s="55" t="s">
        <v>326</v>
      </c>
      <c r="M3521" s="55" t="s">
        <v>2824</v>
      </c>
      <c r="N3521" s="4" t="s">
        <v>327</v>
      </c>
      <c r="O3521" s="55" t="s">
        <v>178</v>
      </c>
    </row>
    <row r="3522" spans="2:15">
      <c r="B3522" s="20">
        <v>45516</v>
      </c>
      <c r="C3522" s="59">
        <v>50515224</v>
      </c>
      <c r="D3522" s="55" t="s">
        <v>186</v>
      </c>
      <c r="G3522" s="102">
        <v>264000</v>
      </c>
      <c r="H3522" s="56" t="s">
        <v>92</v>
      </c>
      <c r="K3522" s="56">
        <v>1002</v>
      </c>
      <c r="L3522" s="55" t="s">
        <v>326</v>
      </c>
      <c r="M3522" s="55" t="s">
        <v>2824</v>
      </c>
      <c r="N3522" s="4" t="s">
        <v>327</v>
      </c>
      <c r="O3522" s="55" t="s">
        <v>178</v>
      </c>
    </row>
    <row r="3523" spans="2:15">
      <c r="B3523" s="20">
        <v>45516</v>
      </c>
      <c r="C3523" s="59">
        <v>50397884</v>
      </c>
      <c r="D3523" s="55" t="s">
        <v>1296</v>
      </c>
      <c r="G3523" s="102">
        <v>2475</v>
      </c>
      <c r="H3523" s="56" t="s">
        <v>80</v>
      </c>
      <c r="K3523" s="56">
        <v>1002</v>
      </c>
      <c r="L3523" s="55" t="s">
        <v>326</v>
      </c>
      <c r="M3523" s="55" t="s">
        <v>2824</v>
      </c>
      <c r="N3523" s="4" t="s">
        <v>327</v>
      </c>
      <c r="O3523" s="55" t="s">
        <v>178</v>
      </c>
    </row>
    <row r="3524" spans="2:15">
      <c r="B3524" s="20">
        <v>45516</v>
      </c>
      <c r="C3524" s="59">
        <v>50472692</v>
      </c>
      <c r="D3524" s="55" t="s">
        <v>1304</v>
      </c>
      <c r="G3524" s="102">
        <v>2223</v>
      </c>
      <c r="H3524" s="56" t="s">
        <v>80</v>
      </c>
      <c r="K3524" s="56">
        <v>1002</v>
      </c>
      <c r="L3524" s="55" t="s">
        <v>326</v>
      </c>
      <c r="M3524" s="55" t="s">
        <v>2824</v>
      </c>
      <c r="N3524" s="4" t="s">
        <v>327</v>
      </c>
      <c r="O3524" s="55" t="s">
        <v>178</v>
      </c>
    </row>
    <row r="3525" spans="2:15">
      <c r="B3525" s="20">
        <v>45516</v>
      </c>
      <c r="C3525" s="59">
        <v>50472696</v>
      </c>
      <c r="D3525" s="55" t="s">
        <v>1308</v>
      </c>
      <c r="G3525" s="102">
        <v>945</v>
      </c>
      <c r="H3525" s="56" t="s">
        <v>80</v>
      </c>
      <c r="K3525" s="56">
        <v>1002</v>
      </c>
      <c r="L3525" s="55" t="s">
        <v>326</v>
      </c>
      <c r="M3525" s="55" t="s">
        <v>2824</v>
      </c>
      <c r="N3525" s="4" t="s">
        <v>327</v>
      </c>
      <c r="O3525" s="55" t="s">
        <v>178</v>
      </c>
    </row>
    <row r="3526" spans="2:15">
      <c r="B3526" s="20">
        <v>45516</v>
      </c>
      <c r="C3526" s="59">
        <v>50809147</v>
      </c>
      <c r="D3526" s="55" t="s">
        <v>930</v>
      </c>
      <c r="G3526" s="102">
        <v>530.5</v>
      </c>
      <c r="H3526" s="56" t="s">
        <v>82</v>
      </c>
      <c r="K3526" s="56">
        <v>1003</v>
      </c>
      <c r="L3526" s="55" t="s">
        <v>176</v>
      </c>
      <c r="M3526" s="55" t="s">
        <v>2824</v>
      </c>
      <c r="N3526" s="4" t="s">
        <v>177</v>
      </c>
      <c r="O3526" s="55" t="s">
        <v>178</v>
      </c>
    </row>
    <row r="3527" spans="2:15">
      <c r="B3527" s="20">
        <v>45516</v>
      </c>
      <c r="C3527" s="59">
        <v>50272278</v>
      </c>
      <c r="D3527" s="55" t="s">
        <v>21</v>
      </c>
      <c r="G3527" s="102">
        <v>6000</v>
      </c>
      <c r="H3527" s="56" t="s">
        <v>92</v>
      </c>
      <c r="K3527" s="56">
        <v>1003</v>
      </c>
      <c r="L3527" s="55" t="s">
        <v>176</v>
      </c>
      <c r="M3527" s="55" t="s">
        <v>2824</v>
      </c>
      <c r="N3527" s="4" t="s">
        <v>177</v>
      </c>
      <c r="O3527" s="55" t="s">
        <v>178</v>
      </c>
    </row>
    <row r="3528" spans="2:15">
      <c r="B3528" s="20">
        <v>45516</v>
      </c>
      <c r="C3528" s="59">
        <v>50143875</v>
      </c>
      <c r="D3528" s="55" t="s">
        <v>713</v>
      </c>
      <c r="G3528" s="102">
        <v>10000</v>
      </c>
      <c r="H3528" s="56" t="s">
        <v>92</v>
      </c>
      <c r="K3528" s="56">
        <v>1003</v>
      </c>
      <c r="L3528" s="55" t="s">
        <v>176</v>
      </c>
      <c r="M3528" s="55" t="s">
        <v>2824</v>
      </c>
      <c r="N3528" s="4" t="s">
        <v>177</v>
      </c>
      <c r="O3528" s="55" t="s">
        <v>178</v>
      </c>
    </row>
    <row r="3529" spans="2:15">
      <c r="B3529" s="20">
        <v>45516</v>
      </c>
      <c r="C3529" s="59">
        <v>50142237</v>
      </c>
      <c r="D3529" s="55" t="s">
        <v>617</v>
      </c>
      <c r="G3529" s="102">
        <v>10000</v>
      </c>
      <c r="H3529" s="56" t="s">
        <v>92</v>
      </c>
      <c r="K3529" s="56">
        <v>1003</v>
      </c>
      <c r="L3529" s="55" t="s">
        <v>176</v>
      </c>
      <c r="M3529" s="55" t="s">
        <v>2824</v>
      </c>
      <c r="N3529" s="4" t="s">
        <v>177</v>
      </c>
      <c r="O3529" s="55" t="s">
        <v>178</v>
      </c>
    </row>
    <row r="3530" spans="2:15">
      <c r="B3530" s="20">
        <v>45516</v>
      </c>
      <c r="C3530" s="120">
        <v>40007941</v>
      </c>
      <c r="D3530" s="55" t="s">
        <v>211</v>
      </c>
      <c r="G3530" s="102">
        <v>2592</v>
      </c>
      <c r="H3530" s="56" t="s">
        <v>80</v>
      </c>
      <c r="K3530" s="56">
        <v>1003</v>
      </c>
      <c r="L3530" s="55" t="s">
        <v>176</v>
      </c>
      <c r="M3530" s="55" t="s">
        <v>2824</v>
      </c>
      <c r="N3530" s="4" t="s">
        <v>177</v>
      </c>
      <c r="O3530" s="55" t="s">
        <v>178</v>
      </c>
    </row>
    <row r="3531" spans="2:15">
      <c r="B3531" s="20">
        <v>45516</v>
      </c>
      <c r="C3531" s="59">
        <v>40011080</v>
      </c>
      <c r="D3531" s="55" t="s">
        <v>420</v>
      </c>
      <c r="G3531" s="102">
        <v>1800</v>
      </c>
      <c r="H3531" s="56" t="s">
        <v>80</v>
      </c>
      <c r="K3531" s="56">
        <v>1003</v>
      </c>
      <c r="L3531" s="55" t="s">
        <v>176</v>
      </c>
      <c r="M3531" s="55" t="s">
        <v>2824</v>
      </c>
      <c r="N3531" s="4" t="s">
        <v>177</v>
      </c>
      <c r="O3531" s="55" t="s">
        <v>178</v>
      </c>
    </row>
    <row r="3532" spans="2:15">
      <c r="B3532" s="20">
        <v>45516</v>
      </c>
      <c r="C3532" s="59">
        <v>50337816</v>
      </c>
      <c r="D3532" s="55" t="s">
        <v>245</v>
      </c>
      <c r="G3532" s="102">
        <v>264</v>
      </c>
      <c r="H3532" s="56" t="s">
        <v>80</v>
      </c>
      <c r="K3532" s="56">
        <v>1003</v>
      </c>
      <c r="L3532" s="55" t="s">
        <v>176</v>
      </c>
      <c r="M3532" s="55" t="s">
        <v>2824</v>
      </c>
      <c r="N3532" s="4" t="s">
        <v>177</v>
      </c>
      <c r="O3532" s="55" t="s">
        <v>178</v>
      </c>
    </row>
    <row r="3533" spans="2:15">
      <c r="B3533" s="20">
        <v>45516</v>
      </c>
      <c r="C3533" s="59">
        <v>50818947</v>
      </c>
      <c r="D3533" s="55" t="s">
        <v>1174</v>
      </c>
      <c r="G3533" s="102">
        <v>400000</v>
      </c>
      <c r="H3533" s="56" t="s">
        <v>92</v>
      </c>
      <c r="K3533" s="56">
        <v>1003</v>
      </c>
      <c r="L3533" s="55" t="s">
        <v>176</v>
      </c>
      <c r="M3533" s="55" t="s">
        <v>2824</v>
      </c>
      <c r="N3533" s="4" t="s">
        <v>177</v>
      </c>
      <c r="O3533" s="55" t="s">
        <v>178</v>
      </c>
    </row>
    <row r="3534" spans="2:15">
      <c r="B3534" s="20">
        <v>45517</v>
      </c>
      <c r="C3534" s="59">
        <v>50010080</v>
      </c>
      <c r="D3534" s="55" t="s">
        <v>354</v>
      </c>
      <c r="G3534" s="121">
        <v>5000</v>
      </c>
      <c r="H3534" s="56" t="s">
        <v>82</v>
      </c>
      <c r="K3534" s="56">
        <v>1004</v>
      </c>
      <c r="L3534" s="55" t="s">
        <v>176</v>
      </c>
      <c r="M3534" s="55" t="s">
        <v>2824</v>
      </c>
      <c r="N3534" s="4" t="s">
        <v>177</v>
      </c>
      <c r="O3534" s="55" t="s">
        <v>178</v>
      </c>
    </row>
    <row r="3535" spans="2:15">
      <c r="B3535" s="20">
        <v>45517</v>
      </c>
      <c r="C3535" s="59">
        <v>50142520</v>
      </c>
      <c r="D3535" s="55" t="s">
        <v>1156</v>
      </c>
      <c r="G3535" s="122">
        <v>5000</v>
      </c>
      <c r="H3535" s="56" t="s">
        <v>92</v>
      </c>
      <c r="K3535" s="56">
        <v>1004</v>
      </c>
      <c r="L3535" s="55" t="s">
        <v>176</v>
      </c>
      <c r="M3535" s="55" t="s">
        <v>2824</v>
      </c>
      <c r="N3535" s="4" t="s">
        <v>177</v>
      </c>
      <c r="O3535" s="55" t="s">
        <v>178</v>
      </c>
    </row>
    <row r="3536" spans="2:15">
      <c r="B3536" s="20">
        <v>45517</v>
      </c>
      <c r="C3536" s="59">
        <v>40011133</v>
      </c>
      <c r="D3536" s="55" t="s">
        <v>634</v>
      </c>
      <c r="G3536" s="122">
        <v>1710</v>
      </c>
      <c r="H3536" s="56" t="s">
        <v>80</v>
      </c>
      <c r="K3536" s="56">
        <v>1004</v>
      </c>
      <c r="L3536" s="55" t="s">
        <v>176</v>
      </c>
      <c r="M3536" s="55" t="s">
        <v>2824</v>
      </c>
      <c r="N3536" s="4" t="s">
        <v>177</v>
      </c>
      <c r="O3536" s="55" t="s">
        <v>178</v>
      </c>
    </row>
    <row r="3537" spans="2:15">
      <c r="B3537" s="20">
        <v>45517</v>
      </c>
      <c r="C3537" s="59">
        <v>50824293</v>
      </c>
      <c r="D3537" s="55" t="s">
        <v>861</v>
      </c>
      <c r="G3537" s="122">
        <v>1432000</v>
      </c>
      <c r="H3537" s="56" t="s">
        <v>92</v>
      </c>
      <c r="K3537" s="56">
        <v>1004</v>
      </c>
      <c r="L3537" s="55" t="s">
        <v>176</v>
      </c>
      <c r="M3537" s="55" t="s">
        <v>2824</v>
      </c>
      <c r="N3537" s="4" t="s">
        <v>177</v>
      </c>
      <c r="O3537" s="55" t="s">
        <v>178</v>
      </c>
    </row>
    <row r="3538" spans="2:15">
      <c r="B3538" s="20">
        <v>45517</v>
      </c>
      <c r="C3538" s="59">
        <v>50272278</v>
      </c>
      <c r="D3538" s="55" t="s">
        <v>21</v>
      </c>
      <c r="G3538" s="122">
        <v>5000</v>
      </c>
      <c r="H3538" s="56" t="s">
        <v>92</v>
      </c>
      <c r="K3538" s="56">
        <v>1004</v>
      </c>
      <c r="L3538" s="55" t="s">
        <v>176</v>
      </c>
      <c r="M3538" s="55" t="s">
        <v>2824</v>
      </c>
      <c r="N3538" s="4" t="s">
        <v>177</v>
      </c>
      <c r="O3538" s="55" t="s">
        <v>178</v>
      </c>
    </row>
    <row r="3539" spans="2:15">
      <c r="B3539" s="20">
        <v>45517</v>
      </c>
      <c r="C3539" s="59">
        <v>40499</v>
      </c>
      <c r="D3539" s="55" t="s">
        <v>1094</v>
      </c>
      <c r="G3539" s="122">
        <v>24</v>
      </c>
      <c r="H3539" s="56" t="s">
        <v>92</v>
      </c>
      <c r="K3539" s="56">
        <v>1004</v>
      </c>
      <c r="L3539" s="55" t="s">
        <v>176</v>
      </c>
      <c r="M3539" s="55" t="s">
        <v>2824</v>
      </c>
      <c r="N3539" s="4" t="s">
        <v>177</v>
      </c>
      <c r="O3539" s="55" t="s">
        <v>178</v>
      </c>
    </row>
    <row r="3540" spans="2:15">
      <c r="B3540" s="20">
        <v>45517</v>
      </c>
      <c r="C3540" s="59">
        <v>50142281</v>
      </c>
      <c r="D3540" s="55" t="s">
        <v>204</v>
      </c>
      <c r="G3540" s="122">
        <v>900</v>
      </c>
      <c r="H3540" s="56" t="s">
        <v>82</v>
      </c>
      <c r="K3540" s="56">
        <v>1004</v>
      </c>
      <c r="L3540" s="55" t="s">
        <v>176</v>
      </c>
      <c r="M3540" s="55" t="s">
        <v>2824</v>
      </c>
      <c r="N3540" s="4" t="s">
        <v>177</v>
      </c>
      <c r="O3540" s="55" t="s">
        <v>178</v>
      </c>
    </row>
    <row r="3541" spans="2:15">
      <c r="B3541" s="20">
        <v>45517</v>
      </c>
      <c r="C3541" s="59">
        <v>50507916</v>
      </c>
      <c r="D3541" s="55" t="s">
        <v>406</v>
      </c>
      <c r="G3541" s="122">
        <v>264000</v>
      </c>
      <c r="H3541" s="56" t="s">
        <v>92</v>
      </c>
      <c r="K3541" s="56">
        <v>1004</v>
      </c>
      <c r="L3541" s="55" t="s">
        <v>176</v>
      </c>
      <c r="M3541" s="55" t="s">
        <v>2824</v>
      </c>
      <c r="N3541" s="4" t="s">
        <v>177</v>
      </c>
      <c r="O3541" s="55" t="s">
        <v>178</v>
      </c>
    </row>
    <row r="3542" spans="2:15">
      <c r="B3542" s="20">
        <v>45517</v>
      </c>
      <c r="C3542" s="59">
        <v>50818947</v>
      </c>
      <c r="D3542" s="55" t="s">
        <v>1174</v>
      </c>
      <c r="G3542" s="122">
        <v>500000</v>
      </c>
      <c r="H3542" s="56" t="s">
        <v>92</v>
      </c>
      <c r="K3542" s="56">
        <v>1004</v>
      </c>
      <c r="L3542" s="55" t="s">
        <v>176</v>
      </c>
      <c r="M3542" s="55" t="s">
        <v>2824</v>
      </c>
      <c r="N3542" s="4" t="s">
        <v>177</v>
      </c>
      <c r="O3542" s="55" t="s">
        <v>178</v>
      </c>
    </row>
    <row r="3543" spans="2:15">
      <c r="B3543" s="20">
        <v>45517</v>
      </c>
      <c r="C3543" s="59">
        <v>50142327</v>
      </c>
      <c r="D3543" s="55" t="s">
        <v>256</v>
      </c>
      <c r="F3543" s="67">
        <f>+G3543/476.7</f>
        <v>2</v>
      </c>
      <c r="G3543" s="122">
        <v>953.4</v>
      </c>
      <c r="H3543" s="56" t="s">
        <v>82</v>
      </c>
      <c r="K3543" s="56">
        <v>1004</v>
      </c>
      <c r="L3543" s="55" t="s">
        <v>176</v>
      </c>
      <c r="M3543" s="55" t="s">
        <v>2824</v>
      </c>
      <c r="N3543" s="4" t="s">
        <v>177</v>
      </c>
      <c r="O3543" s="55" t="s">
        <v>178</v>
      </c>
    </row>
    <row r="3544" spans="2:15">
      <c r="B3544" s="20">
        <v>45517</v>
      </c>
      <c r="C3544" s="59">
        <v>50142334</v>
      </c>
      <c r="D3544" s="55" t="s">
        <v>257</v>
      </c>
      <c r="G3544" s="122">
        <v>953.4</v>
      </c>
      <c r="H3544" s="56" t="s">
        <v>82</v>
      </c>
      <c r="K3544" s="56">
        <v>1004</v>
      </c>
      <c r="L3544" s="55" t="s">
        <v>176</v>
      </c>
      <c r="M3544" s="55" t="s">
        <v>2824</v>
      </c>
      <c r="N3544" s="4" t="s">
        <v>177</v>
      </c>
      <c r="O3544" s="55" t="s">
        <v>178</v>
      </c>
    </row>
    <row r="3545" spans="2:15">
      <c r="B3545" s="20">
        <v>45517</v>
      </c>
      <c r="C3545" s="59">
        <v>50760002</v>
      </c>
      <c r="D3545" s="55" t="s">
        <v>1238</v>
      </c>
      <c r="G3545" s="122">
        <v>2000000</v>
      </c>
      <c r="H3545" s="56" t="s">
        <v>92</v>
      </c>
      <c r="K3545" s="56">
        <v>1004</v>
      </c>
      <c r="L3545" s="55" t="s">
        <v>176</v>
      </c>
      <c r="M3545" s="55" t="s">
        <v>2824</v>
      </c>
      <c r="N3545" s="4" t="s">
        <v>177</v>
      </c>
      <c r="O3545" s="55" t="s">
        <v>178</v>
      </c>
    </row>
    <row r="3546" spans="2:15">
      <c r="B3546" s="20">
        <v>45517</v>
      </c>
      <c r="C3546" s="59">
        <v>50824145</v>
      </c>
      <c r="D3546" s="55" t="s">
        <v>1234</v>
      </c>
      <c r="G3546" s="122">
        <v>2000000</v>
      </c>
      <c r="H3546" s="56" t="s">
        <v>92</v>
      </c>
      <c r="K3546" s="56">
        <v>1004</v>
      </c>
      <c r="L3546" s="55" t="s">
        <v>176</v>
      </c>
      <c r="M3546" s="55" t="s">
        <v>2824</v>
      </c>
      <c r="N3546" s="4" t="s">
        <v>177</v>
      </c>
      <c r="O3546" s="55" t="s">
        <v>178</v>
      </c>
    </row>
    <row r="3547" spans="2:15">
      <c r="B3547" s="20">
        <v>45517</v>
      </c>
      <c r="C3547" s="59">
        <v>50829091</v>
      </c>
      <c r="D3547" s="55" t="s">
        <v>1380</v>
      </c>
      <c r="G3547" s="122">
        <v>534650</v>
      </c>
      <c r="H3547" s="56" t="s">
        <v>92</v>
      </c>
      <c r="K3547" s="56">
        <v>1004</v>
      </c>
      <c r="L3547" s="55" t="s">
        <v>176</v>
      </c>
      <c r="M3547" s="55" t="s">
        <v>2824</v>
      </c>
      <c r="N3547" s="4" t="s">
        <v>177</v>
      </c>
      <c r="O3547" s="55" t="s">
        <v>178</v>
      </c>
    </row>
    <row r="3548" spans="2:15">
      <c r="B3548" s="20">
        <v>45517</v>
      </c>
      <c r="C3548" s="59">
        <v>50272278</v>
      </c>
      <c r="D3548" s="55" t="s">
        <v>21</v>
      </c>
      <c r="G3548" s="65">
        <v>5000</v>
      </c>
      <c r="H3548" s="56" t="s">
        <v>92</v>
      </c>
      <c r="K3548" s="56">
        <v>1005</v>
      </c>
      <c r="L3548" s="55" t="s">
        <v>326</v>
      </c>
      <c r="M3548" s="55" t="s">
        <v>2824</v>
      </c>
      <c r="N3548" s="4" t="s">
        <v>239</v>
      </c>
      <c r="O3548" s="55" t="s">
        <v>178</v>
      </c>
    </row>
    <row r="3549" spans="2:15">
      <c r="B3549" s="20">
        <v>45517</v>
      </c>
      <c r="C3549" s="59">
        <v>50470190</v>
      </c>
      <c r="D3549" s="55" t="s">
        <v>12</v>
      </c>
      <c r="G3549" s="65">
        <v>1738800</v>
      </c>
      <c r="H3549" s="56" t="s">
        <v>92</v>
      </c>
      <c r="K3549" s="56">
        <v>1005</v>
      </c>
      <c r="L3549" s="55" t="s">
        <v>326</v>
      </c>
      <c r="M3549" s="55" t="s">
        <v>2824</v>
      </c>
      <c r="N3549" s="4" t="s">
        <v>239</v>
      </c>
      <c r="O3549" s="55" t="s">
        <v>178</v>
      </c>
    </row>
    <row r="3550" spans="2:15">
      <c r="B3550" s="20">
        <v>45517</v>
      </c>
      <c r="C3550" s="59">
        <v>50802401</v>
      </c>
      <c r="D3550" s="55" t="s">
        <v>13</v>
      </c>
      <c r="G3550" s="65">
        <v>1159200</v>
      </c>
      <c r="H3550" s="56" t="s">
        <v>92</v>
      </c>
      <c r="K3550" s="56">
        <v>1005</v>
      </c>
      <c r="L3550" s="55" t="s">
        <v>326</v>
      </c>
      <c r="M3550" s="55" t="s">
        <v>2824</v>
      </c>
      <c r="N3550" s="4" t="s">
        <v>239</v>
      </c>
      <c r="O3550" s="55" t="s">
        <v>178</v>
      </c>
    </row>
    <row r="3551" spans="2:15">
      <c r="B3551" s="20">
        <v>45517</v>
      </c>
      <c r="C3551" s="59">
        <v>40499</v>
      </c>
      <c r="D3551" s="55" t="s">
        <v>1094</v>
      </c>
      <c r="G3551" s="65">
        <v>20</v>
      </c>
      <c r="H3551" s="56" t="s">
        <v>92</v>
      </c>
      <c r="K3551" s="56">
        <v>1005</v>
      </c>
      <c r="L3551" s="55" t="s">
        <v>326</v>
      </c>
      <c r="M3551" s="55" t="s">
        <v>2824</v>
      </c>
      <c r="N3551" s="4" t="s">
        <v>239</v>
      </c>
      <c r="O3551" s="55" t="s">
        <v>178</v>
      </c>
    </row>
    <row r="3552" spans="2:15">
      <c r="B3552" s="20">
        <v>45518</v>
      </c>
      <c r="C3552" s="59">
        <v>40009544</v>
      </c>
      <c r="D3552" s="55" t="s">
        <v>179</v>
      </c>
      <c r="G3552" s="122">
        <v>3360</v>
      </c>
      <c r="H3552" s="56" t="s">
        <v>80</v>
      </c>
      <c r="K3552" s="56">
        <v>1006</v>
      </c>
      <c r="L3552" s="55" t="s">
        <v>176</v>
      </c>
      <c r="M3552" s="55" t="s">
        <v>2824</v>
      </c>
      <c r="N3552" s="4" t="s">
        <v>177</v>
      </c>
      <c r="O3552" s="55" t="s">
        <v>178</v>
      </c>
    </row>
    <row r="3553" spans="2:15">
      <c r="B3553" s="20">
        <v>45518</v>
      </c>
      <c r="C3553" s="59">
        <v>50522176</v>
      </c>
      <c r="D3553" s="55" t="s">
        <v>455</v>
      </c>
      <c r="G3553" s="122">
        <v>1082.4</v>
      </c>
      <c r="H3553" s="56" t="s">
        <v>82</v>
      </c>
      <c r="K3553" s="56">
        <v>1006</v>
      </c>
      <c r="L3553" s="55" t="s">
        <v>176</v>
      </c>
      <c r="M3553" s="55" t="s">
        <v>2824</v>
      </c>
      <c r="N3553" s="4" t="s">
        <v>177</v>
      </c>
      <c r="O3553" s="55" t="s">
        <v>178</v>
      </c>
    </row>
    <row r="3554" spans="2:15">
      <c r="B3554" s="20">
        <v>45518</v>
      </c>
      <c r="C3554" s="59">
        <v>50272278</v>
      </c>
      <c r="D3554" s="55" t="s">
        <v>21</v>
      </c>
      <c r="G3554" s="122">
        <v>2800</v>
      </c>
      <c r="H3554" s="56" t="s">
        <v>92</v>
      </c>
      <c r="K3554" s="56">
        <v>1006</v>
      </c>
      <c r="L3554" s="55" t="s">
        <v>176</v>
      </c>
      <c r="M3554" s="55" t="s">
        <v>2824</v>
      </c>
      <c r="N3554" s="4" t="s">
        <v>177</v>
      </c>
      <c r="O3554" s="55" t="s">
        <v>178</v>
      </c>
    </row>
    <row r="3555" spans="2:15">
      <c r="B3555" s="20">
        <v>45518</v>
      </c>
      <c r="C3555" s="120">
        <v>40007942</v>
      </c>
      <c r="D3555" s="55" t="s">
        <v>219</v>
      </c>
      <c r="G3555" s="122">
        <v>4829</v>
      </c>
      <c r="H3555" s="56" t="s">
        <v>80</v>
      </c>
      <c r="K3555" s="56">
        <v>1006</v>
      </c>
      <c r="L3555" s="55" t="s">
        <v>176</v>
      </c>
      <c r="M3555" s="55" t="s">
        <v>2824</v>
      </c>
      <c r="N3555" s="4" t="s">
        <v>177</v>
      </c>
      <c r="O3555" s="55" t="s">
        <v>178</v>
      </c>
    </row>
    <row r="3556" spans="2:15">
      <c r="B3556" s="20">
        <v>45518</v>
      </c>
      <c r="C3556" s="59">
        <v>50507916</v>
      </c>
      <c r="D3556" s="55" t="s">
        <v>406</v>
      </c>
      <c r="G3556" s="122">
        <v>528000</v>
      </c>
      <c r="H3556" s="56" t="s">
        <v>92</v>
      </c>
      <c r="K3556" s="56">
        <v>1006</v>
      </c>
      <c r="L3556" s="55" t="s">
        <v>176</v>
      </c>
      <c r="M3556" s="55" t="s">
        <v>2824</v>
      </c>
      <c r="N3556" s="4" t="s">
        <v>177</v>
      </c>
      <c r="O3556" s="55" t="s">
        <v>178</v>
      </c>
    </row>
    <row r="3557" spans="2:15">
      <c r="B3557" s="20">
        <v>45518</v>
      </c>
      <c r="C3557" s="59">
        <v>50337816</v>
      </c>
      <c r="D3557" s="55" t="s">
        <v>245</v>
      </c>
      <c r="G3557" s="122">
        <v>528</v>
      </c>
      <c r="H3557" s="56" t="s">
        <v>80</v>
      </c>
      <c r="K3557" s="56">
        <v>1006</v>
      </c>
      <c r="L3557" s="55" t="s">
        <v>176</v>
      </c>
      <c r="M3557" s="55" t="s">
        <v>2824</v>
      </c>
      <c r="N3557" s="4" t="s">
        <v>177</v>
      </c>
      <c r="O3557" s="55" t="s">
        <v>178</v>
      </c>
    </row>
    <row r="3558" spans="2:15">
      <c r="B3558" s="20">
        <v>45518</v>
      </c>
      <c r="C3558" s="59">
        <v>50818947</v>
      </c>
      <c r="D3558" s="55" t="s">
        <v>1174</v>
      </c>
      <c r="G3558" s="122">
        <v>1093760</v>
      </c>
      <c r="H3558" s="56" t="s">
        <v>92</v>
      </c>
      <c r="K3558" s="56">
        <v>1006</v>
      </c>
      <c r="L3558" s="55" t="s">
        <v>176</v>
      </c>
      <c r="M3558" s="55" t="s">
        <v>2824</v>
      </c>
      <c r="N3558" s="4" t="s">
        <v>177</v>
      </c>
      <c r="O3558" s="55" t="s">
        <v>178</v>
      </c>
    </row>
    <row r="3559" spans="2:15">
      <c r="B3559" s="20">
        <v>45518</v>
      </c>
      <c r="C3559" s="59">
        <v>50449101</v>
      </c>
      <c r="D3559" s="55" t="s">
        <v>237</v>
      </c>
      <c r="G3559" s="122">
        <v>579600</v>
      </c>
      <c r="H3559" s="56" t="s">
        <v>92</v>
      </c>
      <c r="K3559" s="56">
        <v>1006</v>
      </c>
      <c r="L3559" s="55" t="s">
        <v>176</v>
      </c>
      <c r="M3559" s="55" t="s">
        <v>2824</v>
      </c>
      <c r="N3559" s="4" t="s">
        <v>177</v>
      </c>
      <c r="O3559" s="55" t="s">
        <v>178</v>
      </c>
    </row>
    <row r="3560" spans="2:15">
      <c r="B3560" s="20">
        <v>45518</v>
      </c>
      <c r="C3560" s="59">
        <v>40499</v>
      </c>
      <c r="D3560" s="55" t="s">
        <v>1094</v>
      </c>
      <c r="G3560" s="65">
        <v>8</v>
      </c>
      <c r="H3560" s="56" t="s">
        <v>92</v>
      </c>
      <c r="K3560" s="56">
        <v>1006</v>
      </c>
      <c r="L3560" s="55" t="s">
        <v>176</v>
      </c>
      <c r="M3560" s="55" t="s">
        <v>2824</v>
      </c>
      <c r="N3560" s="4" t="s">
        <v>177</v>
      </c>
      <c r="O3560" s="55" t="s">
        <v>178</v>
      </c>
    </row>
    <row r="3561" spans="2:15">
      <c r="B3561" s="20">
        <v>45518</v>
      </c>
      <c r="C3561" s="59">
        <v>50802401</v>
      </c>
      <c r="D3561" s="55" t="s">
        <v>13</v>
      </c>
      <c r="G3561" s="65">
        <v>2898000</v>
      </c>
      <c r="H3561" s="56" t="s">
        <v>92</v>
      </c>
      <c r="K3561" s="56">
        <v>1007</v>
      </c>
      <c r="L3561" s="55" t="s">
        <v>176</v>
      </c>
      <c r="M3561" s="55" t="s">
        <v>2824</v>
      </c>
      <c r="N3561" s="4" t="s">
        <v>177</v>
      </c>
      <c r="O3561" s="55" t="s">
        <v>178</v>
      </c>
    </row>
    <row r="3562" spans="2:15">
      <c r="B3562" s="20">
        <v>45518</v>
      </c>
      <c r="C3562" s="59">
        <v>50799770</v>
      </c>
      <c r="D3562" s="55" t="s">
        <v>17</v>
      </c>
      <c r="G3562" s="65">
        <v>5000</v>
      </c>
      <c r="H3562" s="56" t="s">
        <v>92</v>
      </c>
      <c r="K3562" s="56">
        <v>1007</v>
      </c>
      <c r="L3562" s="55" t="s">
        <v>176</v>
      </c>
      <c r="M3562" s="55" t="s">
        <v>2824</v>
      </c>
      <c r="N3562" s="4" t="s">
        <v>177</v>
      </c>
      <c r="O3562" s="55" t="s">
        <v>178</v>
      </c>
    </row>
    <row r="3563" spans="2:15">
      <c r="B3563" s="20">
        <v>45518</v>
      </c>
      <c r="C3563" s="59">
        <v>40499</v>
      </c>
      <c r="D3563" s="55" t="s">
        <v>1094</v>
      </c>
      <c r="G3563" s="65">
        <v>20</v>
      </c>
      <c r="H3563" s="56" t="s">
        <v>92</v>
      </c>
      <c r="K3563" s="56">
        <v>1007</v>
      </c>
      <c r="L3563" s="55" t="s">
        <v>176</v>
      </c>
      <c r="M3563" s="55" t="s">
        <v>2824</v>
      </c>
      <c r="N3563" s="4" t="s">
        <v>177</v>
      </c>
      <c r="O3563" s="55" t="s">
        <v>178</v>
      </c>
    </row>
    <row r="3564" spans="2:15">
      <c r="B3564" s="20">
        <v>45518</v>
      </c>
      <c r="C3564" s="59">
        <v>50534881</v>
      </c>
      <c r="D3564" s="55" t="s">
        <v>227</v>
      </c>
      <c r="G3564" s="65">
        <v>63000</v>
      </c>
      <c r="H3564" s="56" t="s">
        <v>92</v>
      </c>
      <c r="K3564" s="56">
        <v>1008</v>
      </c>
      <c r="L3564" s="55" t="s">
        <v>176</v>
      </c>
      <c r="M3564" s="55" t="s">
        <v>2824</v>
      </c>
      <c r="N3564" s="4" t="s">
        <v>177</v>
      </c>
      <c r="O3564" s="55" t="s">
        <v>178</v>
      </c>
    </row>
    <row r="3565" spans="2:15">
      <c r="B3565" s="20">
        <v>45518</v>
      </c>
      <c r="C3565" s="59">
        <v>50799770</v>
      </c>
      <c r="D3565" s="55" t="s">
        <v>17</v>
      </c>
      <c r="G3565" s="65">
        <v>3000</v>
      </c>
      <c r="H3565" s="56" t="s">
        <v>92</v>
      </c>
      <c r="K3565" s="56">
        <v>1008</v>
      </c>
      <c r="L3565" s="55" t="s">
        <v>176</v>
      </c>
      <c r="M3565" s="55" t="s">
        <v>2824</v>
      </c>
      <c r="N3565" s="4" t="s">
        <v>177</v>
      </c>
      <c r="O3565" s="55" t="s">
        <v>178</v>
      </c>
    </row>
    <row r="3566" spans="2:15">
      <c r="B3566" s="20">
        <v>45518</v>
      </c>
      <c r="C3566" s="59">
        <v>40499</v>
      </c>
      <c r="D3566" s="55" t="s">
        <v>1094</v>
      </c>
      <c r="G3566" s="65">
        <v>12</v>
      </c>
      <c r="H3566" s="56" t="s">
        <v>92</v>
      </c>
      <c r="K3566" s="56">
        <v>1008</v>
      </c>
      <c r="L3566" s="55" t="s">
        <v>176</v>
      </c>
      <c r="M3566" s="55" t="s">
        <v>2824</v>
      </c>
      <c r="N3566" s="4" t="s">
        <v>177</v>
      </c>
      <c r="O3566" s="55" t="s">
        <v>178</v>
      </c>
    </row>
    <row r="3567" spans="2:15">
      <c r="B3567" s="20">
        <v>45518</v>
      </c>
      <c r="C3567" s="59">
        <v>50141533</v>
      </c>
      <c r="D3567" s="55" t="s">
        <v>494</v>
      </c>
      <c r="G3567" s="65">
        <v>5000</v>
      </c>
      <c r="H3567" s="56" t="s">
        <v>82</v>
      </c>
      <c r="K3567" s="56">
        <v>1008</v>
      </c>
      <c r="L3567" s="55" t="s">
        <v>176</v>
      </c>
      <c r="M3567" s="55" t="s">
        <v>2824</v>
      </c>
      <c r="N3567" s="4" t="s">
        <v>177</v>
      </c>
      <c r="O3567" s="55" t="s">
        <v>178</v>
      </c>
    </row>
    <row r="3568" spans="2:15">
      <c r="B3568" s="20">
        <v>45518</v>
      </c>
      <c r="C3568" s="59">
        <v>50470190</v>
      </c>
      <c r="D3568" s="55" t="s">
        <v>12</v>
      </c>
      <c r="G3568" s="65">
        <v>1449000</v>
      </c>
      <c r="H3568" s="56" t="s">
        <v>92</v>
      </c>
      <c r="K3568" s="56">
        <v>1008</v>
      </c>
      <c r="L3568" s="55" t="s">
        <v>176</v>
      </c>
      <c r="M3568" s="55" t="s">
        <v>2824</v>
      </c>
      <c r="N3568" s="4" t="s">
        <v>177</v>
      </c>
      <c r="O3568" s="55" t="s">
        <v>178</v>
      </c>
    </row>
    <row r="3569" spans="2:15">
      <c r="B3569" s="20">
        <v>45520</v>
      </c>
      <c r="C3569" s="59">
        <v>50272278</v>
      </c>
      <c r="D3569" s="55" t="s">
        <v>21</v>
      </c>
      <c r="G3569" s="65">
        <v>11000</v>
      </c>
      <c r="H3569" s="56" t="s">
        <v>92</v>
      </c>
      <c r="K3569" s="56">
        <v>1009</v>
      </c>
      <c r="L3569" s="55" t="s">
        <v>176</v>
      </c>
      <c r="M3569" s="55" t="s">
        <v>2824</v>
      </c>
      <c r="N3569" s="4" t="s">
        <v>177</v>
      </c>
      <c r="O3569" s="55" t="s">
        <v>178</v>
      </c>
    </row>
    <row r="3570" spans="2:15">
      <c r="B3570" s="20">
        <v>45520</v>
      </c>
      <c r="C3570" s="59">
        <v>40499</v>
      </c>
      <c r="D3570" s="55" t="s">
        <v>1094</v>
      </c>
      <c r="G3570" s="65">
        <v>44</v>
      </c>
      <c r="H3570" s="56" t="s">
        <v>92</v>
      </c>
      <c r="K3570" s="56">
        <v>1009</v>
      </c>
      <c r="L3570" s="55" t="s">
        <v>176</v>
      </c>
      <c r="M3570" s="55" t="s">
        <v>2824</v>
      </c>
      <c r="N3570" s="4" t="s">
        <v>177</v>
      </c>
      <c r="O3570" s="55" t="s">
        <v>178</v>
      </c>
    </row>
    <row r="3571" spans="2:15">
      <c r="B3571" s="20">
        <v>45520</v>
      </c>
      <c r="C3571" s="59">
        <v>50534881</v>
      </c>
      <c r="D3571" s="55" t="s">
        <v>227</v>
      </c>
      <c r="G3571" s="65">
        <v>198000</v>
      </c>
      <c r="H3571" s="56" t="s">
        <v>92</v>
      </c>
      <c r="K3571" s="56">
        <v>1010</v>
      </c>
      <c r="L3571" s="55" t="s">
        <v>176</v>
      </c>
      <c r="M3571" s="55" t="s">
        <v>2824</v>
      </c>
      <c r="N3571" s="4" t="s">
        <v>177</v>
      </c>
      <c r="O3571" s="55" t="s">
        <v>178</v>
      </c>
    </row>
    <row r="3572" spans="2:15">
      <c r="B3572" s="20">
        <v>45520</v>
      </c>
      <c r="C3572" s="59">
        <v>50271649</v>
      </c>
      <c r="D3572" s="55" t="s">
        <v>1435</v>
      </c>
      <c r="G3572" s="65">
        <v>3618</v>
      </c>
      <c r="H3572" s="56" t="s">
        <v>92</v>
      </c>
      <c r="K3572" s="56">
        <v>1011</v>
      </c>
      <c r="L3572" s="55" t="s">
        <v>2862</v>
      </c>
      <c r="M3572" s="55" t="s">
        <v>2193</v>
      </c>
      <c r="N3572" s="4" t="s">
        <v>1793</v>
      </c>
      <c r="O3572" s="55" t="s">
        <v>178</v>
      </c>
    </row>
    <row r="3573" spans="2:15">
      <c r="B3573" s="20">
        <v>45520</v>
      </c>
      <c r="C3573" s="59">
        <v>50272278</v>
      </c>
      <c r="D3573" s="55" t="s">
        <v>21</v>
      </c>
      <c r="G3573" s="65">
        <v>3500</v>
      </c>
      <c r="H3573" s="56" t="s">
        <v>92</v>
      </c>
      <c r="K3573" s="56">
        <v>1012</v>
      </c>
      <c r="L3573" s="55" t="s">
        <v>176</v>
      </c>
      <c r="M3573" s="55" t="s">
        <v>2824</v>
      </c>
      <c r="N3573" s="4" t="s">
        <v>177</v>
      </c>
      <c r="O3573" s="55" t="s">
        <v>178</v>
      </c>
    </row>
    <row r="3574" spans="2:15">
      <c r="B3574" s="20">
        <v>45520</v>
      </c>
      <c r="C3574" s="59">
        <v>40499</v>
      </c>
      <c r="D3574" s="55" t="s">
        <v>1094</v>
      </c>
      <c r="G3574" s="65">
        <v>14</v>
      </c>
      <c r="H3574" s="56" t="s">
        <v>92</v>
      </c>
      <c r="K3574" s="56">
        <v>1012</v>
      </c>
      <c r="L3574" s="55" t="s">
        <v>176</v>
      </c>
      <c r="M3574" s="55" t="s">
        <v>2824</v>
      </c>
      <c r="N3574" s="4" t="s">
        <v>177</v>
      </c>
      <c r="O3574" s="55" t="s">
        <v>178</v>
      </c>
    </row>
    <row r="3575" spans="2:15">
      <c r="B3575" s="20">
        <v>45520</v>
      </c>
      <c r="C3575" s="59">
        <v>50470190</v>
      </c>
      <c r="D3575" s="55" t="s">
        <v>12</v>
      </c>
      <c r="G3575" s="65">
        <v>2898000</v>
      </c>
      <c r="H3575" s="56" t="s">
        <v>92</v>
      </c>
      <c r="K3575" s="56">
        <v>1012</v>
      </c>
      <c r="L3575" s="55" t="s">
        <v>176</v>
      </c>
      <c r="M3575" s="55" t="s">
        <v>2824</v>
      </c>
      <c r="N3575" s="4" t="s">
        <v>177</v>
      </c>
      <c r="O3575" s="55" t="s">
        <v>178</v>
      </c>
    </row>
    <row r="3576" spans="2:15">
      <c r="B3576" s="20">
        <v>45520</v>
      </c>
      <c r="C3576" s="59">
        <v>50802401</v>
      </c>
      <c r="D3576" s="55" t="s">
        <v>13</v>
      </c>
      <c r="G3576" s="65">
        <v>869400</v>
      </c>
      <c r="H3576" s="56" t="s">
        <v>92</v>
      </c>
      <c r="K3576" s="56">
        <v>1012</v>
      </c>
      <c r="L3576" s="55" t="s">
        <v>176</v>
      </c>
      <c r="M3576" s="55" t="s">
        <v>2824</v>
      </c>
      <c r="N3576" s="4" t="s">
        <v>177</v>
      </c>
      <c r="O3576" s="55" t="s">
        <v>178</v>
      </c>
    </row>
    <row r="3577" spans="2:15">
      <c r="B3577" s="20">
        <v>45520</v>
      </c>
      <c r="C3577" s="59">
        <v>50142328</v>
      </c>
      <c r="D3577" s="55" t="s">
        <v>767</v>
      </c>
      <c r="E3577" s="67">
        <v>1000</v>
      </c>
      <c r="G3577" s="65">
        <v>8000</v>
      </c>
      <c r="H3577" s="56" t="s">
        <v>82</v>
      </c>
      <c r="K3577" s="56">
        <v>1013</v>
      </c>
      <c r="L3577" s="55" t="s">
        <v>326</v>
      </c>
      <c r="M3577" s="55" t="s">
        <v>2824</v>
      </c>
      <c r="N3577" s="4" t="s">
        <v>239</v>
      </c>
      <c r="O3577" s="55" t="s">
        <v>178</v>
      </c>
    </row>
    <row r="3578" spans="2:15">
      <c r="B3578" s="20">
        <v>45520</v>
      </c>
      <c r="C3578" s="59">
        <v>50799770</v>
      </c>
      <c r="D3578" s="55" t="s">
        <v>17</v>
      </c>
      <c r="G3578" s="65">
        <v>4000</v>
      </c>
      <c r="H3578" s="56" t="s">
        <v>92</v>
      </c>
      <c r="K3578" s="56">
        <v>1013</v>
      </c>
      <c r="L3578" s="55" t="s">
        <v>326</v>
      </c>
      <c r="M3578" s="55" t="s">
        <v>2824</v>
      </c>
      <c r="N3578" s="4" t="s">
        <v>239</v>
      </c>
      <c r="O3578" s="55" t="s">
        <v>178</v>
      </c>
    </row>
    <row r="3579" spans="2:15">
      <c r="B3579" s="20">
        <v>45520</v>
      </c>
      <c r="C3579" s="59">
        <v>50507916</v>
      </c>
      <c r="D3579" s="55" t="s">
        <v>406</v>
      </c>
      <c r="G3579" s="65">
        <v>528000</v>
      </c>
      <c r="H3579" s="56" t="s">
        <v>92</v>
      </c>
      <c r="K3579" s="56">
        <v>1013</v>
      </c>
      <c r="L3579" s="55" t="s">
        <v>326</v>
      </c>
      <c r="M3579" s="55" t="s">
        <v>2824</v>
      </c>
      <c r="N3579" s="4" t="s">
        <v>239</v>
      </c>
      <c r="O3579" s="55" t="s">
        <v>178</v>
      </c>
    </row>
    <row r="3580" spans="2:15">
      <c r="B3580" s="20">
        <v>45520</v>
      </c>
      <c r="C3580" s="59">
        <v>50337816</v>
      </c>
      <c r="D3580" s="55" t="s">
        <v>245</v>
      </c>
      <c r="G3580" s="65">
        <v>528</v>
      </c>
      <c r="H3580" s="56" t="s">
        <v>80</v>
      </c>
      <c r="K3580" s="56">
        <v>1013</v>
      </c>
      <c r="L3580" s="55" t="s">
        <v>326</v>
      </c>
      <c r="M3580" s="55" t="s">
        <v>2824</v>
      </c>
      <c r="N3580" s="4" t="s">
        <v>239</v>
      </c>
      <c r="O3580" s="55" t="s">
        <v>178</v>
      </c>
    </row>
    <row r="3581" spans="2:15">
      <c r="B3581" s="20">
        <v>45520</v>
      </c>
      <c r="C3581" s="59">
        <v>50534881</v>
      </c>
      <c r="D3581" s="55" t="s">
        <v>227</v>
      </c>
      <c r="G3581" s="65">
        <v>45000</v>
      </c>
      <c r="H3581" s="56" t="s">
        <v>92</v>
      </c>
      <c r="K3581" s="56">
        <v>1014</v>
      </c>
      <c r="L3581" s="55" t="s">
        <v>392</v>
      </c>
      <c r="M3581" s="55" t="s">
        <v>2824</v>
      </c>
      <c r="N3581" s="4" t="s">
        <v>1273</v>
      </c>
      <c r="O3581" s="55" t="s">
        <v>533</v>
      </c>
    </row>
    <row r="3582" spans="2:15">
      <c r="B3582" s="20">
        <v>45521</v>
      </c>
      <c r="C3582" s="59">
        <v>50799770</v>
      </c>
      <c r="D3582" s="55" t="s">
        <v>17</v>
      </c>
      <c r="G3582" s="65">
        <v>5000</v>
      </c>
      <c r="H3582" s="56" t="s">
        <v>92</v>
      </c>
      <c r="K3582" s="56">
        <v>1014</v>
      </c>
      <c r="L3582" s="55" t="s">
        <v>392</v>
      </c>
      <c r="M3582" s="55" t="s">
        <v>2824</v>
      </c>
      <c r="N3582" s="4" t="s">
        <v>1273</v>
      </c>
      <c r="O3582" s="55" t="s">
        <v>533</v>
      </c>
    </row>
    <row r="3583" spans="2:15">
      <c r="B3583" s="20">
        <v>45521</v>
      </c>
      <c r="C3583" s="59">
        <v>40499</v>
      </c>
      <c r="D3583" s="55" t="s">
        <v>1094</v>
      </c>
      <c r="G3583" s="65">
        <v>20</v>
      </c>
      <c r="H3583" s="56" t="s">
        <v>92</v>
      </c>
      <c r="K3583" s="56">
        <v>1014</v>
      </c>
      <c r="L3583" s="55" t="s">
        <v>392</v>
      </c>
      <c r="M3583" s="55" t="s">
        <v>2824</v>
      </c>
      <c r="N3583" s="4" t="s">
        <v>1273</v>
      </c>
      <c r="O3583" s="55" t="s">
        <v>533</v>
      </c>
    </row>
    <row r="3584" spans="2:15">
      <c r="B3584" s="20">
        <v>45524</v>
      </c>
      <c r="C3584" s="59">
        <v>50144376</v>
      </c>
      <c r="D3584" s="55" t="s">
        <v>19</v>
      </c>
      <c r="G3584" s="65">
        <v>5600</v>
      </c>
      <c r="H3584" s="56" t="s">
        <v>92</v>
      </c>
      <c r="K3584" s="56">
        <v>1015</v>
      </c>
      <c r="L3584" s="55" t="s">
        <v>176</v>
      </c>
      <c r="M3584" s="55" t="s">
        <v>2824</v>
      </c>
      <c r="N3584" s="4" t="s">
        <v>177</v>
      </c>
      <c r="O3584" s="55" t="s">
        <v>178</v>
      </c>
    </row>
    <row r="3585" spans="2:15">
      <c r="B3585" s="20">
        <v>45524</v>
      </c>
      <c r="C3585" s="59">
        <v>40499</v>
      </c>
      <c r="D3585" s="55" t="s">
        <v>1094</v>
      </c>
      <c r="G3585" s="65">
        <v>16</v>
      </c>
      <c r="H3585" s="56" t="s">
        <v>92</v>
      </c>
      <c r="K3585" s="56">
        <v>1015</v>
      </c>
      <c r="L3585" s="55" t="s">
        <v>176</v>
      </c>
      <c r="M3585" s="55" t="s">
        <v>2824</v>
      </c>
      <c r="N3585" s="4" t="s">
        <v>177</v>
      </c>
      <c r="O3585" s="55" t="s">
        <v>178</v>
      </c>
    </row>
    <row r="3586" spans="2:15">
      <c r="B3586" s="20">
        <v>45524</v>
      </c>
      <c r="C3586" s="59">
        <v>50470190</v>
      </c>
      <c r="D3586" s="55" t="s">
        <v>12</v>
      </c>
      <c r="G3586" s="65">
        <v>1738800</v>
      </c>
      <c r="H3586" s="56" t="s">
        <v>92</v>
      </c>
      <c r="K3586" s="56">
        <v>1015</v>
      </c>
      <c r="L3586" s="55" t="s">
        <v>176</v>
      </c>
      <c r="M3586" s="55" t="s">
        <v>392</v>
      </c>
      <c r="N3586" s="4" t="s">
        <v>177</v>
      </c>
      <c r="O3586" s="55" t="s">
        <v>178</v>
      </c>
    </row>
    <row r="3587" spans="2:15">
      <c r="B3587" s="20">
        <v>45525</v>
      </c>
      <c r="C3587" s="59">
        <v>50271649</v>
      </c>
      <c r="D3587" s="55" t="s">
        <v>1435</v>
      </c>
      <c r="G3587" s="65">
        <v>16884</v>
      </c>
      <c r="H3587" s="56" t="s">
        <v>92</v>
      </c>
      <c r="K3587" s="56">
        <v>1016</v>
      </c>
      <c r="L3587" s="55" t="s">
        <v>176</v>
      </c>
      <c r="M3587" s="55" t="s">
        <v>2824</v>
      </c>
      <c r="N3587" s="4" t="s">
        <v>177</v>
      </c>
      <c r="O3587" s="55" t="s">
        <v>178</v>
      </c>
    </row>
    <row r="3588" spans="2:15">
      <c r="B3588" s="20">
        <v>45525</v>
      </c>
      <c r="C3588" s="59">
        <v>50144376</v>
      </c>
      <c r="D3588" s="55" t="s">
        <v>19</v>
      </c>
      <c r="G3588" s="65">
        <v>5250</v>
      </c>
      <c r="H3588" s="56" t="s">
        <v>92</v>
      </c>
      <c r="K3588" s="56">
        <v>1017</v>
      </c>
      <c r="L3588" s="55" t="s">
        <v>176</v>
      </c>
      <c r="M3588" s="55" t="s">
        <v>2824</v>
      </c>
      <c r="N3588" s="4" t="s">
        <v>177</v>
      </c>
      <c r="O3588" s="55" t="s">
        <v>178</v>
      </c>
    </row>
    <row r="3589" spans="2:15">
      <c r="B3589" s="20">
        <v>45525</v>
      </c>
      <c r="C3589" s="59">
        <v>50272278</v>
      </c>
      <c r="D3589" s="55" t="s">
        <v>21</v>
      </c>
      <c r="G3589" s="65">
        <v>5500</v>
      </c>
      <c r="H3589" s="56" t="s">
        <v>92</v>
      </c>
      <c r="K3589" s="56">
        <v>1017</v>
      </c>
      <c r="L3589" s="55" t="s">
        <v>176</v>
      </c>
      <c r="M3589" s="55" t="s">
        <v>2824</v>
      </c>
      <c r="N3589" s="4" t="s">
        <v>177</v>
      </c>
      <c r="O3589" s="55" t="s">
        <v>178</v>
      </c>
    </row>
    <row r="3590" spans="2:15">
      <c r="B3590" s="20">
        <v>45525</v>
      </c>
      <c r="C3590" s="59">
        <v>40499</v>
      </c>
      <c r="D3590" s="55" t="s">
        <v>1094</v>
      </c>
      <c r="G3590" s="65">
        <v>43</v>
      </c>
      <c r="H3590" s="56" t="s">
        <v>92</v>
      </c>
      <c r="K3590" s="56">
        <v>1017</v>
      </c>
      <c r="L3590" s="55" t="s">
        <v>176</v>
      </c>
      <c r="M3590" s="55" t="s">
        <v>2824</v>
      </c>
      <c r="N3590" s="4" t="s">
        <v>177</v>
      </c>
      <c r="O3590" s="55" t="s">
        <v>178</v>
      </c>
    </row>
    <row r="3591" spans="2:15">
      <c r="B3591" s="20">
        <v>45526</v>
      </c>
      <c r="C3591" s="59">
        <v>50144376</v>
      </c>
      <c r="D3591" s="55" t="s">
        <v>19</v>
      </c>
      <c r="G3591" s="65">
        <v>2800</v>
      </c>
      <c r="H3591" s="56" t="s">
        <v>92</v>
      </c>
      <c r="K3591" s="56">
        <v>1018</v>
      </c>
      <c r="L3591" s="55" t="s">
        <v>176</v>
      </c>
      <c r="M3591" s="55" t="s">
        <v>2824</v>
      </c>
      <c r="N3591" s="4" t="s">
        <v>177</v>
      </c>
      <c r="O3591" s="55" t="s">
        <v>178</v>
      </c>
    </row>
    <row r="3592" spans="2:15">
      <c r="B3592" s="20">
        <v>45526</v>
      </c>
      <c r="C3592" s="59">
        <v>50272278</v>
      </c>
      <c r="D3592" s="55" t="s">
        <v>21</v>
      </c>
      <c r="G3592" s="65">
        <v>2450</v>
      </c>
      <c r="H3592" s="56" t="s">
        <v>92</v>
      </c>
      <c r="K3592" s="56">
        <v>1018</v>
      </c>
      <c r="L3592" s="55" t="s">
        <v>176</v>
      </c>
      <c r="M3592" s="55" t="s">
        <v>2824</v>
      </c>
      <c r="N3592" s="4" t="s">
        <v>177</v>
      </c>
      <c r="O3592" s="55" t="s">
        <v>178</v>
      </c>
    </row>
    <row r="3593" spans="2:15">
      <c r="B3593" s="20">
        <v>45526</v>
      </c>
      <c r="C3593" s="59">
        <v>40499</v>
      </c>
      <c r="D3593" s="55" t="s">
        <v>1094</v>
      </c>
      <c r="G3593" s="65">
        <v>15</v>
      </c>
      <c r="H3593" s="56" t="s">
        <v>92</v>
      </c>
      <c r="K3593" s="56">
        <v>1018</v>
      </c>
      <c r="L3593" s="55" t="s">
        <v>176</v>
      </c>
      <c r="M3593" s="55" t="s">
        <v>2824</v>
      </c>
      <c r="N3593" s="4" t="s">
        <v>177</v>
      </c>
      <c r="O3593" s="55" t="s">
        <v>178</v>
      </c>
    </row>
    <row r="3594" spans="2:15">
      <c r="B3594" s="20">
        <v>45526</v>
      </c>
      <c r="C3594" s="59">
        <v>50821962</v>
      </c>
      <c r="D3594" s="55" t="s">
        <v>1538</v>
      </c>
      <c r="G3594" s="65">
        <v>3139.15</v>
      </c>
      <c r="H3594" s="56" t="s">
        <v>82</v>
      </c>
      <c r="K3594" s="56">
        <v>1018</v>
      </c>
      <c r="L3594" s="55" t="s">
        <v>176</v>
      </c>
      <c r="M3594" s="55" t="s">
        <v>2824</v>
      </c>
      <c r="N3594" s="4" t="s">
        <v>177</v>
      </c>
      <c r="O3594" s="55" t="s">
        <v>178</v>
      </c>
    </row>
    <row r="3595" spans="2:15">
      <c r="B3595" s="20">
        <v>45526</v>
      </c>
      <c r="C3595" s="59">
        <v>50824293</v>
      </c>
      <c r="D3595" s="55" t="s">
        <v>861</v>
      </c>
      <c r="G3595" s="65">
        <v>1728000</v>
      </c>
      <c r="H3595" s="56" t="s">
        <v>92</v>
      </c>
      <c r="K3595" s="56">
        <v>1019</v>
      </c>
      <c r="L3595" s="55" t="s">
        <v>176</v>
      </c>
      <c r="M3595" s="55" t="s">
        <v>2824</v>
      </c>
      <c r="N3595" s="4" t="s">
        <v>177</v>
      </c>
      <c r="O3595" s="55" t="s">
        <v>178</v>
      </c>
    </row>
    <row r="3596" spans="2:15">
      <c r="B3596" s="20">
        <v>45526</v>
      </c>
      <c r="C3596" s="59">
        <v>50142424</v>
      </c>
      <c r="D3596" s="55" t="s">
        <v>33</v>
      </c>
      <c r="G3596" s="65">
        <v>2000</v>
      </c>
      <c r="H3596" s="56" t="s">
        <v>82</v>
      </c>
      <c r="K3596" s="56">
        <v>1019</v>
      </c>
      <c r="L3596" s="55" t="s">
        <v>176</v>
      </c>
      <c r="M3596" s="55" t="s">
        <v>2824</v>
      </c>
      <c r="N3596" s="4" t="s">
        <v>177</v>
      </c>
      <c r="O3596" s="55" t="s">
        <v>178</v>
      </c>
    </row>
    <row r="3597" spans="2:15">
      <c r="B3597" s="20">
        <v>45526</v>
      </c>
      <c r="C3597" s="59">
        <v>50470190</v>
      </c>
      <c r="D3597" s="55" t="s">
        <v>12</v>
      </c>
      <c r="G3597" s="65">
        <v>2608200</v>
      </c>
      <c r="H3597" s="56" t="s">
        <v>92</v>
      </c>
      <c r="K3597" s="56">
        <v>1019</v>
      </c>
      <c r="L3597" s="55" t="s">
        <v>176</v>
      </c>
      <c r="M3597" s="55" t="s">
        <v>2824</v>
      </c>
      <c r="N3597" s="4" t="s">
        <v>177</v>
      </c>
      <c r="O3597" s="55" t="s">
        <v>178</v>
      </c>
    </row>
    <row r="3598" spans="2:15">
      <c r="B3598" s="20">
        <v>45526</v>
      </c>
      <c r="C3598" s="59">
        <v>50802401</v>
      </c>
      <c r="D3598" s="55" t="s">
        <v>13</v>
      </c>
      <c r="G3598" s="65">
        <v>2318400</v>
      </c>
      <c r="H3598" s="56" t="s">
        <v>92</v>
      </c>
      <c r="K3598" s="56">
        <v>1019</v>
      </c>
      <c r="L3598" s="55" t="s">
        <v>176</v>
      </c>
      <c r="M3598" s="55" t="s">
        <v>2824</v>
      </c>
      <c r="N3598" s="4" t="s">
        <v>177</v>
      </c>
      <c r="O3598" s="55" t="s">
        <v>178</v>
      </c>
    </row>
    <row r="3599" spans="2:15">
      <c r="B3599" s="20">
        <v>45527</v>
      </c>
      <c r="C3599" s="59">
        <v>50010080</v>
      </c>
      <c r="D3599" s="55" t="s">
        <v>354</v>
      </c>
      <c r="G3599" s="65">
        <v>4000</v>
      </c>
      <c r="H3599" s="56" t="s">
        <v>82</v>
      </c>
      <c r="K3599" s="56">
        <v>1020</v>
      </c>
      <c r="L3599" s="55" t="s">
        <v>176</v>
      </c>
      <c r="M3599" s="55" t="s">
        <v>2824</v>
      </c>
      <c r="N3599" s="4" t="s">
        <v>177</v>
      </c>
      <c r="O3599" s="55" t="s">
        <v>178</v>
      </c>
    </row>
    <row r="3600" spans="2:15">
      <c r="B3600" s="20">
        <v>45527</v>
      </c>
      <c r="C3600" s="59">
        <v>50142330</v>
      </c>
      <c r="D3600" s="55" t="s">
        <v>195</v>
      </c>
      <c r="G3600" s="65">
        <v>1437.12</v>
      </c>
      <c r="H3600" s="56" t="s">
        <v>82</v>
      </c>
      <c r="K3600" s="56">
        <v>1020</v>
      </c>
      <c r="L3600" s="55" t="s">
        <v>176</v>
      </c>
      <c r="M3600" s="55" t="s">
        <v>2824</v>
      </c>
      <c r="N3600" s="4" t="s">
        <v>177</v>
      </c>
      <c r="O3600" s="55" t="s">
        <v>178</v>
      </c>
    </row>
    <row r="3601" spans="2:15">
      <c r="B3601" s="20">
        <v>45527</v>
      </c>
      <c r="C3601" s="59">
        <v>50272278</v>
      </c>
      <c r="D3601" s="55" t="s">
        <v>21</v>
      </c>
      <c r="G3601" s="65">
        <v>3000</v>
      </c>
      <c r="H3601" s="56" t="s">
        <v>92</v>
      </c>
      <c r="K3601" s="56">
        <v>1020</v>
      </c>
      <c r="L3601" s="55" t="s">
        <v>176</v>
      </c>
      <c r="M3601" s="55" t="s">
        <v>2824</v>
      </c>
      <c r="N3601" s="4" t="s">
        <v>177</v>
      </c>
      <c r="O3601" s="55" t="s">
        <v>178</v>
      </c>
    </row>
    <row r="3602" spans="2:15">
      <c r="B3602" s="20">
        <v>45527</v>
      </c>
      <c r="C3602" s="59">
        <v>50793278</v>
      </c>
      <c r="D3602" s="55" t="s">
        <v>1086</v>
      </c>
      <c r="G3602" s="65">
        <v>40</v>
      </c>
      <c r="H3602" s="56" t="s">
        <v>2313</v>
      </c>
      <c r="K3602" s="56">
        <v>1020</v>
      </c>
      <c r="L3602" s="55" t="s">
        <v>176</v>
      </c>
      <c r="M3602" s="55" t="s">
        <v>2824</v>
      </c>
      <c r="N3602" s="4" t="s">
        <v>177</v>
      </c>
      <c r="O3602" s="55" t="s">
        <v>178</v>
      </c>
    </row>
    <row r="3603" spans="2:15">
      <c r="B3603" s="20">
        <v>45527</v>
      </c>
      <c r="C3603" s="59">
        <v>50142327</v>
      </c>
      <c r="D3603" s="55" t="s">
        <v>256</v>
      </c>
      <c r="F3603" s="67">
        <f>+G3603/476.7</f>
        <v>2</v>
      </c>
      <c r="G3603" s="65">
        <v>953.4</v>
      </c>
      <c r="H3603" s="56" t="s">
        <v>82</v>
      </c>
      <c r="K3603" s="56">
        <v>1020</v>
      </c>
      <c r="L3603" s="55" t="s">
        <v>176</v>
      </c>
      <c r="M3603" s="55" t="s">
        <v>2824</v>
      </c>
      <c r="N3603" s="4" t="s">
        <v>177</v>
      </c>
      <c r="O3603" s="55" t="s">
        <v>178</v>
      </c>
    </row>
    <row r="3604" spans="2:15">
      <c r="B3604" s="20">
        <v>45527</v>
      </c>
      <c r="C3604" s="59">
        <v>50142334</v>
      </c>
      <c r="D3604" s="55" t="s">
        <v>257</v>
      </c>
      <c r="G3604" s="65">
        <v>953.4</v>
      </c>
      <c r="H3604" s="56" t="s">
        <v>82</v>
      </c>
      <c r="K3604" s="56">
        <v>1020</v>
      </c>
      <c r="L3604" s="55" t="s">
        <v>176</v>
      </c>
      <c r="M3604" s="55" t="s">
        <v>2824</v>
      </c>
      <c r="N3604" s="4" t="s">
        <v>177</v>
      </c>
      <c r="O3604" s="55" t="s">
        <v>178</v>
      </c>
    </row>
    <row r="3605" spans="2:15">
      <c r="B3605" s="20">
        <v>45527</v>
      </c>
      <c r="C3605" s="59">
        <v>40499</v>
      </c>
      <c r="D3605" s="55" t="s">
        <v>1094</v>
      </c>
      <c r="G3605" s="65">
        <v>16</v>
      </c>
      <c r="H3605" s="56" t="s">
        <v>92</v>
      </c>
      <c r="K3605" s="56">
        <v>1020</v>
      </c>
      <c r="L3605" s="55" t="s">
        <v>176</v>
      </c>
      <c r="M3605" s="55" t="s">
        <v>2824</v>
      </c>
      <c r="N3605" s="4" t="s">
        <v>177</v>
      </c>
      <c r="O3605" s="55" t="s">
        <v>178</v>
      </c>
    </row>
    <row r="3606" spans="2:15">
      <c r="B3606" s="20">
        <v>45527</v>
      </c>
      <c r="C3606" s="59">
        <v>50272278</v>
      </c>
      <c r="D3606" s="55" t="s">
        <v>21</v>
      </c>
      <c r="G3606" s="65">
        <v>5000</v>
      </c>
      <c r="H3606" s="56" t="s">
        <v>92</v>
      </c>
      <c r="K3606" s="56">
        <v>1021</v>
      </c>
      <c r="L3606" s="55" t="s">
        <v>176</v>
      </c>
      <c r="M3606" s="55" t="s">
        <v>2824</v>
      </c>
      <c r="N3606" s="4" t="s">
        <v>177</v>
      </c>
      <c r="O3606" s="55" t="s">
        <v>178</v>
      </c>
    </row>
    <row r="3607" spans="2:15">
      <c r="B3607" s="20">
        <v>45527</v>
      </c>
      <c r="C3607" s="59">
        <v>50470190</v>
      </c>
      <c r="D3607" s="55" t="s">
        <v>12</v>
      </c>
      <c r="G3607" s="65">
        <v>2898000</v>
      </c>
      <c r="H3607" s="56" t="s">
        <v>92</v>
      </c>
      <c r="K3607" s="56">
        <v>1021</v>
      </c>
      <c r="L3607" s="55" t="s">
        <v>176</v>
      </c>
      <c r="M3607" s="55" t="s">
        <v>2824</v>
      </c>
      <c r="N3607" s="4" t="s">
        <v>177</v>
      </c>
      <c r="O3607" s="55" t="s">
        <v>178</v>
      </c>
    </row>
    <row r="3608" spans="2:15">
      <c r="B3608" s="20">
        <v>45527</v>
      </c>
      <c r="C3608" s="59">
        <v>40499</v>
      </c>
      <c r="D3608" s="55" t="s">
        <v>1094</v>
      </c>
      <c r="G3608" s="65">
        <v>20</v>
      </c>
      <c r="H3608" s="56" t="s">
        <v>962</v>
      </c>
      <c r="K3608" s="56">
        <v>1021</v>
      </c>
      <c r="L3608" s="55" t="s">
        <v>176</v>
      </c>
      <c r="M3608" s="55" t="s">
        <v>2824</v>
      </c>
      <c r="N3608" s="4" t="s">
        <v>177</v>
      </c>
      <c r="O3608" s="55" t="s">
        <v>178</v>
      </c>
    </row>
    <row r="3609" spans="2:15">
      <c r="B3609" s="20">
        <v>45527</v>
      </c>
      <c r="C3609" s="59">
        <v>50272278</v>
      </c>
      <c r="D3609" s="55" t="s">
        <v>21</v>
      </c>
      <c r="G3609" s="65">
        <v>9000</v>
      </c>
      <c r="H3609" s="56" t="s">
        <v>92</v>
      </c>
      <c r="K3609" s="56">
        <v>1022</v>
      </c>
      <c r="L3609" s="55" t="s">
        <v>176</v>
      </c>
      <c r="M3609" s="55" t="s">
        <v>2824</v>
      </c>
      <c r="N3609" s="4" t="s">
        <v>177</v>
      </c>
      <c r="O3609" s="55" t="s">
        <v>178</v>
      </c>
    </row>
    <row r="3610" spans="2:15">
      <c r="B3610" s="20">
        <v>45527</v>
      </c>
      <c r="C3610" s="59">
        <v>50144200</v>
      </c>
      <c r="D3610" s="55" t="s">
        <v>184</v>
      </c>
      <c r="G3610" s="65">
        <v>528000</v>
      </c>
      <c r="H3610" s="56" t="s">
        <v>92</v>
      </c>
      <c r="K3610" s="56">
        <v>1022</v>
      </c>
      <c r="L3610" s="55" t="s">
        <v>176</v>
      </c>
      <c r="M3610" s="55" t="s">
        <v>2824</v>
      </c>
      <c r="N3610" s="4" t="s">
        <v>177</v>
      </c>
      <c r="O3610" s="55" t="s">
        <v>178</v>
      </c>
    </row>
    <row r="3611" spans="2:15">
      <c r="B3611" s="20">
        <v>45527</v>
      </c>
      <c r="C3611" s="59">
        <v>50507916</v>
      </c>
      <c r="D3611" s="55" t="s">
        <v>406</v>
      </c>
      <c r="G3611" s="65">
        <v>528000</v>
      </c>
      <c r="H3611" s="56" t="s">
        <v>92</v>
      </c>
      <c r="K3611" s="56">
        <v>1022</v>
      </c>
      <c r="L3611" s="55" t="s">
        <v>176</v>
      </c>
      <c r="M3611" s="55" t="s">
        <v>2824</v>
      </c>
      <c r="N3611" s="4" t="s">
        <v>177</v>
      </c>
      <c r="O3611" s="55" t="s">
        <v>178</v>
      </c>
    </row>
    <row r="3612" spans="2:15">
      <c r="B3612" s="20">
        <v>45527</v>
      </c>
      <c r="C3612" s="59">
        <v>40499</v>
      </c>
      <c r="D3612" s="55" t="s">
        <v>1094</v>
      </c>
      <c r="G3612" s="65">
        <v>36</v>
      </c>
      <c r="H3612" s="56" t="s">
        <v>92</v>
      </c>
      <c r="K3612" s="56">
        <v>1022</v>
      </c>
      <c r="L3612" s="55" t="s">
        <v>176</v>
      </c>
      <c r="M3612" s="55" t="s">
        <v>2824</v>
      </c>
      <c r="N3612" s="4" t="s">
        <v>177</v>
      </c>
      <c r="O3612" s="55" t="s">
        <v>178</v>
      </c>
    </row>
    <row r="3613" spans="2:15">
      <c r="B3613" s="20">
        <v>45527</v>
      </c>
      <c r="C3613" s="59">
        <v>50470190</v>
      </c>
      <c r="D3613" s="55" t="s">
        <v>12</v>
      </c>
      <c r="G3613" s="65">
        <v>5216400</v>
      </c>
      <c r="H3613" s="56" t="s">
        <v>92</v>
      </c>
      <c r="K3613" s="56">
        <v>1023</v>
      </c>
      <c r="L3613" s="55" t="s">
        <v>176</v>
      </c>
      <c r="M3613" s="55" t="s">
        <v>2824</v>
      </c>
      <c r="N3613" s="4" t="s">
        <v>177</v>
      </c>
      <c r="O3613" s="55" t="s">
        <v>178</v>
      </c>
    </row>
    <row r="3614" spans="2:15">
      <c r="B3614" s="20">
        <v>45530</v>
      </c>
      <c r="C3614" s="59">
        <v>20016185</v>
      </c>
      <c r="D3614" s="55" t="s">
        <v>285</v>
      </c>
      <c r="G3614" s="65">
        <v>10000</v>
      </c>
      <c r="H3614" s="56" t="s">
        <v>92</v>
      </c>
      <c r="K3614" s="56">
        <v>1024</v>
      </c>
      <c r="L3614" s="55" t="s">
        <v>176</v>
      </c>
      <c r="M3614" s="55" t="s">
        <v>2824</v>
      </c>
      <c r="N3614" s="4" t="s">
        <v>177</v>
      </c>
      <c r="O3614" s="55" t="s">
        <v>178</v>
      </c>
    </row>
    <row r="3615" spans="2:15">
      <c r="B3615" s="20">
        <v>45530</v>
      </c>
      <c r="C3615" s="59">
        <v>50272278</v>
      </c>
      <c r="D3615" s="55" t="s">
        <v>21</v>
      </c>
      <c r="G3615" s="65">
        <f>9200-500</f>
        <v>8700</v>
      </c>
      <c r="H3615" s="56" t="s">
        <v>92</v>
      </c>
      <c r="K3615" s="56">
        <v>1024</v>
      </c>
      <c r="L3615" s="55" t="s">
        <v>176</v>
      </c>
      <c r="M3615" s="55" t="s">
        <v>2824</v>
      </c>
      <c r="N3615" s="4" t="s">
        <v>177</v>
      </c>
      <c r="O3615" s="55" t="s">
        <v>178</v>
      </c>
    </row>
    <row r="3616" spans="2:15">
      <c r="B3616" s="20">
        <v>45530</v>
      </c>
      <c r="C3616" s="59">
        <v>50799770</v>
      </c>
      <c r="D3616" s="55" t="s">
        <v>17</v>
      </c>
      <c r="G3616" s="65">
        <v>500</v>
      </c>
      <c r="H3616" s="56" t="s">
        <v>92</v>
      </c>
      <c r="K3616" s="56">
        <v>1024</v>
      </c>
      <c r="L3616" s="55" t="s">
        <v>176</v>
      </c>
      <c r="M3616" s="55" t="s">
        <v>2824</v>
      </c>
      <c r="N3616" s="4" t="s">
        <v>177</v>
      </c>
      <c r="O3616" s="55" t="s">
        <v>178</v>
      </c>
    </row>
    <row r="3617" spans="2:15">
      <c r="B3617" s="20">
        <v>45530</v>
      </c>
      <c r="C3617" s="59">
        <v>50142237</v>
      </c>
      <c r="D3617" s="55" t="s">
        <v>617</v>
      </c>
      <c r="G3617" s="65">
        <v>10000</v>
      </c>
      <c r="H3617" s="56" t="s">
        <v>92</v>
      </c>
      <c r="K3617" s="56">
        <v>1024</v>
      </c>
      <c r="L3617" s="55" t="s">
        <v>176</v>
      </c>
      <c r="M3617" s="55" t="s">
        <v>2824</v>
      </c>
      <c r="N3617" s="4" t="s">
        <v>177</v>
      </c>
      <c r="O3617" s="55" t="s">
        <v>178</v>
      </c>
    </row>
    <row r="3618" spans="2:15">
      <c r="B3618" s="20">
        <v>45530</v>
      </c>
      <c r="C3618" s="59">
        <v>50804970</v>
      </c>
      <c r="D3618" s="55" t="s">
        <v>857</v>
      </c>
      <c r="G3618" s="122">
        <v>980000</v>
      </c>
      <c r="H3618" s="56" t="s">
        <v>92</v>
      </c>
      <c r="K3618" s="56">
        <v>1025</v>
      </c>
      <c r="L3618" s="55" t="s">
        <v>176</v>
      </c>
      <c r="M3618" s="55" t="s">
        <v>2824</v>
      </c>
      <c r="N3618" s="4" t="s">
        <v>177</v>
      </c>
      <c r="O3618" s="55" t="s">
        <v>178</v>
      </c>
    </row>
    <row r="3619" spans="2:15">
      <c r="B3619" s="20">
        <v>45530</v>
      </c>
      <c r="C3619" s="59">
        <v>50804971</v>
      </c>
      <c r="D3619" s="55" t="s">
        <v>855</v>
      </c>
      <c r="G3619" s="122">
        <v>990000</v>
      </c>
      <c r="H3619" s="56" t="s">
        <v>92</v>
      </c>
      <c r="K3619" s="56">
        <v>1025</v>
      </c>
      <c r="L3619" s="55" t="s">
        <v>176</v>
      </c>
      <c r="M3619" s="55" t="s">
        <v>2824</v>
      </c>
      <c r="N3619" s="4" t="s">
        <v>177</v>
      </c>
      <c r="O3619" s="55" t="s">
        <v>178</v>
      </c>
    </row>
    <row r="3620" spans="2:15">
      <c r="B3620" s="20">
        <v>45530</v>
      </c>
      <c r="C3620" s="59">
        <v>50804929</v>
      </c>
      <c r="D3620" s="55" t="s">
        <v>856</v>
      </c>
      <c r="G3620" s="122">
        <v>996000</v>
      </c>
      <c r="H3620" s="56" t="s">
        <v>92</v>
      </c>
      <c r="K3620" s="56">
        <v>1025</v>
      </c>
      <c r="L3620" s="55" t="s">
        <v>176</v>
      </c>
      <c r="M3620" s="55" t="s">
        <v>2824</v>
      </c>
      <c r="N3620" s="4" t="s">
        <v>177</v>
      </c>
      <c r="O3620" s="55" t="s">
        <v>178</v>
      </c>
    </row>
    <row r="3621" spans="2:15">
      <c r="B3621" s="20">
        <v>45530</v>
      </c>
      <c r="C3621" s="59">
        <v>40010087</v>
      </c>
      <c r="D3621" s="55" t="s">
        <v>387</v>
      </c>
      <c r="G3621" s="122">
        <v>1926</v>
      </c>
      <c r="H3621" s="56" t="s">
        <v>80</v>
      </c>
      <c r="K3621" s="56">
        <v>1025</v>
      </c>
      <c r="L3621" s="55" t="s">
        <v>176</v>
      </c>
      <c r="M3621" s="55" t="s">
        <v>2824</v>
      </c>
      <c r="N3621" s="4" t="s">
        <v>177</v>
      </c>
      <c r="O3621" s="55" t="s">
        <v>178</v>
      </c>
    </row>
    <row r="3622" spans="2:15">
      <c r="B3622" s="20">
        <v>45530</v>
      </c>
      <c r="C3622" s="59">
        <v>40011133</v>
      </c>
      <c r="D3622" s="55" t="s">
        <v>634</v>
      </c>
      <c r="G3622" s="122">
        <v>1061</v>
      </c>
      <c r="H3622" s="56" t="s">
        <v>80</v>
      </c>
      <c r="K3622" s="56">
        <v>1025</v>
      </c>
      <c r="L3622" s="55" t="s">
        <v>176</v>
      </c>
      <c r="M3622" s="55" t="s">
        <v>2824</v>
      </c>
      <c r="N3622" s="4" t="s">
        <v>177</v>
      </c>
      <c r="O3622" s="55" t="s">
        <v>178</v>
      </c>
    </row>
    <row r="3623" spans="2:15">
      <c r="B3623" s="20">
        <v>45530</v>
      </c>
      <c r="C3623" s="59">
        <v>50145187</v>
      </c>
      <c r="D3623" s="55" t="s">
        <v>465</v>
      </c>
      <c r="G3623" s="122">
        <v>1320000</v>
      </c>
      <c r="H3623" s="56" t="s">
        <v>92</v>
      </c>
      <c r="K3623" s="56">
        <v>1025</v>
      </c>
      <c r="L3623" s="55" t="s">
        <v>176</v>
      </c>
      <c r="M3623" s="55" t="s">
        <v>2824</v>
      </c>
      <c r="N3623" s="4" t="s">
        <v>177</v>
      </c>
      <c r="O3623" s="55" t="s">
        <v>178</v>
      </c>
    </row>
    <row r="3624" spans="2:15">
      <c r="B3624" s="20">
        <v>45530</v>
      </c>
      <c r="C3624" s="59">
        <v>50144200</v>
      </c>
      <c r="D3624" s="55" t="s">
        <v>184</v>
      </c>
      <c r="G3624" s="122">
        <v>792000</v>
      </c>
      <c r="H3624" s="56" t="s">
        <v>92</v>
      </c>
      <c r="K3624" s="56">
        <v>1025</v>
      </c>
      <c r="L3624" s="55" t="s">
        <v>176</v>
      </c>
      <c r="M3624" s="55" t="s">
        <v>2824</v>
      </c>
      <c r="N3624" s="4" t="s">
        <v>177</v>
      </c>
      <c r="O3624" s="55" t="s">
        <v>178</v>
      </c>
    </row>
    <row r="3625" spans="2:15">
      <c r="B3625" s="20">
        <v>45530</v>
      </c>
      <c r="C3625" s="59">
        <v>50507916</v>
      </c>
      <c r="D3625" s="55" t="s">
        <v>406</v>
      </c>
      <c r="G3625" s="122">
        <v>528000</v>
      </c>
      <c r="H3625" s="56" t="s">
        <v>92</v>
      </c>
      <c r="K3625" s="56">
        <v>1025</v>
      </c>
      <c r="L3625" s="55" t="s">
        <v>176</v>
      </c>
      <c r="M3625" s="55" t="s">
        <v>2824</v>
      </c>
      <c r="N3625" s="4" t="s">
        <v>177</v>
      </c>
      <c r="O3625" s="55" t="s">
        <v>178</v>
      </c>
    </row>
    <row r="3626" spans="2:15">
      <c r="B3626" s="20">
        <v>45530</v>
      </c>
      <c r="C3626" s="59">
        <v>50337814</v>
      </c>
      <c r="D3626" s="55" t="s">
        <v>669</v>
      </c>
      <c r="G3626" s="122">
        <v>264</v>
      </c>
      <c r="H3626" s="56" t="s">
        <v>80</v>
      </c>
      <c r="K3626" s="56">
        <v>1025</v>
      </c>
      <c r="L3626" s="55" t="s">
        <v>176</v>
      </c>
      <c r="M3626" s="55" t="s">
        <v>2824</v>
      </c>
      <c r="N3626" s="4" t="s">
        <v>177</v>
      </c>
      <c r="O3626" s="55" t="s">
        <v>178</v>
      </c>
    </row>
    <row r="3627" spans="2:15">
      <c r="B3627" s="20">
        <v>45530</v>
      </c>
      <c r="C3627" s="59">
        <v>50337816</v>
      </c>
      <c r="D3627" s="55" t="s">
        <v>245</v>
      </c>
      <c r="G3627" s="122">
        <v>528</v>
      </c>
      <c r="H3627" s="56" t="s">
        <v>80</v>
      </c>
      <c r="K3627" s="56">
        <v>1025</v>
      </c>
      <c r="L3627" s="55" t="s">
        <v>176</v>
      </c>
      <c r="M3627" s="55" t="s">
        <v>2824</v>
      </c>
      <c r="N3627" s="4" t="s">
        <v>177</v>
      </c>
      <c r="O3627" s="55" t="s">
        <v>178</v>
      </c>
    </row>
    <row r="3628" spans="2:15">
      <c r="B3628" s="20">
        <v>45530</v>
      </c>
      <c r="C3628" s="59">
        <v>50515034</v>
      </c>
      <c r="D3628" s="55" t="s">
        <v>41</v>
      </c>
      <c r="G3628" s="65">
        <v>32.4</v>
      </c>
      <c r="H3628" s="56" t="s">
        <v>80</v>
      </c>
      <c r="K3628" s="56">
        <v>1026</v>
      </c>
      <c r="L3628" s="55" t="s">
        <v>392</v>
      </c>
      <c r="M3628" s="55" t="s">
        <v>392</v>
      </c>
      <c r="N3628" s="4" t="s">
        <v>2851</v>
      </c>
      <c r="O3628" s="55" t="s">
        <v>178</v>
      </c>
    </row>
    <row r="3629" spans="2:15">
      <c r="B3629" s="20">
        <v>45530</v>
      </c>
      <c r="C3629" s="59">
        <v>50834329</v>
      </c>
      <c r="D3629" s="55" t="s">
        <v>1475</v>
      </c>
      <c r="G3629" s="65">
        <v>380.25</v>
      </c>
      <c r="H3629" s="56" t="s">
        <v>82</v>
      </c>
      <c r="K3629" s="56">
        <v>1026</v>
      </c>
      <c r="L3629" s="55" t="s">
        <v>392</v>
      </c>
      <c r="M3629" s="55" t="s">
        <v>392</v>
      </c>
      <c r="N3629" s="4" t="s">
        <v>2851</v>
      </c>
      <c r="O3629" s="55" t="s">
        <v>178</v>
      </c>
    </row>
    <row r="3630" spans="2:15">
      <c r="B3630" s="20">
        <v>45530</v>
      </c>
      <c r="C3630" s="59">
        <v>50272278</v>
      </c>
      <c r="D3630" s="55" t="s">
        <v>21</v>
      </c>
      <c r="G3630" s="65">
        <v>350</v>
      </c>
      <c r="H3630" s="56" t="s">
        <v>92</v>
      </c>
      <c r="K3630" s="56">
        <v>1026</v>
      </c>
      <c r="L3630" s="55" t="s">
        <v>392</v>
      </c>
      <c r="M3630" s="55" t="s">
        <v>392</v>
      </c>
      <c r="N3630" s="4" t="s">
        <v>2851</v>
      </c>
      <c r="O3630" s="55" t="s">
        <v>178</v>
      </c>
    </row>
    <row r="3631" spans="2:15">
      <c r="B3631" s="20">
        <v>45531</v>
      </c>
      <c r="C3631" s="59">
        <v>50272278</v>
      </c>
      <c r="D3631" s="55" t="s">
        <v>21</v>
      </c>
      <c r="G3631" s="65">
        <v>7700</v>
      </c>
      <c r="H3631" s="56" t="s">
        <v>92</v>
      </c>
      <c r="K3631" s="56">
        <v>1027</v>
      </c>
      <c r="L3631" s="55" t="s">
        <v>176</v>
      </c>
      <c r="M3631" s="55" t="s">
        <v>2824</v>
      </c>
      <c r="N3631" s="4" t="s">
        <v>177</v>
      </c>
      <c r="O3631" s="55" t="s">
        <v>178</v>
      </c>
    </row>
    <row r="3632" spans="2:15">
      <c r="B3632" s="20">
        <v>45531</v>
      </c>
      <c r="C3632" s="59">
        <v>40499</v>
      </c>
      <c r="D3632" s="55" t="s">
        <v>2863</v>
      </c>
      <c r="G3632" s="63">
        <v>22</v>
      </c>
      <c r="H3632" s="56" t="s">
        <v>92</v>
      </c>
      <c r="K3632" s="56">
        <v>1027</v>
      </c>
      <c r="L3632" s="55" t="s">
        <v>176</v>
      </c>
      <c r="M3632" s="55" t="s">
        <v>2824</v>
      </c>
      <c r="N3632" s="4" t="s">
        <v>177</v>
      </c>
      <c r="O3632" s="55" t="s">
        <v>178</v>
      </c>
    </row>
    <row r="3633" spans="2:15">
      <c r="B3633" s="20">
        <v>45531</v>
      </c>
      <c r="C3633" s="59">
        <v>50272278</v>
      </c>
      <c r="D3633" s="55" t="s">
        <v>21</v>
      </c>
      <c r="G3633" s="65">
        <v>3850</v>
      </c>
      <c r="H3633" s="56" t="s">
        <v>92</v>
      </c>
      <c r="K3633" s="56">
        <v>1028</v>
      </c>
      <c r="L3633" s="55" t="s">
        <v>176</v>
      </c>
      <c r="M3633" s="55" t="s">
        <v>2824</v>
      </c>
      <c r="N3633" s="4" t="s">
        <v>177</v>
      </c>
      <c r="O3633" s="55" t="s">
        <v>178</v>
      </c>
    </row>
    <row r="3634" spans="2:15">
      <c r="B3634" s="20">
        <v>45531</v>
      </c>
      <c r="C3634" s="59">
        <v>50470190</v>
      </c>
      <c r="D3634" s="55" t="s">
        <v>12</v>
      </c>
      <c r="G3634" s="65">
        <v>2608200</v>
      </c>
      <c r="H3634" s="56" t="s">
        <v>92</v>
      </c>
      <c r="K3634" s="56">
        <v>1028</v>
      </c>
      <c r="L3634" s="55" t="s">
        <v>176</v>
      </c>
      <c r="M3634" s="55" t="s">
        <v>2824</v>
      </c>
      <c r="N3634" s="4" t="s">
        <v>177</v>
      </c>
      <c r="O3634" s="55" t="s">
        <v>178</v>
      </c>
    </row>
    <row r="3635" spans="2:15">
      <c r="B3635" s="20">
        <v>45532</v>
      </c>
      <c r="C3635" s="59">
        <v>50501117</v>
      </c>
      <c r="D3635" s="55" t="s">
        <v>1541</v>
      </c>
      <c r="G3635" s="65">
        <v>52416</v>
      </c>
      <c r="H3635" s="56" t="s">
        <v>92</v>
      </c>
      <c r="K3635" s="56">
        <v>1029</v>
      </c>
      <c r="L3635" s="55" t="s">
        <v>2601</v>
      </c>
      <c r="M3635" s="55" t="s">
        <v>392</v>
      </c>
      <c r="N3635" s="4" t="s">
        <v>1793</v>
      </c>
      <c r="O3635" s="55" t="s">
        <v>178</v>
      </c>
    </row>
    <row r="3636" spans="2:15">
      <c r="B3636" s="20">
        <v>45532</v>
      </c>
      <c r="C3636" s="59">
        <v>50010080</v>
      </c>
      <c r="D3636" s="55" t="s">
        <v>354</v>
      </c>
      <c r="G3636" s="65">
        <v>3000</v>
      </c>
      <c r="H3636" s="56" t="s">
        <v>82</v>
      </c>
      <c r="K3636" s="56">
        <v>1030</v>
      </c>
      <c r="L3636" s="55" t="s">
        <v>176</v>
      </c>
      <c r="M3636" s="55" t="s">
        <v>2824</v>
      </c>
      <c r="N3636" s="4" t="s">
        <v>177</v>
      </c>
      <c r="O3636" s="55" t="s">
        <v>178</v>
      </c>
    </row>
    <row r="3637" spans="2:15">
      <c r="B3637" s="20">
        <v>45532</v>
      </c>
      <c r="C3637" s="59">
        <v>50272278</v>
      </c>
      <c r="D3637" s="55" t="s">
        <v>21</v>
      </c>
      <c r="G3637" s="65">
        <v>2100</v>
      </c>
      <c r="H3637" s="56" t="s">
        <v>92</v>
      </c>
      <c r="K3637" s="56">
        <v>1030</v>
      </c>
      <c r="L3637" s="55" t="s">
        <v>176</v>
      </c>
      <c r="M3637" s="55" t="s">
        <v>2824</v>
      </c>
      <c r="N3637" s="4" t="s">
        <v>177</v>
      </c>
      <c r="O3637" s="55" t="s">
        <v>178</v>
      </c>
    </row>
    <row r="3638" spans="2:15">
      <c r="B3638" s="20">
        <v>45532</v>
      </c>
      <c r="C3638" s="59">
        <v>40499</v>
      </c>
      <c r="D3638" s="55" t="s">
        <v>1094</v>
      </c>
      <c r="G3638" s="63">
        <v>14</v>
      </c>
      <c r="H3638" s="56" t="s">
        <v>92</v>
      </c>
      <c r="K3638" s="56">
        <v>1030</v>
      </c>
      <c r="L3638" s="55" t="s">
        <v>176</v>
      </c>
      <c r="M3638" s="55" t="s">
        <v>2824</v>
      </c>
      <c r="N3638" s="4" t="s">
        <v>177</v>
      </c>
      <c r="O3638" s="55" t="s">
        <v>178</v>
      </c>
    </row>
    <row r="3639" spans="2:15">
      <c r="B3639" s="20">
        <v>45532</v>
      </c>
      <c r="C3639" s="59">
        <v>50142350</v>
      </c>
      <c r="D3639" s="55" t="s">
        <v>212</v>
      </c>
      <c r="G3639" s="65">
        <v>1186.5</v>
      </c>
      <c r="H3639" s="56" t="s">
        <v>82</v>
      </c>
      <c r="K3639" s="56">
        <v>1030</v>
      </c>
      <c r="L3639" s="55" t="s">
        <v>176</v>
      </c>
      <c r="M3639" s="55" t="s">
        <v>2824</v>
      </c>
      <c r="N3639" s="4" t="s">
        <v>177</v>
      </c>
      <c r="O3639" s="55" t="s">
        <v>178</v>
      </c>
    </row>
    <row r="3640" spans="2:15">
      <c r="B3640" s="20">
        <v>45532</v>
      </c>
      <c r="C3640" s="59">
        <v>50142327</v>
      </c>
      <c r="D3640" s="55" t="s">
        <v>256</v>
      </c>
      <c r="F3640" s="67">
        <f>+G3640/476.7</f>
        <v>4</v>
      </c>
      <c r="G3640" s="65">
        <v>1906.8</v>
      </c>
      <c r="H3640" s="56" t="s">
        <v>82</v>
      </c>
      <c r="K3640" s="56">
        <v>1030</v>
      </c>
      <c r="L3640" s="55" t="s">
        <v>176</v>
      </c>
      <c r="M3640" s="55" t="s">
        <v>2824</v>
      </c>
      <c r="N3640" s="4" t="s">
        <v>177</v>
      </c>
      <c r="O3640" s="55" t="s">
        <v>178</v>
      </c>
    </row>
    <row r="3641" spans="2:15">
      <c r="B3641" s="20">
        <v>45532</v>
      </c>
      <c r="C3641" s="59">
        <v>50142334</v>
      </c>
      <c r="D3641" s="55" t="s">
        <v>257</v>
      </c>
      <c r="G3641" s="65">
        <v>1906.8</v>
      </c>
      <c r="H3641" s="56" t="s">
        <v>92</v>
      </c>
      <c r="K3641" s="56">
        <v>1030</v>
      </c>
      <c r="L3641" s="55" t="s">
        <v>176</v>
      </c>
      <c r="M3641" s="55" t="s">
        <v>2824</v>
      </c>
      <c r="N3641" s="4" t="s">
        <v>177</v>
      </c>
      <c r="O3641" s="55" t="s">
        <v>178</v>
      </c>
    </row>
    <row r="3642" spans="2:15">
      <c r="B3642" s="20">
        <v>45532</v>
      </c>
      <c r="C3642" s="59">
        <v>50501117</v>
      </c>
      <c r="D3642" s="55" t="s">
        <v>1541</v>
      </c>
      <c r="G3642" s="65">
        <v>52416</v>
      </c>
      <c r="H3642" s="56" t="s">
        <v>92</v>
      </c>
      <c r="K3642" s="56">
        <v>1032</v>
      </c>
      <c r="L3642" s="55" t="s">
        <v>392</v>
      </c>
      <c r="M3642" s="55" t="s">
        <v>392</v>
      </c>
      <c r="N3642" s="4" t="s">
        <v>2852</v>
      </c>
      <c r="O3642" s="55" t="s">
        <v>178</v>
      </c>
    </row>
    <row r="3643" spans="2:15">
      <c r="B3643" s="20">
        <v>45532</v>
      </c>
      <c r="C3643" s="59">
        <v>50551885</v>
      </c>
      <c r="D3643" s="55" t="s">
        <v>1251</v>
      </c>
      <c r="G3643" s="65">
        <v>720000</v>
      </c>
      <c r="H3643" s="56" t="s">
        <v>92</v>
      </c>
      <c r="K3643" s="56">
        <v>1031</v>
      </c>
      <c r="L3643" s="55" t="s">
        <v>176</v>
      </c>
      <c r="M3643" s="55" t="s">
        <v>2824</v>
      </c>
      <c r="N3643" s="4" t="s">
        <v>177</v>
      </c>
      <c r="O3643" s="55" t="s">
        <v>178</v>
      </c>
    </row>
    <row r="3644" spans="2:15">
      <c r="B3644" s="20">
        <v>45532</v>
      </c>
      <c r="C3644" s="59">
        <v>40010087</v>
      </c>
      <c r="D3644" s="55" t="s">
        <v>387</v>
      </c>
      <c r="G3644" s="65">
        <v>1728</v>
      </c>
      <c r="H3644" s="56" t="s">
        <v>80</v>
      </c>
      <c r="K3644" s="56">
        <v>1031</v>
      </c>
      <c r="L3644" s="55" t="s">
        <v>176</v>
      </c>
      <c r="M3644" s="55" t="s">
        <v>2824</v>
      </c>
      <c r="N3644" s="4" t="s">
        <v>177</v>
      </c>
      <c r="O3644" s="55" t="s">
        <v>178</v>
      </c>
    </row>
    <row r="3645" spans="2:15">
      <c r="B3645" s="20">
        <v>45532</v>
      </c>
      <c r="C3645" s="59">
        <v>50272278</v>
      </c>
      <c r="D3645" s="55" t="s">
        <v>21</v>
      </c>
      <c r="G3645" s="65">
        <v>4200</v>
      </c>
      <c r="H3645" s="56" t="s">
        <v>92</v>
      </c>
      <c r="K3645" s="56">
        <v>1031</v>
      </c>
      <c r="L3645" s="55" t="s">
        <v>176</v>
      </c>
      <c r="M3645" s="55" t="s">
        <v>2824</v>
      </c>
      <c r="N3645" s="4" t="s">
        <v>177</v>
      </c>
      <c r="O3645" s="55" t="s">
        <v>178</v>
      </c>
    </row>
    <row r="3646" spans="2:15">
      <c r="B3646" s="20">
        <v>45532</v>
      </c>
      <c r="C3646" s="59">
        <v>50142373</v>
      </c>
      <c r="D3646" s="55" t="s">
        <v>1130</v>
      </c>
      <c r="G3646" s="65">
        <v>150</v>
      </c>
      <c r="H3646" s="56" t="s">
        <v>82</v>
      </c>
      <c r="K3646" s="56">
        <v>1031</v>
      </c>
      <c r="L3646" s="55" t="s">
        <v>176</v>
      </c>
      <c r="M3646" s="55" t="s">
        <v>2824</v>
      </c>
      <c r="N3646" s="4" t="s">
        <v>177</v>
      </c>
      <c r="O3646" s="55" t="s">
        <v>178</v>
      </c>
    </row>
    <row r="3647" spans="2:15">
      <c r="B3647" s="20">
        <v>45532</v>
      </c>
      <c r="C3647" s="59">
        <v>40499</v>
      </c>
      <c r="D3647" s="55" t="s">
        <v>1094</v>
      </c>
      <c r="G3647" s="65">
        <v>12</v>
      </c>
      <c r="H3647" s="56" t="s">
        <v>92</v>
      </c>
      <c r="K3647" s="56">
        <v>1031</v>
      </c>
      <c r="L3647" s="55" t="s">
        <v>176</v>
      </c>
      <c r="M3647" s="55" t="s">
        <v>2824</v>
      </c>
      <c r="N3647" s="4" t="s">
        <v>177</v>
      </c>
      <c r="O3647" s="55" t="s">
        <v>178</v>
      </c>
    </row>
    <row r="3648" spans="2:15">
      <c r="B3648" s="20">
        <v>45532</v>
      </c>
      <c r="C3648" s="59">
        <v>50392045</v>
      </c>
      <c r="D3648" s="55" t="s">
        <v>707</v>
      </c>
      <c r="G3648" s="65">
        <v>12</v>
      </c>
      <c r="H3648" s="56" t="s">
        <v>505</v>
      </c>
      <c r="K3648" s="56">
        <v>1031</v>
      </c>
      <c r="L3648" s="55" t="s">
        <v>176</v>
      </c>
      <c r="M3648" s="55" t="s">
        <v>2824</v>
      </c>
      <c r="N3648" s="4" t="s">
        <v>177</v>
      </c>
      <c r="O3648" s="55" t="s">
        <v>178</v>
      </c>
    </row>
    <row r="3649" spans="2:15">
      <c r="B3649" s="20">
        <v>45532</v>
      </c>
      <c r="C3649" s="59">
        <v>50337816</v>
      </c>
      <c r="D3649" s="55" t="s">
        <v>245</v>
      </c>
      <c r="G3649" s="65">
        <v>528</v>
      </c>
      <c r="H3649" s="56" t="s">
        <v>80</v>
      </c>
      <c r="K3649" s="56">
        <v>1031</v>
      </c>
      <c r="L3649" s="55" t="s">
        <v>176</v>
      </c>
      <c r="M3649" s="55" t="s">
        <v>2824</v>
      </c>
      <c r="N3649" s="4" t="s">
        <v>177</v>
      </c>
      <c r="O3649" s="55" t="s">
        <v>178</v>
      </c>
    </row>
    <row r="3650" spans="2:15">
      <c r="B3650" s="20">
        <v>45532</v>
      </c>
      <c r="C3650" s="59">
        <v>50392046</v>
      </c>
      <c r="D3650" s="55" t="s">
        <v>509</v>
      </c>
      <c r="G3650" s="65">
        <v>12</v>
      </c>
      <c r="H3650" s="56" t="s">
        <v>505</v>
      </c>
      <c r="K3650" s="56">
        <v>1031</v>
      </c>
      <c r="L3650" s="55" t="s">
        <v>176</v>
      </c>
      <c r="M3650" s="55" t="s">
        <v>2824</v>
      </c>
      <c r="N3650" s="4" t="s">
        <v>177</v>
      </c>
      <c r="O3650" s="55" t="s">
        <v>178</v>
      </c>
    </row>
    <row r="3651" spans="2:15">
      <c r="B3651" s="20">
        <v>45532</v>
      </c>
      <c r="C3651" s="59">
        <v>50818949</v>
      </c>
      <c r="D3651" s="55" t="s">
        <v>1381</v>
      </c>
      <c r="G3651" s="65">
        <v>1800000</v>
      </c>
      <c r="H3651" s="56" t="s">
        <v>92</v>
      </c>
      <c r="K3651" s="56">
        <v>1031</v>
      </c>
      <c r="L3651" s="55" t="s">
        <v>176</v>
      </c>
      <c r="M3651" s="55" t="s">
        <v>2824</v>
      </c>
      <c r="N3651" s="4" t="s">
        <v>177</v>
      </c>
      <c r="O3651" s="55" t="s">
        <v>178</v>
      </c>
    </row>
    <row r="3652" spans="2:15">
      <c r="B3652" s="20">
        <v>45532</v>
      </c>
      <c r="C3652" s="59">
        <v>50272278</v>
      </c>
      <c r="D3652" s="55" t="s">
        <v>21</v>
      </c>
      <c r="G3652" s="65">
        <v>5000</v>
      </c>
      <c r="H3652" s="56" t="s">
        <v>92</v>
      </c>
      <c r="K3652" s="56">
        <v>1033</v>
      </c>
      <c r="L3652" s="55" t="s">
        <v>176</v>
      </c>
      <c r="M3652" s="55" t="s">
        <v>2824</v>
      </c>
      <c r="N3652" s="4" t="s">
        <v>177</v>
      </c>
      <c r="O3652" s="55" t="s">
        <v>178</v>
      </c>
    </row>
    <row r="3653" spans="2:15">
      <c r="B3653" s="20">
        <v>45532</v>
      </c>
      <c r="C3653" s="59">
        <v>40499</v>
      </c>
      <c r="D3653" s="55" t="s">
        <v>1094</v>
      </c>
      <c r="G3653" s="65">
        <v>20</v>
      </c>
      <c r="H3653" s="56" t="s">
        <v>92</v>
      </c>
      <c r="K3653" s="56">
        <v>1033</v>
      </c>
      <c r="L3653" s="55" t="s">
        <v>176</v>
      </c>
      <c r="M3653" s="55" t="s">
        <v>2824</v>
      </c>
      <c r="N3653" s="4" t="s">
        <v>177</v>
      </c>
      <c r="O3653" s="55" t="s">
        <v>178</v>
      </c>
    </row>
    <row r="3654" spans="2:15">
      <c r="B3654" s="20">
        <v>45532</v>
      </c>
      <c r="C3654" s="59">
        <v>50470190</v>
      </c>
      <c r="D3654" s="55" t="s">
        <v>12</v>
      </c>
      <c r="G3654" s="65">
        <v>2898000</v>
      </c>
      <c r="H3654" s="56" t="s">
        <v>92</v>
      </c>
      <c r="K3654" s="56">
        <v>1033</v>
      </c>
      <c r="L3654" s="55" t="s">
        <v>176</v>
      </c>
      <c r="M3654" s="55" t="s">
        <v>2824</v>
      </c>
      <c r="N3654" s="4" t="s">
        <v>177</v>
      </c>
      <c r="O3654" s="55" t="s">
        <v>178</v>
      </c>
    </row>
    <row r="3655" spans="2:15">
      <c r="B3655" s="20">
        <v>45532</v>
      </c>
      <c r="C3655" s="59">
        <v>50501117</v>
      </c>
      <c r="D3655" s="55" t="s">
        <v>1541</v>
      </c>
      <c r="G3655" s="65">
        <v>44928</v>
      </c>
      <c r="H3655" s="56" t="s">
        <v>92</v>
      </c>
      <c r="K3655" s="56">
        <v>1035</v>
      </c>
      <c r="L3655" s="55" t="s">
        <v>176</v>
      </c>
      <c r="M3655" s="55" t="s">
        <v>2824</v>
      </c>
      <c r="N3655" s="4" t="s">
        <v>177</v>
      </c>
      <c r="O3655" s="55" t="s">
        <v>178</v>
      </c>
    </row>
    <row r="3656" spans="2:15">
      <c r="B3656" s="20">
        <v>45532</v>
      </c>
      <c r="C3656" s="59">
        <v>50501117</v>
      </c>
      <c r="D3656" s="55" t="s">
        <v>1541</v>
      </c>
      <c r="G3656" s="65">
        <v>44928</v>
      </c>
      <c r="H3656" s="56" t="s">
        <v>92</v>
      </c>
      <c r="K3656" s="56">
        <v>1036</v>
      </c>
      <c r="L3656" s="55" t="s">
        <v>176</v>
      </c>
      <c r="M3656" s="55" t="s">
        <v>2824</v>
      </c>
      <c r="N3656" s="4" t="s">
        <v>177</v>
      </c>
      <c r="O3656" s="55" t="s">
        <v>178</v>
      </c>
    </row>
    <row r="3657" spans="2:15">
      <c r="B3657" s="20">
        <v>45533</v>
      </c>
      <c r="C3657" s="59">
        <v>50501117</v>
      </c>
      <c r="D3657" s="55" t="s">
        <v>1541</v>
      </c>
      <c r="G3657" s="65">
        <v>44928</v>
      </c>
      <c r="H3657" s="56" t="s">
        <v>92</v>
      </c>
      <c r="K3657" s="56">
        <v>1037</v>
      </c>
      <c r="L3657" s="55" t="s">
        <v>176</v>
      </c>
      <c r="M3657" s="55" t="s">
        <v>2824</v>
      </c>
      <c r="N3657" s="4" t="s">
        <v>177</v>
      </c>
      <c r="O3657" s="55" t="s">
        <v>178</v>
      </c>
    </row>
    <row r="3658" spans="2:15">
      <c r="B3658" s="20">
        <v>45533</v>
      </c>
      <c r="C3658" s="59">
        <v>50501117</v>
      </c>
      <c r="D3658" s="55" t="s">
        <v>1541</v>
      </c>
      <c r="G3658" s="65">
        <v>22464</v>
      </c>
      <c r="H3658" s="56" t="s">
        <v>92</v>
      </c>
      <c r="K3658" s="56">
        <v>1038</v>
      </c>
      <c r="L3658" s="55" t="s">
        <v>392</v>
      </c>
      <c r="M3658" s="55" t="s">
        <v>2824</v>
      </c>
      <c r="N3658" s="4" t="s">
        <v>1275</v>
      </c>
      <c r="O3658" s="55" t="s">
        <v>178</v>
      </c>
    </row>
    <row r="3659" spans="2:15">
      <c r="B3659" s="20">
        <v>45533</v>
      </c>
      <c r="C3659" s="59">
        <v>50470190</v>
      </c>
      <c r="D3659" s="55" t="s">
        <v>12</v>
      </c>
      <c r="G3659" s="65">
        <v>3187800</v>
      </c>
      <c r="H3659" s="56" t="s">
        <v>92</v>
      </c>
      <c r="K3659" s="56">
        <v>1039</v>
      </c>
      <c r="L3659" s="55" t="s">
        <v>176</v>
      </c>
      <c r="M3659" s="55" t="s">
        <v>2824</v>
      </c>
      <c r="N3659" s="4" t="s">
        <v>177</v>
      </c>
      <c r="O3659" s="55" t="s">
        <v>178</v>
      </c>
    </row>
    <row r="3660" spans="2:15">
      <c r="B3660" s="20">
        <v>45533</v>
      </c>
      <c r="C3660" s="59">
        <v>50802401</v>
      </c>
      <c r="D3660" s="55" t="s">
        <v>13</v>
      </c>
      <c r="G3660" s="65">
        <v>2028600</v>
      </c>
      <c r="H3660" s="56" t="s">
        <v>92</v>
      </c>
      <c r="K3660" s="56">
        <v>1039</v>
      </c>
      <c r="L3660" s="55" t="s">
        <v>176</v>
      </c>
      <c r="M3660" s="55" t="s">
        <v>2824</v>
      </c>
      <c r="N3660" s="4" t="s">
        <v>177</v>
      </c>
      <c r="O3660" s="55" t="s">
        <v>178</v>
      </c>
    </row>
    <row r="3661" spans="2:15">
      <c r="B3661" s="20">
        <v>45534</v>
      </c>
      <c r="C3661" s="59">
        <v>50144376</v>
      </c>
      <c r="D3661" s="55" t="s">
        <v>19</v>
      </c>
      <c r="G3661" s="65">
        <v>10500</v>
      </c>
      <c r="H3661" s="56" t="s">
        <v>92</v>
      </c>
      <c r="K3661" s="56">
        <v>1040</v>
      </c>
      <c r="L3661" s="55" t="s">
        <v>176</v>
      </c>
      <c r="M3661" s="55" t="s">
        <v>2824</v>
      </c>
      <c r="N3661" s="4" t="s">
        <v>177</v>
      </c>
      <c r="O3661" s="55" t="s">
        <v>178</v>
      </c>
    </row>
    <row r="3662" spans="2:15">
      <c r="B3662" s="20">
        <v>45534</v>
      </c>
      <c r="C3662" s="59">
        <v>50142262</v>
      </c>
      <c r="D3662" s="55" t="s">
        <v>779</v>
      </c>
      <c r="G3662" s="65">
        <v>250</v>
      </c>
      <c r="H3662" s="56" t="s">
        <v>987</v>
      </c>
      <c r="K3662" s="56">
        <v>1040</v>
      </c>
      <c r="L3662" s="55" t="s">
        <v>176</v>
      </c>
      <c r="M3662" s="55" t="s">
        <v>2824</v>
      </c>
      <c r="N3662" s="4" t="s">
        <v>177</v>
      </c>
      <c r="O3662" s="55" t="s">
        <v>178</v>
      </c>
    </row>
    <row r="3663" spans="2:15">
      <c r="B3663" s="20">
        <v>45534</v>
      </c>
      <c r="C3663" s="59">
        <v>50144376</v>
      </c>
      <c r="D3663" s="55" t="s">
        <v>19</v>
      </c>
      <c r="G3663" s="65">
        <v>3500</v>
      </c>
      <c r="H3663" s="56" t="s">
        <v>92</v>
      </c>
      <c r="K3663" s="56">
        <v>1041</v>
      </c>
      <c r="L3663" s="55" t="s">
        <v>176</v>
      </c>
      <c r="M3663" s="55" t="s">
        <v>2824</v>
      </c>
      <c r="N3663" s="4" t="s">
        <v>177</v>
      </c>
      <c r="O3663" s="55" t="s">
        <v>178</v>
      </c>
    </row>
    <row r="3664" spans="2:15">
      <c r="B3664" s="20">
        <v>45534</v>
      </c>
      <c r="C3664" s="59">
        <v>40499</v>
      </c>
      <c r="D3664" s="55" t="s">
        <v>1094</v>
      </c>
      <c r="G3664" s="65">
        <v>42</v>
      </c>
      <c r="H3664" s="56" t="s">
        <v>92</v>
      </c>
      <c r="K3664" s="56">
        <v>1041</v>
      </c>
      <c r="L3664" s="55" t="s">
        <v>176</v>
      </c>
      <c r="M3664" s="55" t="s">
        <v>2824</v>
      </c>
      <c r="N3664" s="4" t="s">
        <v>177</v>
      </c>
      <c r="O3664" s="55" t="s">
        <v>178</v>
      </c>
    </row>
    <row r="3665" spans="2:15">
      <c r="B3665" s="20">
        <v>45534</v>
      </c>
      <c r="C3665" s="59">
        <v>50144376</v>
      </c>
      <c r="D3665" s="55" t="s">
        <v>19</v>
      </c>
      <c r="G3665" s="65">
        <v>3500</v>
      </c>
      <c r="H3665" s="56" t="s">
        <v>92</v>
      </c>
      <c r="K3665" s="56">
        <v>1041</v>
      </c>
      <c r="L3665" s="55" t="s">
        <v>176</v>
      </c>
      <c r="M3665" s="55" t="s">
        <v>2824</v>
      </c>
      <c r="N3665" s="4" t="s">
        <v>177</v>
      </c>
      <c r="O3665" s="55" t="s">
        <v>178</v>
      </c>
    </row>
    <row r="3666" spans="2:15">
      <c r="B3666" s="20">
        <v>45534</v>
      </c>
      <c r="C3666" s="59">
        <v>40499</v>
      </c>
      <c r="D3666" s="55" t="s">
        <v>1094</v>
      </c>
      <c r="G3666" s="65">
        <v>10</v>
      </c>
      <c r="H3666" s="56" t="s">
        <v>92</v>
      </c>
      <c r="K3666" s="56">
        <v>1041</v>
      </c>
      <c r="L3666" s="55" t="s">
        <v>176</v>
      </c>
      <c r="M3666" s="55" t="s">
        <v>2824</v>
      </c>
      <c r="N3666" s="4" t="s">
        <v>177</v>
      </c>
      <c r="O3666" s="55" t="s">
        <v>178</v>
      </c>
    </row>
    <row r="3667" spans="2:15">
      <c r="B3667" s="20">
        <v>45534</v>
      </c>
      <c r="C3667" s="59">
        <v>50470190</v>
      </c>
      <c r="D3667" s="55" t="s">
        <v>12</v>
      </c>
      <c r="G3667" s="65">
        <v>2898000</v>
      </c>
      <c r="H3667" s="56" t="s">
        <v>92</v>
      </c>
      <c r="K3667" s="56">
        <v>1041</v>
      </c>
      <c r="L3667" s="55" t="s">
        <v>176</v>
      </c>
      <c r="M3667" s="55" t="s">
        <v>2824</v>
      </c>
      <c r="N3667" s="4" t="s">
        <v>177</v>
      </c>
      <c r="O3667" s="55" t="s">
        <v>178</v>
      </c>
    </row>
    <row r="3668" spans="2:15">
      <c r="B3668" s="20">
        <v>45534</v>
      </c>
      <c r="C3668" s="59">
        <v>50272278</v>
      </c>
      <c r="D3668" s="55" t="s">
        <v>21</v>
      </c>
      <c r="G3668" s="65">
        <v>7500</v>
      </c>
      <c r="H3668" s="56" t="s">
        <v>92</v>
      </c>
      <c r="K3668" s="56">
        <v>1042</v>
      </c>
      <c r="L3668" s="55" t="s">
        <v>176</v>
      </c>
      <c r="M3668" s="55" t="s">
        <v>2824</v>
      </c>
      <c r="N3668" s="4" t="s">
        <v>177</v>
      </c>
      <c r="O3668" s="55" t="s">
        <v>178</v>
      </c>
    </row>
    <row r="3669" spans="2:15">
      <c r="B3669" s="20">
        <v>45534</v>
      </c>
      <c r="C3669" s="59">
        <v>40499</v>
      </c>
      <c r="D3669" s="55" t="s">
        <v>1094</v>
      </c>
      <c r="G3669" s="65">
        <v>35</v>
      </c>
      <c r="H3669" s="56" t="s">
        <v>92</v>
      </c>
      <c r="K3669" s="56">
        <v>1042</v>
      </c>
      <c r="L3669" s="55" t="s">
        <v>176</v>
      </c>
      <c r="M3669" s="55" t="s">
        <v>2824</v>
      </c>
      <c r="N3669" s="4" t="s">
        <v>177</v>
      </c>
      <c r="O3669" s="55" t="s">
        <v>178</v>
      </c>
    </row>
    <row r="3670" spans="2:15">
      <c r="B3670" s="20">
        <v>45534</v>
      </c>
      <c r="C3670" s="59">
        <v>50144376</v>
      </c>
      <c r="D3670" s="55" t="s">
        <v>19</v>
      </c>
      <c r="G3670" s="65">
        <v>1750</v>
      </c>
      <c r="H3670" s="56" t="s">
        <v>92</v>
      </c>
      <c r="K3670" s="56">
        <v>1042</v>
      </c>
      <c r="L3670" s="55" t="s">
        <v>176</v>
      </c>
      <c r="M3670" s="55" t="s">
        <v>2824</v>
      </c>
      <c r="N3670" s="4" t="s">
        <v>177</v>
      </c>
      <c r="O3670" s="55" t="s">
        <v>178</v>
      </c>
    </row>
    <row r="3671" spans="2:15">
      <c r="B3671" s="20">
        <v>45537</v>
      </c>
      <c r="C3671" s="59">
        <v>50272278</v>
      </c>
      <c r="D3671" s="55" t="s">
        <v>21</v>
      </c>
      <c r="G3671" s="65">
        <v>10100</v>
      </c>
      <c r="H3671" s="56" t="s">
        <v>92</v>
      </c>
      <c r="K3671" s="56">
        <v>1043</v>
      </c>
      <c r="L3671" s="55" t="s">
        <v>176</v>
      </c>
      <c r="M3671" s="55" t="s">
        <v>2824</v>
      </c>
      <c r="N3671" s="4" t="s">
        <v>177</v>
      </c>
      <c r="O3671" s="55" t="s">
        <v>178</v>
      </c>
    </row>
    <row r="3672" spans="2:15">
      <c r="B3672" s="20">
        <v>45537</v>
      </c>
      <c r="C3672" s="59">
        <v>40499</v>
      </c>
      <c r="D3672" s="55" t="s">
        <v>1094</v>
      </c>
      <c r="G3672" s="65">
        <v>38</v>
      </c>
      <c r="H3672" s="56" t="s">
        <v>92</v>
      </c>
      <c r="K3672" s="56">
        <v>1043</v>
      </c>
      <c r="L3672" s="55" t="s">
        <v>176</v>
      </c>
      <c r="M3672" s="55" t="s">
        <v>2824</v>
      </c>
      <c r="N3672" s="4" t="s">
        <v>177</v>
      </c>
      <c r="O3672" s="55" t="s">
        <v>178</v>
      </c>
    </row>
    <row r="3673" spans="2:15">
      <c r="B3673" s="20">
        <v>45537</v>
      </c>
      <c r="C3673" s="59">
        <v>20016059</v>
      </c>
      <c r="D3673" s="55" t="s">
        <v>1498</v>
      </c>
      <c r="G3673" s="65">
        <v>100</v>
      </c>
      <c r="H3673" s="56" t="s">
        <v>92</v>
      </c>
      <c r="K3673" s="56">
        <v>1043</v>
      </c>
      <c r="L3673" s="55" t="s">
        <v>176</v>
      </c>
      <c r="M3673" s="55" t="s">
        <v>2824</v>
      </c>
      <c r="N3673" s="4" t="s">
        <v>177</v>
      </c>
      <c r="O3673" s="55" t="s">
        <v>178</v>
      </c>
    </row>
    <row r="3674" spans="2:15">
      <c r="B3674" s="20">
        <v>45537</v>
      </c>
      <c r="C3674" s="59">
        <v>40009544</v>
      </c>
      <c r="D3674" s="55" t="s">
        <v>179</v>
      </c>
      <c r="G3674" s="65">
        <v>2940</v>
      </c>
      <c r="H3674" s="56" t="s">
        <v>80</v>
      </c>
      <c r="K3674" s="56">
        <v>1044</v>
      </c>
      <c r="L3674" s="55" t="s">
        <v>176</v>
      </c>
      <c r="M3674" s="55" t="s">
        <v>2824</v>
      </c>
      <c r="N3674" s="4" t="s">
        <v>177</v>
      </c>
      <c r="O3674" s="55" t="s">
        <v>178</v>
      </c>
    </row>
    <row r="3675" spans="2:15">
      <c r="B3675" s="20">
        <v>45537</v>
      </c>
      <c r="C3675" s="59">
        <v>40009546</v>
      </c>
      <c r="D3675" s="55" t="s">
        <v>174</v>
      </c>
      <c r="G3675" s="65">
        <v>2592</v>
      </c>
      <c r="H3675" s="56" t="s">
        <v>80</v>
      </c>
      <c r="K3675" s="56">
        <v>1044</v>
      </c>
      <c r="L3675" s="55" t="s">
        <v>176</v>
      </c>
      <c r="M3675" s="55" t="s">
        <v>2824</v>
      </c>
      <c r="N3675" s="4" t="s">
        <v>177</v>
      </c>
      <c r="O3675" s="55" t="s">
        <v>178</v>
      </c>
    </row>
    <row r="3676" spans="2:15">
      <c r="B3676" s="20">
        <v>45537</v>
      </c>
      <c r="C3676" s="59">
        <v>50272278</v>
      </c>
      <c r="D3676" s="55" t="s">
        <v>21</v>
      </c>
      <c r="G3676" s="65">
        <v>33500</v>
      </c>
      <c r="H3676" s="56" t="s">
        <v>92</v>
      </c>
      <c r="K3676" s="56">
        <v>1044</v>
      </c>
      <c r="L3676" s="55" t="s">
        <v>176</v>
      </c>
      <c r="M3676" s="55" t="s">
        <v>2824</v>
      </c>
      <c r="N3676" s="4" t="s">
        <v>177</v>
      </c>
      <c r="O3676" s="55" t="s">
        <v>178</v>
      </c>
    </row>
    <row r="3677" spans="2:15">
      <c r="B3677" s="20">
        <v>45537</v>
      </c>
      <c r="C3677" s="59">
        <v>40009543</v>
      </c>
      <c r="D3677" s="55" t="s">
        <v>473</v>
      </c>
      <c r="G3677" s="65">
        <v>5572</v>
      </c>
      <c r="H3677" s="56" t="s">
        <v>80</v>
      </c>
      <c r="K3677" s="56">
        <v>1044</v>
      </c>
      <c r="L3677" s="55" t="s">
        <v>176</v>
      </c>
      <c r="M3677" s="55" t="s">
        <v>2824</v>
      </c>
      <c r="N3677" s="4" t="s">
        <v>177</v>
      </c>
      <c r="O3677" s="55" t="s">
        <v>178</v>
      </c>
    </row>
    <row r="3678" spans="2:15">
      <c r="B3678" s="20">
        <v>45537</v>
      </c>
      <c r="C3678" s="59">
        <v>50145187</v>
      </c>
      <c r="D3678" s="55" t="s">
        <v>465</v>
      </c>
      <c r="G3678" s="65">
        <v>528000</v>
      </c>
      <c r="H3678" s="56" t="s">
        <v>92</v>
      </c>
      <c r="K3678" s="56">
        <v>1044</v>
      </c>
      <c r="L3678" s="55" t="s">
        <v>176</v>
      </c>
      <c r="M3678" s="55" t="s">
        <v>2824</v>
      </c>
      <c r="N3678" s="4" t="s">
        <v>177</v>
      </c>
      <c r="O3678" s="55" t="s">
        <v>178</v>
      </c>
    </row>
    <row r="3679" spans="2:15">
      <c r="B3679" s="20">
        <v>45537</v>
      </c>
      <c r="C3679" s="59">
        <v>50144200</v>
      </c>
      <c r="D3679" s="55" t="s">
        <v>184</v>
      </c>
      <c r="G3679" s="65">
        <v>528000</v>
      </c>
      <c r="H3679" s="56" t="s">
        <v>92</v>
      </c>
      <c r="K3679" s="56">
        <v>1044</v>
      </c>
      <c r="L3679" s="55" t="s">
        <v>176</v>
      </c>
      <c r="M3679" s="55" t="s">
        <v>2824</v>
      </c>
      <c r="N3679" s="4" t="s">
        <v>177</v>
      </c>
      <c r="O3679" s="55" t="s">
        <v>178</v>
      </c>
    </row>
    <row r="3680" spans="2:15">
      <c r="B3680" s="20">
        <v>45537</v>
      </c>
      <c r="C3680" s="59">
        <v>50829091</v>
      </c>
      <c r="D3680" s="55" t="s">
        <v>1380</v>
      </c>
      <c r="G3680" s="65">
        <v>500000</v>
      </c>
      <c r="H3680" s="56" t="s">
        <v>92</v>
      </c>
      <c r="K3680" s="56">
        <v>1044</v>
      </c>
      <c r="L3680" s="55" t="s">
        <v>176</v>
      </c>
      <c r="M3680" s="55" t="s">
        <v>2824</v>
      </c>
      <c r="N3680" s="4" t="s">
        <v>177</v>
      </c>
      <c r="O3680" s="55" t="s">
        <v>178</v>
      </c>
    </row>
    <row r="3681" spans="2:15">
      <c r="B3681" s="20">
        <v>45537</v>
      </c>
      <c r="C3681" s="59">
        <v>50142631</v>
      </c>
      <c r="D3681" s="55" t="s">
        <v>566</v>
      </c>
      <c r="G3681" s="65">
        <v>1500</v>
      </c>
      <c r="H3681" s="56" t="s">
        <v>92</v>
      </c>
      <c r="K3681" s="56">
        <v>1045</v>
      </c>
      <c r="L3681" s="55" t="s">
        <v>326</v>
      </c>
      <c r="M3681" s="55" t="s">
        <v>2824</v>
      </c>
      <c r="N3681" s="4" t="s">
        <v>239</v>
      </c>
      <c r="O3681" s="55" t="s">
        <v>178</v>
      </c>
    </row>
    <row r="3682" spans="2:15">
      <c r="B3682" s="20">
        <v>45537</v>
      </c>
      <c r="C3682" s="59">
        <v>50470190</v>
      </c>
      <c r="D3682" s="55" t="s">
        <v>12</v>
      </c>
      <c r="G3682" s="65">
        <v>4636800</v>
      </c>
      <c r="H3682" s="56" t="s">
        <v>92</v>
      </c>
      <c r="K3682" s="56">
        <v>1045</v>
      </c>
      <c r="L3682" s="55" t="s">
        <v>326</v>
      </c>
      <c r="M3682" s="55" t="s">
        <v>2824</v>
      </c>
      <c r="N3682" s="4" t="s">
        <v>239</v>
      </c>
      <c r="O3682" s="55" t="s">
        <v>178</v>
      </c>
    </row>
    <row r="3683" spans="2:15">
      <c r="B3683" s="20">
        <v>45538</v>
      </c>
      <c r="C3683" s="59">
        <v>50272278</v>
      </c>
      <c r="D3683" s="55" t="s">
        <v>21</v>
      </c>
      <c r="G3683" s="65">
        <v>7750</v>
      </c>
      <c r="H3683" s="56" t="s">
        <v>92</v>
      </c>
      <c r="K3683" s="56">
        <v>1046</v>
      </c>
      <c r="L3683" s="55" t="s">
        <v>176</v>
      </c>
      <c r="M3683" s="55" t="s">
        <v>2824</v>
      </c>
      <c r="N3683" s="4" t="s">
        <v>177</v>
      </c>
      <c r="O3683" s="55" t="s">
        <v>178</v>
      </c>
    </row>
    <row r="3684" spans="2:15">
      <c r="B3684" s="20">
        <v>45538</v>
      </c>
      <c r="C3684" s="59">
        <v>40499</v>
      </c>
      <c r="D3684" s="55" t="s">
        <v>1094</v>
      </c>
      <c r="G3684" s="65">
        <v>24</v>
      </c>
      <c r="H3684" s="56" t="s">
        <v>92</v>
      </c>
      <c r="K3684" s="56">
        <v>1046</v>
      </c>
      <c r="L3684" s="55" t="s">
        <v>176</v>
      </c>
      <c r="M3684" s="55" t="s">
        <v>2824</v>
      </c>
      <c r="N3684" s="4" t="s">
        <v>177</v>
      </c>
      <c r="O3684" s="55" t="s">
        <v>178</v>
      </c>
    </row>
    <row r="3685" spans="2:15">
      <c r="B3685" s="20">
        <v>45538</v>
      </c>
      <c r="C3685" s="59">
        <v>50470190</v>
      </c>
      <c r="D3685" s="55" t="s">
        <v>12</v>
      </c>
      <c r="G3685" s="65">
        <v>2318400</v>
      </c>
      <c r="H3685" s="56" t="s">
        <v>92</v>
      </c>
      <c r="K3685" s="56">
        <v>1046</v>
      </c>
      <c r="L3685" s="55" t="s">
        <v>176</v>
      </c>
      <c r="M3685" s="55" t="s">
        <v>2824</v>
      </c>
      <c r="N3685" s="4" t="s">
        <v>177</v>
      </c>
      <c r="O3685" s="55" t="s">
        <v>178</v>
      </c>
    </row>
    <row r="3686" spans="2:15">
      <c r="B3686" s="20">
        <v>45538</v>
      </c>
      <c r="C3686" s="59">
        <v>50010080</v>
      </c>
      <c r="D3686" s="55" t="s">
        <v>354</v>
      </c>
      <c r="G3686" s="65">
        <v>4000</v>
      </c>
      <c r="H3686" s="56" t="s">
        <v>82</v>
      </c>
      <c r="K3686" s="56">
        <v>1047</v>
      </c>
      <c r="L3686" s="55" t="s">
        <v>176</v>
      </c>
      <c r="M3686" s="55" t="s">
        <v>2824</v>
      </c>
      <c r="N3686" s="4" t="s">
        <v>177</v>
      </c>
      <c r="O3686" s="55" t="s">
        <v>178</v>
      </c>
    </row>
    <row r="3687" spans="2:15">
      <c r="B3687" s="20">
        <v>45538</v>
      </c>
      <c r="C3687" s="59">
        <v>50142330</v>
      </c>
      <c r="D3687" s="55" t="s">
        <v>195</v>
      </c>
      <c r="G3687" s="65">
        <v>359.28</v>
      </c>
      <c r="H3687" s="56" t="s">
        <v>82</v>
      </c>
      <c r="K3687" s="56">
        <v>1047</v>
      </c>
      <c r="L3687" s="55" t="s">
        <v>176</v>
      </c>
      <c r="M3687" s="55" t="s">
        <v>2824</v>
      </c>
      <c r="N3687" s="4" t="s">
        <v>177</v>
      </c>
      <c r="O3687" s="55" t="s">
        <v>178</v>
      </c>
    </row>
    <row r="3688" spans="2:15">
      <c r="B3688" s="20">
        <v>45538</v>
      </c>
      <c r="C3688" s="59">
        <v>40010087</v>
      </c>
      <c r="D3688" s="55" t="s">
        <v>387</v>
      </c>
      <c r="G3688" s="65">
        <v>1728</v>
      </c>
      <c r="H3688" s="56" t="s">
        <v>80</v>
      </c>
      <c r="K3688" s="56">
        <v>1047</v>
      </c>
      <c r="L3688" s="55" t="s">
        <v>176</v>
      </c>
      <c r="M3688" s="55" t="s">
        <v>2824</v>
      </c>
      <c r="N3688" s="4" t="s">
        <v>177</v>
      </c>
      <c r="O3688" s="55" t="s">
        <v>178</v>
      </c>
    </row>
    <row r="3689" spans="2:15">
      <c r="B3689" s="20">
        <v>45538</v>
      </c>
      <c r="C3689" s="59">
        <v>40011133</v>
      </c>
      <c r="D3689" s="55" t="s">
        <v>634</v>
      </c>
      <c r="G3689" s="65">
        <v>2178</v>
      </c>
      <c r="H3689" s="56" t="s">
        <v>80</v>
      </c>
      <c r="K3689" s="56">
        <v>1047</v>
      </c>
      <c r="L3689" s="55" t="s">
        <v>176</v>
      </c>
      <c r="M3689" s="55" t="s">
        <v>2824</v>
      </c>
      <c r="N3689" s="4" t="s">
        <v>177</v>
      </c>
      <c r="O3689" s="55" t="s">
        <v>178</v>
      </c>
    </row>
    <row r="3690" spans="2:15">
      <c r="B3690" s="20">
        <v>45538</v>
      </c>
      <c r="C3690" s="59">
        <v>50142327</v>
      </c>
      <c r="D3690" s="55" t="s">
        <v>256</v>
      </c>
      <c r="F3690" s="67">
        <f>+G3690/476.7</f>
        <v>3</v>
      </c>
      <c r="G3690" s="65">
        <v>1430.1</v>
      </c>
      <c r="H3690" s="56" t="s">
        <v>82</v>
      </c>
      <c r="K3690" s="56">
        <v>1047</v>
      </c>
      <c r="L3690" s="55" t="s">
        <v>176</v>
      </c>
      <c r="M3690" s="55" t="s">
        <v>2824</v>
      </c>
      <c r="N3690" s="4" t="s">
        <v>177</v>
      </c>
      <c r="O3690" s="55" t="s">
        <v>178</v>
      </c>
    </row>
    <row r="3691" spans="2:15">
      <c r="B3691" s="20">
        <v>45538</v>
      </c>
      <c r="C3691" s="59">
        <v>50142334</v>
      </c>
      <c r="D3691" s="55" t="s">
        <v>257</v>
      </c>
      <c r="G3691" s="65">
        <v>1430.1</v>
      </c>
      <c r="H3691" s="56" t="s">
        <v>82</v>
      </c>
      <c r="K3691" s="56">
        <v>1047</v>
      </c>
      <c r="L3691" s="55" t="s">
        <v>176</v>
      </c>
      <c r="M3691" s="55" t="s">
        <v>2824</v>
      </c>
      <c r="N3691" s="4" t="s">
        <v>177</v>
      </c>
      <c r="O3691" s="55" t="s">
        <v>178</v>
      </c>
    </row>
    <row r="3692" spans="2:15">
      <c r="B3692" s="20">
        <v>45538</v>
      </c>
      <c r="C3692" s="59">
        <v>50818949</v>
      </c>
      <c r="D3692" s="55" t="s">
        <v>1381</v>
      </c>
      <c r="G3692" s="65">
        <v>1900000</v>
      </c>
      <c r="H3692" s="56" t="s">
        <v>92</v>
      </c>
      <c r="K3692" s="56">
        <v>1047</v>
      </c>
      <c r="L3692" s="55" t="s">
        <v>176</v>
      </c>
      <c r="M3692" s="55" t="s">
        <v>2824</v>
      </c>
      <c r="N3692" s="4" t="s">
        <v>177</v>
      </c>
      <c r="O3692" s="55" t="s">
        <v>178</v>
      </c>
    </row>
    <row r="3693" spans="2:15">
      <c r="B3693" s="20">
        <v>45539</v>
      </c>
      <c r="C3693" s="59">
        <v>50142055</v>
      </c>
      <c r="D3693" s="55" t="s">
        <v>206</v>
      </c>
      <c r="G3693" s="65">
        <v>3600</v>
      </c>
      <c r="H3693" s="56" t="s">
        <v>82</v>
      </c>
      <c r="K3693" s="56">
        <v>1048</v>
      </c>
      <c r="L3693" s="55" t="s">
        <v>176</v>
      </c>
      <c r="M3693" s="55" t="s">
        <v>2824</v>
      </c>
      <c r="N3693" s="4" t="s">
        <v>177</v>
      </c>
      <c r="O3693" s="55" t="s">
        <v>178</v>
      </c>
    </row>
    <row r="3694" spans="2:15">
      <c r="B3694" s="20">
        <v>45539</v>
      </c>
      <c r="C3694" s="59">
        <v>50272278</v>
      </c>
      <c r="D3694" s="55" t="s">
        <v>21</v>
      </c>
      <c r="G3694" s="65">
        <v>3600</v>
      </c>
      <c r="H3694" s="56" t="s">
        <v>92</v>
      </c>
      <c r="K3694" s="56">
        <v>1048</v>
      </c>
      <c r="L3694" s="55" t="s">
        <v>176</v>
      </c>
      <c r="M3694" s="55" t="s">
        <v>2824</v>
      </c>
      <c r="N3694" s="4" t="s">
        <v>177</v>
      </c>
      <c r="O3694" s="55" t="s">
        <v>178</v>
      </c>
    </row>
    <row r="3695" spans="2:15">
      <c r="B3695" s="20">
        <v>45539</v>
      </c>
      <c r="C3695" s="59">
        <v>40499</v>
      </c>
      <c r="D3695" s="55" t="s">
        <v>1094</v>
      </c>
      <c r="G3695" s="65">
        <v>12</v>
      </c>
      <c r="H3695" s="56" t="s">
        <v>92</v>
      </c>
      <c r="K3695" s="56">
        <v>1048</v>
      </c>
      <c r="L3695" s="55" t="s">
        <v>176</v>
      </c>
      <c r="M3695" s="55" t="s">
        <v>2824</v>
      </c>
      <c r="N3695" s="4" t="s">
        <v>177</v>
      </c>
      <c r="O3695" s="55" t="s">
        <v>178</v>
      </c>
    </row>
    <row r="3696" spans="2:15">
      <c r="B3696" s="20">
        <v>45539</v>
      </c>
      <c r="C3696" s="59">
        <v>50470190</v>
      </c>
      <c r="D3696" s="55" t="s">
        <v>12</v>
      </c>
      <c r="G3696" s="65">
        <v>2318400</v>
      </c>
      <c r="H3696" s="56" t="s">
        <v>92</v>
      </c>
      <c r="K3696" s="56">
        <v>1048</v>
      </c>
      <c r="L3696" s="55" t="s">
        <v>176</v>
      </c>
      <c r="M3696" s="55" t="s">
        <v>2824</v>
      </c>
      <c r="N3696" s="4" t="s">
        <v>177</v>
      </c>
      <c r="O3696" s="55" t="s">
        <v>178</v>
      </c>
    </row>
    <row r="3697" spans="2:15">
      <c r="B3697" s="20">
        <v>45540</v>
      </c>
      <c r="C3697" s="59">
        <v>50143893</v>
      </c>
      <c r="D3697" s="55" t="s">
        <v>24</v>
      </c>
      <c r="G3697" s="122">
        <v>1122</v>
      </c>
      <c r="H3697" s="56" t="s">
        <v>82</v>
      </c>
      <c r="K3697" s="56">
        <v>1050</v>
      </c>
      <c r="L3697" s="55" t="s">
        <v>176</v>
      </c>
      <c r="M3697" s="55" t="s">
        <v>2824</v>
      </c>
      <c r="N3697" s="4" t="s">
        <v>177</v>
      </c>
      <c r="O3697" s="55" t="s">
        <v>178</v>
      </c>
    </row>
    <row r="3698" spans="2:15">
      <c r="B3698" s="20">
        <v>45540</v>
      </c>
      <c r="C3698" s="59">
        <v>50144376</v>
      </c>
      <c r="D3698" s="55" t="s">
        <v>19</v>
      </c>
      <c r="G3698" s="122">
        <v>5500</v>
      </c>
      <c r="H3698" s="56" t="s">
        <v>92</v>
      </c>
      <c r="K3698" s="56">
        <v>1050</v>
      </c>
      <c r="L3698" s="55" t="s">
        <v>176</v>
      </c>
      <c r="M3698" s="55" t="s">
        <v>2824</v>
      </c>
      <c r="N3698" s="4" t="s">
        <v>177</v>
      </c>
      <c r="O3698" s="55" t="s">
        <v>178</v>
      </c>
    </row>
    <row r="3699" spans="2:15">
      <c r="B3699" s="20">
        <v>45540</v>
      </c>
      <c r="C3699" s="59">
        <v>50144200</v>
      </c>
      <c r="D3699" s="55" t="s">
        <v>184</v>
      </c>
      <c r="G3699" s="122">
        <v>1584000</v>
      </c>
      <c r="H3699" s="56" t="s">
        <v>92</v>
      </c>
      <c r="K3699" s="56">
        <v>1050</v>
      </c>
      <c r="L3699" s="55" t="s">
        <v>176</v>
      </c>
      <c r="M3699" s="55" t="s">
        <v>2824</v>
      </c>
      <c r="N3699" s="4" t="s">
        <v>177</v>
      </c>
      <c r="O3699" s="55" t="s">
        <v>178</v>
      </c>
    </row>
    <row r="3700" spans="2:15">
      <c r="B3700" s="20">
        <v>45540</v>
      </c>
      <c r="C3700" s="59">
        <v>50470190</v>
      </c>
      <c r="D3700" s="55" t="s">
        <v>12</v>
      </c>
      <c r="G3700" s="122">
        <v>1159200</v>
      </c>
      <c r="H3700" s="56" t="s">
        <v>92</v>
      </c>
      <c r="K3700" s="56">
        <v>1050</v>
      </c>
      <c r="L3700" s="55" t="s">
        <v>176</v>
      </c>
      <c r="M3700" s="55" t="s">
        <v>2824</v>
      </c>
      <c r="N3700" s="4" t="s">
        <v>177</v>
      </c>
      <c r="O3700" s="55" t="s">
        <v>178</v>
      </c>
    </row>
    <row r="3701" spans="2:15">
      <c r="B3701" s="20">
        <v>45540</v>
      </c>
      <c r="C3701" s="59">
        <v>40499</v>
      </c>
      <c r="D3701" s="55" t="s">
        <v>1094</v>
      </c>
      <c r="G3701" s="65">
        <v>22</v>
      </c>
      <c r="H3701" s="56" t="s">
        <v>92</v>
      </c>
      <c r="K3701" s="56">
        <v>1050</v>
      </c>
      <c r="L3701" s="55" t="s">
        <v>176</v>
      </c>
      <c r="M3701" s="55" t="s">
        <v>2824</v>
      </c>
      <c r="N3701" s="4" t="s">
        <v>177</v>
      </c>
      <c r="O3701" s="55" t="s">
        <v>178</v>
      </c>
    </row>
    <row r="3702" spans="2:15">
      <c r="B3702" s="20">
        <v>45540</v>
      </c>
      <c r="C3702" s="59">
        <v>50145028</v>
      </c>
      <c r="D3702" s="55" t="s">
        <v>23</v>
      </c>
      <c r="G3702" s="65">
        <v>384</v>
      </c>
      <c r="H3702" s="56" t="s">
        <v>92</v>
      </c>
      <c r="K3702" s="56">
        <v>1051</v>
      </c>
      <c r="L3702" s="55" t="s">
        <v>392</v>
      </c>
      <c r="M3702" s="55" t="s">
        <v>392</v>
      </c>
      <c r="N3702" s="4" t="s">
        <v>2851</v>
      </c>
      <c r="O3702" s="55" t="s">
        <v>178</v>
      </c>
    </row>
    <row r="3703" spans="2:15">
      <c r="B3703" s="20">
        <v>45540</v>
      </c>
      <c r="C3703" s="59">
        <v>50834329</v>
      </c>
      <c r="D3703" s="55" t="s">
        <v>1475</v>
      </c>
      <c r="G3703" s="65">
        <v>630.8</v>
      </c>
      <c r="H3703" s="56" t="s">
        <v>82</v>
      </c>
      <c r="K3703" s="56">
        <v>1051</v>
      </c>
      <c r="L3703" s="55" t="s">
        <v>392</v>
      </c>
      <c r="M3703" s="55" t="s">
        <v>392</v>
      </c>
      <c r="N3703" s="4" t="s">
        <v>2851</v>
      </c>
      <c r="O3703" s="55" t="s">
        <v>178</v>
      </c>
    </row>
    <row r="3704" spans="2:15">
      <c r="B3704" s="20">
        <v>45541</v>
      </c>
      <c r="C3704" s="59">
        <v>50272278</v>
      </c>
      <c r="D3704" s="55" t="s">
        <v>21</v>
      </c>
      <c r="G3704" s="65">
        <f>44*250</f>
        <v>11000</v>
      </c>
      <c r="H3704" s="56" t="s">
        <v>92</v>
      </c>
      <c r="K3704" s="56">
        <v>1052</v>
      </c>
      <c r="L3704" s="55" t="s">
        <v>176</v>
      </c>
      <c r="M3704" s="55" t="s">
        <v>2824</v>
      </c>
      <c r="N3704" s="4" t="s">
        <v>177</v>
      </c>
      <c r="O3704" s="55" t="s">
        <v>533</v>
      </c>
    </row>
    <row r="3705" spans="2:15">
      <c r="B3705" s="20">
        <v>45541</v>
      </c>
      <c r="C3705" s="59">
        <v>40499</v>
      </c>
      <c r="D3705" s="55" t="s">
        <v>1094</v>
      </c>
      <c r="G3705" s="65">
        <v>44</v>
      </c>
      <c r="H3705" s="56" t="s">
        <v>92</v>
      </c>
      <c r="K3705" s="56">
        <v>1052</v>
      </c>
      <c r="L3705" s="55" t="s">
        <v>176</v>
      </c>
      <c r="M3705" s="55" t="s">
        <v>2824</v>
      </c>
      <c r="N3705" s="4" t="s">
        <v>177</v>
      </c>
      <c r="O3705" s="55" t="s">
        <v>533</v>
      </c>
    </row>
    <row r="3706" spans="2:15">
      <c r="B3706" s="20">
        <v>45541</v>
      </c>
      <c r="C3706" s="59">
        <v>50272278</v>
      </c>
      <c r="D3706" s="55" t="s">
        <v>2864</v>
      </c>
      <c r="G3706" s="65">
        <v>4000</v>
      </c>
      <c r="H3706" s="56" t="s">
        <v>92</v>
      </c>
      <c r="K3706" s="56">
        <v>1053</v>
      </c>
      <c r="L3706" s="55" t="s">
        <v>176</v>
      </c>
      <c r="M3706" s="55" t="s">
        <v>2824</v>
      </c>
      <c r="N3706" s="4" t="s">
        <v>177</v>
      </c>
      <c r="O3706" s="55" t="s">
        <v>533</v>
      </c>
    </row>
    <row r="3707" spans="2:15">
      <c r="B3707" s="20">
        <v>45541</v>
      </c>
      <c r="C3707" s="59">
        <v>40499</v>
      </c>
      <c r="D3707" s="55" t="s">
        <v>2865</v>
      </c>
      <c r="G3707" s="65">
        <v>16</v>
      </c>
      <c r="H3707" s="56" t="s">
        <v>92</v>
      </c>
      <c r="K3707" s="56">
        <v>1053</v>
      </c>
      <c r="L3707" s="55" t="s">
        <v>176</v>
      </c>
      <c r="M3707" s="55" t="s">
        <v>2824</v>
      </c>
      <c r="N3707" s="4" t="s">
        <v>177</v>
      </c>
      <c r="O3707" s="55" t="s">
        <v>533</v>
      </c>
    </row>
    <row r="3708" spans="2:15">
      <c r="B3708" s="20">
        <v>45541</v>
      </c>
      <c r="C3708" s="59">
        <v>50470190</v>
      </c>
      <c r="D3708" s="55" t="s">
        <v>12</v>
      </c>
      <c r="G3708" s="65">
        <v>2318400</v>
      </c>
      <c r="H3708" s="56" t="s">
        <v>92</v>
      </c>
      <c r="K3708" s="56">
        <v>1053</v>
      </c>
      <c r="L3708" s="55" t="s">
        <v>176</v>
      </c>
      <c r="M3708" s="55" t="s">
        <v>2824</v>
      </c>
      <c r="N3708" s="4" t="s">
        <v>177</v>
      </c>
      <c r="O3708" s="55" t="s">
        <v>533</v>
      </c>
    </row>
    <row r="3709" spans="2:15">
      <c r="B3709" s="20">
        <v>45541</v>
      </c>
      <c r="C3709" s="59">
        <v>50802401</v>
      </c>
      <c r="D3709" s="55" t="s">
        <v>13</v>
      </c>
      <c r="G3709" s="65">
        <v>1159200</v>
      </c>
      <c r="H3709" s="56" t="s">
        <v>92</v>
      </c>
      <c r="K3709" s="56">
        <v>1053</v>
      </c>
      <c r="L3709" s="55" t="s">
        <v>176</v>
      </c>
      <c r="M3709" s="55" t="s">
        <v>2824</v>
      </c>
      <c r="N3709" s="4" t="s">
        <v>177</v>
      </c>
      <c r="O3709" s="55" t="s">
        <v>533</v>
      </c>
    </row>
    <row r="3710" spans="2:15">
      <c r="B3710" s="20">
        <v>45544</v>
      </c>
      <c r="C3710" s="59">
        <v>50272278</v>
      </c>
      <c r="D3710" s="55" t="s">
        <v>21</v>
      </c>
      <c r="G3710" s="65">
        <v>4000</v>
      </c>
      <c r="H3710" s="56" t="s">
        <v>92</v>
      </c>
      <c r="K3710" s="56">
        <v>1054</v>
      </c>
      <c r="L3710" s="55" t="s">
        <v>176</v>
      </c>
      <c r="M3710" s="55" t="s">
        <v>2824</v>
      </c>
      <c r="N3710" s="4" t="s">
        <v>177</v>
      </c>
      <c r="O3710" s="55" t="s">
        <v>533</v>
      </c>
    </row>
    <row r="3711" spans="2:15">
      <c r="B3711" s="20">
        <v>45544</v>
      </c>
      <c r="C3711" s="59">
        <v>40499</v>
      </c>
      <c r="D3711" s="55" t="s">
        <v>1094</v>
      </c>
      <c r="G3711" s="65">
        <v>16</v>
      </c>
      <c r="H3711" s="56" t="s">
        <v>92</v>
      </c>
      <c r="K3711" s="56">
        <v>1054</v>
      </c>
      <c r="L3711" s="55" t="s">
        <v>176</v>
      </c>
      <c r="M3711" s="55" t="s">
        <v>2824</v>
      </c>
      <c r="N3711" s="4" t="s">
        <v>177</v>
      </c>
      <c r="O3711" s="55" t="s">
        <v>533</v>
      </c>
    </row>
    <row r="3712" spans="2:15">
      <c r="B3712" s="20">
        <v>45544</v>
      </c>
      <c r="C3712" s="59">
        <v>50470190</v>
      </c>
      <c r="D3712" s="55" t="s">
        <v>12</v>
      </c>
      <c r="G3712" s="65">
        <f>12*289800</f>
        <v>3477600</v>
      </c>
      <c r="H3712" s="56" t="s">
        <v>92</v>
      </c>
      <c r="K3712" s="56">
        <v>1054</v>
      </c>
      <c r="L3712" s="55" t="s">
        <v>176</v>
      </c>
      <c r="M3712" s="55" t="s">
        <v>2824</v>
      </c>
      <c r="N3712" s="4" t="s">
        <v>177</v>
      </c>
      <c r="O3712" s="55" t="s">
        <v>533</v>
      </c>
    </row>
    <row r="3713" spans="2:15">
      <c r="B3713" s="20">
        <v>45544</v>
      </c>
      <c r="C3713" s="59">
        <v>50144376</v>
      </c>
      <c r="D3713" s="55" t="s">
        <v>19</v>
      </c>
      <c r="G3713" s="122">
        <v>13200</v>
      </c>
      <c r="H3713" s="56" t="s">
        <v>92</v>
      </c>
      <c r="K3713" s="56">
        <v>1055</v>
      </c>
      <c r="L3713" s="55" t="s">
        <v>176</v>
      </c>
      <c r="M3713" s="55" t="s">
        <v>2824</v>
      </c>
      <c r="N3713" s="4" t="s">
        <v>177</v>
      </c>
      <c r="O3713" s="55" t="s">
        <v>533</v>
      </c>
    </row>
    <row r="3714" spans="2:15">
      <c r="B3714" s="20">
        <v>45544</v>
      </c>
      <c r="C3714" s="59">
        <v>40499</v>
      </c>
      <c r="D3714" s="55" t="s">
        <v>1094</v>
      </c>
      <c r="G3714" s="65">
        <v>44</v>
      </c>
      <c r="H3714" s="56" t="s">
        <v>92</v>
      </c>
      <c r="K3714" s="56">
        <v>1055</v>
      </c>
      <c r="L3714" s="55" t="s">
        <v>176</v>
      </c>
      <c r="M3714" s="55" t="s">
        <v>2824</v>
      </c>
      <c r="N3714" s="4" t="s">
        <v>177</v>
      </c>
      <c r="O3714" s="55" t="s">
        <v>533</v>
      </c>
    </row>
    <row r="3715" spans="2:15">
      <c r="B3715" s="20">
        <v>45545</v>
      </c>
      <c r="C3715" s="59">
        <v>50142281</v>
      </c>
      <c r="D3715" s="55" t="s">
        <v>204</v>
      </c>
      <c r="G3715" s="65">
        <v>1350</v>
      </c>
      <c r="H3715" s="56" t="s">
        <v>82</v>
      </c>
      <c r="K3715" s="56">
        <v>1057</v>
      </c>
      <c r="L3715" s="55" t="s">
        <v>176</v>
      </c>
      <c r="M3715" s="55" t="s">
        <v>2824</v>
      </c>
      <c r="N3715" s="4" t="s">
        <v>177</v>
      </c>
      <c r="O3715" s="55" t="s">
        <v>533</v>
      </c>
    </row>
    <row r="3716" spans="2:15">
      <c r="B3716" s="20">
        <v>45545</v>
      </c>
      <c r="C3716" s="59">
        <v>50010080</v>
      </c>
      <c r="D3716" s="55" t="s">
        <v>1657</v>
      </c>
      <c r="G3716" s="65">
        <v>4000</v>
      </c>
      <c r="H3716" s="56" t="s">
        <v>82</v>
      </c>
      <c r="K3716" s="56">
        <v>1057</v>
      </c>
      <c r="L3716" s="55" t="s">
        <v>176</v>
      </c>
      <c r="M3716" s="55" t="s">
        <v>2824</v>
      </c>
      <c r="N3716" s="4" t="s">
        <v>177</v>
      </c>
      <c r="O3716" s="55" t="s">
        <v>533</v>
      </c>
    </row>
    <row r="3717" spans="2:15">
      <c r="B3717" s="20">
        <v>45545</v>
      </c>
      <c r="C3717" s="59">
        <v>50142327</v>
      </c>
      <c r="D3717" s="55" t="s">
        <v>256</v>
      </c>
      <c r="G3717" s="65">
        <v>953.4</v>
      </c>
      <c r="H3717" s="56" t="s">
        <v>82</v>
      </c>
      <c r="K3717" s="56">
        <v>1057</v>
      </c>
      <c r="L3717" s="55" t="s">
        <v>176</v>
      </c>
      <c r="M3717" s="55" t="s">
        <v>2824</v>
      </c>
      <c r="N3717" s="4" t="s">
        <v>177</v>
      </c>
      <c r="O3717" s="55" t="s">
        <v>533</v>
      </c>
    </row>
    <row r="3718" spans="2:15">
      <c r="B3718" s="20">
        <v>45545</v>
      </c>
      <c r="C3718" s="59">
        <v>50142334</v>
      </c>
      <c r="D3718" s="55" t="s">
        <v>257</v>
      </c>
      <c r="G3718" s="65">
        <v>1430.1</v>
      </c>
      <c r="H3718" s="56" t="s">
        <v>82</v>
      </c>
      <c r="K3718" s="56">
        <v>1057</v>
      </c>
      <c r="L3718" s="55" t="s">
        <v>176</v>
      </c>
      <c r="M3718" s="55" t="s">
        <v>2824</v>
      </c>
      <c r="N3718" s="4" t="s">
        <v>177</v>
      </c>
      <c r="O3718" s="55" t="s">
        <v>533</v>
      </c>
    </row>
    <row r="3719" spans="2:15">
      <c r="B3719" s="20">
        <v>45545</v>
      </c>
      <c r="C3719" s="59">
        <v>50145187</v>
      </c>
      <c r="D3719" s="55" t="s">
        <v>465</v>
      </c>
      <c r="G3719" s="65">
        <v>1056000</v>
      </c>
      <c r="H3719" s="56" t="s">
        <v>92</v>
      </c>
      <c r="K3719" s="56">
        <v>1057</v>
      </c>
      <c r="L3719" s="55" t="s">
        <v>176</v>
      </c>
      <c r="M3719" s="55" t="s">
        <v>2824</v>
      </c>
      <c r="N3719" s="4" t="s">
        <v>177</v>
      </c>
      <c r="O3719" s="55" t="s">
        <v>533</v>
      </c>
    </row>
    <row r="3720" spans="2:15">
      <c r="B3720" s="20">
        <v>45545</v>
      </c>
      <c r="C3720" s="59">
        <v>50793278</v>
      </c>
      <c r="D3720" s="55" t="s">
        <v>1086</v>
      </c>
      <c r="G3720" s="65">
        <v>40</v>
      </c>
      <c r="H3720" s="56" t="s">
        <v>1087</v>
      </c>
      <c r="K3720" s="56">
        <v>1057</v>
      </c>
      <c r="L3720" s="55" t="s">
        <v>176</v>
      </c>
      <c r="M3720" s="55" t="s">
        <v>2824</v>
      </c>
      <c r="N3720" s="4" t="s">
        <v>177</v>
      </c>
      <c r="O3720" s="55" t="s">
        <v>533</v>
      </c>
    </row>
    <row r="3721" spans="2:15">
      <c r="B3721" s="20">
        <v>45545</v>
      </c>
      <c r="C3721" s="59">
        <v>40499</v>
      </c>
      <c r="D3721" s="55" t="s">
        <v>2865</v>
      </c>
      <c r="G3721" s="65">
        <v>5</v>
      </c>
      <c r="H3721" s="56" t="s">
        <v>92</v>
      </c>
      <c r="K3721" s="56">
        <v>1057</v>
      </c>
      <c r="L3721" s="55" t="s">
        <v>176</v>
      </c>
      <c r="M3721" s="55" t="s">
        <v>2824</v>
      </c>
      <c r="N3721" s="4" t="s">
        <v>177</v>
      </c>
      <c r="O3721" s="55" t="s">
        <v>533</v>
      </c>
    </row>
    <row r="3722" spans="2:15">
      <c r="B3722" s="20">
        <v>45545</v>
      </c>
      <c r="C3722" s="59">
        <v>50145028</v>
      </c>
      <c r="D3722" s="55" t="s">
        <v>23</v>
      </c>
      <c r="G3722" s="65">
        <v>384</v>
      </c>
      <c r="H3722" s="56" t="s">
        <v>92</v>
      </c>
      <c r="K3722" s="56">
        <v>1058</v>
      </c>
      <c r="L3722" s="55" t="s">
        <v>326</v>
      </c>
      <c r="M3722" s="55" t="s">
        <v>2824</v>
      </c>
      <c r="N3722" s="4" t="s">
        <v>1613</v>
      </c>
      <c r="O3722" s="55" t="s">
        <v>533</v>
      </c>
    </row>
    <row r="3723" spans="2:15">
      <c r="B3723" s="20">
        <v>45545</v>
      </c>
      <c r="C3723" s="59">
        <v>50144376</v>
      </c>
      <c r="D3723" s="55" t="s">
        <v>19</v>
      </c>
      <c r="G3723" s="65">
        <v>2600</v>
      </c>
      <c r="H3723" s="56" t="s">
        <v>92</v>
      </c>
      <c r="K3723" s="56">
        <v>1058</v>
      </c>
      <c r="L3723" s="55" t="s">
        <v>326</v>
      </c>
      <c r="M3723" s="55" t="s">
        <v>2824</v>
      </c>
      <c r="N3723" s="4" t="s">
        <v>1613</v>
      </c>
      <c r="O3723" s="55" t="s">
        <v>533</v>
      </c>
    </row>
    <row r="3724" spans="2:15">
      <c r="B3724" s="20">
        <v>45545</v>
      </c>
      <c r="C3724" s="59">
        <v>50272278</v>
      </c>
      <c r="D3724" s="55" t="s">
        <v>21</v>
      </c>
      <c r="G3724" s="65">
        <v>2750</v>
      </c>
      <c r="H3724" s="56" t="s">
        <v>92</v>
      </c>
      <c r="K3724" s="56">
        <v>1058</v>
      </c>
      <c r="L3724" s="55" t="s">
        <v>326</v>
      </c>
      <c r="M3724" s="55" t="s">
        <v>2824</v>
      </c>
      <c r="N3724" s="4" t="s">
        <v>1613</v>
      </c>
      <c r="O3724" s="55" t="s">
        <v>533</v>
      </c>
    </row>
    <row r="3725" spans="2:15">
      <c r="B3725" s="20">
        <v>45545</v>
      </c>
      <c r="C3725" s="59">
        <v>40499</v>
      </c>
      <c r="D3725" s="55" t="s">
        <v>2865</v>
      </c>
      <c r="G3725" s="65">
        <v>9</v>
      </c>
      <c r="H3725" s="56" t="s">
        <v>92</v>
      </c>
      <c r="K3725" s="56">
        <v>1058</v>
      </c>
      <c r="L3725" s="55" t="s">
        <v>326</v>
      </c>
      <c r="M3725" s="55" t="s">
        <v>2824</v>
      </c>
      <c r="N3725" s="4" t="s">
        <v>1613</v>
      </c>
      <c r="O3725" s="55" t="s">
        <v>533</v>
      </c>
    </row>
    <row r="3726" spans="2:15">
      <c r="B3726" s="20">
        <v>45546</v>
      </c>
      <c r="C3726" s="59">
        <v>50470190</v>
      </c>
      <c r="D3726" s="55" t="s">
        <v>12</v>
      </c>
      <c r="G3726" s="65">
        <f>289800*18</f>
        <v>5216400</v>
      </c>
      <c r="H3726" s="56" t="s">
        <v>92</v>
      </c>
      <c r="K3726" s="56">
        <v>1059</v>
      </c>
      <c r="L3726" s="55" t="s">
        <v>176</v>
      </c>
      <c r="M3726" s="55" t="s">
        <v>2824</v>
      </c>
      <c r="N3726" s="4" t="s">
        <v>177</v>
      </c>
      <c r="O3726" s="55" t="s">
        <v>533</v>
      </c>
    </row>
    <row r="3727" spans="2:15">
      <c r="B3727" s="20">
        <v>45546</v>
      </c>
      <c r="C3727" s="59">
        <v>50272278</v>
      </c>
      <c r="D3727" s="55" t="s">
        <v>21</v>
      </c>
      <c r="G3727" s="65">
        <v>8250</v>
      </c>
      <c r="H3727" s="56" t="s">
        <v>92</v>
      </c>
      <c r="K3727" s="56">
        <v>1060</v>
      </c>
      <c r="L3727" s="55" t="s">
        <v>176</v>
      </c>
      <c r="M3727" s="55" t="s">
        <v>2824</v>
      </c>
      <c r="N3727" s="4" t="s">
        <v>177</v>
      </c>
      <c r="O3727" s="55" t="s">
        <v>533</v>
      </c>
    </row>
    <row r="3728" spans="2:15">
      <c r="B3728" s="20">
        <v>45546</v>
      </c>
      <c r="C3728" s="59">
        <v>40499</v>
      </c>
      <c r="D3728" s="55" t="s">
        <v>2865</v>
      </c>
      <c r="G3728" s="65">
        <v>32</v>
      </c>
      <c r="H3728" s="56" t="s">
        <v>92</v>
      </c>
      <c r="K3728" s="56">
        <v>1060</v>
      </c>
      <c r="L3728" s="55" t="s">
        <v>176</v>
      </c>
      <c r="M3728" s="55" t="s">
        <v>2824</v>
      </c>
      <c r="N3728" s="4" t="s">
        <v>177</v>
      </c>
      <c r="O3728" s="55" t="s">
        <v>533</v>
      </c>
    </row>
    <row r="3729" spans="2:15">
      <c r="B3729" s="20">
        <v>45546</v>
      </c>
      <c r="C3729" s="59">
        <v>50144200</v>
      </c>
      <c r="D3729" s="55" t="s">
        <v>184</v>
      </c>
      <c r="G3729" s="65">
        <v>1584000</v>
      </c>
      <c r="H3729" s="56" t="s">
        <v>92</v>
      </c>
      <c r="K3729" s="56">
        <v>1060</v>
      </c>
      <c r="L3729" s="55" t="s">
        <v>176</v>
      </c>
      <c r="M3729" s="55" t="s">
        <v>2824</v>
      </c>
      <c r="N3729" s="4" t="s">
        <v>177</v>
      </c>
      <c r="O3729" s="55" t="s">
        <v>533</v>
      </c>
    </row>
    <row r="3730" spans="2:15">
      <c r="B3730" s="20">
        <v>45547</v>
      </c>
      <c r="C3730" s="59">
        <v>50272278</v>
      </c>
      <c r="D3730" s="55" t="s">
        <v>21</v>
      </c>
      <c r="G3730" s="65">
        <v>5000</v>
      </c>
      <c r="H3730" s="56" t="s">
        <v>92</v>
      </c>
      <c r="K3730" s="56">
        <v>1061</v>
      </c>
      <c r="L3730" s="55" t="s">
        <v>176</v>
      </c>
      <c r="M3730" s="55" t="s">
        <v>2824</v>
      </c>
      <c r="N3730" s="4" t="s">
        <v>177</v>
      </c>
      <c r="O3730" s="55" t="s">
        <v>533</v>
      </c>
    </row>
    <row r="3731" spans="2:15">
      <c r="B3731" s="20">
        <v>45547</v>
      </c>
      <c r="C3731" s="59">
        <v>40499</v>
      </c>
      <c r="D3731" s="55" t="s">
        <v>2865</v>
      </c>
      <c r="G3731" s="65">
        <v>20</v>
      </c>
      <c r="H3731" s="56" t="s">
        <v>92</v>
      </c>
      <c r="K3731" s="56">
        <v>1061</v>
      </c>
      <c r="L3731" s="55" t="s">
        <v>176</v>
      </c>
      <c r="M3731" s="55" t="s">
        <v>2824</v>
      </c>
      <c r="N3731" s="4" t="s">
        <v>177</v>
      </c>
      <c r="O3731" s="55" t="s">
        <v>533</v>
      </c>
    </row>
    <row r="3732" spans="2:15">
      <c r="B3732" s="20">
        <v>45547</v>
      </c>
      <c r="C3732" s="59">
        <v>50470190</v>
      </c>
      <c r="D3732" s="55" t="s">
        <v>12</v>
      </c>
      <c r="G3732" s="65">
        <v>2898000</v>
      </c>
      <c r="H3732" s="56" t="s">
        <v>92</v>
      </c>
      <c r="K3732" s="56">
        <v>1061</v>
      </c>
      <c r="L3732" s="55" t="s">
        <v>176</v>
      </c>
      <c r="M3732" s="55" t="s">
        <v>2824</v>
      </c>
      <c r="N3732" s="4" t="s">
        <v>177</v>
      </c>
      <c r="O3732" s="55" t="s">
        <v>533</v>
      </c>
    </row>
    <row r="3733" spans="2:15">
      <c r="B3733" s="20">
        <v>45547</v>
      </c>
      <c r="C3733" s="59">
        <v>50272278</v>
      </c>
      <c r="D3733" s="55" t="s">
        <v>21</v>
      </c>
      <c r="G3733" s="65">
        <v>10500</v>
      </c>
      <c r="H3733" s="56" t="s">
        <v>92</v>
      </c>
      <c r="K3733" s="56">
        <v>1062</v>
      </c>
      <c r="L3733" s="55" t="s">
        <v>176</v>
      </c>
      <c r="M3733" s="55" t="s">
        <v>2824</v>
      </c>
      <c r="N3733" s="4" t="s">
        <v>177</v>
      </c>
      <c r="O3733" s="55" t="s">
        <v>533</v>
      </c>
    </row>
    <row r="3734" spans="2:15">
      <c r="B3734" s="20">
        <v>45547</v>
      </c>
      <c r="C3734" s="59">
        <v>40499</v>
      </c>
      <c r="D3734" s="55" t="s">
        <v>2865</v>
      </c>
      <c r="G3734" s="65">
        <v>42</v>
      </c>
      <c r="H3734" s="56" t="s">
        <v>92</v>
      </c>
      <c r="K3734" s="56">
        <v>1062</v>
      </c>
      <c r="L3734" s="55" t="s">
        <v>176</v>
      </c>
      <c r="M3734" s="55" t="s">
        <v>2824</v>
      </c>
      <c r="N3734" s="4" t="s">
        <v>177</v>
      </c>
      <c r="O3734" s="55" t="s">
        <v>533</v>
      </c>
    </row>
    <row r="3735" spans="2:15">
      <c r="B3735" s="20">
        <v>45547</v>
      </c>
      <c r="C3735" s="59">
        <v>50834013</v>
      </c>
      <c r="D3735" s="55" t="s">
        <v>1618</v>
      </c>
      <c r="G3735" s="65">
        <v>98.25</v>
      </c>
      <c r="H3735" s="56" t="s">
        <v>80</v>
      </c>
      <c r="K3735" s="56">
        <v>1062</v>
      </c>
      <c r="L3735" s="55" t="s">
        <v>176</v>
      </c>
      <c r="M3735" s="55" t="s">
        <v>2824</v>
      </c>
      <c r="N3735" s="4" t="s">
        <v>177</v>
      </c>
      <c r="O3735" s="55" t="s">
        <v>533</v>
      </c>
    </row>
    <row r="3736" spans="2:15">
      <c r="B3736" s="20">
        <v>45547</v>
      </c>
      <c r="C3736" s="59">
        <v>50834015</v>
      </c>
      <c r="D3736" s="55" t="s">
        <v>1624</v>
      </c>
      <c r="G3736" s="65">
        <v>99</v>
      </c>
      <c r="H3736" s="56" t="s">
        <v>80</v>
      </c>
      <c r="K3736" s="56">
        <v>1062</v>
      </c>
      <c r="L3736" s="55" t="s">
        <v>176</v>
      </c>
      <c r="M3736" s="55" t="s">
        <v>2824</v>
      </c>
      <c r="N3736" s="4" t="s">
        <v>177</v>
      </c>
      <c r="O3736" s="55" t="s">
        <v>533</v>
      </c>
    </row>
    <row r="3737" spans="2:15">
      <c r="B3737" s="20">
        <v>45547</v>
      </c>
      <c r="C3737" s="59">
        <v>50834014</v>
      </c>
      <c r="D3737" s="55" t="s">
        <v>1625</v>
      </c>
      <c r="G3737" s="65">
        <v>103</v>
      </c>
      <c r="H3737" s="56" t="s">
        <v>80</v>
      </c>
      <c r="K3737" s="56">
        <v>1062</v>
      </c>
      <c r="L3737" s="55" t="s">
        <v>176</v>
      </c>
      <c r="M3737" s="55" t="s">
        <v>2824</v>
      </c>
      <c r="N3737" s="4" t="s">
        <v>177</v>
      </c>
      <c r="O3737" s="55" t="s">
        <v>533</v>
      </c>
    </row>
    <row r="3738" spans="2:15">
      <c r="B3738" s="20">
        <v>45547</v>
      </c>
      <c r="C3738" s="59" t="s">
        <v>2866</v>
      </c>
      <c r="D3738" s="55" t="s">
        <v>2867</v>
      </c>
      <c r="G3738" s="65">
        <v>5</v>
      </c>
      <c r="H3738" s="56" t="s">
        <v>2601</v>
      </c>
      <c r="K3738" s="56">
        <v>1062</v>
      </c>
      <c r="L3738" s="55" t="s">
        <v>176</v>
      </c>
      <c r="M3738" s="55" t="s">
        <v>2824</v>
      </c>
      <c r="N3738" s="4" t="s">
        <v>177</v>
      </c>
      <c r="O3738" s="55" t="s">
        <v>533</v>
      </c>
    </row>
    <row r="3739" spans="2:15">
      <c r="B3739" s="20">
        <v>45547</v>
      </c>
      <c r="C3739" s="59" t="s">
        <v>2866</v>
      </c>
      <c r="D3739" s="55" t="s">
        <v>2868</v>
      </c>
      <c r="G3739" s="65">
        <v>200</v>
      </c>
      <c r="H3739" s="56" t="s">
        <v>92</v>
      </c>
      <c r="K3739" s="56">
        <v>1063</v>
      </c>
      <c r="L3739" s="55" t="s">
        <v>392</v>
      </c>
      <c r="M3739" s="55" t="s">
        <v>392</v>
      </c>
      <c r="N3739" s="4" t="s">
        <v>2851</v>
      </c>
      <c r="O3739" s="55" t="s">
        <v>533</v>
      </c>
    </row>
    <row r="3740" spans="2:15">
      <c r="B3740" s="20">
        <v>45547</v>
      </c>
      <c r="C3740" s="59">
        <v>50522176</v>
      </c>
      <c r="D3740" s="55" t="s">
        <v>1632</v>
      </c>
      <c r="G3740" s="65">
        <v>572</v>
      </c>
      <c r="H3740" s="56" t="s">
        <v>82</v>
      </c>
      <c r="K3740" s="56" t="s">
        <v>2869</v>
      </c>
      <c r="L3740" s="55" t="s">
        <v>2870</v>
      </c>
      <c r="M3740" s="55" t="s">
        <v>2871</v>
      </c>
      <c r="N3740" s="4" t="s">
        <v>2872</v>
      </c>
      <c r="O3740" s="55" t="s">
        <v>533</v>
      </c>
    </row>
    <row r="3741" spans="2:15">
      <c r="B3741" s="20">
        <v>45548</v>
      </c>
      <c r="C3741" s="59">
        <v>50144376</v>
      </c>
      <c r="D3741" s="55" t="s">
        <v>19</v>
      </c>
      <c r="G3741" s="63">
        <f>3*350+41*250</f>
        <v>11300</v>
      </c>
      <c r="H3741" s="56" t="s">
        <v>92</v>
      </c>
      <c r="K3741" s="56">
        <v>1064</v>
      </c>
      <c r="L3741" s="55" t="s">
        <v>176</v>
      </c>
      <c r="M3741" s="55" t="s">
        <v>2824</v>
      </c>
      <c r="N3741" s="4" t="s">
        <v>177</v>
      </c>
      <c r="O3741" s="55" t="s">
        <v>533</v>
      </c>
    </row>
    <row r="3742" spans="2:15">
      <c r="B3742" s="20">
        <v>45548</v>
      </c>
      <c r="C3742" s="59">
        <v>40499</v>
      </c>
      <c r="D3742" s="55" t="s">
        <v>2865</v>
      </c>
      <c r="G3742" s="63">
        <v>44</v>
      </c>
      <c r="H3742" s="56" t="s">
        <v>92</v>
      </c>
      <c r="K3742" s="56">
        <v>1064</v>
      </c>
      <c r="L3742" s="55" t="s">
        <v>176</v>
      </c>
      <c r="M3742" s="55" t="s">
        <v>2824</v>
      </c>
      <c r="N3742" s="4" t="s">
        <v>177</v>
      </c>
      <c r="O3742" s="55" t="s">
        <v>533</v>
      </c>
    </row>
    <row r="3743" spans="2:15">
      <c r="B3743" s="20">
        <v>45548</v>
      </c>
      <c r="C3743" s="59">
        <v>50272278</v>
      </c>
      <c r="D3743" s="55" t="s">
        <v>21</v>
      </c>
      <c r="G3743" s="63">
        <v>1000</v>
      </c>
      <c r="H3743" s="56" t="s">
        <v>92</v>
      </c>
      <c r="K3743" s="56">
        <v>1065</v>
      </c>
      <c r="L3743" s="55" t="s">
        <v>416</v>
      </c>
      <c r="M3743" s="55" t="s">
        <v>2824</v>
      </c>
      <c r="N3743" s="4" t="s">
        <v>417</v>
      </c>
      <c r="O3743" s="55" t="s">
        <v>533</v>
      </c>
    </row>
    <row r="3744" spans="2:15">
      <c r="B3744" s="20">
        <v>45548</v>
      </c>
      <c r="C3744" s="59">
        <v>40499</v>
      </c>
      <c r="D3744" s="55" t="s">
        <v>2865</v>
      </c>
      <c r="G3744" s="63">
        <v>4</v>
      </c>
      <c r="H3744" s="56" t="s">
        <v>92</v>
      </c>
      <c r="K3744" s="56">
        <v>1065</v>
      </c>
      <c r="L3744" s="55" t="s">
        <v>416</v>
      </c>
      <c r="M3744" s="55" t="s">
        <v>2824</v>
      </c>
      <c r="N3744" s="4" t="s">
        <v>417</v>
      </c>
      <c r="O3744" s="55" t="s">
        <v>533</v>
      </c>
    </row>
    <row r="3745" spans="2:15">
      <c r="B3745" s="20">
        <v>45548</v>
      </c>
      <c r="C3745" s="59">
        <v>50142237</v>
      </c>
      <c r="D3745" s="55" t="s">
        <v>617</v>
      </c>
      <c r="G3745" s="63">
        <v>10000</v>
      </c>
      <c r="H3745" s="56" t="s">
        <v>92</v>
      </c>
      <c r="K3745" s="56">
        <v>1065</v>
      </c>
      <c r="L3745" s="55" t="s">
        <v>416</v>
      </c>
      <c r="M3745" s="55" t="s">
        <v>2824</v>
      </c>
      <c r="N3745" s="4" t="s">
        <v>417</v>
      </c>
      <c r="O3745" s="55" t="s">
        <v>533</v>
      </c>
    </row>
    <row r="3746" spans="2:15">
      <c r="B3746" s="20">
        <v>45548</v>
      </c>
      <c r="C3746" s="59">
        <v>50802401</v>
      </c>
      <c r="D3746" s="55" t="s">
        <v>13</v>
      </c>
      <c r="G3746" s="63">
        <v>2898000</v>
      </c>
      <c r="H3746" s="56" t="s">
        <v>92</v>
      </c>
      <c r="K3746" s="56">
        <v>1065</v>
      </c>
      <c r="L3746" s="55" t="s">
        <v>416</v>
      </c>
      <c r="M3746" s="55" t="s">
        <v>2824</v>
      </c>
      <c r="N3746" s="4" t="s">
        <v>417</v>
      </c>
      <c r="O3746" s="55" t="s">
        <v>533</v>
      </c>
    </row>
    <row r="3747" spans="2:15">
      <c r="B3747" s="20">
        <v>45548</v>
      </c>
      <c r="C3747" s="59">
        <v>50144200</v>
      </c>
      <c r="D3747" s="55" t="s">
        <v>184</v>
      </c>
      <c r="G3747" s="63">
        <v>1056000</v>
      </c>
      <c r="H3747" s="56" t="s">
        <v>92</v>
      </c>
      <c r="K3747" s="56">
        <v>1065</v>
      </c>
      <c r="L3747" s="55" t="s">
        <v>416</v>
      </c>
      <c r="M3747" s="55" t="s">
        <v>2824</v>
      </c>
      <c r="N3747" s="4" t="s">
        <v>417</v>
      </c>
      <c r="O3747" s="55" t="s">
        <v>533</v>
      </c>
    </row>
    <row r="3748" spans="2:15">
      <c r="B3748" s="20">
        <v>45548</v>
      </c>
      <c r="C3748" s="59">
        <v>50145029</v>
      </c>
      <c r="D3748" s="55" t="s">
        <v>705</v>
      </c>
      <c r="G3748" s="63">
        <v>12</v>
      </c>
      <c r="H3748" s="56" t="s">
        <v>505</v>
      </c>
      <c r="K3748" s="56">
        <v>1065</v>
      </c>
      <c r="L3748" s="55" t="s">
        <v>416</v>
      </c>
      <c r="M3748" s="55" t="s">
        <v>2824</v>
      </c>
      <c r="N3748" s="4" t="s">
        <v>417</v>
      </c>
      <c r="O3748" s="55" t="s">
        <v>533</v>
      </c>
    </row>
    <row r="3749" spans="2:15">
      <c r="B3749" s="20">
        <v>45548</v>
      </c>
      <c r="C3749" s="59">
        <v>50392045</v>
      </c>
      <c r="D3749" s="55" t="s">
        <v>707</v>
      </c>
      <c r="G3749" s="63">
        <v>12</v>
      </c>
      <c r="H3749" s="56" t="s">
        <v>505</v>
      </c>
      <c r="K3749" s="56">
        <v>1065</v>
      </c>
      <c r="L3749" s="55" t="s">
        <v>416</v>
      </c>
      <c r="M3749" s="55" t="s">
        <v>2824</v>
      </c>
      <c r="N3749" s="4" t="s">
        <v>417</v>
      </c>
      <c r="O3749" s="55" t="s">
        <v>533</v>
      </c>
    </row>
    <row r="3750" spans="2:15">
      <c r="B3750" s="20">
        <v>45548</v>
      </c>
      <c r="C3750" s="59">
        <v>20016059</v>
      </c>
      <c r="D3750" s="55" t="s">
        <v>1498</v>
      </c>
      <c r="G3750" s="63">
        <v>100</v>
      </c>
      <c r="H3750" s="56" t="s">
        <v>92</v>
      </c>
      <c r="K3750" s="56">
        <v>1065</v>
      </c>
      <c r="L3750" s="55" t="s">
        <v>416</v>
      </c>
      <c r="M3750" s="55" t="s">
        <v>2824</v>
      </c>
      <c r="N3750" s="4" t="s">
        <v>417</v>
      </c>
      <c r="O3750" s="55" t="s">
        <v>533</v>
      </c>
    </row>
    <row r="3751" spans="2:15">
      <c r="B3751" s="20">
        <v>45548</v>
      </c>
      <c r="C3751" s="59">
        <v>50804971</v>
      </c>
      <c r="D3751" s="55" t="s">
        <v>1640</v>
      </c>
      <c r="G3751" s="63">
        <v>990000</v>
      </c>
      <c r="H3751" s="56" t="s">
        <v>92</v>
      </c>
      <c r="K3751" s="56">
        <v>1065</v>
      </c>
      <c r="L3751" s="55" t="s">
        <v>416</v>
      </c>
      <c r="M3751" s="55" t="s">
        <v>2824</v>
      </c>
      <c r="N3751" s="4" t="s">
        <v>417</v>
      </c>
      <c r="O3751" s="55" t="s">
        <v>533</v>
      </c>
    </row>
    <row r="3752" spans="2:15">
      <c r="B3752" s="20">
        <v>45548</v>
      </c>
      <c r="C3752" s="59">
        <v>50804970</v>
      </c>
      <c r="D3752" s="55" t="s">
        <v>1642</v>
      </c>
      <c r="G3752" s="63">
        <v>990000</v>
      </c>
      <c r="H3752" s="56" t="s">
        <v>92</v>
      </c>
      <c r="K3752" s="56">
        <v>1065</v>
      </c>
      <c r="L3752" s="55" t="s">
        <v>416</v>
      </c>
      <c r="M3752" s="55" t="s">
        <v>2824</v>
      </c>
      <c r="N3752" s="4" t="s">
        <v>417</v>
      </c>
      <c r="O3752" s="55" t="s">
        <v>533</v>
      </c>
    </row>
    <row r="3753" spans="2:15">
      <c r="B3753" s="20">
        <v>45548</v>
      </c>
      <c r="C3753" s="59">
        <v>50804929</v>
      </c>
      <c r="D3753" s="55" t="s">
        <v>856</v>
      </c>
      <c r="G3753" s="63">
        <v>996000</v>
      </c>
      <c r="H3753" s="56" t="s">
        <v>92</v>
      </c>
      <c r="K3753" s="56">
        <v>1065</v>
      </c>
      <c r="L3753" s="55" t="s">
        <v>416</v>
      </c>
      <c r="M3753" s="55" t="s">
        <v>2824</v>
      </c>
      <c r="N3753" s="4" t="s">
        <v>417</v>
      </c>
      <c r="O3753" s="55" t="s">
        <v>533</v>
      </c>
    </row>
    <row r="3754" spans="2:15">
      <c r="B3754" s="20">
        <v>45548</v>
      </c>
      <c r="C3754" s="59">
        <v>50818949</v>
      </c>
      <c r="D3754" s="55" t="s">
        <v>1381</v>
      </c>
      <c r="G3754" s="63">
        <v>400000</v>
      </c>
      <c r="H3754" s="56" t="s">
        <v>92</v>
      </c>
      <c r="K3754" s="56">
        <v>1065</v>
      </c>
      <c r="L3754" s="55" t="s">
        <v>416</v>
      </c>
      <c r="M3754" s="55" t="s">
        <v>2824</v>
      </c>
      <c r="N3754" s="4" t="s">
        <v>417</v>
      </c>
      <c r="O3754" s="55" t="s">
        <v>533</v>
      </c>
    </row>
    <row r="3755" spans="2:15">
      <c r="B3755" s="20">
        <v>45548</v>
      </c>
      <c r="C3755" s="59">
        <v>50272278</v>
      </c>
      <c r="D3755" s="55" t="s">
        <v>21</v>
      </c>
      <c r="G3755" s="63">
        <v>3000</v>
      </c>
      <c r="H3755" s="56" t="s">
        <v>92</v>
      </c>
      <c r="K3755" s="56">
        <v>1066</v>
      </c>
      <c r="L3755" s="55" t="s">
        <v>2601</v>
      </c>
      <c r="M3755" s="55" t="s">
        <v>2824</v>
      </c>
      <c r="N3755" s="4" t="s">
        <v>1793</v>
      </c>
      <c r="O3755" s="55" t="s">
        <v>533</v>
      </c>
    </row>
    <row r="3756" spans="2:15">
      <c r="B3756" s="20">
        <v>45548</v>
      </c>
      <c r="C3756" s="59">
        <v>40499</v>
      </c>
      <c r="D3756" s="55" t="s">
        <v>2865</v>
      </c>
      <c r="G3756" s="63">
        <v>12</v>
      </c>
      <c r="H3756" s="56" t="s">
        <v>92</v>
      </c>
      <c r="K3756" s="56">
        <v>1066</v>
      </c>
      <c r="L3756" s="55" t="s">
        <v>2601</v>
      </c>
      <c r="M3756" s="55" t="s">
        <v>2824</v>
      </c>
      <c r="N3756" s="4" t="s">
        <v>1793</v>
      </c>
      <c r="O3756" s="55" t="s">
        <v>533</v>
      </c>
    </row>
    <row r="3757" spans="2:15">
      <c r="B3757" s="20">
        <v>45548</v>
      </c>
      <c r="C3757" s="59">
        <v>50144200</v>
      </c>
      <c r="D3757" s="55" t="s">
        <v>184</v>
      </c>
      <c r="G3757" s="63">
        <v>2112000</v>
      </c>
      <c r="H3757" s="56" t="s">
        <v>92</v>
      </c>
      <c r="K3757" s="56">
        <v>1066</v>
      </c>
      <c r="L3757" s="55" t="s">
        <v>2601</v>
      </c>
      <c r="M3757" s="55" t="s">
        <v>2824</v>
      </c>
      <c r="N3757" s="4" t="s">
        <v>1793</v>
      </c>
      <c r="O3757" s="55" t="s">
        <v>533</v>
      </c>
    </row>
    <row r="3758" spans="2:15">
      <c r="B3758" s="20">
        <v>45548</v>
      </c>
      <c r="C3758" s="59">
        <v>40009544</v>
      </c>
      <c r="D3758" s="55" t="s">
        <v>179</v>
      </c>
      <c r="G3758" s="63">
        <v>6300</v>
      </c>
      <c r="H3758" s="56" t="s">
        <v>80</v>
      </c>
      <c r="K3758" s="56">
        <v>1066</v>
      </c>
      <c r="L3758" s="55" t="s">
        <v>2601</v>
      </c>
      <c r="M3758" s="55" t="s">
        <v>2824</v>
      </c>
      <c r="N3758" s="4" t="s">
        <v>1793</v>
      </c>
      <c r="O3758" s="55" t="s">
        <v>533</v>
      </c>
    </row>
    <row r="3759" spans="2:15">
      <c r="B3759" s="20">
        <v>45548</v>
      </c>
      <c r="C3759" s="59">
        <v>40009546</v>
      </c>
      <c r="D3759" s="55" t="s">
        <v>174</v>
      </c>
      <c r="G3759" s="63">
        <v>1692</v>
      </c>
      <c r="H3759" s="56" t="s">
        <v>80</v>
      </c>
      <c r="K3759" s="56">
        <v>1066</v>
      </c>
      <c r="L3759" s="55" t="s">
        <v>2601</v>
      </c>
      <c r="M3759" s="55" t="s">
        <v>2824</v>
      </c>
      <c r="N3759" s="4" t="s">
        <v>1793</v>
      </c>
      <c r="O3759" s="55" t="s">
        <v>533</v>
      </c>
    </row>
    <row r="3760" spans="2:15">
      <c r="B3760" s="20">
        <v>45548</v>
      </c>
      <c r="C3760" s="59">
        <v>50809147</v>
      </c>
      <c r="D3760" s="55" t="s">
        <v>930</v>
      </c>
      <c r="G3760" s="63">
        <v>1991.8</v>
      </c>
      <c r="H3760" s="56" t="s">
        <v>82</v>
      </c>
      <c r="K3760" s="56">
        <v>1066</v>
      </c>
      <c r="L3760" s="55" t="s">
        <v>2601</v>
      </c>
      <c r="M3760" s="55" t="s">
        <v>2824</v>
      </c>
      <c r="N3760" s="4" t="s">
        <v>1793</v>
      </c>
      <c r="O3760" s="55" t="s">
        <v>533</v>
      </c>
    </row>
    <row r="3761" spans="2:15">
      <c r="B3761" s="20">
        <v>45548</v>
      </c>
      <c r="C3761" s="59">
        <v>50144376</v>
      </c>
      <c r="D3761" s="55" t="s">
        <v>19</v>
      </c>
      <c r="G3761" s="63">
        <v>500</v>
      </c>
      <c r="H3761" s="56" t="s">
        <v>92</v>
      </c>
      <c r="K3761" s="56">
        <v>1067</v>
      </c>
      <c r="L3761" s="55" t="s">
        <v>392</v>
      </c>
      <c r="M3761" s="55" t="s">
        <v>392</v>
      </c>
      <c r="N3761" s="4" t="s">
        <v>2851</v>
      </c>
      <c r="O3761" s="55" t="s">
        <v>533</v>
      </c>
    </row>
    <row r="3762" spans="2:15">
      <c r="B3762" s="20">
        <v>45548</v>
      </c>
      <c r="C3762" s="59">
        <v>50272278</v>
      </c>
      <c r="D3762" s="55" t="s">
        <v>21</v>
      </c>
      <c r="G3762" s="63">
        <v>500</v>
      </c>
      <c r="H3762" s="56" t="s">
        <v>92</v>
      </c>
      <c r="K3762" s="56">
        <v>1067</v>
      </c>
      <c r="L3762" s="55" t="s">
        <v>392</v>
      </c>
      <c r="M3762" s="55" t="s">
        <v>392</v>
      </c>
      <c r="N3762" s="4" t="s">
        <v>2851</v>
      </c>
      <c r="O3762" s="55" t="s">
        <v>533</v>
      </c>
    </row>
    <row r="3763" spans="2:15">
      <c r="B3763" s="20">
        <v>45548</v>
      </c>
      <c r="C3763" s="59">
        <v>50145028</v>
      </c>
      <c r="D3763" s="55" t="s">
        <v>23</v>
      </c>
      <c r="G3763" s="63">
        <v>384</v>
      </c>
      <c r="H3763" s="56" t="s">
        <v>92</v>
      </c>
      <c r="K3763" s="56">
        <v>1067</v>
      </c>
      <c r="L3763" s="55" t="s">
        <v>392</v>
      </c>
      <c r="M3763" s="55" t="s">
        <v>392</v>
      </c>
      <c r="N3763" s="4" t="s">
        <v>2851</v>
      </c>
      <c r="O3763" s="55" t="s">
        <v>533</v>
      </c>
    </row>
    <row r="3764" spans="2:15">
      <c r="B3764" s="20">
        <v>45548</v>
      </c>
      <c r="C3764" s="59">
        <v>50515034</v>
      </c>
      <c r="D3764" s="55" t="s">
        <v>41</v>
      </c>
      <c r="G3764" s="63">
        <v>126</v>
      </c>
      <c r="H3764" s="56" t="s">
        <v>80</v>
      </c>
      <c r="K3764" s="56">
        <v>1067</v>
      </c>
      <c r="L3764" s="55" t="s">
        <v>392</v>
      </c>
      <c r="M3764" s="55" t="s">
        <v>392</v>
      </c>
      <c r="N3764" s="4" t="s">
        <v>2851</v>
      </c>
      <c r="O3764" s="55" t="s">
        <v>533</v>
      </c>
    </row>
    <row r="3765" spans="2:15">
      <c r="B3765" s="20">
        <v>45548</v>
      </c>
      <c r="C3765" s="59">
        <v>50597773</v>
      </c>
      <c r="D3765" s="55" t="s">
        <v>1611</v>
      </c>
      <c r="G3765" s="63">
        <v>2400</v>
      </c>
      <c r="H3765" s="56" t="s">
        <v>92</v>
      </c>
      <c r="K3765" s="56">
        <v>1068</v>
      </c>
      <c r="L3765" s="55" t="s">
        <v>416</v>
      </c>
      <c r="M3765" s="55" t="s">
        <v>416</v>
      </c>
      <c r="N3765" s="4" t="s">
        <v>417</v>
      </c>
      <c r="O3765" s="55" t="s">
        <v>533</v>
      </c>
    </row>
    <row r="3766" spans="2:15">
      <c r="B3766" s="20">
        <v>45551</v>
      </c>
      <c r="C3766" s="59">
        <v>50272278</v>
      </c>
      <c r="D3766" s="55" t="s">
        <v>21</v>
      </c>
      <c r="G3766" s="65">
        <v>8500</v>
      </c>
      <c r="H3766" s="56" t="s">
        <v>92</v>
      </c>
      <c r="K3766" s="56">
        <v>1069</v>
      </c>
      <c r="L3766" s="55" t="s">
        <v>176</v>
      </c>
      <c r="M3766" s="55" t="s">
        <v>2824</v>
      </c>
      <c r="N3766" s="4" t="s">
        <v>177</v>
      </c>
      <c r="O3766" s="55" t="s">
        <v>178</v>
      </c>
    </row>
    <row r="3767" spans="2:15">
      <c r="B3767" s="20">
        <v>45551</v>
      </c>
      <c r="C3767" s="59">
        <v>50142237</v>
      </c>
      <c r="D3767" s="55" t="s">
        <v>617</v>
      </c>
      <c r="G3767" s="65">
        <v>5000</v>
      </c>
      <c r="H3767" s="56" t="s">
        <v>92</v>
      </c>
      <c r="K3767" s="56">
        <v>1069</v>
      </c>
      <c r="L3767" s="55" t="s">
        <v>176</v>
      </c>
      <c r="M3767" s="55" t="s">
        <v>2824</v>
      </c>
      <c r="N3767" s="4" t="s">
        <v>177</v>
      </c>
      <c r="O3767" s="55" t="s">
        <v>178</v>
      </c>
    </row>
    <row r="3768" spans="2:15">
      <c r="B3768" s="20">
        <v>45551</v>
      </c>
      <c r="C3768" s="59">
        <v>50470190</v>
      </c>
      <c r="D3768" s="55" t="s">
        <v>12</v>
      </c>
      <c r="G3768" s="65">
        <v>1159200</v>
      </c>
      <c r="H3768" s="56" t="s">
        <v>92</v>
      </c>
      <c r="K3768" s="56">
        <v>1069</v>
      </c>
      <c r="L3768" s="55" t="s">
        <v>176</v>
      </c>
      <c r="M3768" s="55" t="s">
        <v>2824</v>
      </c>
      <c r="N3768" s="4" t="s">
        <v>177</v>
      </c>
      <c r="O3768" s="55" t="s">
        <v>178</v>
      </c>
    </row>
    <row r="3769" spans="2:15">
      <c r="B3769" s="20">
        <v>45551</v>
      </c>
      <c r="C3769" s="59">
        <v>50829091</v>
      </c>
      <c r="D3769" s="55" t="s">
        <v>1380</v>
      </c>
      <c r="G3769" s="65">
        <v>400000</v>
      </c>
      <c r="H3769" s="56" t="s">
        <v>92</v>
      </c>
      <c r="K3769" s="56">
        <v>1069</v>
      </c>
      <c r="L3769" s="55" t="s">
        <v>176</v>
      </c>
      <c r="M3769" s="55" t="s">
        <v>2824</v>
      </c>
      <c r="N3769" s="4" t="s">
        <v>177</v>
      </c>
      <c r="O3769" s="55" t="s">
        <v>178</v>
      </c>
    </row>
    <row r="3770" spans="2:15">
      <c r="B3770" s="20">
        <v>45551</v>
      </c>
      <c r="C3770" s="59">
        <v>50272278</v>
      </c>
      <c r="D3770" s="55" t="s">
        <v>21</v>
      </c>
      <c r="G3770" s="65">
        <v>5500</v>
      </c>
      <c r="H3770" s="56" t="s">
        <v>92</v>
      </c>
      <c r="K3770" s="56">
        <v>1070</v>
      </c>
      <c r="L3770" s="55" t="s">
        <v>2601</v>
      </c>
      <c r="M3770" s="55" t="s">
        <v>2824</v>
      </c>
      <c r="N3770" s="4" t="s">
        <v>1793</v>
      </c>
      <c r="O3770" s="55" t="s">
        <v>178</v>
      </c>
    </row>
    <row r="3771" spans="2:15">
      <c r="B3771" s="20">
        <v>45551</v>
      </c>
      <c r="C3771" s="59">
        <v>40499</v>
      </c>
      <c r="D3771" s="55" t="s">
        <v>1094</v>
      </c>
      <c r="G3771" s="65">
        <v>22</v>
      </c>
      <c r="H3771" s="56" t="s">
        <v>92</v>
      </c>
      <c r="K3771" s="56">
        <v>1070</v>
      </c>
      <c r="L3771" s="55" t="s">
        <v>2601</v>
      </c>
      <c r="M3771" s="55" t="s">
        <v>2824</v>
      </c>
      <c r="N3771" s="4" t="s">
        <v>1793</v>
      </c>
      <c r="O3771" s="55" t="s">
        <v>178</v>
      </c>
    </row>
    <row r="3772" spans="2:15">
      <c r="B3772" s="20">
        <v>45551</v>
      </c>
      <c r="C3772" s="59">
        <v>50142281</v>
      </c>
      <c r="D3772" s="55" t="s">
        <v>204</v>
      </c>
      <c r="G3772" s="65">
        <v>4500</v>
      </c>
      <c r="H3772" s="56" t="s">
        <v>82</v>
      </c>
      <c r="K3772" s="56">
        <v>1070</v>
      </c>
      <c r="L3772" s="55" t="s">
        <v>2601</v>
      </c>
      <c r="M3772" s="55" t="s">
        <v>2824</v>
      </c>
      <c r="N3772" s="4" t="s">
        <v>1793</v>
      </c>
      <c r="O3772" s="55" t="s">
        <v>178</v>
      </c>
    </row>
    <row r="3773" spans="2:15">
      <c r="B3773" s="20">
        <v>45551</v>
      </c>
      <c r="C3773" s="59">
        <v>50818948</v>
      </c>
      <c r="D3773" s="55" t="s">
        <v>1173</v>
      </c>
      <c r="G3773" s="65">
        <v>1500000</v>
      </c>
      <c r="H3773" s="56" t="s">
        <v>92</v>
      </c>
      <c r="K3773" s="56">
        <v>1070</v>
      </c>
      <c r="L3773" s="55" t="s">
        <v>2601</v>
      </c>
      <c r="M3773" s="55" t="s">
        <v>2824</v>
      </c>
      <c r="N3773" s="4" t="s">
        <v>1793</v>
      </c>
      <c r="O3773" s="55" t="s">
        <v>178</v>
      </c>
    </row>
    <row r="3774" spans="2:15">
      <c r="B3774" s="20">
        <v>45552</v>
      </c>
      <c r="C3774" s="59">
        <v>50794492</v>
      </c>
      <c r="D3774" s="55" t="s">
        <v>1644</v>
      </c>
      <c r="G3774" s="65">
        <v>669</v>
      </c>
      <c r="H3774" s="56" t="s">
        <v>92</v>
      </c>
      <c r="K3774" s="56">
        <v>1071</v>
      </c>
      <c r="L3774" s="55" t="s">
        <v>392</v>
      </c>
      <c r="M3774" s="55" t="s">
        <v>392</v>
      </c>
      <c r="N3774" s="4" t="s">
        <v>2851</v>
      </c>
      <c r="O3774" s="55" t="s">
        <v>533</v>
      </c>
    </row>
    <row r="3775" spans="2:15">
      <c r="B3775" s="20">
        <v>45552</v>
      </c>
      <c r="C3775" s="59">
        <v>50793278</v>
      </c>
      <c r="D3775" s="55" t="s">
        <v>1086</v>
      </c>
      <c r="G3775" s="65">
        <v>40</v>
      </c>
      <c r="H3775" s="56" t="s">
        <v>1087</v>
      </c>
      <c r="K3775" s="56">
        <v>1072</v>
      </c>
      <c r="L3775" s="55" t="s">
        <v>176</v>
      </c>
      <c r="M3775" s="55" t="s">
        <v>2824</v>
      </c>
      <c r="N3775" s="4" t="s">
        <v>177</v>
      </c>
      <c r="O3775" s="55" t="s">
        <v>178</v>
      </c>
    </row>
    <row r="3776" spans="2:15">
      <c r="B3776" s="20">
        <v>45552</v>
      </c>
      <c r="C3776" s="59">
        <v>50142281</v>
      </c>
      <c r="D3776" s="55" t="s">
        <v>204</v>
      </c>
      <c r="G3776" s="65">
        <v>7200</v>
      </c>
      <c r="H3776" s="56" t="s">
        <v>82</v>
      </c>
      <c r="K3776" s="56">
        <v>1072</v>
      </c>
      <c r="L3776" s="55" t="s">
        <v>176</v>
      </c>
      <c r="M3776" s="55" t="s">
        <v>2824</v>
      </c>
      <c r="N3776" s="4" t="s">
        <v>177</v>
      </c>
      <c r="O3776" s="55" t="s">
        <v>178</v>
      </c>
    </row>
    <row r="3777" spans="2:15">
      <c r="B3777" s="20">
        <v>45552</v>
      </c>
      <c r="C3777" s="59">
        <v>50142327</v>
      </c>
      <c r="D3777" s="55" t="s">
        <v>256</v>
      </c>
      <c r="G3777" s="65">
        <v>476.7</v>
      </c>
      <c r="H3777" s="56" t="s">
        <v>82</v>
      </c>
      <c r="K3777" s="56">
        <v>1072</v>
      </c>
      <c r="L3777" s="55" t="s">
        <v>176</v>
      </c>
      <c r="M3777" s="55" t="s">
        <v>2824</v>
      </c>
      <c r="N3777" s="4" t="s">
        <v>177</v>
      </c>
      <c r="O3777" s="55" t="s">
        <v>178</v>
      </c>
    </row>
    <row r="3778" spans="2:15">
      <c r="B3778" s="20">
        <v>45552</v>
      </c>
      <c r="C3778" s="59">
        <v>50142334</v>
      </c>
      <c r="D3778" s="55" t="s">
        <v>257</v>
      </c>
      <c r="G3778" s="65">
        <v>476.7</v>
      </c>
      <c r="H3778" s="56" t="s">
        <v>82</v>
      </c>
      <c r="K3778" s="56">
        <v>1072</v>
      </c>
      <c r="L3778" s="55" t="s">
        <v>176</v>
      </c>
      <c r="M3778" s="55" t="s">
        <v>2824</v>
      </c>
      <c r="N3778" s="4" t="s">
        <v>177</v>
      </c>
      <c r="O3778" s="55" t="s">
        <v>178</v>
      </c>
    </row>
    <row r="3779" spans="2:15">
      <c r="B3779" s="20">
        <v>45552</v>
      </c>
      <c r="C3779" s="59">
        <v>50470190</v>
      </c>
      <c r="D3779" s="55" t="s">
        <v>12</v>
      </c>
      <c r="G3779" s="65">
        <v>5506200</v>
      </c>
      <c r="H3779" s="56" t="s">
        <v>92</v>
      </c>
      <c r="K3779" s="56">
        <v>1073</v>
      </c>
      <c r="L3779" s="55" t="s">
        <v>2601</v>
      </c>
      <c r="M3779" s="55" t="s">
        <v>2824</v>
      </c>
      <c r="N3779" s="4" t="s">
        <v>1793</v>
      </c>
      <c r="O3779" s="55" t="s">
        <v>178</v>
      </c>
    </row>
    <row r="3780" spans="2:15">
      <c r="B3780" s="20">
        <v>45553</v>
      </c>
      <c r="C3780" s="59">
        <v>50141786</v>
      </c>
      <c r="D3780" s="55" t="s">
        <v>188</v>
      </c>
      <c r="G3780" s="65">
        <v>11200</v>
      </c>
      <c r="H3780" s="56" t="s">
        <v>82</v>
      </c>
      <c r="K3780" s="56">
        <v>1074</v>
      </c>
      <c r="L3780" s="55" t="s">
        <v>176</v>
      </c>
      <c r="M3780" s="55" t="s">
        <v>2824</v>
      </c>
      <c r="N3780" s="4" t="s">
        <v>177</v>
      </c>
      <c r="O3780" s="55" t="s">
        <v>178</v>
      </c>
    </row>
    <row r="3781" spans="2:15">
      <c r="B3781" s="20">
        <v>45553</v>
      </c>
      <c r="C3781" s="59">
        <v>50809147</v>
      </c>
      <c r="D3781" s="55" t="s">
        <v>930</v>
      </c>
      <c r="G3781" s="65">
        <v>464.35</v>
      </c>
      <c r="H3781" s="56" t="s">
        <v>82</v>
      </c>
      <c r="K3781" s="56">
        <v>1074</v>
      </c>
      <c r="L3781" s="55" t="s">
        <v>176</v>
      </c>
      <c r="M3781" s="55" t="s">
        <v>2824</v>
      </c>
      <c r="N3781" s="4" t="s">
        <v>177</v>
      </c>
      <c r="O3781" s="55" t="s">
        <v>178</v>
      </c>
    </row>
    <row r="3782" spans="2:15">
      <c r="B3782" s="20">
        <v>45553</v>
      </c>
      <c r="C3782" s="59">
        <v>50498271</v>
      </c>
      <c r="D3782" s="55" t="s">
        <v>1025</v>
      </c>
      <c r="G3782" s="65">
        <v>526.35</v>
      </c>
      <c r="H3782" s="56" t="s">
        <v>82</v>
      </c>
      <c r="K3782" s="56">
        <v>1074</v>
      </c>
      <c r="L3782" s="55" t="s">
        <v>176</v>
      </c>
      <c r="M3782" s="55" t="s">
        <v>2824</v>
      </c>
      <c r="N3782" s="4" t="s">
        <v>177</v>
      </c>
      <c r="O3782" s="55" t="s">
        <v>178</v>
      </c>
    </row>
    <row r="3783" spans="2:15">
      <c r="B3783" s="20">
        <v>45553</v>
      </c>
      <c r="C3783" s="59">
        <v>50272278</v>
      </c>
      <c r="D3783" s="55" t="s">
        <v>21</v>
      </c>
      <c r="G3783" s="65">
        <v>4500</v>
      </c>
      <c r="H3783" s="56" t="s">
        <v>92</v>
      </c>
      <c r="K3783" s="56">
        <v>1075</v>
      </c>
      <c r="L3783" s="55" t="s">
        <v>176</v>
      </c>
      <c r="M3783" s="55" t="s">
        <v>2824</v>
      </c>
      <c r="N3783" s="4" t="s">
        <v>177</v>
      </c>
      <c r="O3783" s="55" t="s">
        <v>178</v>
      </c>
    </row>
    <row r="3784" spans="2:15">
      <c r="B3784" s="20">
        <v>45553</v>
      </c>
      <c r="C3784" s="59">
        <v>40499</v>
      </c>
      <c r="D3784" s="55" t="s">
        <v>1094</v>
      </c>
      <c r="G3784" s="65">
        <v>18</v>
      </c>
      <c r="H3784" s="56" t="s">
        <v>92</v>
      </c>
      <c r="K3784" s="56">
        <v>1075</v>
      </c>
      <c r="L3784" s="55" t="s">
        <v>176</v>
      </c>
      <c r="M3784" s="55" t="s">
        <v>2824</v>
      </c>
      <c r="N3784" s="4" t="s">
        <v>177</v>
      </c>
      <c r="O3784" s="55" t="s">
        <v>178</v>
      </c>
    </row>
    <row r="3785" spans="2:15">
      <c r="B3785" s="20">
        <v>45553</v>
      </c>
      <c r="C3785" s="59">
        <v>40013719</v>
      </c>
      <c r="D3785" s="55" t="s">
        <v>1029</v>
      </c>
      <c r="G3785" s="65">
        <v>2197</v>
      </c>
      <c r="H3785" s="56" t="s">
        <v>80</v>
      </c>
      <c r="K3785" s="56">
        <v>1075</v>
      </c>
      <c r="L3785" s="55" t="s">
        <v>176</v>
      </c>
      <c r="M3785" s="55" t="s">
        <v>2824</v>
      </c>
      <c r="N3785" s="4" t="s">
        <v>177</v>
      </c>
      <c r="O3785" s="55" t="s">
        <v>178</v>
      </c>
    </row>
    <row r="3786" spans="2:15">
      <c r="B3786" s="20">
        <v>45553</v>
      </c>
      <c r="C3786" s="59">
        <v>50802401</v>
      </c>
      <c r="D3786" s="55" t="s">
        <v>13</v>
      </c>
      <c r="G3786" s="65">
        <v>2898000</v>
      </c>
      <c r="H3786" s="56" t="s">
        <v>92</v>
      </c>
      <c r="K3786" s="56">
        <v>1075</v>
      </c>
      <c r="L3786" s="55" t="s">
        <v>176</v>
      </c>
      <c r="M3786" s="55" t="s">
        <v>2824</v>
      </c>
      <c r="N3786" s="4" t="s">
        <v>177</v>
      </c>
      <c r="O3786" s="55" t="s">
        <v>178</v>
      </c>
    </row>
    <row r="3787" spans="2:15">
      <c r="B3787" s="20">
        <v>45554</v>
      </c>
      <c r="C3787" s="59">
        <v>40009546</v>
      </c>
      <c r="D3787" s="55" t="s">
        <v>174</v>
      </c>
      <c r="G3787" s="65">
        <v>3474</v>
      </c>
      <c r="H3787" s="56" t="s">
        <v>80</v>
      </c>
      <c r="K3787" s="56">
        <v>1076</v>
      </c>
      <c r="L3787" s="55" t="s">
        <v>176</v>
      </c>
      <c r="M3787" s="55" t="s">
        <v>2824</v>
      </c>
      <c r="N3787" s="4" t="s">
        <v>177</v>
      </c>
      <c r="O3787" s="55" t="s">
        <v>178</v>
      </c>
    </row>
    <row r="3788" spans="2:15">
      <c r="B3788" s="20">
        <v>45554</v>
      </c>
      <c r="C3788" s="59">
        <v>50145028</v>
      </c>
      <c r="D3788" s="55" t="s">
        <v>23</v>
      </c>
      <c r="G3788" s="65">
        <v>192</v>
      </c>
      <c r="H3788" s="56" t="s">
        <v>92</v>
      </c>
      <c r="K3788" s="56">
        <v>1076</v>
      </c>
      <c r="L3788" s="55" t="s">
        <v>176</v>
      </c>
      <c r="M3788" s="55" t="s">
        <v>2824</v>
      </c>
      <c r="N3788" s="4" t="s">
        <v>177</v>
      </c>
      <c r="O3788" s="55" t="s">
        <v>178</v>
      </c>
    </row>
    <row r="3789" spans="2:15">
      <c r="B3789" s="20">
        <v>45554</v>
      </c>
      <c r="C3789" s="59">
        <v>50498271</v>
      </c>
      <c r="D3789" s="55" t="s">
        <v>1025</v>
      </c>
      <c r="G3789" s="65">
        <v>2059.15</v>
      </c>
      <c r="H3789" s="56" t="s">
        <v>82</v>
      </c>
      <c r="K3789" s="56">
        <v>1076</v>
      </c>
      <c r="L3789" s="55" t="s">
        <v>176</v>
      </c>
      <c r="M3789" s="55" t="s">
        <v>2824</v>
      </c>
      <c r="N3789" s="4" t="s">
        <v>177</v>
      </c>
      <c r="O3789" s="55" t="s">
        <v>178</v>
      </c>
    </row>
    <row r="3790" spans="2:15">
      <c r="B3790" s="20">
        <v>45554</v>
      </c>
      <c r="C3790" s="59">
        <v>50272278</v>
      </c>
      <c r="D3790" s="55" t="s">
        <v>21</v>
      </c>
      <c r="G3790" s="65">
        <v>5000</v>
      </c>
      <c r="H3790" s="56" t="s">
        <v>92</v>
      </c>
      <c r="K3790" s="56">
        <v>1076</v>
      </c>
      <c r="L3790" s="55" t="s">
        <v>176</v>
      </c>
      <c r="M3790" s="55" t="s">
        <v>2824</v>
      </c>
      <c r="N3790" s="4" t="s">
        <v>177</v>
      </c>
      <c r="O3790" s="55" t="s">
        <v>178</v>
      </c>
    </row>
    <row r="3791" spans="2:15">
      <c r="B3791" s="20">
        <v>45554</v>
      </c>
      <c r="C3791" s="59">
        <v>40499</v>
      </c>
      <c r="D3791" s="55" t="s">
        <v>1094</v>
      </c>
      <c r="G3791" s="65">
        <v>20</v>
      </c>
      <c r="H3791" s="56" t="s">
        <v>92</v>
      </c>
      <c r="K3791" s="56">
        <v>1076</v>
      </c>
      <c r="L3791" s="55" t="s">
        <v>176</v>
      </c>
      <c r="M3791" s="55" t="s">
        <v>2824</v>
      </c>
      <c r="N3791" s="4" t="s">
        <v>177</v>
      </c>
      <c r="O3791" s="55" t="s">
        <v>178</v>
      </c>
    </row>
    <row r="3792" spans="2:15">
      <c r="B3792" s="20">
        <v>45554</v>
      </c>
      <c r="C3792" s="59">
        <v>40007941</v>
      </c>
      <c r="D3792" s="55" t="s">
        <v>211</v>
      </c>
      <c r="G3792" s="65">
        <v>2020</v>
      </c>
      <c r="H3792" s="56" t="s">
        <v>80</v>
      </c>
      <c r="K3792" s="56">
        <v>1076</v>
      </c>
      <c r="L3792" s="55" t="s">
        <v>176</v>
      </c>
      <c r="M3792" s="55" t="s">
        <v>2824</v>
      </c>
      <c r="N3792" s="4" t="s">
        <v>177</v>
      </c>
      <c r="O3792" s="55" t="s">
        <v>178</v>
      </c>
    </row>
    <row r="3793" spans="2:15">
      <c r="B3793" s="20">
        <v>45555</v>
      </c>
      <c r="C3793" s="59">
        <v>50272278</v>
      </c>
      <c r="D3793" s="55" t="s">
        <v>21</v>
      </c>
      <c r="G3793" s="65">
        <v>8600</v>
      </c>
      <c r="H3793" s="56" t="s">
        <v>92</v>
      </c>
      <c r="K3793" s="56">
        <v>1077</v>
      </c>
      <c r="L3793" s="55" t="s">
        <v>176</v>
      </c>
      <c r="M3793" s="55" t="s">
        <v>2824</v>
      </c>
      <c r="N3793" s="4" t="s">
        <v>177</v>
      </c>
      <c r="O3793" s="55" t="s">
        <v>178</v>
      </c>
    </row>
    <row r="3794" spans="2:15">
      <c r="B3794" s="20">
        <v>45555</v>
      </c>
      <c r="C3794" s="59">
        <v>40499</v>
      </c>
      <c r="D3794" s="55" t="s">
        <v>1094</v>
      </c>
      <c r="G3794" s="65">
        <v>32</v>
      </c>
      <c r="H3794" s="56" t="s">
        <v>92</v>
      </c>
      <c r="K3794" s="56">
        <v>1077</v>
      </c>
      <c r="L3794" s="55" t="s">
        <v>176</v>
      </c>
      <c r="M3794" s="55" t="s">
        <v>2824</v>
      </c>
      <c r="N3794" s="4" t="s">
        <v>177</v>
      </c>
      <c r="O3794" s="55" t="s">
        <v>178</v>
      </c>
    </row>
    <row r="3795" spans="2:15">
      <c r="B3795" s="20">
        <v>45555</v>
      </c>
      <c r="C3795" s="59">
        <v>50815214</v>
      </c>
      <c r="D3795" s="55" t="s">
        <v>1111</v>
      </c>
      <c r="G3795" s="65">
        <v>1654600</v>
      </c>
      <c r="H3795" s="56" t="s">
        <v>92</v>
      </c>
      <c r="K3795" s="56">
        <v>1077</v>
      </c>
      <c r="L3795" s="55" t="s">
        <v>176</v>
      </c>
      <c r="M3795" s="55" t="s">
        <v>2824</v>
      </c>
      <c r="N3795" s="4" t="s">
        <v>177</v>
      </c>
      <c r="O3795" s="55" t="s">
        <v>178</v>
      </c>
    </row>
    <row r="3796" spans="2:15">
      <c r="B3796" s="20">
        <v>45555</v>
      </c>
      <c r="C3796" s="59">
        <v>50470190</v>
      </c>
      <c r="D3796" s="55" t="s">
        <v>12</v>
      </c>
      <c r="G3796" s="65">
        <v>2898000</v>
      </c>
      <c r="H3796" s="56" t="s">
        <v>92</v>
      </c>
      <c r="K3796" s="56">
        <v>1078</v>
      </c>
      <c r="L3796" s="55" t="s">
        <v>176</v>
      </c>
      <c r="M3796" s="55" t="s">
        <v>2824</v>
      </c>
      <c r="N3796" s="4" t="s">
        <v>177</v>
      </c>
      <c r="O3796" s="55" t="s">
        <v>178</v>
      </c>
    </row>
    <row r="3797" spans="2:15">
      <c r="B3797" s="20">
        <v>45555</v>
      </c>
      <c r="C3797" s="59">
        <v>40010086</v>
      </c>
      <c r="D3797" s="55" t="s">
        <v>79</v>
      </c>
      <c r="G3797" s="65">
        <v>8064</v>
      </c>
      <c r="H3797" s="56" t="s">
        <v>80</v>
      </c>
      <c r="K3797" s="56">
        <v>1078</v>
      </c>
      <c r="L3797" s="55" t="s">
        <v>176</v>
      </c>
      <c r="M3797" s="55" t="s">
        <v>2824</v>
      </c>
      <c r="N3797" s="4" t="s">
        <v>177</v>
      </c>
      <c r="O3797" s="55" t="s">
        <v>178</v>
      </c>
    </row>
    <row r="3798" spans="2:15">
      <c r="B3798" s="20">
        <v>45555</v>
      </c>
      <c r="C3798" s="59">
        <v>50498271</v>
      </c>
      <c r="D3798" s="55" t="s">
        <v>1025</v>
      </c>
      <c r="G3798" s="65">
        <v>2630.45</v>
      </c>
      <c r="H3798" s="56" t="s">
        <v>82</v>
      </c>
      <c r="K3798" s="56">
        <v>1078</v>
      </c>
      <c r="L3798" s="55" t="s">
        <v>176</v>
      </c>
      <c r="M3798" s="55" t="s">
        <v>2824</v>
      </c>
      <c r="N3798" s="4" t="s">
        <v>177</v>
      </c>
      <c r="O3798" s="55" t="s">
        <v>178</v>
      </c>
    </row>
    <row r="3799" spans="2:15">
      <c r="B3799" s="20">
        <v>45555</v>
      </c>
      <c r="C3799" s="59">
        <v>50818960</v>
      </c>
      <c r="D3799" s="55" t="s">
        <v>1167</v>
      </c>
      <c r="G3799" s="65">
        <v>400000</v>
      </c>
      <c r="H3799" s="56" t="s">
        <v>92</v>
      </c>
      <c r="K3799" s="56">
        <v>1078</v>
      </c>
      <c r="L3799" s="55" t="s">
        <v>176</v>
      </c>
      <c r="M3799" s="55" t="s">
        <v>2824</v>
      </c>
      <c r="N3799" s="4" t="s">
        <v>177</v>
      </c>
      <c r="O3799" s="55" t="s">
        <v>178</v>
      </c>
    </row>
    <row r="3800" spans="2:15">
      <c r="B3800" s="20">
        <v>45555</v>
      </c>
      <c r="C3800" s="59">
        <v>50818949</v>
      </c>
      <c r="D3800" s="55" t="s">
        <v>1381</v>
      </c>
      <c r="G3800" s="65">
        <v>900000</v>
      </c>
      <c r="H3800" s="56" t="s">
        <v>92</v>
      </c>
      <c r="K3800" s="56">
        <v>1078</v>
      </c>
      <c r="L3800" s="55" t="s">
        <v>176</v>
      </c>
      <c r="M3800" s="55" t="s">
        <v>2824</v>
      </c>
      <c r="N3800" s="4" t="s">
        <v>177</v>
      </c>
      <c r="O3800" s="55" t="s">
        <v>178</v>
      </c>
    </row>
    <row r="3801" spans="2:15">
      <c r="B3801" s="20">
        <v>45555</v>
      </c>
      <c r="C3801" s="59">
        <v>50272278</v>
      </c>
      <c r="D3801" s="55" t="s">
        <v>21</v>
      </c>
      <c r="G3801" s="65">
        <v>9500</v>
      </c>
      <c r="H3801" s="56" t="s">
        <v>92</v>
      </c>
      <c r="K3801" s="56">
        <v>1079</v>
      </c>
      <c r="L3801" s="55" t="s">
        <v>176</v>
      </c>
      <c r="M3801" s="55" t="s">
        <v>2824</v>
      </c>
      <c r="N3801" s="4" t="s">
        <v>177</v>
      </c>
      <c r="O3801" s="55" t="s">
        <v>178</v>
      </c>
    </row>
    <row r="3802" spans="2:15">
      <c r="B3802" s="20">
        <v>45555</v>
      </c>
      <c r="C3802" s="59">
        <v>40499</v>
      </c>
      <c r="D3802" s="55" t="s">
        <v>1094</v>
      </c>
      <c r="G3802" s="65">
        <v>38</v>
      </c>
      <c r="H3802" s="56" t="s">
        <v>92</v>
      </c>
      <c r="K3802" s="56">
        <v>1079</v>
      </c>
      <c r="L3802" s="55" t="s">
        <v>176</v>
      </c>
      <c r="M3802" s="55" t="s">
        <v>2824</v>
      </c>
      <c r="N3802" s="4" t="s">
        <v>177</v>
      </c>
      <c r="O3802" s="55" t="s">
        <v>178</v>
      </c>
    </row>
    <row r="3803" spans="2:15">
      <c r="B3803" s="20">
        <v>45555</v>
      </c>
      <c r="C3803" s="59">
        <v>50470190</v>
      </c>
      <c r="D3803" s="55" t="s">
        <v>12</v>
      </c>
      <c r="G3803" s="65">
        <v>869400</v>
      </c>
      <c r="H3803" s="56" t="s">
        <v>92</v>
      </c>
      <c r="K3803" s="56">
        <v>1079</v>
      </c>
      <c r="L3803" s="55" t="s">
        <v>176</v>
      </c>
      <c r="M3803" s="55" t="s">
        <v>2824</v>
      </c>
      <c r="N3803" s="4" t="s">
        <v>177</v>
      </c>
      <c r="O3803" s="55" t="s">
        <v>178</v>
      </c>
    </row>
    <row r="3804" spans="2:15">
      <c r="B3804" s="20">
        <v>45556</v>
      </c>
      <c r="C3804" s="59">
        <v>50143893</v>
      </c>
      <c r="D3804" s="55" t="s">
        <v>24</v>
      </c>
      <c r="G3804" s="65">
        <v>1188</v>
      </c>
      <c r="H3804" s="56" t="s">
        <v>82</v>
      </c>
      <c r="K3804" s="56">
        <v>1080</v>
      </c>
      <c r="L3804" s="55" t="s">
        <v>392</v>
      </c>
      <c r="M3804" s="55" t="s">
        <v>392</v>
      </c>
      <c r="N3804" s="4" t="s">
        <v>2873</v>
      </c>
      <c r="O3804" s="55" t="s">
        <v>178</v>
      </c>
    </row>
    <row r="3805" spans="2:15">
      <c r="B3805" s="20">
        <v>45556</v>
      </c>
      <c r="C3805" s="59">
        <v>50272278</v>
      </c>
      <c r="D3805" s="55" t="s">
        <v>21</v>
      </c>
      <c r="G3805" s="65">
        <v>1000</v>
      </c>
      <c r="H3805" s="56" t="s">
        <v>92</v>
      </c>
      <c r="K3805" s="56">
        <v>1080</v>
      </c>
      <c r="L3805" s="55" t="s">
        <v>392</v>
      </c>
      <c r="M3805" s="55" t="s">
        <v>392</v>
      </c>
      <c r="N3805" s="4" t="s">
        <v>2873</v>
      </c>
      <c r="O3805" s="55" t="s">
        <v>178</v>
      </c>
    </row>
    <row r="3806" spans="2:15">
      <c r="B3806" s="20">
        <v>45556</v>
      </c>
      <c r="C3806" s="59">
        <v>50515034</v>
      </c>
      <c r="D3806" s="55" t="s">
        <v>41</v>
      </c>
      <c r="G3806" s="65">
        <v>97.2</v>
      </c>
      <c r="H3806" s="56" t="s">
        <v>80</v>
      </c>
      <c r="K3806" s="56">
        <v>1080</v>
      </c>
      <c r="L3806" s="55" t="s">
        <v>392</v>
      </c>
      <c r="M3806" s="55" t="s">
        <v>392</v>
      </c>
      <c r="N3806" s="4" t="s">
        <v>2873</v>
      </c>
      <c r="O3806" s="55" t="s">
        <v>178</v>
      </c>
    </row>
    <row r="3807" spans="2:15">
      <c r="B3807" s="20">
        <v>45558</v>
      </c>
      <c r="C3807" s="59">
        <v>50804970</v>
      </c>
      <c r="D3807" s="55" t="s">
        <v>857</v>
      </c>
      <c r="G3807" s="65">
        <v>2500000</v>
      </c>
      <c r="H3807" s="56" t="s">
        <v>92</v>
      </c>
      <c r="K3807" s="56">
        <v>1081</v>
      </c>
      <c r="L3807" s="55" t="s">
        <v>176</v>
      </c>
      <c r="M3807" s="55" t="s">
        <v>2824</v>
      </c>
      <c r="N3807" s="4" t="s">
        <v>177</v>
      </c>
      <c r="O3807" s="55" t="s">
        <v>178</v>
      </c>
    </row>
    <row r="3808" spans="2:15">
      <c r="B3808" s="20">
        <v>45558</v>
      </c>
      <c r="C3808" s="59">
        <v>50804971</v>
      </c>
      <c r="D3808" s="55" t="s">
        <v>855</v>
      </c>
      <c r="G3808" s="65">
        <v>1980000</v>
      </c>
      <c r="H3808" s="56" t="s">
        <v>92</v>
      </c>
      <c r="K3808" s="56">
        <v>1081</v>
      </c>
      <c r="L3808" s="55" t="s">
        <v>176</v>
      </c>
      <c r="M3808" s="55" t="s">
        <v>2824</v>
      </c>
      <c r="N3808" s="4" t="s">
        <v>177</v>
      </c>
      <c r="O3808" s="55" t="s">
        <v>178</v>
      </c>
    </row>
    <row r="3809" spans="2:15">
      <c r="B3809" s="20">
        <v>45558</v>
      </c>
      <c r="C3809" s="59">
        <v>50804929</v>
      </c>
      <c r="D3809" s="55" t="s">
        <v>856</v>
      </c>
      <c r="G3809" s="65">
        <v>984000</v>
      </c>
      <c r="H3809" s="56" t="s">
        <v>92</v>
      </c>
      <c r="K3809" s="56">
        <v>1081</v>
      </c>
      <c r="L3809" s="55" t="s">
        <v>176</v>
      </c>
      <c r="M3809" s="55" t="s">
        <v>2824</v>
      </c>
      <c r="N3809" s="4" t="s">
        <v>177</v>
      </c>
      <c r="O3809" s="55" t="s">
        <v>178</v>
      </c>
    </row>
    <row r="3810" spans="2:15">
      <c r="B3810" s="20">
        <v>45558</v>
      </c>
      <c r="C3810" s="59">
        <v>50809145</v>
      </c>
      <c r="D3810" s="55" t="s">
        <v>946</v>
      </c>
      <c r="G3810" s="65">
        <v>2481.45</v>
      </c>
      <c r="H3810" s="56" t="s">
        <v>92</v>
      </c>
      <c r="K3810" s="56">
        <v>1081</v>
      </c>
      <c r="L3810" s="55" t="s">
        <v>176</v>
      </c>
      <c r="M3810" s="55" t="s">
        <v>2824</v>
      </c>
      <c r="N3810" s="4" t="s">
        <v>177</v>
      </c>
      <c r="O3810" s="55" t="s">
        <v>178</v>
      </c>
    </row>
    <row r="3811" spans="2:15">
      <c r="B3811" s="20">
        <v>45558</v>
      </c>
      <c r="C3811" s="59">
        <v>50813995</v>
      </c>
      <c r="D3811" s="55" t="s">
        <v>960</v>
      </c>
      <c r="G3811" s="65">
        <v>1154.8</v>
      </c>
      <c r="H3811" s="56" t="s">
        <v>92</v>
      </c>
      <c r="K3811" s="56">
        <v>1081</v>
      </c>
      <c r="L3811" s="55" t="s">
        <v>176</v>
      </c>
      <c r="M3811" s="55" t="s">
        <v>2824</v>
      </c>
      <c r="N3811" s="4" t="s">
        <v>177</v>
      </c>
      <c r="O3811" s="55" t="s">
        <v>178</v>
      </c>
    </row>
    <row r="3812" spans="2:15">
      <c r="B3812" s="20">
        <v>45558</v>
      </c>
      <c r="C3812" s="59">
        <v>50144376</v>
      </c>
      <c r="D3812" s="55" t="s">
        <v>19</v>
      </c>
      <c r="G3812" s="65">
        <v>8</v>
      </c>
      <c r="H3812" s="56" t="s">
        <v>82</v>
      </c>
      <c r="K3812" s="56">
        <v>1081</v>
      </c>
      <c r="L3812" s="55" t="s">
        <v>176</v>
      </c>
      <c r="M3812" s="55" t="s">
        <v>2824</v>
      </c>
      <c r="N3812" s="4" t="s">
        <v>177</v>
      </c>
      <c r="O3812" s="55" t="s">
        <v>178</v>
      </c>
    </row>
    <row r="3813" spans="2:15">
      <c r="B3813" s="20">
        <v>45558</v>
      </c>
      <c r="C3813" s="59">
        <v>40499</v>
      </c>
      <c r="D3813" s="55" t="s">
        <v>1094</v>
      </c>
      <c r="G3813" s="65">
        <v>4500</v>
      </c>
      <c r="H3813" s="56" t="s">
        <v>82</v>
      </c>
      <c r="K3813" s="56">
        <v>1081</v>
      </c>
      <c r="L3813" s="55" t="s">
        <v>176</v>
      </c>
      <c r="M3813" s="55" t="s">
        <v>2824</v>
      </c>
      <c r="N3813" s="4" t="s">
        <v>177</v>
      </c>
      <c r="O3813" s="55" t="s">
        <v>178</v>
      </c>
    </row>
    <row r="3814" spans="2:15">
      <c r="B3814" s="20">
        <v>45558</v>
      </c>
      <c r="C3814" s="59">
        <v>50809353</v>
      </c>
      <c r="D3814" s="55" t="s">
        <v>905</v>
      </c>
      <c r="G3814" s="65">
        <v>2800</v>
      </c>
      <c r="H3814" s="56" t="s">
        <v>82</v>
      </c>
      <c r="K3814" s="56">
        <v>1082</v>
      </c>
      <c r="L3814" s="55" t="s">
        <v>176</v>
      </c>
      <c r="M3814" s="55" t="s">
        <v>2824</v>
      </c>
      <c r="N3814" s="4" t="s">
        <v>177</v>
      </c>
      <c r="O3814" s="55" t="s">
        <v>178</v>
      </c>
    </row>
    <row r="3815" spans="2:15">
      <c r="B3815" s="20">
        <v>45558</v>
      </c>
      <c r="C3815" s="59">
        <v>50809147</v>
      </c>
      <c r="D3815" s="55" t="s">
        <v>930</v>
      </c>
      <c r="G3815" s="65">
        <v>2468.45</v>
      </c>
      <c r="H3815" s="56" t="s">
        <v>82</v>
      </c>
      <c r="K3815" s="56">
        <v>1082</v>
      </c>
      <c r="L3815" s="55" t="s">
        <v>176</v>
      </c>
      <c r="M3815" s="55" t="s">
        <v>2824</v>
      </c>
      <c r="N3815" s="4" t="s">
        <v>177</v>
      </c>
      <c r="O3815" s="55" t="s">
        <v>178</v>
      </c>
    </row>
    <row r="3816" spans="2:15">
      <c r="B3816" s="20">
        <v>45558</v>
      </c>
      <c r="C3816" s="59">
        <v>50272278</v>
      </c>
      <c r="D3816" s="55" t="s">
        <v>21</v>
      </c>
      <c r="G3816" s="65">
        <v>4500</v>
      </c>
      <c r="H3816" s="56" t="s">
        <v>92</v>
      </c>
      <c r="K3816" s="56">
        <v>1082</v>
      </c>
      <c r="L3816" s="55" t="s">
        <v>176</v>
      </c>
      <c r="M3816" s="55" t="s">
        <v>2824</v>
      </c>
      <c r="N3816" s="4" t="s">
        <v>177</v>
      </c>
      <c r="O3816" s="55" t="s">
        <v>178</v>
      </c>
    </row>
    <row r="3817" spans="2:15">
      <c r="B3817" s="20">
        <v>45558</v>
      </c>
      <c r="C3817" s="59">
        <v>50818947</v>
      </c>
      <c r="D3817" s="55" t="s">
        <v>1174</v>
      </c>
      <c r="G3817" s="65">
        <v>2500000</v>
      </c>
      <c r="H3817" s="56" t="s">
        <v>92</v>
      </c>
      <c r="K3817" s="56">
        <v>1082</v>
      </c>
      <c r="L3817" s="55" t="s">
        <v>176</v>
      </c>
      <c r="M3817" s="55" t="s">
        <v>2824</v>
      </c>
      <c r="N3817" s="4" t="s">
        <v>177</v>
      </c>
      <c r="O3817" s="55" t="s">
        <v>178</v>
      </c>
    </row>
    <row r="3818" spans="2:15">
      <c r="B3818" s="20">
        <v>45558</v>
      </c>
      <c r="C3818" s="59">
        <v>40499</v>
      </c>
      <c r="D3818" s="55" t="s">
        <v>1094</v>
      </c>
      <c r="G3818" s="65">
        <v>18</v>
      </c>
      <c r="H3818" s="56" t="s">
        <v>92</v>
      </c>
      <c r="K3818" s="56">
        <v>1082</v>
      </c>
      <c r="L3818" s="55" t="s">
        <v>176</v>
      </c>
      <c r="M3818" s="55" t="s">
        <v>2824</v>
      </c>
      <c r="N3818" s="4" t="s">
        <v>177</v>
      </c>
      <c r="O3818" s="55" t="s">
        <v>178</v>
      </c>
    </row>
    <row r="3819" spans="2:15">
      <c r="B3819" s="20">
        <v>45559</v>
      </c>
      <c r="C3819" s="59">
        <v>50470190</v>
      </c>
      <c r="D3819" s="55" t="s">
        <v>12</v>
      </c>
      <c r="G3819" s="65">
        <v>5216400</v>
      </c>
      <c r="H3819" s="56" t="s">
        <v>92</v>
      </c>
      <c r="K3819" s="56">
        <v>1083</v>
      </c>
      <c r="L3819" s="55" t="s">
        <v>176</v>
      </c>
      <c r="M3819" s="55" t="s">
        <v>2824</v>
      </c>
      <c r="N3819" s="4" t="s">
        <v>177</v>
      </c>
      <c r="O3819" s="55" t="s">
        <v>178</v>
      </c>
    </row>
    <row r="3820" spans="2:15">
      <c r="B3820" s="20">
        <v>45559</v>
      </c>
      <c r="C3820" s="59">
        <v>50010080</v>
      </c>
      <c r="D3820" s="55" t="s">
        <v>1657</v>
      </c>
      <c r="G3820" s="65">
        <v>6000</v>
      </c>
      <c r="H3820" s="56" t="s">
        <v>82</v>
      </c>
      <c r="K3820" s="56">
        <v>1084</v>
      </c>
      <c r="L3820" s="55" t="s">
        <v>176</v>
      </c>
      <c r="M3820" s="55" t="s">
        <v>2824</v>
      </c>
      <c r="N3820" s="4" t="s">
        <v>177</v>
      </c>
      <c r="O3820" s="55" t="s">
        <v>178</v>
      </c>
    </row>
    <row r="3821" spans="2:15">
      <c r="B3821" s="20">
        <v>45559</v>
      </c>
      <c r="C3821" s="59">
        <v>50809145</v>
      </c>
      <c r="D3821" s="55" t="s">
        <v>946</v>
      </c>
      <c r="G3821" s="65">
        <v>1929.2</v>
      </c>
      <c r="H3821" s="56" t="s">
        <v>82</v>
      </c>
      <c r="K3821" s="56">
        <v>1084</v>
      </c>
      <c r="L3821" s="55" t="s">
        <v>176</v>
      </c>
      <c r="M3821" s="55" t="s">
        <v>2824</v>
      </c>
      <c r="N3821" s="4" t="s">
        <v>177</v>
      </c>
      <c r="O3821" s="55" t="s">
        <v>178</v>
      </c>
    </row>
    <row r="3822" spans="2:15">
      <c r="B3822" s="20">
        <v>45559</v>
      </c>
      <c r="C3822" s="59">
        <v>50142327</v>
      </c>
      <c r="D3822" s="55" t="s">
        <v>256</v>
      </c>
      <c r="G3822" s="65">
        <v>1906.8</v>
      </c>
      <c r="H3822" s="56" t="s">
        <v>82</v>
      </c>
      <c r="K3822" s="56">
        <v>1084</v>
      </c>
      <c r="L3822" s="55" t="s">
        <v>176</v>
      </c>
      <c r="M3822" s="55" t="s">
        <v>2824</v>
      </c>
      <c r="N3822" s="4" t="s">
        <v>177</v>
      </c>
      <c r="O3822" s="55" t="s">
        <v>178</v>
      </c>
    </row>
    <row r="3823" spans="2:15">
      <c r="B3823" s="20">
        <v>45559</v>
      </c>
      <c r="C3823" s="59">
        <v>50142334</v>
      </c>
      <c r="D3823" s="55" t="s">
        <v>257</v>
      </c>
      <c r="G3823" s="65">
        <v>1906.8</v>
      </c>
      <c r="H3823" s="56" t="s">
        <v>82</v>
      </c>
      <c r="K3823" s="56">
        <v>1084</v>
      </c>
      <c r="L3823" s="55" t="s">
        <v>176</v>
      </c>
      <c r="M3823" s="55" t="s">
        <v>2824</v>
      </c>
      <c r="N3823" s="4" t="s">
        <v>177</v>
      </c>
      <c r="O3823" s="55" t="s">
        <v>178</v>
      </c>
    </row>
    <row r="3824" spans="2:15">
      <c r="B3824" s="20">
        <v>45559</v>
      </c>
      <c r="C3824" s="59">
        <v>50818949</v>
      </c>
      <c r="D3824" s="55" t="s">
        <v>1381</v>
      </c>
      <c r="G3824" s="65">
        <v>1000000</v>
      </c>
      <c r="H3824" s="56" t="s">
        <v>92</v>
      </c>
      <c r="K3824" s="56">
        <v>1084</v>
      </c>
      <c r="L3824" s="55" t="s">
        <v>176</v>
      </c>
      <c r="M3824" s="55" t="s">
        <v>2824</v>
      </c>
      <c r="N3824" s="4" t="s">
        <v>177</v>
      </c>
      <c r="O3824" s="55" t="s">
        <v>178</v>
      </c>
    </row>
    <row r="3825" spans="2:15">
      <c r="B3825" s="20">
        <v>45560</v>
      </c>
      <c r="C3825" s="59">
        <v>50272278</v>
      </c>
      <c r="D3825" s="55" t="s">
        <v>21</v>
      </c>
      <c r="G3825" s="65">
        <v>6000</v>
      </c>
      <c r="H3825" s="56" t="s">
        <v>92</v>
      </c>
      <c r="K3825" s="56">
        <v>1085</v>
      </c>
      <c r="L3825" s="55" t="s">
        <v>262</v>
      </c>
      <c r="M3825" s="55" t="s">
        <v>262</v>
      </c>
      <c r="N3825" s="4" t="s">
        <v>364</v>
      </c>
      <c r="O3825" s="55" t="s">
        <v>178</v>
      </c>
    </row>
    <row r="3826" spans="2:15">
      <c r="B3826" s="20">
        <v>45560</v>
      </c>
      <c r="C3826" s="59">
        <v>50272278</v>
      </c>
      <c r="D3826" s="55" t="s">
        <v>21</v>
      </c>
      <c r="G3826" s="65">
        <v>10200</v>
      </c>
      <c r="H3826" s="56" t="s">
        <v>92</v>
      </c>
      <c r="K3826" s="56">
        <v>1086</v>
      </c>
      <c r="L3826" s="55" t="s">
        <v>176</v>
      </c>
      <c r="M3826" s="55" t="s">
        <v>2824</v>
      </c>
      <c r="N3826" s="4" t="s">
        <v>177</v>
      </c>
      <c r="O3826" s="55" t="s">
        <v>178</v>
      </c>
    </row>
    <row r="3827" spans="2:15">
      <c r="B3827" s="20">
        <v>45560</v>
      </c>
      <c r="C3827" s="59">
        <v>50811693</v>
      </c>
      <c r="D3827" s="55" t="s">
        <v>1269</v>
      </c>
      <c r="G3827" s="65">
        <v>2100000</v>
      </c>
      <c r="H3827" s="56" t="s">
        <v>92</v>
      </c>
      <c r="K3827" s="56">
        <v>1086</v>
      </c>
      <c r="L3827" s="55" t="s">
        <v>176</v>
      </c>
      <c r="M3827" s="55" t="s">
        <v>2824</v>
      </c>
      <c r="N3827" s="4" t="s">
        <v>177</v>
      </c>
      <c r="O3827" s="55" t="s">
        <v>178</v>
      </c>
    </row>
    <row r="3828" spans="2:15">
      <c r="B3828" s="20">
        <v>45560</v>
      </c>
      <c r="C3828" s="59">
        <v>50272278</v>
      </c>
      <c r="D3828" s="55" t="s">
        <v>21</v>
      </c>
      <c r="G3828" s="65">
        <v>6000</v>
      </c>
      <c r="H3828" s="56" t="s">
        <v>92</v>
      </c>
      <c r="K3828" s="56">
        <v>1087</v>
      </c>
      <c r="L3828" s="55" t="s">
        <v>176</v>
      </c>
      <c r="M3828" s="55" t="s">
        <v>2824</v>
      </c>
      <c r="N3828" s="4" t="s">
        <v>177</v>
      </c>
      <c r="O3828" s="55" t="s">
        <v>178</v>
      </c>
    </row>
    <row r="3829" spans="2:15">
      <c r="B3829" s="20">
        <v>45560</v>
      </c>
      <c r="C3829" s="59">
        <v>50169446</v>
      </c>
      <c r="D3829" s="55" t="s">
        <v>1345</v>
      </c>
      <c r="G3829" s="65">
        <v>195.8</v>
      </c>
      <c r="H3829" s="56" t="s">
        <v>82</v>
      </c>
      <c r="K3829" s="56">
        <v>1087</v>
      </c>
      <c r="L3829" s="55" t="s">
        <v>176</v>
      </c>
      <c r="M3829" s="55" t="s">
        <v>2824</v>
      </c>
      <c r="N3829" s="4" t="s">
        <v>177</v>
      </c>
      <c r="O3829" s="55" t="s">
        <v>178</v>
      </c>
    </row>
    <row r="3830" spans="2:15">
      <c r="B3830" s="20">
        <v>45560</v>
      </c>
      <c r="C3830" s="59">
        <v>40499</v>
      </c>
      <c r="D3830" s="55" t="s">
        <v>1094</v>
      </c>
      <c r="G3830" s="65">
        <v>24</v>
      </c>
      <c r="H3830" s="56" t="s">
        <v>92</v>
      </c>
      <c r="K3830" s="56">
        <v>1087</v>
      </c>
      <c r="L3830" s="55" t="s">
        <v>176</v>
      </c>
      <c r="M3830" s="55" t="s">
        <v>2824</v>
      </c>
      <c r="N3830" s="4" t="s">
        <v>177</v>
      </c>
      <c r="O3830" s="55" t="s">
        <v>178</v>
      </c>
    </row>
    <row r="3831" spans="2:15">
      <c r="B3831" s="20">
        <v>45560</v>
      </c>
      <c r="C3831" s="59">
        <v>50809145</v>
      </c>
      <c r="D3831" s="55" t="s">
        <v>946</v>
      </c>
      <c r="G3831" s="65">
        <v>4473.1</v>
      </c>
      <c r="H3831" s="56" t="s">
        <v>82</v>
      </c>
      <c r="K3831" s="56">
        <v>1087</v>
      </c>
      <c r="L3831" s="55" t="s">
        <v>176</v>
      </c>
      <c r="M3831" s="55" t="s">
        <v>2824</v>
      </c>
      <c r="N3831" s="4" t="s">
        <v>177</v>
      </c>
      <c r="O3831" s="55" t="s">
        <v>178</v>
      </c>
    </row>
    <row r="3832" spans="2:15">
      <c r="B3832" s="20">
        <v>45560</v>
      </c>
      <c r="C3832" s="59">
        <v>50809145</v>
      </c>
      <c r="D3832" s="55" t="s">
        <v>946</v>
      </c>
      <c r="G3832" s="65">
        <v>2896.05</v>
      </c>
      <c r="H3832" s="56" t="s">
        <v>82</v>
      </c>
      <c r="K3832" s="56">
        <v>1088</v>
      </c>
      <c r="L3832" s="55" t="s">
        <v>1227</v>
      </c>
      <c r="M3832" s="55" t="s">
        <v>1227</v>
      </c>
      <c r="N3832" s="4" t="s">
        <v>353</v>
      </c>
      <c r="O3832" s="55" t="s">
        <v>178</v>
      </c>
    </row>
    <row r="3833" spans="2:15">
      <c r="B3833" s="20">
        <v>45560</v>
      </c>
      <c r="C3833" s="59">
        <v>50809147</v>
      </c>
      <c r="D3833" s="55" t="s">
        <v>930</v>
      </c>
      <c r="G3833" s="65">
        <v>1394.1</v>
      </c>
      <c r="H3833" s="56" t="s">
        <v>82</v>
      </c>
      <c r="K3833" s="56">
        <v>1088</v>
      </c>
      <c r="L3833" s="55" t="s">
        <v>1227</v>
      </c>
      <c r="M3833" s="55" t="s">
        <v>1227</v>
      </c>
      <c r="N3833" s="4" t="s">
        <v>353</v>
      </c>
      <c r="O3833" s="55" t="s">
        <v>178</v>
      </c>
    </row>
    <row r="3834" spans="2:15">
      <c r="B3834" s="20">
        <v>45560</v>
      </c>
      <c r="C3834" s="59">
        <v>50498271</v>
      </c>
      <c r="D3834" s="55" t="s">
        <v>1025</v>
      </c>
      <c r="G3834" s="65">
        <v>859.55</v>
      </c>
      <c r="H3834" s="56" t="s">
        <v>82</v>
      </c>
      <c r="K3834" s="56">
        <v>1088</v>
      </c>
      <c r="L3834" s="55" t="s">
        <v>1227</v>
      </c>
      <c r="M3834" s="55" t="s">
        <v>1227</v>
      </c>
      <c r="N3834" s="4" t="s">
        <v>353</v>
      </c>
      <c r="O3834" s="55" t="s">
        <v>178</v>
      </c>
    </row>
    <row r="3835" spans="2:15">
      <c r="B3835" s="20">
        <v>45561</v>
      </c>
      <c r="C3835" s="59">
        <v>40010087</v>
      </c>
      <c r="D3835" s="55" t="s">
        <v>387</v>
      </c>
      <c r="G3835" s="65">
        <v>3456</v>
      </c>
      <c r="H3835" s="56" t="s">
        <v>80</v>
      </c>
      <c r="K3835" s="56">
        <v>1089</v>
      </c>
      <c r="L3835" s="55" t="s">
        <v>176</v>
      </c>
      <c r="M3835" s="55" t="s">
        <v>2824</v>
      </c>
      <c r="N3835" s="4" t="s">
        <v>177</v>
      </c>
      <c r="O3835" s="55" t="s">
        <v>178</v>
      </c>
    </row>
    <row r="3836" spans="2:15">
      <c r="B3836" s="20">
        <v>45561</v>
      </c>
      <c r="C3836" s="59">
        <v>50272278</v>
      </c>
      <c r="D3836" s="55" t="s">
        <v>21</v>
      </c>
      <c r="G3836" s="65">
        <v>7200</v>
      </c>
      <c r="H3836" s="56" t="s">
        <v>92</v>
      </c>
      <c r="K3836" s="56">
        <v>1089</v>
      </c>
      <c r="L3836" s="55" t="s">
        <v>176</v>
      </c>
      <c r="M3836" s="55" t="s">
        <v>2824</v>
      </c>
      <c r="N3836" s="4" t="s">
        <v>177</v>
      </c>
      <c r="O3836" s="55" t="s">
        <v>178</v>
      </c>
    </row>
    <row r="3837" spans="2:15">
      <c r="B3837" s="20">
        <v>45561</v>
      </c>
      <c r="C3837" s="59">
        <v>50802401</v>
      </c>
      <c r="D3837" s="55" t="s">
        <v>13</v>
      </c>
      <c r="G3837" s="65">
        <v>1159200</v>
      </c>
      <c r="H3837" s="56" t="s">
        <v>92</v>
      </c>
      <c r="K3837" s="56">
        <v>1089</v>
      </c>
      <c r="L3837" s="55" t="s">
        <v>176</v>
      </c>
      <c r="M3837" s="55" t="s">
        <v>2824</v>
      </c>
      <c r="N3837" s="4" t="s">
        <v>177</v>
      </c>
      <c r="O3837" s="55" t="s">
        <v>178</v>
      </c>
    </row>
    <row r="3838" spans="2:15">
      <c r="B3838" s="20">
        <v>45561</v>
      </c>
      <c r="C3838" s="59">
        <v>50818949</v>
      </c>
      <c r="D3838" s="55" t="s">
        <v>1381</v>
      </c>
      <c r="G3838" s="65">
        <v>965400</v>
      </c>
      <c r="H3838" s="56" t="s">
        <v>92</v>
      </c>
      <c r="K3838" s="56">
        <v>1089</v>
      </c>
      <c r="L3838" s="55" t="s">
        <v>176</v>
      </c>
      <c r="M3838" s="55" t="s">
        <v>2824</v>
      </c>
      <c r="N3838" s="4" t="s">
        <v>177</v>
      </c>
      <c r="O3838" s="55" t="s">
        <v>178</v>
      </c>
    </row>
    <row r="3839" spans="2:15">
      <c r="B3839" s="20">
        <v>45561</v>
      </c>
      <c r="C3839" s="59">
        <v>50802401</v>
      </c>
      <c r="D3839" s="55" t="s">
        <v>13</v>
      </c>
      <c r="G3839" s="65">
        <v>2898000</v>
      </c>
      <c r="H3839" s="56" t="s">
        <v>92</v>
      </c>
      <c r="K3839" s="56">
        <v>1090</v>
      </c>
      <c r="L3839" s="55" t="s">
        <v>176</v>
      </c>
      <c r="M3839" s="55" t="s">
        <v>2824</v>
      </c>
      <c r="N3839" s="4" t="s">
        <v>177</v>
      </c>
      <c r="O3839" s="55" t="s">
        <v>178</v>
      </c>
    </row>
    <row r="3840" spans="2:15">
      <c r="B3840" s="20">
        <v>45561</v>
      </c>
      <c r="C3840" s="59">
        <v>50272278</v>
      </c>
      <c r="D3840" s="55" t="s">
        <v>21</v>
      </c>
      <c r="G3840" s="65">
        <v>5000</v>
      </c>
      <c r="H3840" s="56" t="s">
        <v>92</v>
      </c>
      <c r="K3840" s="56">
        <v>1090</v>
      </c>
      <c r="L3840" s="55" t="s">
        <v>176</v>
      </c>
      <c r="M3840" s="55" t="s">
        <v>2824</v>
      </c>
      <c r="N3840" s="4" t="s">
        <v>177</v>
      </c>
      <c r="O3840" s="55" t="s">
        <v>178</v>
      </c>
    </row>
    <row r="3841" spans="2:15">
      <c r="B3841" s="20">
        <v>45561</v>
      </c>
      <c r="C3841" s="59">
        <v>40499</v>
      </c>
      <c r="D3841" s="55" t="s">
        <v>1094</v>
      </c>
      <c r="G3841" s="65">
        <v>20</v>
      </c>
      <c r="H3841" s="56" t="s">
        <v>92</v>
      </c>
      <c r="K3841" s="56">
        <v>1090</v>
      </c>
      <c r="L3841" s="55" t="s">
        <v>176</v>
      </c>
      <c r="M3841" s="55" t="s">
        <v>2824</v>
      </c>
      <c r="N3841" s="4" t="s">
        <v>177</v>
      </c>
      <c r="O3841" s="55" t="s">
        <v>178</v>
      </c>
    </row>
    <row r="3842" spans="2:15">
      <c r="B3842" s="20">
        <v>45561</v>
      </c>
      <c r="C3842" s="59">
        <v>50272278</v>
      </c>
      <c r="D3842" s="55" t="s">
        <v>21</v>
      </c>
      <c r="G3842" s="65">
        <v>1000</v>
      </c>
      <c r="H3842" s="56" t="s">
        <v>92</v>
      </c>
      <c r="K3842" s="56">
        <v>1090</v>
      </c>
      <c r="L3842" s="55" t="s">
        <v>176</v>
      </c>
      <c r="M3842" s="55" t="s">
        <v>2824</v>
      </c>
      <c r="N3842" s="4" t="s">
        <v>177</v>
      </c>
      <c r="O3842" s="55" t="s">
        <v>178</v>
      </c>
    </row>
    <row r="3843" spans="2:15">
      <c r="B3843" s="20">
        <v>45562</v>
      </c>
      <c r="C3843" s="59">
        <v>50824293</v>
      </c>
      <c r="D3843" s="55" t="s">
        <v>861</v>
      </c>
      <c r="G3843" s="65">
        <v>1728000</v>
      </c>
      <c r="H3843" s="56" t="s">
        <v>92</v>
      </c>
      <c r="K3843" s="56">
        <v>1091</v>
      </c>
      <c r="L3843" s="55" t="s">
        <v>176</v>
      </c>
      <c r="M3843" s="55" t="s">
        <v>2824</v>
      </c>
      <c r="N3843" s="4" t="s">
        <v>177</v>
      </c>
      <c r="O3843" s="55" t="s">
        <v>178</v>
      </c>
    </row>
    <row r="3844" spans="2:15">
      <c r="B3844" s="20">
        <v>45562</v>
      </c>
      <c r="C3844" s="59">
        <v>50143875</v>
      </c>
      <c r="D3844" s="55" t="s">
        <v>713</v>
      </c>
      <c r="G3844" s="65">
        <v>10000</v>
      </c>
      <c r="H3844" s="56" t="s">
        <v>92</v>
      </c>
      <c r="K3844" s="56">
        <v>1091</v>
      </c>
      <c r="L3844" s="55" t="s">
        <v>176</v>
      </c>
      <c r="M3844" s="55" t="s">
        <v>2824</v>
      </c>
      <c r="N3844" s="4" t="s">
        <v>177</v>
      </c>
      <c r="O3844" s="55" t="s">
        <v>178</v>
      </c>
    </row>
    <row r="3845" spans="2:15">
      <c r="B3845" s="20">
        <v>45562</v>
      </c>
      <c r="C3845" s="59">
        <v>50143894</v>
      </c>
      <c r="D3845" s="55" t="s">
        <v>944</v>
      </c>
      <c r="G3845" s="65">
        <v>5000</v>
      </c>
      <c r="H3845" s="56" t="s">
        <v>92</v>
      </c>
      <c r="K3845" s="56">
        <v>1091</v>
      </c>
      <c r="L3845" s="55" t="s">
        <v>176</v>
      </c>
      <c r="M3845" s="55" t="s">
        <v>2824</v>
      </c>
      <c r="N3845" s="4" t="s">
        <v>177</v>
      </c>
      <c r="O3845" s="55" t="s">
        <v>178</v>
      </c>
    </row>
    <row r="3846" spans="2:15">
      <c r="B3846" s="20">
        <v>45562</v>
      </c>
      <c r="C3846" s="59">
        <v>50802401</v>
      </c>
      <c r="D3846" s="55" t="s">
        <v>13</v>
      </c>
      <c r="G3846" s="65">
        <v>4347000</v>
      </c>
      <c r="H3846" s="56" t="s">
        <v>92</v>
      </c>
      <c r="K3846" s="56">
        <v>1091</v>
      </c>
      <c r="L3846" s="55" t="s">
        <v>176</v>
      </c>
      <c r="M3846" s="55" t="s">
        <v>2824</v>
      </c>
      <c r="N3846" s="4" t="s">
        <v>177</v>
      </c>
      <c r="O3846" s="55" t="s">
        <v>178</v>
      </c>
    </row>
    <row r="3847" spans="2:15">
      <c r="B3847" s="20">
        <v>45562</v>
      </c>
      <c r="C3847" s="59">
        <v>50809147</v>
      </c>
      <c r="D3847" s="55" t="s">
        <v>930</v>
      </c>
      <c r="G3847" s="65">
        <v>5947.1</v>
      </c>
      <c r="H3847" s="56" t="s">
        <v>82</v>
      </c>
      <c r="K3847" s="56">
        <v>1092</v>
      </c>
      <c r="L3847" s="55" t="s">
        <v>176</v>
      </c>
      <c r="M3847" s="55" t="s">
        <v>2824</v>
      </c>
      <c r="N3847" s="4" t="s">
        <v>177</v>
      </c>
      <c r="O3847" s="55" t="s">
        <v>178</v>
      </c>
    </row>
    <row r="3848" spans="2:15">
      <c r="B3848" s="20">
        <v>45562</v>
      </c>
      <c r="C3848" s="59">
        <v>50802401</v>
      </c>
      <c r="D3848" s="55" t="s">
        <v>13</v>
      </c>
      <c r="G3848" s="65">
        <v>869400</v>
      </c>
      <c r="H3848" s="56" t="s">
        <v>92</v>
      </c>
      <c r="K3848" s="56">
        <v>1092</v>
      </c>
      <c r="L3848" s="55" t="s">
        <v>176</v>
      </c>
      <c r="M3848" s="55" t="s">
        <v>2824</v>
      </c>
      <c r="N3848" s="4" t="s">
        <v>177</v>
      </c>
      <c r="O3848" s="55" t="s">
        <v>178</v>
      </c>
    </row>
    <row r="3849" spans="2:15">
      <c r="B3849" s="20">
        <v>45562</v>
      </c>
      <c r="C3849" s="59">
        <v>50142328</v>
      </c>
      <c r="D3849" s="55" t="s">
        <v>1591</v>
      </c>
      <c r="G3849" s="65">
        <v>4000</v>
      </c>
      <c r="H3849" s="56" t="s">
        <v>82</v>
      </c>
      <c r="K3849" s="56">
        <v>1092</v>
      </c>
      <c r="L3849" s="55" t="s">
        <v>176</v>
      </c>
      <c r="M3849" s="55" t="s">
        <v>2824</v>
      </c>
      <c r="N3849" s="4" t="s">
        <v>177</v>
      </c>
      <c r="O3849" s="55" t="s">
        <v>178</v>
      </c>
    </row>
    <row r="3850" spans="2:15">
      <c r="B3850" s="20">
        <v>45562</v>
      </c>
      <c r="C3850" s="59">
        <v>40499</v>
      </c>
      <c r="D3850" s="55" t="s">
        <v>1094</v>
      </c>
      <c r="G3850" s="65">
        <v>6</v>
      </c>
      <c r="H3850" s="56" t="s">
        <v>92</v>
      </c>
      <c r="K3850" s="56">
        <v>1092</v>
      </c>
      <c r="L3850" s="55" t="s">
        <v>176</v>
      </c>
      <c r="M3850" s="55" t="s">
        <v>2824</v>
      </c>
      <c r="N3850" s="4" t="s">
        <v>177</v>
      </c>
      <c r="O3850" s="55" t="s">
        <v>178</v>
      </c>
    </row>
    <row r="3851" spans="2:15">
      <c r="B3851" s="20">
        <v>45562</v>
      </c>
      <c r="C3851" s="59">
        <v>50272278</v>
      </c>
      <c r="D3851" s="55" t="s">
        <v>21</v>
      </c>
      <c r="G3851" s="65">
        <v>1500</v>
      </c>
      <c r="H3851" s="56" t="s">
        <v>92</v>
      </c>
      <c r="K3851" s="56">
        <v>1092</v>
      </c>
      <c r="L3851" s="55" t="s">
        <v>176</v>
      </c>
      <c r="M3851" s="55" t="s">
        <v>2824</v>
      </c>
      <c r="N3851" s="4" t="s">
        <v>177</v>
      </c>
      <c r="O3851" s="55" t="s">
        <v>178</v>
      </c>
    </row>
    <row r="3852" spans="2:15">
      <c r="B3852" s="20">
        <v>45562</v>
      </c>
      <c r="C3852" s="59">
        <v>50272278</v>
      </c>
      <c r="D3852" s="55" t="s">
        <v>21</v>
      </c>
      <c r="G3852" s="65">
        <v>11900</v>
      </c>
      <c r="H3852" s="56" t="s">
        <v>92</v>
      </c>
      <c r="K3852" s="56">
        <v>1093</v>
      </c>
      <c r="L3852" s="55" t="s">
        <v>2601</v>
      </c>
      <c r="M3852" s="55" t="s">
        <v>2824</v>
      </c>
      <c r="N3852" s="4" t="s">
        <v>1793</v>
      </c>
      <c r="O3852" s="55" t="s">
        <v>178</v>
      </c>
    </row>
    <row r="3853" spans="2:15">
      <c r="B3853" s="20">
        <v>45562</v>
      </c>
      <c r="C3853" s="59">
        <v>40499</v>
      </c>
      <c r="D3853" s="55" t="s">
        <v>1094</v>
      </c>
      <c r="G3853" s="65">
        <v>44</v>
      </c>
      <c r="H3853" s="56" t="s">
        <v>92</v>
      </c>
      <c r="K3853" s="56">
        <v>1093</v>
      </c>
      <c r="L3853" s="55" t="s">
        <v>2601</v>
      </c>
      <c r="M3853" s="55" t="s">
        <v>2824</v>
      </c>
      <c r="N3853" s="4" t="s">
        <v>1793</v>
      </c>
      <c r="O3853" s="55" t="s">
        <v>178</v>
      </c>
    </row>
    <row r="3854" spans="2:15">
      <c r="B3854" s="20">
        <v>45562</v>
      </c>
      <c r="C3854" s="59">
        <v>50802401</v>
      </c>
      <c r="D3854" s="55" t="s">
        <v>13</v>
      </c>
      <c r="G3854" s="65">
        <v>1449000</v>
      </c>
      <c r="H3854" s="56" t="s">
        <v>92</v>
      </c>
      <c r="K3854" s="56">
        <v>1094</v>
      </c>
      <c r="L3854" s="55" t="s">
        <v>176</v>
      </c>
      <c r="M3854" s="55" t="s">
        <v>2824</v>
      </c>
      <c r="N3854" s="4" t="s">
        <v>177</v>
      </c>
      <c r="O3854" s="55" t="s">
        <v>178</v>
      </c>
    </row>
    <row r="3855" spans="2:15">
      <c r="B3855" s="20">
        <v>45562</v>
      </c>
      <c r="C3855" s="59">
        <v>40499</v>
      </c>
      <c r="D3855" s="55" t="s">
        <v>1094</v>
      </c>
      <c r="G3855" s="65">
        <v>9</v>
      </c>
      <c r="H3855" s="56" t="s">
        <v>92</v>
      </c>
      <c r="K3855" s="56">
        <v>1094</v>
      </c>
      <c r="L3855" s="55" t="s">
        <v>176</v>
      </c>
      <c r="M3855" s="55" t="s">
        <v>2824</v>
      </c>
      <c r="N3855" s="4" t="s">
        <v>177</v>
      </c>
      <c r="O3855" s="55" t="s">
        <v>178</v>
      </c>
    </row>
    <row r="3856" spans="2:15">
      <c r="B3856" s="20">
        <v>45562</v>
      </c>
      <c r="C3856" s="59">
        <v>40013720</v>
      </c>
      <c r="D3856" s="55" t="s">
        <v>1028</v>
      </c>
      <c r="G3856" s="65">
        <v>1827</v>
      </c>
      <c r="H3856" s="56" t="s">
        <v>80</v>
      </c>
      <c r="K3856" s="56">
        <v>1094</v>
      </c>
      <c r="L3856" s="55" t="s">
        <v>176</v>
      </c>
      <c r="M3856" s="55" t="s">
        <v>2824</v>
      </c>
      <c r="N3856" s="4" t="s">
        <v>177</v>
      </c>
      <c r="O3856" s="55" t="s">
        <v>178</v>
      </c>
    </row>
    <row r="3857" spans="2:15">
      <c r="B3857" s="20">
        <v>45562</v>
      </c>
      <c r="C3857" s="59">
        <v>50470190</v>
      </c>
      <c r="D3857" s="55" t="s">
        <v>12</v>
      </c>
      <c r="G3857" s="65">
        <v>1449000</v>
      </c>
      <c r="H3857" s="56" t="s">
        <v>92</v>
      </c>
      <c r="K3857" s="56">
        <v>1094</v>
      </c>
      <c r="L3857" s="55" t="s">
        <v>176</v>
      </c>
      <c r="M3857" s="55" t="s">
        <v>2824</v>
      </c>
      <c r="N3857" s="4" t="s">
        <v>177</v>
      </c>
      <c r="O3857" s="55" t="s">
        <v>178</v>
      </c>
    </row>
    <row r="3858" spans="2:15">
      <c r="B3858" s="20">
        <v>45562</v>
      </c>
      <c r="C3858" s="59">
        <v>50142327</v>
      </c>
      <c r="D3858" s="55" t="s">
        <v>256</v>
      </c>
      <c r="G3858" s="65">
        <v>2383.5</v>
      </c>
      <c r="H3858" s="56" t="s">
        <v>82</v>
      </c>
      <c r="K3858" s="56">
        <v>1094</v>
      </c>
      <c r="L3858" s="55" t="s">
        <v>176</v>
      </c>
      <c r="M3858" s="55" t="s">
        <v>2824</v>
      </c>
      <c r="N3858" s="4" t="s">
        <v>177</v>
      </c>
      <c r="O3858" s="55" t="s">
        <v>178</v>
      </c>
    </row>
    <row r="3859" spans="2:15">
      <c r="B3859" s="20">
        <v>45562</v>
      </c>
      <c r="C3859" s="59">
        <v>50142334</v>
      </c>
      <c r="D3859" s="55" t="s">
        <v>257</v>
      </c>
      <c r="G3859" s="65">
        <v>1906.8</v>
      </c>
      <c r="H3859" s="56" t="s">
        <v>82</v>
      </c>
      <c r="K3859" s="56">
        <v>1094</v>
      </c>
      <c r="L3859" s="55" t="s">
        <v>176</v>
      </c>
      <c r="M3859" s="55" t="s">
        <v>2824</v>
      </c>
      <c r="N3859" s="4" t="s">
        <v>177</v>
      </c>
      <c r="O3859" s="55" t="s">
        <v>178</v>
      </c>
    </row>
    <row r="3860" spans="2:15">
      <c r="B3860" s="20">
        <v>45562</v>
      </c>
      <c r="C3860" s="59">
        <v>50145028</v>
      </c>
      <c r="D3860" s="55" t="s">
        <v>23</v>
      </c>
      <c r="G3860" s="65">
        <v>192</v>
      </c>
      <c r="H3860" s="56" t="s">
        <v>92</v>
      </c>
      <c r="K3860" s="56">
        <v>1095</v>
      </c>
      <c r="L3860" s="55" t="s">
        <v>326</v>
      </c>
      <c r="M3860" s="55" t="s">
        <v>326</v>
      </c>
      <c r="O3860" s="55" t="s">
        <v>178</v>
      </c>
    </row>
    <row r="3861" spans="2:15">
      <c r="B3861" s="20">
        <v>45562</v>
      </c>
      <c r="C3861" s="59">
        <v>50515034</v>
      </c>
      <c r="D3861" s="55" t="s">
        <v>41</v>
      </c>
      <c r="G3861" s="65">
        <v>32.4</v>
      </c>
      <c r="H3861" s="56" t="s">
        <v>80</v>
      </c>
      <c r="K3861" s="56">
        <v>1095</v>
      </c>
      <c r="L3861" s="55" t="s">
        <v>326</v>
      </c>
      <c r="M3861" s="55" t="s">
        <v>326</v>
      </c>
      <c r="O3861" s="55" t="s">
        <v>178</v>
      </c>
    </row>
    <row r="3862" spans="2:15">
      <c r="B3862" s="20">
        <v>45562</v>
      </c>
      <c r="C3862" s="59">
        <v>50272278</v>
      </c>
      <c r="D3862" s="55" t="s">
        <v>21</v>
      </c>
      <c r="G3862" s="65">
        <v>12000</v>
      </c>
      <c r="H3862" s="56" t="s">
        <v>92</v>
      </c>
      <c r="K3862" s="56">
        <v>1096</v>
      </c>
      <c r="L3862" s="55" t="s">
        <v>2601</v>
      </c>
      <c r="M3862" s="55" t="s">
        <v>2824</v>
      </c>
      <c r="N3862" s="4" t="s">
        <v>1793</v>
      </c>
      <c r="O3862" s="55" t="s">
        <v>178</v>
      </c>
    </row>
    <row r="3863" spans="2:15">
      <c r="B3863" s="20">
        <v>45562</v>
      </c>
      <c r="C3863" s="59">
        <v>40499</v>
      </c>
      <c r="D3863" s="55" t="s">
        <v>1094</v>
      </c>
      <c r="G3863" s="65">
        <v>48</v>
      </c>
      <c r="H3863" s="56" t="s">
        <v>92</v>
      </c>
      <c r="K3863" s="56">
        <v>1096</v>
      </c>
      <c r="L3863" s="55" t="s">
        <v>2601</v>
      </c>
      <c r="M3863" s="55" t="s">
        <v>2824</v>
      </c>
      <c r="N3863" s="4" t="s">
        <v>1793</v>
      </c>
      <c r="O3863" s="55" t="s">
        <v>178</v>
      </c>
    </row>
    <row r="3864" spans="2:15">
      <c r="B3864" s="20">
        <v>45562</v>
      </c>
      <c r="C3864" s="59">
        <v>50834329</v>
      </c>
      <c r="D3864" s="55" t="s">
        <v>1475</v>
      </c>
      <c r="G3864" s="65">
        <v>3041.75</v>
      </c>
      <c r="H3864" s="56" t="s">
        <v>82</v>
      </c>
      <c r="K3864" s="56">
        <v>1097</v>
      </c>
      <c r="L3864" s="55" t="s">
        <v>392</v>
      </c>
      <c r="M3864" s="55" t="s">
        <v>392</v>
      </c>
      <c r="N3864" s="4" t="s">
        <v>2851</v>
      </c>
      <c r="O3864" s="55" t="s">
        <v>178</v>
      </c>
    </row>
    <row r="3865" spans="2:15">
      <c r="B3865" s="20">
        <v>45562</v>
      </c>
      <c r="C3865" s="59">
        <v>50272278</v>
      </c>
      <c r="D3865" s="55" t="s">
        <v>21</v>
      </c>
      <c r="G3865" s="65">
        <v>11000</v>
      </c>
      <c r="H3865" s="56" t="s">
        <v>92</v>
      </c>
      <c r="K3865" s="56">
        <v>1098</v>
      </c>
      <c r="L3865" s="55" t="s">
        <v>176</v>
      </c>
      <c r="M3865" s="55" t="s">
        <v>2824</v>
      </c>
      <c r="N3865" s="4" t="s">
        <v>177</v>
      </c>
      <c r="O3865" s="55" t="s">
        <v>178</v>
      </c>
    </row>
    <row r="3866" spans="2:15">
      <c r="B3866" s="20">
        <v>45562</v>
      </c>
      <c r="C3866" s="59">
        <v>40499</v>
      </c>
      <c r="D3866" s="55" t="s">
        <v>1094</v>
      </c>
      <c r="G3866" s="65">
        <v>44</v>
      </c>
      <c r="H3866" s="56" t="s">
        <v>92</v>
      </c>
      <c r="K3866" s="56">
        <v>1098</v>
      </c>
      <c r="L3866" s="55" t="s">
        <v>176</v>
      </c>
      <c r="M3866" s="55" t="s">
        <v>2824</v>
      </c>
      <c r="N3866" s="4" t="s">
        <v>177</v>
      </c>
      <c r="O3866" s="55" t="s">
        <v>178</v>
      </c>
    </row>
    <row r="3867" spans="2:15">
      <c r="B3867" s="20">
        <v>45566</v>
      </c>
      <c r="C3867" s="59">
        <v>50010080</v>
      </c>
      <c r="D3867" s="55" t="s">
        <v>1657</v>
      </c>
      <c r="G3867" s="65">
        <v>2000</v>
      </c>
      <c r="H3867" s="56" t="s">
        <v>82</v>
      </c>
      <c r="K3867" s="56">
        <v>1099</v>
      </c>
      <c r="L3867" s="55" t="s">
        <v>176</v>
      </c>
      <c r="M3867" s="55" t="s">
        <v>2824</v>
      </c>
      <c r="N3867" s="4" t="s">
        <v>177</v>
      </c>
      <c r="O3867" s="55" t="s">
        <v>178</v>
      </c>
    </row>
    <row r="3868" spans="2:15">
      <c r="B3868" s="20">
        <v>45566</v>
      </c>
      <c r="C3868" s="59">
        <v>50799770</v>
      </c>
      <c r="D3868" s="55" t="s">
        <v>17</v>
      </c>
      <c r="G3868" s="65">
        <v>4000</v>
      </c>
      <c r="H3868" s="56" t="s">
        <v>92</v>
      </c>
      <c r="K3868" s="56">
        <v>1099</v>
      </c>
      <c r="L3868" s="55" t="s">
        <v>176</v>
      </c>
      <c r="M3868" s="55" t="s">
        <v>2824</v>
      </c>
      <c r="N3868" s="4" t="s">
        <v>177</v>
      </c>
      <c r="O3868" s="55" t="s">
        <v>178</v>
      </c>
    </row>
    <row r="3869" spans="2:15">
      <c r="B3869" s="20">
        <v>45566</v>
      </c>
      <c r="C3869" s="59">
        <v>50144376</v>
      </c>
      <c r="D3869" s="55" t="s">
        <v>19</v>
      </c>
      <c r="G3869" s="65">
        <v>1500</v>
      </c>
      <c r="H3869" s="56" t="s">
        <v>92</v>
      </c>
      <c r="K3869" s="56">
        <v>1099</v>
      </c>
      <c r="L3869" s="55" t="s">
        <v>176</v>
      </c>
      <c r="M3869" s="55" t="s">
        <v>2824</v>
      </c>
      <c r="N3869" s="4" t="s">
        <v>177</v>
      </c>
      <c r="O3869" s="55" t="s">
        <v>178</v>
      </c>
    </row>
    <row r="3870" spans="2:15">
      <c r="B3870" s="20">
        <v>45566</v>
      </c>
      <c r="C3870" s="59">
        <v>40499</v>
      </c>
      <c r="D3870" s="55" t="s">
        <v>1094</v>
      </c>
      <c r="G3870" s="65">
        <v>22</v>
      </c>
      <c r="H3870" s="56" t="s">
        <v>92</v>
      </c>
      <c r="K3870" s="56">
        <v>1099</v>
      </c>
      <c r="L3870" s="55" t="s">
        <v>176</v>
      </c>
      <c r="M3870" s="55" t="s">
        <v>2824</v>
      </c>
      <c r="N3870" s="4" t="s">
        <v>177</v>
      </c>
      <c r="O3870" s="55" t="s">
        <v>178</v>
      </c>
    </row>
    <row r="3871" spans="2:15">
      <c r="B3871" s="20">
        <v>45566</v>
      </c>
      <c r="C3871" s="59">
        <v>50470190</v>
      </c>
      <c r="D3871" s="55" t="s">
        <v>12</v>
      </c>
      <c r="G3871" s="65">
        <v>2028600</v>
      </c>
      <c r="H3871" s="56" t="s">
        <v>92</v>
      </c>
      <c r="K3871" s="56">
        <v>1099</v>
      </c>
      <c r="L3871" s="55" t="s">
        <v>176</v>
      </c>
      <c r="M3871" s="55" t="s">
        <v>2824</v>
      </c>
      <c r="N3871" s="4" t="s">
        <v>177</v>
      </c>
      <c r="O3871" s="55" t="s">
        <v>178</v>
      </c>
    </row>
    <row r="3872" spans="2:15">
      <c r="B3872" s="20">
        <v>45566</v>
      </c>
      <c r="C3872" s="59">
        <v>50142519</v>
      </c>
      <c r="D3872" s="55" t="s">
        <v>1575</v>
      </c>
      <c r="G3872" s="65">
        <v>2000</v>
      </c>
      <c r="H3872" s="56" t="s">
        <v>92</v>
      </c>
      <c r="K3872" s="56">
        <v>1099</v>
      </c>
      <c r="L3872" s="55" t="s">
        <v>176</v>
      </c>
      <c r="M3872" s="55" t="s">
        <v>2824</v>
      </c>
      <c r="N3872" s="4" t="s">
        <v>177</v>
      </c>
      <c r="O3872" s="55" t="s">
        <v>178</v>
      </c>
    </row>
    <row r="3873" spans="2:15">
      <c r="B3873" s="20">
        <v>45566</v>
      </c>
      <c r="C3873" s="59">
        <v>50145028</v>
      </c>
      <c r="D3873" s="55" t="s">
        <v>23</v>
      </c>
      <c r="G3873" s="65">
        <v>1344</v>
      </c>
      <c r="H3873" s="56" t="s">
        <v>92</v>
      </c>
      <c r="K3873" s="56">
        <v>2000</v>
      </c>
      <c r="L3873" s="55" t="s">
        <v>392</v>
      </c>
      <c r="M3873" s="55" t="s">
        <v>392</v>
      </c>
      <c r="N3873" s="4" t="s">
        <v>1273</v>
      </c>
      <c r="O3873" s="55" t="s">
        <v>178</v>
      </c>
    </row>
    <row r="3874" spans="2:15">
      <c r="B3874" s="20">
        <v>45566</v>
      </c>
      <c r="C3874" s="59">
        <v>50272278</v>
      </c>
      <c r="D3874" s="55" t="s">
        <v>21</v>
      </c>
      <c r="G3874" s="65">
        <v>3500</v>
      </c>
      <c r="H3874" s="56" t="s">
        <v>92</v>
      </c>
      <c r="K3874" s="56">
        <v>2000</v>
      </c>
      <c r="L3874" s="55" t="s">
        <v>392</v>
      </c>
      <c r="M3874" s="55" t="s">
        <v>392</v>
      </c>
      <c r="N3874" s="4" t="s">
        <v>1273</v>
      </c>
      <c r="O3874" s="55" t="s">
        <v>178</v>
      </c>
    </row>
    <row r="3875" spans="2:15">
      <c r="B3875" s="20">
        <v>45566</v>
      </c>
      <c r="C3875" s="59">
        <v>50142237</v>
      </c>
      <c r="D3875" s="55" t="s">
        <v>617</v>
      </c>
      <c r="G3875" s="65">
        <v>6000</v>
      </c>
      <c r="H3875" s="56" t="s">
        <v>92</v>
      </c>
      <c r="K3875" s="56">
        <v>2000</v>
      </c>
      <c r="L3875" s="55" t="s">
        <v>392</v>
      </c>
      <c r="M3875" s="55" t="s">
        <v>392</v>
      </c>
      <c r="N3875" s="4" t="s">
        <v>1273</v>
      </c>
      <c r="O3875" s="55" t="s">
        <v>178</v>
      </c>
    </row>
    <row r="3876" spans="2:15">
      <c r="B3876" s="20">
        <v>45566</v>
      </c>
      <c r="C3876" s="59">
        <v>50010080</v>
      </c>
      <c r="D3876" s="55" t="s">
        <v>1657</v>
      </c>
      <c r="G3876" s="65">
        <v>6000</v>
      </c>
      <c r="H3876" s="56" t="s">
        <v>82</v>
      </c>
      <c r="K3876" s="56">
        <v>2001</v>
      </c>
      <c r="L3876" s="55" t="s">
        <v>176</v>
      </c>
      <c r="M3876" s="55" t="s">
        <v>2824</v>
      </c>
      <c r="N3876" s="4" t="s">
        <v>177</v>
      </c>
      <c r="O3876" s="55" t="s">
        <v>178</v>
      </c>
    </row>
    <row r="3877" spans="2:15">
      <c r="B3877" s="20">
        <v>45566</v>
      </c>
      <c r="C3877" s="59">
        <v>50813995</v>
      </c>
      <c r="D3877" s="55" t="s">
        <v>960</v>
      </c>
      <c r="G3877" s="65">
        <v>1949</v>
      </c>
      <c r="H3877" s="56" t="s">
        <v>82</v>
      </c>
      <c r="K3877" s="56">
        <v>2001</v>
      </c>
      <c r="L3877" s="55" t="s">
        <v>176</v>
      </c>
      <c r="M3877" s="55" t="s">
        <v>2824</v>
      </c>
      <c r="N3877" s="4" t="s">
        <v>177</v>
      </c>
      <c r="O3877" s="55" t="s">
        <v>178</v>
      </c>
    </row>
    <row r="3878" spans="2:15">
      <c r="B3878" s="20">
        <v>45566</v>
      </c>
      <c r="C3878" s="59">
        <v>50793278</v>
      </c>
      <c r="D3878" s="55" t="s">
        <v>1086</v>
      </c>
      <c r="G3878" s="65">
        <v>40</v>
      </c>
      <c r="H3878" s="56" t="s">
        <v>1087</v>
      </c>
      <c r="K3878" s="56">
        <v>2001</v>
      </c>
      <c r="L3878" s="55" t="s">
        <v>176</v>
      </c>
      <c r="M3878" s="55" t="s">
        <v>2824</v>
      </c>
      <c r="N3878" s="4" t="s">
        <v>177</v>
      </c>
      <c r="O3878" s="55" t="s">
        <v>178</v>
      </c>
    </row>
    <row r="3879" spans="2:15">
      <c r="B3879" s="20">
        <v>45566</v>
      </c>
      <c r="C3879" s="59">
        <v>50470190</v>
      </c>
      <c r="D3879" s="55" t="s">
        <v>12</v>
      </c>
      <c r="G3879" s="65">
        <v>579600</v>
      </c>
      <c r="H3879" s="56" t="s">
        <v>92</v>
      </c>
      <c r="K3879" s="56">
        <v>2001</v>
      </c>
      <c r="L3879" s="55" t="s">
        <v>176</v>
      </c>
      <c r="M3879" s="55" t="s">
        <v>2824</v>
      </c>
      <c r="N3879" s="4" t="s">
        <v>177</v>
      </c>
      <c r="O3879" s="55" t="s">
        <v>178</v>
      </c>
    </row>
    <row r="3880" spans="2:15">
      <c r="B3880" s="20">
        <v>45566</v>
      </c>
      <c r="C3880" s="59">
        <v>50449101</v>
      </c>
      <c r="D3880" s="55" t="s">
        <v>237</v>
      </c>
      <c r="G3880" s="65">
        <v>579600</v>
      </c>
      <c r="H3880" s="56" t="s">
        <v>92</v>
      </c>
      <c r="K3880" s="56">
        <v>2001</v>
      </c>
      <c r="L3880" s="55" t="s">
        <v>176</v>
      </c>
      <c r="M3880" s="55" t="s">
        <v>2824</v>
      </c>
      <c r="N3880" s="4" t="s">
        <v>177</v>
      </c>
      <c r="O3880" s="55" t="s">
        <v>178</v>
      </c>
    </row>
    <row r="3881" spans="2:15">
      <c r="B3881" s="20">
        <v>45566</v>
      </c>
      <c r="C3881" s="59">
        <v>50818949</v>
      </c>
      <c r="D3881" s="55" t="s">
        <v>1381</v>
      </c>
      <c r="G3881" s="65">
        <v>1000000</v>
      </c>
      <c r="H3881" s="56" t="s">
        <v>92</v>
      </c>
      <c r="K3881" s="56">
        <v>2001</v>
      </c>
      <c r="L3881" s="55" t="s">
        <v>176</v>
      </c>
      <c r="M3881" s="55" t="s">
        <v>2824</v>
      </c>
      <c r="N3881" s="4" t="s">
        <v>177</v>
      </c>
      <c r="O3881" s="55" t="s">
        <v>178</v>
      </c>
    </row>
    <row r="3882" spans="2:15">
      <c r="B3882" s="20">
        <v>45567</v>
      </c>
      <c r="C3882" s="59">
        <v>50142330</v>
      </c>
      <c r="D3882" s="55" t="s">
        <v>195</v>
      </c>
      <c r="G3882" s="65">
        <v>1077.84</v>
      </c>
      <c r="H3882" s="56" t="s">
        <v>82</v>
      </c>
      <c r="K3882" s="56">
        <v>2002</v>
      </c>
      <c r="L3882" s="55" t="s">
        <v>176</v>
      </c>
      <c r="M3882" s="55" t="s">
        <v>2824</v>
      </c>
      <c r="N3882" s="4" t="s">
        <v>177</v>
      </c>
      <c r="O3882" s="55" t="s">
        <v>178</v>
      </c>
    </row>
    <row r="3883" spans="2:15">
      <c r="B3883" s="20">
        <v>45567</v>
      </c>
      <c r="C3883" s="59">
        <v>40010084</v>
      </c>
      <c r="D3883" s="55" t="s">
        <v>81</v>
      </c>
      <c r="G3883" s="65">
        <v>3072</v>
      </c>
      <c r="H3883" s="56" t="s">
        <v>80</v>
      </c>
      <c r="K3883" s="56">
        <v>2002</v>
      </c>
      <c r="L3883" s="55" t="s">
        <v>176</v>
      </c>
      <c r="M3883" s="55" t="s">
        <v>2824</v>
      </c>
      <c r="N3883" s="4" t="s">
        <v>177</v>
      </c>
      <c r="O3883" s="55" t="s">
        <v>178</v>
      </c>
    </row>
    <row r="3884" spans="2:15">
      <c r="B3884" s="20">
        <v>45567</v>
      </c>
      <c r="C3884" s="59">
        <v>50272278</v>
      </c>
      <c r="D3884" s="55" t="s">
        <v>21</v>
      </c>
      <c r="G3884" s="65">
        <v>5500</v>
      </c>
      <c r="H3884" s="56" t="s">
        <v>92</v>
      </c>
      <c r="K3884" s="56">
        <v>2002</v>
      </c>
      <c r="L3884" s="55" t="s">
        <v>176</v>
      </c>
      <c r="M3884" s="55" t="s">
        <v>2824</v>
      </c>
      <c r="N3884" s="4" t="s">
        <v>177</v>
      </c>
      <c r="O3884" s="55" t="s">
        <v>178</v>
      </c>
    </row>
    <row r="3885" spans="2:15">
      <c r="B3885" s="20">
        <v>45567</v>
      </c>
      <c r="C3885" s="59">
        <v>50818960</v>
      </c>
      <c r="D3885" s="55" t="s">
        <v>1167</v>
      </c>
      <c r="G3885" s="65">
        <v>500000</v>
      </c>
      <c r="H3885" s="56" t="s">
        <v>92</v>
      </c>
      <c r="K3885" s="56">
        <v>2002</v>
      </c>
      <c r="L3885" s="55" t="s">
        <v>176</v>
      </c>
      <c r="M3885" s="55" t="s">
        <v>2824</v>
      </c>
      <c r="N3885" s="4" t="s">
        <v>177</v>
      </c>
      <c r="O3885" s="55" t="s">
        <v>178</v>
      </c>
    </row>
    <row r="3886" spans="2:15">
      <c r="B3886" s="20">
        <v>45567</v>
      </c>
      <c r="C3886" s="59">
        <v>50818948</v>
      </c>
      <c r="D3886" s="55" t="s">
        <v>1173</v>
      </c>
      <c r="G3886" s="65">
        <v>500000</v>
      </c>
      <c r="H3886" s="56" t="s">
        <v>92</v>
      </c>
      <c r="K3886" s="56">
        <v>2002</v>
      </c>
      <c r="L3886" s="55" t="s">
        <v>176</v>
      </c>
      <c r="M3886" s="55" t="s">
        <v>2824</v>
      </c>
      <c r="N3886" s="4" t="s">
        <v>177</v>
      </c>
      <c r="O3886" s="55" t="s">
        <v>178</v>
      </c>
    </row>
    <row r="3887" spans="2:15">
      <c r="B3887" s="20">
        <v>45567</v>
      </c>
      <c r="C3887" s="59">
        <v>50818947</v>
      </c>
      <c r="D3887" s="55" t="s">
        <v>1174</v>
      </c>
      <c r="G3887" s="65">
        <v>400000</v>
      </c>
      <c r="H3887" s="56" t="s">
        <v>92</v>
      </c>
      <c r="K3887" s="56">
        <v>2002</v>
      </c>
      <c r="L3887" s="55" t="s">
        <v>176</v>
      </c>
      <c r="M3887" s="55" t="s">
        <v>2824</v>
      </c>
      <c r="N3887" s="4" t="s">
        <v>177</v>
      </c>
      <c r="O3887" s="55" t="s">
        <v>178</v>
      </c>
    </row>
    <row r="3888" spans="2:15">
      <c r="B3888" s="20">
        <v>45567</v>
      </c>
      <c r="C3888" s="59">
        <v>50141951</v>
      </c>
      <c r="D3888" s="55" t="s">
        <v>1386</v>
      </c>
      <c r="G3888" s="65">
        <v>360</v>
      </c>
      <c r="H3888" s="56" t="s">
        <v>82</v>
      </c>
      <c r="K3888" s="56">
        <v>2002</v>
      </c>
      <c r="L3888" s="55" t="s">
        <v>176</v>
      </c>
      <c r="M3888" s="55" t="s">
        <v>2824</v>
      </c>
      <c r="N3888" s="4" t="s">
        <v>177</v>
      </c>
      <c r="O3888" s="55" t="s">
        <v>178</v>
      </c>
    </row>
    <row r="3889" spans="2:15">
      <c r="B3889" s="20">
        <v>45568</v>
      </c>
      <c r="C3889" s="59">
        <v>50809353</v>
      </c>
      <c r="D3889" s="55" t="s">
        <v>905</v>
      </c>
      <c r="G3889" s="65">
        <v>3000</v>
      </c>
      <c r="H3889" s="56" t="s">
        <v>82</v>
      </c>
      <c r="K3889" s="56">
        <v>2003</v>
      </c>
      <c r="L3889" s="55" t="s">
        <v>176</v>
      </c>
      <c r="M3889" s="55" t="s">
        <v>2824</v>
      </c>
      <c r="N3889" s="4" t="s">
        <v>177</v>
      </c>
      <c r="O3889" s="55" t="s">
        <v>178</v>
      </c>
    </row>
    <row r="3890" spans="2:15">
      <c r="B3890" s="20">
        <v>45568</v>
      </c>
      <c r="C3890" s="59">
        <v>50809146</v>
      </c>
      <c r="D3890" s="55" t="s">
        <v>1030</v>
      </c>
      <c r="G3890" s="65">
        <v>2013.95</v>
      </c>
      <c r="H3890" s="56" t="s">
        <v>82</v>
      </c>
      <c r="K3890" s="56">
        <v>2003</v>
      </c>
      <c r="L3890" s="55" t="s">
        <v>176</v>
      </c>
      <c r="M3890" s="55" t="s">
        <v>2824</v>
      </c>
      <c r="N3890" s="4" t="s">
        <v>177</v>
      </c>
      <c r="O3890" s="55" t="s">
        <v>178</v>
      </c>
    </row>
    <row r="3891" spans="2:15">
      <c r="B3891" s="20">
        <v>45568</v>
      </c>
      <c r="C3891" s="59">
        <v>50498271</v>
      </c>
      <c r="D3891" s="55" t="s">
        <v>1025</v>
      </c>
      <c r="G3891" s="65">
        <v>1916.95</v>
      </c>
      <c r="H3891" s="56" t="s">
        <v>82</v>
      </c>
      <c r="K3891" s="56">
        <v>2003</v>
      </c>
      <c r="L3891" s="55" t="s">
        <v>176</v>
      </c>
      <c r="M3891" s="55" t="s">
        <v>2824</v>
      </c>
      <c r="N3891" s="4" t="s">
        <v>177</v>
      </c>
      <c r="O3891" s="55" t="s">
        <v>178</v>
      </c>
    </row>
    <row r="3892" spans="2:15">
      <c r="B3892" s="20">
        <v>45568</v>
      </c>
      <c r="C3892" s="59">
        <v>50272278</v>
      </c>
      <c r="D3892" s="55" t="s">
        <v>21</v>
      </c>
      <c r="G3892" s="65">
        <v>4650</v>
      </c>
      <c r="H3892" s="56" t="s">
        <v>92</v>
      </c>
      <c r="K3892" s="56">
        <v>2003</v>
      </c>
      <c r="L3892" s="55" t="s">
        <v>176</v>
      </c>
      <c r="M3892" s="55" t="s">
        <v>2824</v>
      </c>
      <c r="N3892" s="4" t="s">
        <v>177</v>
      </c>
      <c r="O3892" s="55" t="s">
        <v>178</v>
      </c>
    </row>
    <row r="3893" spans="2:15">
      <c r="B3893" s="20">
        <v>45568</v>
      </c>
      <c r="C3893" s="59">
        <v>40499</v>
      </c>
      <c r="D3893" s="55" t="s">
        <v>1094</v>
      </c>
      <c r="G3893" s="65">
        <v>18</v>
      </c>
      <c r="H3893" s="56" t="s">
        <v>92</v>
      </c>
      <c r="K3893" s="56">
        <v>2003</v>
      </c>
      <c r="L3893" s="55" t="s">
        <v>176</v>
      </c>
      <c r="M3893" s="55" t="s">
        <v>2824</v>
      </c>
      <c r="N3893" s="4" t="s">
        <v>177</v>
      </c>
      <c r="O3893" s="55" t="s">
        <v>178</v>
      </c>
    </row>
    <row r="3894" spans="2:15">
      <c r="B3894" s="20">
        <v>45568</v>
      </c>
      <c r="C3894" s="59">
        <v>50597773</v>
      </c>
      <c r="D3894" s="55" t="s">
        <v>1611</v>
      </c>
      <c r="G3894" s="65">
        <v>25200</v>
      </c>
      <c r="H3894" s="56" t="s">
        <v>92</v>
      </c>
      <c r="K3894" s="56">
        <v>2004</v>
      </c>
      <c r="L3894" s="55" t="s">
        <v>326</v>
      </c>
      <c r="M3894" s="55" t="s">
        <v>326</v>
      </c>
      <c r="N3894" s="4" t="s">
        <v>1613</v>
      </c>
      <c r="O3894" s="55" t="s">
        <v>178</v>
      </c>
    </row>
    <row r="3895" spans="2:15">
      <c r="B3895" s="20">
        <v>45568</v>
      </c>
      <c r="C3895" s="59">
        <v>50804971</v>
      </c>
      <c r="D3895" s="55" t="s">
        <v>855</v>
      </c>
      <c r="G3895" s="65">
        <v>518700</v>
      </c>
      <c r="H3895" s="56" t="s">
        <v>92</v>
      </c>
      <c r="K3895" s="56">
        <v>2005</v>
      </c>
      <c r="L3895" s="55" t="s">
        <v>176</v>
      </c>
      <c r="M3895" s="55" t="s">
        <v>2824</v>
      </c>
      <c r="N3895" s="4" t="s">
        <v>177</v>
      </c>
      <c r="O3895" s="55" t="s">
        <v>178</v>
      </c>
    </row>
    <row r="3896" spans="2:15">
      <c r="B3896" s="20">
        <v>45568</v>
      </c>
      <c r="C3896" s="59">
        <v>50804929</v>
      </c>
      <c r="D3896" s="55" t="s">
        <v>856</v>
      </c>
      <c r="G3896" s="65">
        <v>1512000</v>
      </c>
      <c r="H3896" s="56" t="s">
        <v>92</v>
      </c>
      <c r="K3896" s="56">
        <v>2005</v>
      </c>
      <c r="L3896" s="55" t="s">
        <v>176</v>
      </c>
      <c r="M3896" s="55" t="s">
        <v>2824</v>
      </c>
      <c r="N3896" s="4" t="s">
        <v>177</v>
      </c>
      <c r="O3896" s="55" t="s">
        <v>178</v>
      </c>
    </row>
    <row r="3897" spans="2:15">
      <c r="B3897" s="20">
        <v>45568</v>
      </c>
      <c r="C3897" s="59">
        <v>50498271</v>
      </c>
      <c r="D3897" s="55" t="s">
        <v>1025</v>
      </c>
      <c r="G3897" s="65">
        <v>6471.7</v>
      </c>
      <c r="H3897" s="56" t="s">
        <v>82</v>
      </c>
      <c r="K3897" s="56">
        <v>2005</v>
      </c>
      <c r="L3897" s="55" t="s">
        <v>176</v>
      </c>
      <c r="M3897" s="55" t="s">
        <v>2824</v>
      </c>
      <c r="N3897" s="4" t="s">
        <v>177</v>
      </c>
      <c r="O3897" s="55" t="s">
        <v>178</v>
      </c>
    </row>
    <row r="3898" spans="2:15">
      <c r="B3898" s="20">
        <v>45568</v>
      </c>
      <c r="C3898" s="59">
        <v>50145187</v>
      </c>
      <c r="D3898" s="55" t="s">
        <v>465</v>
      </c>
      <c r="G3898" s="65">
        <v>1320000</v>
      </c>
      <c r="H3898" s="56" t="s">
        <v>92</v>
      </c>
      <c r="K3898" s="56">
        <v>2005</v>
      </c>
      <c r="L3898" s="55" t="s">
        <v>176</v>
      </c>
      <c r="M3898" s="55" t="s">
        <v>2824</v>
      </c>
      <c r="N3898" s="4" t="s">
        <v>177</v>
      </c>
      <c r="O3898" s="55" t="s">
        <v>178</v>
      </c>
    </row>
    <row r="3899" spans="2:15">
      <c r="B3899" s="20">
        <v>45569</v>
      </c>
      <c r="C3899" s="59">
        <v>50272278</v>
      </c>
      <c r="D3899" s="55" t="s">
        <v>21</v>
      </c>
      <c r="G3899" s="65">
        <v>11100</v>
      </c>
      <c r="H3899" s="56" t="s">
        <v>92</v>
      </c>
      <c r="K3899" s="56">
        <v>2006</v>
      </c>
      <c r="L3899" s="55" t="s">
        <v>176</v>
      </c>
      <c r="M3899" s="55" t="s">
        <v>2824</v>
      </c>
      <c r="N3899" s="4" t="s">
        <v>177</v>
      </c>
      <c r="O3899" s="55" t="s">
        <v>178</v>
      </c>
    </row>
    <row r="3900" spans="2:15">
      <c r="B3900" s="20">
        <v>45569</v>
      </c>
      <c r="C3900" s="59">
        <v>50272278</v>
      </c>
      <c r="D3900" s="55" t="s">
        <v>21</v>
      </c>
      <c r="G3900" s="65">
        <v>5500</v>
      </c>
      <c r="H3900" s="56" t="s">
        <v>92</v>
      </c>
      <c r="K3900" s="56">
        <v>2007</v>
      </c>
      <c r="L3900" s="55" t="s">
        <v>392</v>
      </c>
      <c r="M3900" s="55" t="s">
        <v>392</v>
      </c>
      <c r="N3900" s="4" t="s">
        <v>2852</v>
      </c>
      <c r="O3900" s="55" t="s">
        <v>178</v>
      </c>
    </row>
    <row r="3901" spans="2:15">
      <c r="B3901" s="20">
        <v>45569</v>
      </c>
      <c r="C3901" s="59">
        <v>50515034</v>
      </c>
      <c r="D3901" s="55" t="s">
        <v>41</v>
      </c>
      <c r="G3901" s="65">
        <v>432</v>
      </c>
      <c r="H3901" s="56" t="s">
        <v>80</v>
      </c>
      <c r="K3901" s="56">
        <v>2007</v>
      </c>
      <c r="L3901" s="55" t="s">
        <v>392</v>
      </c>
      <c r="M3901" s="55" t="s">
        <v>392</v>
      </c>
      <c r="N3901" s="4" t="s">
        <v>2852</v>
      </c>
      <c r="O3901" s="55" t="s">
        <v>178</v>
      </c>
    </row>
    <row r="3902" spans="2:15">
      <c r="B3902" s="20">
        <v>45569</v>
      </c>
      <c r="C3902" s="59">
        <v>50141786</v>
      </c>
      <c r="D3902" s="55" t="s">
        <v>188</v>
      </c>
      <c r="G3902" s="65">
        <v>11200</v>
      </c>
      <c r="H3902" s="56" t="s">
        <v>82</v>
      </c>
      <c r="K3902" s="56">
        <v>2008</v>
      </c>
      <c r="L3902" s="55" t="s">
        <v>176</v>
      </c>
      <c r="M3902" s="55" t="s">
        <v>2824</v>
      </c>
      <c r="N3902" s="4" t="s">
        <v>177</v>
      </c>
      <c r="O3902" s="55" t="s">
        <v>178</v>
      </c>
    </row>
    <row r="3903" spans="2:15">
      <c r="B3903" s="20">
        <v>45569</v>
      </c>
      <c r="C3903" s="59">
        <v>50809353</v>
      </c>
      <c r="D3903" s="55" t="s">
        <v>905</v>
      </c>
      <c r="G3903" s="65">
        <v>8400</v>
      </c>
      <c r="H3903" s="56" t="s">
        <v>82</v>
      </c>
      <c r="K3903" s="56">
        <v>2009</v>
      </c>
      <c r="L3903" s="55" t="s">
        <v>176</v>
      </c>
      <c r="M3903" s="55" t="s">
        <v>2824</v>
      </c>
      <c r="N3903" s="4" t="s">
        <v>177</v>
      </c>
      <c r="O3903" s="55" t="s">
        <v>178</v>
      </c>
    </row>
    <row r="3904" spans="2:15">
      <c r="B3904" s="20">
        <v>45569</v>
      </c>
      <c r="C3904" s="59">
        <v>50142055</v>
      </c>
      <c r="D3904" s="55" t="s">
        <v>206</v>
      </c>
      <c r="G3904" s="65">
        <v>2400</v>
      </c>
      <c r="H3904" s="56" t="s">
        <v>82</v>
      </c>
      <c r="K3904" s="56">
        <v>2009</v>
      </c>
      <c r="L3904" s="55" t="s">
        <v>176</v>
      </c>
      <c r="M3904" s="55" t="s">
        <v>2824</v>
      </c>
      <c r="N3904" s="4" t="s">
        <v>177</v>
      </c>
      <c r="O3904" s="55" t="s">
        <v>178</v>
      </c>
    </row>
    <row r="3905" spans="2:15">
      <c r="B3905" s="20">
        <v>45569</v>
      </c>
      <c r="C3905" s="59">
        <v>50142350</v>
      </c>
      <c r="D3905" s="55" t="s">
        <v>212</v>
      </c>
      <c r="G3905" s="65">
        <v>1582</v>
      </c>
      <c r="H3905" s="56" t="s">
        <v>82</v>
      </c>
      <c r="K3905" s="56">
        <v>2009</v>
      </c>
      <c r="L3905" s="55" t="s">
        <v>176</v>
      </c>
      <c r="M3905" s="55" t="s">
        <v>2824</v>
      </c>
      <c r="N3905" s="4" t="s">
        <v>177</v>
      </c>
      <c r="O3905" s="55" t="s">
        <v>178</v>
      </c>
    </row>
    <row r="3906" spans="2:15">
      <c r="B3906" s="20">
        <v>45570</v>
      </c>
      <c r="C3906" s="59">
        <v>50142055</v>
      </c>
      <c r="D3906" s="55" t="s">
        <v>206</v>
      </c>
      <c r="G3906" s="65">
        <v>13200</v>
      </c>
      <c r="H3906" s="56" t="s">
        <v>82</v>
      </c>
      <c r="K3906" s="56">
        <v>2010</v>
      </c>
      <c r="L3906" s="55" t="s">
        <v>176</v>
      </c>
      <c r="M3906" s="55" t="s">
        <v>2824</v>
      </c>
      <c r="N3906" s="4" t="s">
        <v>177</v>
      </c>
      <c r="O3906" s="55" t="s">
        <v>178</v>
      </c>
    </row>
    <row r="3907" spans="2:15">
      <c r="B3907" s="20">
        <v>45570</v>
      </c>
      <c r="C3907" s="59">
        <v>50809353</v>
      </c>
      <c r="D3907" s="55" t="s">
        <v>905</v>
      </c>
      <c r="G3907" s="65">
        <v>400</v>
      </c>
      <c r="H3907" s="56" t="s">
        <v>82</v>
      </c>
      <c r="K3907" s="56">
        <v>2011</v>
      </c>
      <c r="L3907" s="55" t="s">
        <v>176</v>
      </c>
      <c r="M3907" s="55" t="s">
        <v>2824</v>
      </c>
      <c r="N3907" s="4" t="s">
        <v>177</v>
      </c>
      <c r="O3907" s="55" t="s">
        <v>178</v>
      </c>
    </row>
    <row r="3908" spans="2:15">
      <c r="B3908" s="20">
        <v>45570</v>
      </c>
      <c r="C3908" s="59">
        <v>50142055</v>
      </c>
      <c r="D3908" s="55" t="s">
        <v>206</v>
      </c>
      <c r="G3908" s="65">
        <v>4800</v>
      </c>
      <c r="H3908" s="56" t="s">
        <v>82</v>
      </c>
      <c r="K3908" s="56">
        <v>2011</v>
      </c>
      <c r="L3908" s="55" t="s">
        <v>176</v>
      </c>
      <c r="M3908" s="55" t="s">
        <v>2824</v>
      </c>
      <c r="N3908" s="4" t="s">
        <v>177</v>
      </c>
      <c r="O3908" s="55" t="s">
        <v>178</v>
      </c>
    </row>
    <row r="3909" spans="2:15">
      <c r="B3909" s="20">
        <v>45570</v>
      </c>
      <c r="C3909" s="59">
        <v>50470190</v>
      </c>
      <c r="D3909" s="55" t="s">
        <v>12</v>
      </c>
      <c r="G3909" s="65">
        <v>3187800</v>
      </c>
      <c r="H3909" s="56" t="s">
        <v>92</v>
      </c>
      <c r="K3909" s="56">
        <v>2011</v>
      </c>
      <c r="L3909" s="55" t="s">
        <v>176</v>
      </c>
      <c r="M3909" s="55" t="s">
        <v>2824</v>
      </c>
      <c r="N3909" s="4" t="s">
        <v>177</v>
      </c>
      <c r="O3909" s="55" t="s">
        <v>178</v>
      </c>
    </row>
    <row r="3910" spans="2:15">
      <c r="B3910" s="20">
        <v>45570</v>
      </c>
      <c r="C3910" s="59">
        <v>50272278</v>
      </c>
      <c r="D3910" s="55" t="s">
        <v>21</v>
      </c>
      <c r="G3910" s="65">
        <v>7000</v>
      </c>
      <c r="H3910" s="56" t="s">
        <v>92</v>
      </c>
      <c r="K3910" s="56">
        <v>2012</v>
      </c>
      <c r="L3910" s="55" t="s">
        <v>176</v>
      </c>
      <c r="M3910" s="55" t="s">
        <v>2824</v>
      </c>
      <c r="N3910" s="4" t="s">
        <v>177</v>
      </c>
      <c r="O3910" s="55" t="s">
        <v>178</v>
      </c>
    </row>
    <row r="3911" spans="2:15">
      <c r="B3911" s="20">
        <v>45570</v>
      </c>
      <c r="C3911" s="59">
        <v>40499</v>
      </c>
      <c r="D3911" s="55" t="s">
        <v>1094</v>
      </c>
      <c r="G3911" s="65">
        <v>28</v>
      </c>
      <c r="H3911" s="56" t="s">
        <v>92</v>
      </c>
      <c r="K3911" s="56">
        <v>2012</v>
      </c>
      <c r="L3911" s="55" t="s">
        <v>176</v>
      </c>
      <c r="M3911" s="55" t="s">
        <v>2824</v>
      </c>
      <c r="N3911" s="4" t="s">
        <v>177</v>
      </c>
      <c r="O3911" s="55" t="s">
        <v>178</v>
      </c>
    </row>
    <row r="3912" spans="2:15">
      <c r="B3912" s="20">
        <v>45570</v>
      </c>
      <c r="C3912" s="59">
        <v>50470190</v>
      </c>
      <c r="D3912" s="55" t="s">
        <v>12</v>
      </c>
      <c r="G3912" s="65">
        <v>2318400</v>
      </c>
      <c r="H3912" s="56" t="s">
        <v>92</v>
      </c>
      <c r="K3912" s="56">
        <v>2012</v>
      </c>
      <c r="L3912" s="55" t="s">
        <v>176</v>
      </c>
      <c r="M3912" s="55" t="s">
        <v>2824</v>
      </c>
      <c r="N3912" s="4" t="s">
        <v>177</v>
      </c>
      <c r="O3912" s="55" t="s">
        <v>178</v>
      </c>
    </row>
    <row r="3913" spans="2:15">
      <c r="B3913" s="20">
        <v>45572</v>
      </c>
      <c r="C3913" s="59">
        <v>50534881</v>
      </c>
      <c r="D3913" s="55" t="s">
        <v>227</v>
      </c>
      <c r="G3913" s="65">
        <v>72000</v>
      </c>
      <c r="H3913" s="56" t="s">
        <v>92</v>
      </c>
      <c r="K3913" s="56">
        <v>2013</v>
      </c>
      <c r="L3913" s="55" t="s">
        <v>176</v>
      </c>
      <c r="M3913" s="55" t="s">
        <v>2824</v>
      </c>
      <c r="N3913" s="4" t="s">
        <v>177</v>
      </c>
      <c r="O3913" s="55" t="s">
        <v>178</v>
      </c>
    </row>
    <row r="3914" spans="2:15">
      <c r="B3914" s="20">
        <v>45572</v>
      </c>
      <c r="C3914" s="59">
        <v>50142523</v>
      </c>
      <c r="D3914" s="55" t="s">
        <v>1157</v>
      </c>
      <c r="G3914" s="65">
        <v>3000</v>
      </c>
      <c r="H3914" s="56" t="s">
        <v>92</v>
      </c>
      <c r="K3914" s="56">
        <v>2013</v>
      </c>
      <c r="L3914" s="55" t="s">
        <v>176</v>
      </c>
      <c r="M3914" s="55" t="s">
        <v>2824</v>
      </c>
      <c r="N3914" s="4" t="s">
        <v>177</v>
      </c>
      <c r="O3914" s="55" t="s">
        <v>178</v>
      </c>
    </row>
    <row r="3915" spans="2:15">
      <c r="B3915" s="20">
        <v>45572</v>
      </c>
      <c r="C3915" s="59">
        <v>50142520</v>
      </c>
      <c r="D3915" s="55" t="s">
        <v>1156</v>
      </c>
      <c r="G3915" s="65">
        <v>3000</v>
      </c>
      <c r="H3915" s="56" t="s">
        <v>92</v>
      </c>
      <c r="K3915" s="56">
        <v>2013</v>
      </c>
      <c r="L3915" s="55" t="s">
        <v>176</v>
      </c>
      <c r="M3915" s="55" t="s">
        <v>2824</v>
      </c>
      <c r="N3915" s="4" t="s">
        <v>177</v>
      </c>
      <c r="O3915" s="55" t="s">
        <v>178</v>
      </c>
    </row>
    <row r="3916" spans="2:15">
      <c r="B3916" s="20">
        <v>45572</v>
      </c>
      <c r="C3916" s="59">
        <v>50498271</v>
      </c>
      <c r="D3916" s="55" t="s">
        <v>1025</v>
      </c>
      <c r="G3916" s="65">
        <v>1507.55</v>
      </c>
      <c r="H3916" s="56" t="s">
        <v>82</v>
      </c>
      <c r="K3916" s="56">
        <v>2013</v>
      </c>
      <c r="L3916" s="55" t="s">
        <v>176</v>
      </c>
      <c r="M3916" s="55" t="s">
        <v>2824</v>
      </c>
      <c r="N3916" s="4" t="s">
        <v>177</v>
      </c>
      <c r="O3916" s="55" t="s">
        <v>178</v>
      </c>
    </row>
    <row r="3917" spans="2:15">
      <c r="B3917" s="20">
        <v>45572</v>
      </c>
      <c r="C3917" s="59">
        <v>50142551</v>
      </c>
      <c r="D3917" s="55" t="s">
        <v>215</v>
      </c>
      <c r="G3917" s="65">
        <v>150</v>
      </c>
      <c r="H3917" s="56" t="s">
        <v>92</v>
      </c>
      <c r="K3917" s="56">
        <v>2013</v>
      </c>
      <c r="L3917" s="55" t="s">
        <v>176</v>
      </c>
      <c r="M3917" s="55" t="s">
        <v>2824</v>
      </c>
      <c r="N3917" s="4" t="s">
        <v>177</v>
      </c>
      <c r="O3917" s="55" t="s">
        <v>178</v>
      </c>
    </row>
    <row r="3918" spans="2:15">
      <c r="B3918" s="20">
        <v>45572</v>
      </c>
      <c r="C3918" s="59">
        <v>50142455</v>
      </c>
      <c r="D3918" s="55" t="s">
        <v>560</v>
      </c>
      <c r="G3918" s="65">
        <v>150</v>
      </c>
      <c r="H3918" s="56" t="s">
        <v>92</v>
      </c>
      <c r="K3918" s="56">
        <v>2013</v>
      </c>
      <c r="L3918" s="55" t="s">
        <v>176</v>
      </c>
      <c r="M3918" s="55" t="s">
        <v>2824</v>
      </c>
      <c r="N3918" s="4" t="s">
        <v>177</v>
      </c>
      <c r="O3918" s="55" t="s">
        <v>178</v>
      </c>
    </row>
    <row r="3919" spans="2:15">
      <c r="B3919" s="20">
        <v>45572</v>
      </c>
      <c r="C3919" s="59">
        <v>50272278</v>
      </c>
      <c r="D3919" s="55" t="s">
        <v>21</v>
      </c>
      <c r="G3919" s="65">
        <v>2500</v>
      </c>
      <c r="H3919" s="56" t="s">
        <v>92</v>
      </c>
      <c r="K3919" s="56">
        <v>2013</v>
      </c>
      <c r="L3919" s="55" t="s">
        <v>176</v>
      </c>
      <c r="M3919" s="55" t="s">
        <v>2824</v>
      </c>
      <c r="N3919" s="4" t="s">
        <v>177</v>
      </c>
      <c r="O3919" s="55" t="s">
        <v>178</v>
      </c>
    </row>
    <row r="3920" spans="2:15">
      <c r="B3920" s="20">
        <v>45572</v>
      </c>
      <c r="C3920" s="59">
        <v>50145029</v>
      </c>
      <c r="D3920" s="55" t="s">
        <v>705</v>
      </c>
      <c r="G3920" s="65">
        <v>12</v>
      </c>
      <c r="H3920" s="56" t="s">
        <v>505</v>
      </c>
      <c r="K3920" s="56">
        <v>2013</v>
      </c>
      <c r="L3920" s="55" t="s">
        <v>176</v>
      </c>
      <c r="M3920" s="55" t="s">
        <v>2824</v>
      </c>
      <c r="N3920" s="4" t="s">
        <v>177</v>
      </c>
      <c r="O3920" s="55" t="s">
        <v>178</v>
      </c>
    </row>
    <row r="3921" spans="2:15">
      <c r="B3921" s="20">
        <v>45572</v>
      </c>
      <c r="C3921" s="59">
        <v>50392045</v>
      </c>
      <c r="D3921" s="55" t="s">
        <v>707</v>
      </c>
      <c r="G3921" s="65">
        <v>12</v>
      </c>
      <c r="H3921" s="56" t="s">
        <v>505</v>
      </c>
      <c r="K3921" s="56">
        <v>2013</v>
      </c>
      <c r="L3921" s="55" t="s">
        <v>176</v>
      </c>
      <c r="M3921" s="55" t="s">
        <v>2824</v>
      </c>
      <c r="N3921" s="4" t="s">
        <v>177</v>
      </c>
      <c r="O3921" s="55" t="s">
        <v>178</v>
      </c>
    </row>
    <row r="3922" spans="2:15">
      <c r="B3922" s="20">
        <v>45572</v>
      </c>
      <c r="C3922" s="59">
        <v>50818947</v>
      </c>
      <c r="D3922" s="55" t="s">
        <v>1174</v>
      </c>
      <c r="G3922" s="65">
        <v>400000</v>
      </c>
      <c r="H3922" s="56" t="s">
        <v>92</v>
      </c>
      <c r="K3922" s="56">
        <v>2013</v>
      </c>
      <c r="L3922" s="55" t="s">
        <v>176</v>
      </c>
      <c r="M3922" s="55" t="s">
        <v>2824</v>
      </c>
      <c r="N3922" s="4" t="s">
        <v>177</v>
      </c>
      <c r="O3922" s="55" t="s">
        <v>178</v>
      </c>
    </row>
    <row r="3923" spans="2:15">
      <c r="B3923" s="20">
        <v>45572</v>
      </c>
      <c r="C3923" s="59">
        <v>50145012</v>
      </c>
      <c r="D3923" s="55" t="s">
        <v>504</v>
      </c>
      <c r="G3923" s="65">
        <v>12</v>
      </c>
      <c r="H3923" s="56" t="s">
        <v>505</v>
      </c>
      <c r="K3923" s="56">
        <v>2013</v>
      </c>
      <c r="L3923" s="55" t="s">
        <v>176</v>
      </c>
      <c r="M3923" s="55" t="s">
        <v>2824</v>
      </c>
      <c r="N3923" s="4" t="s">
        <v>177</v>
      </c>
      <c r="O3923" s="55" t="s">
        <v>178</v>
      </c>
    </row>
    <row r="3924" spans="2:15">
      <c r="B3924" s="20">
        <v>45572</v>
      </c>
      <c r="C3924" s="59">
        <v>50392046</v>
      </c>
      <c r="D3924" s="55" t="s">
        <v>509</v>
      </c>
      <c r="G3924" s="65">
        <v>12</v>
      </c>
      <c r="H3924" s="56" t="s">
        <v>505</v>
      </c>
      <c r="K3924" s="56">
        <v>2013</v>
      </c>
      <c r="L3924" s="55" t="s">
        <v>176</v>
      </c>
      <c r="M3924" s="55" t="s">
        <v>2824</v>
      </c>
      <c r="N3924" s="4" t="s">
        <v>177</v>
      </c>
      <c r="O3924" s="55" t="s">
        <v>178</v>
      </c>
    </row>
    <row r="3925" spans="2:15">
      <c r="B3925" s="20">
        <v>45572</v>
      </c>
      <c r="C3925" s="59">
        <v>20016059</v>
      </c>
      <c r="D3925" s="55" t="s">
        <v>1498</v>
      </c>
      <c r="G3925" s="65">
        <v>100</v>
      </c>
      <c r="H3925" s="56" t="s">
        <v>92</v>
      </c>
      <c r="K3925" s="56">
        <v>2013</v>
      </c>
      <c r="L3925" s="55" t="s">
        <v>176</v>
      </c>
      <c r="M3925" s="55" t="s">
        <v>2824</v>
      </c>
      <c r="N3925" s="4" t="s">
        <v>177</v>
      </c>
      <c r="O3925" s="55" t="s">
        <v>178</v>
      </c>
    </row>
    <row r="3926" spans="2:15">
      <c r="B3926" s="20">
        <v>45573</v>
      </c>
      <c r="C3926" s="59">
        <v>50534881</v>
      </c>
      <c r="D3926" s="55" t="s">
        <v>227</v>
      </c>
      <c r="G3926" s="65">
        <v>44700</v>
      </c>
      <c r="H3926" s="56" t="s">
        <v>92</v>
      </c>
      <c r="K3926" s="56">
        <v>2014</v>
      </c>
      <c r="L3926" s="55" t="s">
        <v>176</v>
      </c>
      <c r="M3926" s="55" t="s">
        <v>2824</v>
      </c>
      <c r="N3926" s="4" t="s">
        <v>177</v>
      </c>
      <c r="O3926" s="55" t="s">
        <v>178</v>
      </c>
    </row>
    <row r="3927" spans="2:15">
      <c r="B3927" s="20">
        <v>45573</v>
      </c>
      <c r="C3927" s="59">
        <v>50802401</v>
      </c>
      <c r="D3927" s="55" t="s">
        <v>13</v>
      </c>
      <c r="G3927" s="65">
        <v>3767400</v>
      </c>
      <c r="H3927" s="56" t="s">
        <v>92</v>
      </c>
      <c r="K3927" s="56">
        <v>2014</v>
      </c>
      <c r="L3927" s="55" t="s">
        <v>176</v>
      </c>
      <c r="M3927" s="55" t="s">
        <v>2824</v>
      </c>
      <c r="N3927" s="4" t="s">
        <v>177</v>
      </c>
      <c r="O3927" s="55" t="s">
        <v>178</v>
      </c>
    </row>
    <row r="3928" spans="2:15">
      <c r="B3928" s="20">
        <v>45573</v>
      </c>
      <c r="C3928" s="59">
        <v>50824293</v>
      </c>
      <c r="D3928" s="55" t="s">
        <v>861</v>
      </c>
      <c r="G3928" s="65">
        <v>1920000</v>
      </c>
      <c r="H3928" s="56" t="s">
        <v>92</v>
      </c>
      <c r="K3928" s="56">
        <v>2015</v>
      </c>
      <c r="L3928" s="55" t="s">
        <v>176</v>
      </c>
      <c r="M3928" s="55" t="s">
        <v>2824</v>
      </c>
      <c r="N3928" s="4" t="s">
        <v>177</v>
      </c>
      <c r="O3928" s="55" t="s">
        <v>178</v>
      </c>
    </row>
    <row r="3929" spans="2:15">
      <c r="B3929" s="20">
        <v>45573</v>
      </c>
      <c r="C3929" s="59">
        <v>50799770</v>
      </c>
      <c r="D3929" s="55" t="s">
        <v>17</v>
      </c>
      <c r="G3929" s="65">
        <v>5000</v>
      </c>
      <c r="H3929" s="56" t="s">
        <v>92</v>
      </c>
      <c r="K3929" s="56">
        <v>2015</v>
      </c>
      <c r="L3929" s="55" t="s">
        <v>176</v>
      </c>
      <c r="M3929" s="55" t="s">
        <v>2824</v>
      </c>
      <c r="N3929" s="4" t="s">
        <v>177</v>
      </c>
      <c r="O3929" s="55" t="s">
        <v>178</v>
      </c>
    </row>
    <row r="3930" spans="2:15">
      <c r="B3930" s="20">
        <v>45573</v>
      </c>
      <c r="C3930" s="59">
        <v>50272278</v>
      </c>
      <c r="D3930" s="55" t="s">
        <v>21</v>
      </c>
      <c r="G3930" s="65">
        <v>5000</v>
      </c>
      <c r="H3930" s="56" t="s">
        <v>92</v>
      </c>
      <c r="K3930" s="56">
        <v>2015</v>
      </c>
      <c r="L3930" s="55" t="s">
        <v>176</v>
      </c>
      <c r="M3930" s="55" t="s">
        <v>2824</v>
      </c>
      <c r="N3930" s="4" t="s">
        <v>177</v>
      </c>
      <c r="O3930" s="55" t="s">
        <v>178</v>
      </c>
    </row>
    <row r="3931" spans="2:15">
      <c r="B3931" s="20">
        <v>45573</v>
      </c>
      <c r="C3931" s="59">
        <v>40499</v>
      </c>
      <c r="D3931" s="55" t="s">
        <v>1094</v>
      </c>
      <c r="G3931" s="65">
        <v>40</v>
      </c>
      <c r="H3931" s="56" t="s">
        <v>92</v>
      </c>
      <c r="K3931" s="56">
        <v>2015</v>
      </c>
      <c r="L3931" s="55" t="s">
        <v>176</v>
      </c>
      <c r="M3931" s="55" t="s">
        <v>2824</v>
      </c>
      <c r="N3931" s="4" t="s">
        <v>177</v>
      </c>
      <c r="O3931" s="55" t="s">
        <v>178</v>
      </c>
    </row>
    <row r="3932" spans="2:15">
      <c r="B3932" s="20">
        <v>45573</v>
      </c>
      <c r="C3932" s="59">
        <v>50818948</v>
      </c>
      <c r="D3932" s="55" t="s">
        <v>1173</v>
      </c>
      <c r="G3932" s="65">
        <v>500000</v>
      </c>
      <c r="H3932" s="56" t="s">
        <v>92</v>
      </c>
      <c r="I3932" s="54" t="s">
        <v>2874</v>
      </c>
      <c r="K3932" s="56">
        <v>2015</v>
      </c>
      <c r="L3932" s="55" t="s">
        <v>176</v>
      </c>
      <c r="M3932" s="55" t="s">
        <v>2824</v>
      </c>
      <c r="N3932" s="4" t="s">
        <v>177</v>
      </c>
      <c r="O3932" s="55" t="s">
        <v>178</v>
      </c>
    </row>
    <row r="3933" spans="2:15">
      <c r="B3933" s="20">
        <v>45573</v>
      </c>
      <c r="C3933" s="59">
        <v>50400554</v>
      </c>
      <c r="D3933" s="55" t="s">
        <v>1311</v>
      </c>
      <c r="G3933" s="65">
        <v>37.44</v>
      </c>
      <c r="H3933" s="56" t="s">
        <v>80</v>
      </c>
      <c r="I3933" s="54">
        <v>8637849838</v>
      </c>
      <c r="K3933" s="56" t="s">
        <v>2875</v>
      </c>
      <c r="L3933" s="55" t="s">
        <v>2876</v>
      </c>
      <c r="M3933" s="55" t="s">
        <v>2824</v>
      </c>
      <c r="N3933" s="4" t="s">
        <v>2877</v>
      </c>
      <c r="O3933" s="55" t="s">
        <v>178</v>
      </c>
    </row>
    <row r="3934" spans="2:15">
      <c r="B3934" s="20">
        <v>45573</v>
      </c>
      <c r="C3934" s="59">
        <v>50400554</v>
      </c>
      <c r="D3934" s="55" t="s">
        <v>1311</v>
      </c>
      <c r="G3934" s="65">
        <v>37.44</v>
      </c>
      <c r="H3934" s="56" t="s">
        <v>80</v>
      </c>
      <c r="I3934" s="54">
        <v>8637849840</v>
      </c>
      <c r="K3934" s="56" t="s">
        <v>2878</v>
      </c>
      <c r="L3934" s="55" t="s">
        <v>2876</v>
      </c>
      <c r="M3934" s="55" t="s">
        <v>2824</v>
      </c>
      <c r="N3934" s="4" t="s">
        <v>2879</v>
      </c>
      <c r="O3934" s="55" t="s">
        <v>178</v>
      </c>
    </row>
    <row r="3935" spans="2:15">
      <c r="B3935" s="20">
        <v>45573</v>
      </c>
      <c r="C3935" s="59">
        <v>50400554</v>
      </c>
      <c r="D3935" s="55" t="s">
        <v>1311</v>
      </c>
      <c r="G3935" s="65">
        <v>37.44</v>
      </c>
      <c r="H3935" s="56" t="s">
        <v>80</v>
      </c>
      <c r="I3935" s="54">
        <v>8637849843</v>
      </c>
      <c r="K3935" s="56" t="s">
        <v>2880</v>
      </c>
      <c r="L3935" s="55" t="s">
        <v>2876</v>
      </c>
      <c r="M3935" s="55" t="s">
        <v>2824</v>
      </c>
      <c r="N3935" s="4" t="s">
        <v>2881</v>
      </c>
      <c r="O3935" s="55" t="s">
        <v>178</v>
      </c>
    </row>
    <row r="3936" spans="2:15">
      <c r="B3936" s="20">
        <v>45574</v>
      </c>
      <c r="C3936" s="59">
        <v>50010080</v>
      </c>
      <c r="D3936" s="55" t="s">
        <v>1657</v>
      </c>
      <c r="G3936" s="65">
        <v>4000</v>
      </c>
      <c r="H3936" s="56" t="s">
        <v>82</v>
      </c>
      <c r="K3936" s="56">
        <v>2016</v>
      </c>
      <c r="L3936" s="55" t="s">
        <v>176</v>
      </c>
      <c r="M3936" s="55" t="s">
        <v>2824</v>
      </c>
      <c r="N3936" s="4" t="s">
        <v>177</v>
      </c>
      <c r="O3936" s="55" t="s">
        <v>178</v>
      </c>
    </row>
    <row r="3937" spans="2:15">
      <c r="B3937" s="20">
        <v>45574</v>
      </c>
      <c r="C3937" s="59">
        <v>50272278</v>
      </c>
      <c r="D3937" s="55" t="s">
        <v>21</v>
      </c>
      <c r="G3937" s="65">
        <v>1500</v>
      </c>
      <c r="H3937" s="56" t="s">
        <v>92</v>
      </c>
      <c r="K3937" s="56">
        <v>2016</v>
      </c>
      <c r="L3937" s="55" t="s">
        <v>176</v>
      </c>
      <c r="M3937" s="55" t="s">
        <v>2824</v>
      </c>
      <c r="N3937" s="4" t="s">
        <v>177</v>
      </c>
      <c r="O3937" s="55" t="s">
        <v>178</v>
      </c>
    </row>
    <row r="3938" spans="2:15">
      <c r="B3938" s="20">
        <v>45574</v>
      </c>
      <c r="C3938" s="59">
        <v>50793278</v>
      </c>
      <c r="D3938" s="55" t="s">
        <v>1086</v>
      </c>
      <c r="G3938" s="65">
        <v>40</v>
      </c>
      <c r="H3938" s="56" t="s">
        <v>1087</v>
      </c>
      <c r="K3938" s="56">
        <v>2016</v>
      </c>
      <c r="L3938" s="55" t="s">
        <v>176</v>
      </c>
      <c r="M3938" s="55" t="s">
        <v>2824</v>
      </c>
      <c r="N3938" s="4" t="s">
        <v>177</v>
      </c>
      <c r="O3938" s="55" t="s">
        <v>178</v>
      </c>
    </row>
    <row r="3939" spans="2:15">
      <c r="B3939" s="20">
        <v>45574</v>
      </c>
      <c r="C3939" s="59">
        <v>50144200</v>
      </c>
      <c r="D3939" s="55" t="s">
        <v>184</v>
      </c>
      <c r="G3939" s="65">
        <v>528000</v>
      </c>
      <c r="H3939" s="56" t="s">
        <v>92</v>
      </c>
      <c r="K3939" s="56">
        <v>2016</v>
      </c>
      <c r="L3939" s="55" t="s">
        <v>176</v>
      </c>
      <c r="M3939" s="55" t="s">
        <v>2824</v>
      </c>
      <c r="N3939" s="4" t="s">
        <v>177</v>
      </c>
      <c r="O3939" s="55" t="s">
        <v>178</v>
      </c>
    </row>
    <row r="3940" spans="2:15">
      <c r="B3940" s="20">
        <v>45574</v>
      </c>
      <c r="C3940" s="59">
        <v>50142327</v>
      </c>
      <c r="D3940" s="55" t="s">
        <v>256</v>
      </c>
      <c r="G3940" s="65">
        <v>476.7</v>
      </c>
      <c r="H3940" s="56" t="s">
        <v>82</v>
      </c>
      <c r="K3940" s="56">
        <v>2016</v>
      </c>
      <c r="L3940" s="55" t="s">
        <v>176</v>
      </c>
      <c r="M3940" s="55" t="s">
        <v>2824</v>
      </c>
      <c r="N3940" s="4" t="s">
        <v>177</v>
      </c>
      <c r="O3940" s="55" t="s">
        <v>178</v>
      </c>
    </row>
    <row r="3941" spans="2:15">
      <c r="B3941" s="20">
        <v>45574</v>
      </c>
      <c r="C3941" s="59">
        <v>50142334</v>
      </c>
      <c r="D3941" s="55" t="s">
        <v>257</v>
      </c>
      <c r="G3941" s="65">
        <v>953.4</v>
      </c>
      <c r="H3941" s="56" t="s">
        <v>82</v>
      </c>
      <c r="K3941" s="56">
        <v>2016</v>
      </c>
      <c r="L3941" s="55" t="s">
        <v>176</v>
      </c>
      <c r="M3941" s="55" t="s">
        <v>2824</v>
      </c>
      <c r="N3941" s="4" t="s">
        <v>177</v>
      </c>
      <c r="O3941" s="55" t="s">
        <v>178</v>
      </c>
    </row>
    <row r="3942" spans="2:15">
      <c r="B3942" s="20">
        <v>45574</v>
      </c>
      <c r="C3942" s="59">
        <v>50818949</v>
      </c>
      <c r="D3942" s="55" t="s">
        <v>1381</v>
      </c>
      <c r="G3942" s="65">
        <v>500000</v>
      </c>
      <c r="H3942" s="56" t="s">
        <v>92</v>
      </c>
      <c r="K3942" s="56">
        <v>2016</v>
      </c>
      <c r="L3942" s="55" t="s">
        <v>176</v>
      </c>
      <c r="M3942" s="55" t="s">
        <v>2824</v>
      </c>
      <c r="N3942" s="4" t="s">
        <v>177</v>
      </c>
      <c r="O3942" s="55" t="s">
        <v>178</v>
      </c>
    </row>
    <row r="3943" spans="2:15">
      <c r="B3943" s="20">
        <v>45574</v>
      </c>
      <c r="C3943" s="59">
        <v>50818963</v>
      </c>
      <c r="D3943" s="55" t="s">
        <v>1709</v>
      </c>
      <c r="G3943" s="65">
        <v>500000</v>
      </c>
      <c r="H3943" s="56" t="s">
        <v>92</v>
      </c>
      <c r="K3943" s="56">
        <v>2016</v>
      </c>
      <c r="L3943" s="55" t="s">
        <v>176</v>
      </c>
      <c r="M3943" s="55" t="s">
        <v>2824</v>
      </c>
      <c r="N3943" s="4" t="s">
        <v>177</v>
      </c>
      <c r="O3943" s="55" t="s">
        <v>178</v>
      </c>
    </row>
    <row r="3944" spans="2:15">
      <c r="B3944" s="20">
        <v>45574</v>
      </c>
      <c r="C3944" s="59">
        <v>50837284</v>
      </c>
      <c r="D3944" s="55" t="s">
        <v>28</v>
      </c>
      <c r="G3944" s="65">
        <v>1464.4</v>
      </c>
      <c r="H3944" s="56" t="s">
        <v>82</v>
      </c>
      <c r="K3944" s="56">
        <v>2016</v>
      </c>
      <c r="L3944" s="55" t="s">
        <v>176</v>
      </c>
      <c r="M3944" s="55" t="s">
        <v>2824</v>
      </c>
      <c r="N3944" s="4" t="s">
        <v>177</v>
      </c>
      <c r="O3944" s="55" t="s">
        <v>178</v>
      </c>
    </row>
    <row r="3945" spans="2:15">
      <c r="B3945" s="20">
        <v>45574</v>
      </c>
      <c r="C3945" s="59">
        <v>50400554</v>
      </c>
      <c r="D3945" s="55" t="s">
        <v>1311</v>
      </c>
      <c r="G3945" s="65">
        <v>37.44</v>
      </c>
      <c r="H3945" s="56" t="s">
        <v>80</v>
      </c>
      <c r="I3945" s="54">
        <v>8637858935</v>
      </c>
      <c r="K3945" s="56" t="s">
        <v>2882</v>
      </c>
      <c r="L3945" s="55" t="s">
        <v>2876</v>
      </c>
      <c r="M3945" s="55" t="s">
        <v>2824</v>
      </c>
      <c r="N3945" s="4" t="s">
        <v>2883</v>
      </c>
      <c r="O3945" s="55" t="s">
        <v>178</v>
      </c>
    </row>
    <row r="3946" spans="2:15">
      <c r="B3946" s="20">
        <v>45574</v>
      </c>
      <c r="C3946" s="59">
        <v>50400554</v>
      </c>
      <c r="D3946" s="55" t="s">
        <v>1311</v>
      </c>
      <c r="G3946" s="65">
        <v>37.44</v>
      </c>
      <c r="H3946" s="56" t="s">
        <v>80</v>
      </c>
      <c r="I3946" s="54">
        <v>8637859840</v>
      </c>
      <c r="K3946" s="56" t="s">
        <v>2884</v>
      </c>
      <c r="L3946" s="55" t="s">
        <v>2876</v>
      </c>
      <c r="M3946" s="55" t="s">
        <v>2824</v>
      </c>
      <c r="N3946" s="4" t="s">
        <v>2885</v>
      </c>
      <c r="O3946" s="55" t="s">
        <v>178</v>
      </c>
    </row>
    <row r="3947" spans="2:15">
      <c r="B3947" s="20">
        <v>45574</v>
      </c>
      <c r="C3947" s="59">
        <v>50400554</v>
      </c>
      <c r="D3947" s="55" t="s">
        <v>1311</v>
      </c>
      <c r="G3947" s="65">
        <v>37.44</v>
      </c>
      <c r="H3947" s="56" t="s">
        <v>80</v>
      </c>
      <c r="I3947" s="54">
        <v>8637859466</v>
      </c>
      <c r="K3947" s="56" t="s">
        <v>2886</v>
      </c>
      <c r="L3947" s="55" t="s">
        <v>2876</v>
      </c>
      <c r="M3947" s="55" t="s">
        <v>2824</v>
      </c>
      <c r="N3947" s="4" t="s">
        <v>2887</v>
      </c>
      <c r="O3947" s="55" t="s">
        <v>178</v>
      </c>
    </row>
    <row r="3948" spans="2:15">
      <c r="B3948" s="20">
        <v>45574</v>
      </c>
      <c r="C3948" s="59">
        <v>50400554</v>
      </c>
      <c r="D3948" s="55" t="s">
        <v>1311</v>
      </c>
      <c r="G3948" s="65">
        <v>103.04</v>
      </c>
      <c r="H3948" s="56" t="s">
        <v>80</v>
      </c>
      <c r="K3948" s="56">
        <v>2017</v>
      </c>
      <c r="L3948" s="55" t="s">
        <v>176</v>
      </c>
      <c r="M3948" s="55" t="s">
        <v>2824</v>
      </c>
      <c r="N3948" s="4" t="s">
        <v>177</v>
      </c>
      <c r="O3948" s="55" t="s">
        <v>178</v>
      </c>
    </row>
    <row r="3949" spans="2:15">
      <c r="B3949" s="20">
        <v>45574</v>
      </c>
      <c r="C3949" s="59">
        <v>50400554</v>
      </c>
      <c r="D3949" s="55" t="s">
        <v>1311</v>
      </c>
      <c r="G3949" s="65">
        <v>103.04</v>
      </c>
      <c r="H3949" s="56" t="s">
        <v>80</v>
      </c>
      <c r="K3949" s="56">
        <v>2018</v>
      </c>
      <c r="L3949" s="55" t="s">
        <v>176</v>
      </c>
      <c r="M3949" s="55" t="s">
        <v>2824</v>
      </c>
      <c r="N3949" s="4" t="s">
        <v>177</v>
      </c>
      <c r="O3949" s="55" t="s">
        <v>178</v>
      </c>
    </row>
    <row r="3950" spans="2:15">
      <c r="B3950" s="20">
        <v>45575</v>
      </c>
      <c r="C3950" s="59">
        <v>50142237</v>
      </c>
      <c r="D3950" s="55" t="s">
        <v>617</v>
      </c>
      <c r="G3950" s="65">
        <v>10000</v>
      </c>
      <c r="H3950" s="56" t="s">
        <v>92</v>
      </c>
      <c r="K3950" s="56">
        <v>2019</v>
      </c>
      <c r="L3950" s="55" t="s">
        <v>392</v>
      </c>
      <c r="M3950" s="55" t="s">
        <v>392</v>
      </c>
      <c r="N3950" s="4" t="s">
        <v>2851</v>
      </c>
      <c r="O3950" s="55" t="s">
        <v>178</v>
      </c>
    </row>
    <row r="3951" spans="2:15">
      <c r="B3951" s="20">
        <v>45575</v>
      </c>
      <c r="C3951" s="59">
        <v>50809146</v>
      </c>
      <c r="D3951" s="55" t="s">
        <v>1030</v>
      </c>
      <c r="G3951" s="65">
        <v>2524</v>
      </c>
      <c r="H3951" s="56" t="s">
        <v>92</v>
      </c>
      <c r="K3951" s="56">
        <v>2020</v>
      </c>
      <c r="L3951" s="55" t="s">
        <v>176</v>
      </c>
      <c r="M3951" s="55" t="s">
        <v>2824</v>
      </c>
      <c r="N3951" s="4" t="s">
        <v>177</v>
      </c>
      <c r="O3951" s="55" t="s">
        <v>178</v>
      </c>
    </row>
    <row r="3952" spans="2:15">
      <c r="B3952" s="20">
        <v>45575</v>
      </c>
      <c r="C3952" s="59">
        <v>50272278</v>
      </c>
      <c r="D3952" s="55" t="s">
        <v>21</v>
      </c>
      <c r="G3952" s="65">
        <v>8500</v>
      </c>
      <c r="H3952" s="56" t="s">
        <v>92</v>
      </c>
      <c r="K3952" s="56">
        <v>2020</v>
      </c>
      <c r="L3952" s="55" t="s">
        <v>176</v>
      </c>
      <c r="M3952" s="55" t="s">
        <v>2824</v>
      </c>
      <c r="N3952" s="4" t="s">
        <v>177</v>
      </c>
      <c r="O3952" s="55" t="s">
        <v>178</v>
      </c>
    </row>
    <row r="3953" spans="2:15">
      <c r="B3953" s="20">
        <v>45575</v>
      </c>
      <c r="C3953" s="59">
        <v>40499</v>
      </c>
      <c r="D3953" s="55" t="s">
        <v>1094</v>
      </c>
      <c r="G3953" s="65">
        <v>34</v>
      </c>
      <c r="H3953" s="56" t="s">
        <v>92</v>
      </c>
      <c r="K3953" s="56">
        <v>2020</v>
      </c>
      <c r="L3953" s="55" t="s">
        <v>176</v>
      </c>
      <c r="M3953" s="55" t="s">
        <v>2824</v>
      </c>
      <c r="N3953" s="4" t="s">
        <v>177</v>
      </c>
      <c r="O3953" s="55" t="s">
        <v>178</v>
      </c>
    </row>
    <row r="3954" spans="2:15">
      <c r="B3954" s="20">
        <v>45575</v>
      </c>
      <c r="C3954" s="59">
        <v>50272278</v>
      </c>
      <c r="D3954" s="55" t="s">
        <v>21</v>
      </c>
      <c r="G3954" s="65">
        <v>5500</v>
      </c>
      <c r="H3954" s="56" t="s">
        <v>92</v>
      </c>
      <c r="K3954" s="56">
        <v>2021</v>
      </c>
      <c r="L3954" s="55" t="s">
        <v>176</v>
      </c>
      <c r="M3954" s="55" t="s">
        <v>2824</v>
      </c>
      <c r="N3954" s="4" t="s">
        <v>177</v>
      </c>
      <c r="O3954" s="55" t="s">
        <v>178</v>
      </c>
    </row>
    <row r="3955" spans="2:15">
      <c r="B3955" s="20">
        <v>45575</v>
      </c>
      <c r="C3955" s="59">
        <v>50142373</v>
      </c>
      <c r="D3955" s="55" t="s">
        <v>1130</v>
      </c>
      <c r="G3955" s="65">
        <v>325</v>
      </c>
      <c r="H3955" s="56" t="s">
        <v>82</v>
      </c>
      <c r="K3955" s="56">
        <v>2021</v>
      </c>
      <c r="L3955" s="55" t="s">
        <v>176</v>
      </c>
      <c r="M3955" s="55" t="s">
        <v>2824</v>
      </c>
      <c r="N3955" s="4" t="s">
        <v>177</v>
      </c>
      <c r="O3955" s="55" t="s">
        <v>178</v>
      </c>
    </row>
    <row r="3956" spans="2:15">
      <c r="B3956" s="20">
        <v>45575</v>
      </c>
      <c r="C3956" s="59">
        <v>50837509</v>
      </c>
      <c r="D3956" s="55" t="s">
        <v>14</v>
      </c>
      <c r="G3956" s="65">
        <v>2318400</v>
      </c>
      <c r="H3956" s="56" t="s">
        <v>92</v>
      </c>
      <c r="K3956" s="56">
        <v>2021</v>
      </c>
      <c r="L3956" s="55" t="s">
        <v>176</v>
      </c>
      <c r="M3956" s="55" t="s">
        <v>2824</v>
      </c>
      <c r="N3956" s="4" t="s">
        <v>177</v>
      </c>
      <c r="O3956" s="55" t="s">
        <v>178</v>
      </c>
    </row>
    <row r="3957" spans="2:15">
      <c r="B3957" s="20">
        <v>45575</v>
      </c>
      <c r="C3957" s="59">
        <v>40499</v>
      </c>
      <c r="D3957" s="55" t="s">
        <v>1094</v>
      </c>
      <c r="G3957" s="65">
        <v>22</v>
      </c>
      <c r="H3957" s="56" t="s">
        <v>92</v>
      </c>
      <c r="K3957" s="56">
        <v>2022</v>
      </c>
      <c r="L3957" s="55" t="s">
        <v>176</v>
      </c>
      <c r="M3957" s="55" t="s">
        <v>2824</v>
      </c>
      <c r="N3957" s="4" t="s">
        <v>177</v>
      </c>
      <c r="O3957" s="55" t="s">
        <v>178</v>
      </c>
    </row>
    <row r="3958" spans="2:15">
      <c r="B3958" s="20">
        <v>45575</v>
      </c>
      <c r="C3958" s="59">
        <v>50400554</v>
      </c>
      <c r="D3958" s="55" t="s">
        <v>1311</v>
      </c>
      <c r="G3958" s="65">
        <v>37.44</v>
      </c>
      <c r="H3958" s="56" t="s">
        <v>80</v>
      </c>
      <c r="I3958" s="54">
        <v>8637859469</v>
      </c>
      <c r="K3958" s="56" t="s">
        <v>2888</v>
      </c>
      <c r="L3958" s="55" t="s">
        <v>2876</v>
      </c>
      <c r="M3958" s="55" t="s">
        <v>2824</v>
      </c>
      <c r="O3958" s="55" t="s">
        <v>178</v>
      </c>
    </row>
    <row r="3959" spans="2:15">
      <c r="B3959" s="20">
        <v>45575</v>
      </c>
      <c r="C3959" s="59">
        <v>50400554</v>
      </c>
      <c r="D3959" s="55" t="s">
        <v>1311</v>
      </c>
      <c r="G3959" s="65">
        <v>37.44</v>
      </c>
      <c r="H3959" s="56" t="s">
        <v>80</v>
      </c>
      <c r="I3959" s="54">
        <v>8637859470</v>
      </c>
      <c r="K3959" s="56" t="s">
        <v>2889</v>
      </c>
      <c r="L3959" s="55" t="s">
        <v>2876</v>
      </c>
      <c r="M3959" s="55" t="s">
        <v>2824</v>
      </c>
      <c r="O3959" s="55" t="s">
        <v>178</v>
      </c>
    </row>
    <row r="3960" spans="2:15">
      <c r="B3960" s="20">
        <v>45575</v>
      </c>
      <c r="C3960" s="59">
        <v>50400554</v>
      </c>
      <c r="D3960" s="55" t="s">
        <v>1311</v>
      </c>
      <c r="G3960" s="65">
        <v>37.44</v>
      </c>
      <c r="H3960" s="56" t="s">
        <v>80</v>
      </c>
      <c r="I3960" s="54">
        <v>8637860790</v>
      </c>
      <c r="K3960" s="56" t="s">
        <v>2890</v>
      </c>
      <c r="L3960" s="55" t="s">
        <v>2876</v>
      </c>
      <c r="M3960" s="55" t="s">
        <v>2824</v>
      </c>
      <c r="O3960" s="55" t="s">
        <v>178</v>
      </c>
    </row>
    <row r="3961" spans="2:15">
      <c r="B3961" s="20">
        <v>45575</v>
      </c>
      <c r="C3961" s="59">
        <v>50400554</v>
      </c>
      <c r="D3961" s="55" t="s">
        <v>1311</v>
      </c>
      <c r="G3961" s="65">
        <v>37.44</v>
      </c>
      <c r="H3961" s="56" t="s">
        <v>80</v>
      </c>
      <c r="I3961" s="54">
        <v>8637860791</v>
      </c>
      <c r="K3961" s="56" t="s">
        <v>2891</v>
      </c>
      <c r="L3961" s="55" t="s">
        <v>2876</v>
      </c>
      <c r="M3961" s="55" t="s">
        <v>2824</v>
      </c>
      <c r="O3961" s="55" t="s">
        <v>178</v>
      </c>
    </row>
    <row r="3962" spans="2:15">
      <c r="B3962" s="20">
        <v>45576</v>
      </c>
      <c r="C3962" s="59">
        <v>50272278</v>
      </c>
      <c r="D3962" s="55" t="s">
        <v>21</v>
      </c>
      <c r="G3962" s="65">
        <v>1500</v>
      </c>
      <c r="H3962" s="56" t="s">
        <v>92</v>
      </c>
      <c r="K3962" s="56">
        <v>2023</v>
      </c>
      <c r="L3962" s="55" t="s">
        <v>176</v>
      </c>
      <c r="M3962" s="55" t="s">
        <v>2824</v>
      </c>
      <c r="N3962" s="4" t="s">
        <v>177</v>
      </c>
      <c r="O3962" s="55" t="s">
        <v>178</v>
      </c>
    </row>
    <row r="3963" spans="2:15">
      <c r="B3963" s="20">
        <v>45576</v>
      </c>
      <c r="C3963" s="59">
        <v>50470190</v>
      </c>
      <c r="D3963" s="55" t="s">
        <v>12</v>
      </c>
      <c r="G3963" s="65">
        <v>1159200</v>
      </c>
      <c r="H3963" s="56" t="s">
        <v>92</v>
      </c>
      <c r="K3963" s="56">
        <v>2023</v>
      </c>
      <c r="L3963" s="55" t="s">
        <v>176</v>
      </c>
      <c r="M3963" s="55" t="s">
        <v>2824</v>
      </c>
      <c r="N3963" s="4" t="s">
        <v>177</v>
      </c>
      <c r="O3963" s="55" t="s">
        <v>178</v>
      </c>
    </row>
    <row r="3964" spans="2:15">
      <c r="B3964" s="20">
        <v>45576</v>
      </c>
      <c r="C3964" s="59">
        <v>50802401</v>
      </c>
      <c r="D3964" s="55" t="s">
        <v>13</v>
      </c>
      <c r="G3964" s="65">
        <v>2318400</v>
      </c>
      <c r="H3964" s="56" t="s">
        <v>92</v>
      </c>
      <c r="K3964" s="56">
        <v>2023</v>
      </c>
      <c r="L3964" s="55" t="s">
        <v>176</v>
      </c>
      <c r="M3964" s="55" t="s">
        <v>2824</v>
      </c>
      <c r="N3964" s="4" t="s">
        <v>177</v>
      </c>
      <c r="O3964" s="55" t="s">
        <v>178</v>
      </c>
    </row>
    <row r="3965" spans="2:15">
      <c r="B3965" s="20">
        <v>45576</v>
      </c>
      <c r="C3965" s="59">
        <v>50142327</v>
      </c>
      <c r="D3965" s="55" t="s">
        <v>256</v>
      </c>
      <c r="G3965" s="65">
        <v>953.4</v>
      </c>
      <c r="H3965" s="56" t="s">
        <v>82</v>
      </c>
      <c r="K3965" s="56">
        <v>2023</v>
      </c>
      <c r="L3965" s="55" t="s">
        <v>176</v>
      </c>
      <c r="M3965" s="55" t="s">
        <v>2824</v>
      </c>
      <c r="N3965" s="4" t="s">
        <v>177</v>
      </c>
      <c r="O3965" s="55" t="s">
        <v>178</v>
      </c>
    </row>
    <row r="3966" spans="2:15">
      <c r="B3966" s="20">
        <v>45576</v>
      </c>
      <c r="C3966" s="59">
        <v>50142334</v>
      </c>
      <c r="D3966" s="55" t="s">
        <v>257</v>
      </c>
      <c r="G3966" s="65">
        <v>1430.1</v>
      </c>
      <c r="H3966" s="56" t="s">
        <v>82</v>
      </c>
      <c r="K3966" s="56">
        <v>2023</v>
      </c>
      <c r="L3966" s="55" t="s">
        <v>176</v>
      </c>
      <c r="M3966" s="55" t="s">
        <v>2824</v>
      </c>
      <c r="N3966" s="4" t="s">
        <v>177</v>
      </c>
      <c r="O3966" s="55" t="s">
        <v>178</v>
      </c>
    </row>
    <row r="3967" spans="2:15">
      <c r="B3967" s="20">
        <v>45576</v>
      </c>
      <c r="C3967" s="59">
        <v>40499</v>
      </c>
      <c r="D3967" s="55" t="s">
        <v>1094</v>
      </c>
      <c r="G3967" s="65">
        <v>11</v>
      </c>
      <c r="H3967" s="56" t="s">
        <v>92</v>
      </c>
      <c r="K3967" s="56">
        <v>2023</v>
      </c>
      <c r="L3967" s="55" t="s">
        <v>176</v>
      </c>
      <c r="M3967" s="55" t="s">
        <v>2824</v>
      </c>
      <c r="N3967" s="4" t="s">
        <v>177</v>
      </c>
      <c r="O3967" s="55" t="s">
        <v>178</v>
      </c>
    </row>
    <row r="3968" spans="2:15">
      <c r="B3968" s="20">
        <v>45576</v>
      </c>
      <c r="C3968" s="59">
        <v>40009544</v>
      </c>
      <c r="D3968" s="55" t="s">
        <v>179</v>
      </c>
      <c r="G3968" s="65">
        <v>6720</v>
      </c>
      <c r="H3968" s="56" t="s">
        <v>80</v>
      </c>
      <c r="K3968" s="56">
        <v>2024</v>
      </c>
      <c r="L3968" s="55" t="s">
        <v>176</v>
      </c>
      <c r="M3968" s="55" t="s">
        <v>2824</v>
      </c>
      <c r="N3968" s="4" t="s">
        <v>177</v>
      </c>
      <c r="O3968" s="55" t="s">
        <v>178</v>
      </c>
    </row>
    <row r="3969" spans="2:15">
      <c r="B3969" s="20">
        <v>45576</v>
      </c>
      <c r="C3969" s="59">
        <v>40010087</v>
      </c>
      <c r="D3969" s="55" t="s">
        <v>387</v>
      </c>
      <c r="G3969" s="65">
        <v>915</v>
      </c>
      <c r="H3969" s="56" t="s">
        <v>80</v>
      </c>
      <c r="K3969" s="56">
        <v>2024</v>
      </c>
      <c r="L3969" s="55" t="s">
        <v>176</v>
      </c>
      <c r="M3969" s="55" t="s">
        <v>2824</v>
      </c>
      <c r="N3969" s="4" t="s">
        <v>177</v>
      </c>
      <c r="O3969" s="55" t="s">
        <v>178</v>
      </c>
    </row>
    <row r="3970" spans="2:15">
      <c r="B3970" s="20">
        <v>45576</v>
      </c>
      <c r="C3970" s="59">
        <v>50272278</v>
      </c>
      <c r="D3970" s="55" t="s">
        <v>21</v>
      </c>
      <c r="G3970" s="65">
        <v>5100</v>
      </c>
      <c r="H3970" s="56" t="s">
        <v>92</v>
      </c>
      <c r="K3970" s="56">
        <v>2024</v>
      </c>
      <c r="L3970" s="55" t="s">
        <v>176</v>
      </c>
      <c r="M3970" s="55" t="s">
        <v>2824</v>
      </c>
      <c r="N3970" s="4" t="s">
        <v>177</v>
      </c>
      <c r="O3970" s="55" t="s">
        <v>178</v>
      </c>
    </row>
    <row r="3971" spans="2:15">
      <c r="B3971" s="20">
        <v>45576</v>
      </c>
      <c r="C3971" s="59">
        <v>50142237</v>
      </c>
      <c r="D3971" s="55" t="s">
        <v>617</v>
      </c>
      <c r="G3971" s="65">
        <v>9000</v>
      </c>
      <c r="H3971" s="56" t="s">
        <v>92</v>
      </c>
      <c r="K3971" s="56">
        <v>2024</v>
      </c>
      <c r="L3971" s="55" t="s">
        <v>176</v>
      </c>
      <c r="M3971" s="55" t="s">
        <v>2824</v>
      </c>
      <c r="N3971" s="4" t="s">
        <v>177</v>
      </c>
      <c r="O3971" s="55" t="s">
        <v>178</v>
      </c>
    </row>
    <row r="3972" spans="2:15">
      <c r="B3972" s="20">
        <v>45576</v>
      </c>
      <c r="C3972" s="59">
        <v>50145029</v>
      </c>
      <c r="D3972" s="55" t="s">
        <v>705</v>
      </c>
      <c r="G3972" s="65">
        <v>12</v>
      </c>
      <c r="H3972" s="56" t="s">
        <v>505</v>
      </c>
      <c r="K3972" s="56">
        <v>2024</v>
      </c>
      <c r="L3972" s="55" t="s">
        <v>176</v>
      </c>
      <c r="M3972" s="55" t="s">
        <v>2824</v>
      </c>
      <c r="N3972" s="4" t="s">
        <v>177</v>
      </c>
      <c r="O3972" s="55" t="s">
        <v>178</v>
      </c>
    </row>
    <row r="3973" spans="2:15">
      <c r="B3973" s="20">
        <v>45576</v>
      </c>
      <c r="C3973" s="59">
        <v>50144200</v>
      </c>
      <c r="D3973" s="55" t="s">
        <v>184</v>
      </c>
      <c r="G3973" s="65">
        <v>1848000</v>
      </c>
      <c r="H3973" s="56" t="s">
        <v>92</v>
      </c>
      <c r="K3973" s="56">
        <v>2024</v>
      </c>
      <c r="L3973" s="55" t="s">
        <v>176</v>
      </c>
      <c r="M3973" s="55" t="s">
        <v>2824</v>
      </c>
      <c r="N3973" s="4" t="s">
        <v>177</v>
      </c>
      <c r="O3973" s="55" t="s">
        <v>178</v>
      </c>
    </row>
    <row r="3974" spans="2:15">
      <c r="B3974" s="20">
        <v>45576</v>
      </c>
      <c r="C3974" s="59">
        <v>40499</v>
      </c>
      <c r="D3974" s="55" t="s">
        <v>1094</v>
      </c>
      <c r="G3974" s="65">
        <v>20</v>
      </c>
      <c r="H3974" s="56" t="s">
        <v>92</v>
      </c>
      <c r="K3974" s="56">
        <v>2024</v>
      </c>
      <c r="L3974" s="55" t="s">
        <v>176</v>
      </c>
      <c r="M3974" s="55" t="s">
        <v>2824</v>
      </c>
      <c r="N3974" s="4" t="s">
        <v>177</v>
      </c>
      <c r="O3974" s="55" t="s">
        <v>178</v>
      </c>
    </row>
    <row r="3975" spans="2:15">
      <c r="B3975" s="20">
        <v>45576</v>
      </c>
      <c r="C3975" s="59">
        <v>50400554</v>
      </c>
      <c r="D3975" s="55" t="s">
        <v>1311</v>
      </c>
      <c r="G3975" s="65">
        <v>37.44</v>
      </c>
      <c r="H3975" s="56" t="s">
        <v>80</v>
      </c>
      <c r="I3975" s="54">
        <v>8637860792</v>
      </c>
      <c r="K3975" s="56" t="s">
        <v>2892</v>
      </c>
      <c r="L3975" s="55" t="s">
        <v>2876</v>
      </c>
      <c r="M3975" s="55" t="s">
        <v>2824</v>
      </c>
      <c r="O3975" s="55" t="s">
        <v>178</v>
      </c>
    </row>
    <row r="3976" spans="2:15">
      <c r="B3976" s="20">
        <v>45576</v>
      </c>
      <c r="C3976" s="59">
        <v>50400554</v>
      </c>
      <c r="D3976" s="55" t="s">
        <v>1311</v>
      </c>
      <c r="G3976" s="65">
        <v>37.44</v>
      </c>
      <c r="H3976" s="56" t="s">
        <v>80</v>
      </c>
      <c r="I3976" s="54">
        <v>8637861156</v>
      </c>
      <c r="K3976" s="56" t="s">
        <v>2893</v>
      </c>
      <c r="L3976" s="55" t="s">
        <v>2876</v>
      </c>
      <c r="M3976" s="55" t="s">
        <v>2824</v>
      </c>
      <c r="O3976" s="55" t="s">
        <v>178</v>
      </c>
    </row>
    <row r="3977" spans="2:15">
      <c r="B3977" s="20">
        <v>45576</v>
      </c>
      <c r="C3977" s="59">
        <v>50400554</v>
      </c>
      <c r="D3977" s="55" t="s">
        <v>1311</v>
      </c>
      <c r="G3977" s="65">
        <v>37.44</v>
      </c>
      <c r="H3977" s="56" t="s">
        <v>80</v>
      </c>
      <c r="I3977" s="54">
        <v>8637861157</v>
      </c>
      <c r="K3977" s="56" t="s">
        <v>2894</v>
      </c>
      <c r="L3977" s="55" t="s">
        <v>2876</v>
      </c>
      <c r="M3977" s="55" t="s">
        <v>2824</v>
      </c>
      <c r="O3977" s="55" t="s">
        <v>178</v>
      </c>
    </row>
    <row r="3978" spans="2:15">
      <c r="B3978" s="20">
        <v>45576</v>
      </c>
      <c r="C3978" s="59">
        <v>50400554</v>
      </c>
      <c r="D3978" s="55" t="s">
        <v>1311</v>
      </c>
      <c r="G3978" s="65">
        <v>37.44</v>
      </c>
      <c r="H3978" s="56" t="s">
        <v>80</v>
      </c>
      <c r="I3978" s="54">
        <v>8637861160</v>
      </c>
      <c r="K3978" s="56" t="s">
        <v>2895</v>
      </c>
      <c r="L3978" s="55" t="s">
        <v>2876</v>
      </c>
      <c r="M3978" s="55" t="s">
        <v>2824</v>
      </c>
      <c r="O3978" s="55" t="s">
        <v>178</v>
      </c>
    </row>
    <row r="3979" spans="2:15">
      <c r="B3979" s="20">
        <v>45576</v>
      </c>
      <c r="C3979" s="59">
        <v>50400554</v>
      </c>
      <c r="D3979" s="55" t="s">
        <v>1311</v>
      </c>
      <c r="G3979" s="65">
        <v>37.44</v>
      </c>
      <c r="H3979" s="56" t="s">
        <v>80</v>
      </c>
      <c r="I3979" s="54">
        <v>8637861294</v>
      </c>
      <c r="K3979" s="56" t="s">
        <v>2896</v>
      </c>
      <c r="L3979" s="55" t="s">
        <v>2876</v>
      </c>
      <c r="M3979" s="55" t="s">
        <v>2824</v>
      </c>
      <c r="O3979" s="55" t="s">
        <v>178</v>
      </c>
    </row>
    <row r="3980" spans="2:15">
      <c r="B3980" s="20">
        <v>45576</v>
      </c>
      <c r="C3980" s="59">
        <v>50400554</v>
      </c>
      <c r="D3980" s="55" t="s">
        <v>1311</v>
      </c>
      <c r="G3980" s="65">
        <v>37.44</v>
      </c>
      <c r="H3980" s="56" t="s">
        <v>80</v>
      </c>
      <c r="I3980" s="54">
        <v>8637861295</v>
      </c>
      <c r="K3980" s="56" t="s">
        <v>2897</v>
      </c>
      <c r="L3980" s="55" t="s">
        <v>2876</v>
      </c>
      <c r="M3980" s="55" t="s">
        <v>2824</v>
      </c>
      <c r="O3980" s="55" t="s">
        <v>178</v>
      </c>
    </row>
    <row r="3981" spans="2:15">
      <c r="B3981" s="20">
        <v>45579</v>
      </c>
      <c r="C3981" s="59">
        <v>50142631</v>
      </c>
      <c r="D3981" s="55" t="s">
        <v>566</v>
      </c>
      <c r="G3981" s="65">
        <v>1650</v>
      </c>
      <c r="H3981" s="56" t="s">
        <v>82</v>
      </c>
      <c r="K3981" s="56">
        <v>2025</v>
      </c>
      <c r="L3981" s="55" t="s">
        <v>176</v>
      </c>
      <c r="M3981" s="55" t="s">
        <v>2824</v>
      </c>
      <c r="N3981" s="4" t="s">
        <v>177</v>
      </c>
      <c r="O3981" s="55" t="s">
        <v>178</v>
      </c>
    </row>
    <row r="3982" spans="2:15">
      <c r="B3982" s="20">
        <v>45579</v>
      </c>
      <c r="C3982" s="59">
        <v>40009546</v>
      </c>
      <c r="D3982" s="55" t="s">
        <v>174</v>
      </c>
      <c r="G3982" s="65">
        <v>1728</v>
      </c>
      <c r="H3982" s="56" t="s">
        <v>80</v>
      </c>
      <c r="K3982" s="56">
        <v>2025</v>
      </c>
      <c r="L3982" s="55" t="s">
        <v>176</v>
      </c>
      <c r="M3982" s="55" t="s">
        <v>2824</v>
      </c>
      <c r="N3982" s="4" t="s">
        <v>177</v>
      </c>
      <c r="O3982" s="55" t="s">
        <v>178</v>
      </c>
    </row>
    <row r="3983" spans="2:15">
      <c r="B3983" s="20">
        <v>45579</v>
      </c>
      <c r="C3983" s="59">
        <v>40010087</v>
      </c>
      <c r="D3983" s="55" t="s">
        <v>387</v>
      </c>
      <c r="G3983" s="65">
        <v>1884</v>
      </c>
      <c r="H3983" s="56" t="s">
        <v>80</v>
      </c>
      <c r="K3983" s="56">
        <v>2025</v>
      </c>
      <c r="L3983" s="55" t="s">
        <v>176</v>
      </c>
      <c r="M3983" s="55" t="s">
        <v>2824</v>
      </c>
      <c r="N3983" s="4" t="s">
        <v>177</v>
      </c>
      <c r="O3983" s="55" t="s">
        <v>178</v>
      </c>
    </row>
    <row r="3984" spans="2:15">
      <c r="B3984" s="20">
        <v>45579</v>
      </c>
      <c r="C3984" s="59">
        <v>40011133</v>
      </c>
      <c r="D3984" s="55" t="s">
        <v>634</v>
      </c>
      <c r="G3984" s="65">
        <v>1600</v>
      </c>
      <c r="H3984" s="56" t="s">
        <v>80</v>
      </c>
      <c r="K3984" s="56">
        <v>2025</v>
      </c>
      <c r="L3984" s="55" t="s">
        <v>176</v>
      </c>
      <c r="M3984" s="55" t="s">
        <v>2824</v>
      </c>
      <c r="N3984" s="4" t="s">
        <v>177</v>
      </c>
      <c r="O3984" s="55" t="s">
        <v>178</v>
      </c>
    </row>
    <row r="3985" spans="2:15">
      <c r="B3985" s="20">
        <v>45579</v>
      </c>
      <c r="C3985" s="59">
        <v>50824293</v>
      </c>
      <c r="D3985" s="55" t="s">
        <v>861</v>
      </c>
      <c r="G3985" s="65">
        <v>1728000</v>
      </c>
      <c r="H3985" s="56" t="s">
        <v>92</v>
      </c>
      <c r="K3985" s="56">
        <v>2025</v>
      </c>
      <c r="L3985" s="55" t="s">
        <v>176</v>
      </c>
      <c r="M3985" s="55" t="s">
        <v>2824</v>
      </c>
      <c r="N3985" s="4" t="s">
        <v>177</v>
      </c>
      <c r="O3985" s="55" t="s">
        <v>178</v>
      </c>
    </row>
    <row r="3986" spans="2:15">
      <c r="B3986" s="20">
        <v>45579</v>
      </c>
      <c r="C3986" s="59">
        <v>50144376</v>
      </c>
      <c r="D3986" s="55" t="s">
        <v>19</v>
      </c>
      <c r="G3986" s="65">
        <v>4500</v>
      </c>
      <c r="H3986" s="56" t="s">
        <v>92</v>
      </c>
      <c r="K3986" s="56">
        <v>2025</v>
      </c>
      <c r="L3986" s="55" t="s">
        <v>176</v>
      </c>
      <c r="M3986" s="55" t="s">
        <v>2824</v>
      </c>
      <c r="N3986" s="4" t="s">
        <v>177</v>
      </c>
      <c r="O3986" s="55" t="s">
        <v>178</v>
      </c>
    </row>
    <row r="3987" spans="2:15">
      <c r="B3987" s="20">
        <v>45579</v>
      </c>
      <c r="C3987" s="59">
        <v>50818947</v>
      </c>
      <c r="D3987" s="55" t="s">
        <v>1174</v>
      </c>
      <c r="G3987" s="65">
        <v>1000000</v>
      </c>
      <c r="H3987" s="56" t="s">
        <v>92</v>
      </c>
      <c r="K3987" s="56">
        <v>2025</v>
      </c>
      <c r="L3987" s="55" t="s">
        <v>176</v>
      </c>
      <c r="M3987" s="55" t="s">
        <v>2824</v>
      </c>
      <c r="N3987" s="4" t="s">
        <v>177</v>
      </c>
      <c r="O3987" s="55" t="s">
        <v>178</v>
      </c>
    </row>
    <row r="3988" spans="2:15">
      <c r="B3988" s="20">
        <v>45579</v>
      </c>
      <c r="C3988" s="59">
        <v>50818949</v>
      </c>
      <c r="D3988" s="55" t="s">
        <v>1381</v>
      </c>
      <c r="G3988" s="65">
        <v>500000</v>
      </c>
      <c r="H3988" s="56" t="s">
        <v>92</v>
      </c>
      <c r="K3988" s="56">
        <v>2025</v>
      </c>
      <c r="L3988" s="55" t="s">
        <v>176</v>
      </c>
      <c r="M3988" s="55" t="s">
        <v>2824</v>
      </c>
      <c r="N3988" s="4" t="s">
        <v>177</v>
      </c>
      <c r="O3988" s="55" t="s">
        <v>178</v>
      </c>
    </row>
    <row r="3989" spans="2:15">
      <c r="B3989" s="20">
        <v>45580</v>
      </c>
      <c r="C3989" s="59">
        <v>50809145</v>
      </c>
      <c r="D3989" s="55" t="s">
        <v>946</v>
      </c>
      <c r="G3989" s="65">
        <v>2115.15</v>
      </c>
      <c r="H3989" s="56" t="s">
        <v>82</v>
      </c>
      <c r="K3989" s="56">
        <v>2026</v>
      </c>
      <c r="L3989" s="55" t="s">
        <v>176</v>
      </c>
      <c r="M3989" s="55" t="s">
        <v>2824</v>
      </c>
      <c r="N3989" s="4" t="s">
        <v>177</v>
      </c>
      <c r="O3989" s="55" t="s">
        <v>178</v>
      </c>
    </row>
    <row r="3990" spans="2:15">
      <c r="B3990" s="20">
        <v>45580</v>
      </c>
      <c r="C3990" s="59">
        <v>50144376</v>
      </c>
      <c r="D3990" s="55" t="s">
        <v>19</v>
      </c>
      <c r="G3990" s="65">
        <v>3500</v>
      </c>
      <c r="H3990" s="56" t="s">
        <v>92</v>
      </c>
      <c r="K3990" s="56">
        <v>2026</v>
      </c>
      <c r="L3990" s="55" t="s">
        <v>176</v>
      </c>
      <c r="M3990" s="55" t="s">
        <v>2824</v>
      </c>
      <c r="N3990" s="4" t="s">
        <v>177</v>
      </c>
      <c r="O3990" s="55" t="s">
        <v>178</v>
      </c>
    </row>
    <row r="3991" spans="2:15">
      <c r="B3991" s="20">
        <v>45580</v>
      </c>
      <c r="C3991" s="59">
        <v>40499</v>
      </c>
      <c r="D3991" s="55" t="s">
        <v>1094</v>
      </c>
      <c r="G3991" s="65">
        <v>14</v>
      </c>
      <c r="H3991" s="56" t="s">
        <v>92</v>
      </c>
      <c r="K3991" s="56">
        <v>2026</v>
      </c>
      <c r="L3991" s="55" t="s">
        <v>176</v>
      </c>
      <c r="M3991" s="55" t="s">
        <v>2824</v>
      </c>
      <c r="N3991" s="4" t="s">
        <v>177</v>
      </c>
      <c r="O3991" s="55" t="s">
        <v>178</v>
      </c>
    </row>
    <row r="3992" spans="2:15">
      <c r="B3992" s="20">
        <v>45580</v>
      </c>
      <c r="C3992" s="59">
        <v>50470190</v>
      </c>
      <c r="D3992" s="55" t="s">
        <v>12</v>
      </c>
      <c r="G3992" s="65">
        <v>2608200</v>
      </c>
      <c r="H3992" s="56" t="s">
        <v>92</v>
      </c>
      <c r="K3992" s="56">
        <v>2026</v>
      </c>
      <c r="L3992" s="55" t="s">
        <v>176</v>
      </c>
      <c r="M3992" s="55" t="s">
        <v>2824</v>
      </c>
      <c r="N3992" s="4" t="s">
        <v>177</v>
      </c>
      <c r="O3992" s="55" t="s">
        <v>178</v>
      </c>
    </row>
    <row r="3993" spans="2:15">
      <c r="B3993" s="20">
        <v>45580</v>
      </c>
      <c r="C3993" s="59">
        <v>50010080</v>
      </c>
      <c r="D3993" s="55" t="s">
        <v>1657</v>
      </c>
      <c r="G3993" s="65">
        <v>2000</v>
      </c>
      <c r="H3993" s="56" t="s">
        <v>92</v>
      </c>
      <c r="I3993" s="54">
        <v>8636868580</v>
      </c>
      <c r="K3993" s="56">
        <v>2027</v>
      </c>
      <c r="L3993" s="55" t="s">
        <v>176</v>
      </c>
      <c r="M3993" s="55" t="s">
        <v>2824</v>
      </c>
      <c r="N3993" s="4" t="s">
        <v>177</v>
      </c>
      <c r="O3993" s="55" t="s">
        <v>178</v>
      </c>
    </row>
    <row r="3994" spans="2:15">
      <c r="B3994" s="20">
        <v>45580</v>
      </c>
      <c r="C3994" s="59">
        <v>50470190</v>
      </c>
      <c r="D3994" s="66" t="s">
        <v>12</v>
      </c>
      <c r="G3994" s="65">
        <v>4636800</v>
      </c>
      <c r="H3994" s="56" t="s">
        <v>92</v>
      </c>
      <c r="I3994" s="54">
        <v>8637849016</v>
      </c>
      <c r="K3994" s="56">
        <v>2027</v>
      </c>
      <c r="L3994" s="55" t="s">
        <v>176</v>
      </c>
      <c r="M3994" s="55" t="s">
        <v>2824</v>
      </c>
      <c r="N3994" s="4" t="s">
        <v>177</v>
      </c>
      <c r="O3994" s="55" t="s">
        <v>178</v>
      </c>
    </row>
    <row r="3995" spans="2:15">
      <c r="B3995" s="20">
        <v>45581</v>
      </c>
      <c r="C3995" s="59">
        <v>50837509</v>
      </c>
      <c r="D3995" s="55" t="s">
        <v>14</v>
      </c>
      <c r="G3995" s="65">
        <v>1738800</v>
      </c>
      <c r="H3995" s="56" t="s">
        <v>92</v>
      </c>
      <c r="I3995" s="54">
        <v>8637353063</v>
      </c>
      <c r="K3995" s="56">
        <v>2028</v>
      </c>
      <c r="L3995" s="55" t="s">
        <v>392</v>
      </c>
      <c r="M3995" s="55" t="s">
        <v>2824</v>
      </c>
      <c r="N3995" s="4" t="s">
        <v>1273</v>
      </c>
      <c r="O3995" s="55" t="s">
        <v>178</v>
      </c>
    </row>
    <row r="3996" spans="2:15">
      <c r="B3996" s="20">
        <v>45581</v>
      </c>
      <c r="C3996" s="59">
        <v>50470190</v>
      </c>
      <c r="D3996" s="66" t="s">
        <v>12</v>
      </c>
      <c r="G3996" s="65">
        <v>3767400</v>
      </c>
      <c r="H3996" s="56" t="s">
        <v>92</v>
      </c>
      <c r="I3996" s="54">
        <v>8637355554</v>
      </c>
      <c r="K3996" s="56">
        <v>2028</v>
      </c>
      <c r="L3996" s="55" t="s">
        <v>392</v>
      </c>
      <c r="M3996" s="55" t="s">
        <v>2824</v>
      </c>
      <c r="N3996" s="4" t="s">
        <v>1273</v>
      </c>
      <c r="O3996" s="55" t="s">
        <v>178</v>
      </c>
    </row>
    <row r="3997" spans="2:15">
      <c r="B3997" s="20">
        <v>45581</v>
      </c>
      <c r="C3997" s="59">
        <v>50400554</v>
      </c>
      <c r="D3997" s="55" t="s">
        <v>1311</v>
      </c>
      <c r="G3997" s="65">
        <v>3.84</v>
      </c>
      <c r="H3997" s="56" t="s">
        <v>80</v>
      </c>
      <c r="I3997" s="54">
        <v>8637355554</v>
      </c>
      <c r="K3997" s="56">
        <v>2028</v>
      </c>
      <c r="L3997" s="55" t="s">
        <v>392</v>
      </c>
      <c r="M3997" s="55" t="s">
        <v>2824</v>
      </c>
      <c r="N3997" s="4" t="s">
        <v>1273</v>
      </c>
      <c r="O3997" s="55" t="s">
        <v>178</v>
      </c>
    </row>
    <row r="3998" spans="2:15">
      <c r="B3998" s="20">
        <v>45581</v>
      </c>
      <c r="C3998" s="59">
        <v>50400554</v>
      </c>
      <c r="D3998" s="55" t="s">
        <v>1311</v>
      </c>
      <c r="G3998" s="65">
        <v>37.44</v>
      </c>
      <c r="H3998" s="56" t="s">
        <v>80</v>
      </c>
      <c r="I3998" s="54">
        <v>8637861296</v>
      </c>
      <c r="K3998" s="56" t="s">
        <v>2898</v>
      </c>
      <c r="L3998" s="55" t="s">
        <v>2876</v>
      </c>
      <c r="M3998" s="55" t="s">
        <v>2824</v>
      </c>
      <c r="O3998" s="55" t="s">
        <v>178</v>
      </c>
    </row>
    <row r="3999" spans="2:15">
      <c r="B3999" s="20">
        <v>45581</v>
      </c>
      <c r="C3999" s="59">
        <v>50400554</v>
      </c>
      <c r="D3999" s="55" t="s">
        <v>1311</v>
      </c>
      <c r="G3999" s="65">
        <v>37.44</v>
      </c>
      <c r="H3999" s="56" t="s">
        <v>80</v>
      </c>
      <c r="I3999" s="54">
        <v>8637861299</v>
      </c>
      <c r="K3999" s="56" t="s">
        <v>2899</v>
      </c>
      <c r="L3999" s="55" t="s">
        <v>2876</v>
      </c>
      <c r="M3999" s="55" t="s">
        <v>2824</v>
      </c>
      <c r="O3999" s="55" t="s">
        <v>178</v>
      </c>
    </row>
    <row r="4000" spans="2:15">
      <c r="B4000" s="20">
        <v>45581</v>
      </c>
      <c r="C4000" s="59">
        <v>50400554</v>
      </c>
      <c r="D4000" s="55" t="s">
        <v>1311</v>
      </c>
      <c r="G4000" s="65">
        <v>37.44</v>
      </c>
      <c r="H4000" s="56" t="s">
        <v>80</v>
      </c>
      <c r="I4000" s="54">
        <v>8637861300</v>
      </c>
      <c r="K4000" s="56" t="s">
        <v>2900</v>
      </c>
      <c r="L4000" s="55" t="s">
        <v>2876</v>
      </c>
      <c r="M4000" s="55" t="s">
        <v>2824</v>
      </c>
      <c r="O4000" s="55" t="s">
        <v>178</v>
      </c>
    </row>
    <row r="4001" spans="2:15">
      <c r="B4001" s="20">
        <v>45581</v>
      </c>
      <c r="C4001" s="59">
        <v>50400554</v>
      </c>
      <c r="D4001" s="55" t="s">
        <v>1311</v>
      </c>
      <c r="G4001" s="65">
        <v>37.44</v>
      </c>
      <c r="H4001" s="56" t="s">
        <v>80</v>
      </c>
      <c r="I4001" s="54">
        <v>8637861301</v>
      </c>
      <c r="K4001" s="56" t="s">
        <v>2901</v>
      </c>
      <c r="L4001" s="55" t="s">
        <v>2876</v>
      </c>
      <c r="M4001" s="55" t="s">
        <v>2824</v>
      </c>
      <c r="O4001" s="55" t="s">
        <v>178</v>
      </c>
    </row>
    <row r="4002" spans="2:15">
      <c r="B4002" s="20">
        <v>45581</v>
      </c>
      <c r="C4002" s="59">
        <v>50400554</v>
      </c>
      <c r="D4002" s="55" t="s">
        <v>1311</v>
      </c>
      <c r="G4002" s="65">
        <v>37.44</v>
      </c>
      <c r="H4002" s="56" t="s">
        <v>80</v>
      </c>
      <c r="I4002" s="54">
        <v>8637861302</v>
      </c>
      <c r="K4002" s="56" t="s">
        <v>2902</v>
      </c>
      <c r="L4002" s="55" t="s">
        <v>2876</v>
      </c>
      <c r="M4002" s="55" t="s">
        <v>2824</v>
      </c>
      <c r="O4002" s="55" t="s">
        <v>178</v>
      </c>
    </row>
    <row r="4003" spans="2:15">
      <c r="B4003" s="20">
        <v>45581</v>
      </c>
      <c r="C4003" s="59">
        <v>50400554</v>
      </c>
      <c r="D4003" s="55" t="s">
        <v>1311</v>
      </c>
      <c r="G4003" s="65">
        <v>37.44</v>
      </c>
      <c r="H4003" s="56" t="s">
        <v>80</v>
      </c>
      <c r="I4003" s="54">
        <v>8637861436</v>
      </c>
      <c r="K4003" s="56" t="s">
        <v>2903</v>
      </c>
      <c r="L4003" s="55" t="s">
        <v>2876</v>
      </c>
      <c r="M4003" s="55" t="s">
        <v>2824</v>
      </c>
      <c r="O4003" s="55" t="s">
        <v>178</v>
      </c>
    </row>
    <row r="4004" spans="2:15">
      <c r="B4004" s="20">
        <v>45581</v>
      </c>
      <c r="C4004" s="59">
        <v>50400554</v>
      </c>
      <c r="D4004" s="55" t="s">
        <v>1311</v>
      </c>
      <c r="G4004" s="65">
        <v>37.44</v>
      </c>
      <c r="H4004" s="56" t="s">
        <v>80</v>
      </c>
      <c r="I4004" s="54">
        <v>8640054247</v>
      </c>
      <c r="K4004" s="56" t="s">
        <v>2904</v>
      </c>
      <c r="L4004" s="55" t="s">
        <v>2876</v>
      </c>
      <c r="M4004" s="55" t="s">
        <v>2824</v>
      </c>
      <c r="O4004" s="55" t="s">
        <v>178</v>
      </c>
    </row>
    <row r="4005" spans="2:15">
      <c r="B4005" s="20">
        <v>45581</v>
      </c>
      <c r="C4005" s="59">
        <v>50400554</v>
      </c>
      <c r="D4005" s="55" t="s">
        <v>1311</v>
      </c>
      <c r="G4005" s="65">
        <v>37.44</v>
      </c>
      <c r="H4005" s="56" t="s">
        <v>80</v>
      </c>
      <c r="I4005" s="54">
        <v>8640525864</v>
      </c>
      <c r="K4005" s="56" t="s">
        <v>2905</v>
      </c>
      <c r="L4005" s="55" t="s">
        <v>2876</v>
      </c>
      <c r="M4005" s="55" t="s">
        <v>2824</v>
      </c>
      <c r="O4005" s="55" t="s">
        <v>178</v>
      </c>
    </row>
    <row r="4006" spans="2:15">
      <c r="B4006" s="20">
        <v>45582</v>
      </c>
      <c r="C4006" s="59">
        <v>50144376</v>
      </c>
      <c r="D4006" s="55" t="s">
        <v>19</v>
      </c>
      <c r="G4006" s="65">
        <v>6000</v>
      </c>
      <c r="H4006" s="56" t="s">
        <v>92</v>
      </c>
      <c r="I4006" s="54">
        <v>8637842687</v>
      </c>
      <c r="K4006" s="56">
        <v>2029</v>
      </c>
      <c r="L4006" s="55" t="s">
        <v>176</v>
      </c>
      <c r="M4006" s="55" t="s">
        <v>2824</v>
      </c>
      <c r="N4006" s="4" t="s">
        <v>177</v>
      </c>
      <c r="O4006" s="55" t="s">
        <v>178</v>
      </c>
    </row>
    <row r="4007" spans="2:15">
      <c r="B4007" s="20">
        <v>45582</v>
      </c>
      <c r="C4007" s="59">
        <v>50818948</v>
      </c>
      <c r="D4007" s="55" t="s">
        <v>1173</v>
      </c>
      <c r="G4007" s="65">
        <v>900000</v>
      </c>
      <c r="H4007" s="56" t="s">
        <v>92</v>
      </c>
      <c r="I4007" s="54">
        <v>8637842687</v>
      </c>
      <c r="K4007" s="56">
        <v>2029</v>
      </c>
      <c r="L4007" s="55" t="s">
        <v>176</v>
      </c>
      <c r="M4007" s="55" t="s">
        <v>2824</v>
      </c>
      <c r="N4007" s="4" t="s">
        <v>177</v>
      </c>
      <c r="O4007" s="55" t="s">
        <v>178</v>
      </c>
    </row>
    <row r="4008" spans="2:15">
      <c r="B4008" s="20">
        <v>45582</v>
      </c>
      <c r="C4008" s="59">
        <v>50472692</v>
      </c>
      <c r="D4008" s="55" t="s">
        <v>1304</v>
      </c>
      <c r="G4008" s="65">
        <v>2184</v>
      </c>
      <c r="H4008" s="56" t="s">
        <v>80</v>
      </c>
      <c r="I4008" s="54">
        <v>8637842687</v>
      </c>
      <c r="K4008" s="56">
        <v>2029</v>
      </c>
      <c r="L4008" s="55" t="s">
        <v>176</v>
      </c>
      <c r="M4008" s="55" t="s">
        <v>2824</v>
      </c>
      <c r="N4008" s="4" t="s">
        <v>177</v>
      </c>
      <c r="O4008" s="55" t="s">
        <v>178</v>
      </c>
    </row>
    <row r="4009" spans="2:15">
      <c r="B4009" s="20">
        <v>45582</v>
      </c>
      <c r="C4009" s="59">
        <v>50472696</v>
      </c>
      <c r="D4009" s="55" t="s">
        <v>1308</v>
      </c>
      <c r="G4009" s="65">
        <v>2940</v>
      </c>
      <c r="H4009" s="56" t="s">
        <v>80</v>
      </c>
      <c r="I4009" s="54">
        <v>8637842687</v>
      </c>
      <c r="K4009" s="56">
        <v>2029</v>
      </c>
      <c r="L4009" s="55" t="s">
        <v>176</v>
      </c>
      <c r="M4009" s="55" t="s">
        <v>2824</v>
      </c>
      <c r="N4009" s="4" t="s">
        <v>177</v>
      </c>
      <c r="O4009" s="55" t="s">
        <v>178</v>
      </c>
    </row>
    <row r="4010" spans="2:15">
      <c r="B4010" s="20">
        <v>45582</v>
      </c>
      <c r="C4010" s="59">
        <v>40499</v>
      </c>
      <c r="D4010" s="55" t="s">
        <v>1094</v>
      </c>
      <c r="G4010" s="65">
        <v>24</v>
      </c>
      <c r="H4010" s="56" t="s">
        <v>92</v>
      </c>
      <c r="I4010" s="54">
        <v>8637842687</v>
      </c>
      <c r="K4010" s="56">
        <v>2029</v>
      </c>
      <c r="L4010" s="55" t="s">
        <v>176</v>
      </c>
      <c r="M4010" s="55" t="s">
        <v>2824</v>
      </c>
      <c r="N4010" s="4" t="s">
        <v>177</v>
      </c>
      <c r="O4010" s="55" t="s">
        <v>178</v>
      </c>
    </row>
    <row r="4011" spans="2:15">
      <c r="B4011" s="20">
        <v>45582</v>
      </c>
      <c r="C4011" s="59">
        <v>50010080</v>
      </c>
      <c r="D4011" s="55" t="s">
        <v>1657</v>
      </c>
      <c r="G4011" s="65">
        <v>4000</v>
      </c>
      <c r="H4011" s="56" t="s">
        <v>82</v>
      </c>
      <c r="I4011" s="54">
        <v>8637846296</v>
      </c>
      <c r="K4011" s="56">
        <v>2030</v>
      </c>
      <c r="L4011" s="55" t="s">
        <v>176</v>
      </c>
      <c r="M4011" s="55" t="s">
        <v>2824</v>
      </c>
      <c r="N4011" s="4" t="s">
        <v>177</v>
      </c>
      <c r="O4011" s="55" t="s">
        <v>178</v>
      </c>
    </row>
    <row r="4012" spans="2:15">
      <c r="B4012" s="20">
        <v>45582</v>
      </c>
      <c r="C4012" s="59">
        <v>50272278</v>
      </c>
      <c r="D4012" s="55" t="s">
        <v>21</v>
      </c>
      <c r="G4012" s="65">
        <v>6000</v>
      </c>
      <c r="H4012" s="56" t="s">
        <v>92</v>
      </c>
      <c r="I4012" s="54">
        <v>8637846296</v>
      </c>
      <c r="K4012" s="56">
        <v>2030</v>
      </c>
      <c r="L4012" s="55" t="s">
        <v>176</v>
      </c>
      <c r="M4012" s="55" t="s">
        <v>2824</v>
      </c>
      <c r="N4012" s="4" t="s">
        <v>177</v>
      </c>
      <c r="O4012" s="55" t="s">
        <v>178</v>
      </c>
    </row>
    <row r="4013" spans="2:15">
      <c r="B4013" s="20">
        <v>45582</v>
      </c>
      <c r="C4013" s="59">
        <v>40499</v>
      </c>
      <c r="D4013" s="55" t="s">
        <v>1094</v>
      </c>
      <c r="G4013" s="65">
        <v>24</v>
      </c>
      <c r="H4013" s="56" t="s">
        <v>92</v>
      </c>
      <c r="I4013" s="54">
        <v>8637846296</v>
      </c>
      <c r="K4013" s="56">
        <v>2030</v>
      </c>
      <c r="L4013" s="55" t="s">
        <v>176</v>
      </c>
      <c r="M4013" s="55" t="s">
        <v>2824</v>
      </c>
      <c r="N4013" s="4" t="s">
        <v>177</v>
      </c>
      <c r="O4013" s="55" t="s">
        <v>178</v>
      </c>
    </row>
    <row r="4014" spans="2:15">
      <c r="B4014" s="20">
        <v>45582</v>
      </c>
      <c r="C4014" s="59">
        <v>50142350</v>
      </c>
      <c r="D4014" s="55" t="s">
        <v>212</v>
      </c>
      <c r="G4014" s="65">
        <v>847.5</v>
      </c>
      <c r="H4014" s="56" t="s">
        <v>82</v>
      </c>
      <c r="I4014" s="54">
        <v>8637846296</v>
      </c>
      <c r="K4014" s="56">
        <v>2030</v>
      </c>
      <c r="L4014" s="55" t="s">
        <v>176</v>
      </c>
      <c r="M4014" s="55" t="s">
        <v>2824</v>
      </c>
      <c r="N4014" s="4" t="s">
        <v>177</v>
      </c>
      <c r="O4014" s="55" t="s">
        <v>178</v>
      </c>
    </row>
    <row r="4015" spans="2:15">
      <c r="B4015" s="20">
        <v>45582</v>
      </c>
      <c r="C4015" s="59">
        <v>50142327</v>
      </c>
      <c r="D4015" s="55" t="s">
        <v>256</v>
      </c>
      <c r="G4015" s="65">
        <v>953.4</v>
      </c>
      <c r="H4015" s="56" t="s">
        <v>82</v>
      </c>
      <c r="I4015" s="54">
        <v>8637846296</v>
      </c>
      <c r="K4015" s="56">
        <v>2030</v>
      </c>
      <c r="L4015" s="55" t="s">
        <v>176</v>
      </c>
      <c r="M4015" s="55" t="s">
        <v>2824</v>
      </c>
      <c r="N4015" s="4" t="s">
        <v>177</v>
      </c>
      <c r="O4015" s="55" t="s">
        <v>178</v>
      </c>
    </row>
    <row r="4016" spans="2:15">
      <c r="B4016" s="20">
        <v>45582</v>
      </c>
      <c r="C4016" s="59">
        <v>50142334</v>
      </c>
      <c r="D4016" s="55" t="s">
        <v>257</v>
      </c>
      <c r="G4016" s="65">
        <v>953.4</v>
      </c>
      <c r="H4016" s="56" t="s">
        <v>82</v>
      </c>
      <c r="I4016" s="54">
        <v>8637846296</v>
      </c>
      <c r="K4016" s="56">
        <v>2030</v>
      </c>
      <c r="L4016" s="55" t="s">
        <v>176</v>
      </c>
      <c r="M4016" s="55" t="s">
        <v>2824</v>
      </c>
      <c r="N4016" s="4" t="s">
        <v>177</v>
      </c>
      <c r="O4016" s="55" t="s">
        <v>178</v>
      </c>
    </row>
    <row r="4017" spans="2:15">
      <c r="B4017" s="20">
        <v>45582</v>
      </c>
      <c r="C4017" s="59">
        <v>50145028</v>
      </c>
      <c r="D4017" s="55" t="s">
        <v>23</v>
      </c>
      <c r="G4017" s="65">
        <v>384</v>
      </c>
      <c r="H4017" s="56" t="s">
        <v>92</v>
      </c>
      <c r="I4017" s="54" t="s">
        <v>2874</v>
      </c>
      <c r="K4017" s="56">
        <v>2031</v>
      </c>
      <c r="L4017" s="55" t="s">
        <v>326</v>
      </c>
      <c r="M4017" s="55" t="s">
        <v>326</v>
      </c>
      <c r="N4017" s="4" t="s">
        <v>327</v>
      </c>
      <c r="O4017" s="55" t="s">
        <v>178</v>
      </c>
    </row>
    <row r="4018" spans="2:15">
      <c r="B4018" s="20">
        <v>45582</v>
      </c>
      <c r="C4018" s="59">
        <v>50144376</v>
      </c>
      <c r="D4018" s="55" t="s">
        <v>19</v>
      </c>
      <c r="G4018" s="65">
        <v>2700</v>
      </c>
      <c r="H4018" s="56" t="s">
        <v>92</v>
      </c>
      <c r="I4018" s="54" t="s">
        <v>2874</v>
      </c>
      <c r="K4018" s="56">
        <v>2031</v>
      </c>
      <c r="L4018" s="55" t="s">
        <v>326</v>
      </c>
      <c r="M4018" s="55" t="s">
        <v>326</v>
      </c>
      <c r="N4018" s="4" t="s">
        <v>327</v>
      </c>
      <c r="O4018" s="55" t="s">
        <v>178</v>
      </c>
    </row>
    <row r="4019" spans="2:15">
      <c r="B4019" s="20">
        <v>45582</v>
      </c>
      <c r="C4019" s="59">
        <v>50272278</v>
      </c>
      <c r="D4019" s="55" t="s">
        <v>21</v>
      </c>
      <c r="G4019" s="65">
        <v>2500</v>
      </c>
      <c r="H4019" s="56" t="s">
        <v>92</v>
      </c>
      <c r="I4019" s="54" t="s">
        <v>2874</v>
      </c>
      <c r="K4019" s="56">
        <v>2031</v>
      </c>
      <c r="L4019" s="55" t="s">
        <v>326</v>
      </c>
      <c r="M4019" s="55" t="s">
        <v>326</v>
      </c>
      <c r="N4019" s="4" t="s">
        <v>327</v>
      </c>
      <c r="O4019" s="55" t="s">
        <v>178</v>
      </c>
    </row>
    <row r="4020" spans="2:15">
      <c r="B4020" s="20">
        <v>45582</v>
      </c>
      <c r="C4020" s="59">
        <v>40499</v>
      </c>
      <c r="D4020" s="55" t="s">
        <v>1094</v>
      </c>
      <c r="G4020" s="65">
        <v>19</v>
      </c>
      <c r="H4020" s="56" t="s">
        <v>92</v>
      </c>
      <c r="I4020" s="54" t="s">
        <v>2874</v>
      </c>
      <c r="K4020" s="56">
        <v>2031</v>
      </c>
      <c r="L4020" s="55" t="s">
        <v>326</v>
      </c>
      <c r="M4020" s="55" t="s">
        <v>326</v>
      </c>
      <c r="N4020" s="4" t="s">
        <v>327</v>
      </c>
      <c r="O4020" s="55" t="s">
        <v>178</v>
      </c>
    </row>
    <row r="4021" spans="2:15">
      <c r="B4021" s="20">
        <v>45582</v>
      </c>
      <c r="C4021" s="59">
        <v>50272278</v>
      </c>
      <c r="D4021" s="55" t="s">
        <v>21</v>
      </c>
      <c r="G4021" s="65">
        <v>5500</v>
      </c>
      <c r="H4021" s="56" t="s">
        <v>92</v>
      </c>
      <c r="I4021" s="54" t="s">
        <v>2874</v>
      </c>
      <c r="K4021" s="56">
        <v>2032</v>
      </c>
      <c r="L4021" s="55" t="s">
        <v>392</v>
      </c>
      <c r="M4021" s="55" t="s">
        <v>392</v>
      </c>
      <c r="N4021" s="4" t="s">
        <v>1275</v>
      </c>
      <c r="O4021" s="55" t="s">
        <v>178</v>
      </c>
    </row>
    <row r="4022" spans="2:15">
      <c r="B4022" s="20">
        <v>45582</v>
      </c>
      <c r="C4022" s="59">
        <v>50515034</v>
      </c>
      <c r="D4022" s="55" t="s">
        <v>41</v>
      </c>
      <c r="G4022" s="65">
        <v>374.4</v>
      </c>
      <c r="H4022" s="56" t="s">
        <v>80</v>
      </c>
      <c r="I4022" s="54" t="s">
        <v>2874</v>
      </c>
      <c r="K4022" s="56">
        <v>2032</v>
      </c>
      <c r="L4022" s="55" t="s">
        <v>392</v>
      </c>
      <c r="M4022" s="55" t="s">
        <v>392</v>
      </c>
      <c r="N4022" s="4" t="s">
        <v>1275</v>
      </c>
      <c r="O4022" s="55" t="s">
        <v>178</v>
      </c>
    </row>
    <row r="4023" spans="2:15">
      <c r="B4023" s="20">
        <v>45583</v>
      </c>
      <c r="C4023" s="59">
        <v>50142330</v>
      </c>
      <c r="D4023" s="55" t="s">
        <v>195</v>
      </c>
      <c r="G4023" s="65">
        <v>1437.12</v>
      </c>
      <c r="H4023" s="56" t="s">
        <v>82</v>
      </c>
      <c r="I4023" s="54">
        <v>8638340387</v>
      </c>
      <c r="K4023" s="56">
        <v>2033</v>
      </c>
      <c r="L4023" s="55" t="s">
        <v>176</v>
      </c>
      <c r="M4023" s="55" t="s">
        <v>2824</v>
      </c>
      <c r="N4023" s="4" t="s">
        <v>177</v>
      </c>
      <c r="O4023" s="55" t="s">
        <v>178</v>
      </c>
    </row>
    <row r="4024" spans="2:15">
      <c r="B4024" s="20">
        <v>45583</v>
      </c>
      <c r="C4024" s="59">
        <v>50272278</v>
      </c>
      <c r="D4024" s="55" t="s">
        <v>21</v>
      </c>
      <c r="G4024" s="65">
        <v>2500</v>
      </c>
      <c r="H4024" s="56" t="s">
        <v>92</v>
      </c>
      <c r="I4024" s="54">
        <v>8638340387</v>
      </c>
      <c r="K4024" s="56">
        <v>2033</v>
      </c>
      <c r="L4024" s="55" t="s">
        <v>176</v>
      </c>
      <c r="M4024" s="55" t="s">
        <v>2824</v>
      </c>
      <c r="N4024" s="4" t="s">
        <v>177</v>
      </c>
      <c r="O4024" s="55" t="s">
        <v>178</v>
      </c>
    </row>
    <row r="4025" spans="2:15">
      <c r="B4025" s="20">
        <v>45583</v>
      </c>
      <c r="C4025" s="59">
        <v>50470190</v>
      </c>
      <c r="D4025" s="55" t="s">
        <v>12</v>
      </c>
      <c r="G4025" s="65">
        <v>869400</v>
      </c>
      <c r="H4025" s="56" t="s">
        <v>92</v>
      </c>
      <c r="I4025" s="54">
        <v>8638340387</v>
      </c>
      <c r="K4025" s="56">
        <v>2033</v>
      </c>
      <c r="L4025" s="55" t="s">
        <v>176</v>
      </c>
      <c r="M4025" s="55" t="s">
        <v>2824</v>
      </c>
      <c r="N4025" s="4" t="s">
        <v>177</v>
      </c>
      <c r="O4025" s="55" t="s">
        <v>178</v>
      </c>
    </row>
    <row r="4026" spans="2:15">
      <c r="B4026" s="20">
        <v>45583</v>
      </c>
      <c r="C4026" s="59">
        <v>50802401</v>
      </c>
      <c r="D4026" s="55" t="s">
        <v>13</v>
      </c>
      <c r="G4026" s="65">
        <v>869400</v>
      </c>
      <c r="H4026" s="56" t="s">
        <v>92</v>
      </c>
      <c r="I4026" s="54">
        <v>8638340387</v>
      </c>
      <c r="K4026" s="56">
        <v>2033</v>
      </c>
      <c r="L4026" s="55" t="s">
        <v>176</v>
      </c>
      <c r="M4026" s="55" t="s">
        <v>2824</v>
      </c>
      <c r="N4026" s="4" t="s">
        <v>177</v>
      </c>
      <c r="O4026" s="55" t="s">
        <v>178</v>
      </c>
    </row>
    <row r="4027" spans="2:15">
      <c r="B4027" s="20">
        <v>45583</v>
      </c>
      <c r="C4027" s="59">
        <v>50141951</v>
      </c>
      <c r="D4027" s="55" t="s">
        <v>1386</v>
      </c>
      <c r="G4027" s="65">
        <v>40</v>
      </c>
      <c r="H4027" s="56" t="s">
        <v>82</v>
      </c>
      <c r="I4027" s="54">
        <v>8638340387</v>
      </c>
      <c r="K4027" s="56">
        <v>2033</v>
      </c>
      <c r="L4027" s="55" t="s">
        <v>176</v>
      </c>
      <c r="M4027" s="55" t="s">
        <v>2824</v>
      </c>
      <c r="N4027" s="4" t="s">
        <v>177</v>
      </c>
      <c r="O4027" s="55" t="s">
        <v>178</v>
      </c>
    </row>
    <row r="4028" spans="2:15">
      <c r="B4028" s="20">
        <v>45583</v>
      </c>
      <c r="C4028" s="59">
        <v>50818963</v>
      </c>
      <c r="D4028" s="55" t="s">
        <v>1709</v>
      </c>
      <c r="G4028" s="65">
        <v>400000</v>
      </c>
      <c r="H4028" s="56" t="s">
        <v>92</v>
      </c>
      <c r="I4028" s="54">
        <v>8638340387</v>
      </c>
      <c r="K4028" s="56">
        <v>2033</v>
      </c>
      <c r="L4028" s="55" t="s">
        <v>176</v>
      </c>
      <c r="M4028" s="55" t="s">
        <v>2824</v>
      </c>
      <c r="N4028" s="4" t="s">
        <v>177</v>
      </c>
      <c r="O4028" s="55" t="s">
        <v>178</v>
      </c>
    </row>
    <row r="4029" spans="2:15">
      <c r="B4029" s="20">
        <v>45583</v>
      </c>
      <c r="C4029" s="59">
        <v>50837509</v>
      </c>
      <c r="D4029" s="55" t="s">
        <v>14</v>
      </c>
      <c r="G4029" s="65">
        <v>1159200</v>
      </c>
      <c r="H4029" s="56" t="s">
        <v>92</v>
      </c>
      <c r="I4029" s="54">
        <v>8638340387</v>
      </c>
      <c r="K4029" s="56">
        <v>2033</v>
      </c>
      <c r="L4029" s="55" t="s">
        <v>176</v>
      </c>
      <c r="M4029" s="55" t="s">
        <v>2824</v>
      </c>
      <c r="N4029" s="4" t="s">
        <v>177</v>
      </c>
      <c r="O4029" s="55" t="s">
        <v>178</v>
      </c>
    </row>
    <row r="4030" spans="2:15">
      <c r="B4030" s="20">
        <v>45583</v>
      </c>
      <c r="C4030" s="59">
        <v>40499</v>
      </c>
      <c r="D4030" s="55" t="s">
        <v>1094</v>
      </c>
      <c r="G4030" s="65">
        <v>10</v>
      </c>
      <c r="H4030" s="56" t="s">
        <v>92</v>
      </c>
      <c r="I4030" s="54">
        <v>8638340387</v>
      </c>
      <c r="K4030" s="56">
        <v>2033</v>
      </c>
      <c r="L4030" s="55" t="s">
        <v>176</v>
      </c>
      <c r="M4030" s="55" t="s">
        <v>2824</v>
      </c>
      <c r="N4030" s="4" t="s">
        <v>177</v>
      </c>
      <c r="O4030" s="55" t="s">
        <v>178</v>
      </c>
    </row>
    <row r="4031" spans="2:15">
      <c r="B4031" s="20">
        <v>45583</v>
      </c>
      <c r="C4031" s="59">
        <v>50272278</v>
      </c>
      <c r="D4031" s="55" t="s">
        <v>21</v>
      </c>
      <c r="G4031" s="65">
        <v>11000</v>
      </c>
      <c r="H4031" s="56" t="s">
        <v>92</v>
      </c>
      <c r="I4031" s="54">
        <v>8638341939</v>
      </c>
      <c r="K4031" s="56">
        <v>2034</v>
      </c>
      <c r="L4031" s="55" t="s">
        <v>176</v>
      </c>
      <c r="M4031" s="55" t="s">
        <v>2824</v>
      </c>
      <c r="N4031" s="4" t="s">
        <v>177</v>
      </c>
      <c r="O4031" s="55" t="s">
        <v>178</v>
      </c>
    </row>
    <row r="4032" spans="2:15">
      <c r="B4032" s="20">
        <v>45583</v>
      </c>
      <c r="C4032" s="59">
        <v>40499</v>
      </c>
      <c r="D4032" s="55" t="s">
        <v>1094</v>
      </c>
      <c r="G4032" s="65">
        <v>44</v>
      </c>
      <c r="H4032" s="56" t="s">
        <v>92</v>
      </c>
      <c r="I4032" s="54">
        <v>8638341939</v>
      </c>
      <c r="K4032" s="56">
        <v>2034</v>
      </c>
      <c r="L4032" s="55" t="s">
        <v>176</v>
      </c>
      <c r="M4032" s="55" t="s">
        <v>2824</v>
      </c>
      <c r="N4032" s="4" t="s">
        <v>177</v>
      </c>
      <c r="O4032" s="55" t="s">
        <v>178</v>
      </c>
    </row>
    <row r="4033" spans="2:15">
      <c r="B4033" s="20">
        <v>45583</v>
      </c>
      <c r="C4033" s="59">
        <v>50142237</v>
      </c>
      <c r="D4033" s="55" t="s">
        <v>617</v>
      </c>
      <c r="G4033" s="65">
        <v>2000</v>
      </c>
      <c r="H4033" s="56" t="s">
        <v>92</v>
      </c>
      <c r="I4033" s="54">
        <v>8638344629</v>
      </c>
      <c r="L4033" s="55" t="s">
        <v>2601</v>
      </c>
      <c r="M4033" s="55" t="s">
        <v>2601</v>
      </c>
      <c r="O4033" s="55" t="s">
        <v>178</v>
      </c>
    </row>
    <row r="4034" spans="2:15">
      <c r="B4034" s="20">
        <v>45584</v>
      </c>
      <c r="C4034" s="59">
        <v>50400554</v>
      </c>
      <c r="D4034" s="55" t="s">
        <v>1311</v>
      </c>
      <c r="G4034" s="65">
        <v>37.44</v>
      </c>
      <c r="H4034" s="56" t="s">
        <v>80</v>
      </c>
      <c r="I4034" s="54">
        <v>8641014995</v>
      </c>
      <c r="K4034" s="56" t="s">
        <v>2906</v>
      </c>
      <c r="L4034" s="55" t="s">
        <v>2876</v>
      </c>
      <c r="M4034" s="55" t="s">
        <v>2824</v>
      </c>
      <c r="O4034" s="55" t="s">
        <v>178</v>
      </c>
    </row>
    <row r="4035" spans="2:15">
      <c r="B4035" s="20">
        <v>45584</v>
      </c>
      <c r="C4035" s="59">
        <v>50400554</v>
      </c>
      <c r="D4035" s="55" t="s">
        <v>1311</v>
      </c>
      <c r="G4035" s="65">
        <v>37.44</v>
      </c>
      <c r="H4035" s="56" t="s">
        <v>80</v>
      </c>
      <c r="I4035" s="54">
        <v>8641015003</v>
      </c>
      <c r="K4035" s="56" t="s">
        <v>2907</v>
      </c>
      <c r="L4035" s="55" t="s">
        <v>2876</v>
      </c>
      <c r="M4035" s="55" t="s">
        <v>2824</v>
      </c>
      <c r="O4035" s="55" t="s">
        <v>178</v>
      </c>
    </row>
    <row r="4036" spans="2:15">
      <c r="B4036" s="20">
        <v>45584</v>
      </c>
      <c r="C4036" s="59">
        <v>50400554</v>
      </c>
      <c r="D4036" s="55" t="s">
        <v>1311</v>
      </c>
      <c r="G4036" s="65">
        <v>37.44</v>
      </c>
      <c r="H4036" s="56" t="s">
        <v>80</v>
      </c>
      <c r="I4036" s="54">
        <v>8641015198</v>
      </c>
      <c r="K4036" s="56" t="s">
        <v>2908</v>
      </c>
      <c r="L4036" s="55" t="s">
        <v>2876</v>
      </c>
      <c r="M4036" s="55" t="s">
        <v>2824</v>
      </c>
      <c r="O4036" s="55" t="s">
        <v>178</v>
      </c>
    </row>
    <row r="4037" spans="2:15">
      <c r="B4037" s="20">
        <v>45584</v>
      </c>
      <c r="C4037" s="59">
        <v>50400554</v>
      </c>
      <c r="D4037" s="55" t="s">
        <v>1311</v>
      </c>
      <c r="F4037" s="67">
        <v>15.361</v>
      </c>
      <c r="G4037" s="65">
        <v>37.44</v>
      </c>
      <c r="H4037" s="56" t="s">
        <v>80</v>
      </c>
      <c r="I4037" s="54" t="s">
        <v>2909</v>
      </c>
      <c r="K4037" s="56" t="s">
        <v>2910</v>
      </c>
      <c r="L4037" s="55" t="s">
        <v>2876</v>
      </c>
      <c r="M4037" s="55" t="s">
        <v>2824</v>
      </c>
      <c r="O4037" s="55" t="s">
        <v>178</v>
      </c>
    </row>
    <row r="4038" spans="2:15">
      <c r="B4038" s="20">
        <v>45584</v>
      </c>
      <c r="C4038" s="59">
        <v>50400554</v>
      </c>
      <c r="D4038" s="55" t="s">
        <v>1311</v>
      </c>
      <c r="G4038" s="65">
        <v>37.44</v>
      </c>
      <c r="H4038" s="56" t="s">
        <v>80</v>
      </c>
      <c r="I4038" s="54" t="s">
        <v>2909</v>
      </c>
      <c r="K4038" s="56" t="s">
        <v>2911</v>
      </c>
      <c r="L4038" s="55" t="s">
        <v>2876</v>
      </c>
      <c r="M4038" s="55" t="s">
        <v>2824</v>
      </c>
      <c r="O4038" s="55" t="s">
        <v>178</v>
      </c>
    </row>
    <row r="4039" spans="2:15">
      <c r="B4039" s="20">
        <v>45586</v>
      </c>
      <c r="C4039" s="59">
        <v>50272278</v>
      </c>
      <c r="D4039" s="55" t="s">
        <v>21</v>
      </c>
      <c r="G4039" s="65">
        <v>8500</v>
      </c>
      <c r="H4039" s="56" t="s">
        <v>92</v>
      </c>
      <c r="I4039" s="54" t="s">
        <v>2912</v>
      </c>
      <c r="K4039" s="56">
        <v>2035</v>
      </c>
      <c r="L4039" s="55" t="s">
        <v>176</v>
      </c>
      <c r="M4039" s="55" t="s">
        <v>2824</v>
      </c>
      <c r="N4039" s="4" t="s">
        <v>177</v>
      </c>
      <c r="O4039" s="55" t="s">
        <v>178</v>
      </c>
    </row>
    <row r="4040" spans="2:15">
      <c r="B4040" s="20">
        <v>45586</v>
      </c>
      <c r="C4040" s="59">
        <v>50818948</v>
      </c>
      <c r="D4040" s="55" t="s">
        <v>1173</v>
      </c>
      <c r="G4040" s="65">
        <v>1220000</v>
      </c>
      <c r="H4040" s="56" t="s">
        <v>92</v>
      </c>
      <c r="I4040" s="54">
        <v>8639216527</v>
      </c>
      <c r="K4040" s="56">
        <v>2035</v>
      </c>
      <c r="L4040" s="55" t="s">
        <v>176</v>
      </c>
      <c r="M4040" s="55" t="s">
        <v>2824</v>
      </c>
      <c r="N4040" s="4" t="s">
        <v>177</v>
      </c>
      <c r="O4040" s="55" t="s">
        <v>178</v>
      </c>
    </row>
    <row r="4041" spans="2:15">
      <c r="B4041" s="20">
        <v>45586</v>
      </c>
      <c r="C4041" s="59">
        <v>50818947</v>
      </c>
      <c r="D4041" s="55" t="s">
        <v>1174</v>
      </c>
      <c r="G4041" s="65">
        <v>500000</v>
      </c>
      <c r="H4041" s="56" t="s">
        <v>92</v>
      </c>
      <c r="I4041" s="54">
        <v>8639216527</v>
      </c>
      <c r="K4041" s="56">
        <v>2035</v>
      </c>
      <c r="L4041" s="55" t="s">
        <v>176</v>
      </c>
      <c r="M4041" s="55" t="s">
        <v>2824</v>
      </c>
      <c r="N4041" s="4" t="s">
        <v>177</v>
      </c>
      <c r="O4041" s="55" t="s">
        <v>178</v>
      </c>
    </row>
    <row r="4042" spans="2:15">
      <c r="B4042" s="20">
        <v>45586</v>
      </c>
      <c r="C4042" s="59">
        <v>50818949</v>
      </c>
      <c r="D4042" s="55" t="s">
        <v>1381</v>
      </c>
      <c r="G4042" s="65">
        <v>500000</v>
      </c>
      <c r="H4042" s="56" t="s">
        <v>92</v>
      </c>
      <c r="I4042" s="54">
        <v>8639216527</v>
      </c>
      <c r="K4042" s="56">
        <v>2035</v>
      </c>
      <c r="L4042" s="55" t="s">
        <v>176</v>
      </c>
      <c r="M4042" s="55" t="s">
        <v>2824</v>
      </c>
      <c r="N4042" s="4" t="s">
        <v>177</v>
      </c>
      <c r="O4042" s="55" t="s">
        <v>178</v>
      </c>
    </row>
    <row r="4043" spans="2:15">
      <c r="B4043" s="20">
        <v>45586</v>
      </c>
      <c r="C4043" s="59">
        <v>50470190</v>
      </c>
      <c r="D4043" s="55" t="s">
        <v>12</v>
      </c>
      <c r="G4043" s="65">
        <v>2318400</v>
      </c>
      <c r="H4043" s="56" t="s">
        <v>92</v>
      </c>
      <c r="I4043" s="54">
        <v>8639221990</v>
      </c>
      <c r="K4043" s="56">
        <v>2036</v>
      </c>
      <c r="L4043" s="55" t="s">
        <v>176</v>
      </c>
      <c r="M4043" s="55" t="s">
        <v>2824</v>
      </c>
      <c r="N4043" s="4" t="s">
        <v>177</v>
      </c>
      <c r="O4043" s="55" t="s">
        <v>178</v>
      </c>
    </row>
    <row r="4044" spans="2:15">
      <c r="B4044" s="20">
        <v>45586</v>
      </c>
      <c r="C4044" s="59">
        <v>50802401</v>
      </c>
      <c r="D4044" s="55" t="s">
        <v>13</v>
      </c>
      <c r="G4044" s="65">
        <v>2898000</v>
      </c>
      <c r="H4044" s="56" t="s">
        <v>92</v>
      </c>
      <c r="I4044" s="54">
        <v>8639221990</v>
      </c>
      <c r="K4044" s="56">
        <v>2036</v>
      </c>
      <c r="L4044" s="55" t="s">
        <v>176</v>
      </c>
      <c r="M4044" s="55" t="s">
        <v>2824</v>
      </c>
      <c r="N4044" s="4" t="s">
        <v>177</v>
      </c>
      <c r="O4044" s="55" t="s">
        <v>178</v>
      </c>
    </row>
    <row r="4045" spans="2:15">
      <c r="B4045" s="20">
        <v>45587</v>
      </c>
      <c r="C4045" s="59">
        <v>40010086</v>
      </c>
      <c r="D4045" s="55" t="s">
        <v>79</v>
      </c>
      <c r="G4045" s="65">
        <v>4032</v>
      </c>
      <c r="H4045" s="56" t="s">
        <v>80</v>
      </c>
      <c r="I4045" s="54">
        <v>8639618069</v>
      </c>
      <c r="K4045" s="56">
        <v>2037</v>
      </c>
      <c r="L4045" s="55" t="s">
        <v>176</v>
      </c>
      <c r="M4045" s="55" t="s">
        <v>2824</v>
      </c>
      <c r="N4045" s="4" t="s">
        <v>177</v>
      </c>
      <c r="O4045" s="55" t="s">
        <v>178</v>
      </c>
    </row>
    <row r="4046" spans="2:15">
      <c r="B4046" s="20">
        <v>45587</v>
      </c>
      <c r="C4046" s="59">
        <v>40010087</v>
      </c>
      <c r="D4046" s="55" t="s">
        <v>387</v>
      </c>
      <c r="G4046" s="65">
        <v>972</v>
      </c>
      <c r="H4046" s="56" t="s">
        <v>80</v>
      </c>
      <c r="I4046" s="54">
        <v>8639618069</v>
      </c>
      <c r="K4046" s="56">
        <v>2037</v>
      </c>
      <c r="L4046" s="55" t="s">
        <v>176</v>
      </c>
      <c r="M4046" s="55" t="s">
        <v>2824</v>
      </c>
      <c r="N4046" s="4" t="s">
        <v>177</v>
      </c>
      <c r="O4046" s="55" t="s">
        <v>178</v>
      </c>
    </row>
    <row r="4047" spans="2:15">
      <c r="B4047" s="20">
        <v>45587</v>
      </c>
      <c r="C4047" s="59">
        <v>40011133</v>
      </c>
      <c r="D4047" s="55" t="s">
        <v>634</v>
      </c>
      <c r="G4047" s="65">
        <v>1728</v>
      </c>
      <c r="H4047" s="56" t="s">
        <v>80</v>
      </c>
      <c r="I4047" s="54">
        <v>8640530536</v>
      </c>
      <c r="K4047" s="56">
        <v>2037</v>
      </c>
      <c r="L4047" s="55" t="s">
        <v>176</v>
      </c>
      <c r="M4047" s="55" t="s">
        <v>2824</v>
      </c>
      <c r="N4047" s="4" t="s">
        <v>177</v>
      </c>
      <c r="O4047" s="55" t="s">
        <v>178</v>
      </c>
    </row>
    <row r="4048" spans="2:15">
      <c r="B4048" s="20">
        <v>45587</v>
      </c>
      <c r="C4048" s="59">
        <v>50145028</v>
      </c>
      <c r="D4048" s="55" t="s">
        <v>23</v>
      </c>
      <c r="G4048" s="65">
        <v>192</v>
      </c>
      <c r="H4048" s="56" t="s">
        <v>92</v>
      </c>
      <c r="I4048" s="54">
        <v>8639618069</v>
      </c>
      <c r="K4048" s="56">
        <v>2037</v>
      </c>
      <c r="L4048" s="55" t="s">
        <v>176</v>
      </c>
      <c r="M4048" s="55" t="s">
        <v>2824</v>
      </c>
      <c r="N4048" s="4" t="s">
        <v>177</v>
      </c>
      <c r="O4048" s="55" t="s">
        <v>178</v>
      </c>
    </row>
    <row r="4049" spans="2:15">
      <c r="B4049" s="20">
        <v>45587</v>
      </c>
      <c r="C4049" s="59">
        <v>20016185</v>
      </c>
      <c r="D4049" s="55" t="s">
        <v>285</v>
      </c>
      <c r="G4049" s="65">
        <v>11000</v>
      </c>
      <c r="H4049" s="56" t="s">
        <v>92</v>
      </c>
      <c r="I4049" s="54">
        <v>8639618069</v>
      </c>
      <c r="K4049" s="56">
        <v>2037</v>
      </c>
      <c r="L4049" s="55" t="s">
        <v>176</v>
      </c>
      <c r="M4049" s="55" t="s">
        <v>2824</v>
      </c>
      <c r="N4049" s="4" t="s">
        <v>177</v>
      </c>
      <c r="O4049" s="55" t="s">
        <v>178</v>
      </c>
    </row>
    <row r="4050" spans="2:15">
      <c r="B4050" s="20">
        <v>45587</v>
      </c>
      <c r="C4050" s="59">
        <v>50144376</v>
      </c>
      <c r="D4050" s="55" t="s">
        <v>19</v>
      </c>
      <c r="G4050" s="65">
        <v>6000</v>
      </c>
      <c r="H4050" s="56" t="s">
        <v>92</v>
      </c>
      <c r="I4050" s="54">
        <v>8639618069</v>
      </c>
      <c r="K4050" s="56">
        <v>2037</v>
      </c>
      <c r="L4050" s="55" t="s">
        <v>176</v>
      </c>
      <c r="M4050" s="55" t="s">
        <v>2824</v>
      </c>
      <c r="N4050" s="4" t="s">
        <v>177</v>
      </c>
      <c r="O4050" s="55" t="s">
        <v>178</v>
      </c>
    </row>
    <row r="4051" spans="2:15">
      <c r="B4051" s="20">
        <v>45587</v>
      </c>
      <c r="C4051" s="59">
        <v>50145029</v>
      </c>
      <c r="D4051" s="55" t="s">
        <v>705</v>
      </c>
      <c r="G4051" s="65">
        <v>6</v>
      </c>
      <c r="H4051" s="56" t="s">
        <v>505</v>
      </c>
      <c r="I4051" s="54">
        <v>8639618069</v>
      </c>
      <c r="K4051" s="56">
        <v>2037</v>
      </c>
      <c r="L4051" s="55" t="s">
        <v>176</v>
      </c>
      <c r="M4051" s="55" t="s">
        <v>2824</v>
      </c>
      <c r="N4051" s="4" t="s">
        <v>177</v>
      </c>
      <c r="O4051" s="55" t="s">
        <v>178</v>
      </c>
    </row>
    <row r="4052" spans="2:15">
      <c r="B4052" s="20">
        <v>45587</v>
      </c>
      <c r="C4052" s="59">
        <v>50392045</v>
      </c>
      <c r="D4052" s="55" t="s">
        <v>707</v>
      </c>
      <c r="G4052" s="65">
        <v>24</v>
      </c>
      <c r="H4052" s="56" t="s">
        <v>505</v>
      </c>
      <c r="I4052" s="54">
        <v>8639618069</v>
      </c>
      <c r="K4052" s="56">
        <v>2037</v>
      </c>
      <c r="L4052" s="55" t="s">
        <v>176</v>
      </c>
      <c r="M4052" s="55" t="s">
        <v>2824</v>
      </c>
      <c r="N4052" s="4" t="s">
        <v>177</v>
      </c>
      <c r="O4052" s="55" t="s">
        <v>178</v>
      </c>
    </row>
    <row r="4053" spans="2:15">
      <c r="B4053" s="20">
        <v>45587</v>
      </c>
      <c r="C4053" s="59">
        <v>50142327</v>
      </c>
      <c r="D4053" s="55" t="s">
        <v>256</v>
      </c>
      <c r="G4053" s="65">
        <v>1430.1</v>
      </c>
      <c r="H4053" s="56" t="s">
        <v>82</v>
      </c>
      <c r="I4053" s="54">
        <v>8639618069</v>
      </c>
      <c r="K4053" s="56">
        <v>2037</v>
      </c>
      <c r="L4053" s="55" t="s">
        <v>176</v>
      </c>
      <c r="M4053" s="55" t="s">
        <v>2824</v>
      </c>
      <c r="N4053" s="4" t="s">
        <v>177</v>
      </c>
      <c r="O4053" s="55" t="s">
        <v>178</v>
      </c>
    </row>
    <row r="4054" spans="2:15">
      <c r="B4054" s="20">
        <v>45587</v>
      </c>
      <c r="C4054" s="59">
        <v>50142334</v>
      </c>
      <c r="D4054" s="55" t="s">
        <v>257</v>
      </c>
      <c r="G4054" s="65">
        <v>476.7</v>
      </c>
      <c r="H4054" s="56" t="s">
        <v>82</v>
      </c>
      <c r="I4054" s="54">
        <v>8639618069</v>
      </c>
      <c r="K4054" s="56">
        <v>2037</v>
      </c>
      <c r="L4054" s="55" t="s">
        <v>176</v>
      </c>
      <c r="M4054" s="55" t="s">
        <v>2824</v>
      </c>
      <c r="N4054" s="4" t="s">
        <v>177</v>
      </c>
      <c r="O4054" s="55" t="s">
        <v>178</v>
      </c>
    </row>
    <row r="4055" spans="2:15">
      <c r="B4055" s="20">
        <v>45587</v>
      </c>
      <c r="C4055" s="59">
        <v>50145012</v>
      </c>
      <c r="D4055" s="55" t="s">
        <v>504</v>
      </c>
      <c r="G4055" s="65">
        <v>12</v>
      </c>
      <c r="H4055" s="56" t="s">
        <v>505</v>
      </c>
      <c r="I4055" s="54">
        <v>8639618069</v>
      </c>
      <c r="K4055" s="56">
        <v>2037</v>
      </c>
      <c r="L4055" s="55" t="s">
        <v>176</v>
      </c>
      <c r="M4055" s="55" t="s">
        <v>2824</v>
      </c>
      <c r="N4055" s="4" t="s">
        <v>177</v>
      </c>
      <c r="O4055" s="55" t="s">
        <v>178</v>
      </c>
    </row>
    <row r="4056" spans="2:15">
      <c r="B4056" s="20">
        <v>45587</v>
      </c>
      <c r="C4056" s="59">
        <v>50818949</v>
      </c>
      <c r="D4056" s="55" t="s">
        <v>1381</v>
      </c>
      <c r="G4056" s="65">
        <v>1000000</v>
      </c>
      <c r="H4056" s="56" t="s">
        <v>92</v>
      </c>
      <c r="I4056" s="54">
        <v>8639618069</v>
      </c>
      <c r="K4056" s="56">
        <v>2037</v>
      </c>
      <c r="L4056" s="55" t="s">
        <v>176</v>
      </c>
      <c r="M4056" s="55" t="s">
        <v>2824</v>
      </c>
      <c r="N4056" s="4" t="s">
        <v>177</v>
      </c>
      <c r="O4056" s="55" t="s">
        <v>178</v>
      </c>
    </row>
    <row r="4057" spans="2:15">
      <c r="B4057" s="20">
        <v>45587</v>
      </c>
      <c r="C4057" s="59">
        <v>20016059</v>
      </c>
      <c r="D4057" s="55" t="s">
        <v>1498</v>
      </c>
      <c r="G4057" s="65">
        <v>100</v>
      </c>
      <c r="H4057" s="56" t="s">
        <v>92</v>
      </c>
      <c r="I4057" s="54">
        <v>8639618069</v>
      </c>
      <c r="K4057" s="56">
        <v>2037</v>
      </c>
      <c r="L4057" s="55" t="s">
        <v>176</v>
      </c>
      <c r="M4057" s="55" t="s">
        <v>2824</v>
      </c>
      <c r="N4057" s="4" t="s">
        <v>177</v>
      </c>
      <c r="O4057" s="55" t="s">
        <v>178</v>
      </c>
    </row>
    <row r="4058" spans="2:15">
      <c r="B4058" s="20">
        <v>45587</v>
      </c>
      <c r="C4058" s="59">
        <v>50010080</v>
      </c>
      <c r="D4058" s="55" t="s">
        <v>1657</v>
      </c>
      <c r="G4058" s="65">
        <v>3000</v>
      </c>
      <c r="H4058" s="56" t="s">
        <v>82</v>
      </c>
      <c r="I4058" s="54">
        <v>8639624153</v>
      </c>
      <c r="K4058" s="56">
        <v>2038</v>
      </c>
      <c r="L4058" s="55" t="s">
        <v>176</v>
      </c>
      <c r="M4058" s="55" t="s">
        <v>2824</v>
      </c>
      <c r="N4058" s="4" t="s">
        <v>177</v>
      </c>
      <c r="O4058" s="55" t="s">
        <v>178</v>
      </c>
    </row>
    <row r="4059" spans="2:15">
      <c r="B4059" s="20">
        <v>45587</v>
      </c>
      <c r="C4059" s="59">
        <v>50272278</v>
      </c>
      <c r="D4059" s="55" t="s">
        <v>21</v>
      </c>
      <c r="G4059" s="65">
        <v>3500</v>
      </c>
      <c r="H4059" s="56" t="s">
        <v>92</v>
      </c>
      <c r="I4059" s="54">
        <v>8639624153</v>
      </c>
      <c r="K4059" s="56">
        <v>2038</v>
      </c>
      <c r="L4059" s="55" t="s">
        <v>176</v>
      </c>
      <c r="M4059" s="55" t="s">
        <v>2824</v>
      </c>
      <c r="N4059" s="4" t="s">
        <v>177</v>
      </c>
      <c r="O4059" s="55" t="s">
        <v>178</v>
      </c>
    </row>
    <row r="4060" spans="2:15">
      <c r="B4060" s="20">
        <v>45587</v>
      </c>
      <c r="C4060" s="59">
        <v>50141533</v>
      </c>
      <c r="D4060" s="55" t="s">
        <v>494</v>
      </c>
      <c r="G4060" s="65">
        <v>2500</v>
      </c>
      <c r="H4060" s="56" t="s">
        <v>82</v>
      </c>
      <c r="I4060" s="54">
        <v>8642785967</v>
      </c>
      <c r="K4060" s="56">
        <v>2038</v>
      </c>
      <c r="L4060" s="55" t="s">
        <v>176</v>
      </c>
      <c r="M4060" s="55" t="s">
        <v>2824</v>
      </c>
      <c r="N4060" s="4" t="s">
        <v>177</v>
      </c>
      <c r="O4060" s="55" t="s">
        <v>178</v>
      </c>
    </row>
    <row r="4061" spans="2:15">
      <c r="B4061" s="20">
        <v>45587</v>
      </c>
      <c r="C4061" s="59">
        <v>50470190</v>
      </c>
      <c r="D4061" s="55" t="s">
        <v>12</v>
      </c>
      <c r="G4061" s="65">
        <v>869400</v>
      </c>
      <c r="H4061" s="56" t="s">
        <v>92</v>
      </c>
      <c r="I4061" s="54">
        <v>8639624153</v>
      </c>
      <c r="K4061" s="56">
        <v>2038</v>
      </c>
      <c r="L4061" s="55" t="s">
        <v>176</v>
      </c>
      <c r="M4061" s="55" t="s">
        <v>2824</v>
      </c>
      <c r="N4061" s="4" t="s">
        <v>177</v>
      </c>
      <c r="O4061" s="55" t="s">
        <v>178</v>
      </c>
    </row>
    <row r="4062" spans="2:15">
      <c r="B4062" s="20">
        <v>45587</v>
      </c>
      <c r="C4062" s="59">
        <v>50802401</v>
      </c>
      <c r="D4062" s="55" t="s">
        <v>13</v>
      </c>
      <c r="G4062" s="65">
        <v>869400</v>
      </c>
      <c r="H4062" s="56" t="s">
        <v>92</v>
      </c>
      <c r="I4062" s="54">
        <v>8639624153</v>
      </c>
      <c r="K4062" s="56">
        <v>2038</v>
      </c>
      <c r="L4062" s="55" t="s">
        <v>176</v>
      </c>
      <c r="M4062" s="55" t="s">
        <v>2824</v>
      </c>
      <c r="N4062" s="4" t="s">
        <v>177</v>
      </c>
      <c r="O4062" s="55" t="s">
        <v>178</v>
      </c>
    </row>
    <row r="4063" spans="2:15">
      <c r="B4063" s="20">
        <v>45587</v>
      </c>
      <c r="C4063" s="59">
        <v>50818949</v>
      </c>
      <c r="D4063" s="55" t="s">
        <v>1381</v>
      </c>
      <c r="G4063" s="65">
        <v>800000</v>
      </c>
      <c r="H4063" s="56" t="s">
        <v>92</v>
      </c>
      <c r="I4063" s="54">
        <v>8639624153</v>
      </c>
      <c r="K4063" s="56">
        <v>2038</v>
      </c>
      <c r="L4063" s="55" t="s">
        <v>176</v>
      </c>
      <c r="M4063" s="55" t="s">
        <v>2824</v>
      </c>
      <c r="N4063" s="4" t="s">
        <v>177</v>
      </c>
      <c r="O4063" s="55" t="s">
        <v>178</v>
      </c>
    </row>
    <row r="4064" spans="2:15">
      <c r="B4064" s="20">
        <v>45588</v>
      </c>
      <c r="C4064" s="59">
        <v>50513699</v>
      </c>
      <c r="D4064" s="55" t="s">
        <v>338</v>
      </c>
      <c r="G4064" s="65">
        <v>1518</v>
      </c>
      <c r="H4064" s="56" t="s">
        <v>82</v>
      </c>
      <c r="I4064" s="54" t="s">
        <v>2913</v>
      </c>
      <c r="K4064" s="56">
        <v>2039</v>
      </c>
      <c r="L4064" s="55" t="s">
        <v>1227</v>
      </c>
      <c r="M4064" s="55" t="s">
        <v>1227</v>
      </c>
      <c r="N4064" s="4" t="s">
        <v>428</v>
      </c>
      <c r="O4064" s="55" t="s">
        <v>178</v>
      </c>
    </row>
    <row r="4065" spans="2:15">
      <c r="B4065" s="20">
        <v>45588</v>
      </c>
      <c r="C4065" s="59">
        <v>50801001</v>
      </c>
      <c r="D4065" s="55" t="s">
        <v>698</v>
      </c>
      <c r="G4065" s="65">
        <v>3897.8</v>
      </c>
      <c r="H4065" s="56" t="s">
        <v>82</v>
      </c>
      <c r="I4065" s="54" t="s">
        <v>2913</v>
      </c>
      <c r="K4065" s="56">
        <v>2039</v>
      </c>
      <c r="L4065" s="55" t="s">
        <v>1227</v>
      </c>
      <c r="M4065" s="55" t="s">
        <v>1227</v>
      </c>
      <c r="N4065" s="4" t="s">
        <v>428</v>
      </c>
      <c r="O4065" s="55" t="s">
        <v>178</v>
      </c>
    </row>
    <row r="4066" spans="2:15">
      <c r="B4066" s="20">
        <v>45588</v>
      </c>
      <c r="C4066" s="59">
        <v>50369034</v>
      </c>
      <c r="D4066" s="55" t="s">
        <v>322</v>
      </c>
      <c r="G4066" s="65">
        <v>1514</v>
      </c>
      <c r="H4066" s="56" t="s">
        <v>82</v>
      </c>
      <c r="I4066" s="54" t="s">
        <v>2913</v>
      </c>
      <c r="K4066" s="56">
        <v>2039</v>
      </c>
      <c r="L4066" s="55" t="s">
        <v>1227</v>
      </c>
      <c r="M4066" s="55" t="s">
        <v>1227</v>
      </c>
      <c r="N4066" s="4" t="s">
        <v>428</v>
      </c>
      <c r="O4066" s="55" t="s">
        <v>178</v>
      </c>
    </row>
    <row r="4067" spans="2:15">
      <c r="B4067" s="20">
        <v>45589</v>
      </c>
      <c r="C4067" s="59">
        <v>50272278</v>
      </c>
      <c r="D4067" s="55" t="s">
        <v>21</v>
      </c>
      <c r="G4067" s="65">
        <v>11000</v>
      </c>
      <c r="H4067" s="56" t="s">
        <v>92</v>
      </c>
      <c r="I4067" s="54">
        <v>8640524580</v>
      </c>
      <c r="K4067" s="56">
        <v>2040</v>
      </c>
      <c r="L4067" s="55" t="s">
        <v>176</v>
      </c>
      <c r="M4067" s="55" t="s">
        <v>2824</v>
      </c>
      <c r="N4067" s="4" t="s">
        <v>177</v>
      </c>
      <c r="O4067" s="55" t="s">
        <v>178</v>
      </c>
    </row>
    <row r="4068" spans="2:15">
      <c r="B4068" s="20">
        <v>45589</v>
      </c>
      <c r="C4068" s="59">
        <v>40499</v>
      </c>
      <c r="D4068" s="55" t="s">
        <v>1094</v>
      </c>
      <c r="G4068" s="65">
        <v>44</v>
      </c>
      <c r="H4068" s="56" t="s">
        <v>92</v>
      </c>
      <c r="I4068" s="54">
        <v>8640524580</v>
      </c>
      <c r="K4068" s="56">
        <v>2040</v>
      </c>
      <c r="L4068" s="55" t="s">
        <v>176</v>
      </c>
      <c r="M4068" s="55" t="s">
        <v>2824</v>
      </c>
      <c r="N4068" s="4" t="s">
        <v>177</v>
      </c>
      <c r="O4068" s="55" t="s">
        <v>178</v>
      </c>
    </row>
    <row r="4069" spans="2:15">
      <c r="B4069" s="20">
        <v>45589</v>
      </c>
      <c r="C4069" s="59">
        <v>50010080</v>
      </c>
      <c r="D4069" s="55" t="s">
        <v>1657</v>
      </c>
      <c r="G4069" s="65">
        <v>2000</v>
      </c>
      <c r="H4069" s="56" t="s">
        <v>82</v>
      </c>
      <c r="I4069" s="54">
        <v>8640528111</v>
      </c>
      <c r="K4069" s="56">
        <v>2041</v>
      </c>
      <c r="L4069" s="55" t="s">
        <v>176</v>
      </c>
      <c r="M4069" s="55" t="s">
        <v>2824</v>
      </c>
      <c r="N4069" s="4" t="s">
        <v>177</v>
      </c>
      <c r="O4069" s="55" t="s">
        <v>178</v>
      </c>
    </row>
    <row r="4070" spans="2:15">
      <c r="B4070" s="20">
        <v>45589</v>
      </c>
      <c r="C4070" s="59">
        <v>40010087</v>
      </c>
      <c r="D4070" s="55" t="s">
        <v>387</v>
      </c>
      <c r="G4070" s="65">
        <v>1944</v>
      </c>
      <c r="H4070" s="56" t="s">
        <v>80</v>
      </c>
      <c r="I4070" s="54">
        <v>8640528111</v>
      </c>
      <c r="K4070" s="56">
        <v>2041</v>
      </c>
      <c r="L4070" s="55" t="s">
        <v>176</v>
      </c>
      <c r="M4070" s="55" t="s">
        <v>2824</v>
      </c>
      <c r="N4070" s="4" t="s">
        <v>177</v>
      </c>
      <c r="O4070" s="55" t="s">
        <v>178</v>
      </c>
    </row>
    <row r="4071" spans="2:15">
      <c r="B4071" s="20">
        <v>45589</v>
      </c>
      <c r="C4071" s="59">
        <v>50144376</v>
      </c>
      <c r="D4071" s="55" t="s">
        <v>19</v>
      </c>
      <c r="G4071" s="65">
        <v>3600</v>
      </c>
      <c r="H4071" s="56" t="s">
        <v>92</v>
      </c>
      <c r="I4071" s="54">
        <v>8640528111</v>
      </c>
      <c r="K4071" s="56">
        <v>2041</v>
      </c>
      <c r="L4071" s="55" t="s">
        <v>176</v>
      </c>
      <c r="M4071" s="55" t="s">
        <v>2824</v>
      </c>
      <c r="N4071" s="4" t="s">
        <v>177</v>
      </c>
      <c r="O4071" s="55" t="s">
        <v>178</v>
      </c>
    </row>
    <row r="4072" spans="2:15">
      <c r="B4072" s="20">
        <v>45589</v>
      </c>
      <c r="C4072" s="59">
        <v>50818947</v>
      </c>
      <c r="D4072" s="55" t="s">
        <v>1174</v>
      </c>
      <c r="G4072" s="65">
        <v>765100</v>
      </c>
      <c r="H4072" s="56" t="s">
        <v>92</v>
      </c>
      <c r="I4072" s="54">
        <v>8640528111</v>
      </c>
      <c r="K4072" s="56">
        <v>2041</v>
      </c>
      <c r="L4072" s="55" t="s">
        <v>176</v>
      </c>
      <c r="M4072" s="55" t="s">
        <v>2824</v>
      </c>
      <c r="N4072" s="4" t="s">
        <v>177</v>
      </c>
      <c r="O4072" s="55" t="s">
        <v>178</v>
      </c>
    </row>
    <row r="4073" spans="2:15">
      <c r="B4073" s="20">
        <v>45589</v>
      </c>
      <c r="C4073" s="59">
        <v>50142327</v>
      </c>
      <c r="D4073" s="55" t="s">
        <v>256</v>
      </c>
      <c r="G4073" s="65">
        <v>953.4</v>
      </c>
      <c r="H4073" s="56" t="s">
        <v>82</v>
      </c>
      <c r="I4073" s="54">
        <v>8640528111</v>
      </c>
      <c r="K4073" s="56">
        <v>2041</v>
      </c>
      <c r="L4073" s="55" t="s">
        <v>176</v>
      </c>
      <c r="M4073" s="55" t="s">
        <v>2824</v>
      </c>
      <c r="N4073" s="4" t="s">
        <v>177</v>
      </c>
      <c r="O4073" s="55" t="s">
        <v>178</v>
      </c>
    </row>
    <row r="4074" spans="2:15">
      <c r="B4074" s="20">
        <v>45589</v>
      </c>
      <c r="C4074" s="59">
        <v>50142334</v>
      </c>
      <c r="D4074" s="55" t="s">
        <v>257</v>
      </c>
      <c r="G4074" s="65">
        <v>1430.1</v>
      </c>
      <c r="H4074" s="56" t="s">
        <v>82</v>
      </c>
      <c r="I4074" s="54">
        <v>8640528111</v>
      </c>
      <c r="K4074" s="56">
        <v>2041</v>
      </c>
      <c r="L4074" s="55" t="s">
        <v>176</v>
      </c>
      <c r="M4074" s="55" t="s">
        <v>2824</v>
      </c>
      <c r="N4074" s="4" t="s">
        <v>177</v>
      </c>
      <c r="O4074" s="55" t="s">
        <v>178</v>
      </c>
    </row>
    <row r="4075" spans="2:15">
      <c r="B4075" s="20">
        <v>45589</v>
      </c>
      <c r="C4075" s="59">
        <v>50818949</v>
      </c>
      <c r="D4075" s="55" t="s">
        <v>1381</v>
      </c>
      <c r="G4075" s="65">
        <v>2000000</v>
      </c>
      <c r="H4075" s="56" t="s">
        <v>92</v>
      </c>
      <c r="I4075" s="54">
        <v>8640528111</v>
      </c>
      <c r="K4075" s="56">
        <v>2041</v>
      </c>
      <c r="L4075" s="55" t="s">
        <v>176</v>
      </c>
      <c r="M4075" s="55" t="s">
        <v>2824</v>
      </c>
      <c r="N4075" s="4" t="s">
        <v>177</v>
      </c>
      <c r="O4075" s="55" t="s">
        <v>178</v>
      </c>
    </row>
    <row r="4076" spans="2:15">
      <c r="B4076" s="20">
        <v>45589</v>
      </c>
      <c r="C4076" s="59">
        <v>40499</v>
      </c>
      <c r="D4076" s="55" t="s">
        <v>1094</v>
      </c>
      <c r="G4076" s="65">
        <v>17</v>
      </c>
      <c r="H4076" s="56" t="s">
        <v>92</v>
      </c>
      <c r="I4076" s="54">
        <v>8640531417</v>
      </c>
      <c r="K4076" s="56">
        <v>2042</v>
      </c>
      <c r="L4076" s="55" t="s">
        <v>176</v>
      </c>
      <c r="M4076" s="55" t="s">
        <v>2824</v>
      </c>
      <c r="N4076" s="4" t="s">
        <v>177</v>
      </c>
      <c r="O4076" s="55" t="s">
        <v>178</v>
      </c>
    </row>
    <row r="4077" spans="2:15">
      <c r="B4077" s="20">
        <v>45589</v>
      </c>
      <c r="C4077" s="59">
        <v>50144376</v>
      </c>
      <c r="D4077" s="55" t="s">
        <v>19</v>
      </c>
      <c r="G4077" s="65">
        <v>13200</v>
      </c>
      <c r="H4077" s="56" t="s">
        <v>92</v>
      </c>
      <c r="I4077" s="54">
        <v>8640531417</v>
      </c>
      <c r="K4077" s="56">
        <v>2042</v>
      </c>
      <c r="L4077" s="55" t="s">
        <v>176</v>
      </c>
      <c r="M4077" s="55" t="s">
        <v>2824</v>
      </c>
      <c r="N4077" s="4" t="s">
        <v>177</v>
      </c>
      <c r="O4077" s="55" t="s">
        <v>178</v>
      </c>
    </row>
    <row r="4078" spans="2:15">
      <c r="B4078" s="20">
        <v>45589</v>
      </c>
      <c r="C4078" s="59">
        <v>50802401</v>
      </c>
      <c r="D4078" s="55" t="s">
        <v>13</v>
      </c>
      <c r="G4078" s="65">
        <v>1738800</v>
      </c>
      <c r="H4078" s="56" t="s">
        <v>92</v>
      </c>
      <c r="I4078" s="54">
        <v>8640531417</v>
      </c>
      <c r="K4078" s="56">
        <v>2042</v>
      </c>
      <c r="L4078" s="55" t="s">
        <v>176</v>
      </c>
      <c r="M4078" s="55" t="s">
        <v>2824</v>
      </c>
      <c r="N4078" s="4" t="s">
        <v>177</v>
      </c>
      <c r="O4078" s="55" t="s">
        <v>178</v>
      </c>
    </row>
    <row r="4079" spans="2:15">
      <c r="B4079" s="20">
        <v>45589</v>
      </c>
      <c r="C4079" s="59">
        <v>40499</v>
      </c>
      <c r="D4079" s="55" t="s">
        <v>1094</v>
      </c>
      <c r="G4079" s="65">
        <v>32</v>
      </c>
      <c r="H4079" s="56" t="s">
        <v>92</v>
      </c>
      <c r="I4079" s="54">
        <v>8640531417</v>
      </c>
      <c r="K4079" s="56">
        <v>2042</v>
      </c>
      <c r="L4079" s="55" t="s">
        <v>176</v>
      </c>
      <c r="M4079" s="55" t="s">
        <v>2824</v>
      </c>
      <c r="N4079" s="4" t="s">
        <v>177</v>
      </c>
      <c r="O4079" s="55" t="s">
        <v>178</v>
      </c>
    </row>
    <row r="4080" spans="2:15">
      <c r="B4080" s="20">
        <v>45590</v>
      </c>
      <c r="C4080" s="59">
        <v>50144376</v>
      </c>
      <c r="D4080" s="55" t="s">
        <v>19</v>
      </c>
      <c r="G4080" s="65">
        <v>8400</v>
      </c>
      <c r="H4080" s="56" t="s">
        <v>92</v>
      </c>
      <c r="I4080" s="54">
        <v>8641022899</v>
      </c>
      <c r="K4080" s="56">
        <v>2043</v>
      </c>
      <c r="L4080" s="55" t="s">
        <v>176</v>
      </c>
      <c r="M4080" s="55" t="s">
        <v>2824</v>
      </c>
      <c r="N4080" s="4" t="s">
        <v>177</v>
      </c>
      <c r="O4080" s="55" t="s">
        <v>178</v>
      </c>
    </row>
    <row r="4081" spans="2:15">
      <c r="B4081" s="20">
        <v>45590</v>
      </c>
      <c r="C4081" s="59">
        <v>50470190</v>
      </c>
      <c r="D4081" s="55" t="s">
        <v>12</v>
      </c>
      <c r="G4081" s="65">
        <v>1738800</v>
      </c>
      <c r="H4081" s="56" t="s">
        <v>92</v>
      </c>
      <c r="I4081" s="54">
        <v>8641022899</v>
      </c>
      <c r="K4081" s="56">
        <v>2043</v>
      </c>
      <c r="L4081" s="55" t="s">
        <v>176</v>
      </c>
      <c r="M4081" s="55" t="s">
        <v>2824</v>
      </c>
      <c r="N4081" s="4" t="s">
        <v>177</v>
      </c>
      <c r="O4081" s="55" t="s">
        <v>178</v>
      </c>
    </row>
    <row r="4082" spans="2:15">
      <c r="B4082" s="20">
        <v>45590</v>
      </c>
      <c r="C4082" s="59">
        <v>50837509</v>
      </c>
      <c r="D4082" s="55" t="s">
        <v>14</v>
      </c>
      <c r="G4082" s="65">
        <v>579600</v>
      </c>
      <c r="H4082" s="56" t="s">
        <v>92</v>
      </c>
      <c r="I4082" s="54">
        <v>8641022899</v>
      </c>
      <c r="K4082" s="56">
        <v>2043</v>
      </c>
      <c r="L4082" s="55" t="s">
        <v>176</v>
      </c>
      <c r="M4082" s="55" t="s">
        <v>2824</v>
      </c>
      <c r="N4082" s="4" t="s">
        <v>177</v>
      </c>
      <c r="O4082" s="55" t="s">
        <v>178</v>
      </c>
    </row>
    <row r="4083" spans="2:15">
      <c r="B4083" s="20">
        <v>45590</v>
      </c>
      <c r="C4083" s="59">
        <v>40499</v>
      </c>
      <c r="D4083" s="55" t="s">
        <v>1094</v>
      </c>
      <c r="G4083" s="65">
        <v>28</v>
      </c>
      <c r="H4083" s="56" t="s">
        <v>92</v>
      </c>
      <c r="I4083" s="54">
        <v>8641022899</v>
      </c>
      <c r="K4083" s="56">
        <v>2043</v>
      </c>
      <c r="L4083" s="55" t="s">
        <v>176</v>
      </c>
      <c r="M4083" s="55" t="s">
        <v>2824</v>
      </c>
      <c r="N4083" s="4" t="s">
        <v>177</v>
      </c>
      <c r="O4083" s="55" t="s">
        <v>178</v>
      </c>
    </row>
    <row r="4084" spans="2:15">
      <c r="B4084" s="20">
        <v>45590</v>
      </c>
      <c r="C4084" s="59">
        <v>50834329</v>
      </c>
      <c r="D4084" s="55" t="s">
        <v>1475</v>
      </c>
      <c r="G4084" s="122">
        <v>4506.5</v>
      </c>
      <c r="H4084" s="56" t="s">
        <v>753</v>
      </c>
      <c r="I4084" s="54" t="s">
        <v>2874</v>
      </c>
      <c r="K4084" s="56">
        <v>2044</v>
      </c>
      <c r="L4084" s="55" t="s">
        <v>392</v>
      </c>
      <c r="M4084" s="55" t="s">
        <v>2849</v>
      </c>
      <c r="N4084" s="4" t="s">
        <v>2851</v>
      </c>
      <c r="O4084" s="55" t="s">
        <v>178</v>
      </c>
    </row>
    <row r="4085" spans="2:15">
      <c r="B4085" s="20">
        <v>45590</v>
      </c>
      <c r="C4085" s="59">
        <v>50813995</v>
      </c>
      <c r="D4085" s="55" t="s">
        <v>960</v>
      </c>
      <c r="G4085" s="65">
        <v>4764.8</v>
      </c>
      <c r="H4085" s="56" t="s">
        <v>82</v>
      </c>
      <c r="I4085" s="54">
        <v>8641024197</v>
      </c>
      <c r="K4085" s="56">
        <v>2045</v>
      </c>
      <c r="L4085" s="55" t="s">
        <v>176</v>
      </c>
      <c r="M4085" s="55" t="s">
        <v>2824</v>
      </c>
      <c r="N4085" s="4" t="s">
        <v>177</v>
      </c>
      <c r="O4085" s="55" t="s">
        <v>178</v>
      </c>
    </row>
    <row r="4086" spans="2:15">
      <c r="B4086" s="20">
        <v>45590</v>
      </c>
      <c r="C4086" s="59">
        <v>50144376</v>
      </c>
      <c r="D4086" s="55" t="s">
        <v>19</v>
      </c>
      <c r="G4086" s="65">
        <v>2400</v>
      </c>
      <c r="H4086" s="56" t="s">
        <v>92</v>
      </c>
      <c r="I4086" s="54">
        <v>8641024197</v>
      </c>
      <c r="K4086" s="56">
        <v>2045</v>
      </c>
      <c r="L4086" s="55" t="s">
        <v>176</v>
      </c>
      <c r="M4086" s="55" t="s">
        <v>2824</v>
      </c>
      <c r="N4086" s="4" t="s">
        <v>177</v>
      </c>
      <c r="O4086" s="55" t="s">
        <v>178</v>
      </c>
    </row>
    <row r="4087" spans="2:15">
      <c r="B4087" s="20">
        <v>45590</v>
      </c>
      <c r="C4087" s="59">
        <v>50802401</v>
      </c>
      <c r="D4087" s="55" t="s">
        <v>13</v>
      </c>
      <c r="G4087" s="65">
        <v>1738800</v>
      </c>
      <c r="H4087" s="56" t="s">
        <v>92</v>
      </c>
      <c r="I4087" s="54">
        <v>8641024197</v>
      </c>
      <c r="K4087" s="56">
        <v>2045</v>
      </c>
      <c r="L4087" s="55" t="s">
        <v>176</v>
      </c>
      <c r="M4087" s="55" t="s">
        <v>2824</v>
      </c>
      <c r="N4087" s="4" t="s">
        <v>177</v>
      </c>
      <c r="O4087" s="55" t="s">
        <v>178</v>
      </c>
    </row>
    <row r="4088" spans="2:15">
      <c r="B4088" s="20">
        <v>45590</v>
      </c>
      <c r="C4088" s="59">
        <v>50813995</v>
      </c>
      <c r="D4088" s="55" t="s">
        <v>960</v>
      </c>
      <c r="G4088" s="65">
        <v>651.8</v>
      </c>
      <c r="H4088" s="56" t="s">
        <v>82</v>
      </c>
      <c r="I4088" s="54" t="s">
        <v>2909</v>
      </c>
      <c r="K4088" s="56">
        <v>2045</v>
      </c>
      <c r="L4088" s="55" t="s">
        <v>176</v>
      </c>
      <c r="M4088" s="55" t="s">
        <v>2824</v>
      </c>
      <c r="N4088" s="4" t="s">
        <v>177</v>
      </c>
      <c r="O4088" s="55" t="s">
        <v>178</v>
      </c>
    </row>
    <row r="4089" spans="2:15">
      <c r="B4089" s="20">
        <v>45590</v>
      </c>
      <c r="C4089" s="59">
        <v>40499</v>
      </c>
      <c r="D4089" s="55" t="s">
        <v>1094</v>
      </c>
      <c r="G4089" s="65">
        <v>8</v>
      </c>
      <c r="H4089" s="56" t="s">
        <v>92</v>
      </c>
      <c r="K4089" s="56">
        <v>2045</v>
      </c>
      <c r="L4089" s="55" t="s">
        <v>176</v>
      </c>
      <c r="M4089" s="55" t="s">
        <v>2824</v>
      </c>
      <c r="N4089" s="4" t="s">
        <v>177</v>
      </c>
      <c r="O4089" s="55" t="s">
        <v>178</v>
      </c>
    </row>
    <row r="4090" spans="2:15">
      <c r="B4090" s="20">
        <v>45591</v>
      </c>
      <c r="C4090" s="59">
        <v>50400554</v>
      </c>
      <c r="D4090" s="55" t="s">
        <v>1311</v>
      </c>
      <c r="G4090" s="65">
        <v>37.44</v>
      </c>
      <c r="H4090" s="56" t="s">
        <v>80</v>
      </c>
      <c r="I4090" s="54" t="s">
        <v>2909</v>
      </c>
      <c r="K4090" s="56" t="s">
        <v>2914</v>
      </c>
      <c r="L4090" s="55" t="s">
        <v>2876</v>
      </c>
      <c r="M4090" s="55" t="s">
        <v>2824</v>
      </c>
      <c r="O4090" s="55" t="s">
        <v>178</v>
      </c>
    </row>
    <row r="4091" spans="2:15">
      <c r="B4091" s="20">
        <v>45591</v>
      </c>
      <c r="C4091" s="59">
        <v>50400554</v>
      </c>
      <c r="D4091" s="55" t="s">
        <v>1311</v>
      </c>
      <c r="G4091" s="65">
        <v>37.44</v>
      </c>
      <c r="H4091" s="56" t="s">
        <v>80</v>
      </c>
      <c r="I4091" s="54" t="s">
        <v>2909</v>
      </c>
      <c r="K4091" s="56" t="s">
        <v>2915</v>
      </c>
      <c r="L4091" s="55" t="s">
        <v>2876</v>
      </c>
      <c r="M4091" s="55" t="s">
        <v>2824</v>
      </c>
      <c r="O4091" s="55" t="s">
        <v>178</v>
      </c>
    </row>
    <row r="4092" spans="2:15">
      <c r="B4092" s="20">
        <v>45591</v>
      </c>
      <c r="C4092" s="59">
        <v>50400554</v>
      </c>
      <c r="D4092" s="55" t="s">
        <v>1311</v>
      </c>
      <c r="G4092" s="65">
        <v>37.44</v>
      </c>
      <c r="H4092" s="56" t="s">
        <v>80</v>
      </c>
      <c r="I4092" s="54" t="s">
        <v>2909</v>
      </c>
      <c r="K4092" s="56" t="s">
        <v>2916</v>
      </c>
      <c r="L4092" s="55" t="s">
        <v>2876</v>
      </c>
      <c r="M4092" s="55" t="s">
        <v>2824</v>
      </c>
      <c r="O4092" s="55" t="s">
        <v>178</v>
      </c>
    </row>
    <row r="4093" spans="2:15">
      <c r="B4093" s="20">
        <v>45591</v>
      </c>
      <c r="C4093" s="59">
        <v>50400554</v>
      </c>
      <c r="D4093" s="55" t="s">
        <v>1311</v>
      </c>
      <c r="G4093" s="65">
        <v>25.18</v>
      </c>
      <c r="H4093" s="56" t="s">
        <v>80</v>
      </c>
      <c r="I4093" s="54" t="s">
        <v>2909</v>
      </c>
      <c r="K4093" s="56" t="s">
        <v>2917</v>
      </c>
      <c r="L4093" s="55" t="s">
        <v>2876</v>
      </c>
      <c r="M4093" s="55" t="s">
        <v>2824</v>
      </c>
      <c r="O4093" s="55" t="s">
        <v>178</v>
      </c>
    </row>
    <row r="4094" spans="2:15">
      <c r="B4094" s="20">
        <v>45593</v>
      </c>
      <c r="C4094" s="59">
        <v>50145028</v>
      </c>
      <c r="D4094" s="55" t="s">
        <v>23</v>
      </c>
      <c r="G4094" s="65">
        <v>768</v>
      </c>
      <c r="H4094" s="56" t="s">
        <v>92</v>
      </c>
      <c r="I4094" s="54">
        <v>8641904620</v>
      </c>
      <c r="K4094" s="56">
        <v>2046</v>
      </c>
      <c r="L4094" s="55" t="s">
        <v>392</v>
      </c>
      <c r="M4094" s="55" t="s">
        <v>2849</v>
      </c>
      <c r="N4094" s="4" t="s">
        <v>1273</v>
      </c>
      <c r="O4094" s="55" t="s">
        <v>178</v>
      </c>
    </row>
    <row r="4095" spans="2:15">
      <c r="B4095" s="20">
        <v>45593</v>
      </c>
      <c r="C4095" s="59">
        <v>50272278</v>
      </c>
      <c r="D4095" s="55" t="s">
        <v>21</v>
      </c>
      <c r="G4095" s="65">
        <v>4850</v>
      </c>
      <c r="H4095" s="56" t="s">
        <v>92</v>
      </c>
      <c r="I4095" s="54">
        <v>8641904620</v>
      </c>
      <c r="K4095" s="56">
        <v>2046</v>
      </c>
      <c r="L4095" s="55" t="s">
        <v>392</v>
      </c>
      <c r="M4095" s="55" t="s">
        <v>2849</v>
      </c>
      <c r="N4095" s="4" t="s">
        <v>1273</v>
      </c>
      <c r="O4095" s="55" t="s">
        <v>178</v>
      </c>
    </row>
    <row r="4096" spans="2:15">
      <c r="B4096" s="20">
        <v>45593</v>
      </c>
      <c r="C4096" s="59">
        <v>40499</v>
      </c>
      <c r="D4096" s="55" t="s">
        <v>1094</v>
      </c>
      <c r="G4096" s="65">
        <v>7</v>
      </c>
      <c r="H4096" s="56" t="s">
        <v>92</v>
      </c>
      <c r="I4096" s="54">
        <v>8641904620</v>
      </c>
      <c r="K4096" s="56">
        <v>2046</v>
      </c>
      <c r="L4096" s="55" t="s">
        <v>392</v>
      </c>
      <c r="M4096" s="55" t="s">
        <v>2849</v>
      </c>
      <c r="N4096" s="4" t="s">
        <v>1273</v>
      </c>
      <c r="O4096" s="55" t="s">
        <v>178</v>
      </c>
    </row>
    <row r="4097" spans="2:15">
      <c r="B4097" s="20">
        <v>45593</v>
      </c>
      <c r="C4097" s="59">
        <v>50470190</v>
      </c>
      <c r="D4097" s="66" t="s">
        <v>12</v>
      </c>
      <c r="G4097" s="65">
        <v>4347000</v>
      </c>
      <c r="H4097" s="56" t="s">
        <v>92</v>
      </c>
      <c r="I4097" s="54">
        <v>8641898223</v>
      </c>
      <c r="K4097" s="56">
        <v>2047</v>
      </c>
      <c r="L4097" s="55" t="s">
        <v>176</v>
      </c>
      <c r="M4097" s="55" t="s">
        <v>2824</v>
      </c>
      <c r="N4097" s="4" t="s">
        <v>177</v>
      </c>
      <c r="O4097" s="55" t="s">
        <v>178</v>
      </c>
    </row>
    <row r="4098" spans="2:15">
      <c r="B4098" s="20">
        <v>45593</v>
      </c>
      <c r="C4098" s="59">
        <v>50470190</v>
      </c>
      <c r="D4098" s="66" t="s">
        <v>12</v>
      </c>
      <c r="G4098" s="65">
        <v>1159200</v>
      </c>
      <c r="H4098" s="56" t="s">
        <v>92</v>
      </c>
      <c r="I4098" s="54">
        <v>8643737322</v>
      </c>
      <c r="K4098" s="56">
        <v>2047</v>
      </c>
      <c r="L4098" s="55" t="s">
        <v>176</v>
      </c>
      <c r="M4098" s="55" t="s">
        <v>2824</v>
      </c>
      <c r="N4098" s="4" t="s">
        <v>177</v>
      </c>
      <c r="O4098" s="55" t="s">
        <v>178</v>
      </c>
    </row>
    <row r="4099" spans="2:15">
      <c r="B4099" s="20">
        <v>45593</v>
      </c>
      <c r="C4099" s="59">
        <v>50144376</v>
      </c>
      <c r="D4099" s="55" t="s">
        <v>19</v>
      </c>
      <c r="G4099" s="65">
        <v>4000</v>
      </c>
      <c r="H4099" s="56" t="s">
        <v>92</v>
      </c>
      <c r="I4099" s="54">
        <v>8641905484</v>
      </c>
      <c r="K4099" s="56">
        <v>2048</v>
      </c>
      <c r="L4099" s="55" t="s">
        <v>176</v>
      </c>
      <c r="M4099" s="55" t="s">
        <v>2824</v>
      </c>
      <c r="N4099" s="4" t="s">
        <v>177</v>
      </c>
      <c r="O4099" s="55" t="s">
        <v>178</v>
      </c>
    </row>
    <row r="4100" spans="2:15">
      <c r="B4100" s="20">
        <v>45593</v>
      </c>
      <c r="C4100" s="59">
        <v>50272278</v>
      </c>
      <c r="D4100" s="55" t="s">
        <v>21</v>
      </c>
      <c r="G4100" s="65">
        <v>3500</v>
      </c>
      <c r="H4100" s="56" t="s">
        <v>92</v>
      </c>
      <c r="I4100" s="54">
        <v>8641905484</v>
      </c>
      <c r="K4100" s="56">
        <v>2048</v>
      </c>
      <c r="L4100" s="55" t="s">
        <v>176</v>
      </c>
      <c r="M4100" s="55" t="s">
        <v>2824</v>
      </c>
      <c r="N4100" s="4" t="s">
        <v>177</v>
      </c>
      <c r="O4100" s="55" t="s">
        <v>178</v>
      </c>
    </row>
    <row r="4101" spans="2:15">
      <c r="B4101" s="20">
        <v>45593</v>
      </c>
      <c r="C4101" s="59">
        <v>50818960</v>
      </c>
      <c r="D4101" s="55" t="s">
        <v>1167</v>
      </c>
      <c r="G4101" s="65">
        <v>500000</v>
      </c>
      <c r="H4101" s="56" t="s">
        <v>92</v>
      </c>
      <c r="I4101" s="54">
        <v>8641905484</v>
      </c>
      <c r="K4101" s="56">
        <v>2048</v>
      </c>
      <c r="L4101" s="55" t="s">
        <v>176</v>
      </c>
      <c r="M4101" s="55" t="s">
        <v>2824</v>
      </c>
      <c r="N4101" s="4" t="s">
        <v>177</v>
      </c>
      <c r="O4101" s="55" t="s">
        <v>178</v>
      </c>
    </row>
    <row r="4102" spans="2:15">
      <c r="B4102" s="20">
        <v>45593</v>
      </c>
      <c r="C4102" s="59">
        <v>50802401</v>
      </c>
      <c r="D4102" s="55" t="s">
        <v>13</v>
      </c>
      <c r="G4102" s="65">
        <v>1738800</v>
      </c>
      <c r="H4102" s="56" t="s">
        <v>92</v>
      </c>
      <c r="I4102" s="54">
        <v>8641905484</v>
      </c>
      <c r="K4102" s="56">
        <v>2048</v>
      </c>
      <c r="L4102" s="55" t="s">
        <v>176</v>
      </c>
      <c r="M4102" s="55" t="s">
        <v>2824</v>
      </c>
      <c r="N4102" s="4" t="s">
        <v>177</v>
      </c>
      <c r="O4102" s="55" t="s">
        <v>178</v>
      </c>
    </row>
    <row r="4103" spans="2:15">
      <c r="B4103" s="20">
        <v>45594</v>
      </c>
      <c r="C4103" s="59">
        <v>40010087</v>
      </c>
      <c r="D4103" s="55" t="s">
        <v>387</v>
      </c>
      <c r="G4103" s="65">
        <v>2700</v>
      </c>
      <c r="H4103" s="56" t="s">
        <v>80</v>
      </c>
      <c r="I4103" s="54">
        <v>8642310446</v>
      </c>
      <c r="K4103" s="56">
        <v>2049</v>
      </c>
      <c r="L4103" s="55" t="s">
        <v>176</v>
      </c>
      <c r="M4103" s="55" t="s">
        <v>2824</v>
      </c>
      <c r="N4103" s="4" t="s">
        <v>177</v>
      </c>
      <c r="O4103" s="55" t="s">
        <v>178</v>
      </c>
    </row>
    <row r="4104" spans="2:15">
      <c r="B4104" s="20">
        <v>45594</v>
      </c>
      <c r="C4104" s="59">
        <v>50232060</v>
      </c>
      <c r="D4104" s="55" t="s">
        <v>361</v>
      </c>
      <c r="G4104" s="65">
        <v>198000</v>
      </c>
      <c r="H4104" s="56" t="s">
        <v>92</v>
      </c>
      <c r="I4104" s="54">
        <v>8642310446</v>
      </c>
      <c r="K4104" s="56">
        <v>2049</v>
      </c>
      <c r="L4104" s="55" t="s">
        <v>176</v>
      </c>
      <c r="M4104" s="55" t="s">
        <v>2824</v>
      </c>
      <c r="N4104" s="4" t="s">
        <v>177</v>
      </c>
      <c r="O4104" s="55" t="s">
        <v>178</v>
      </c>
    </row>
    <row r="4105" spans="2:15">
      <c r="B4105" s="20">
        <v>45594</v>
      </c>
      <c r="C4105" s="59">
        <v>50811693</v>
      </c>
      <c r="D4105" s="55" t="s">
        <v>1269</v>
      </c>
      <c r="G4105" s="65">
        <v>800000</v>
      </c>
      <c r="H4105" s="56" t="s">
        <v>92</v>
      </c>
      <c r="I4105" s="54">
        <v>8642310446</v>
      </c>
      <c r="K4105" s="56">
        <v>2049</v>
      </c>
      <c r="L4105" s="55" t="s">
        <v>176</v>
      </c>
      <c r="M4105" s="55" t="s">
        <v>2824</v>
      </c>
      <c r="N4105" s="4" t="s">
        <v>177</v>
      </c>
      <c r="O4105" s="55" t="s">
        <v>178</v>
      </c>
    </row>
    <row r="4106" spans="2:15">
      <c r="B4106" s="20">
        <v>45594</v>
      </c>
      <c r="C4106" s="59">
        <v>50829091</v>
      </c>
      <c r="D4106" s="55" t="s">
        <v>1380</v>
      </c>
      <c r="G4106" s="65">
        <v>500000</v>
      </c>
      <c r="H4106" s="56" t="s">
        <v>92</v>
      </c>
      <c r="I4106" s="54">
        <v>8642310446</v>
      </c>
      <c r="K4106" s="56">
        <v>2049</v>
      </c>
      <c r="L4106" s="55" t="s">
        <v>176</v>
      </c>
      <c r="M4106" s="55" t="s">
        <v>2824</v>
      </c>
      <c r="N4106" s="4" t="s">
        <v>177</v>
      </c>
      <c r="O4106" s="55" t="s">
        <v>178</v>
      </c>
    </row>
    <row r="4107" spans="2:15">
      <c r="B4107" s="20">
        <v>45594</v>
      </c>
      <c r="C4107" s="59">
        <v>50818949</v>
      </c>
      <c r="D4107" s="55" t="s">
        <v>1381</v>
      </c>
      <c r="G4107" s="65">
        <v>500000</v>
      </c>
      <c r="H4107" s="56" t="s">
        <v>92</v>
      </c>
      <c r="I4107" s="54">
        <v>8642310446</v>
      </c>
      <c r="K4107" s="56">
        <v>2049</v>
      </c>
      <c r="L4107" s="55" t="s">
        <v>176</v>
      </c>
      <c r="M4107" s="55" t="s">
        <v>2824</v>
      </c>
      <c r="N4107" s="4" t="s">
        <v>177</v>
      </c>
      <c r="O4107" s="55" t="s">
        <v>178</v>
      </c>
    </row>
    <row r="4108" spans="2:15">
      <c r="B4108" s="20">
        <v>45594</v>
      </c>
      <c r="C4108" s="59">
        <v>50837284</v>
      </c>
      <c r="D4108" s="55" t="s">
        <v>28</v>
      </c>
      <c r="G4108" s="65">
        <v>1726.95</v>
      </c>
      <c r="H4108" s="56" t="s">
        <v>82</v>
      </c>
      <c r="I4108" s="54">
        <v>8642310446</v>
      </c>
      <c r="K4108" s="56">
        <v>2049</v>
      </c>
      <c r="L4108" s="55" t="s">
        <v>176</v>
      </c>
      <c r="M4108" s="55" t="s">
        <v>2824</v>
      </c>
      <c r="N4108" s="4" t="s">
        <v>177</v>
      </c>
      <c r="O4108" s="55" t="s">
        <v>178</v>
      </c>
    </row>
    <row r="4109" spans="2:15">
      <c r="B4109" s="20">
        <v>45594</v>
      </c>
      <c r="C4109" s="59">
        <v>50837509</v>
      </c>
      <c r="D4109" s="55" t="s">
        <v>14</v>
      </c>
      <c r="G4109" s="65">
        <v>1159200</v>
      </c>
      <c r="H4109" s="56" t="s">
        <v>92</v>
      </c>
      <c r="I4109" s="54">
        <v>8642310446</v>
      </c>
      <c r="K4109" s="56">
        <v>2049</v>
      </c>
      <c r="L4109" s="55" t="s">
        <v>176</v>
      </c>
      <c r="M4109" s="55" t="s">
        <v>2824</v>
      </c>
      <c r="N4109" s="4" t="s">
        <v>177</v>
      </c>
      <c r="O4109" s="55" t="s">
        <v>178</v>
      </c>
    </row>
    <row r="4110" spans="2:15">
      <c r="B4110" s="20">
        <v>45594</v>
      </c>
      <c r="C4110" s="59">
        <v>50837237</v>
      </c>
      <c r="D4110" s="55" t="s">
        <v>1747</v>
      </c>
      <c r="G4110" s="65">
        <v>2553.85</v>
      </c>
      <c r="H4110" s="56" t="s">
        <v>82</v>
      </c>
      <c r="I4110" s="54">
        <v>8642310446</v>
      </c>
      <c r="K4110" s="56">
        <v>2049</v>
      </c>
      <c r="L4110" s="55" t="s">
        <v>176</v>
      </c>
      <c r="M4110" s="55" t="s">
        <v>2824</v>
      </c>
      <c r="N4110" s="4" t="s">
        <v>177</v>
      </c>
      <c r="O4110" s="55" t="s">
        <v>178</v>
      </c>
    </row>
    <row r="4111" spans="2:15">
      <c r="B4111" s="20">
        <v>45594</v>
      </c>
      <c r="C4111" s="59">
        <v>50272278</v>
      </c>
      <c r="D4111" s="55" t="s">
        <v>21</v>
      </c>
      <c r="G4111" s="65">
        <v>9000</v>
      </c>
      <c r="H4111" s="56" t="s">
        <v>92</v>
      </c>
      <c r="I4111" s="54">
        <v>8642314885</v>
      </c>
      <c r="K4111" s="56">
        <v>2050</v>
      </c>
      <c r="L4111" s="55" t="s">
        <v>176</v>
      </c>
      <c r="M4111" s="55" t="s">
        <v>2824</v>
      </c>
      <c r="N4111" s="4" t="s">
        <v>177</v>
      </c>
      <c r="O4111" s="55" t="s">
        <v>178</v>
      </c>
    </row>
    <row r="4112" spans="2:15">
      <c r="B4112" s="20">
        <v>45594</v>
      </c>
      <c r="C4112" s="59">
        <v>50793278</v>
      </c>
      <c r="D4112" s="55" t="s">
        <v>1086</v>
      </c>
      <c r="G4112" s="65">
        <v>40</v>
      </c>
      <c r="H4112" s="56" t="s">
        <v>1087</v>
      </c>
      <c r="I4112" s="54">
        <v>8642314885</v>
      </c>
      <c r="K4112" s="56">
        <v>2050</v>
      </c>
      <c r="L4112" s="55" t="s">
        <v>176</v>
      </c>
      <c r="M4112" s="55" t="s">
        <v>2824</v>
      </c>
      <c r="N4112" s="4" t="s">
        <v>177</v>
      </c>
      <c r="O4112" s="55" t="s">
        <v>178</v>
      </c>
    </row>
    <row r="4113" spans="2:15">
      <c r="B4113" s="20">
        <v>45594</v>
      </c>
      <c r="C4113" s="59">
        <v>40499</v>
      </c>
      <c r="D4113" s="55" t="s">
        <v>1094</v>
      </c>
      <c r="G4113" s="65">
        <v>36</v>
      </c>
      <c r="H4113" s="56" t="s">
        <v>92</v>
      </c>
      <c r="I4113" s="54">
        <v>8642314885</v>
      </c>
      <c r="K4113" s="56">
        <v>2050</v>
      </c>
      <c r="L4113" s="55" t="s">
        <v>176</v>
      </c>
      <c r="M4113" s="55" t="s">
        <v>2824</v>
      </c>
      <c r="N4113" s="4" t="s">
        <v>177</v>
      </c>
      <c r="O4113" s="55" t="s">
        <v>178</v>
      </c>
    </row>
    <row r="4114" spans="2:15">
      <c r="B4114" s="20">
        <v>45594</v>
      </c>
      <c r="C4114" s="59">
        <v>50145028</v>
      </c>
      <c r="D4114" s="55" t="s">
        <v>23</v>
      </c>
      <c r="G4114" s="65">
        <v>192</v>
      </c>
      <c r="H4114" s="56" t="s">
        <v>962</v>
      </c>
      <c r="I4114" s="54" t="s">
        <v>2874</v>
      </c>
      <c r="K4114" s="56">
        <v>2051</v>
      </c>
      <c r="L4114" s="55" t="s">
        <v>326</v>
      </c>
      <c r="M4114" s="55" t="s">
        <v>2918</v>
      </c>
      <c r="O4114" s="55" t="s">
        <v>178</v>
      </c>
    </row>
    <row r="4115" spans="2:15">
      <c r="B4115" s="20">
        <v>45595</v>
      </c>
      <c r="C4115" s="59">
        <v>50010080</v>
      </c>
      <c r="D4115" s="55" t="s">
        <v>1657</v>
      </c>
      <c r="G4115" s="65">
        <v>2000</v>
      </c>
      <c r="H4115" s="56" t="s">
        <v>82</v>
      </c>
      <c r="I4115" s="54">
        <v>8642784580</v>
      </c>
      <c r="K4115" s="56">
        <v>2052</v>
      </c>
      <c r="L4115" s="55" t="s">
        <v>392</v>
      </c>
      <c r="M4115" s="55" t="s">
        <v>2824</v>
      </c>
      <c r="N4115" s="4" t="s">
        <v>2071</v>
      </c>
      <c r="O4115" s="55" t="s">
        <v>178</v>
      </c>
    </row>
    <row r="4116" spans="2:15">
      <c r="B4116" s="20">
        <v>45595</v>
      </c>
      <c r="C4116" s="59">
        <v>40010087</v>
      </c>
      <c r="D4116" s="55" t="s">
        <v>387</v>
      </c>
      <c r="G4116" s="65">
        <v>3516</v>
      </c>
      <c r="H4116" s="56" t="s">
        <v>80</v>
      </c>
      <c r="I4116" s="54">
        <v>8642784580</v>
      </c>
      <c r="K4116" s="56">
        <v>2052</v>
      </c>
      <c r="L4116" s="55" t="s">
        <v>392</v>
      </c>
      <c r="M4116" s="55" t="s">
        <v>2824</v>
      </c>
      <c r="N4116" s="4" t="s">
        <v>2071</v>
      </c>
      <c r="O4116" s="55" t="s">
        <v>178</v>
      </c>
    </row>
    <row r="4117" spans="2:15">
      <c r="B4117" s="20">
        <v>45595</v>
      </c>
      <c r="C4117" s="59">
        <v>50815429</v>
      </c>
      <c r="D4117" s="55" t="s">
        <v>1607</v>
      </c>
      <c r="G4117" s="65">
        <v>1584000</v>
      </c>
      <c r="H4117" s="56" t="s">
        <v>92</v>
      </c>
      <c r="I4117" s="54">
        <v>8642784580</v>
      </c>
      <c r="K4117" s="56">
        <v>2052</v>
      </c>
      <c r="L4117" s="55" t="s">
        <v>392</v>
      </c>
      <c r="M4117" s="55" t="s">
        <v>2824</v>
      </c>
      <c r="N4117" s="4" t="s">
        <v>2071</v>
      </c>
      <c r="O4117" s="55" t="s">
        <v>178</v>
      </c>
    </row>
    <row r="4118" spans="2:15">
      <c r="B4118" s="20">
        <v>45595</v>
      </c>
      <c r="C4118" s="59">
        <v>40011148</v>
      </c>
      <c r="D4118" s="55" t="s">
        <v>86</v>
      </c>
      <c r="G4118" s="65">
        <v>1350</v>
      </c>
      <c r="H4118" s="56" t="s">
        <v>80</v>
      </c>
      <c r="I4118" s="54" t="s">
        <v>2874</v>
      </c>
      <c r="K4118" s="56">
        <v>2052</v>
      </c>
      <c r="L4118" s="55" t="s">
        <v>392</v>
      </c>
      <c r="M4118" s="55" t="s">
        <v>2824</v>
      </c>
      <c r="N4118" s="4" t="s">
        <v>2071</v>
      </c>
      <c r="O4118" s="55" t="s">
        <v>178</v>
      </c>
    </row>
    <row r="4119" spans="2:15">
      <c r="B4119" s="20">
        <v>45595</v>
      </c>
      <c r="C4119" s="59">
        <v>50811693</v>
      </c>
      <c r="D4119" s="55" t="s">
        <v>1269</v>
      </c>
      <c r="G4119" s="65">
        <v>800000</v>
      </c>
      <c r="H4119" s="56" t="s">
        <v>92</v>
      </c>
      <c r="I4119" s="54">
        <v>8642784580</v>
      </c>
      <c r="K4119" s="56">
        <v>2052</v>
      </c>
      <c r="L4119" s="55" t="s">
        <v>392</v>
      </c>
      <c r="M4119" s="55" t="s">
        <v>2824</v>
      </c>
      <c r="N4119" s="4" t="s">
        <v>2071</v>
      </c>
      <c r="O4119" s="55" t="s">
        <v>178</v>
      </c>
    </row>
    <row r="4120" spans="2:15">
      <c r="B4120" s="20">
        <v>45595</v>
      </c>
      <c r="C4120" s="59">
        <v>50829091</v>
      </c>
      <c r="D4120" s="55" t="s">
        <v>1380</v>
      </c>
      <c r="G4120" s="65">
        <v>1000000</v>
      </c>
      <c r="H4120" s="56" t="s">
        <v>92</v>
      </c>
      <c r="I4120" s="54">
        <v>8642784580</v>
      </c>
      <c r="K4120" s="56">
        <v>2052</v>
      </c>
      <c r="L4120" s="55" t="s">
        <v>392</v>
      </c>
      <c r="M4120" s="55" t="s">
        <v>2824</v>
      </c>
      <c r="N4120" s="4" t="s">
        <v>2071</v>
      </c>
      <c r="O4120" s="55" t="s">
        <v>178</v>
      </c>
    </row>
    <row r="4121" spans="2:15">
      <c r="B4121" s="20">
        <v>45595</v>
      </c>
      <c r="C4121" s="59">
        <v>50818949</v>
      </c>
      <c r="D4121" s="55" t="s">
        <v>1381</v>
      </c>
      <c r="G4121" s="65">
        <v>1800000</v>
      </c>
      <c r="H4121" s="56" t="s">
        <v>92</v>
      </c>
      <c r="I4121" s="54">
        <v>8642784580</v>
      </c>
      <c r="K4121" s="56">
        <v>2052</v>
      </c>
      <c r="L4121" s="55" t="s">
        <v>392</v>
      </c>
      <c r="M4121" s="55" t="s">
        <v>2824</v>
      </c>
      <c r="N4121" s="4" t="s">
        <v>2071</v>
      </c>
      <c r="O4121" s="55" t="s">
        <v>178</v>
      </c>
    </row>
    <row r="4122" spans="2:15">
      <c r="B4122" s="20">
        <v>45595</v>
      </c>
      <c r="C4122" s="59">
        <v>50837284</v>
      </c>
      <c r="D4122" s="55" t="s">
        <v>28</v>
      </c>
      <c r="G4122" s="65">
        <v>1798.35</v>
      </c>
      <c r="H4122" s="56" t="s">
        <v>82</v>
      </c>
      <c r="I4122" s="54">
        <v>8642784580</v>
      </c>
      <c r="K4122" s="56">
        <v>2052</v>
      </c>
      <c r="L4122" s="55" t="s">
        <v>392</v>
      </c>
      <c r="M4122" s="55" t="s">
        <v>2824</v>
      </c>
      <c r="N4122" s="4" t="s">
        <v>2071</v>
      </c>
      <c r="O4122" s="55" t="s">
        <v>178</v>
      </c>
    </row>
    <row r="4123" spans="2:15">
      <c r="B4123" s="20">
        <v>45595</v>
      </c>
      <c r="C4123" s="59">
        <v>50272278</v>
      </c>
      <c r="D4123" s="55" t="s">
        <v>21</v>
      </c>
      <c r="G4123" s="65">
        <v>6000</v>
      </c>
      <c r="H4123" s="56" t="s">
        <v>92</v>
      </c>
      <c r="I4123" s="54">
        <v>8642786355</v>
      </c>
      <c r="K4123" s="56">
        <v>2053</v>
      </c>
      <c r="L4123" s="55" t="s">
        <v>392</v>
      </c>
      <c r="M4123" s="55" t="s">
        <v>2824</v>
      </c>
      <c r="N4123" s="4" t="s">
        <v>2071</v>
      </c>
      <c r="O4123" s="55" t="s">
        <v>178</v>
      </c>
    </row>
    <row r="4124" spans="2:15">
      <c r="B4124" s="20">
        <v>45595</v>
      </c>
      <c r="C4124" s="59">
        <v>50793278</v>
      </c>
      <c r="D4124" s="55" t="s">
        <v>1086</v>
      </c>
      <c r="G4124" s="65">
        <v>40</v>
      </c>
      <c r="H4124" s="56" t="s">
        <v>2313</v>
      </c>
      <c r="I4124" s="54">
        <v>8642786355</v>
      </c>
      <c r="K4124" s="56">
        <v>2053</v>
      </c>
      <c r="L4124" s="55" t="s">
        <v>392</v>
      </c>
      <c r="M4124" s="55" t="s">
        <v>2824</v>
      </c>
      <c r="N4124" s="4" t="s">
        <v>2071</v>
      </c>
      <c r="O4124" s="55" t="s">
        <v>178</v>
      </c>
    </row>
    <row r="4125" spans="2:15">
      <c r="B4125" s="20">
        <v>45595</v>
      </c>
      <c r="C4125" s="59">
        <v>50142327</v>
      </c>
      <c r="D4125" s="55" t="s">
        <v>256</v>
      </c>
      <c r="G4125" s="65">
        <v>1430.1</v>
      </c>
      <c r="H4125" s="56" t="s">
        <v>82</v>
      </c>
      <c r="I4125" s="54">
        <v>8642786355</v>
      </c>
      <c r="K4125" s="56">
        <v>2053</v>
      </c>
      <c r="L4125" s="55" t="s">
        <v>392</v>
      </c>
      <c r="M4125" s="55" t="s">
        <v>2824</v>
      </c>
      <c r="N4125" s="4" t="s">
        <v>2071</v>
      </c>
      <c r="O4125" s="55" t="s">
        <v>178</v>
      </c>
    </row>
    <row r="4126" spans="2:15">
      <c r="B4126" s="20">
        <v>45595</v>
      </c>
      <c r="C4126" s="59">
        <v>50142334</v>
      </c>
      <c r="D4126" s="55" t="s">
        <v>257</v>
      </c>
      <c r="G4126" s="65">
        <v>1430.1</v>
      </c>
      <c r="H4126" s="56" t="s">
        <v>82</v>
      </c>
      <c r="I4126" s="54">
        <v>8642786355</v>
      </c>
      <c r="K4126" s="56">
        <v>2053</v>
      </c>
      <c r="L4126" s="55" t="s">
        <v>392</v>
      </c>
      <c r="M4126" s="55" t="s">
        <v>2824</v>
      </c>
      <c r="N4126" s="4" t="s">
        <v>2071</v>
      </c>
      <c r="O4126" s="55" t="s">
        <v>178</v>
      </c>
    </row>
    <row r="4127" spans="2:15">
      <c r="B4127" s="20">
        <v>45595</v>
      </c>
      <c r="C4127" s="59">
        <v>40499</v>
      </c>
      <c r="D4127" s="55" t="s">
        <v>1094</v>
      </c>
      <c r="G4127" s="65">
        <v>24</v>
      </c>
      <c r="H4127" s="56" t="s">
        <v>92</v>
      </c>
      <c r="I4127" s="54">
        <v>8642786355</v>
      </c>
      <c r="K4127" s="56">
        <v>2053</v>
      </c>
      <c r="L4127" s="55" t="s">
        <v>392</v>
      </c>
      <c r="M4127" s="55" t="s">
        <v>2824</v>
      </c>
      <c r="N4127" s="4" t="s">
        <v>2071</v>
      </c>
      <c r="O4127" s="55" t="s">
        <v>178</v>
      </c>
    </row>
    <row r="4128" spans="2:15">
      <c r="B4128" s="20">
        <v>45596</v>
      </c>
      <c r="C4128" s="59">
        <v>50272278</v>
      </c>
      <c r="D4128" s="55" t="s">
        <v>21</v>
      </c>
      <c r="G4128" s="65">
        <v>11250</v>
      </c>
      <c r="H4128" s="56" t="s">
        <v>92</v>
      </c>
      <c r="I4128" s="54">
        <v>8643248355</v>
      </c>
      <c r="K4128" s="56">
        <v>2054</v>
      </c>
      <c r="L4128" s="55" t="s">
        <v>176</v>
      </c>
      <c r="M4128" s="55" t="s">
        <v>2824</v>
      </c>
      <c r="N4128" s="4" t="s">
        <v>177</v>
      </c>
      <c r="O4128" s="55" t="s">
        <v>178</v>
      </c>
    </row>
    <row r="4129" spans="2:15">
      <c r="B4129" s="20">
        <v>45596</v>
      </c>
      <c r="C4129" s="59">
        <v>40499</v>
      </c>
      <c r="D4129" s="55" t="s">
        <v>1094</v>
      </c>
      <c r="G4129" s="65">
        <v>44</v>
      </c>
      <c r="H4129" s="56" t="s">
        <v>92</v>
      </c>
      <c r="I4129" s="54">
        <v>8643248355</v>
      </c>
      <c r="K4129" s="56">
        <v>2054</v>
      </c>
      <c r="L4129" s="55" t="s">
        <v>176</v>
      </c>
      <c r="M4129" s="55" t="s">
        <v>2824</v>
      </c>
      <c r="N4129" s="4" t="s">
        <v>177</v>
      </c>
      <c r="O4129" s="55" t="s">
        <v>178</v>
      </c>
    </row>
    <row r="4130" spans="2:15">
      <c r="B4130" s="20">
        <v>45597</v>
      </c>
      <c r="C4130" s="59">
        <v>50470190</v>
      </c>
      <c r="D4130" s="55" t="s">
        <v>12</v>
      </c>
      <c r="G4130" s="65">
        <v>3477600</v>
      </c>
      <c r="H4130" s="56" t="s">
        <v>92</v>
      </c>
      <c r="I4130" s="54">
        <v>8643737230</v>
      </c>
      <c r="K4130" s="56">
        <v>2055</v>
      </c>
      <c r="L4130" s="55" t="s">
        <v>176</v>
      </c>
      <c r="M4130" s="55" t="s">
        <v>2824</v>
      </c>
      <c r="N4130" s="4" t="s">
        <v>177</v>
      </c>
      <c r="O4130" s="55" t="s">
        <v>178</v>
      </c>
    </row>
    <row r="4131" spans="2:15">
      <c r="B4131" s="20">
        <v>45597</v>
      </c>
      <c r="C4131" s="59">
        <v>50802401</v>
      </c>
      <c r="D4131" s="55" t="s">
        <v>13</v>
      </c>
      <c r="G4131" s="65">
        <v>1738800</v>
      </c>
      <c r="H4131" s="56" t="s">
        <v>92</v>
      </c>
      <c r="I4131" s="54">
        <v>8643731712</v>
      </c>
      <c r="K4131" s="56">
        <v>2055</v>
      </c>
      <c r="L4131" s="55" t="s">
        <v>176</v>
      </c>
      <c r="M4131" s="55" t="s">
        <v>2824</v>
      </c>
      <c r="N4131" s="4" t="s">
        <v>177</v>
      </c>
      <c r="O4131" s="55" t="s">
        <v>178</v>
      </c>
    </row>
    <row r="4132" spans="2:15">
      <c r="B4132" s="20">
        <v>45597</v>
      </c>
      <c r="C4132" s="59">
        <v>50143893</v>
      </c>
      <c r="D4132" s="55" t="s">
        <v>24</v>
      </c>
      <c r="G4132" s="65">
        <v>1320</v>
      </c>
      <c r="H4132" s="56" t="s">
        <v>82</v>
      </c>
      <c r="I4132" s="54" t="s">
        <v>2874</v>
      </c>
      <c r="K4132" s="56">
        <v>2056</v>
      </c>
      <c r="L4132" s="55" t="s">
        <v>392</v>
      </c>
      <c r="M4132" s="55" t="s">
        <v>2849</v>
      </c>
      <c r="N4132" s="4" t="s">
        <v>2851</v>
      </c>
      <c r="O4132" s="55" t="s">
        <v>178</v>
      </c>
    </row>
    <row r="4133" spans="2:15">
      <c r="B4133" s="20">
        <v>45597</v>
      </c>
      <c r="C4133" s="59">
        <v>50272278</v>
      </c>
      <c r="D4133" s="55" t="s">
        <v>21</v>
      </c>
      <c r="G4133" s="65">
        <v>350</v>
      </c>
      <c r="H4133" s="56" t="s">
        <v>92</v>
      </c>
      <c r="I4133" s="54" t="s">
        <v>2874</v>
      </c>
      <c r="K4133" s="56">
        <v>2056</v>
      </c>
      <c r="L4133" s="55" t="s">
        <v>392</v>
      </c>
      <c r="M4133" s="55" t="s">
        <v>2849</v>
      </c>
      <c r="N4133" s="4" t="s">
        <v>2851</v>
      </c>
      <c r="O4133" s="55" t="s">
        <v>178</v>
      </c>
    </row>
    <row r="4134" spans="2:15">
      <c r="B4134" s="20">
        <v>45597</v>
      </c>
      <c r="C4134" s="59">
        <v>50515034</v>
      </c>
      <c r="D4134" s="55" t="s">
        <v>41</v>
      </c>
      <c r="G4134" s="65">
        <v>115.2</v>
      </c>
      <c r="H4134" s="56" t="s">
        <v>80</v>
      </c>
      <c r="I4134" s="54" t="s">
        <v>2874</v>
      </c>
      <c r="K4134" s="56">
        <v>2056</v>
      </c>
      <c r="L4134" s="55" t="s">
        <v>392</v>
      </c>
      <c r="M4134" s="55" t="s">
        <v>2849</v>
      </c>
      <c r="N4134" s="4" t="s">
        <v>2851</v>
      </c>
      <c r="O4134" s="55" t="s">
        <v>178</v>
      </c>
    </row>
    <row r="4135" spans="2:15">
      <c r="B4135" s="20">
        <v>45597</v>
      </c>
      <c r="C4135" s="59">
        <v>50834329</v>
      </c>
      <c r="D4135" s="55" t="s">
        <v>1475</v>
      </c>
      <c r="G4135" s="65">
        <v>289</v>
      </c>
      <c r="H4135" s="56" t="s">
        <v>82</v>
      </c>
      <c r="I4135" s="54" t="s">
        <v>2874</v>
      </c>
      <c r="K4135" s="56">
        <v>2056</v>
      </c>
      <c r="L4135" s="55" t="s">
        <v>392</v>
      </c>
      <c r="M4135" s="55" t="s">
        <v>2849</v>
      </c>
      <c r="N4135" s="4" t="s">
        <v>2851</v>
      </c>
      <c r="O4135" s="55" t="s">
        <v>178</v>
      </c>
    </row>
    <row r="4136" spans="2:15">
      <c r="B4136" s="20">
        <v>45597</v>
      </c>
      <c r="C4136" s="59">
        <v>50010080</v>
      </c>
      <c r="D4136" s="55" t="s">
        <v>1657</v>
      </c>
      <c r="G4136" s="65">
        <v>3000</v>
      </c>
      <c r="H4136" s="56" t="s">
        <v>82</v>
      </c>
      <c r="I4136" s="54">
        <v>8643737147</v>
      </c>
      <c r="K4136" s="56">
        <v>2057</v>
      </c>
      <c r="L4136" s="55" t="s">
        <v>176</v>
      </c>
      <c r="M4136" s="55" t="s">
        <v>2824</v>
      </c>
      <c r="N4136" s="4" t="s">
        <v>177</v>
      </c>
      <c r="O4136" s="55" t="s">
        <v>178</v>
      </c>
    </row>
    <row r="4137" spans="2:15">
      <c r="B4137" s="20">
        <v>45597</v>
      </c>
      <c r="C4137" s="59">
        <v>50272278</v>
      </c>
      <c r="D4137" s="55" t="s">
        <v>21</v>
      </c>
      <c r="G4137" s="65">
        <v>5400</v>
      </c>
      <c r="H4137" s="56" t="s">
        <v>92</v>
      </c>
      <c r="I4137" s="54">
        <v>8643737147</v>
      </c>
      <c r="K4137" s="56">
        <v>2057</v>
      </c>
      <c r="L4137" s="55" t="s">
        <v>176</v>
      </c>
      <c r="M4137" s="55" t="s">
        <v>2824</v>
      </c>
      <c r="N4137" s="4" t="s">
        <v>177</v>
      </c>
      <c r="O4137" s="55" t="s">
        <v>178</v>
      </c>
    </row>
    <row r="4138" spans="2:15">
      <c r="B4138" s="20">
        <v>45597</v>
      </c>
      <c r="C4138" s="59">
        <v>50142327</v>
      </c>
      <c r="D4138" s="55" t="s">
        <v>256</v>
      </c>
      <c r="G4138" s="65">
        <v>1430.1</v>
      </c>
      <c r="H4138" s="56" t="s">
        <v>82</v>
      </c>
      <c r="I4138" s="54">
        <v>8643737147</v>
      </c>
      <c r="K4138" s="56">
        <v>2057</v>
      </c>
      <c r="L4138" s="55" t="s">
        <v>176</v>
      </c>
      <c r="M4138" s="55" t="s">
        <v>2824</v>
      </c>
      <c r="N4138" s="4" t="s">
        <v>177</v>
      </c>
      <c r="O4138" s="55" t="s">
        <v>178</v>
      </c>
    </row>
    <row r="4139" spans="2:15">
      <c r="B4139" s="20">
        <v>45597</v>
      </c>
      <c r="C4139" s="59">
        <v>50142334</v>
      </c>
      <c r="D4139" s="55" t="s">
        <v>257</v>
      </c>
      <c r="G4139" s="65">
        <v>2383.5</v>
      </c>
      <c r="H4139" s="56" t="s">
        <v>82</v>
      </c>
      <c r="I4139" s="54">
        <v>8643737147</v>
      </c>
      <c r="K4139" s="56">
        <v>2057</v>
      </c>
      <c r="L4139" s="55" t="s">
        <v>176</v>
      </c>
      <c r="M4139" s="55" t="s">
        <v>2824</v>
      </c>
      <c r="N4139" s="4" t="s">
        <v>177</v>
      </c>
      <c r="O4139" s="55" t="s">
        <v>178</v>
      </c>
    </row>
    <row r="4140" spans="2:15">
      <c r="B4140" s="20">
        <v>45598</v>
      </c>
      <c r="C4140" s="59">
        <v>40014675</v>
      </c>
      <c r="D4140" s="55" t="s">
        <v>44</v>
      </c>
      <c r="G4140" s="65">
        <v>37.44</v>
      </c>
      <c r="H4140" s="56" t="s">
        <v>80</v>
      </c>
      <c r="I4140" s="54">
        <v>8646152381</v>
      </c>
      <c r="K4140" s="56" t="s">
        <v>2919</v>
      </c>
      <c r="L4140" s="55" t="s">
        <v>2876</v>
      </c>
      <c r="M4140" s="55" t="s">
        <v>2824</v>
      </c>
      <c r="O4140" s="55" t="s">
        <v>178</v>
      </c>
    </row>
    <row r="4141" spans="2:15">
      <c r="B4141" s="20">
        <v>45598</v>
      </c>
      <c r="C4141" s="59">
        <v>40014675</v>
      </c>
      <c r="D4141" s="55" t="s">
        <v>44</v>
      </c>
      <c r="G4141" s="65">
        <v>37.44</v>
      </c>
      <c r="H4141" s="56" t="s">
        <v>80</v>
      </c>
      <c r="I4141" s="54">
        <v>8646152458</v>
      </c>
      <c r="K4141" s="56" t="s">
        <v>2920</v>
      </c>
      <c r="L4141" s="55" t="s">
        <v>2876</v>
      </c>
      <c r="M4141" s="55" t="s">
        <v>2824</v>
      </c>
      <c r="O4141" s="55" t="s">
        <v>178</v>
      </c>
    </row>
    <row r="4142" spans="2:15">
      <c r="B4142" s="20">
        <v>45598</v>
      </c>
      <c r="C4142" s="59">
        <v>40014675</v>
      </c>
      <c r="D4142" s="55" t="s">
        <v>44</v>
      </c>
      <c r="G4142" s="65">
        <v>37.44</v>
      </c>
      <c r="H4142" s="56" t="s">
        <v>80</v>
      </c>
      <c r="I4142" s="54">
        <v>8646152474</v>
      </c>
      <c r="K4142" s="56" t="s">
        <v>2921</v>
      </c>
      <c r="L4142" s="55" t="s">
        <v>2876</v>
      </c>
      <c r="M4142" s="55" t="s">
        <v>2824</v>
      </c>
      <c r="O4142" s="55" t="s">
        <v>178</v>
      </c>
    </row>
    <row r="4143" spans="2:15">
      <c r="B4143" s="20">
        <v>45598</v>
      </c>
      <c r="C4143" s="59">
        <v>40014675</v>
      </c>
      <c r="D4143" s="55" t="s">
        <v>44</v>
      </c>
      <c r="G4143" s="65">
        <v>37.44</v>
      </c>
      <c r="H4143" s="56" t="s">
        <v>80</v>
      </c>
      <c r="I4143" s="54">
        <v>8646152475</v>
      </c>
      <c r="K4143" s="56" t="s">
        <v>2922</v>
      </c>
      <c r="L4143" s="55" t="s">
        <v>2876</v>
      </c>
      <c r="M4143" s="55" t="s">
        <v>2824</v>
      </c>
      <c r="O4143" s="55" t="s">
        <v>178</v>
      </c>
    </row>
    <row r="4144" spans="2:15">
      <c r="B4144" s="20">
        <v>45598</v>
      </c>
      <c r="C4144" s="59">
        <v>40014675</v>
      </c>
      <c r="D4144" s="55" t="s">
        <v>44</v>
      </c>
      <c r="G4144" s="65">
        <v>37.44</v>
      </c>
      <c r="H4144" s="56" t="s">
        <v>80</v>
      </c>
      <c r="I4144" s="54">
        <v>8646152481</v>
      </c>
      <c r="K4144" s="56" t="s">
        <v>2923</v>
      </c>
      <c r="L4144" s="55" t="s">
        <v>2876</v>
      </c>
      <c r="M4144" s="55" t="s">
        <v>2824</v>
      </c>
      <c r="O4144" s="55" t="s">
        <v>178</v>
      </c>
    </row>
    <row r="4145" spans="2:15">
      <c r="B4145" s="20">
        <v>45598</v>
      </c>
      <c r="C4145" s="59">
        <v>40014675</v>
      </c>
      <c r="D4145" s="55" t="s">
        <v>44</v>
      </c>
      <c r="G4145" s="65">
        <v>37.44</v>
      </c>
      <c r="H4145" s="56" t="s">
        <v>80</v>
      </c>
      <c r="I4145" s="54">
        <v>8646152509</v>
      </c>
      <c r="K4145" s="56" t="s">
        <v>2924</v>
      </c>
      <c r="L4145" s="55" t="s">
        <v>2876</v>
      </c>
      <c r="M4145" s="55" t="s">
        <v>2824</v>
      </c>
      <c r="O4145" s="55" t="s">
        <v>178</v>
      </c>
    </row>
    <row r="4146" spans="2:15">
      <c r="B4146" s="20">
        <v>45598</v>
      </c>
      <c r="C4146" s="59">
        <v>40014675</v>
      </c>
      <c r="D4146" s="55" t="s">
        <v>44</v>
      </c>
      <c r="G4146" s="65">
        <v>37.44</v>
      </c>
      <c r="H4146" s="56" t="s">
        <v>80</v>
      </c>
      <c r="I4146" s="54">
        <v>8646152515</v>
      </c>
      <c r="K4146" s="56" t="s">
        <v>2925</v>
      </c>
      <c r="L4146" s="55" t="s">
        <v>2876</v>
      </c>
      <c r="M4146" s="55" t="s">
        <v>2824</v>
      </c>
      <c r="O4146" s="55" t="s">
        <v>178</v>
      </c>
    </row>
    <row r="4147" spans="2:15">
      <c r="B4147" s="20">
        <v>45598</v>
      </c>
      <c r="C4147" s="59">
        <v>40014675</v>
      </c>
      <c r="D4147" s="55" t="s">
        <v>44</v>
      </c>
      <c r="G4147" s="65">
        <v>37.44</v>
      </c>
      <c r="H4147" s="56" t="s">
        <v>80</v>
      </c>
      <c r="I4147" s="54">
        <v>8646152522</v>
      </c>
      <c r="K4147" s="56" t="s">
        <v>2926</v>
      </c>
      <c r="L4147" s="55" t="s">
        <v>2876</v>
      </c>
      <c r="M4147" s="55" t="s">
        <v>2824</v>
      </c>
      <c r="O4147" s="55" t="s">
        <v>178</v>
      </c>
    </row>
    <row r="4148" spans="2:15">
      <c r="B4148" s="20">
        <v>45598</v>
      </c>
      <c r="C4148" s="59">
        <v>40014675</v>
      </c>
      <c r="D4148" s="55" t="s">
        <v>44</v>
      </c>
      <c r="G4148" s="65">
        <v>37.44</v>
      </c>
      <c r="H4148" s="56" t="s">
        <v>80</v>
      </c>
      <c r="I4148" s="54">
        <v>8646152539</v>
      </c>
      <c r="K4148" s="56" t="s">
        <v>2927</v>
      </c>
      <c r="L4148" s="55" t="s">
        <v>2876</v>
      </c>
      <c r="M4148" s="55" t="s">
        <v>2824</v>
      </c>
      <c r="O4148" s="55" t="s">
        <v>178</v>
      </c>
    </row>
    <row r="4149" spans="2:15">
      <c r="B4149" s="20">
        <v>45598</v>
      </c>
      <c r="C4149" s="59">
        <v>40014675</v>
      </c>
      <c r="D4149" s="55" t="s">
        <v>44</v>
      </c>
      <c r="G4149" s="65">
        <v>37.44</v>
      </c>
      <c r="H4149" s="56" t="s">
        <v>80</v>
      </c>
      <c r="I4149" s="54">
        <v>8646152556</v>
      </c>
      <c r="K4149" s="56" t="s">
        <v>2928</v>
      </c>
      <c r="L4149" s="55" t="s">
        <v>2876</v>
      </c>
      <c r="M4149" s="55" t="s">
        <v>2824</v>
      </c>
      <c r="O4149" s="55" t="s">
        <v>178</v>
      </c>
    </row>
    <row r="4150" spans="2:15">
      <c r="B4150" s="20">
        <v>45598</v>
      </c>
      <c r="C4150" s="59">
        <v>50272278</v>
      </c>
      <c r="D4150" s="55" t="s">
        <v>21</v>
      </c>
      <c r="G4150" s="65">
        <v>5100</v>
      </c>
      <c r="H4150" s="56" t="s">
        <v>92</v>
      </c>
      <c r="I4150" s="54">
        <v>8644206605</v>
      </c>
      <c r="K4150" s="56">
        <v>2058</v>
      </c>
      <c r="L4150" s="55" t="s">
        <v>176</v>
      </c>
      <c r="M4150" s="55" t="s">
        <v>2824</v>
      </c>
      <c r="N4150" s="4" t="s">
        <v>177</v>
      </c>
      <c r="O4150" s="55" t="s">
        <v>178</v>
      </c>
    </row>
    <row r="4151" spans="2:15">
      <c r="B4151" s="20">
        <v>45598</v>
      </c>
      <c r="C4151" s="59">
        <v>50143875</v>
      </c>
      <c r="D4151" s="55" t="s">
        <v>713</v>
      </c>
      <c r="G4151" s="65">
        <v>10000</v>
      </c>
      <c r="H4151" s="56" t="s">
        <v>92</v>
      </c>
      <c r="I4151" s="54">
        <v>8646151869</v>
      </c>
      <c r="K4151" s="56">
        <v>2058</v>
      </c>
      <c r="L4151" s="55" t="s">
        <v>176</v>
      </c>
      <c r="M4151" s="55" t="s">
        <v>2824</v>
      </c>
      <c r="N4151" s="4" t="s">
        <v>177</v>
      </c>
      <c r="O4151" s="55" t="s">
        <v>178</v>
      </c>
    </row>
    <row r="4152" spans="2:15">
      <c r="B4152" s="20">
        <v>45598</v>
      </c>
      <c r="C4152" s="59">
        <v>50470190</v>
      </c>
      <c r="D4152" s="55" t="s">
        <v>12</v>
      </c>
      <c r="G4152" s="65">
        <v>2318400</v>
      </c>
      <c r="H4152" s="56" t="s">
        <v>92</v>
      </c>
      <c r="I4152" s="54">
        <v>8644206605</v>
      </c>
      <c r="K4152" s="56">
        <v>2058</v>
      </c>
      <c r="L4152" s="55" t="s">
        <v>176</v>
      </c>
      <c r="M4152" s="55" t="s">
        <v>2824</v>
      </c>
      <c r="N4152" s="4" t="s">
        <v>177</v>
      </c>
      <c r="O4152" s="55" t="s">
        <v>178</v>
      </c>
    </row>
    <row r="4153" spans="2:15">
      <c r="B4153" s="20">
        <v>45598</v>
      </c>
      <c r="C4153" s="59">
        <v>40499</v>
      </c>
      <c r="D4153" s="55" t="s">
        <v>1094</v>
      </c>
      <c r="G4153" s="65">
        <v>20</v>
      </c>
      <c r="H4153" s="56" t="s">
        <v>92</v>
      </c>
      <c r="K4153" s="56">
        <v>2058</v>
      </c>
      <c r="L4153" s="55" t="s">
        <v>176</v>
      </c>
      <c r="M4153" s="55" t="s">
        <v>2824</v>
      </c>
      <c r="N4153" s="4" t="s">
        <v>177</v>
      </c>
      <c r="O4153" s="55" t="s">
        <v>178</v>
      </c>
    </row>
    <row r="4154" spans="2:15">
      <c r="B4154" s="20">
        <v>45599</v>
      </c>
      <c r="C4154" s="59">
        <v>40014675</v>
      </c>
      <c r="D4154" s="55" t="s">
        <v>44</v>
      </c>
      <c r="G4154" s="65">
        <v>37.44</v>
      </c>
      <c r="H4154" s="56" t="s">
        <v>80</v>
      </c>
      <c r="I4154" s="54">
        <v>8646152560</v>
      </c>
      <c r="K4154" s="56" t="s">
        <v>2929</v>
      </c>
      <c r="L4154" s="55" t="s">
        <v>2876</v>
      </c>
      <c r="M4154" s="55" t="s">
        <v>2824</v>
      </c>
      <c r="O4154" s="55" t="s">
        <v>178</v>
      </c>
    </row>
    <row r="4155" spans="2:15">
      <c r="B4155" s="20">
        <v>45599</v>
      </c>
      <c r="C4155" s="59">
        <v>40014675</v>
      </c>
      <c r="D4155" s="55" t="s">
        <v>44</v>
      </c>
      <c r="G4155" s="65">
        <v>37.44</v>
      </c>
      <c r="H4155" s="56" t="s">
        <v>80</v>
      </c>
      <c r="I4155" s="54">
        <v>8646152561</v>
      </c>
      <c r="K4155" s="56" t="s">
        <v>2930</v>
      </c>
      <c r="L4155" s="55" t="s">
        <v>2876</v>
      </c>
      <c r="M4155" s="55" t="s">
        <v>2824</v>
      </c>
      <c r="O4155" s="55" t="s">
        <v>178</v>
      </c>
    </row>
    <row r="4156" spans="2:15">
      <c r="B4156" s="20">
        <v>45599</v>
      </c>
      <c r="C4156" s="59">
        <v>40014675</v>
      </c>
      <c r="D4156" s="55" t="s">
        <v>44</v>
      </c>
      <c r="G4156" s="65">
        <v>37.44</v>
      </c>
      <c r="H4156" s="56" t="s">
        <v>80</v>
      </c>
      <c r="I4156" s="54">
        <v>8646152562</v>
      </c>
      <c r="K4156" s="56" t="s">
        <v>2931</v>
      </c>
      <c r="L4156" s="55" t="s">
        <v>2876</v>
      </c>
      <c r="M4156" s="55" t="s">
        <v>2824</v>
      </c>
      <c r="O4156" s="55" t="s">
        <v>178</v>
      </c>
    </row>
    <row r="4157" spans="2:15">
      <c r="B4157" s="20">
        <v>45599</v>
      </c>
      <c r="C4157" s="59">
        <v>40014675</v>
      </c>
      <c r="D4157" s="55" t="s">
        <v>44</v>
      </c>
      <c r="G4157" s="65">
        <v>37.44</v>
      </c>
      <c r="H4157" s="56" t="s">
        <v>80</v>
      </c>
      <c r="I4157" s="54">
        <v>8646152626</v>
      </c>
      <c r="K4157" s="56" t="s">
        <v>2932</v>
      </c>
      <c r="L4157" s="55" t="s">
        <v>2876</v>
      </c>
      <c r="M4157" s="55" t="s">
        <v>2824</v>
      </c>
      <c r="O4157" s="55" t="s">
        <v>178</v>
      </c>
    </row>
    <row r="4158" spans="2:15">
      <c r="B4158" s="20">
        <v>45599</v>
      </c>
      <c r="C4158" s="59">
        <v>40014675</v>
      </c>
      <c r="D4158" s="55" t="s">
        <v>44</v>
      </c>
      <c r="G4158" s="65">
        <v>37.44</v>
      </c>
      <c r="H4158" s="56" t="s">
        <v>80</v>
      </c>
      <c r="I4158" s="54">
        <v>8646152628</v>
      </c>
      <c r="K4158" s="56" t="s">
        <v>2933</v>
      </c>
      <c r="L4158" s="55" t="s">
        <v>2876</v>
      </c>
      <c r="M4158" s="55" t="s">
        <v>2824</v>
      </c>
      <c r="O4158" s="55" t="s">
        <v>178</v>
      </c>
    </row>
    <row r="4159" spans="2:15">
      <c r="B4159" s="20">
        <v>45599</v>
      </c>
      <c r="C4159" s="59">
        <v>40014675</v>
      </c>
      <c r="D4159" s="55" t="s">
        <v>44</v>
      </c>
      <c r="G4159" s="65">
        <v>37.44</v>
      </c>
      <c r="H4159" s="56" t="s">
        <v>80</v>
      </c>
      <c r="I4159" s="54">
        <v>8646152630</v>
      </c>
      <c r="K4159" s="56" t="s">
        <v>2934</v>
      </c>
      <c r="L4159" s="55" t="s">
        <v>2876</v>
      </c>
      <c r="M4159" s="55" t="s">
        <v>2824</v>
      </c>
      <c r="O4159" s="55" t="s">
        <v>178</v>
      </c>
    </row>
    <row r="4160" spans="2:15">
      <c r="B4160" s="20">
        <v>45599</v>
      </c>
      <c r="C4160" s="59">
        <v>40014675</v>
      </c>
      <c r="D4160" s="55" t="s">
        <v>44</v>
      </c>
      <c r="G4160" s="65">
        <v>37.44</v>
      </c>
      <c r="H4160" s="56" t="s">
        <v>80</v>
      </c>
      <c r="I4160" s="54">
        <v>8646152631</v>
      </c>
      <c r="K4160" s="56" t="s">
        <v>2935</v>
      </c>
      <c r="L4160" s="55" t="s">
        <v>2876</v>
      </c>
      <c r="M4160" s="55" t="s">
        <v>2824</v>
      </c>
      <c r="O4160" s="55" t="s">
        <v>178</v>
      </c>
    </row>
    <row r="4161" spans="2:15">
      <c r="B4161" s="20">
        <v>45600</v>
      </c>
      <c r="C4161" s="59">
        <v>50142523</v>
      </c>
      <c r="D4161" s="55" t="s">
        <v>1157</v>
      </c>
      <c r="G4161" s="65">
        <v>1500</v>
      </c>
      <c r="H4161" s="56" t="s">
        <v>92</v>
      </c>
      <c r="I4161" s="54">
        <v>8644297758</v>
      </c>
      <c r="K4161" s="56">
        <v>2059</v>
      </c>
      <c r="L4161" s="55" t="s">
        <v>176</v>
      </c>
      <c r="M4161" s="55" t="s">
        <v>2824</v>
      </c>
      <c r="N4161" s="4" t="s">
        <v>177</v>
      </c>
      <c r="O4161" s="55" t="s">
        <v>178</v>
      </c>
    </row>
    <row r="4162" spans="2:15">
      <c r="B4162" s="20">
        <v>45600</v>
      </c>
      <c r="C4162" s="59">
        <v>50142520</v>
      </c>
      <c r="D4162" s="55" t="s">
        <v>1156</v>
      </c>
      <c r="G4162" s="65">
        <v>1000</v>
      </c>
      <c r="H4162" s="56" t="s">
        <v>92</v>
      </c>
      <c r="I4162" s="54">
        <v>8644297758</v>
      </c>
      <c r="K4162" s="56">
        <v>2059</v>
      </c>
      <c r="L4162" s="55" t="s">
        <v>176</v>
      </c>
      <c r="M4162" s="55" t="s">
        <v>2824</v>
      </c>
      <c r="N4162" s="4" t="s">
        <v>177</v>
      </c>
      <c r="O4162" s="55" t="s">
        <v>178</v>
      </c>
    </row>
    <row r="4163" spans="2:15">
      <c r="B4163" s="20">
        <v>45600</v>
      </c>
      <c r="C4163" s="59">
        <v>40010084</v>
      </c>
      <c r="D4163" s="55" t="s">
        <v>81</v>
      </c>
      <c r="G4163" s="65">
        <v>1536</v>
      </c>
      <c r="H4163" s="56" t="s">
        <v>80</v>
      </c>
      <c r="I4163" s="54">
        <v>8646152016</v>
      </c>
      <c r="K4163" s="56">
        <v>2059</v>
      </c>
      <c r="L4163" s="55" t="s">
        <v>176</v>
      </c>
      <c r="M4163" s="55" t="s">
        <v>2824</v>
      </c>
      <c r="N4163" s="4" t="s">
        <v>177</v>
      </c>
      <c r="O4163" s="55" t="s">
        <v>178</v>
      </c>
    </row>
    <row r="4164" spans="2:15">
      <c r="B4164" s="20">
        <v>45600</v>
      </c>
      <c r="C4164" s="59">
        <v>50144376</v>
      </c>
      <c r="D4164" s="55" t="s">
        <v>19</v>
      </c>
      <c r="G4164" s="65">
        <v>9200</v>
      </c>
      <c r="H4164" s="56" t="s">
        <v>92</v>
      </c>
      <c r="I4164" s="54">
        <v>8644297758</v>
      </c>
      <c r="K4164" s="56">
        <v>2059</v>
      </c>
      <c r="L4164" s="55" t="s">
        <v>176</v>
      </c>
      <c r="M4164" s="55" t="s">
        <v>2824</v>
      </c>
      <c r="N4164" s="4" t="s">
        <v>177</v>
      </c>
      <c r="O4164" s="55" t="s">
        <v>178</v>
      </c>
    </row>
    <row r="4165" spans="2:15">
      <c r="B4165" s="20">
        <v>45600</v>
      </c>
      <c r="C4165" s="59">
        <v>50143894</v>
      </c>
      <c r="D4165" s="55" t="s">
        <v>944</v>
      </c>
      <c r="G4165" s="65">
        <v>5000</v>
      </c>
      <c r="H4165" s="56" t="s">
        <v>92</v>
      </c>
      <c r="I4165" s="54">
        <v>8646152016</v>
      </c>
      <c r="K4165" s="56">
        <v>2059</v>
      </c>
      <c r="L4165" s="55" t="s">
        <v>176</v>
      </c>
      <c r="M4165" s="55" t="s">
        <v>2824</v>
      </c>
      <c r="N4165" s="4" t="s">
        <v>177</v>
      </c>
      <c r="O4165" s="55" t="s">
        <v>178</v>
      </c>
    </row>
    <row r="4166" spans="2:15">
      <c r="B4166" s="20">
        <v>45600</v>
      </c>
      <c r="C4166" s="59">
        <v>40010083</v>
      </c>
      <c r="D4166" s="55" t="s">
        <v>85</v>
      </c>
      <c r="G4166" s="65">
        <v>5917</v>
      </c>
      <c r="H4166" s="56" t="s">
        <v>80</v>
      </c>
      <c r="I4166" s="54">
        <v>8647455523</v>
      </c>
      <c r="K4166" s="56">
        <v>2059</v>
      </c>
      <c r="L4166" s="55" t="s">
        <v>176</v>
      </c>
      <c r="M4166" s="55" t="s">
        <v>2824</v>
      </c>
      <c r="N4166" s="4" t="s">
        <v>177</v>
      </c>
      <c r="O4166" s="55" t="s">
        <v>178</v>
      </c>
    </row>
    <row r="4167" spans="2:15">
      <c r="B4167" s="20">
        <v>45600</v>
      </c>
      <c r="C4167" s="59">
        <v>50145029</v>
      </c>
      <c r="D4167" s="55" t="s">
        <v>705</v>
      </c>
      <c r="G4167" s="65">
        <v>18</v>
      </c>
      <c r="H4167" s="56" t="s">
        <v>505</v>
      </c>
      <c r="I4167" s="54">
        <v>8644297758</v>
      </c>
      <c r="K4167" s="56">
        <v>2059</v>
      </c>
      <c r="L4167" s="55" t="s">
        <v>176</v>
      </c>
      <c r="M4167" s="55" t="s">
        <v>2824</v>
      </c>
      <c r="N4167" s="4" t="s">
        <v>177</v>
      </c>
      <c r="O4167" s="55" t="s">
        <v>178</v>
      </c>
    </row>
    <row r="4168" spans="2:15">
      <c r="B4168" s="20">
        <v>45600</v>
      </c>
      <c r="C4168" s="59">
        <v>50142519</v>
      </c>
      <c r="D4168" s="55" t="s">
        <v>1575</v>
      </c>
      <c r="G4168" s="65">
        <v>3000</v>
      </c>
      <c r="H4168" s="56" t="s">
        <v>92</v>
      </c>
      <c r="I4168" s="54">
        <v>8644297758</v>
      </c>
      <c r="K4168" s="56">
        <v>2059</v>
      </c>
      <c r="L4168" s="55" t="s">
        <v>176</v>
      </c>
      <c r="M4168" s="55" t="s">
        <v>2824</v>
      </c>
      <c r="N4168" s="4" t="s">
        <v>177</v>
      </c>
      <c r="O4168" s="55" t="s">
        <v>178</v>
      </c>
    </row>
    <row r="4169" spans="2:15">
      <c r="B4169" s="20">
        <v>45600</v>
      </c>
      <c r="C4169" s="59">
        <v>50272278</v>
      </c>
      <c r="D4169" s="55" t="s">
        <v>21</v>
      </c>
      <c r="G4169" s="65">
        <v>6000</v>
      </c>
      <c r="H4169" s="56" t="s">
        <v>92</v>
      </c>
      <c r="I4169" s="54">
        <v>8644299529</v>
      </c>
      <c r="K4169" s="56">
        <v>2060</v>
      </c>
      <c r="L4169" s="55" t="s">
        <v>176</v>
      </c>
      <c r="M4169" s="55" t="s">
        <v>2824</v>
      </c>
      <c r="N4169" s="4" t="s">
        <v>177</v>
      </c>
      <c r="O4169" s="55" t="s">
        <v>178</v>
      </c>
    </row>
    <row r="4170" spans="2:15">
      <c r="B4170" s="20">
        <v>45600</v>
      </c>
      <c r="C4170" s="59">
        <v>50470190</v>
      </c>
      <c r="D4170" s="55" t="s">
        <v>12</v>
      </c>
      <c r="G4170" s="65">
        <v>2318400</v>
      </c>
      <c r="H4170" s="56" t="s">
        <v>92</v>
      </c>
      <c r="I4170" s="54">
        <v>8644299529</v>
      </c>
      <c r="K4170" s="56">
        <v>2060</v>
      </c>
      <c r="L4170" s="55" t="s">
        <v>176</v>
      </c>
      <c r="M4170" s="55" t="s">
        <v>2824</v>
      </c>
      <c r="N4170" s="4" t="s">
        <v>177</v>
      </c>
      <c r="O4170" s="55" t="s">
        <v>178</v>
      </c>
    </row>
    <row r="4171" spans="2:15">
      <c r="B4171" s="20">
        <v>45600</v>
      </c>
      <c r="C4171" s="59">
        <v>50470190</v>
      </c>
      <c r="D4171" s="55" t="s">
        <v>12</v>
      </c>
      <c r="G4171" s="65">
        <v>579600</v>
      </c>
      <c r="H4171" s="56" t="s">
        <v>92</v>
      </c>
      <c r="I4171" s="54">
        <v>8644748982</v>
      </c>
      <c r="K4171" s="56">
        <v>2060</v>
      </c>
      <c r="L4171" s="55" t="s">
        <v>176</v>
      </c>
      <c r="M4171" s="55" t="s">
        <v>2824</v>
      </c>
      <c r="N4171" s="4" t="s">
        <v>177</v>
      </c>
      <c r="O4171" s="55" t="s">
        <v>178</v>
      </c>
    </row>
    <row r="4172" spans="2:15">
      <c r="B4172" s="20">
        <v>45600</v>
      </c>
      <c r="C4172" s="59">
        <v>50144376</v>
      </c>
      <c r="D4172" s="55" t="s">
        <v>19</v>
      </c>
      <c r="G4172" s="65">
        <v>5300</v>
      </c>
      <c r="H4172" s="56" t="s">
        <v>92</v>
      </c>
      <c r="I4172" s="54">
        <v>8644300178</v>
      </c>
      <c r="K4172" s="56">
        <v>2061</v>
      </c>
      <c r="L4172" s="55" t="s">
        <v>176</v>
      </c>
      <c r="M4172" s="55" t="s">
        <v>2824</v>
      </c>
      <c r="N4172" s="4" t="s">
        <v>177</v>
      </c>
      <c r="O4172" s="55" t="s">
        <v>178</v>
      </c>
    </row>
    <row r="4173" spans="2:15">
      <c r="B4173" s="20">
        <v>45600</v>
      </c>
      <c r="C4173" s="59">
        <v>50470190</v>
      </c>
      <c r="D4173" s="55" t="s">
        <v>12</v>
      </c>
      <c r="G4173" s="65">
        <v>2898000</v>
      </c>
      <c r="H4173" s="56" t="s">
        <v>92</v>
      </c>
      <c r="I4173" s="54">
        <v>8644749034</v>
      </c>
      <c r="K4173" s="56">
        <v>2061</v>
      </c>
      <c r="L4173" s="55" t="s">
        <v>176</v>
      </c>
      <c r="M4173" s="55" t="s">
        <v>2824</v>
      </c>
      <c r="N4173" s="4" t="s">
        <v>177</v>
      </c>
      <c r="O4173" s="55" t="s">
        <v>178</v>
      </c>
    </row>
    <row r="4174" spans="2:15">
      <c r="B4174" s="20">
        <v>45601</v>
      </c>
      <c r="C4174" s="59">
        <v>50272278</v>
      </c>
      <c r="D4174" s="55" t="s">
        <v>21</v>
      </c>
      <c r="G4174" s="65">
        <v>3500</v>
      </c>
      <c r="H4174" s="56" t="s">
        <v>92</v>
      </c>
      <c r="I4174" s="54">
        <v>8644751023</v>
      </c>
      <c r="K4174" s="56">
        <v>2062</v>
      </c>
      <c r="L4174" s="55" t="s">
        <v>176</v>
      </c>
      <c r="M4174" s="55" t="s">
        <v>2824</v>
      </c>
      <c r="N4174" s="4" t="s">
        <v>177</v>
      </c>
      <c r="O4174" s="55" t="s">
        <v>178</v>
      </c>
    </row>
    <row r="4175" spans="2:15">
      <c r="B4175" s="20">
        <v>45601</v>
      </c>
      <c r="C4175" s="59">
        <v>50232060</v>
      </c>
      <c r="D4175" s="55" t="s">
        <v>361</v>
      </c>
      <c r="G4175" s="65">
        <v>1056000</v>
      </c>
      <c r="H4175" s="56" t="s">
        <v>92</v>
      </c>
      <c r="I4175" s="54">
        <v>8644751023</v>
      </c>
      <c r="K4175" s="56">
        <v>2062</v>
      </c>
      <c r="L4175" s="55" t="s">
        <v>176</v>
      </c>
      <c r="M4175" s="55" t="s">
        <v>2824</v>
      </c>
      <c r="N4175" s="4" t="s">
        <v>177</v>
      </c>
      <c r="O4175" s="55" t="s">
        <v>178</v>
      </c>
    </row>
    <row r="4176" spans="2:15">
      <c r="B4176" s="20">
        <v>45601</v>
      </c>
      <c r="C4176" s="59">
        <v>50397884</v>
      </c>
      <c r="D4176" s="55" t="s">
        <v>1296</v>
      </c>
      <c r="G4176" s="65">
        <v>1890</v>
      </c>
      <c r="H4176" s="56" t="s">
        <v>80</v>
      </c>
      <c r="I4176" s="54">
        <v>8646166758</v>
      </c>
      <c r="K4176" s="56">
        <v>2062</v>
      </c>
      <c r="L4176" s="55" t="s">
        <v>176</v>
      </c>
      <c r="M4176" s="55" t="s">
        <v>2824</v>
      </c>
      <c r="N4176" s="4" t="s">
        <v>177</v>
      </c>
      <c r="O4176" s="55" t="s">
        <v>178</v>
      </c>
    </row>
    <row r="4177" spans="2:15">
      <c r="B4177" s="20">
        <v>45601</v>
      </c>
      <c r="C4177" s="59">
        <v>50811693</v>
      </c>
      <c r="D4177" s="55" t="s">
        <v>1269</v>
      </c>
      <c r="G4177" s="65">
        <v>1600000</v>
      </c>
      <c r="H4177" s="56" t="s">
        <v>92</v>
      </c>
      <c r="I4177" s="54">
        <v>8644751023</v>
      </c>
      <c r="K4177" s="56">
        <v>2062</v>
      </c>
      <c r="L4177" s="55" t="s">
        <v>176</v>
      </c>
      <c r="M4177" s="55" t="s">
        <v>2824</v>
      </c>
      <c r="N4177" s="4" t="s">
        <v>177</v>
      </c>
      <c r="O4177" s="55" t="s">
        <v>178</v>
      </c>
    </row>
    <row r="4178" spans="2:15">
      <c r="B4178" s="20">
        <v>45601</v>
      </c>
      <c r="C4178" s="59">
        <v>40014675</v>
      </c>
      <c r="D4178" s="55" t="s">
        <v>44</v>
      </c>
      <c r="G4178" s="65">
        <v>37.44</v>
      </c>
      <c r="H4178" s="56" t="s">
        <v>80</v>
      </c>
      <c r="I4178" s="54">
        <v>8646152632</v>
      </c>
      <c r="K4178" s="56" t="s">
        <v>2936</v>
      </c>
      <c r="L4178" s="55" t="s">
        <v>2876</v>
      </c>
      <c r="M4178" s="55" t="s">
        <v>2824</v>
      </c>
      <c r="O4178" s="55" t="s">
        <v>178</v>
      </c>
    </row>
    <row r="4179" spans="2:15">
      <c r="B4179" s="20">
        <v>45601</v>
      </c>
      <c r="C4179" s="59">
        <v>40014675</v>
      </c>
      <c r="D4179" s="55" t="s">
        <v>44</v>
      </c>
      <c r="G4179" s="65">
        <v>37.44</v>
      </c>
      <c r="H4179" s="56" t="s">
        <v>80</v>
      </c>
      <c r="I4179" s="54">
        <v>8646152676</v>
      </c>
      <c r="K4179" s="56" t="s">
        <v>2937</v>
      </c>
      <c r="L4179" s="55" t="s">
        <v>2876</v>
      </c>
      <c r="M4179" s="55" t="s">
        <v>2824</v>
      </c>
      <c r="O4179" s="55" t="s">
        <v>178</v>
      </c>
    </row>
    <row r="4180" spans="2:15">
      <c r="B4180" s="20">
        <v>45601</v>
      </c>
      <c r="C4180" s="59">
        <v>40014675</v>
      </c>
      <c r="D4180" s="55" t="s">
        <v>44</v>
      </c>
      <c r="G4180" s="65">
        <v>37.44</v>
      </c>
      <c r="H4180" s="56" t="s">
        <v>80</v>
      </c>
      <c r="I4180" s="54">
        <v>8646152680</v>
      </c>
      <c r="K4180" s="56" t="s">
        <v>2938</v>
      </c>
      <c r="L4180" s="55" t="s">
        <v>2876</v>
      </c>
      <c r="M4180" s="55" t="s">
        <v>2824</v>
      </c>
      <c r="O4180" s="55" t="s">
        <v>178</v>
      </c>
    </row>
    <row r="4181" spans="2:15">
      <c r="B4181" s="20">
        <v>45601</v>
      </c>
      <c r="C4181" s="59">
        <v>40014675</v>
      </c>
      <c r="D4181" s="55" t="s">
        <v>44</v>
      </c>
      <c r="G4181" s="65">
        <v>37.44</v>
      </c>
      <c r="H4181" s="56" t="s">
        <v>80</v>
      </c>
      <c r="I4181" s="54">
        <v>8646152798</v>
      </c>
      <c r="K4181" s="56" t="s">
        <v>2939</v>
      </c>
      <c r="L4181" s="55" t="s">
        <v>2876</v>
      </c>
      <c r="M4181" s="55" t="s">
        <v>2824</v>
      </c>
      <c r="O4181" s="55" t="s">
        <v>178</v>
      </c>
    </row>
    <row r="4182" spans="2:15">
      <c r="B4182" s="20">
        <v>45601</v>
      </c>
      <c r="C4182" s="59">
        <v>50804929</v>
      </c>
      <c r="D4182" s="55" t="s">
        <v>856</v>
      </c>
      <c r="G4182" s="65">
        <v>2310000</v>
      </c>
      <c r="H4182" s="56" t="s">
        <v>92</v>
      </c>
      <c r="I4182" s="54">
        <v>5016556112</v>
      </c>
      <c r="K4182" s="56">
        <v>2063</v>
      </c>
      <c r="L4182" s="55" t="s">
        <v>176</v>
      </c>
      <c r="M4182" s="55" t="s">
        <v>2824</v>
      </c>
      <c r="N4182" s="4" t="s">
        <v>177</v>
      </c>
      <c r="O4182" s="55" t="s">
        <v>178</v>
      </c>
    </row>
    <row r="4183" spans="2:15">
      <c r="B4183" s="20">
        <v>45601</v>
      </c>
      <c r="C4183" s="59">
        <v>50144376</v>
      </c>
      <c r="D4183" s="55" t="s">
        <v>19</v>
      </c>
      <c r="G4183" s="65">
        <v>4800</v>
      </c>
      <c r="H4183" s="56" t="s">
        <v>92</v>
      </c>
      <c r="I4183" s="54">
        <v>8644751114</v>
      </c>
      <c r="K4183" s="56">
        <v>2063</v>
      </c>
      <c r="L4183" s="55" t="s">
        <v>176</v>
      </c>
      <c r="M4183" s="55" t="s">
        <v>2824</v>
      </c>
      <c r="N4183" s="4" t="s">
        <v>177</v>
      </c>
      <c r="O4183" s="55" t="s">
        <v>178</v>
      </c>
    </row>
    <row r="4184" spans="2:15">
      <c r="B4184" s="20">
        <v>45601</v>
      </c>
      <c r="C4184" s="59">
        <v>50272278</v>
      </c>
      <c r="D4184" s="55" t="s">
        <v>21</v>
      </c>
      <c r="G4184" s="65">
        <v>4000</v>
      </c>
      <c r="H4184" s="56" t="s">
        <v>92</v>
      </c>
      <c r="I4184" s="54">
        <v>8644751114</v>
      </c>
      <c r="K4184" s="56">
        <v>2063</v>
      </c>
      <c r="L4184" s="55" t="s">
        <v>176</v>
      </c>
      <c r="M4184" s="55" t="s">
        <v>2824</v>
      </c>
      <c r="N4184" s="4" t="s">
        <v>177</v>
      </c>
      <c r="O4184" s="55" t="s">
        <v>178</v>
      </c>
    </row>
    <row r="4185" spans="2:15">
      <c r="B4185" s="20">
        <v>45601</v>
      </c>
      <c r="C4185" s="59">
        <v>50818963</v>
      </c>
      <c r="D4185" s="55" t="s">
        <v>1709</v>
      </c>
      <c r="G4185" s="65">
        <v>500000</v>
      </c>
      <c r="H4185" s="56" t="s">
        <v>92</v>
      </c>
      <c r="I4185" s="54">
        <v>8644751114</v>
      </c>
      <c r="K4185" s="56">
        <v>2063</v>
      </c>
      <c r="L4185" s="55" t="s">
        <v>176</v>
      </c>
      <c r="M4185" s="55" t="s">
        <v>2824</v>
      </c>
      <c r="N4185" s="4" t="s">
        <v>177</v>
      </c>
      <c r="O4185" s="55" t="s">
        <v>178</v>
      </c>
    </row>
    <row r="4186" spans="2:15">
      <c r="B4186" s="20">
        <v>45601</v>
      </c>
      <c r="C4186" s="59">
        <v>40014675</v>
      </c>
      <c r="D4186" s="55" t="s">
        <v>44</v>
      </c>
      <c r="G4186" s="65">
        <v>37.44</v>
      </c>
      <c r="H4186" s="56" t="s">
        <v>80</v>
      </c>
      <c r="I4186" s="54">
        <v>8646152897</v>
      </c>
      <c r="K4186" s="56" t="s">
        <v>2940</v>
      </c>
      <c r="L4186" s="55" t="s">
        <v>2876</v>
      </c>
      <c r="M4186" s="55" t="s">
        <v>2824</v>
      </c>
      <c r="O4186" s="55" t="s">
        <v>178</v>
      </c>
    </row>
    <row r="4187" spans="2:15">
      <c r="B4187" s="20">
        <v>45601</v>
      </c>
      <c r="C4187" s="59">
        <v>40014675</v>
      </c>
      <c r="D4187" s="55" t="s">
        <v>44</v>
      </c>
      <c r="G4187" s="65">
        <v>37.44</v>
      </c>
      <c r="H4187" s="56" t="s">
        <v>80</v>
      </c>
      <c r="I4187" s="54">
        <v>8646152899</v>
      </c>
      <c r="K4187" s="56" t="s">
        <v>2941</v>
      </c>
      <c r="L4187" s="55" t="s">
        <v>2876</v>
      </c>
      <c r="M4187" s="55" t="s">
        <v>2824</v>
      </c>
      <c r="O4187" s="55" t="s">
        <v>178</v>
      </c>
    </row>
    <row r="4188" spans="2:15">
      <c r="B4188" s="20">
        <v>45602</v>
      </c>
      <c r="C4188" s="59">
        <v>50010080</v>
      </c>
      <c r="D4188" s="55" t="s">
        <v>1657</v>
      </c>
      <c r="G4188" s="65">
        <v>4000</v>
      </c>
      <c r="H4188" s="56" t="s">
        <v>82</v>
      </c>
      <c r="I4188" s="54">
        <v>8645204810</v>
      </c>
      <c r="K4188" s="56">
        <v>2064</v>
      </c>
      <c r="L4188" s="55" t="s">
        <v>176</v>
      </c>
      <c r="M4188" s="55" t="s">
        <v>2824</v>
      </c>
      <c r="N4188" s="4" t="s">
        <v>177</v>
      </c>
      <c r="O4188" s="55" t="s">
        <v>178</v>
      </c>
    </row>
    <row r="4189" spans="2:15">
      <c r="B4189" s="20">
        <v>45602</v>
      </c>
      <c r="C4189" s="59">
        <v>50143893</v>
      </c>
      <c r="D4189" s="55" t="s">
        <v>24</v>
      </c>
      <c r="G4189" s="65">
        <v>1980</v>
      </c>
      <c r="H4189" s="56" t="s">
        <v>82</v>
      </c>
      <c r="I4189" s="54">
        <v>8645204810</v>
      </c>
      <c r="K4189" s="56">
        <v>2064</v>
      </c>
      <c r="L4189" s="55" t="s">
        <v>176</v>
      </c>
      <c r="M4189" s="55" t="s">
        <v>2824</v>
      </c>
      <c r="N4189" s="4" t="s">
        <v>177</v>
      </c>
      <c r="O4189" s="55" t="s">
        <v>178</v>
      </c>
    </row>
    <row r="4190" spans="2:15">
      <c r="B4190" s="20">
        <v>45602</v>
      </c>
      <c r="C4190" s="59">
        <v>50470190</v>
      </c>
      <c r="D4190" s="55" t="s">
        <v>12</v>
      </c>
      <c r="G4190" s="65">
        <v>2898000</v>
      </c>
      <c r="H4190" s="56" t="s">
        <v>92</v>
      </c>
      <c r="I4190" s="54">
        <v>8645204810</v>
      </c>
      <c r="K4190" s="56">
        <v>2064</v>
      </c>
      <c r="L4190" s="55" t="s">
        <v>176</v>
      </c>
      <c r="M4190" s="55" t="s">
        <v>2824</v>
      </c>
      <c r="N4190" s="4" t="s">
        <v>177</v>
      </c>
      <c r="O4190" s="55" t="s">
        <v>178</v>
      </c>
    </row>
    <row r="4191" spans="2:15">
      <c r="B4191" s="20">
        <v>45602</v>
      </c>
      <c r="C4191" s="59">
        <v>50837237</v>
      </c>
      <c r="D4191" s="55" t="s">
        <v>1747</v>
      </c>
      <c r="G4191" s="65">
        <v>1502.9</v>
      </c>
      <c r="H4191" s="56" t="s">
        <v>82</v>
      </c>
      <c r="I4191" s="54">
        <v>8645204810</v>
      </c>
      <c r="K4191" s="56">
        <v>2064</v>
      </c>
      <c r="L4191" s="55" t="s">
        <v>176</v>
      </c>
      <c r="M4191" s="55" t="s">
        <v>2824</v>
      </c>
      <c r="N4191" s="4" t="s">
        <v>177</v>
      </c>
      <c r="O4191" s="55" t="s">
        <v>178</v>
      </c>
    </row>
    <row r="4192" spans="2:15">
      <c r="B4192" s="20">
        <v>45602</v>
      </c>
      <c r="C4192" s="59">
        <v>50144376</v>
      </c>
      <c r="D4192" s="55" t="s">
        <v>19</v>
      </c>
      <c r="G4192" s="65">
        <v>3100</v>
      </c>
      <c r="H4192" s="56" t="s">
        <v>92</v>
      </c>
      <c r="I4192" s="54">
        <v>8645206283</v>
      </c>
      <c r="K4192" s="56">
        <v>2065</v>
      </c>
      <c r="L4192" s="55" t="s">
        <v>176</v>
      </c>
      <c r="M4192" s="55" t="s">
        <v>2824</v>
      </c>
      <c r="N4192" s="4" t="s">
        <v>177</v>
      </c>
      <c r="O4192" s="55" t="s">
        <v>178</v>
      </c>
    </row>
    <row r="4193" spans="2:15">
      <c r="B4193" s="20">
        <v>45602</v>
      </c>
      <c r="C4193" s="59">
        <v>50272278</v>
      </c>
      <c r="D4193" s="55" t="s">
        <v>21</v>
      </c>
      <c r="G4193" s="65">
        <v>7000</v>
      </c>
      <c r="H4193" s="56" t="s">
        <v>92</v>
      </c>
      <c r="I4193" s="54">
        <v>8645206283</v>
      </c>
      <c r="K4193" s="56">
        <v>2065</v>
      </c>
      <c r="L4193" s="55" t="s">
        <v>176</v>
      </c>
      <c r="M4193" s="55" t="s">
        <v>2824</v>
      </c>
      <c r="N4193" s="4" t="s">
        <v>177</v>
      </c>
      <c r="O4193" s="55" t="s">
        <v>178</v>
      </c>
    </row>
    <row r="4194" spans="2:15">
      <c r="B4194" s="20">
        <v>45602</v>
      </c>
      <c r="C4194" s="59">
        <v>50144376</v>
      </c>
      <c r="D4194" s="55" t="s">
        <v>19</v>
      </c>
      <c r="G4194" s="65">
        <v>1650</v>
      </c>
      <c r="H4194" s="56" t="s">
        <v>92</v>
      </c>
      <c r="I4194" s="54">
        <v>8645674857</v>
      </c>
      <c r="K4194" s="56">
        <v>2065</v>
      </c>
      <c r="L4194" s="55" t="s">
        <v>176</v>
      </c>
      <c r="M4194" s="55" t="s">
        <v>2824</v>
      </c>
      <c r="N4194" s="4" t="s">
        <v>177</v>
      </c>
      <c r="O4194" s="55" t="s">
        <v>178</v>
      </c>
    </row>
    <row r="4195" spans="2:15">
      <c r="B4195" s="20">
        <v>45602</v>
      </c>
      <c r="C4195" s="59">
        <v>40014675</v>
      </c>
      <c r="D4195" s="55" t="s">
        <v>44</v>
      </c>
      <c r="G4195" s="65">
        <v>37.44</v>
      </c>
      <c r="H4195" s="56" t="s">
        <v>80</v>
      </c>
      <c r="I4195" s="54">
        <v>8646152902</v>
      </c>
      <c r="K4195" s="56" t="s">
        <v>2942</v>
      </c>
      <c r="L4195" s="55" t="s">
        <v>2876</v>
      </c>
      <c r="M4195" s="55" t="s">
        <v>2824</v>
      </c>
      <c r="O4195" s="55" t="s">
        <v>178</v>
      </c>
    </row>
    <row r="4196" spans="2:15">
      <c r="B4196" s="20">
        <v>45602</v>
      </c>
      <c r="C4196" s="59">
        <v>40014675</v>
      </c>
      <c r="D4196" s="55" t="s">
        <v>44</v>
      </c>
      <c r="G4196" s="65">
        <v>37.44</v>
      </c>
      <c r="H4196" s="56" t="s">
        <v>80</v>
      </c>
      <c r="I4196" s="54">
        <v>8646152935</v>
      </c>
      <c r="K4196" s="56" t="s">
        <v>2943</v>
      </c>
      <c r="L4196" s="55" t="s">
        <v>2876</v>
      </c>
      <c r="M4196" s="55" t="s">
        <v>2824</v>
      </c>
      <c r="O4196" s="55" t="s">
        <v>178</v>
      </c>
    </row>
    <row r="4197" spans="2:15">
      <c r="B4197" s="20">
        <v>45602</v>
      </c>
      <c r="C4197" s="59">
        <v>40014675</v>
      </c>
      <c r="D4197" s="55" t="s">
        <v>44</v>
      </c>
      <c r="G4197" s="65">
        <v>37.44</v>
      </c>
      <c r="H4197" s="56" t="s">
        <v>80</v>
      </c>
      <c r="I4197" s="54">
        <v>8646152937</v>
      </c>
      <c r="K4197" s="56" t="s">
        <v>2944</v>
      </c>
      <c r="L4197" s="55" t="s">
        <v>2876</v>
      </c>
      <c r="M4197" s="55" t="s">
        <v>2824</v>
      </c>
      <c r="O4197" s="55" t="s">
        <v>178</v>
      </c>
    </row>
    <row r="4198" spans="2:15">
      <c r="B4198" s="20">
        <v>45602</v>
      </c>
      <c r="C4198" s="59">
        <v>40014675</v>
      </c>
      <c r="D4198" s="55" t="s">
        <v>44</v>
      </c>
      <c r="G4198" s="65">
        <v>37.44</v>
      </c>
      <c r="H4198" s="56" t="s">
        <v>80</v>
      </c>
      <c r="I4198" s="54">
        <v>8646152938</v>
      </c>
      <c r="K4198" s="56" t="s">
        <v>2945</v>
      </c>
      <c r="L4198" s="55" t="s">
        <v>2876</v>
      </c>
      <c r="M4198" s="55" t="s">
        <v>2824</v>
      </c>
      <c r="O4198" s="55" t="s">
        <v>178</v>
      </c>
    </row>
    <row r="4199" spans="2:15">
      <c r="B4199" s="20">
        <v>45602</v>
      </c>
      <c r="C4199" s="59">
        <v>40014675</v>
      </c>
      <c r="D4199" s="55" t="s">
        <v>44</v>
      </c>
      <c r="G4199" s="65">
        <v>37.44</v>
      </c>
      <c r="H4199" s="56" t="s">
        <v>80</v>
      </c>
      <c r="I4199" s="54">
        <v>8646152943</v>
      </c>
      <c r="K4199" s="56" t="s">
        <v>2946</v>
      </c>
      <c r="L4199" s="55" t="s">
        <v>2876</v>
      </c>
      <c r="M4199" s="55" t="s">
        <v>2824</v>
      </c>
      <c r="O4199" s="55" t="s">
        <v>178</v>
      </c>
    </row>
    <row r="4200" spans="2:15">
      <c r="B4200" s="20">
        <v>45602</v>
      </c>
      <c r="C4200" s="59">
        <v>40014675</v>
      </c>
      <c r="D4200" s="55" t="s">
        <v>44</v>
      </c>
      <c r="G4200" s="65">
        <v>37.44</v>
      </c>
      <c r="H4200" s="56" t="s">
        <v>80</v>
      </c>
      <c r="I4200" s="54">
        <v>8646153017</v>
      </c>
      <c r="K4200" s="56" t="s">
        <v>2947</v>
      </c>
      <c r="L4200" s="55" t="s">
        <v>2876</v>
      </c>
      <c r="M4200" s="55" t="s">
        <v>2824</v>
      </c>
      <c r="O4200" s="55" t="s">
        <v>178</v>
      </c>
    </row>
    <row r="4201" spans="2:15">
      <c r="B4201" s="20">
        <v>45603</v>
      </c>
      <c r="C4201" s="59">
        <v>40014675</v>
      </c>
      <c r="D4201" s="55" t="s">
        <v>44</v>
      </c>
      <c r="G4201" s="65">
        <v>37.44</v>
      </c>
      <c r="H4201" s="56" t="s">
        <v>80</v>
      </c>
      <c r="I4201" s="54">
        <v>8646153018</v>
      </c>
      <c r="K4201" s="56" t="s">
        <v>2948</v>
      </c>
      <c r="L4201" s="55" t="s">
        <v>2876</v>
      </c>
      <c r="M4201" s="55" t="s">
        <v>2824</v>
      </c>
      <c r="O4201" s="55" t="s">
        <v>178</v>
      </c>
    </row>
    <row r="4202" spans="2:15">
      <c r="B4202" s="20">
        <v>45603</v>
      </c>
      <c r="C4202" s="59">
        <v>40014675</v>
      </c>
      <c r="D4202" s="55" t="s">
        <v>44</v>
      </c>
      <c r="G4202" s="65">
        <v>37.44</v>
      </c>
      <c r="H4202" s="56" t="s">
        <v>80</v>
      </c>
      <c r="I4202" s="54">
        <v>8646153023</v>
      </c>
      <c r="K4202" s="56" t="s">
        <v>2949</v>
      </c>
      <c r="L4202" s="55" t="s">
        <v>2876</v>
      </c>
      <c r="M4202" s="55" t="s">
        <v>2824</v>
      </c>
      <c r="O4202" s="55" t="s">
        <v>178</v>
      </c>
    </row>
    <row r="4203" spans="2:15">
      <c r="B4203" s="20">
        <v>45603</v>
      </c>
      <c r="C4203" s="59">
        <v>40014675</v>
      </c>
      <c r="D4203" s="55" t="s">
        <v>44</v>
      </c>
      <c r="G4203" s="65">
        <v>37.44</v>
      </c>
      <c r="H4203" s="56" t="s">
        <v>80</v>
      </c>
      <c r="I4203" s="54">
        <v>8646153045</v>
      </c>
      <c r="K4203" s="56" t="s">
        <v>2950</v>
      </c>
      <c r="L4203" s="55" t="s">
        <v>2876</v>
      </c>
      <c r="M4203" s="55" t="s">
        <v>2824</v>
      </c>
      <c r="O4203" s="55" t="s">
        <v>178</v>
      </c>
    </row>
    <row r="4204" spans="2:15">
      <c r="B4204" s="20">
        <v>45603</v>
      </c>
      <c r="C4204" s="59">
        <v>40014675</v>
      </c>
      <c r="D4204" s="55" t="s">
        <v>44</v>
      </c>
      <c r="G4204" s="65">
        <v>37.44</v>
      </c>
      <c r="H4204" s="56" t="s">
        <v>80</v>
      </c>
      <c r="I4204" s="54">
        <v>8646153092</v>
      </c>
      <c r="K4204" s="56" t="s">
        <v>2951</v>
      </c>
      <c r="L4204" s="55" t="s">
        <v>2876</v>
      </c>
      <c r="M4204" s="55" t="s">
        <v>2824</v>
      </c>
      <c r="O4204" s="55" t="s">
        <v>178</v>
      </c>
    </row>
    <row r="4205" spans="2:15">
      <c r="B4205" s="20">
        <v>45603</v>
      </c>
      <c r="C4205" s="59">
        <v>40014675</v>
      </c>
      <c r="D4205" s="55" t="s">
        <v>44</v>
      </c>
      <c r="G4205" s="65">
        <v>37.44</v>
      </c>
      <c r="H4205" s="56" t="s">
        <v>80</v>
      </c>
      <c r="I4205" s="54">
        <v>8646153145</v>
      </c>
      <c r="K4205" s="56" t="s">
        <v>2952</v>
      </c>
      <c r="L4205" s="55" t="s">
        <v>2876</v>
      </c>
      <c r="M4205" s="55" t="s">
        <v>2824</v>
      </c>
      <c r="O4205" s="55" t="s">
        <v>178</v>
      </c>
    </row>
    <row r="4206" spans="2:15">
      <c r="B4206" s="20">
        <v>45603</v>
      </c>
      <c r="C4206" s="59">
        <v>40014675</v>
      </c>
      <c r="D4206" s="55" t="s">
        <v>44</v>
      </c>
      <c r="G4206" s="65">
        <v>37.44</v>
      </c>
      <c r="H4206" s="56" t="s">
        <v>80</v>
      </c>
      <c r="I4206" s="54">
        <v>8646153152</v>
      </c>
      <c r="K4206" s="56" t="s">
        <v>2953</v>
      </c>
      <c r="L4206" s="55" t="s">
        <v>2876</v>
      </c>
      <c r="M4206" s="55" t="s">
        <v>2824</v>
      </c>
      <c r="O4206" s="55" t="s">
        <v>178</v>
      </c>
    </row>
    <row r="4207" spans="2:15">
      <c r="B4207" s="20">
        <v>45603</v>
      </c>
      <c r="C4207" s="59">
        <v>40010086</v>
      </c>
      <c r="D4207" s="55" t="s">
        <v>79</v>
      </c>
      <c r="G4207" s="122">
        <v>4032</v>
      </c>
      <c r="H4207" s="56" t="s">
        <v>80</v>
      </c>
      <c r="I4207" s="54">
        <v>8645643853</v>
      </c>
      <c r="K4207" s="56">
        <v>2066</v>
      </c>
      <c r="L4207" s="55" t="s">
        <v>176</v>
      </c>
      <c r="M4207" s="55" t="s">
        <v>2824</v>
      </c>
      <c r="N4207" s="4" t="s">
        <v>177</v>
      </c>
      <c r="O4207" s="55" t="s">
        <v>178</v>
      </c>
    </row>
    <row r="4208" spans="2:15">
      <c r="B4208" s="20">
        <v>45603</v>
      </c>
      <c r="C4208" s="59">
        <v>50272278</v>
      </c>
      <c r="D4208" s="55" t="s">
        <v>21</v>
      </c>
      <c r="G4208" s="122">
        <v>5000</v>
      </c>
      <c r="H4208" s="56" t="s">
        <v>92</v>
      </c>
      <c r="I4208" s="54">
        <v>8645643853</v>
      </c>
      <c r="K4208" s="56">
        <v>2066</v>
      </c>
      <c r="L4208" s="55" t="s">
        <v>176</v>
      </c>
      <c r="M4208" s="55" t="s">
        <v>2824</v>
      </c>
      <c r="N4208" s="4" t="s">
        <v>177</v>
      </c>
      <c r="O4208" s="55" t="s">
        <v>178</v>
      </c>
    </row>
    <row r="4209" spans="2:15">
      <c r="B4209" s="20">
        <v>45603</v>
      </c>
      <c r="C4209" s="59">
        <v>50818947</v>
      </c>
      <c r="D4209" s="55" t="s">
        <v>1174</v>
      </c>
      <c r="G4209" s="122">
        <v>400000</v>
      </c>
      <c r="H4209" s="56" t="s">
        <v>92</v>
      </c>
      <c r="I4209" s="54">
        <v>8645643853</v>
      </c>
      <c r="K4209" s="56">
        <v>2066</v>
      </c>
      <c r="L4209" s="55" t="s">
        <v>176</v>
      </c>
      <c r="M4209" s="55" t="s">
        <v>2824</v>
      </c>
      <c r="N4209" s="4" t="s">
        <v>177</v>
      </c>
      <c r="O4209" s="55" t="s">
        <v>178</v>
      </c>
    </row>
    <row r="4210" spans="2:15">
      <c r="B4210" s="20">
        <v>45603</v>
      </c>
      <c r="C4210" s="59">
        <v>50470190</v>
      </c>
      <c r="D4210" s="55" t="s">
        <v>12</v>
      </c>
      <c r="G4210" s="122">
        <v>579600</v>
      </c>
      <c r="H4210" s="123" t="s">
        <v>92</v>
      </c>
      <c r="I4210" s="54">
        <v>8645643853</v>
      </c>
      <c r="K4210" s="56">
        <v>2066</v>
      </c>
      <c r="L4210" s="55" t="s">
        <v>176</v>
      </c>
      <c r="M4210" s="55" t="s">
        <v>2824</v>
      </c>
      <c r="N4210" s="4" t="s">
        <v>177</v>
      </c>
      <c r="O4210" s="55" t="s">
        <v>178</v>
      </c>
    </row>
    <row r="4211" spans="2:15">
      <c r="B4211" s="20">
        <v>45603</v>
      </c>
      <c r="C4211" s="59">
        <v>50142327</v>
      </c>
      <c r="D4211" s="55" t="s">
        <v>256</v>
      </c>
      <c r="G4211" s="122">
        <v>476.7</v>
      </c>
      <c r="H4211" s="56" t="s">
        <v>82</v>
      </c>
      <c r="I4211" s="54">
        <v>8645643853</v>
      </c>
      <c r="K4211" s="56">
        <v>2066</v>
      </c>
      <c r="L4211" s="55" t="s">
        <v>176</v>
      </c>
      <c r="M4211" s="55" t="s">
        <v>2824</v>
      </c>
      <c r="N4211" s="4" t="s">
        <v>177</v>
      </c>
      <c r="O4211" s="55" t="s">
        <v>178</v>
      </c>
    </row>
    <row r="4212" spans="2:15">
      <c r="B4212" s="20">
        <v>45603</v>
      </c>
      <c r="C4212" s="59">
        <v>50397884</v>
      </c>
      <c r="D4212" s="55" t="s">
        <v>1296</v>
      </c>
      <c r="G4212" s="122">
        <v>540</v>
      </c>
      <c r="H4212" s="56" t="s">
        <v>80</v>
      </c>
      <c r="I4212" s="54">
        <v>8645643853</v>
      </c>
      <c r="K4212" s="56">
        <v>2066</v>
      </c>
      <c r="L4212" s="55" t="s">
        <v>176</v>
      </c>
      <c r="M4212" s="55" t="s">
        <v>2824</v>
      </c>
      <c r="N4212" s="4" t="s">
        <v>177</v>
      </c>
      <c r="O4212" s="55" t="s">
        <v>178</v>
      </c>
    </row>
    <row r="4213" spans="2:15">
      <c r="B4213" s="20">
        <v>45603</v>
      </c>
      <c r="C4213" s="59">
        <v>50818949</v>
      </c>
      <c r="D4213" s="55" t="s">
        <v>1381</v>
      </c>
      <c r="G4213" s="122">
        <v>490000</v>
      </c>
      <c r="H4213" s="56" t="s">
        <v>92</v>
      </c>
      <c r="I4213" s="54">
        <v>8645643853</v>
      </c>
      <c r="K4213" s="56">
        <v>2066</v>
      </c>
      <c r="L4213" s="55" t="s">
        <v>176</v>
      </c>
      <c r="M4213" s="55" t="s">
        <v>2824</v>
      </c>
      <c r="N4213" s="4" t="s">
        <v>177</v>
      </c>
      <c r="O4213" s="55" t="s">
        <v>178</v>
      </c>
    </row>
    <row r="4214" spans="2:15">
      <c r="B4214" s="20">
        <v>45603</v>
      </c>
      <c r="C4214" s="59">
        <v>50837509</v>
      </c>
      <c r="D4214" s="55" t="s">
        <v>14</v>
      </c>
      <c r="G4214" s="122">
        <v>869400</v>
      </c>
      <c r="H4214" s="56" t="s">
        <v>92</v>
      </c>
      <c r="I4214" s="54">
        <v>8645643853</v>
      </c>
      <c r="K4214" s="56">
        <v>2066</v>
      </c>
      <c r="L4214" s="55" t="s">
        <v>176</v>
      </c>
      <c r="M4214" s="55" t="s">
        <v>2824</v>
      </c>
      <c r="N4214" s="4" t="s">
        <v>177</v>
      </c>
      <c r="O4214" s="55" t="s">
        <v>178</v>
      </c>
    </row>
    <row r="4215" spans="2:15">
      <c r="B4215" s="20">
        <v>45603</v>
      </c>
      <c r="C4215" s="59">
        <v>50551883</v>
      </c>
      <c r="D4215" s="55" t="s">
        <v>223</v>
      </c>
      <c r="G4215" s="65">
        <v>1500000</v>
      </c>
      <c r="H4215" s="56" t="s">
        <v>92</v>
      </c>
      <c r="I4215" s="54" t="s">
        <v>2874</v>
      </c>
      <c r="K4215" s="56">
        <v>2067</v>
      </c>
      <c r="L4215" s="55" t="s">
        <v>176</v>
      </c>
      <c r="M4215" s="55" t="s">
        <v>2824</v>
      </c>
      <c r="N4215" s="4" t="s">
        <v>177</v>
      </c>
      <c r="O4215" s="55" t="s">
        <v>178</v>
      </c>
    </row>
    <row r="4216" spans="2:15">
      <c r="B4216" s="20">
        <v>45603</v>
      </c>
      <c r="C4216" s="59">
        <v>50540573</v>
      </c>
      <c r="D4216" s="55" t="s">
        <v>197</v>
      </c>
      <c r="G4216" s="65">
        <v>10000</v>
      </c>
      <c r="H4216" s="56" t="s">
        <v>92</v>
      </c>
      <c r="I4216" s="54" t="s">
        <v>2874</v>
      </c>
      <c r="K4216" s="56">
        <v>2067</v>
      </c>
      <c r="L4216" s="55" t="s">
        <v>176</v>
      </c>
      <c r="M4216" s="55" t="s">
        <v>2824</v>
      </c>
      <c r="N4216" s="4" t="s">
        <v>177</v>
      </c>
      <c r="O4216" s="55" t="s">
        <v>178</v>
      </c>
    </row>
    <row r="4217" spans="2:15">
      <c r="B4217" s="20">
        <v>45604</v>
      </c>
      <c r="C4217" s="59">
        <v>40014675</v>
      </c>
      <c r="D4217" s="55" t="s">
        <v>44</v>
      </c>
      <c r="G4217" s="65">
        <v>37.44</v>
      </c>
      <c r="H4217" s="56" t="s">
        <v>80</v>
      </c>
      <c r="I4217" s="54">
        <v>8646153175</v>
      </c>
      <c r="K4217" s="56" t="s">
        <v>2954</v>
      </c>
      <c r="L4217" s="55" t="s">
        <v>2876</v>
      </c>
      <c r="M4217" s="55" t="s">
        <v>2824</v>
      </c>
      <c r="O4217" s="55" t="s">
        <v>178</v>
      </c>
    </row>
    <row r="4218" spans="2:15">
      <c r="B4218" s="20">
        <v>45604</v>
      </c>
      <c r="C4218" s="59">
        <v>40014675</v>
      </c>
      <c r="D4218" s="55" t="s">
        <v>44</v>
      </c>
      <c r="G4218" s="65">
        <v>37.44</v>
      </c>
      <c r="H4218" s="56" t="s">
        <v>80</v>
      </c>
      <c r="I4218" s="54">
        <v>8646153182</v>
      </c>
      <c r="K4218" s="56" t="s">
        <v>2955</v>
      </c>
      <c r="L4218" s="55" t="s">
        <v>2876</v>
      </c>
      <c r="M4218" s="55" t="s">
        <v>2824</v>
      </c>
      <c r="O4218" s="55" t="s">
        <v>178</v>
      </c>
    </row>
    <row r="4219" spans="2:15">
      <c r="B4219" s="20">
        <v>45604</v>
      </c>
      <c r="C4219" s="59">
        <v>40014675</v>
      </c>
      <c r="D4219" s="55" t="s">
        <v>44</v>
      </c>
      <c r="G4219" s="65">
        <v>37.44</v>
      </c>
      <c r="H4219" s="56" t="s">
        <v>80</v>
      </c>
      <c r="I4219" s="54">
        <v>8646153187</v>
      </c>
      <c r="K4219" s="56" t="s">
        <v>2956</v>
      </c>
      <c r="L4219" s="55" t="s">
        <v>2876</v>
      </c>
      <c r="M4219" s="55" t="s">
        <v>2824</v>
      </c>
      <c r="O4219" s="55" t="s">
        <v>178</v>
      </c>
    </row>
    <row r="4220" spans="2:15">
      <c r="B4220" s="20">
        <v>45604</v>
      </c>
      <c r="C4220" s="59">
        <v>40014675</v>
      </c>
      <c r="D4220" s="55" t="s">
        <v>44</v>
      </c>
      <c r="G4220" s="65">
        <v>37.44</v>
      </c>
      <c r="H4220" s="56" t="s">
        <v>80</v>
      </c>
      <c r="I4220" s="54">
        <v>8646153197</v>
      </c>
      <c r="K4220" s="56" t="s">
        <v>2957</v>
      </c>
      <c r="L4220" s="55" t="s">
        <v>2876</v>
      </c>
      <c r="M4220" s="55" t="s">
        <v>2824</v>
      </c>
      <c r="O4220" s="55" t="s">
        <v>178</v>
      </c>
    </row>
    <row r="4221" spans="2:15">
      <c r="B4221" s="20">
        <v>45604</v>
      </c>
      <c r="C4221" s="59">
        <v>40014675</v>
      </c>
      <c r="D4221" s="55" t="s">
        <v>44</v>
      </c>
      <c r="G4221" s="65">
        <v>37.44</v>
      </c>
      <c r="H4221" s="56" t="s">
        <v>80</v>
      </c>
      <c r="I4221" s="54">
        <v>8646153236</v>
      </c>
      <c r="K4221" s="56" t="s">
        <v>2958</v>
      </c>
      <c r="L4221" s="55" t="s">
        <v>2876</v>
      </c>
      <c r="M4221" s="55" t="s">
        <v>2824</v>
      </c>
      <c r="O4221" s="55" t="s">
        <v>178</v>
      </c>
    </row>
    <row r="4222" spans="2:15">
      <c r="B4222" s="20">
        <v>45604</v>
      </c>
      <c r="C4222" s="59">
        <v>40009546</v>
      </c>
      <c r="D4222" s="55" t="s">
        <v>174</v>
      </c>
      <c r="G4222" s="65">
        <v>1998</v>
      </c>
      <c r="H4222" s="56" t="s">
        <v>80</v>
      </c>
      <c r="I4222" s="54">
        <v>8646150888</v>
      </c>
      <c r="K4222" s="56">
        <v>2068</v>
      </c>
      <c r="L4222" s="55" t="s">
        <v>176</v>
      </c>
      <c r="M4222" s="55" t="s">
        <v>2824</v>
      </c>
      <c r="N4222" s="4" t="s">
        <v>177</v>
      </c>
      <c r="O4222" s="55" t="s">
        <v>178</v>
      </c>
    </row>
    <row r="4223" spans="2:15">
      <c r="B4223" s="20">
        <v>45604</v>
      </c>
      <c r="C4223" s="59">
        <v>40011133</v>
      </c>
      <c r="D4223" s="55" t="s">
        <v>634</v>
      </c>
      <c r="G4223" s="65">
        <v>2592</v>
      </c>
      <c r="H4223" s="56" t="s">
        <v>80</v>
      </c>
      <c r="I4223" s="54">
        <v>8646150888</v>
      </c>
      <c r="K4223" s="56">
        <v>2068</v>
      </c>
      <c r="L4223" s="55" t="s">
        <v>176</v>
      </c>
      <c r="M4223" s="55" t="s">
        <v>2824</v>
      </c>
      <c r="N4223" s="4" t="s">
        <v>177</v>
      </c>
      <c r="O4223" s="55" t="s">
        <v>178</v>
      </c>
    </row>
    <row r="4224" spans="2:15">
      <c r="B4224" s="20">
        <v>45604</v>
      </c>
      <c r="C4224" s="59">
        <v>50272278</v>
      </c>
      <c r="D4224" s="55" t="s">
        <v>21</v>
      </c>
      <c r="G4224" s="65">
        <v>2500</v>
      </c>
      <c r="H4224" s="56" t="s">
        <v>92</v>
      </c>
      <c r="I4224" s="54">
        <v>8646150888</v>
      </c>
      <c r="K4224" s="56">
        <v>2068</v>
      </c>
      <c r="L4224" s="55" t="s">
        <v>176</v>
      </c>
      <c r="M4224" s="55" t="s">
        <v>2824</v>
      </c>
      <c r="N4224" s="4" t="s">
        <v>177</v>
      </c>
      <c r="O4224" s="55" t="s">
        <v>178</v>
      </c>
    </row>
    <row r="4225" spans="2:15">
      <c r="B4225" s="20">
        <v>45604</v>
      </c>
      <c r="C4225" s="59">
        <v>50142327</v>
      </c>
      <c r="D4225" s="55" t="s">
        <v>256</v>
      </c>
      <c r="G4225" s="65">
        <v>953.4</v>
      </c>
      <c r="H4225" s="56" t="s">
        <v>82</v>
      </c>
      <c r="I4225" s="54">
        <v>8646150888</v>
      </c>
      <c r="K4225" s="56">
        <v>2068</v>
      </c>
      <c r="L4225" s="55" t="s">
        <v>176</v>
      </c>
      <c r="M4225" s="55" t="s">
        <v>2824</v>
      </c>
      <c r="N4225" s="4" t="s">
        <v>177</v>
      </c>
      <c r="O4225" s="55" t="s">
        <v>178</v>
      </c>
    </row>
    <row r="4226" spans="2:15">
      <c r="B4226" s="20">
        <v>45604</v>
      </c>
      <c r="C4226" s="59">
        <v>50142334</v>
      </c>
      <c r="D4226" s="55" t="s">
        <v>257</v>
      </c>
      <c r="G4226" s="65">
        <v>953.4</v>
      </c>
      <c r="H4226" s="56" t="s">
        <v>82</v>
      </c>
      <c r="I4226" s="54">
        <v>8646150888</v>
      </c>
      <c r="K4226" s="56">
        <v>2068</v>
      </c>
      <c r="L4226" s="55" t="s">
        <v>176</v>
      </c>
      <c r="M4226" s="55" t="s">
        <v>2824</v>
      </c>
      <c r="N4226" s="4" t="s">
        <v>177</v>
      </c>
      <c r="O4226" s="55" t="s">
        <v>178</v>
      </c>
    </row>
    <row r="4227" spans="2:15">
      <c r="B4227" s="20">
        <v>45604</v>
      </c>
      <c r="C4227" s="59">
        <v>50472692</v>
      </c>
      <c r="D4227" s="55" t="s">
        <v>1304</v>
      </c>
      <c r="G4227" s="65">
        <v>1612</v>
      </c>
      <c r="H4227" s="56" t="s">
        <v>80</v>
      </c>
      <c r="I4227" s="54">
        <v>8646150888</v>
      </c>
      <c r="K4227" s="56">
        <v>2068</v>
      </c>
      <c r="L4227" s="55" t="s">
        <v>176</v>
      </c>
      <c r="M4227" s="55" t="s">
        <v>2824</v>
      </c>
      <c r="N4227" s="4" t="s">
        <v>177</v>
      </c>
      <c r="O4227" s="55" t="s">
        <v>178</v>
      </c>
    </row>
    <row r="4228" spans="2:15">
      <c r="B4228" s="20">
        <v>45604</v>
      </c>
      <c r="C4228" s="59">
        <v>50472696</v>
      </c>
      <c r="D4228" s="55" t="s">
        <v>1308</v>
      </c>
      <c r="G4228" s="65">
        <v>2205</v>
      </c>
      <c r="H4228" s="56" t="s">
        <v>80</v>
      </c>
      <c r="I4228" s="54">
        <v>8646150888</v>
      </c>
      <c r="K4228" s="56">
        <v>2068</v>
      </c>
      <c r="L4228" s="55" t="s">
        <v>176</v>
      </c>
      <c r="M4228" s="55" t="s">
        <v>2824</v>
      </c>
      <c r="N4228" s="4" t="s">
        <v>177</v>
      </c>
      <c r="O4228" s="55" t="s">
        <v>178</v>
      </c>
    </row>
    <row r="4229" spans="2:15">
      <c r="B4229" s="20">
        <v>45604</v>
      </c>
      <c r="C4229" s="59">
        <v>50837237</v>
      </c>
      <c r="D4229" s="55" t="s">
        <v>1747</v>
      </c>
      <c r="G4229" s="65">
        <v>502.9</v>
      </c>
      <c r="H4229" s="56" t="s">
        <v>82</v>
      </c>
      <c r="I4229" s="54">
        <v>8646150888</v>
      </c>
      <c r="K4229" s="56">
        <v>2068</v>
      </c>
      <c r="L4229" s="55" t="s">
        <v>176</v>
      </c>
      <c r="M4229" s="55" t="s">
        <v>2824</v>
      </c>
      <c r="N4229" s="4" t="s">
        <v>177</v>
      </c>
      <c r="O4229" s="55" t="s">
        <v>178</v>
      </c>
    </row>
    <row r="4230" spans="2:15">
      <c r="B4230" s="20">
        <v>45604</v>
      </c>
      <c r="C4230" s="59">
        <v>50272278</v>
      </c>
      <c r="D4230" s="55" t="s">
        <v>21</v>
      </c>
      <c r="G4230" s="65">
        <v>1000</v>
      </c>
      <c r="H4230" s="56" t="s">
        <v>92</v>
      </c>
      <c r="I4230" s="54">
        <v>8646152237</v>
      </c>
      <c r="K4230" s="56">
        <v>2069</v>
      </c>
      <c r="L4230" s="55" t="s">
        <v>176</v>
      </c>
      <c r="M4230" s="55" t="s">
        <v>2824</v>
      </c>
      <c r="N4230" s="4" t="s">
        <v>177</v>
      </c>
      <c r="O4230" s="55" t="s">
        <v>178</v>
      </c>
    </row>
    <row r="4231" spans="2:15">
      <c r="B4231" s="20">
        <v>45604</v>
      </c>
      <c r="C4231" s="59">
        <v>50470190</v>
      </c>
      <c r="D4231" s="55" t="s">
        <v>12</v>
      </c>
      <c r="G4231" s="65">
        <v>2608200</v>
      </c>
      <c r="H4231" s="56" t="s">
        <v>92</v>
      </c>
      <c r="I4231" s="54">
        <v>8646152237</v>
      </c>
      <c r="K4231" s="56">
        <v>2069</v>
      </c>
      <c r="L4231" s="55" t="s">
        <v>176</v>
      </c>
      <c r="M4231" s="55" t="s">
        <v>2824</v>
      </c>
      <c r="N4231" s="4" t="s">
        <v>177</v>
      </c>
      <c r="O4231" s="55" t="s">
        <v>178</v>
      </c>
    </row>
    <row r="4232" spans="2:15">
      <c r="B4232" s="20">
        <v>45604</v>
      </c>
      <c r="C4232" s="59">
        <v>50837509</v>
      </c>
      <c r="D4232" s="55" t="s">
        <v>14</v>
      </c>
      <c r="G4232" s="65">
        <v>869400</v>
      </c>
      <c r="H4232" s="56" t="s">
        <v>92</v>
      </c>
      <c r="I4232" s="54">
        <v>8646152237</v>
      </c>
      <c r="K4232" s="56">
        <v>2069</v>
      </c>
      <c r="L4232" s="55" t="s">
        <v>176</v>
      </c>
      <c r="M4232" s="55" t="s">
        <v>2824</v>
      </c>
      <c r="N4232" s="4" t="s">
        <v>177</v>
      </c>
      <c r="O4232" s="55" t="s">
        <v>178</v>
      </c>
    </row>
    <row r="4233" spans="2:15">
      <c r="B4233" s="20">
        <v>45604</v>
      </c>
      <c r="C4233" s="59">
        <v>88888888</v>
      </c>
      <c r="D4233" s="55" t="s">
        <v>1838</v>
      </c>
      <c r="G4233" s="65">
        <v>869400</v>
      </c>
      <c r="H4233" s="56" t="s">
        <v>92</v>
      </c>
      <c r="I4233" s="54">
        <v>8648443661</v>
      </c>
      <c r="K4233" s="56">
        <v>2069</v>
      </c>
      <c r="L4233" s="55" t="s">
        <v>176</v>
      </c>
      <c r="M4233" s="55" t="s">
        <v>2824</v>
      </c>
      <c r="N4233" s="4" t="s">
        <v>177</v>
      </c>
      <c r="O4233" s="55" t="s">
        <v>178</v>
      </c>
    </row>
    <row r="4234" spans="2:15">
      <c r="B4234" s="20">
        <v>45604</v>
      </c>
      <c r="C4234" s="59">
        <v>50470190</v>
      </c>
      <c r="D4234" s="55" t="s">
        <v>12</v>
      </c>
      <c r="G4234" s="65">
        <v>579600</v>
      </c>
      <c r="H4234" s="56" t="s">
        <v>92</v>
      </c>
      <c r="I4234" s="54">
        <v>8647049574</v>
      </c>
      <c r="K4234" s="56">
        <v>2069</v>
      </c>
      <c r="L4234" s="55" t="s">
        <v>176</v>
      </c>
      <c r="M4234" s="55" t="s">
        <v>2824</v>
      </c>
      <c r="N4234" s="4" t="s">
        <v>177</v>
      </c>
      <c r="O4234" s="55" t="s">
        <v>178</v>
      </c>
    </row>
    <row r="4235" spans="2:15">
      <c r="B4235" s="20">
        <v>45604</v>
      </c>
      <c r="C4235" s="59">
        <v>50272278</v>
      </c>
      <c r="D4235" s="55" t="s">
        <v>21</v>
      </c>
      <c r="G4235" s="65">
        <v>6500</v>
      </c>
      <c r="H4235" s="56" t="s">
        <v>92</v>
      </c>
      <c r="I4235" s="54">
        <v>8646153747</v>
      </c>
      <c r="K4235" s="56">
        <v>2070</v>
      </c>
      <c r="L4235" s="55" t="s">
        <v>176</v>
      </c>
      <c r="M4235" s="55" t="s">
        <v>2824</v>
      </c>
      <c r="N4235" s="4" t="s">
        <v>177</v>
      </c>
      <c r="O4235" s="55" t="s">
        <v>178</v>
      </c>
    </row>
    <row r="4236" spans="2:15">
      <c r="B4236" s="20">
        <v>45604</v>
      </c>
      <c r="C4236" s="59">
        <v>50793278</v>
      </c>
      <c r="D4236" s="55" t="s">
        <v>1086</v>
      </c>
      <c r="G4236" s="65">
        <v>40</v>
      </c>
      <c r="H4236" s="56" t="s">
        <v>1087</v>
      </c>
      <c r="I4236" s="54">
        <v>8646153747</v>
      </c>
      <c r="K4236" s="56">
        <v>2070</v>
      </c>
      <c r="L4236" s="55" t="s">
        <v>176</v>
      </c>
      <c r="M4236" s="55" t="s">
        <v>2824</v>
      </c>
      <c r="N4236" s="4" t="s">
        <v>177</v>
      </c>
      <c r="O4236" s="55" t="s">
        <v>178</v>
      </c>
    </row>
    <row r="4237" spans="2:15">
      <c r="B4237" s="20">
        <v>45604</v>
      </c>
      <c r="C4237" s="59">
        <v>50840086</v>
      </c>
      <c r="D4237" s="55" t="s">
        <v>1813</v>
      </c>
      <c r="G4237" s="65">
        <v>1805.6</v>
      </c>
      <c r="H4237" s="56" t="s">
        <v>82</v>
      </c>
      <c r="I4237" s="54">
        <v>8650000170</v>
      </c>
      <c r="K4237" s="56">
        <v>2070</v>
      </c>
      <c r="L4237" s="55" t="s">
        <v>176</v>
      </c>
      <c r="M4237" s="55" t="s">
        <v>2824</v>
      </c>
      <c r="N4237" s="4" t="s">
        <v>177</v>
      </c>
      <c r="O4237" s="55" t="s">
        <v>178</v>
      </c>
    </row>
    <row r="4238" spans="2:15">
      <c r="B4238" s="20">
        <v>45604</v>
      </c>
      <c r="C4238" s="59">
        <v>50839405</v>
      </c>
      <c r="D4238" s="55" t="s">
        <v>1833</v>
      </c>
      <c r="G4238" s="65">
        <v>798.5</v>
      </c>
      <c r="H4238" s="56" t="s">
        <v>2959</v>
      </c>
      <c r="I4238" s="54">
        <v>5016580751</v>
      </c>
      <c r="K4238" s="56">
        <v>2070</v>
      </c>
      <c r="L4238" s="55" t="s">
        <v>176</v>
      </c>
      <c r="M4238" s="55" t="s">
        <v>2824</v>
      </c>
      <c r="N4238" s="4" t="s">
        <v>177</v>
      </c>
      <c r="O4238" s="55" t="s">
        <v>178</v>
      </c>
    </row>
    <row r="4239" spans="2:15">
      <c r="B4239" s="20">
        <v>45604</v>
      </c>
      <c r="C4239" s="59">
        <v>40014675</v>
      </c>
      <c r="D4239" s="55" t="s">
        <v>44</v>
      </c>
      <c r="G4239" s="65">
        <v>37.44</v>
      </c>
      <c r="H4239" s="56" t="s">
        <v>80</v>
      </c>
      <c r="I4239" s="54">
        <v>8646154310</v>
      </c>
      <c r="K4239" s="56" t="s">
        <v>2960</v>
      </c>
      <c r="L4239" s="55" t="s">
        <v>2876</v>
      </c>
      <c r="M4239" s="55" t="s">
        <v>2824</v>
      </c>
      <c r="O4239" s="55" t="s">
        <v>178</v>
      </c>
    </row>
    <row r="4240" spans="2:15">
      <c r="B4240" s="20">
        <v>45604</v>
      </c>
      <c r="C4240" s="59">
        <v>40014675</v>
      </c>
      <c r="D4240" s="55" t="s">
        <v>44</v>
      </c>
      <c r="G4240" s="65">
        <v>37.44</v>
      </c>
      <c r="H4240" s="56" t="s">
        <v>80</v>
      </c>
      <c r="I4240" s="54">
        <v>8646154312</v>
      </c>
      <c r="K4240" s="56" t="s">
        <v>2961</v>
      </c>
      <c r="L4240" s="55" t="s">
        <v>2876</v>
      </c>
      <c r="M4240" s="55" t="s">
        <v>2824</v>
      </c>
      <c r="O4240" s="55" t="s">
        <v>178</v>
      </c>
    </row>
    <row r="4241" spans="2:15">
      <c r="B4241" s="20">
        <v>45605</v>
      </c>
      <c r="C4241" s="59">
        <v>40014675</v>
      </c>
      <c r="D4241" s="55" t="s">
        <v>44</v>
      </c>
      <c r="G4241" s="65">
        <v>37.44</v>
      </c>
      <c r="H4241" s="56" t="s">
        <v>80</v>
      </c>
      <c r="I4241" s="54">
        <v>8646615005</v>
      </c>
      <c r="K4241" s="56" t="s">
        <v>2962</v>
      </c>
      <c r="L4241" s="55" t="s">
        <v>2876</v>
      </c>
      <c r="M4241" s="55" t="s">
        <v>2824</v>
      </c>
      <c r="O4241" s="55" t="s">
        <v>178</v>
      </c>
    </row>
    <row r="4242" spans="2:15">
      <c r="B4242" s="20">
        <v>45605</v>
      </c>
      <c r="C4242" s="59">
        <v>40014675</v>
      </c>
      <c r="D4242" s="55" t="s">
        <v>44</v>
      </c>
      <c r="G4242" s="65">
        <v>37.44</v>
      </c>
      <c r="H4242" s="56" t="s">
        <v>80</v>
      </c>
      <c r="I4242" s="54">
        <v>8646621161</v>
      </c>
      <c r="K4242" s="56" t="s">
        <v>2963</v>
      </c>
      <c r="L4242" s="55" t="s">
        <v>2876</v>
      </c>
      <c r="M4242" s="55" t="s">
        <v>2824</v>
      </c>
      <c r="O4242" s="55" t="s">
        <v>178</v>
      </c>
    </row>
    <row r="4243" spans="2:15">
      <c r="B4243" s="20">
        <v>45605</v>
      </c>
      <c r="C4243" s="59">
        <v>40014675</v>
      </c>
      <c r="D4243" s="55" t="s">
        <v>44</v>
      </c>
      <c r="G4243" s="65">
        <v>37.44</v>
      </c>
      <c r="H4243" s="56" t="s">
        <v>80</v>
      </c>
      <c r="I4243" s="54">
        <v>8646623510</v>
      </c>
      <c r="K4243" s="56" t="s">
        <v>2964</v>
      </c>
      <c r="L4243" s="55" t="s">
        <v>2876</v>
      </c>
      <c r="M4243" s="55" t="s">
        <v>2824</v>
      </c>
      <c r="O4243" s="55" t="s">
        <v>178</v>
      </c>
    </row>
    <row r="4244" spans="2:15">
      <c r="B4244" s="20">
        <v>45605</v>
      </c>
      <c r="C4244" s="59">
        <v>40014675</v>
      </c>
      <c r="D4244" s="55" t="s">
        <v>44</v>
      </c>
      <c r="G4244" s="65">
        <v>37.44</v>
      </c>
      <c r="H4244" s="56" t="s">
        <v>80</v>
      </c>
      <c r="I4244" s="54">
        <v>8646627216</v>
      </c>
      <c r="K4244" s="56" t="s">
        <v>2965</v>
      </c>
      <c r="L4244" s="55" t="s">
        <v>2876</v>
      </c>
      <c r="M4244" s="55" t="s">
        <v>2824</v>
      </c>
      <c r="O4244" s="55" t="s">
        <v>178</v>
      </c>
    </row>
    <row r="4245" spans="2:15">
      <c r="B4245" s="20">
        <v>45605</v>
      </c>
      <c r="C4245" s="59">
        <v>40014675</v>
      </c>
      <c r="D4245" s="55" t="s">
        <v>44</v>
      </c>
      <c r="G4245" s="65">
        <v>37.44</v>
      </c>
      <c r="H4245" s="56" t="s">
        <v>80</v>
      </c>
      <c r="I4245" s="54">
        <v>8646629086</v>
      </c>
      <c r="K4245" s="56" t="s">
        <v>2966</v>
      </c>
      <c r="L4245" s="55" t="s">
        <v>2876</v>
      </c>
      <c r="M4245" s="55" t="s">
        <v>2824</v>
      </c>
      <c r="O4245" s="55" t="s">
        <v>178</v>
      </c>
    </row>
    <row r="4246" spans="2:15">
      <c r="B4246" s="20">
        <v>45607</v>
      </c>
      <c r="C4246" s="59">
        <v>50272278</v>
      </c>
      <c r="D4246" s="55" t="s">
        <v>21</v>
      </c>
      <c r="G4246" s="65">
        <v>11400</v>
      </c>
      <c r="H4246" s="56" t="s">
        <v>92</v>
      </c>
      <c r="I4246" s="54">
        <v>8647042249</v>
      </c>
      <c r="K4246" s="56">
        <v>2071</v>
      </c>
      <c r="L4246" s="55" t="s">
        <v>176</v>
      </c>
      <c r="M4246" s="55" t="s">
        <v>2824</v>
      </c>
      <c r="N4246" s="4" t="s">
        <v>177</v>
      </c>
      <c r="O4246" s="55" t="s">
        <v>178</v>
      </c>
    </row>
    <row r="4247" spans="2:15">
      <c r="B4247" s="20">
        <v>45607</v>
      </c>
      <c r="C4247" s="59">
        <v>50470190</v>
      </c>
      <c r="D4247" s="66" t="s">
        <v>12</v>
      </c>
      <c r="G4247" s="65">
        <v>5216400</v>
      </c>
      <c r="H4247" s="56" t="s">
        <v>92</v>
      </c>
      <c r="I4247" s="54">
        <v>8647047104</v>
      </c>
      <c r="K4247" s="56">
        <v>2072</v>
      </c>
      <c r="L4247" s="55" t="s">
        <v>176</v>
      </c>
      <c r="M4247" s="55" t="s">
        <v>2824</v>
      </c>
      <c r="N4247" s="4" t="s">
        <v>177</v>
      </c>
      <c r="O4247" s="55" t="s">
        <v>178</v>
      </c>
    </row>
    <row r="4248" spans="2:15">
      <c r="B4248" s="20">
        <v>45607</v>
      </c>
      <c r="C4248" s="59">
        <v>50824293</v>
      </c>
      <c r="D4248" s="55" t="s">
        <v>861</v>
      </c>
      <c r="G4248" s="65">
        <v>1728000</v>
      </c>
      <c r="H4248" s="56" t="s">
        <v>92</v>
      </c>
      <c r="I4248" s="54">
        <v>8647046955</v>
      </c>
      <c r="K4248" s="56">
        <v>2073</v>
      </c>
      <c r="L4248" s="55" t="s">
        <v>176</v>
      </c>
      <c r="M4248" s="55" t="s">
        <v>2824</v>
      </c>
      <c r="N4248" s="4" t="s">
        <v>177</v>
      </c>
      <c r="O4248" s="55" t="s">
        <v>178</v>
      </c>
    </row>
    <row r="4249" spans="2:15">
      <c r="B4249" s="20">
        <v>45607</v>
      </c>
      <c r="C4249" s="59">
        <v>50272278</v>
      </c>
      <c r="D4249" s="55" t="s">
        <v>21</v>
      </c>
      <c r="G4249" s="65">
        <v>7800</v>
      </c>
      <c r="H4249" s="56" t="s">
        <v>92</v>
      </c>
      <c r="I4249" s="54">
        <v>8647046955</v>
      </c>
      <c r="K4249" s="56">
        <v>2073</v>
      </c>
      <c r="L4249" s="55" t="s">
        <v>176</v>
      </c>
      <c r="M4249" s="55" t="s">
        <v>2824</v>
      </c>
      <c r="N4249" s="4" t="s">
        <v>177</v>
      </c>
      <c r="O4249" s="55" t="s">
        <v>178</v>
      </c>
    </row>
    <row r="4250" spans="2:15">
      <c r="B4250" s="20">
        <v>45607</v>
      </c>
      <c r="C4250" s="59">
        <v>50802401</v>
      </c>
      <c r="D4250" s="55" t="s">
        <v>13</v>
      </c>
      <c r="G4250" s="65">
        <v>1159200</v>
      </c>
      <c r="H4250" s="56" t="s">
        <v>92</v>
      </c>
      <c r="I4250" s="54">
        <v>8647046955</v>
      </c>
      <c r="K4250" s="56">
        <v>2073</v>
      </c>
      <c r="L4250" s="55" t="s">
        <v>176</v>
      </c>
      <c r="M4250" s="55" t="s">
        <v>2824</v>
      </c>
      <c r="N4250" s="4" t="s">
        <v>177</v>
      </c>
      <c r="O4250" s="55" t="s">
        <v>178</v>
      </c>
    </row>
    <row r="4251" spans="2:15">
      <c r="B4251" s="20">
        <v>45607</v>
      </c>
      <c r="C4251" s="59">
        <v>50818963</v>
      </c>
      <c r="D4251" s="55" t="s">
        <v>1709</v>
      </c>
      <c r="G4251" s="65">
        <v>400000</v>
      </c>
      <c r="H4251" s="56" t="s">
        <v>92</v>
      </c>
      <c r="I4251" s="54">
        <v>8647046955</v>
      </c>
      <c r="K4251" s="56">
        <v>2073</v>
      </c>
      <c r="L4251" s="55" t="s">
        <v>176</v>
      </c>
      <c r="M4251" s="55" t="s">
        <v>2824</v>
      </c>
      <c r="N4251" s="4" t="s">
        <v>177</v>
      </c>
      <c r="O4251" s="55" t="s">
        <v>178</v>
      </c>
    </row>
    <row r="4252" spans="2:15">
      <c r="B4252" s="20">
        <v>45607</v>
      </c>
      <c r="C4252" s="59">
        <v>50819320</v>
      </c>
      <c r="D4252" s="55" t="s">
        <v>1701</v>
      </c>
      <c r="G4252" s="65">
        <v>320</v>
      </c>
      <c r="H4252" s="56" t="s">
        <v>80</v>
      </c>
      <c r="I4252" s="54">
        <v>8647046955</v>
      </c>
      <c r="K4252" s="56">
        <v>2073</v>
      </c>
      <c r="L4252" s="55" t="s">
        <v>176</v>
      </c>
      <c r="M4252" s="55" t="s">
        <v>2824</v>
      </c>
      <c r="N4252" s="4" t="s">
        <v>177</v>
      </c>
      <c r="O4252" s="55" t="s">
        <v>178</v>
      </c>
    </row>
    <row r="4253" spans="2:15">
      <c r="B4253" s="20">
        <v>45607</v>
      </c>
      <c r="C4253" s="59">
        <v>50819321</v>
      </c>
      <c r="D4253" s="55" t="s">
        <v>1703</v>
      </c>
      <c r="G4253" s="65">
        <v>387.2</v>
      </c>
      <c r="H4253" s="56" t="s">
        <v>80</v>
      </c>
      <c r="I4253" s="54">
        <v>8647046955</v>
      </c>
      <c r="K4253" s="56">
        <v>2073</v>
      </c>
      <c r="L4253" s="55" t="s">
        <v>176</v>
      </c>
      <c r="M4253" s="55" t="s">
        <v>2824</v>
      </c>
      <c r="N4253" s="4" t="s">
        <v>177</v>
      </c>
      <c r="O4253" s="55" t="s">
        <v>178</v>
      </c>
    </row>
    <row r="4254" spans="2:15">
      <c r="B4254" s="20">
        <v>45607</v>
      </c>
      <c r="C4254" s="59">
        <v>40014675</v>
      </c>
      <c r="D4254" s="55" t="s">
        <v>44</v>
      </c>
      <c r="G4254" s="65">
        <v>37.44</v>
      </c>
      <c r="H4254" s="56" t="s">
        <v>80</v>
      </c>
      <c r="I4254" s="54">
        <v>8647050871</v>
      </c>
      <c r="K4254" s="56" t="s">
        <v>2967</v>
      </c>
      <c r="L4254" s="55" t="s">
        <v>2876</v>
      </c>
      <c r="M4254" s="55" t="s">
        <v>2824</v>
      </c>
      <c r="O4254" s="55" t="s">
        <v>178</v>
      </c>
    </row>
    <row r="4255" spans="2:15">
      <c r="B4255" s="20">
        <v>45607</v>
      </c>
      <c r="C4255" s="59">
        <v>40014675</v>
      </c>
      <c r="D4255" s="55" t="s">
        <v>44</v>
      </c>
      <c r="G4255" s="65">
        <v>22.132</v>
      </c>
      <c r="H4255" s="56" t="s">
        <v>80</v>
      </c>
      <c r="I4255" s="54">
        <v>8647050906</v>
      </c>
      <c r="K4255" s="56" t="s">
        <v>2968</v>
      </c>
      <c r="L4255" s="55" t="s">
        <v>2876</v>
      </c>
      <c r="M4255" s="55" t="s">
        <v>2824</v>
      </c>
      <c r="O4255" s="55" t="s">
        <v>178</v>
      </c>
    </row>
    <row r="4256" spans="2:15">
      <c r="B4256" s="20">
        <v>45607</v>
      </c>
      <c r="C4256" s="59">
        <v>40014900</v>
      </c>
      <c r="D4256" s="55" t="s">
        <v>2969</v>
      </c>
      <c r="G4256" s="65">
        <v>37.44</v>
      </c>
      <c r="H4256" s="56" t="s">
        <v>80</v>
      </c>
      <c r="I4256" s="54">
        <v>8648441839</v>
      </c>
      <c r="K4256" s="56" t="s">
        <v>2970</v>
      </c>
      <c r="L4256" s="55" t="s">
        <v>2876</v>
      </c>
      <c r="M4256" s="55" t="s">
        <v>2824</v>
      </c>
      <c r="O4256" s="55" t="s">
        <v>178</v>
      </c>
    </row>
    <row r="4257" spans="2:15">
      <c r="B4257" s="20">
        <v>45608</v>
      </c>
      <c r="C4257" s="59">
        <v>50272278</v>
      </c>
      <c r="D4257" s="55" t="s">
        <v>21</v>
      </c>
      <c r="G4257" s="65">
        <v>12400</v>
      </c>
      <c r="H4257" s="56" t="s">
        <v>92</v>
      </c>
      <c r="I4257" s="54">
        <v>8647455880</v>
      </c>
      <c r="K4257" s="56">
        <v>2074</v>
      </c>
      <c r="L4257" s="55" t="s">
        <v>176</v>
      </c>
      <c r="M4257" s="55" t="s">
        <v>2824</v>
      </c>
      <c r="N4257" s="4" t="s">
        <v>177</v>
      </c>
      <c r="O4257" s="55" t="s">
        <v>178</v>
      </c>
    </row>
    <row r="4258" spans="2:15">
      <c r="B4258" s="20">
        <v>45608</v>
      </c>
      <c r="C4258" s="59">
        <v>40014900</v>
      </c>
      <c r="D4258" s="55" t="s">
        <v>2969</v>
      </c>
      <c r="G4258" s="65">
        <v>37.44</v>
      </c>
      <c r="H4258" s="56" t="s">
        <v>80</v>
      </c>
      <c r="I4258" s="54">
        <v>8648442233</v>
      </c>
      <c r="K4258" s="56" t="s">
        <v>2971</v>
      </c>
      <c r="L4258" s="55" t="s">
        <v>2876</v>
      </c>
      <c r="M4258" s="55" t="s">
        <v>2824</v>
      </c>
      <c r="O4258" s="55" t="s">
        <v>178</v>
      </c>
    </row>
    <row r="4259" spans="2:15">
      <c r="B4259" s="20">
        <v>45608</v>
      </c>
      <c r="C4259" s="59">
        <v>40014900</v>
      </c>
      <c r="D4259" s="55" t="s">
        <v>2969</v>
      </c>
      <c r="G4259" s="65">
        <v>37.44</v>
      </c>
      <c r="H4259" s="56" t="s">
        <v>80</v>
      </c>
      <c r="I4259" s="54">
        <v>8648442251</v>
      </c>
      <c r="K4259" s="56" t="s">
        <v>2972</v>
      </c>
      <c r="L4259" s="55" t="s">
        <v>2876</v>
      </c>
      <c r="M4259" s="55" t="s">
        <v>2824</v>
      </c>
      <c r="O4259" s="55" t="s">
        <v>178</v>
      </c>
    </row>
    <row r="4260" spans="2:15">
      <c r="B4260" s="20">
        <v>45608</v>
      </c>
      <c r="C4260" s="59">
        <v>40014900</v>
      </c>
      <c r="D4260" s="55" t="s">
        <v>2969</v>
      </c>
      <c r="G4260" s="65">
        <v>37.44</v>
      </c>
      <c r="H4260" s="56" t="s">
        <v>80</v>
      </c>
      <c r="I4260" s="54">
        <v>8648442255</v>
      </c>
      <c r="K4260" s="56" t="s">
        <v>2973</v>
      </c>
      <c r="L4260" s="55" t="s">
        <v>2876</v>
      </c>
      <c r="M4260" s="55" t="s">
        <v>2824</v>
      </c>
      <c r="O4260" s="55" t="s">
        <v>178</v>
      </c>
    </row>
    <row r="4261" spans="2:15">
      <c r="B4261" s="20">
        <v>45608</v>
      </c>
      <c r="C4261" s="59">
        <v>40014900</v>
      </c>
      <c r="D4261" s="55" t="s">
        <v>2969</v>
      </c>
      <c r="G4261" s="65">
        <v>37.44</v>
      </c>
      <c r="H4261" s="56" t="s">
        <v>80</v>
      </c>
      <c r="I4261" s="54">
        <v>8648442258</v>
      </c>
      <c r="K4261" s="56" t="s">
        <v>2974</v>
      </c>
      <c r="L4261" s="55" t="s">
        <v>2876</v>
      </c>
      <c r="M4261" s="55" t="s">
        <v>2824</v>
      </c>
      <c r="O4261" s="55" t="s">
        <v>178</v>
      </c>
    </row>
    <row r="4262" spans="2:15">
      <c r="B4262" s="20">
        <v>45608</v>
      </c>
      <c r="C4262" s="59">
        <v>40014900</v>
      </c>
      <c r="D4262" s="55" t="s">
        <v>2969</v>
      </c>
      <c r="G4262" s="65">
        <v>37.44</v>
      </c>
      <c r="H4262" s="56" t="s">
        <v>80</v>
      </c>
      <c r="I4262" s="54">
        <v>8648443026</v>
      </c>
      <c r="K4262" s="56" t="s">
        <v>2975</v>
      </c>
      <c r="L4262" s="55" t="s">
        <v>2876</v>
      </c>
      <c r="M4262" s="55" t="s">
        <v>2824</v>
      </c>
      <c r="O4262" s="55" t="s">
        <v>178</v>
      </c>
    </row>
    <row r="4263" spans="2:15">
      <c r="B4263" s="20">
        <v>45608</v>
      </c>
      <c r="C4263" s="59">
        <v>40014900</v>
      </c>
      <c r="D4263" s="55" t="s">
        <v>2969</v>
      </c>
      <c r="G4263" s="65">
        <v>25.92</v>
      </c>
      <c r="H4263" s="56" t="s">
        <v>80</v>
      </c>
      <c r="I4263" s="54">
        <v>8648443032</v>
      </c>
      <c r="K4263" s="56" t="s">
        <v>2976</v>
      </c>
      <c r="L4263" s="55" t="s">
        <v>2876</v>
      </c>
      <c r="M4263" s="55" t="s">
        <v>2824</v>
      </c>
      <c r="O4263" s="55" t="s">
        <v>178</v>
      </c>
    </row>
    <row r="4264" spans="2:15">
      <c r="B4264" s="20">
        <v>45609</v>
      </c>
      <c r="C4264" s="59">
        <v>50010080</v>
      </c>
      <c r="D4264" s="55" t="s">
        <v>1657</v>
      </c>
      <c r="G4264" s="65">
        <v>3000</v>
      </c>
      <c r="H4264" s="56" t="s">
        <v>82</v>
      </c>
      <c r="I4264" s="54">
        <v>8647930925</v>
      </c>
      <c r="K4264" s="56">
        <v>2075</v>
      </c>
      <c r="L4264" s="55" t="s">
        <v>176</v>
      </c>
      <c r="M4264" s="55" t="s">
        <v>2824</v>
      </c>
      <c r="N4264" s="4" t="s">
        <v>177</v>
      </c>
      <c r="O4264" s="55" t="s">
        <v>178</v>
      </c>
    </row>
    <row r="4265" spans="2:15">
      <c r="B4265" s="20">
        <v>45609</v>
      </c>
      <c r="C4265" s="59">
        <v>50142327</v>
      </c>
      <c r="D4265" s="55" t="s">
        <v>256</v>
      </c>
      <c r="G4265" s="65">
        <v>476.7</v>
      </c>
      <c r="H4265" s="56" t="s">
        <v>82</v>
      </c>
      <c r="I4265" s="54">
        <v>8647930925</v>
      </c>
      <c r="K4265" s="56">
        <v>2075</v>
      </c>
      <c r="L4265" s="55" t="s">
        <v>176</v>
      </c>
      <c r="M4265" s="55" t="s">
        <v>2824</v>
      </c>
      <c r="N4265" s="4" t="s">
        <v>177</v>
      </c>
      <c r="O4265" s="55" t="s">
        <v>178</v>
      </c>
    </row>
    <row r="4266" spans="2:15">
      <c r="B4266" s="20">
        <v>45609</v>
      </c>
      <c r="C4266" s="59">
        <v>50142334</v>
      </c>
      <c r="D4266" s="55" t="s">
        <v>257</v>
      </c>
      <c r="G4266" s="65">
        <v>476.7</v>
      </c>
      <c r="H4266" s="56" t="s">
        <v>82</v>
      </c>
      <c r="I4266" s="54">
        <v>8647930925</v>
      </c>
      <c r="K4266" s="56">
        <v>2075</v>
      </c>
      <c r="L4266" s="55" t="s">
        <v>176</v>
      </c>
      <c r="M4266" s="55" t="s">
        <v>2824</v>
      </c>
      <c r="N4266" s="4" t="s">
        <v>177</v>
      </c>
      <c r="O4266" s="55" t="s">
        <v>178</v>
      </c>
    </row>
    <row r="4267" spans="2:15">
      <c r="B4267" s="20">
        <v>45609</v>
      </c>
      <c r="C4267" s="59">
        <v>50397884</v>
      </c>
      <c r="D4267" s="55" t="s">
        <v>1296</v>
      </c>
      <c r="G4267" s="65">
        <v>810</v>
      </c>
      <c r="H4267" s="56" t="s">
        <v>80</v>
      </c>
      <c r="I4267" s="54">
        <v>8647930925</v>
      </c>
      <c r="K4267" s="56">
        <v>2075</v>
      </c>
      <c r="L4267" s="55" t="s">
        <v>176</v>
      </c>
      <c r="M4267" s="55" t="s">
        <v>2824</v>
      </c>
      <c r="N4267" s="4" t="s">
        <v>177</v>
      </c>
      <c r="O4267" s="55" t="s">
        <v>178</v>
      </c>
    </row>
    <row r="4268" spans="2:15">
      <c r="B4268" s="20">
        <v>45609</v>
      </c>
      <c r="C4268" s="59">
        <v>50472692</v>
      </c>
      <c r="D4268" s="55" t="s">
        <v>1304</v>
      </c>
      <c r="G4268" s="65">
        <v>3276</v>
      </c>
      <c r="H4268" s="56" t="s">
        <v>80</v>
      </c>
      <c r="I4268" s="54">
        <v>8647930925</v>
      </c>
      <c r="K4268" s="56">
        <v>2075</v>
      </c>
      <c r="L4268" s="55" t="s">
        <v>176</v>
      </c>
      <c r="M4268" s="55" t="s">
        <v>2824</v>
      </c>
      <c r="N4268" s="4" t="s">
        <v>177</v>
      </c>
      <c r="O4268" s="55" t="s">
        <v>178</v>
      </c>
    </row>
    <row r="4269" spans="2:15">
      <c r="B4269" s="20">
        <v>45609</v>
      </c>
      <c r="C4269" s="59">
        <v>50472696</v>
      </c>
      <c r="D4269" s="55" t="s">
        <v>1308</v>
      </c>
      <c r="G4269" s="65">
        <v>2205</v>
      </c>
      <c r="H4269" s="56" t="s">
        <v>80</v>
      </c>
      <c r="I4269" s="54">
        <v>8647930925</v>
      </c>
      <c r="K4269" s="56">
        <v>2075</v>
      </c>
      <c r="L4269" s="55" t="s">
        <v>176</v>
      </c>
      <c r="M4269" s="55" t="s">
        <v>2824</v>
      </c>
      <c r="N4269" s="4" t="s">
        <v>177</v>
      </c>
      <c r="O4269" s="55" t="s">
        <v>178</v>
      </c>
    </row>
    <row r="4270" spans="2:15">
      <c r="B4270" s="20">
        <v>45609</v>
      </c>
      <c r="C4270" s="59">
        <v>50480086</v>
      </c>
      <c r="D4270" s="55" t="s">
        <v>1813</v>
      </c>
      <c r="G4270" s="65">
        <v>3044.5</v>
      </c>
      <c r="H4270" s="56" t="s">
        <v>82</v>
      </c>
      <c r="I4270" s="54">
        <v>8650000172</v>
      </c>
      <c r="K4270" s="56">
        <v>2075</v>
      </c>
      <c r="L4270" s="55" t="s">
        <v>176</v>
      </c>
      <c r="M4270" s="55" t="s">
        <v>2824</v>
      </c>
      <c r="N4270" s="4" t="s">
        <v>177</v>
      </c>
      <c r="O4270" s="55" t="s">
        <v>178</v>
      </c>
    </row>
    <row r="4271" spans="2:15">
      <c r="B4271" s="20">
        <v>45609</v>
      </c>
      <c r="C4271" s="59">
        <v>50470190</v>
      </c>
      <c r="D4271" s="55" t="s">
        <v>12</v>
      </c>
      <c r="G4271" s="65">
        <v>2028600</v>
      </c>
      <c r="H4271" s="56" t="s">
        <v>92</v>
      </c>
      <c r="I4271" s="54">
        <v>8647932586</v>
      </c>
      <c r="K4271" s="56">
        <v>2076</v>
      </c>
      <c r="L4271" s="55" t="s">
        <v>176</v>
      </c>
      <c r="M4271" s="55" t="s">
        <v>2824</v>
      </c>
      <c r="N4271" s="4" t="s">
        <v>177</v>
      </c>
      <c r="O4271" s="55" t="s">
        <v>178</v>
      </c>
    </row>
    <row r="4272" spans="2:15">
      <c r="B4272" s="20">
        <v>45609</v>
      </c>
      <c r="C4272" s="59">
        <v>50802401</v>
      </c>
      <c r="D4272" s="55" t="s">
        <v>13</v>
      </c>
      <c r="G4272" s="65">
        <v>2898000</v>
      </c>
      <c r="H4272" s="56" t="s">
        <v>92</v>
      </c>
      <c r="I4272" s="54">
        <v>8647932586</v>
      </c>
      <c r="K4272" s="56">
        <v>2076</v>
      </c>
      <c r="L4272" s="55" t="s">
        <v>176</v>
      </c>
      <c r="M4272" s="55" t="s">
        <v>2824</v>
      </c>
      <c r="N4272" s="4" t="s">
        <v>177</v>
      </c>
      <c r="O4272" s="55" t="s">
        <v>178</v>
      </c>
    </row>
    <row r="4273" spans="2:15">
      <c r="B4273" s="20">
        <v>45609</v>
      </c>
      <c r="C4273" s="59">
        <v>50328897</v>
      </c>
      <c r="D4273" s="55" t="s">
        <v>1850</v>
      </c>
      <c r="G4273" s="65">
        <v>220</v>
      </c>
      <c r="H4273" s="56" t="s">
        <v>987</v>
      </c>
      <c r="I4273" s="54">
        <v>5016599138</v>
      </c>
      <c r="K4273" s="56">
        <v>2076</v>
      </c>
      <c r="L4273" s="55" t="s">
        <v>176</v>
      </c>
      <c r="M4273" s="55" t="s">
        <v>2824</v>
      </c>
      <c r="N4273" s="4" t="s">
        <v>177</v>
      </c>
      <c r="O4273" s="55" t="s">
        <v>178</v>
      </c>
    </row>
    <row r="4274" spans="2:15">
      <c r="B4274" s="20">
        <v>45609</v>
      </c>
      <c r="C4274" s="59">
        <v>50328488</v>
      </c>
      <c r="D4274" s="55" t="s">
        <v>1853</v>
      </c>
      <c r="G4274" s="65">
        <v>250</v>
      </c>
      <c r="H4274" s="56" t="s">
        <v>987</v>
      </c>
      <c r="I4274" s="54">
        <v>5016599136</v>
      </c>
      <c r="K4274" s="56">
        <v>2076</v>
      </c>
      <c r="L4274" s="55" t="s">
        <v>176</v>
      </c>
      <c r="M4274" s="55" t="s">
        <v>2824</v>
      </c>
      <c r="N4274" s="4" t="s">
        <v>177</v>
      </c>
      <c r="O4274" s="55" t="s">
        <v>178</v>
      </c>
    </row>
    <row r="4275" spans="2:15">
      <c r="B4275" s="20">
        <v>45610</v>
      </c>
      <c r="C4275" s="59">
        <v>50142330</v>
      </c>
      <c r="D4275" s="55" t="s">
        <v>195</v>
      </c>
      <c r="G4275" s="65">
        <v>840</v>
      </c>
      <c r="H4275" s="56" t="s">
        <v>82</v>
      </c>
      <c r="I4275" s="54">
        <v>8648452437</v>
      </c>
      <c r="K4275" s="56">
        <v>2077</v>
      </c>
      <c r="L4275" s="55" t="s">
        <v>176</v>
      </c>
      <c r="M4275" s="55" t="s">
        <v>2824</v>
      </c>
      <c r="N4275" s="4" t="s">
        <v>177</v>
      </c>
      <c r="O4275" s="55" t="s">
        <v>178</v>
      </c>
    </row>
    <row r="4276" spans="2:15">
      <c r="B4276" s="20">
        <v>45610</v>
      </c>
      <c r="C4276" s="59">
        <v>50793278</v>
      </c>
      <c r="D4276" s="55" t="s">
        <v>1086</v>
      </c>
      <c r="G4276" s="65">
        <v>40</v>
      </c>
      <c r="H4276" s="56" t="s">
        <v>1087</v>
      </c>
      <c r="I4276" s="54">
        <v>8648452437</v>
      </c>
      <c r="K4276" s="56">
        <v>2077</v>
      </c>
      <c r="L4276" s="55" t="s">
        <v>176</v>
      </c>
      <c r="M4276" s="55" t="s">
        <v>2824</v>
      </c>
      <c r="N4276" s="4" t="s">
        <v>177</v>
      </c>
      <c r="O4276" s="55" t="s">
        <v>178</v>
      </c>
    </row>
    <row r="4277" spans="2:15">
      <c r="B4277" s="20">
        <v>45610</v>
      </c>
      <c r="C4277" s="59">
        <v>50142327</v>
      </c>
      <c r="D4277" s="55" t="s">
        <v>256</v>
      </c>
      <c r="G4277" s="65">
        <v>953.4</v>
      </c>
      <c r="H4277" s="56" t="s">
        <v>82</v>
      </c>
      <c r="I4277" s="54">
        <v>8648452437</v>
      </c>
      <c r="K4277" s="56">
        <v>2077</v>
      </c>
      <c r="L4277" s="55" t="s">
        <v>176</v>
      </c>
      <c r="M4277" s="55" t="s">
        <v>2824</v>
      </c>
      <c r="N4277" s="4" t="s">
        <v>177</v>
      </c>
      <c r="O4277" s="55" t="s">
        <v>178</v>
      </c>
    </row>
    <row r="4278" spans="2:15">
      <c r="B4278" s="20">
        <v>45610</v>
      </c>
      <c r="C4278" s="59">
        <v>50142334</v>
      </c>
      <c r="D4278" s="55" t="s">
        <v>257</v>
      </c>
      <c r="G4278" s="65">
        <v>953.4</v>
      </c>
      <c r="H4278" s="56" t="s">
        <v>82</v>
      </c>
      <c r="I4278" s="54">
        <v>8648452437</v>
      </c>
      <c r="K4278" s="56">
        <v>2077</v>
      </c>
      <c r="L4278" s="55" t="s">
        <v>176</v>
      </c>
      <c r="M4278" s="55" t="s">
        <v>2824</v>
      </c>
      <c r="N4278" s="4" t="s">
        <v>177</v>
      </c>
      <c r="O4278" s="55" t="s">
        <v>178</v>
      </c>
    </row>
    <row r="4279" spans="2:15">
      <c r="B4279" s="20">
        <v>45610</v>
      </c>
      <c r="C4279" s="59">
        <v>50820741</v>
      </c>
      <c r="D4279" s="55" t="s">
        <v>1838</v>
      </c>
      <c r="G4279" s="65">
        <v>2028600</v>
      </c>
      <c r="H4279" s="56" t="s">
        <v>92</v>
      </c>
      <c r="I4279" s="54">
        <v>8648452437</v>
      </c>
      <c r="K4279" s="56">
        <v>2077</v>
      </c>
      <c r="L4279" s="55" t="s">
        <v>176</v>
      </c>
      <c r="M4279" s="55" t="s">
        <v>2824</v>
      </c>
      <c r="N4279" s="4" t="s">
        <v>177</v>
      </c>
      <c r="O4279" s="55" t="s">
        <v>178</v>
      </c>
    </row>
    <row r="4280" spans="2:15">
      <c r="B4280" s="20">
        <v>45610</v>
      </c>
      <c r="C4280" s="59">
        <v>50145028</v>
      </c>
      <c r="D4280" s="55" t="s">
        <v>23</v>
      </c>
      <c r="G4280" s="65">
        <v>576</v>
      </c>
      <c r="H4280" s="56" t="s">
        <v>92</v>
      </c>
      <c r="I4280" s="54" t="s">
        <v>2874</v>
      </c>
      <c r="K4280" s="56">
        <v>2078</v>
      </c>
      <c r="L4280" s="55" t="s">
        <v>326</v>
      </c>
      <c r="M4280" s="55" t="s">
        <v>2918</v>
      </c>
      <c r="N4280" s="4" t="s">
        <v>1613</v>
      </c>
      <c r="O4280" s="55" t="s">
        <v>178</v>
      </c>
    </row>
    <row r="4281" spans="2:15">
      <c r="B4281" s="20">
        <v>45610</v>
      </c>
      <c r="C4281" s="59">
        <v>50144376</v>
      </c>
      <c r="D4281" s="55" t="s">
        <v>19</v>
      </c>
      <c r="G4281" s="65">
        <v>5600</v>
      </c>
      <c r="H4281" s="56" t="s">
        <v>92</v>
      </c>
      <c r="I4281" s="54" t="s">
        <v>2874</v>
      </c>
      <c r="K4281" s="56">
        <v>2078</v>
      </c>
      <c r="L4281" s="55" t="s">
        <v>326</v>
      </c>
      <c r="M4281" s="55" t="s">
        <v>2918</v>
      </c>
      <c r="N4281" s="4" t="s">
        <v>1613</v>
      </c>
      <c r="O4281" s="55" t="s">
        <v>178</v>
      </c>
    </row>
    <row r="4282" spans="2:15">
      <c r="B4282" s="20">
        <v>45611</v>
      </c>
      <c r="C4282" s="59">
        <v>50145029</v>
      </c>
      <c r="D4282" s="55" t="s">
        <v>705</v>
      </c>
      <c r="G4282" s="65">
        <v>18</v>
      </c>
      <c r="H4282" s="56" t="s">
        <v>505</v>
      </c>
      <c r="I4282" s="54">
        <v>8648259253</v>
      </c>
      <c r="K4282" s="56">
        <v>2079</v>
      </c>
      <c r="L4282" s="55" t="s">
        <v>176</v>
      </c>
      <c r="M4282" s="55" t="s">
        <v>2824</v>
      </c>
      <c r="N4282" s="4" t="s">
        <v>177</v>
      </c>
      <c r="O4282" s="55" t="s">
        <v>178</v>
      </c>
    </row>
    <row r="4283" spans="2:15">
      <c r="B4283" s="20">
        <v>45611</v>
      </c>
      <c r="C4283" s="59">
        <v>50392045</v>
      </c>
      <c r="D4283" s="55" t="s">
        <v>707</v>
      </c>
      <c r="G4283" s="65">
        <v>18</v>
      </c>
      <c r="H4283" s="56" t="s">
        <v>505</v>
      </c>
      <c r="I4283" s="54">
        <v>8648259253</v>
      </c>
      <c r="K4283" s="56">
        <v>2079</v>
      </c>
      <c r="L4283" s="55" t="s">
        <v>176</v>
      </c>
      <c r="M4283" s="55" t="s">
        <v>2824</v>
      </c>
      <c r="N4283" s="4" t="s">
        <v>177</v>
      </c>
      <c r="O4283" s="55" t="s">
        <v>178</v>
      </c>
    </row>
    <row r="4284" spans="2:15">
      <c r="B4284" s="20">
        <v>45611</v>
      </c>
      <c r="C4284" s="59">
        <v>50470190</v>
      </c>
      <c r="D4284" s="55" t="s">
        <v>12</v>
      </c>
      <c r="G4284" s="65">
        <v>1449000</v>
      </c>
      <c r="H4284" s="56" t="s">
        <v>92</v>
      </c>
      <c r="I4284" s="54">
        <v>8648259253</v>
      </c>
      <c r="K4284" s="56">
        <v>2079</v>
      </c>
      <c r="L4284" s="55" t="s">
        <v>176</v>
      </c>
      <c r="M4284" s="55" t="s">
        <v>2824</v>
      </c>
      <c r="N4284" s="4" t="s">
        <v>177</v>
      </c>
      <c r="O4284" s="55" t="s">
        <v>178</v>
      </c>
    </row>
    <row r="4285" spans="2:15">
      <c r="B4285" s="20">
        <v>45611</v>
      </c>
      <c r="C4285" s="59">
        <v>40011588</v>
      </c>
      <c r="D4285" s="55" t="s">
        <v>585</v>
      </c>
      <c r="G4285" s="65">
        <v>1350</v>
      </c>
      <c r="H4285" s="56" t="s">
        <v>80</v>
      </c>
      <c r="I4285" s="54">
        <v>8648259253</v>
      </c>
      <c r="K4285" s="56">
        <v>2079</v>
      </c>
      <c r="L4285" s="55" t="s">
        <v>176</v>
      </c>
      <c r="M4285" s="55" t="s">
        <v>2824</v>
      </c>
      <c r="N4285" s="4" t="s">
        <v>177</v>
      </c>
      <c r="O4285" s="55" t="s">
        <v>178</v>
      </c>
    </row>
    <row r="4286" spans="2:15">
      <c r="B4286" s="20">
        <v>45611</v>
      </c>
      <c r="C4286" s="59">
        <v>50145012</v>
      </c>
      <c r="D4286" s="55" t="s">
        <v>504</v>
      </c>
      <c r="G4286" s="65">
        <v>18</v>
      </c>
      <c r="H4286" s="56" t="s">
        <v>505</v>
      </c>
      <c r="I4286" s="54">
        <v>8648259253</v>
      </c>
      <c r="K4286" s="56">
        <v>2079</v>
      </c>
      <c r="L4286" s="55" t="s">
        <v>176</v>
      </c>
      <c r="M4286" s="55" t="s">
        <v>2824</v>
      </c>
      <c r="N4286" s="4" t="s">
        <v>177</v>
      </c>
      <c r="O4286" s="55" t="s">
        <v>178</v>
      </c>
    </row>
    <row r="4287" spans="2:15">
      <c r="B4287" s="20">
        <v>45611</v>
      </c>
      <c r="C4287" s="59">
        <v>50811693</v>
      </c>
      <c r="D4287" s="55" t="s">
        <v>1269</v>
      </c>
      <c r="G4287" s="65">
        <v>1500000</v>
      </c>
      <c r="H4287" s="56" t="s">
        <v>92</v>
      </c>
      <c r="I4287" s="54">
        <v>8648259253</v>
      </c>
      <c r="K4287" s="56">
        <v>2079</v>
      </c>
      <c r="L4287" s="55" t="s">
        <v>176</v>
      </c>
      <c r="M4287" s="55" t="s">
        <v>2824</v>
      </c>
      <c r="N4287" s="4" t="s">
        <v>177</v>
      </c>
      <c r="O4287" s="55" t="s">
        <v>178</v>
      </c>
    </row>
    <row r="4288" spans="2:15">
      <c r="B4288" s="20">
        <v>45611</v>
      </c>
      <c r="C4288" s="59">
        <v>50509889</v>
      </c>
      <c r="D4288" s="55" t="s">
        <v>1662</v>
      </c>
      <c r="G4288" s="65">
        <v>2820000</v>
      </c>
      <c r="H4288" s="56" t="s">
        <v>92</v>
      </c>
      <c r="I4288" s="54">
        <v>8648259253</v>
      </c>
      <c r="K4288" s="56">
        <v>2079</v>
      </c>
      <c r="L4288" s="55" t="s">
        <v>176</v>
      </c>
      <c r="M4288" s="55" t="s">
        <v>2824</v>
      </c>
      <c r="N4288" s="4" t="s">
        <v>177</v>
      </c>
      <c r="O4288" s="55" t="s">
        <v>178</v>
      </c>
    </row>
    <row r="4289" spans="2:15">
      <c r="B4289" s="20">
        <v>45611</v>
      </c>
      <c r="C4289" s="59">
        <v>50837237</v>
      </c>
      <c r="D4289" s="55" t="s">
        <v>1747</v>
      </c>
      <c r="G4289" s="65">
        <v>1747.85</v>
      </c>
      <c r="H4289" s="56" t="s">
        <v>82</v>
      </c>
      <c r="I4289" s="54">
        <v>8650001356</v>
      </c>
      <c r="K4289" s="56">
        <v>2079</v>
      </c>
      <c r="L4289" s="55" t="s">
        <v>176</v>
      </c>
      <c r="M4289" s="55" t="s">
        <v>2824</v>
      </c>
      <c r="N4289" s="4" t="s">
        <v>177</v>
      </c>
      <c r="O4289" s="55" t="s">
        <v>178</v>
      </c>
    </row>
    <row r="4290" spans="2:15">
      <c r="B4290" s="20">
        <v>45611</v>
      </c>
      <c r="C4290" s="59">
        <v>50272278</v>
      </c>
      <c r="D4290" s="55" t="s">
        <v>21</v>
      </c>
      <c r="G4290" s="65">
        <v>11000</v>
      </c>
      <c r="H4290" s="56" t="s">
        <v>92</v>
      </c>
      <c r="I4290" s="54">
        <v>8648964759</v>
      </c>
      <c r="K4290" s="56">
        <v>2080</v>
      </c>
      <c r="L4290" s="55" t="s">
        <v>176</v>
      </c>
      <c r="M4290" s="55" t="s">
        <v>2824</v>
      </c>
      <c r="N4290" s="4" t="s">
        <v>177</v>
      </c>
      <c r="O4290" s="55" t="s">
        <v>178</v>
      </c>
    </row>
    <row r="4291" spans="2:15">
      <c r="B4291" s="20">
        <v>45611</v>
      </c>
      <c r="C4291" s="59">
        <v>50142631</v>
      </c>
      <c r="D4291" s="55" t="s">
        <v>566</v>
      </c>
      <c r="G4291" s="65">
        <v>1000</v>
      </c>
      <c r="H4291" s="56" t="s">
        <v>82</v>
      </c>
      <c r="I4291" s="54">
        <v>8655079519</v>
      </c>
      <c r="K4291" s="56">
        <v>2081</v>
      </c>
      <c r="L4291" s="55" t="s">
        <v>176</v>
      </c>
      <c r="M4291" s="55" t="s">
        <v>2824</v>
      </c>
      <c r="N4291" s="4" t="s">
        <v>177</v>
      </c>
      <c r="O4291" s="55" t="s">
        <v>178</v>
      </c>
    </row>
    <row r="4292" spans="2:15">
      <c r="B4292" s="20">
        <v>45611</v>
      </c>
      <c r="C4292" s="59">
        <v>50272278</v>
      </c>
      <c r="D4292" s="55" t="s">
        <v>21</v>
      </c>
      <c r="G4292" s="65">
        <v>4500</v>
      </c>
      <c r="H4292" s="56" t="s">
        <v>92</v>
      </c>
      <c r="I4292" s="54">
        <v>8648964759</v>
      </c>
      <c r="K4292" s="56">
        <v>2081</v>
      </c>
      <c r="L4292" s="55" t="s">
        <v>176</v>
      </c>
      <c r="M4292" s="55" t="s">
        <v>2824</v>
      </c>
      <c r="N4292" s="4" t="s">
        <v>177</v>
      </c>
      <c r="O4292" s="55" t="s">
        <v>178</v>
      </c>
    </row>
    <row r="4293" spans="2:15">
      <c r="B4293" s="20">
        <v>45611</v>
      </c>
      <c r="C4293" s="59">
        <v>50142121</v>
      </c>
      <c r="D4293" s="55" t="s">
        <v>1243</v>
      </c>
      <c r="G4293" s="65">
        <v>50</v>
      </c>
      <c r="H4293" s="56" t="s">
        <v>82</v>
      </c>
      <c r="I4293" s="54">
        <v>8656978441</v>
      </c>
      <c r="K4293" s="56">
        <v>2081</v>
      </c>
      <c r="L4293" s="55" t="s">
        <v>176</v>
      </c>
      <c r="M4293" s="55" t="s">
        <v>2824</v>
      </c>
      <c r="N4293" s="4" t="s">
        <v>177</v>
      </c>
      <c r="O4293" s="55" t="s">
        <v>178</v>
      </c>
    </row>
    <row r="4294" spans="2:15">
      <c r="B4294" s="20">
        <v>45611</v>
      </c>
      <c r="C4294" s="59">
        <v>50837284</v>
      </c>
      <c r="D4294" s="55" t="s">
        <v>28</v>
      </c>
      <c r="G4294" s="65">
        <v>3002.75</v>
      </c>
      <c r="H4294" s="56" t="s">
        <v>82</v>
      </c>
      <c r="I4294" s="54">
        <v>8648964759</v>
      </c>
      <c r="K4294" s="56">
        <v>2081</v>
      </c>
      <c r="L4294" s="55" t="s">
        <v>176</v>
      </c>
      <c r="M4294" s="55" t="s">
        <v>2824</v>
      </c>
      <c r="N4294" s="4" t="s">
        <v>177</v>
      </c>
      <c r="O4294" s="55" t="s">
        <v>178</v>
      </c>
    </row>
    <row r="4295" spans="2:15">
      <c r="B4295" s="20">
        <v>45611</v>
      </c>
      <c r="C4295" s="59">
        <v>50837284</v>
      </c>
      <c r="D4295" s="55" t="s">
        <v>28</v>
      </c>
      <c r="G4295" s="65">
        <v>2794.65</v>
      </c>
      <c r="H4295" s="56" t="s">
        <v>82</v>
      </c>
      <c r="I4295" s="54">
        <v>8649998392</v>
      </c>
      <c r="K4295" s="56">
        <v>2081</v>
      </c>
      <c r="L4295" s="55" t="s">
        <v>176</v>
      </c>
      <c r="M4295" s="55" t="s">
        <v>2824</v>
      </c>
      <c r="N4295" s="4" t="s">
        <v>177</v>
      </c>
      <c r="O4295" s="55" t="s">
        <v>178</v>
      </c>
    </row>
    <row r="4296" spans="2:15">
      <c r="B4296" s="20">
        <v>45614</v>
      </c>
      <c r="C4296" s="59">
        <v>50272278</v>
      </c>
      <c r="D4296" s="55" t="s">
        <v>21</v>
      </c>
      <c r="G4296" s="65">
        <v>11000</v>
      </c>
      <c r="H4296" s="56" t="s">
        <v>92</v>
      </c>
      <c r="I4296" s="54">
        <v>8649565032</v>
      </c>
      <c r="K4296" s="56">
        <v>2082</v>
      </c>
      <c r="L4296" s="55" t="s">
        <v>176</v>
      </c>
      <c r="M4296" s="55" t="s">
        <v>2824</v>
      </c>
      <c r="N4296" s="4" t="s">
        <v>177</v>
      </c>
      <c r="O4296" s="55" t="s">
        <v>178</v>
      </c>
    </row>
    <row r="4297" spans="2:15">
      <c r="B4297" s="20">
        <v>45614</v>
      </c>
      <c r="C4297" s="59">
        <v>50144376</v>
      </c>
      <c r="D4297" s="55" t="s">
        <v>19</v>
      </c>
      <c r="G4297" s="65">
        <v>11100</v>
      </c>
      <c r="H4297" s="56" t="s">
        <v>92</v>
      </c>
      <c r="I4297" s="54">
        <v>8649983741</v>
      </c>
      <c r="K4297" s="56">
        <v>2083</v>
      </c>
      <c r="L4297" s="55" t="s">
        <v>176</v>
      </c>
      <c r="M4297" s="55" t="s">
        <v>2824</v>
      </c>
      <c r="N4297" s="4" t="s">
        <v>177</v>
      </c>
      <c r="O4297" s="55" t="s">
        <v>178</v>
      </c>
    </row>
    <row r="4298" spans="2:15">
      <c r="B4298" s="20">
        <v>45615</v>
      </c>
      <c r="C4298" s="59">
        <v>50751654</v>
      </c>
      <c r="D4298" s="55" t="s">
        <v>874</v>
      </c>
      <c r="G4298" s="65">
        <v>1792</v>
      </c>
      <c r="H4298" s="56" t="s">
        <v>82</v>
      </c>
      <c r="I4298" s="54">
        <v>8650001145</v>
      </c>
      <c r="K4298" s="56">
        <v>2084</v>
      </c>
      <c r="L4298" s="55" t="s">
        <v>176</v>
      </c>
      <c r="M4298" s="55" t="s">
        <v>2824</v>
      </c>
      <c r="N4298" s="4" t="s">
        <v>177</v>
      </c>
      <c r="O4298" s="55" t="s">
        <v>178</v>
      </c>
    </row>
    <row r="4299" spans="2:15">
      <c r="B4299" s="20">
        <v>45615</v>
      </c>
      <c r="C4299" s="59">
        <v>50470190</v>
      </c>
      <c r="D4299" s="55" t="s">
        <v>12</v>
      </c>
      <c r="G4299" s="65">
        <v>2028600</v>
      </c>
      <c r="H4299" s="56" t="s">
        <v>92</v>
      </c>
      <c r="I4299" s="54">
        <v>8649998419</v>
      </c>
      <c r="K4299" s="56">
        <v>2084</v>
      </c>
      <c r="L4299" s="55" t="s">
        <v>176</v>
      </c>
      <c r="M4299" s="55" t="s">
        <v>2824</v>
      </c>
      <c r="N4299" s="4" t="s">
        <v>177</v>
      </c>
      <c r="O4299" s="55" t="s">
        <v>178</v>
      </c>
    </row>
    <row r="4300" spans="2:15">
      <c r="B4300" s="20">
        <v>45615</v>
      </c>
      <c r="C4300" s="59">
        <v>50802401</v>
      </c>
      <c r="D4300" s="55" t="s">
        <v>13</v>
      </c>
      <c r="G4300" s="65">
        <v>2028600</v>
      </c>
      <c r="H4300" s="56" t="s">
        <v>92</v>
      </c>
      <c r="I4300" s="54">
        <v>8649983852</v>
      </c>
      <c r="K4300" s="56">
        <v>2084</v>
      </c>
      <c r="L4300" s="55" t="s">
        <v>176</v>
      </c>
      <c r="M4300" s="55" t="s">
        <v>2824</v>
      </c>
      <c r="N4300" s="4" t="s">
        <v>177</v>
      </c>
      <c r="O4300" s="55" t="s">
        <v>178</v>
      </c>
    </row>
    <row r="4301" spans="2:15">
      <c r="B4301" s="20">
        <v>45615</v>
      </c>
      <c r="C4301" s="59">
        <v>50837509</v>
      </c>
      <c r="D4301" s="55" t="s">
        <v>14</v>
      </c>
      <c r="G4301" s="65">
        <v>869400</v>
      </c>
      <c r="H4301" s="56" t="s">
        <v>92</v>
      </c>
      <c r="I4301" s="54">
        <v>8649983852</v>
      </c>
      <c r="K4301" s="56">
        <v>2084</v>
      </c>
      <c r="L4301" s="55" t="s">
        <v>176</v>
      </c>
      <c r="M4301" s="55" t="s">
        <v>2824</v>
      </c>
      <c r="N4301" s="4" t="s">
        <v>177</v>
      </c>
      <c r="O4301" s="55" t="s">
        <v>178</v>
      </c>
    </row>
    <row r="4302" spans="2:15">
      <c r="B4302" s="20">
        <v>45615</v>
      </c>
      <c r="C4302" s="59">
        <v>50142631</v>
      </c>
      <c r="D4302" s="55" t="s">
        <v>566</v>
      </c>
      <c r="G4302" s="65">
        <v>2000</v>
      </c>
      <c r="H4302" s="56" t="s">
        <v>82</v>
      </c>
      <c r="I4302" s="54">
        <v>8655079521</v>
      </c>
      <c r="K4302" s="56">
        <v>2085</v>
      </c>
      <c r="L4302" s="55" t="s">
        <v>176</v>
      </c>
      <c r="M4302" s="55" t="s">
        <v>2824</v>
      </c>
      <c r="N4302" s="4" t="s">
        <v>177</v>
      </c>
      <c r="O4302" s="55" t="s">
        <v>178</v>
      </c>
    </row>
    <row r="4303" spans="2:15">
      <c r="B4303" s="20">
        <v>45615</v>
      </c>
      <c r="C4303" s="59">
        <v>50010080</v>
      </c>
      <c r="D4303" s="55" t="s">
        <v>1657</v>
      </c>
      <c r="G4303" s="65">
        <v>1000</v>
      </c>
      <c r="H4303" s="56" t="s">
        <v>82</v>
      </c>
      <c r="I4303" s="54">
        <v>8649996485</v>
      </c>
      <c r="K4303" s="56">
        <v>2085</v>
      </c>
      <c r="L4303" s="55" t="s">
        <v>176</v>
      </c>
      <c r="M4303" s="55" t="s">
        <v>2824</v>
      </c>
      <c r="N4303" s="4" t="s">
        <v>177</v>
      </c>
      <c r="O4303" s="55" t="s">
        <v>178</v>
      </c>
    </row>
    <row r="4304" spans="2:15">
      <c r="B4304" s="20">
        <v>45615</v>
      </c>
      <c r="C4304" s="59">
        <v>50809152</v>
      </c>
      <c r="D4304" s="55" t="s">
        <v>953</v>
      </c>
      <c r="G4304" s="65">
        <v>1708.7</v>
      </c>
      <c r="H4304" s="56" t="s">
        <v>82</v>
      </c>
      <c r="I4304" s="54">
        <v>8649996485</v>
      </c>
      <c r="K4304" s="56">
        <v>2085</v>
      </c>
      <c r="L4304" s="55" t="s">
        <v>176</v>
      </c>
      <c r="M4304" s="55" t="s">
        <v>2824</v>
      </c>
      <c r="N4304" s="4" t="s">
        <v>177</v>
      </c>
      <c r="O4304" s="55" t="s">
        <v>178</v>
      </c>
    </row>
    <row r="4305" spans="2:15">
      <c r="B4305" s="20">
        <v>45615</v>
      </c>
      <c r="C4305" s="59">
        <v>50824293</v>
      </c>
      <c r="D4305" s="55" t="s">
        <v>861</v>
      </c>
      <c r="G4305" s="65">
        <v>1728000</v>
      </c>
      <c r="H4305" s="56" t="s">
        <v>92</v>
      </c>
      <c r="I4305" s="54">
        <v>8649996485</v>
      </c>
      <c r="K4305" s="56">
        <v>2085</v>
      </c>
      <c r="L4305" s="55" t="s">
        <v>176</v>
      </c>
      <c r="M4305" s="55" t="s">
        <v>2824</v>
      </c>
      <c r="N4305" s="4" t="s">
        <v>177</v>
      </c>
      <c r="O4305" s="55" t="s">
        <v>178</v>
      </c>
    </row>
    <row r="4306" spans="2:15">
      <c r="B4306" s="20">
        <v>45615</v>
      </c>
      <c r="C4306" s="59">
        <v>50272278</v>
      </c>
      <c r="D4306" s="55" t="s">
        <v>21</v>
      </c>
      <c r="G4306" s="65">
        <v>500</v>
      </c>
      <c r="H4306" s="56" t="s">
        <v>92</v>
      </c>
      <c r="I4306" s="54">
        <v>8649996485</v>
      </c>
      <c r="K4306" s="56">
        <v>2085</v>
      </c>
      <c r="L4306" s="55" t="s">
        <v>176</v>
      </c>
      <c r="M4306" s="55" t="s">
        <v>2824</v>
      </c>
      <c r="N4306" s="4" t="s">
        <v>177</v>
      </c>
      <c r="O4306" s="55" t="s">
        <v>178</v>
      </c>
    </row>
    <row r="4307" spans="2:15">
      <c r="B4307" s="20">
        <v>45615</v>
      </c>
      <c r="C4307" s="59">
        <v>50142327</v>
      </c>
      <c r="D4307" s="55" t="s">
        <v>256</v>
      </c>
      <c r="G4307" s="65">
        <v>1906.8</v>
      </c>
      <c r="H4307" s="56" t="s">
        <v>82</v>
      </c>
      <c r="I4307" s="54">
        <v>8649996485</v>
      </c>
      <c r="K4307" s="56">
        <v>2085</v>
      </c>
      <c r="L4307" s="55" t="s">
        <v>176</v>
      </c>
      <c r="M4307" s="55" t="s">
        <v>2824</v>
      </c>
      <c r="N4307" s="4" t="s">
        <v>177</v>
      </c>
      <c r="O4307" s="55" t="s">
        <v>178</v>
      </c>
    </row>
    <row r="4308" spans="2:15">
      <c r="B4308" s="20">
        <v>45615</v>
      </c>
      <c r="C4308" s="59">
        <v>50142334</v>
      </c>
      <c r="D4308" s="55" t="s">
        <v>257</v>
      </c>
      <c r="G4308" s="65">
        <v>1430.1</v>
      </c>
      <c r="H4308" s="56" t="s">
        <v>82</v>
      </c>
      <c r="I4308" s="54">
        <v>8649996485</v>
      </c>
      <c r="K4308" s="56">
        <v>2085</v>
      </c>
      <c r="L4308" s="55" t="s">
        <v>176</v>
      </c>
      <c r="M4308" s="55" t="s">
        <v>2824</v>
      </c>
      <c r="N4308" s="4" t="s">
        <v>177</v>
      </c>
      <c r="O4308" s="55" t="s">
        <v>178</v>
      </c>
    </row>
    <row r="4309" spans="2:15">
      <c r="B4309" s="20">
        <v>45615</v>
      </c>
      <c r="C4309" s="59">
        <v>50811693</v>
      </c>
      <c r="D4309" s="55" t="s">
        <v>1269</v>
      </c>
      <c r="G4309" s="65">
        <v>1000000</v>
      </c>
      <c r="H4309" s="56" t="s">
        <v>92</v>
      </c>
      <c r="I4309" s="54">
        <v>8649996485</v>
      </c>
      <c r="K4309" s="56">
        <v>2085</v>
      </c>
      <c r="L4309" s="55" t="s">
        <v>176</v>
      </c>
      <c r="M4309" s="55" t="s">
        <v>2824</v>
      </c>
      <c r="N4309" s="4" t="s">
        <v>177</v>
      </c>
      <c r="O4309" s="55" t="s">
        <v>178</v>
      </c>
    </row>
    <row r="4310" spans="2:15">
      <c r="B4310" s="20">
        <v>45615</v>
      </c>
      <c r="C4310" s="59">
        <v>50818963</v>
      </c>
      <c r="D4310" s="55" t="s">
        <v>1709</v>
      </c>
      <c r="G4310" s="65">
        <v>602646</v>
      </c>
      <c r="H4310" s="56" t="s">
        <v>92</v>
      </c>
      <c r="I4310" s="54">
        <v>8649996485</v>
      </c>
      <c r="K4310" s="56">
        <v>2085</v>
      </c>
      <c r="L4310" s="55" t="s">
        <v>176</v>
      </c>
      <c r="M4310" s="55" t="s">
        <v>2824</v>
      </c>
      <c r="N4310" s="4" t="s">
        <v>177</v>
      </c>
      <c r="O4310" s="55" t="s">
        <v>178</v>
      </c>
    </row>
    <row r="4311" spans="2:15">
      <c r="B4311" s="20">
        <v>45616</v>
      </c>
      <c r="C4311" s="59">
        <v>50145028</v>
      </c>
      <c r="D4311" s="55" t="s">
        <v>23</v>
      </c>
      <c r="G4311" s="65">
        <v>192</v>
      </c>
      <c r="H4311" s="56" t="s">
        <v>92</v>
      </c>
      <c r="I4311" s="54" t="s">
        <v>2874</v>
      </c>
      <c r="K4311" s="56">
        <v>2086</v>
      </c>
      <c r="L4311" s="55" t="s">
        <v>392</v>
      </c>
      <c r="M4311" s="55" t="s">
        <v>2849</v>
      </c>
      <c r="N4311" s="4" t="s">
        <v>1273</v>
      </c>
      <c r="O4311" s="55" t="s">
        <v>178</v>
      </c>
    </row>
    <row r="4312" spans="2:15">
      <c r="B4312" s="20">
        <v>45616</v>
      </c>
      <c r="C4312" s="59">
        <v>50143893</v>
      </c>
      <c r="D4312" s="55" t="s">
        <v>24</v>
      </c>
      <c r="G4312" s="65">
        <v>990</v>
      </c>
      <c r="H4312" s="56" t="s">
        <v>82</v>
      </c>
      <c r="I4312" s="54" t="s">
        <v>2874</v>
      </c>
      <c r="K4312" s="56">
        <v>2086</v>
      </c>
      <c r="L4312" s="55" t="s">
        <v>392</v>
      </c>
      <c r="M4312" s="55" t="s">
        <v>2849</v>
      </c>
      <c r="N4312" s="4" t="s">
        <v>1273</v>
      </c>
      <c r="O4312" s="55" t="s">
        <v>178</v>
      </c>
    </row>
    <row r="4313" spans="2:15">
      <c r="B4313" s="20">
        <v>45616</v>
      </c>
      <c r="C4313" s="59">
        <v>50819323</v>
      </c>
      <c r="D4313" s="55" t="s">
        <v>40</v>
      </c>
      <c r="G4313" s="65">
        <v>63.63</v>
      </c>
      <c r="H4313" s="56" t="s">
        <v>80</v>
      </c>
      <c r="I4313" s="54" t="s">
        <v>2874</v>
      </c>
      <c r="K4313" s="56">
        <v>2086</v>
      </c>
      <c r="L4313" s="55" t="s">
        <v>392</v>
      </c>
      <c r="M4313" s="55" t="s">
        <v>2849</v>
      </c>
      <c r="N4313" s="4" t="s">
        <v>1273</v>
      </c>
      <c r="O4313" s="55" t="s">
        <v>178</v>
      </c>
    </row>
    <row r="4314" spans="2:15">
      <c r="B4314" s="20">
        <v>45616</v>
      </c>
      <c r="C4314" s="59">
        <v>50272278</v>
      </c>
      <c r="D4314" s="55" t="s">
        <v>21</v>
      </c>
      <c r="G4314" s="65">
        <v>3000</v>
      </c>
      <c r="H4314" s="56" t="s">
        <v>92</v>
      </c>
      <c r="I4314" s="54">
        <v>8650501394</v>
      </c>
      <c r="K4314" s="56">
        <v>2087</v>
      </c>
      <c r="L4314" s="55" t="s">
        <v>176</v>
      </c>
      <c r="M4314" s="55" t="s">
        <v>2824</v>
      </c>
      <c r="N4314" s="4" t="s">
        <v>177</v>
      </c>
      <c r="O4314" s="55" t="s">
        <v>178</v>
      </c>
    </row>
    <row r="4315" spans="2:15">
      <c r="B4315" s="20">
        <v>45616</v>
      </c>
      <c r="C4315" s="59">
        <v>40011149</v>
      </c>
      <c r="D4315" s="55" t="s">
        <v>37</v>
      </c>
      <c r="G4315" s="65">
        <v>648</v>
      </c>
      <c r="H4315" s="56" t="s">
        <v>80</v>
      </c>
      <c r="I4315" s="54">
        <v>8650783338</v>
      </c>
      <c r="K4315" s="56">
        <v>2087</v>
      </c>
      <c r="L4315" s="55" t="s">
        <v>176</v>
      </c>
      <c r="M4315" s="55" t="s">
        <v>2824</v>
      </c>
      <c r="N4315" s="4" t="s">
        <v>177</v>
      </c>
      <c r="O4315" s="55" t="s">
        <v>178</v>
      </c>
    </row>
    <row r="4316" spans="2:15">
      <c r="B4316" s="20">
        <v>45616</v>
      </c>
      <c r="C4316" s="59">
        <v>50470190</v>
      </c>
      <c r="D4316" s="66" t="s">
        <v>12</v>
      </c>
      <c r="G4316" s="65">
        <v>2898000</v>
      </c>
      <c r="H4316" s="123" t="s">
        <v>92</v>
      </c>
      <c r="I4316" s="54">
        <v>8650501394</v>
      </c>
      <c r="K4316" s="56">
        <v>2087</v>
      </c>
      <c r="L4316" s="55" t="s">
        <v>176</v>
      </c>
      <c r="M4316" s="55" t="s">
        <v>2824</v>
      </c>
      <c r="N4316" s="4" t="s">
        <v>177</v>
      </c>
      <c r="O4316" s="55" t="s">
        <v>178</v>
      </c>
    </row>
    <row r="4317" spans="2:15">
      <c r="B4317" s="20">
        <v>45616</v>
      </c>
      <c r="C4317" s="59">
        <v>50802401</v>
      </c>
      <c r="D4317" s="55" t="s">
        <v>13</v>
      </c>
      <c r="G4317" s="65">
        <v>579600</v>
      </c>
      <c r="H4317" s="56" t="s">
        <v>92</v>
      </c>
      <c r="I4317" s="54">
        <v>8650501394</v>
      </c>
      <c r="K4317" s="56">
        <v>2087</v>
      </c>
      <c r="L4317" s="55" t="s">
        <v>176</v>
      </c>
      <c r="M4317" s="55" t="s">
        <v>2824</v>
      </c>
      <c r="N4317" s="4" t="s">
        <v>177</v>
      </c>
      <c r="O4317" s="55" t="s">
        <v>178</v>
      </c>
    </row>
    <row r="4318" spans="2:15">
      <c r="B4318" s="20">
        <v>45617</v>
      </c>
      <c r="C4318" s="59">
        <v>50272278</v>
      </c>
      <c r="D4318" s="55" t="s">
        <v>21</v>
      </c>
      <c r="G4318" s="65">
        <v>11000</v>
      </c>
      <c r="H4318" s="56" t="s">
        <v>92</v>
      </c>
      <c r="I4318" s="54">
        <v>8650771375</v>
      </c>
      <c r="K4318" s="56">
        <v>2088</v>
      </c>
      <c r="L4318" s="55" t="s">
        <v>176</v>
      </c>
      <c r="M4318" s="55" t="s">
        <v>2824</v>
      </c>
      <c r="N4318" s="4" t="s">
        <v>177</v>
      </c>
      <c r="O4318" s="55" t="s">
        <v>178</v>
      </c>
    </row>
    <row r="4319" spans="2:15">
      <c r="B4319" s="20">
        <v>45617</v>
      </c>
      <c r="C4319" s="59">
        <v>50010080</v>
      </c>
      <c r="D4319" s="55" t="s">
        <v>1657</v>
      </c>
      <c r="G4319" s="65">
        <v>6000</v>
      </c>
      <c r="H4319" s="56" t="s">
        <v>82</v>
      </c>
      <c r="I4319" s="54">
        <v>8654175491</v>
      </c>
      <c r="K4319" s="56">
        <v>2089</v>
      </c>
      <c r="L4319" s="55" t="s">
        <v>176</v>
      </c>
      <c r="M4319" s="55" t="s">
        <v>2824</v>
      </c>
      <c r="N4319" s="4" t="s">
        <v>177</v>
      </c>
      <c r="O4319" s="55" t="s">
        <v>178</v>
      </c>
    </row>
    <row r="4320" spans="2:15">
      <c r="B4320" s="20">
        <v>45617</v>
      </c>
      <c r="C4320" s="59">
        <v>50272278</v>
      </c>
      <c r="D4320" s="55" t="s">
        <v>21</v>
      </c>
      <c r="G4320" s="65">
        <v>4000</v>
      </c>
      <c r="H4320" s="56" t="s">
        <v>92</v>
      </c>
      <c r="I4320" s="54">
        <v>8650783968</v>
      </c>
      <c r="K4320" s="56">
        <v>2089</v>
      </c>
      <c r="L4320" s="55" t="s">
        <v>176</v>
      </c>
      <c r="M4320" s="55" t="s">
        <v>2824</v>
      </c>
      <c r="N4320" s="4" t="s">
        <v>177</v>
      </c>
      <c r="O4320" s="55" t="s">
        <v>178</v>
      </c>
    </row>
    <row r="4321" spans="2:15">
      <c r="B4321" s="20">
        <v>45617</v>
      </c>
      <c r="C4321" s="59">
        <v>50142237</v>
      </c>
      <c r="D4321" s="55" t="s">
        <v>617</v>
      </c>
      <c r="G4321" s="65">
        <v>20000</v>
      </c>
      <c r="H4321" s="56" t="s">
        <v>92</v>
      </c>
      <c r="I4321" s="54">
        <v>8650783968</v>
      </c>
      <c r="K4321" s="56">
        <v>2089</v>
      </c>
      <c r="L4321" s="55" t="s">
        <v>176</v>
      </c>
      <c r="M4321" s="55" t="s">
        <v>2824</v>
      </c>
      <c r="N4321" s="4" t="s">
        <v>177</v>
      </c>
      <c r="O4321" s="55" t="s">
        <v>178</v>
      </c>
    </row>
    <row r="4322" spans="2:15">
      <c r="B4322" s="20">
        <v>45617</v>
      </c>
      <c r="C4322" s="59">
        <v>40009541</v>
      </c>
      <c r="D4322" s="55" t="s">
        <v>685</v>
      </c>
      <c r="G4322" s="65">
        <v>1067</v>
      </c>
      <c r="H4322" s="56" t="s">
        <v>80</v>
      </c>
      <c r="I4322" s="54">
        <v>8650783968</v>
      </c>
      <c r="K4322" s="56">
        <v>2089</v>
      </c>
      <c r="L4322" s="55" t="s">
        <v>176</v>
      </c>
      <c r="M4322" s="55" t="s">
        <v>2824</v>
      </c>
      <c r="N4322" s="4" t="s">
        <v>177</v>
      </c>
      <c r="O4322" s="55" t="s">
        <v>178</v>
      </c>
    </row>
    <row r="4323" spans="2:15">
      <c r="B4323" s="20">
        <v>45617</v>
      </c>
      <c r="C4323" s="59">
        <v>50141533</v>
      </c>
      <c r="D4323" s="55" t="s">
        <v>494</v>
      </c>
      <c r="G4323" s="65">
        <v>3750</v>
      </c>
      <c r="H4323" s="56" t="s">
        <v>82</v>
      </c>
      <c r="I4323" s="54">
        <v>8650783968</v>
      </c>
      <c r="K4323" s="56">
        <v>2089</v>
      </c>
      <c r="L4323" s="55" t="s">
        <v>176</v>
      </c>
      <c r="M4323" s="55" t="s">
        <v>2824</v>
      </c>
      <c r="N4323" s="4" t="s">
        <v>177</v>
      </c>
      <c r="O4323" s="55" t="s">
        <v>178</v>
      </c>
    </row>
    <row r="4324" spans="2:15">
      <c r="B4324" s="20">
        <v>45617</v>
      </c>
      <c r="C4324" s="59">
        <v>50232060</v>
      </c>
      <c r="D4324" s="55" t="s">
        <v>361</v>
      </c>
      <c r="G4324" s="65">
        <v>792000</v>
      </c>
      <c r="H4324" s="56" t="s">
        <v>92</v>
      </c>
      <c r="I4324" s="54">
        <v>8650783968</v>
      </c>
      <c r="K4324" s="56">
        <v>2089</v>
      </c>
      <c r="L4324" s="55" t="s">
        <v>176</v>
      </c>
      <c r="M4324" s="55" t="s">
        <v>2824</v>
      </c>
      <c r="N4324" s="4" t="s">
        <v>177</v>
      </c>
      <c r="O4324" s="55" t="s">
        <v>178</v>
      </c>
    </row>
    <row r="4325" spans="2:15">
      <c r="B4325" s="20">
        <v>45617</v>
      </c>
      <c r="C4325" s="59">
        <v>50272278</v>
      </c>
      <c r="D4325" s="55" t="s">
        <v>21</v>
      </c>
      <c r="G4325" s="65">
        <v>3500</v>
      </c>
      <c r="H4325" s="56" t="s">
        <v>92</v>
      </c>
      <c r="I4325" s="54">
        <v>8651256447</v>
      </c>
      <c r="K4325" s="56">
        <v>2090</v>
      </c>
      <c r="L4325" s="55" t="s">
        <v>176</v>
      </c>
      <c r="M4325" s="55" t="s">
        <v>2824</v>
      </c>
      <c r="N4325" s="4" t="s">
        <v>177</v>
      </c>
      <c r="O4325" s="55" t="s">
        <v>178</v>
      </c>
    </row>
    <row r="4326" spans="2:15">
      <c r="B4326" s="20">
        <v>45617</v>
      </c>
      <c r="C4326" s="59">
        <v>50802401</v>
      </c>
      <c r="D4326" s="55" t="s">
        <v>13</v>
      </c>
      <c r="G4326" s="65">
        <v>3767400</v>
      </c>
      <c r="H4326" s="56" t="s">
        <v>92</v>
      </c>
      <c r="I4326" s="54">
        <v>8651256447</v>
      </c>
      <c r="K4326" s="56">
        <v>2090</v>
      </c>
      <c r="L4326" s="55" t="s">
        <v>176</v>
      </c>
      <c r="M4326" s="55" t="s">
        <v>2824</v>
      </c>
      <c r="N4326" s="4" t="s">
        <v>177</v>
      </c>
      <c r="O4326" s="55" t="s">
        <v>178</v>
      </c>
    </row>
    <row r="4327" spans="2:15">
      <c r="B4327" s="20">
        <v>45618</v>
      </c>
      <c r="C4327" s="59">
        <v>40009546</v>
      </c>
      <c r="D4327" s="55" t="s">
        <v>174</v>
      </c>
      <c r="G4327" s="65">
        <v>1728</v>
      </c>
      <c r="H4327" s="56" t="s">
        <v>80</v>
      </c>
      <c r="I4327" s="54">
        <v>8651261938</v>
      </c>
      <c r="K4327" s="56">
        <v>2091</v>
      </c>
      <c r="L4327" s="55" t="s">
        <v>176</v>
      </c>
      <c r="M4327" s="55" t="s">
        <v>2824</v>
      </c>
      <c r="N4327" s="4" t="s">
        <v>177</v>
      </c>
      <c r="O4327" s="55" t="s">
        <v>178</v>
      </c>
    </row>
    <row r="4328" spans="2:15">
      <c r="B4328" s="20">
        <v>45618</v>
      </c>
      <c r="C4328" s="59">
        <v>50142551</v>
      </c>
      <c r="D4328" s="55" t="s">
        <v>215</v>
      </c>
      <c r="G4328" s="65">
        <v>150</v>
      </c>
      <c r="H4328" s="56" t="s">
        <v>92</v>
      </c>
      <c r="I4328" s="54">
        <v>8651261938</v>
      </c>
      <c r="K4328" s="56">
        <v>2091</v>
      </c>
      <c r="L4328" s="55" t="s">
        <v>176</v>
      </c>
      <c r="M4328" s="55" t="s">
        <v>2824</v>
      </c>
      <c r="N4328" s="4" t="s">
        <v>177</v>
      </c>
      <c r="O4328" s="55" t="s">
        <v>178</v>
      </c>
    </row>
    <row r="4329" spans="2:15">
      <c r="B4329" s="20">
        <v>45618</v>
      </c>
      <c r="C4329" s="59">
        <v>50142455</v>
      </c>
      <c r="D4329" s="55" t="s">
        <v>560</v>
      </c>
      <c r="G4329" s="65">
        <v>150</v>
      </c>
      <c r="H4329" s="56" t="s">
        <v>92</v>
      </c>
      <c r="I4329" s="54">
        <v>8651261938</v>
      </c>
      <c r="K4329" s="56">
        <v>2091</v>
      </c>
      <c r="L4329" s="55" t="s">
        <v>176</v>
      </c>
      <c r="M4329" s="55" t="s">
        <v>2824</v>
      </c>
      <c r="N4329" s="4" t="s">
        <v>177</v>
      </c>
      <c r="O4329" s="55" t="s">
        <v>178</v>
      </c>
    </row>
    <row r="4330" spans="2:15">
      <c r="B4330" s="20">
        <v>45618</v>
      </c>
      <c r="C4330" s="59">
        <v>50272278</v>
      </c>
      <c r="D4330" s="55" t="s">
        <v>21</v>
      </c>
      <c r="G4330" s="65">
        <v>8000</v>
      </c>
      <c r="H4330" s="56" t="s">
        <v>92</v>
      </c>
      <c r="I4330" s="54">
        <v>8651261938</v>
      </c>
      <c r="K4330" s="56">
        <v>2091</v>
      </c>
      <c r="L4330" s="55" t="s">
        <v>176</v>
      </c>
      <c r="M4330" s="55" t="s">
        <v>2824</v>
      </c>
      <c r="N4330" s="4" t="s">
        <v>177</v>
      </c>
      <c r="O4330" s="55" t="s">
        <v>178</v>
      </c>
    </row>
    <row r="4331" spans="2:15">
      <c r="B4331" s="20">
        <v>45618</v>
      </c>
      <c r="C4331" s="59">
        <v>50392045</v>
      </c>
      <c r="D4331" s="55" t="s">
        <v>707</v>
      </c>
      <c r="G4331" s="65">
        <v>18</v>
      </c>
      <c r="H4331" s="56" t="s">
        <v>505</v>
      </c>
      <c r="I4331" s="54">
        <v>8651261938</v>
      </c>
      <c r="K4331" s="56">
        <v>2091</v>
      </c>
      <c r="L4331" s="55" t="s">
        <v>176</v>
      </c>
      <c r="M4331" s="55" t="s">
        <v>2824</v>
      </c>
      <c r="N4331" s="4" t="s">
        <v>177</v>
      </c>
      <c r="O4331" s="55" t="s">
        <v>178</v>
      </c>
    </row>
    <row r="4332" spans="2:15">
      <c r="B4332" s="20">
        <v>45618</v>
      </c>
      <c r="C4332" s="59">
        <v>50142327</v>
      </c>
      <c r="D4332" s="55" t="s">
        <v>256</v>
      </c>
      <c r="G4332" s="65">
        <v>476.7</v>
      </c>
      <c r="H4332" s="56" t="s">
        <v>82</v>
      </c>
      <c r="I4332" s="54">
        <v>8651261938</v>
      </c>
      <c r="K4332" s="56">
        <v>2091</v>
      </c>
      <c r="L4332" s="55" t="s">
        <v>176</v>
      </c>
      <c r="M4332" s="55" t="s">
        <v>2824</v>
      </c>
      <c r="N4332" s="4" t="s">
        <v>177</v>
      </c>
      <c r="O4332" s="55" t="s">
        <v>178</v>
      </c>
    </row>
    <row r="4333" spans="2:15">
      <c r="B4333" s="20">
        <v>45618</v>
      </c>
      <c r="C4333" s="59">
        <v>50142334</v>
      </c>
      <c r="D4333" s="55" t="s">
        <v>257</v>
      </c>
      <c r="G4333" s="65">
        <v>476.7</v>
      </c>
      <c r="H4333" s="56" t="s">
        <v>82</v>
      </c>
      <c r="I4333" s="54">
        <v>8651261938</v>
      </c>
      <c r="K4333" s="56">
        <v>2091</v>
      </c>
      <c r="L4333" s="55" t="s">
        <v>176</v>
      </c>
      <c r="M4333" s="55" t="s">
        <v>2824</v>
      </c>
      <c r="N4333" s="4" t="s">
        <v>177</v>
      </c>
      <c r="O4333" s="55" t="s">
        <v>178</v>
      </c>
    </row>
    <row r="4334" spans="2:15">
      <c r="B4334" s="20">
        <v>45618</v>
      </c>
      <c r="C4334" s="59">
        <v>50397884</v>
      </c>
      <c r="D4334" s="55" t="s">
        <v>1296</v>
      </c>
      <c r="G4334" s="65">
        <v>270</v>
      </c>
      <c r="H4334" s="56" t="s">
        <v>80</v>
      </c>
      <c r="I4334" s="54">
        <v>8651261938</v>
      </c>
      <c r="K4334" s="56">
        <v>2091</v>
      </c>
      <c r="L4334" s="55" t="s">
        <v>176</v>
      </c>
      <c r="M4334" s="55" t="s">
        <v>2824</v>
      </c>
      <c r="N4334" s="4" t="s">
        <v>177</v>
      </c>
      <c r="O4334" s="55" t="s">
        <v>178</v>
      </c>
    </row>
    <row r="4335" spans="2:15">
      <c r="B4335" s="20">
        <v>45618</v>
      </c>
      <c r="C4335" s="59">
        <v>50145028</v>
      </c>
      <c r="D4335" s="55" t="s">
        <v>23</v>
      </c>
      <c r="G4335" s="65">
        <v>960</v>
      </c>
      <c r="H4335" s="56" t="s">
        <v>92</v>
      </c>
      <c r="I4335" s="54" t="s">
        <v>2874</v>
      </c>
      <c r="K4335" s="56">
        <v>2092</v>
      </c>
      <c r="L4335" s="55" t="s">
        <v>392</v>
      </c>
      <c r="M4335" s="55" t="s">
        <v>2849</v>
      </c>
      <c r="N4335" s="4" t="s">
        <v>1273</v>
      </c>
      <c r="O4335" s="55" t="s">
        <v>178</v>
      </c>
    </row>
    <row r="4336" spans="2:15">
      <c r="B4336" s="20">
        <v>45618</v>
      </c>
      <c r="C4336" s="59">
        <v>50144376</v>
      </c>
      <c r="D4336" s="55" t="s">
        <v>19</v>
      </c>
      <c r="G4336" s="65">
        <v>1300</v>
      </c>
      <c r="H4336" s="56" t="s">
        <v>92</v>
      </c>
      <c r="I4336" s="54" t="s">
        <v>2874</v>
      </c>
      <c r="K4336" s="56">
        <v>2092</v>
      </c>
      <c r="L4336" s="55" t="s">
        <v>392</v>
      </c>
      <c r="M4336" s="55" t="s">
        <v>2849</v>
      </c>
      <c r="N4336" s="4" t="s">
        <v>1273</v>
      </c>
      <c r="O4336" s="55" t="s">
        <v>178</v>
      </c>
    </row>
    <row r="4337" spans="2:15">
      <c r="B4337" s="20">
        <v>45618</v>
      </c>
      <c r="C4337" s="59">
        <v>50272278</v>
      </c>
      <c r="D4337" s="55" t="s">
        <v>21</v>
      </c>
      <c r="G4337" s="65">
        <v>3400</v>
      </c>
      <c r="H4337" s="56" t="s">
        <v>92</v>
      </c>
      <c r="I4337" s="54" t="s">
        <v>2874</v>
      </c>
      <c r="K4337" s="56">
        <v>2092</v>
      </c>
      <c r="L4337" s="55" t="s">
        <v>392</v>
      </c>
      <c r="M4337" s="55" t="s">
        <v>2849</v>
      </c>
      <c r="N4337" s="4" t="s">
        <v>1273</v>
      </c>
      <c r="O4337" s="55" t="s">
        <v>178</v>
      </c>
    </row>
    <row r="4338" spans="2:15">
      <c r="B4338" s="20">
        <v>45618</v>
      </c>
      <c r="C4338" s="59">
        <v>50142237</v>
      </c>
      <c r="D4338" s="55" t="s">
        <v>617</v>
      </c>
      <c r="G4338" s="65">
        <v>7000</v>
      </c>
      <c r="H4338" s="56" t="s">
        <v>92</v>
      </c>
      <c r="I4338" s="54" t="s">
        <v>2874</v>
      </c>
      <c r="K4338" s="56">
        <v>2092</v>
      </c>
      <c r="L4338" s="55" t="s">
        <v>392</v>
      </c>
      <c r="M4338" s="55" t="s">
        <v>2849</v>
      </c>
      <c r="N4338" s="4" t="s">
        <v>1273</v>
      </c>
      <c r="O4338" s="55" t="s">
        <v>178</v>
      </c>
    </row>
    <row r="4339" spans="2:15">
      <c r="B4339" s="20">
        <v>45618</v>
      </c>
      <c r="C4339" s="59">
        <v>50272278</v>
      </c>
      <c r="D4339" s="55" t="s">
        <v>21</v>
      </c>
      <c r="G4339" s="65">
        <v>13200</v>
      </c>
      <c r="H4339" s="56" t="s">
        <v>92</v>
      </c>
      <c r="I4339" s="54">
        <v>8651262798</v>
      </c>
      <c r="K4339" s="56">
        <v>2093</v>
      </c>
      <c r="L4339" s="55" t="s">
        <v>2601</v>
      </c>
      <c r="M4339" s="55" t="s">
        <v>2824</v>
      </c>
      <c r="N4339" s="4" t="s">
        <v>1793</v>
      </c>
      <c r="O4339" s="55" t="s">
        <v>178</v>
      </c>
    </row>
    <row r="4340" spans="2:15">
      <c r="B4340" s="20">
        <v>45618</v>
      </c>
      <c r="C4340" s="59">
        <v>50286736</v>
      </c>
      <c r="D4340" s="55" t="s">
        <v>1771</v>
      </c>
      <c r="G4340" s="65">
        <v>510000</v>
      </c>
      <c r="H4340" s="56" t="s">
        <v>92</v>
      </c>
      <c r="I4340" s="54">
        <v>8656978487</v>
      </c>
      <c r="K4340" s="56">
        <v>2093</v>
      </c>
      <c r="L4340" s="55" t="s">
        <v>2601</v>
      </c>
      <c r="M4340" s="55" t="s">
        <v>2824</v>
      </c>
      <c r="N4340" s="4" t="s">
        <v>1793</v>
      </c>
      <c r="O4340" s="55" t="s">
        <v>178</v>
      </c>
    </row>
    <row r="4341" spans="2:15">
      <c r="B4341" s="20">
        <v>45618</v>
      </c>
      <c r="C4341" s="59">
        <v>50286737</v>
      </c>
      <c r="D4341" s="55" t="s">
        <v>1773</v>
      </c>
      <c r="G4341" s="65">
        <v>510000</v>
      </c>
      <c r="H4341" s="56" t="s">
        <v>92</v>
      </c>
      <c r="I4341" s="54">
        <v>8656978487</v>
      </c>
      <c r="K4341" s="56">
        <v>2093</v>
      </c>
      <c r="L4341" s="55" t="s">
        <v>2601</v>
      </c>
      <c r="M4341" s="55" t="s">
        <v>2824</v>
      </c>
      <c r="N4341" s="4" t="s">
        <v>1793</v>
      </c>
      <c r="O4341" s="55" t="s">
        <v>178</v>
      </c>
    </row>
    <row r="4342" spans="2:15">
      <c r="B4342" s="20">
        <v>45621</v>
      </c>
      <c r="C4342" s="59">
        <v>50470190</v>
      </c>
      <c r="D4342" s="55" t="s">
        <v>12</v>
      </c>
      <c r="G4342" s="65">
        <v>1159200</v>
      </c>
      <c r="H4342" s="56" t="s">
        <v>92</v>
      </c>
      <c r="I4342" s="54">
        <v>8652160041</v>
      </c>
      <c r="K4342" s="56">
        <v>2094</v>
      </c>
      <c r="L4342" s="55" t="s">
        <v>176</v>
      </c>
      <c r="M4342" s="55" t="s">
        <v>2824</v>
      </c>
      <c r="N4342" s="4" t="s">
        <v>177</v>
      </c>
      <c r="O4342" s="55" t="s">
        <v>178</v>
      </c>
    </row>
    <row r="4343" spans="2:15">
      <c r="B4343" s="20">
        <v>45621</v>
      </c>
      <c r="C4343" s="59">
        <v>50802401</v>
      </c>
      <c r="D4343" s="55" t="s">
        <v>13</v>
      </c>
      <c r="G4343" s="65">
        <v>2608200</v>
      </c>
      <c r="H4343" s="56" t="s">
        <v>92</v>
      </c>
      <c r="I4343" s="54">
        <v>8652160041</v>
      </c>
      <c r="K4343" s="56">
        <v>2094</v>
      </c>
      <c r="L4343" s="55" t="s">
        <v>176</v>
      </c>
      <c r="M4343" s="55" t="s">
        <v>2824</v>
      </c>
      <c r="N4343" s="4" t="s">
        <v>177</v>
      </c>
      <c r="O4343" s="55" t="s">
        <v>178</v>
      </c>
    </row>
    <row r="4344" spans="2:15">
      <c r="B4344" s="20">
        <v>45621</v>
      </c>
      <c r="C4344" s="59">
        <v>50820741</v>
      </c>
      <c r="D4344" s="55" t="s">
        <v>1838</v>
      </c>
      <c r="G4344" s="65">
        <v>1449000</v>
      </c>
      <c r="H4344" s="56" t="s">
        <v>92</v>
      </c>
      <c r="I4344" s="54">
        <v>8652160041</v>
      </c>
      <c r="K4344" s="56">
        <v>2094</v>
      </c>
      <c r="L4344" s="55" t="s">
        <v>176</v>
      </c>
      <c r="M4344" s="55" t="s">
        <v>2824</v>
      </c>
      <c r="N4344" s="4" t="s">
        <v>177</v>
      </c>
      <c r="O4344" s="55" t="s">
        <v>178</v>
      </c>
    </row>
    <row r="4345" spans="2:15">
      <c r="B4345" s="20">
        <v>45621</v>
      </c>
      <c r="C4345" s="59">
        <v>40011588</v>
      </c>
      <c r="D4345" s="55" t="s">
        <v>585</v>
      </c>
      <c r="G4345" s="65">
        <v>900</v>
      </c>
      <c r="H4345" s="56" t="s">
        <v>80</v>
      </c>
      <c r="I4345" s="54">
        <v>8652186629</v>
      </c>
      <c r="K4345" s="56">
        <v>2095</v>
      </c>
      <c r="L4345" s="55" t="s">
        <v>176</v>
      </c>
      <c r="M4345" s="55" t="s">
        <v>2824</v>
      </c>
      <c r="N4345" s="4" t="s">
        <v>177</v>
      </c>
      <c r="O4345" s="55" t="s">
        <v>178</v>
      </c>
    </row>
    <row r="4346" spans="2:15">
      <c r="B4346" s="20">
        <v>45621</v>
      </c>
      <c r="C4346" s="59">
        <v>50142327</v>
      </c>
      <c r="D4346" s="55" t="s">
        <v>256</v>
      </c>
      <c r="G4346" s="65">
        <v>1906.8</v>
      </c>
      <c r="H4346" s="56" t="s">
        <v>82</v>
      </c>
      <c r="I4346" s="54">
        <v>8652186629</v>
      </c>
      <c r="K4346" s="56">
        <v>2095</v>
      </c>
      <c r="L4346" s="55" t="s">
        <v>176</v>
      </c>
      <c r="M4346" s="55" t="s">
        <v>2824</v>
      </c>
      <c r="N4346" s="4" t="s">
        <v>177</v>
      </c>
      <c r="O4346" s="55" t="s">
        <v>178</v>
      </c>
    </row>
    <row r="4347" spans="2:15">
      <c r="B4347" s="20">
        <v>45621</v>
      </c>
      <c r="C4347" s="59">
        <v>50142334</v>
      </c>
      <c r="D4347" s="55" t="s">
        <v>257</v>
      </c>
      <c r="G4347" s="65">
        <v>1906.8</v>
      </c>
      <c r="H4347" s="56" t="s">
        <v>82</v>
      </c>
      <c r="I4347" s="54">
        <v>8652186629</v>
      </c>
      <c r="K4347" s="56">
        <v>2095</v>
      </c>
      <c r="L4347" s="55" t="s">
        <v>176</v>
      </c>
      <c r="M4347" s="55" t="s">
        <v>2824</v>
      </c>
      <c r="N4347" s="4" t="s">
        <v>177</v>
      </c>
      <c r="O4347" s="55" t="s">
        <v>178</v>
      </c>
    </row>
    <row r="4348" spans="2:15">
      <c r="B4348" s="20">
        <v>45621</v>
      </c>
      <c r="C4348" s="59">
        <v>50820741</v>
      </c>
      <c r="D4348" s="55" t="s">
        <v>1838</v>
      </c>
      <c r="G4348" s="65">
        <v>3767400</v>
      </c>
      <c r="H4348" s="56" t="s">
        <v>92</v>
      </c>
      <c r="I4348" s="54">
        <v>8652186629</v>
      </c>
      <c r="K4348" s="56">
        <v>2095</v>
      </c>
      <c r="L4348" s="55" t="s">
        <v>176</v>
      </c>
      <c r="M4348" s="55" t="s">
        <v>2824</v>
      </c>
      <c r="N4348" s="4" t="s">
        <v>177</v>
      </c>
      <c r="O4348" s="55" t="s">
        <v>178</v>
      </c>
    </row>
    <row r="4349" spans="2:15">
      <c r="B4349" s="20">
        <v>45622</v>
      </c>
      <c r="C4349" s="59">
        <v>50144376</v>
      </c>
      <c r="D4349" s="55" t="s">
        <v>19</v>
      </c>
      <c r="G4349" s="65">
        <v>11000</v>
      </c>
      <c r="H4349" s="56" t="s">
        <v>92</v>
      </c>
      <c r="I4349" s="54">
        <v>8652673021</v>
      </c>
      <c r="K4349" s="56">
        <v>2096</v>
      </c>
      <c r="L4349" s="55" t="s">
        <v>176</v>
      </c>
      <c r="M4349" s="55" t="s">
        <v>2824</v>
      </c>
      <c r="N4349" s="4" t="s">
        <v>177</v>
      </c>
      <c r="O4349" s="55" t="s">
        <v>178</v>
      </c>
    </row>
    <row r="4350" spans="2:15">
      <c r="B4350" s="20">
        <v>45622</v>
      </c>
      <c r="C4350" s="59">
        <v>40010086</v>
      </c>
      <c r="D4350" s="55" t="s">
        <v>79</v>
      </c>
      <c r="G4350" s="65">
        <v>4704</v>
      </c>
      <c r="H4350" s="56" t="s">
        <v>80</v>
      </c>
      <c r="I4350" s="54">
        <v>8652691951</v>
      </c>
      <c r="K4350" s="56">
        <v>2097</v>
      </c>
      <c r="L4350" s="55" t="s">
        <v>176</v>
      </c>
      <c r="M4350" s="55" t="s">
        <v>2824</v>
      </c>
      <c r="N4350" s="4" t="s">
        <v>177</v>
      </c>
      <c r="O4350" s="55" t="s">
        <v>178</v>
      </c>
    </row>
    <row r="4351" spans="2:15">
      <c r="B4351" s="20">
        <v>45622</v>
      </c>
      <c r="C4351" s="59">
        <v>50272278</v>
      </c>
      <c r="D4351" s="55" t="s">
        <v>21</v>
      </c>
      <c r="G4351" s="65">
        <v>3000</v>
      </c>
      <c r="H4351" s="56" t="s">
        <v>92</v>
      </c>
      <c r="I4351" s="54">
        <v>8652691951</v>
      </c>
      <c r="K4351" s="56">
        <v>2097</v>
      </c>
      <c r="L4351" s="55" t="s">
        <v>176</v>
      </c>
      <c r="M4351" s="55" t="s">
        <v>2824</v>
      </c>
      <c r="N4351" s="4" t="s">
        <v>177</v>
      </c>
      <c r="O4351" s="55" t="s">
        <v>178</v>
      </c>
    </row>
    <row r="4352" spans="2:15">
      <c r="B4352" s="20">
        <v>45622</v>
      </c>
      <c r="C4352" s="59">
        <v>50470190</v>
      </c>
      <c r="D4352" s="55" t="s">
        <v>12</v>
      </c>
      <c r="G4352" s="65">
        <v>2898000</v>
      </c>
      <c r="H4352" s="56" t="s">
        <v>92</v>
      </c>
      <c r="I4352" s="54">
        <v>8652691951</v>
      </c>
      <c r="K4352" s="56">
        <v>2097</v>
      </c>
      <c r="L4352" s="55" t="s">
        <v>176</v>
      </c>
      <c r="M4352" s="55" t="s">
        <v>2824</v>
      </c>
      <c r="N4352" s="4" t="s">
        <v>177</v>
      </c>
      <c r="O4352" s="55" t="s">
        <v>178</v>
      </c>
    </row>
    <row r="4353" spans="2:15">
      <c r="B4353" s="20">
        <v>45622</v>
      </c>
      <c r="C4353" s="59">
        <v>50811693</v>
      </c>
      <c r="D4353" s="55" t="s">
        <v>1269</v>
      </c>
      <c r="G4353" s="65">
        <v>910000</v>
      </c>
      <c r="H4353" s="56" t="s">
        <v>92</v>
      </c>
      <c r="I4353" s="54">
        <v>8652691951</v>
      </c>
      <c r="K4353" s="56">
        <v>2097</v>
      </c>
      <c r="L4353" s="55" t="s">
        <v>176</v>
      </c>
      <c r="M4353" s="55" t="s">
        <v>2824</v>
      </c>
      <c r="N4353" s="4" t="s">
        <v>177</v>
      </c>
      <c r="O4353" s="55" t="s">
        <v>178</v>
      </c>
    </row>
    <row r="4354" spans="2:15">
      <c r="B4354" s="20">
        <v>45623</v>
      </c>
      <c r="C4354" s="59">
        <v>50010080</v>
      </c>
      <c r="D4354" s="55" t="s">
        <v>1657</v>
      </c>
      <c r="G4354" s="65">
        <v>2000</v>
      </c>
      <c r="H4354" s="56" t="s">
        <v>82</v>
      </c>
      <c r="I4354" s="54">
        <v>8654179710</v>
      </c>
      <c r="K4354" s="56">
        <v>2098</v>
      </c>
      <c r="L4354" s="55" t="s">
        <v>176</v>
      </c>
      <c r="M4354" s="55" t="s">
        <v>2824</v>
      </c>
      <c r="N4354" s="4" t="s">
        <v>177</v>
      </c>
      <c r="O4354" s="55" t="s">
        <v>178</v>
      </c>
    </row>
    <row r="4355" spans="2:15">
      <c r="B4355" s="20">
        <v>45623</v>
      </c>
      <c r="C4355" s="59">
        <v>50272278</v>
      </c>
      <c r="D4355" s="55" t="s">
        <v>21</v>
      </c>
      <c r="G4355" s="65">
        <v>6000</v>
      </c>
      <c r="H4355" s="56" t="s">
        <v>92</v>
      </c>
      <c r="I4355" s="54">
        <v>8653148714</v>
      </c>
      <c r="K4355" s="56">
        <v>2098</v>
      </c>
      <c r="L4355" s="55" t="s">
        <v>176</v>
      </c>
      <c r="M4355" s="55" t="s">
        <v>2824</v>
      </c>
      <c r="N4355" s="4" t="s">
        <v>177</v>
      </c>
      <c r="O4355" s="55" t="s">
        <v>178</v>
      </c>
    </row>
    <row r="4356" spans="2:15">
      <c r="B4356" s="20">
        <v>45623</v>
      </c>
      <c r="C4356" s="59">
        <v>50143875</v>
      </c>
      <c r="D4356" s="55" t="s">
        <v>713</v>
      </c>
      <c r="G4356" s="65">
        <v>9500</v>
      </c>
      <c r="H4356" s="56" t="s">
        <v>92</v>
      </c>
      <c r="I4356" s="54">
        <v>8655079545</v>
      </c>
      <c r="K4356" s="56">
        <v>2098</v>
      </c>
      <c r="L4356" s="55" t="s">
        <v>176</v>
      </c>
      <c r="M4356" s="55" t="s">
        <v>2824</v>
      </c>
      <c r="N4356" s="4" t="s">
        <v>177</v>
      </c>
      <c r="O4356" s="55" t="s">
        <v>178</v>
      </c>
    </row>
    <row r="4357" spans="2:15">
      <c r="B4357" s="20">
        <v>45623</v>
      </c>
      <c r="C4357" s="59">
        <v>50143894</v>
      </c>
      <c r="D4357" s="55" t="s">
        <v>944</v>
      </c>
      <c r="G4357" s="65">
        <v>5000</v>
      </c>
      <c r="H4357" s="56" t="s">
        <v>92</v>
      </c>
      <c r="I4357" s="54" t="s">
        <v>2874</v>
      </c>
      <c r="K4357" s="56">
        <v>2098</v>
      </c>
      <c r="L4357" s="55" t="s">
        <v>176</v>
      </c>
      <c r="M4357" s="55" t="s">
        <v>2824</v>
      </c>
      <c r="N4357" s="4" t="s">
        <v>177</v>
      </c>
      <c r="O4357" s="55" t="s">
        <v>178</v>
      </c>
    </row>
    <row r="4358" spans="2:15">
      <c r="B4358" s="20">
        <v>45623</v>
      </c>
      <c r="C4358" s="59">
        <v>50470190</v>
      </c>
      <c r="D4358" s="55" t="s">
        <v>12</v>
      </c>
      <c r="G4358" s="65">
        <v>289800</v>
      </c>
      <c r="H4358" s="56" t="s">
        <v>92</v>
      </c>
      <c r="I4358" s="54">
        <v>8653148714</v>
      </c>
      <c r="K4358" s="56">
        <v>2098</v>
      </c>
      <c r="L4358" s="55" t="s">
        <v>176</v>
      </c>
      <c r="M4358" s="55" t="s">
        <v>2824</v>
      </c>
      <c r="N4358" s="4" t="s">
        <v>177</v>
      </c>
      <c r="O4358" s="55" t="s">
        <v>178</v>
      </c>
    </row>
    <row r="4359" spans="2:15">
      <c r="B4359" s="20">
        <v>45623</v>
      </c>
      <c r="C4359" s="59">
        <v>50802401</v>
      </c>
      <c r="D4359" s="55" t="s">
        <v>13</v>
      </c>
      <c r="G4359" s="65">
        <v>1159200</v>
      </c>
      <c r="H4359" s="56" t="s">
        <v>92</v>
      </c>
      <c r="I4359" s="54">
        <v>8653148714</v>
      </c>
      <c r="K4359" s="56">
        <v>2098</v>
      </c>
      <c r="L4359" s="55" t="s">
        <v>176</v>
      </c>
      <c r="M4359" s="55" t="s">
        <v>2824</v>
      </c>
      <c r="N4359" s="4" t="s">
        <v>177</v>
      </c>
      <c r="O4359" s="55" t="s">
        <v>178</v>
      </c>
    </row>
    <row r="4360" spans="2:15">
      <c r="B4360" s="20">
        <v>45623</v>
      </c>
      <c r="C4360" s="59">
        <v>40009544</v>
      </c>
      <c r="D4360" s="55" t="s">
        <v>179</v>
      </c>
      <c r="G4360" s="65">
        <v>3360</v>
      </c>
      <c r="H4360" s="56" t="s">
        <v>80</v>
      </c>
      <c r="I4360" s="54">
        <v>8653156459</v>
      </c>
      <c r="K4360" s="56">
        <v>2099</v>
      </c>
      <c r="L4360" s="55" t="s">
        <v>176</v>
      </c>
      <c r="M4360" s="55" t="s">
        <v>2824</v>
      </c>
      <c r="N4360" s="4" t="s">
        <v>177</v>
      </c>
      <c r="O4360" s="55" t="s">
        <v>178</v>
      </c>
    </row>
    <row r="4361" spans="2:15">
      <c r="B4361" s="20">
        <v>45623</v>
      </c>
      <c r="C4361" s="59">
        <v>40009546</v>
      </c>
      <c r="D4361" s="55" t="s">
        <v>174</v>
      </c>
      <c r="G4361" s="65">
        <v>3456</v>
      </c>
      <c r="H4361" s="56" t="s">
        <v>80</v>
      </c>
      <c r="I4361" s="54">
        <v>8653156459</v>
      </c>
      <c r="K4361" s="56">
        <v>2099</v>
      </c>
      <c r="L4361" s="55" t="s">
        <v>176</v>
      </c>
      <c r="M4361" s="55" t="s">
        <v>2824</v>
      </c>
      <c r="N4361" s="4" t="s">
        <v>177</v>
      </c>
      <c r="O4361" s="55" t="s">
        <v>178</v>
      </c>
    </row>
    <row r="4362" spans="2:15">
      <c r="B4362" s="20">
        <v>45623</v>
      </c>
      <c r="C4362" s="59">
        <v>40010087</v>
      </c>
      <c r="D4362" s="55" t="s">
        <v>387</v>
      </c>
      <c r="G4362" s="65">
        <v>1728</v>
      </c>
      <c r="H4362" s="56" t="s">
        <v>80</v>
      </c>
      <c r="I4362" s="54">
        <v>8653156459</v>
      </c>
      <c r="K4362" s="56">
        <v>2099</v>
      </c>
      <c r="L4362" s="55" t="s">
        <v>176</v>
      </c>
      <c r="M4362" s="55" t="s">
        <v>2824</v>
      </c>
      <c r="N4362" s="4" t="s">
        <v>177</v>
      </c>
      <c r="O4362" s="55" t="s">
        <v>178</v>
      </c>
    </row>
    <row r="4363" spans="2:15">
      <c r="B4363" s="20">
        <v>45623</v>
      </c>
      <c r="C4363" s="59">
        <v>50144376</v>
      </c>
      <c r="D4363" s="55" t="s">
        <v>19</v>
      </c>
      <c r="G4363" s="65">
        <v>2000</v>
      </c>
      <c r="H4363" s="56" t="s">
        <v>92</v>
      </c>
      <c r="I4363" s="54">
        <v>8653156459</v>
      </c>
      <c r="K4363" s="56">
        <v>2099</v>
      </c>
      <c r="L4363" s="55" t="s">
        <v>176</v>
      </c>
      <c r="M4363" s="55" t="s">
        <v>2824</v>
      </c>
      <c r="N4363" s="4" t="s">
        <v>177</v>
      </c>
      <c r="O4363" s="55" t="s">
        <v>178</v>
      </c>
    </row>
    <row r="4364" spans="2:15">
      <c r="B4364" s="20">
        <v>45623</v>
      </c>
      <c r="C4364" s="59">
        <v>50470190</v>
      </c>
      <c r="D4364" s="55" t="s">
        <v>12</v>
      </c>
      <c r="G4364" s="65">
        <v>172800</v>
      </c>
      <c r="H4364" s="56" t="s">
        <v>92</v>
      </c>
      <c r="I4364" s="54">
        <v>8653156459</v>
      </c>
      <c r="K4364" s="56">
        <v>2099</v>
      </c>
      <c r="L4364" s="55" t="s">
        <v>176</v>
      </c>
      <c r="M4364" s="55" t="s">
        <v>2824</v>
      </c>
      <c r="N4364" s="4" t="s">
        <v>177</v>
      </c>
      <c r="O4364" s="55" t="s">
        <v>178</v>
      </c>
    </row>
    <row r="4365" spans="2:15">
      <c r="B4365" s="20">
        <v>45623</v>
      </c>
      <c r="C4365" s="59">
        <v>40011588</v>
      </c>
      <c r="D4365" s="55" t="s">
        <v>585</v>
      </c>
      <c r="G4365" s="65">
        <v>900</v>
      </c>
      <c r="H4365" s="56" t="s">
        <v>80</v>
      </c>
      <c r="I4365" s="54">
        <v>8653156459</v>
      </c>
      <c r="K4365" s="56">
        <v>2099</v>
      </c>
      <c r="L4365" s="55" t="s">
        <v>176</v>
      </c>
      <c r="M4365" s="55" t="s">
        <v>2824</v>
      </c>
      <c r="N4365" s="4" t="s">
        <v>177</v>
      </c>
      <c r="O4365" s="55" t="s">
        <v>178</v>
      </c>
    </row>
    <row r="4366" spans="2:15">
      <c r="B4366" s="20">
        <v>45623</v>
      </c>
      <c r="C4366" s="59">
        <v>50142327</v>
      </c>
      <c r="D4366" s="55" t="s">
        <v>256</v>
      </c>
      <c r="G4366" s="65">
        <v>953.4</v>
      </c>
      <c r="H4366" s="56" t="s">
        <v>82</v>
      </c>
      <c r="I4366" s="54">
        <v>8653156459</v>
      </c>
      <c r="K4366" s="56">
        <v>2099</v>
      </c>
      <c r="L4366" s="55" t="s">
        <v>176</v>
      </c>
      <c r="M4366" s="55" t="s">
        <v>2824</v>
      </c>
      <c r="N4366" s="4" t="s">
        <v>177</v>
      </c>
      <c r="O4366" s="55" t="s">
        <v>178</v>
      </c>
    </row>
    <row r="4367" spans="2:15">
      <c r="B4367" s="20">
        <v>45623</v>
      </c>
      <c r="C4367" s="59">
        <v>50142334</v>
      </c>
      <c r="D4367" s="55" t="s">
        <v>257</v>
      </c>
      <c r="G4367" s="65">
        <v>953.4</v>
      </c>
      <c r="H4367" s="56" t="s">
        <v>82</v>
      </c>
      <c r="I4367" s="54">
        <v>8653156459</v>
      </c>
      <c r="K4367" s="56">
        <v>2099</v>
      </c>
      <c r="L4367" s="55" t="s">
        <v>176</v>
      </c>
      <c r="M4367" s="55" t="s">
        <v>2824</v>
      </c>
      <c r="N4367" s="4" t="s">
        <v>177</v>
      </c>
      <c r="O4367" s="55" t="s">
        <v>178</v>
      </c>
    </row>
    <row r="4368" spans="2:15">
      <c r="B4368" s="20">
        <v>45623</v>
      </c>
      <c r="C4368" s="59">
        <v>50837509</v>
      </c>
      <c r="D4368" s="55" t="s">
        <v>14</v>
      </c>
      <c r="G4368" s="65">
        <v>869400</v>
      </c>
      <c r="H4368" s="56" t="s">
        <v>92</v>
      </c>
      <c r="I4368" s="54">
        <v>8653156459</v>
      </c>
      <c r="K4368" s="56">
        <v>2099</v>
      </c>
      <c r="L4368" s="55" t="s">
        <v>176</v>
      </c>
      <c r="M4368" s="55" t="s">
        <v>2824</v>
      </c>
      <c r="N4368" s="4" t="s">
        <v>177</v>
      </c>
      <c r="O4368" s="55" t="s">
        <v>178</v>
      </c>
    </row>
    <row r="4369" spans="2:15">
      <c r="B4369" s="20">
        <v>45624</v>
      </c>
      <c r="C4369" s="59">
        <v>50272278</v>
      </c>
      <c r="D4369" s="55" t="s">
        <v>21</v>
      </c>
      <c r="G4369" s="65">
        <v>5000</v>
      </c>
      <c r="H4369" s="56" t="s">
        <v>92</v>
      </c>
      <c r="I4369" s="54">
        <v>8654147555</v>
      </c>
      <c r="K4369" s="56">
        <v>3000</v>
      </c>
      <c r="L4369" s="55" t="s">
        <v>176</v>
      </c>
      <c r="M4369" s="55" t="s">
        <v>2824</v>
      </c>
      <c r="N4369" s="4" t="s">
        <v>177</v>
      </c>
      <c r="O4369" s="55" t="s">
        <v>178</v>
      </c>
    </row>
    <row r="4370" spans="2:15">
      <c r="B4370" s="20">
        <v>45624</v>
      </c>
      <c r="C4370" s="59">
        <v>50802401</v>
      </c>
      <c r="D4370" s="55" t="s">
        <v>13</v>
      </c>
      <c r="G4370" s="65">
        <v>2898000</v>
      </c>
      <c r="H4370" s="56" t="s">
        <v>92</v>
      </c>
      <c r="I4370" s="54">
        <v>8654147555</v>
      </c>
      <c r="K4370" s="56">
        <v>3000</v>
      </c>
      <c r="L4370" s="55" t="s">
        <v>176</v>
      </c>
      <c r="M4370" s="55" t="s">
        <v>2824</v>
      </c>
      <c r="N4370" s="4" t="s">
        <v>177</v>
      </c>
      <c r="O4370" s="55" t="s">
        <v>178</v>
      </c>
    </row>
    <row r="4371" spans="2:15">
      <c r="B4371" s="20">
        <v>45624</v>
      </c>
      <c r="C4371" s="59">
        <v>50272278</v>
      </c>
      <c r="D4371" s="55" t="s">
        <v>21</v>
      </c>
      <c r="G4371" s="65">
        <v>6500</v>
      </c>
      <c r="H4371" s="56" t="s">
        <v>92</v>
      </c>
      <c r="I4371" s="54">
        <v>8653156459</v>
      </c>
      <c r="K4371" s="56">
        <v>3001</v>
      </c>
      <c r="L4371" s="55" t="s">
        <v>176</v>
      </c>
      <c r="M4371" s="55" t="s">
        <v>2824</v>
      </c>
      <c r="N4371" s="4" t="s">
        <v>177</v>
      </c>
      <c r="O4371" s="55" t="s">
        <v>178</v>
      </c>
    </row>
    <row r="4372" spans="2:15">
      <c r="B4372" s="20">
        <v>45624</v>
      </c>
      <c r="C4372" s="59">
        <v>40011588</v>
      </c>
      <c r="D4372" s="55" t="s">
        <v>585</v>
      </c>
      <c r="G4372" s="65">
        <v>900</v>
      </c>
      <c r="H4372" s="56" t="s">
        <v>80</v>
      </c>
      <c r="I4372" s="54">
        <v>8653156459</v>
      </c>
      <c r="K4372" s="56">
        <v>3001</v>
      </c>
      <c r="L4372" s="55" t="s">
        <v>176</v>
      </c>
      <c r="M4372" s="55" t="s">
        <v>2824</v>
      </c>
      <c r="N4372" s="4" t="s">
        <v>177</v>
      </c>
      <c r="O4372" s="55" t="s">
        <v>178</v>
      </c>
    </row>
    <row r="4373" spans="2:15">
      <c r="B4373" s="20">
        <v>45624</v>
      </c>
      <c r="C4373" s="59">
        <v>50811693</v>
      </c>
      <c r="D4373" s="55" t="s">
        <v>1269</v>
      </c>
      <c r="G4373" s="65">
        <v>1500000</v>
      </c>
      <c r="H4373" s="56" t="s">
        <v>92</v>
      </c>
      <c r="I4373" s="54">
        <v>8653156459</v>
      </c>
      <c r="K4373" s="56">
        <v>3001</v>
      </c>
      <c r="L4373" s="55" t="s">
        <v>176</v>
      </c>
      <c r="M4373" s="55" t="s">
        <v>2824</v>
      </c>
      <c r="N4373" s="4" t="s">
        <v>177</v>
      </c>
      <c r="O4373" s="55" t="s">
        <v>178</v>
      </c>
    </row>
    <row r="4374" spans="2:15">
      <c r="B4374" s="20">
        <v>45624</v>
      </c>
      <c r="C4374" s="59">
        <v>50820741</v>
      </c>
      <c r="D4374" s="55" t="s">
        <v>1838</v>
      </c>
      <c r="G4374" s="65">
        <v>1159200</v>
      </c>
      <c r="H4374" s="56" t="s">
        <v>92</v>
      </c>
      <c r="I4374" s="54">
        <v>8653156459</v>
      </c>
      <c r="K4374" s="56">
        <v>3001</v>
      </c>
      <c r="L4374" s="55" t="s">
        <v>176</v>
      </c>
      <c r="M4374" s="55" t="s">
        <v>2824</v>
      </c>
      <c r="N4374" s="4" t="s">
        <v>177</v>
      </c>
      <c r="O4374" s="55" t="s">
        <v>178</v>
      </c>
    </row>
    <row r="4375" spans="2:15">
      <c r="B4375" s="20">
        <v>45625</v>
      </c>
      <c r="C4375" s="59">
        <v>50144376</v>
      </c>
      <c r="D4375" s="55" t="s">
        <v>19</v>
      </c>
      <c r="G4375" s="122">
        <v>4000</v>
      </c>
      <c r="H4375" s="56" t="s">
        <v>92</v>
      </c>
      <c r="I4375" s="54">
        <v>8654148141</v>
      </c>
      <c r="K4375" s="56">
        <v>3002</v>
      </c>
      <c r="L4375" s="55" t="s">
        <v>2152</v>
      </c>
      <c r="M4375" s="55" t="s">
        <v>2824</v>
      </c>
      <c r="N4375" s="4" t="s">
        <v>1905</v>
      </c>
      <c r="O4375" s="55" t="s">
        <v>178</v>
      </c>
    </row>
    <row r="4376" spans="2:15">
      <c r="B4376" s="20">
        <v>45625</v>
      </c>
      <c r="C4376" s="59">
        <v>50802401</v>
      </c>
      <c r="D4376" s="55" t="s">
        <v>13</v>
      </c>
      <c r="G4376" s="122">
        <v>1738800</v>
      </c>
      <c r="H4376" s="56" t="s">
        <v>92</v>
      </c>
      <c r="I4376" s="54">
        <v>8654148141</v>
      </c>
      <c r="K4376" s="56">
        <v>3002</v>
      </c>
      <c r="L4376" s="55" t="s">
        <v>2152</v>
      </c>
      <c r="M4376" s="55" t="s">
        <v>2824</v>
      </c>
      <c r="N4376" s="4" t="s">
        <v>1905</v>
      </c>
      <c r="O4376" s="55" t="s">
        <v>178</v>
      </c>
    </row>
    <row r="4377" spans="2:15">
      <c r="B4377" s="20">
        <v>45625</v>
      </c>
      <c r="C4377" s="59">
        <v>50820741</v>
      </c>
      <c r="D4377" s="55" t="s">
        <v>1838</v>
      </c>
      <c r="G4377" s="122">
        <v>1738800</v>
      </c>
      <c r="H4377" s="56" t="s">
        <v>92</v>
      </c>
      <c r="I4377" s="54">
        <v>8654148141</v>
      </c>
      <c r="K4377" s="56">
        <v>3002</v>
      </c>
      <c r="L4377" s="55" t="s">
        <v>2152</v>
      </c>
      <c r="M4377" s="55" t="s">
        <v>2824</v>
      </c>
      <c r="N4377" s="4" t="s">
        <v>1905</v>
      </c>
      <c r="O4377" s="55" t="s">
        <v>178</v>
      </c>
    </row>
    <row r="4378" spans="2:15">
      <c r="B4378" s="20">
        <v>45625</v>
      </c>
      <c r="C4378" s="59">
        <v>50144376</v>
      </c>
      <c r="D4378" s="55" t="s">
        <v>19</v>
      </c>
      <c r="G4378" s="65">
        <v>4800</v>
      </c>
      <c r="H4378" s="56" t="s">
        <v>92</v>
      </c>
      <c r="I4378" s="54">
        <v>8654183092</v>
      </c>
      <c r="K4378" s="56">
        <v>3003</v>
      </c>
      <c r="L4378" s="55" t="s">
        <v>2152</v>
      </c>
      <c r="M4378" s="55" t="s">
        <v>2824</v>
      </c>
      <c r="N4378" s="4" t="s">
        <v>1905</v>
      </c>
      <c r="O4378" s="55" t="s">
        <v>178</v>
      </c>
    </row>
    <row r="4379" spans="2:15">
      <c r="B4379" s="20">
        <v>45625</v>
      </c>
      <c r="C4379" s="59">
        <v>50272278</v>
      </c>
      <c r="D4379" s="55" t="s">
        <v>21</v>
      </c>
      <c r="G4379" s="65">
        <v>4800</v>
      </c>
      <c r="H4379" s="56" t="s">
        <v>92</v>
      </c>
      <c r="I4379" s="54">
        <v>8654183092</v>
      </c>
      <c r="K4379" s="56">
        <v>3003</v>
      </c>
      <c r="L4379" s="55" t="s">
        <v>2152</v>
      </c>
      <c r="M4379" s="55" t="s">
        <v>2824</v>
      </c>
      <c r="N4379" s="4" t="s">
        <v>1905</v>
      </c>
      <c r="O4379" s="55" t="s">
        <v>178</v>
      </c>
    </row>
    <row r="4380" spans="2:15">
      <c r="B4380" s="20">
        <v>45625</v>
      </c>
      <c r="C4380" s="59">
        <v>50470190</v>
      </c>
      <c r="D4380" s="55" t="s">
        <v>12</v>
      </c>
      <c r="G4380" s="65">
        <v>1738800</v>
      </c>
      <c r="H4380" s="56" t="s">
        <v>92</v>
      </c>
      <c r="I4380" s="54">
        <v>8656977680</v>
      </c>
      <c r="K4380" s="56">
        <v>3003</v>
      </c>
      <c r="L4380" s="55" t="s">
        <v>2152</v>
      </c>
      <c r="M4380" s="55" t="s">
        <v>2824</v>
      </c>
      <c r="N4380" s="4" t="s">
        <v>1905</v>
      </c>
      <c r="O4380" s="55" t="s">
        <v>178</v>
      </c>
    </row>
    <row r="4381" spans="2:15">
      <c r="B4381" s="20">
        <v>45628</v>
      </c>
      <c r="C4381" s="59">
        <v>50272278</v>
      </c>
      <c r="D4381" s="55" t="s">
        <v>21</v>
      </c>
      <c r="G4381" s="65">
        <v>4800</v>
      </c>
      <c r="H4381" s="56" t="s">
        <v>92</v>
      </c>
      <c r="I4381" s="54">
        <v>8655079488</v>
      </c>
      <c r="K4381" s="56">
        <v>3004</v>
      </c>
      <c r="L4381" s="55" t="s">
        <v>2152</v>
      </c>
      <c r="M4381" s="55" t="s">
        <v>2824</v>
      </c>
      <c r="N4381" s="4" t="s">
        <v>1905</v>
      </c>
      <c r="O4381" s="55" t="s">
        <v>178</v>
      </c>
    </row>
    <row r="4382" spans="2:15">
      <c r="B4382" s="20">
        <v>45628</v>
      </c>
      <c r="C4382" s="59">
        <v>50470190</v>
      </c>
      <c r="D4382" s="55" t="s">
        <v>12</v>
      </c>
      <c r="G4382" s="65">
        <v>2898000</v>
      </c>
      <c r="H4382" s="56" t="s">
        <v>92</v>
      </c>
      <c r="I4382" s="54">
        <v>8656981513</v>
      </c>
      <c r="K4382" s="56">
        <v>3004</v>
      </c>
      <c r="L4382" s="55" t="s">
        <v>2152</v>
      </c>
      <c r="M4382" s="55" t="s">
        <v>2824</v>
      </c>
      <c r="N4382" s="4" t="s">
        <v>1905</v>
      </c>
      <c r="O4382" s="55" t="s">
        <v>178</v>
      </c>
    </row>
    <row r="4383" spans="2:15">
      <c r="B4383" s="20">
        <v>45628</v>
      </c>
      <c r="C4383" s="59">
        <v>40007939</v>
      </c>
      <c r="D4383" s="55" t="s">
        <v>1873</v>
      </c>
      <c r="G4383" s="65">
        <v>1008</v>
      </c>
      <c r="H4383" s="56" t="s">
        <v>92</v>
      </c>
      <c r="I4383" s="54">
        <v>8655933363</v>
      </c>
      <c r="K4383" s="56">
        <v>3004</v>
      </c>
      <c r="L4383" s="55" t="s">
        <v>2152</v>
      </c>
      <c r="M4383" s="55" t="s">
        <v>2824</v>
      </c>
      <c r="N4383" s="4" t="s">
        <v>1905</v>
      </c>
      <c r="O4383" s="55" t="s">
        <v>178</v>
      </c>
    </row>
    <row r="4384" spans="2:15">
      <c r="B4384" s="20">
        <v>45628</v>
      </c>
      <c r="C4384" s="59">
        <v>40008023</v>
      </c>
      <c r="D4384" s="55" t="s">
        <v>2977</v>
      </c>
      <c r="G4384" s="65">
        <v>450</v>
      </c>
      <c r="H4384" s="56" t="s">
        <v>80</v>
      </c>
      <c r="I4384" s="54">
        <v>8658965061</v>
      </c>
      <c r="K4384" s="56">
        <v>3004</v>
      </c>
      <c r="L4384" s="55" t="s">
        <v>2152</v>
      </c>
      <c r="M4384" s="55" t="s">
        <v>2824</v>
      </c>
      <c r="N4384" s="4" t="s">
        <v>1905</v>
      </c>
      <c r="O4384" s="55" t="s">
        <v>178</v>
      </c>
    </row>
    <row r="4385" spans="2:15">
      <c r="B4385" s="20">
        <v>45629</v>
      </c>
      <c r="C4385" s="59">
        <v>50010080</v>
      </c>
      <c r="D4385" s="55" t="s">
        <v>1657</v>
      </c>
      <c r="G4385" s="65">
        <v>2000</v>
      </c>
      <c r="H4385" s="56" t="s">
        <v>82</v>
      </c>
      <c r="I4385" s="54">
        <v>8655495445</v>
      </c>
      <c r="K4385" s="56">
        <v>3005</v>
      </c>
      <c r="L4385" s="55" t="s">
        <v>2152</v>
      </c>
      <c r="M4385" s="55" t="s">
        <v>2824</v>
      </c>
      <c r="N4385" s="4" t="s">
        <v>1905</v>
      </c>
      <c r="O4385" s="55" t="s">
        <v>178</v>
      </c>
    </row>
    <row r="4386" spans="2:15">
      <c r="B4386" s="20">
        <v>45629</v>
      </c>
      <c r="C4386" s="59">
        <v>50272278</v>
      </c>
      <c r="D4386" s="55" t="s">
        <v>21</v>
      </c>
      <c r="G4386" s="65">
        <v>5800</v>
      </c>
      <c r="H4386" s="56" t="s">
        <v>92</v>
      </c>
      <c r="I4386" s="54">
        <v>8655495445</v>
      </c>
      <c r="K4386" s="56">
        <v>3005</v>
      </c>
      <c r="L4386" s="55" t="s">
        <v>2152</v>
      </c>
      <c r="M4386" s="55" t="s">
        <v>2824</v>
      </c>
      <c r="N4386" s="4" t="s">
        <v>1905</v>
      </c>
      <c r="O4386" s="55" t="s">
        <v>178</v>
      </c>
    </row>
    <row r="4387" spans="2:15">
      <c r="B4387" s="20">
        <v>45629</v>
      </c>
      <c r="C4387" s="59">
        <v>40011149</v>
      </c>
      <c r="D4387" s="55" t="s">
        <v>37</v>
      </c>
      <c r="G4387" s="65">
        <v>1080</v>
      </c>
      <c r="H4387" s="56" t="s">
        <v>80</v>
      </c>
      <c r="I4387" s="54">
        <v>8655495445</v>
      </c>
      <c r="K4387" s="56">
        <v>3005</v>
      </c>
      <c r="L4387" s="55" t="s">
        <v>2152</v>
      </c>
      <c r="M4387" s="55" t="s">
        <v>2824</v>
      </c>
      <c r="N4387" s="4" t="s">
        <v>1905</v>
      </c>
      <c r="O4387" s="55" t="s">
        <v>178</v>
      </c>
    </row>
    <row r="4388" spans="2:15">
      <c r="B4388" s="20">
        <v>45629</v>
      </c>
      <c r="C4388" s="59">
        <v>40011588</v>
      </c>
      <c r="D4388" s="55" t="s">
        <v>585</v>
      </c>
      <c r="G4388" s="65">
        <v>910</v>
      </c>
      <c r="H4388" s="56" t="s">
        <v>80</v>
      </c>
      <c r="I4388" s="54">
        <v>8655495445</v>
      </c>
      <c r="K4388" s="56">
        <v>3005</v>
      </c>
      <c r="L4388" s="55" t="s">
        <v>2152</v>
      </c>
      <c r="M4388" s="55" t="s">
        <v>2824</v>
      </c>
      <c r="N4388" s="4" t="s">
        <v>1905</v>
      </c>
      <c r="O4388" s="55" t="s">
        <v>178</v>
      </c>
    </row>
    <row r="4389" spans="2:15">
      <c r="B4389" s="20">
        <v>45629</v>
      </c>
      <c r="C4389" s="59">
        <v>50811693</v>
      </c>
      <c r="D4389" s="55" t="s">
        <v>1269</v>
      </c>
      <c r="G4389" s="65">
        <v>1380000</v>
      </c>
      <c r="H4389" s="56" t="s">
        <v>92</v>
      </c>
      <c r="I4389" s="54">
        <v>8655495445</v>
      </c>
      <c r="K4389" s="56">
        <v>3005</v>
      </c>
      <c r="L4389" s="55" t="s">
        <v>2152</v>
      </c>
      <c r="M4389" s="55" t="s">
        <v>2824</v>
      </c>
      <c r="N4389" s="4" t="s">
        <v>1905</v>
      </c>
      <c r="O4389" s="55" t="s">
        <v>178</v>
      </c>
    </row>
    <row r="4390" spans="2:15">
      <c r="B4390" s="20">
        <v>45629</v>
      </c>
      <c r="C4390" s="59">
        <v>20016059</v>
      </c>
      <c r="D4390" s="55" t="s">
        <v>1498</v>
      </c>
      <c r="G4390" s="65">
        <v>100</v>
      </c>
      <c r="H4390" s="56" t="s">
        <v>92</v>
      </c>
      <c r="I4390" s="54">
        <v>8655495445</v>
      </c>
      <c r="K4390" s="56">
        <v>3005</v>
      </c>
      <c r="L4390" s="55" t="s">
        <v>2152</v>
      </c>
      <c r="M4390" s="55" t="s">
        <v>2824</v>
      </c>
      <c r="N4390" s="4" t="s">
        <v>1905</v>
      </c>
      <c r="O4390" s="55" t="s">
        <v>178</v>
      </c>
    </row>
    <row r="4391" spans="2:15">
      <c r="B4391" s="20">
        <v>45630</v>
      </c>
      <c r="C4391" s="59">
        <v>50010080</v>
      </c>
      <c r="D4391" s="55" t="s">
        <v>1657</v>
      </c>
      <c r="G4391" s="65">
        <v>3000</v>
      </c>
      <c r="H4391" s="56" t="s">
        <v>82</v>
      </c>
      <c r="I4391" s="54">
        <v>8655925875</v>
      </c>
      <c r="K4391" s="56">
        <v>3006</v>
      </c>
      <c r="L4391" s="55" t="s">
        <v>2152</v>
      </c>
      <c r="M4391" s="55" t="s">
        <v>2824</v>
      </c>
      <c r="N4391" s="4" t="s">
        <v>1905</v>
      </c>
      <c r="O4391" s="55" t="s">
        <v>178</v>
      </c>
    </row>
    <row r="4392" spans="2:15">
      <c r="B4392" s="20">
        <v>45630</v>
      </c>
      <c r="C4392" s="59">
        <v>50142523</v>
      </c>
      <c r="D4392" s="55" t="s">
        <v>1157</v>
      </c>
      <c r="G4392" s="65">
        <v>5500</v>
      </c>
      <c r="H4392" s="56" t="s">
        <v>92</v>
      </c>
      <c r="I4392" s="54">
        <v>8656977734</v>
      </c>
      <c r="K4392" s="56">
        <v>3006</v>
      </c>
      <c r="L4392" s="55" t="s">
        <v>2152</v>
      </c>
      <c r="M4392" s="55" t="s">
        <v>2824</v>
      </c>
      <c r="N4392" s="4" t="s">
        <v>1905</v>
      </c>
      <c r="O4392" s="55" t="s">
        <v>178</v>
      </c>
    </row>
    <row r="4393" spans="2:15">
      <c r="B4393" s="20">
        <v>45630</v>
      </c>
      <c r="C4393" s="59">
        <v>50142520</v>
      </c>
      <c r="D4393" s="55" t="s">
        <v>1156</v>
      </c>
      <c r="G4393" s="65">
        <v>6000</v>
      </c>
      <c r="H4393" s="56" t="s">
        <v>92</v>
      </c>
      <c r="I4393" s="54">
        <v>8655925875</v>
      </c>
      <c r="K4393" s="56">
        <v>3006</v>
      </c>
      <c r="L4393" s="55" t="s">
        <v>2152</v>
      </c>
      <c r="M4393" s="55" t="s">
        <v>2824</v>
      </c>
      <c r="N4393" s="4" t="s">
        <v>1905</v>
      </c>
      <c r="O4393" s="55" t="s">
        <v>178</v>
      </c>
    </row>
    <row r="4394" spans="2:15">
      <c r="B4394" s="20">
        <v>45630</v>
      </c>
      <c r="C4394" s="59">
        <v>40011588</v>
      </c>
      <c r="D4394" s="55" t="s">
        <v>585</v>
      </c>
      <c r="G4394" s="65">
        <v>900</v>
      </c>
      <c r="H4394" s="56" t="s">
        <v>80</v>
      </c>
      <c r="I4394" s="54">
        <v>8655925875</v>
      </c>
      <c r="K4394" s="56">
        <v>3006</v>
      </c>
      <c r="L4394" s="55" t="s">
        <v>2152</v>
      </c>
      <c r="M4394" s="55" t="s">
        <v>2824</v>
      </c>
      <c r="N4394" s="4" t="s">
        <v>1905</v>
      </c>
      <c r="O4394" s="55" t="s">
        <v>178</v>
      </c>
    </row>
    <row r="4395" spans="2:15">
      <c r="B4395" s="20">
        <v>45630</v>
      </c>
      <c r="C4395" s="59">
        <v>50232060</v>
      </c>
      <c r="D4395" s="55" t="s">
        <v>361</v>
      </c>
      <c r="G4395" s="65">
        <v>264000</v>
      </c>
      <c r="H4395" s="56" t="s">
        <v>92</v>
      </c>
      <c r="I4395" s="54">
        <v>8655925875</v>
      </c>
      <c r="K4395" s="56">
        <v>3006</v>
      </c>
      <c r="L4395" s="55" t="s">
        <v>2152</v>
      </c>
      <c r="M4395" s="55" t="s">
        <v>2824</v>
      </c>
      <c r="N4395" s="4" t="s">
        <v>1905</v>
      </c>
      <c r="O4395" s="55" t="s">
        <v>178</v>
      </c>
    </row>
    <row r="4396" spans="2:15">
      <c r="B4396" s="20">
        <v>45630</v>
      </c>
      <c r="C4396" s="59">
        <v>50142327</v>
      </c>
      <c r="D4396" s="55" t="s">
        <v>256</v>
      </c>
      <c r="G4396" s="65">
        <v>953.4</v>
      </c>
      <c r="H4396" s="56" t="s">
        <v>82</v>
      </c>
      <c r="I4396" s="54">
        <v>8655925875</v>
      </c>
      <c r="K4396" s="56">
        <v>3006</v>
      </c>
      <c r="L4396" s="55" t="s">
        <v>2152</v>
      </c>
      <c r="M4396" s="55" t="s">
        <v>2824</v>
      </c>
      <c r="N4396" s="4" t="s">
        <v>1905</v>
      </c>
      <c r="O4396" s="55" t="s">
        <v>178</v>
      </c>
    </row>
    <row r="4397" spans="2:15">
      <c r="B4397" s="20">
        <v>45630</v>
      </c>
      <c r="C4397" s="59">
        <v>50142334</v>
      </c>
      <c r="D4397" s="55" t="s">
        <v>257</v>
      </c>
      <c r="G4397" s="65">
        <v>476.7</v>
      </c>
      <c r="H4397" s="56" t="s">
        <v>82</v>
      </c>
      <c r="I4397" s="54">
        <v>8655925875</v>
      </c>
      <c r="K4397" s="56">
        <v>3006</v>
      </c>
      <c r="L4397" s="55" t="s">
        <v>2152</v>
      </c>
      <c r="M4397" s="55" t="s">
        <v>2824</v>
      </c>
      <c r="N4397" s="4" t="s">
        <v>1905</v>
      </c>
      <c r="O4397" s="55" t="s">
        <v>178</v>
      </c>
    </row>
    <row r="4398" spans="2:15">
      <c r="B4398" s="20">
        <v>45630</v>
      </c>
      <c r="C4398" s="59">
        <v>50837509</v>
      </c>
      <c r="D4398" s="55" t="s">
        <v>14</v>
      </c>
      <c r="G4398" s="65">
        <v>1738800</v>
      </c>
      <c r="H4398" s="56" t="s">
        <v>92</v>
      </c>
      <c r="I4398" s="54">
        <v>8655925875</v>
      </c>
      <c r="K4398" s="56">
        <v>3006</v>
      </c>
      <c r="L4398" s="55" t="s">
        <v>2152</v>
      </c>
      <c r="M4398" s="55" t="s">
        <v>2824</v>
      </c>
      <c r="N4398" s="4" t="s">
        <v>1905</v>
      </c>
      <c r="O4398" s="55" t="s">
        <v>178</v>
      </c>
    </row>
    <row r="4399" spans="2:15">
      <c r="B4399" s="20">
        <v>45630</v>
      </c>
      <c r="C4399" s="59">
        <v>50837239</v>
      </c>
      <c r="D4399" s="55" t="s">
        <v>27</v>
      </c>
      <c r="G4399" s="65">
        <v>2527.45</v>
      </c>
      <c r="H4399" s="56" t="s">
        <v>82</v>
      </c>
      <c r="I4399" s="54">
        <v>8656978492</v>
      </c>
      <c r="K4399" s="56">
        <v>3006</v>
      </c>
      <c r="L4399" s="55" t="s">
        <v>2152</v>
      </c>
      <c r="M4399" s="55" t="s">
        <v>2824</v>
      </c>
      <c r="N4399" s="4" t="s">
        <v>1905</v>
      </c>
      <c r="O4399" s="55" t="s">
        <v>178</v>
      </c>
    </row>
    <row r="4400" spans="2:15">
      <c r="B4400" s="20">
        <v>45630</v>
      </c>
      <c r="C4400" s="59">
        <v>50272278</v>
      </c>
      <c r="D4400" s="55" t="s">
        <v>21</v>
      </c>
      <c r="G4400" s="65">
        <v>8000</v>
      </c>
      <c r="H4400" s="56" t="s">
        <v>92</v>
      </c>
      <c r="I4400" s="54">
        <v>8655955549</v>
      </c>
      <c r="K4400" s="56">
        <v>3007</v>
      </c>
      <c r="L4400" s="55" t="s">
        <v>2152</v>
      </c>
      <c r="M4400" s="55" t="s">
        <v>2824</v>
      </c>
      <c r="N4400" s="4" t="s">
        <v>1905</v>
      </c>
      <c r="O4400" s="55" t="s">
        <v>178</v>
      </c>
    </row>
    <row r="4401" spans="2:15">
      <c r="B4401" s="20">
        <v>45630</v>
      </c>
      <c r="C4401" s="59">
        <v>50470190</v>
      </c>
      <c r="D4401" s="55" t="s">
        <v>12</v>
      </c>
      <c r="G4401" s="65">
        <v>579600</v>
      </c>
      <c r="H4401" s="123" t="s">
        <v>92</v>
      </c>
      <c r="I4401" s="54">
        <v>8656977740</v>
      </c>
      <c r="K4401" s="56">
        <v>3007</v>
      </c>
      <c r="L4401" s="55" t="s">
        <v>2152</v>
      </c>
      <c r="M4401" s="55" t="s">
        <v>2824</v>
      </c>
      <c r="N4401" s="4" t="s">
        <v>1905</v>
      </c>
      <c r="O4401" s="55" t="s">
        <v>178</v>
      </c>
    </row>
    <row r="4402" spans="2:15">
      <c r="B4402" s="20">
        <v>45630</v>
      </c>
      <c r="C4402" s="59">
        <v>50802401</v>
      </c>
      <c r="D4402" s="55" t="s">
        <v>13</v>
      </c>
      <c r="G4402" s="65">
        <v>579600</v>
      </c>
      <c r="H4402" s="56" t="s">
        <v>92</v>
      </c>
      <c r="I4402" s="54">
        <v>8655955549</v>
      </c>
      <c r="K4402" s="56">
        <v>3007</v>
      </c>
      <c r="L4402" s="55" t="s">
        <v>2152</v>
      </c>
      <c r="M4402" s="55" t="s">
        <v>2824</v>
      </c>
      <c r="N4402" s="4" t="s">
        <v>1905</v>
      </c>
      <c r="O4402" s="55" t="s">
        <v>178</v>
      </c>
    </row>
    <row r="4403" spans="2:15">
      <c r="B4403" s="20">
        <v>45630</v>
      </c>
      <c r="C4403" s="59">
        <v>50837509</v>
      </c>
      <c r="D4403" s="55" t="s">
        <v>14</v>
      </c>
      <c r="G4403" s="65">
        <v>289800</v>
      </c>
      <c r="H4403" s="56" t="s">
        <v>92</v>
      </c>
      <c r="I4403" s="54">
        <v>8655955549</v>
      </c>
      <c r="K4403" s="56">
        <v>3007</v>
      </c>
      <c r="L4403" s="55" t="s">
        <v>2152</v>
      </c>
      <c r="M4403" s="55" t="s">
        <v>2824</v>
      </c>
      <c r="N4403" s="4" t="s">
        <v>1905</v>
      </c>
      <c r="O4403" s="55" t="s">
        <v>178</v>
      </c>
    </row>
    <row r="4404" spans="2:15">
      <c r="B4404" s="20">
        <v>45631</v>
      </c>
      <c r="C4404" s="59">
        <v>50010080</v>
      </c>
      <c r="D4404" s="55" t="s">
        <v>1657</v>
      </c>
      <c r="G4404" s="65">
        <v>2000</v>
      </c>
      <c r="H4404" s="56" t="s">
        <v>82</v>
      </c>
      <c r="I4404" s="54">
        <v>8656480204</v>
      </c>
      <c r="K4404" s="56">
        <v>3008</v>
      </c>
      <c r="L4404" s="55" t="s">
        <v>2152</v>
      </c>
      <c r="M4404" s="55" t="s">
        <v>2824</v>
      </c>
      <c r="N4404" s="4" t="s">
        <v>1905</v>
      </c>
      <c r="O4404" s="55" t="s">
        <v>178</v>
      </c>
    </row>
    <row r="4405" spans="2:15">
      <c r="B4405" s="20">
        <v>45631</v>
      </c>
      <c r="C4405" s="59">
        <v>40011133</v>
      </c>
      <c r="D4405" s="55" t="s">
        <v>634</v>
      </c>
      <c r="G4405" s="65">
        <v>1405</v>
      </c>
      <c r="H4405" s="56" t="s">
        <v>80</v>
      </c>
      <c r="I4405" s="54">
        <v>8656480204</v>
      </c>
      <c r="K4405" s="56">
        <v>3008</v>
      </c>
      <c r="L4405" s="55" t="s">
        <v>2152</v>
      </c>
      <c r="M4405" s="55" t="s">
        <v>2824</v>
      </c>
      <c r="N4405" s="4" t="s">
        <v>1905</v>
      </c>
      <c r="O4405" s="55" t="s">
        <v>178</v>
      </c>
    </row>
    <row r="4406" spans="2:15">
      <c r="B4406" s="20">
        <v>45631</v>
      </c>
      <c r="C4406" s="59">
        <v>50144376</v>
      </c>
      <c r="D4406" s="55" t="s">
        <v>19</v>
      </c>
      <c r="G4406" s="65">
        <v>5500</v>
      </c>
      <c r="H4406" s="56" t="s">
        <v>92</v>
      </c>
      <c r="I4406" s="54">
        <v>8656480204</v>
      </c>
      <c r="K4406" s="56">
        <v>3008</v>
      </c>
      <c r="L4406" s="55" t="s">
        <v>2152</v>
      </c>
      <c r="M4406" s="55" t="s">
        <v>2824</v>
      </c>
      <c r="N4406" s="4" t="s">
        <v>1905</v>
      </c>
      <c r="O4406" s="55" t="s">
        <v>178</v>
      </c>
    </row>
    <row r="4407" spans="2:15">
      <c r="B4407" s="20">
        <v>45631</v>
      </c>
      <c r="C4407" s="59">
        <v>40011588</v>
      </c>
      <c r="D4407" s="55" t="s">
        <v>585</v>
      </c>
      <c r="G4407" s="65">
        <v>450</v>
      </c>
      <c r="H4407" s="56" t="s">
        <v>80</v>
      </c>
      <c r="I4407" s="54">
        <v>8656480204</v>
      </c>
      <c r="K4407" s="56">
        <v>3008</v>
      </c>
      <c r="L4407" s="55" t="s">
        <v>2152</v>
      </c>
      <c r="M4407" s="55" t="s">
        <v>2824</v>
      </c>
      <c r="N4407" s="4" t="s">
        <v>1905</v>
      </c>
      <c r="O4407" s="55" t="s">
        <v>178</v>
      </c>
    </row>
    <row r="4408" spans="2:15">
      <c r="B4408" s="20">
        <v>45631</v>
      </c>
      <c r="C4408" s="59">
        <v>50142350</v>
      </c>
      <c r="D4408" s="55" t="s">
        <v>212</v>
      </c>
      <c r="G4408" s="65">
        <v>791</v>
      </c>
      <c r="H4408" s="56" t="s">
        <v>82</v>
      </c>
      <c r="I4408" s="54">
        <v>8656480204</v>
      </c>
      <c r="K4408" s="56">
        <v>3008</v>
      </c>
      <c r="L4408" s="55" t="s">
        <v>2152</v>
      </c>
      <c r="M4408" s="55" t="s">
        <v>2824</v>
      </c>
      <c r="N4408" s="4" t="s">
        <v>1905</v>
      </c>
      <c r="O4408" s="55" t="s">
        <v>178</v>
      </c>
    </row>
    <row r="4409" spans="2:15">
      <c r="B4409" s="20">
        <v>45631</v>
      </c>
      <c r="C4409" s="59">
        <v>50142327</v>
      </c>
      <c r="D4409" s="55" t="s">
        <v>256</v>
      </c>
      <c r="G4409" s="65">
        <v>953.4</v>
      </c>
      <c r="H4409" s="56" t="s">
        <v>82</v>
      </c>
      <c r="I4409" s="54">
        <v>8656480204</v>
      </c>
      <c r="K4409" s="56">
        <v>3008</v>
      </c>
      <c r="L4409" s="55" t="s">
        <v>2152</v>
      </c>
      <c r="M4409" s="55" t="s">
        <v>2824</v>
      </c>
      <c r="N4409" s="4" t="s">
        <v>1905</v>
      </c>
      <c r="O4409" s="55" t="s">
        <v>178</v>
      </c>
    </row>
    <row r="4410" spans="2:15">
      <c r="B4410" s="20">
        <v>45631</v>
      </c>
      <c r="C4410" s="59">
        <v>50142334</v>
      </c>
      <c r="D4410" s="55" t="s">
        <v>257</v>
      </c>
      <c r="G4410" s="65">
        <v>953.4</v>
      </c>
      <c r="H4410" s="56" t="s">
        <v>82</v>
      </c>
      <c r="I4410" s="54">
        <v>8656480204</v>
      </c>
      <c r="K4410" s="56">
        <v>3008</v>
      </c>
      <c r="L4410" s="55" t="s">
        <v>2152</v>
      </c>
      <c r="M4410" s="55" t="s">
        <v>2824</v>
      </c>
      <c r="N4410" s="4" t="s">
        <v>1905</v>
      </c>
      <c r="O4410" s="55" t="s">
        <v>178</v>
      </c>
    </row>
    <row r="4411" spans="2:15">
      <c r="B4411" s="20">
        <v>45631</v>
      </c>
      <c r="C4411" s="59">
        <v>50470190</v>
      </c>
      <c r="D4411" s="55" t="s">
        <v>12</v>
      </c>
      <c r="G4411" s="65">
        <v>1738800</v>
      </c>
      <c r="H4411" s="56" t="s">
        <v>92</v>
      </c>
      <c r="I4411" s="54">
        <v>8656480204</v>
      </c>
      <c r="K4411" s="56">
        <v>3009</v>
      </c>
      <c r="L4411" s="55" t="s">
        <v>2152</v>
      </c>
      <c r="M4411" s="55" t="s">
        <v>2824</v>
      </c>
      <c r="N4411" s="4" t="s">
        <v>1905</v>
      </c>
      <c r="O4411" s="55" t="s">
        <v>178</v>
      </c>
    </row>
    <row r="4412" spans="2:15">
      <c r="B4412" s="20">
        <v>45631</v>
      </c>
      <c r="C4412" s="59">
        <v>50802401</v>
      </c>
      <c r="D4412" s="55" t="s">
        <v>13</v>
      </c>
      <c r="G4412" s="65">
        <v>2608200</v>
      </c>
      <c r="H4412" s="56" t="s">
        <v>92</v>
      </c>
      <c r="I4412" s="54">
        <v>8656480204</v>
      </c>
      <c r="K4412" s="56">
        <v>3009</v>
      </c>
      <c r="L4412" s="55" t="s">
        <v>2152</v>
      </c>
      <c r="M4412" s="55" t="s">
        <v>2824</v>
      </c>
      <c r="N4412" s="4" t="s">
        <v>1905</v>
      </c>
      <c r="O4412" s="55" t="s">
        <v>178</v>
      </c>
    </row>
    <row r="4413" spans="2:15">
      <c r="B4413" s="20">
        <v>45631</v>
      </c>
      <c r="C4413" s="59">
        <v>50820741</v>
      </c>
      <c r="D4413" s="55" t="s">
        <v>1838</v>
      </c>
      <c r="G4413" s="65">
        <v>869400</v>
      </c>
      <c r="H4413" s="56" t="s">
        <v>92</v>
      </c>
      <c r="I4413" s="54">
        <v>8656480204</v>
      </c>
      <c r="K4413" s="56">
        <v>3009</v>
      </c>
      <c r="L4413" s="55" t="s">
        <v>2152</v>
      </c>
      <c r="M4413" s="55" t="s">
        <v>2824</v>
      </c>
      <c r="N4413" s="4" t="s">
        <v>1905</v>
      </c>
      <c r="O4413" s="55" t="s">
        <v>178</v>
      </c>
    </row>
    <row r="4414" spans="2:15">
      <c r="B4414" s="20">
        <v>45632</v>
      </c>
      <c r="C4414" s="59">
        <v>50272278</v>
      </c>
      <c r="D4414" s="55" t="s">
        <v>21</v>
      </c>
      <c r="G4414" s="65">
        <v>12450</v>
      </c>
      <c r="H4414" s="56" t="s">
        <v>92</v>
      </c>
      <c r="I4414" s="54">
        <v>8656978904</v>
      </c>
      <c r="K4414" s="56">
        <v>3010</v>
      </c>
      <c r="L4414" s="55" t="s">
        <v>2152</v>
      </c>
      <c r="M4414" s="55" t="s">
        <v>2824</v>
      </c>
      <c r="N4414" s="4" t="s">
        <v>1905</v>
      </c>
      <c r="O4414" s="55" t="s">
        <v>178</v>
      </c>
    </row>
    <row r="4415" spans="2:15">
      <c r="B4415" s="20">
        <v>45632</v>
      </c>
      <c r="C4415" s="59">
        <v>50144376</v>
      </c>
      <c r="D4415" s="55" t="s">
        <v>19</v>
      </c>
      <c r="G4415" s="65">
        <v>5500</v>
      </c>
      <c r="H4415" s="56" t="s">
        <v>92</v>
      </c>
      <c r="I4415" s="54" t="s">
        <v>2874</v>
      </c>
      <c r="K4415" s="56">
        <v>3011</v>
      </c>
      <c r="L4415" s="55" t="s">
        <v>2152</v>
      </c>
      <c r="M4415" s="55" t="s">
        <v>2824</v>
      </c>
      <c r="N4415" s="4" t="s">
        <v>1905</v>
      </c>
      <c r="O4415" s="55" t="s">
        <v>178</v>
      </c>
    </row>
    <row r="4416" spans="2:15">
      <c r="B4416" s="20">
        <v>45632</v>
      </c>
      <c r="C4416" s="59">
        <v>50272278</v>
      </c>
      <c r="D4416" s="55" t="s">
        <v>21</v>
      </c>
      <c r="G4416" s="65">
        <v>5500</v>
      </c>
      <c r="H4416" s="56" t="s">
        <v>92</v>
      </c>
      <c r="I4416" s="54" t="s">
        <v>2874</v>
      </c>
      <c r="K4416" s="56">
        <v>3011</v>
      </c>
      <c r="L4416" s="55" t="s">
        <v>2152</v>
      </c>
      <c r="M4416" s="55" t="s">
        <v>2824</v>
      </c>
      <c r="N4416" s="4" t="s">
        <v>1905</v>
      </c>
      <c r="O4416" s="55" t="s">
        <v>178</v>
      </c>
    </row>
    <row r="4417" spans="2:15">
      <c r="B4417" s="20">
        <v>45632</v>
      </c>
      <c r="C4417" s="59">
        <v>50144376</v>
      </c>
      <c r="D4417" s="55" t="s">
        <v>19</v>
      </c>
      <c r="G4417" s="65">
        <v>2500</v>
      </c>
      <c r="H4417" s="56" t="s">
        <v>92</v>
      </c>
      <c r="I4417" s="54">
        <v>8656985149</v>
      </c>
      <c r="K4417" s="56">
        <v>3012</v>
      </c>
      <c r="L4417" s="55" t="s">
        <v>2152</v>
      </c>
      <c r="M4417" s="55" t="s">
        <v>2824</v>
      </c>
      <c r="N4417" s="4" t="s">
        <v>1905</v>
      </c>
      <c r="O4417" s="55" t="s">
        <v>178</v>
      </c>
    </row>
    <row r="4418" spans="2:15">
      <c r="B4418" s="20">
        <v>45632</v>
      </c>
      <c r="C4418" s="59">
        <v>50793278</v>
      </c>
      <c r="D4418" s="55" t="s">
        <v>1086</v>
      </c>
      <c r="G4418" s="65">
        <v>20</v>
      </c>
      <c r="H4418" s="56" t="s">
        <v>1087</v>
      </c>
      <c r="I4418" s="54">
        <v>8656985149</v>
      </c>
      <c r="K4418" s="56">
        <v>3012</v>
      </c>
      <c r="L4418" s="55" t="s">
        <v>2152</v>
      </c>
      <c r="M4418" s="55" t="s">
        <v>2824</v>
      </c>
      <c r="N4418" s="4" t="s">
        <v>1905</v>
      </c>
      <c r="O4418" s="55" t="s">
        <v>178</v>
      </c>
    </row>
    <row r="4419" spans="2:15">
      <c r="B4419" s="20">
        <v>45632</v>
      </c>
      <c r="C4419" s="59">
        <v>50802401</v>
      </c>
      <c r="D4419" s="55" t="s">
        <v>13</v>
      </c>
      <c r="G4419" s="65">
        <v>869400</v>
      </c>
      <c r="H4419" s="56" t="s">
        <v>92</v>
      </c>
      <c r="I4419" s="54">
        <v>8656985149</v>
      </c>
      <c r="K4419" s="56">
        <v>3012</v>
      </c>
      <c r="L4419" s="55" t="s">
        <v>2152</v>
      </c>
      <c r="M4419" s="55" t="s">
        <v>2824</v>
      </c>
      <c r="N4419" s="4" t="s">
        <v>1905</v>
      </c>
      <c r="O4419" s="55" t="s">
        <v>178</v>
      </c>
    </row>
    <row r="4420" spans="2:15">
      <c r="B4420" s="20">
        <v>45632</v>
      </c>
      <c r="C4420" s="59">
        <v>50837284</v>
      </c>
      <c r="D4420" s="55" t="s">
        <v>28</v>
      </c>
      <c r="G4420" s="65">
        <v>2030.6</v>
      </c>
      <c r="H4420" s="56" t="s">
        <v>82</v>
      </c>
      <c r="I4420" s="54">
        <v>8656985149</v>
      </c>
      <c r="K4420" s="56">
        <v>3012</v>
      </c>
      <c r="L4420" s="55" t="s">
        <v>2152</v>
      </c>
      <c r="M4420" s="55" t="s">
        <v>2824</v>
      </c>
      <c r="N4420" s="4" t="s">
        <v>1905</v>
      </c>
      <c r="O4420" s="55" t="s">
        <v>178</v>
      </c>
    </row>
    <row r="4421" spans="2:15">
      <c r="B4421" s="20">
        <v>45632</v>
      </c>
      <c r="C4421" s="59">
        <v>50820741</v>
      </c>
      <c r="D4421" s="55" t="s">
        <v>1838</v>
      </c>
      <c r="G4421" s="65">
        <v>1738800</v>
      </c>
      <c r="H4421" s="56" t="s">
        <v>92</v>
      </c>
      <c r="I4421" s="54">
        <v>8656985149</v>
      </c>
      <c r="K4421" s="56">
        <v>3012</v>
      </c>
      <c r="L4421" s="55" t="s">
        <v>2152</v>
      </c>
      <c r="M4421" s="55" t="s">
        <v>2824</v>
      </c>
      <c r="N4421" s="4" t="s">
        <v>1905</v>
      </c>
      <c r="O4421" s="55" t="s">
        <v>178</v>
      </c>
    </row>
    <row r="4422" spans="2:15">
      <c r="B4422" s="20">
        <v>45635</v>
      </c>
      <c r="C4422" s="59">
        <v>40010086</v>
      </c>
      <c r="D4422" s="55" t="s">
        <v>79</v>
      </c>
      <c r="G4422" s="65">
        <v>2688</v>
      </c>
      <c r="H4422" s="56" t="s">
        <v>80</v>
      </c>
      <c r="I4422" s="54">
        <v>8657949153</v>
      </c>
      <c r="K4422" s="56">
        <v>3013</v>
      </c>
      <c r="L4422" s="55" t="s">
        <v>2152</v>
      </c>
      <c r="M4422" s="55" t="s">
        <v>2824</v>
      </c>
      <c r="N4422" s="4" t="s">
        <v>1905</v>
      </c>
      <c r="O4422" s="55" t="s">
        <v>178</v>
      </c>
    </row>
    <row r="4423" spans="2:15">
      <c r="B4423" s="20">
        <v>45635</v>
      </c>
      <c r="C4423" s="59">
        <v>40010087</v>
      </c>
      <c r="D4423" s="55" t="s">
        <v>387</v>
      </c>
      <c r="G4423" s="65">
        <v>2592</v>
      </c>
      <c r="H4423" s="56" t="s">
        <v>80</v>
      </c>
      <c r="I4423" s="54">
        <v>8657949153</v>
      </c>
      <c r="K4423" s="56">
        <v>3013</v>
      </c>
      <c r="L4423" s="55" t="s">
        <v>2152</v>
      </c>
      <c r="M4423" s="55" t="s">
        <v>2824</v>
      </c>
      <c r="N4423" s="4" t="s">
        <v>1905</v>
      </c>
      <c r="O4423" s="55" t="s">
        <v>178</v>
      </c>
    </row>
    <row r="4424" spans="2:15">
      <c r="B4424" s="20">
        <v>45635</v>
      </c>
      <c r="C4424" s="59">
        <v>50272278</v>
      </c>
      <c r="D4424" s="55" t="s">
        <v>21</v>
      </c>
      <c r="G4424" s="65">
        <v>6000</v>
      </c>
      <c r="H4424" s="56" t="s">
        <v>92</v>
      </c>
      <c r="I4424" s="54">
        <v>8657949153</v>
      </c>
      <c r="K4424" s="56">
        <v>3013</v>
      </c>
      <c r="L4424" s="55" t="s">
        <v>2152</v>
      </c>
      <c r="M4424" s="55" t="s">
        <v>2824</v>
      </c>
      <c r="N4424" s="4" t="s">
        <v>1905</v>
      </c>
      <c r="O4424" s="55" t="s">
        <v>178</v>
      </c>
    </row>
    <row r="4425" spans="2:15">
      <c r="B4425" s="20">
        <v>45635</v>
      </c>
      <c r="C4425" s="59">
        <v>50793278</v>
      </c>
      <c r="D4425" s="55" t="s">
        <v>1086</v>
      </c>
      <c r="G4425" s="65">
        <v>30</v>
      </c>
      <c r="H4425" s="56" t="s">
        <v>1087</v>
      </c>
      <c r="I4425" s="54">
        <v>8657949153</v>
      </c>
      <c r="K4425" s="56">
        <v>3013</v>
      </c>
      <c r="L4425" s="55" t="s">
        <v>2152</v>
      </c>
      <c r="M4425" s="55" t="s">
        <v>2824</v>
      </c>
      <c r="N4425" s="4" t="s">
        <v>1905</v>
      </c>
      <c r="O4425" s="55" t="s">
        <v>178</v>
      </c>
    </row>
    <row r="4426" spans="2:15">
      <c r="B4426" s="20">
        <v>45635</v>
      </c>
      <c r="C4426" s="59">
        <v>50232060</v>
      </c>
      <c r="D4426" s="55" t="s">
        <v>361</v>
      </c>
      <c r="G4426" s="65">
        <v>264000</v>
      </c>
      <c r="H4426" s="56" t="s">
        <v>92</v>
      </c>
      <c r="I4426" s="54">
        <v>8657949153</v>
      </c>
      <c r="K4426" s="56">
        <v>3013</v>
      </c>
      <c r="L4426" s="55" t="s">
        <v>2152</v>
      </c>
      <c r="M4426" s="55" t="s">
        <v>2824</v>
      </c>
      <c r="N4426" s="4" t="s">
        <v>1905</v>
      </c>
      <c r="O4426" s="55" t="s">
        <v>178</v>
      </c>
    </row>
    <row r="4427" spans="2:15">
      <c r="B4427" s="20">
        <v>45635</v>
      </c>
      <c r="C4427" s="59">
        <v>50811693</v>
      </c>
      <c r="D4427" s="55" t="s">
        <v>1269</v>
      </c>
      <c r="G4427" s="65">
        <v>900000</v>
      </c>
      <c r="H4427" s="56" t="s">
        <v>92</v>
      </c>
      <c r="I4427" s="54">
        <v>8657949153</v>
      </c>
      <c r="K4427" s="56">
        <v>3013</v>
      </c>
      <c r="L4427" s="55" t="s">
        <v>2152</v>
      </c>
      <c r="M4427" s="55" t="s">
        <v>2824</v>
      </c>
      <c r="N4427" s="4" t="s">
        <v>1905</v>
      </c>
      <c r="O4427" s="55" t="s">
        <v>178</v>
      </c>
    </row>
    <row r="4428" spans="2:15">
      <c r="B4428" s="20">
        <v>45636</v>
      </c>
      <c r="C4428" s="59">
        <v>50145028</v>
      </c>
      <c r="D4428" s="55" t="s">
        <v>23</v>
      </c>
      <c r="G4428" s="65">
        <v>384</v>
      </c>
      <c r="H4428" s="56" t="s">
        <v>92</v>
      </c>
      <c r="I4428" s="54">
        <v>8659996563</v>
      </c>
      <c r="K4428" s="56">
        <v>3014</v>
      </c>
      <c r="L4428" s="55" t="s">
        <v>2152</v>
      </c>
      <c r="M4428" s="55" t="s">
        <v>2849</v>
      </c>
      <c r="N4428" s="4" t="s">
        <v>1905</v>
      </c>
      <c r="O4428" s="55" t="s">
        <v>178</v>
      </c>
    </row>
    <row r="4429" spans="2:15">
      <c r="B4429" s="20">
        <v>45636</v>
      </c>
      <c r="C4429" s="59">
        <v>50143893</v>
      </c>
      <c r="D4429" s="55" t="s">
        <v>24</v>
      </c>
      <c r="G4429" s="65">
        <v>1980</v>
      </c>
      <c r="H4429" s="56" t="s">
        <v>82</v>
      </c>
      <c r="I4429" s="54">
        <v>8659996563</v>
      </c>
      <c r="K4429" s="56">
        <v>3014</v>
      </c>
      <c r="L4429" s="55" t="s">
        <v>2152</v>
      </c>
      <c r="M4429" s="55" t="s">
        <v>2849</v>
      </c>
      <c r="N4429" s="4" t="s">
        <v>1905</v>
      </c>
      <c r="O4429" s="55" t="s">
        <v>178</v>
      </c>
    </row>
    <row r="4430" spans="2:15">
      <c r="B4430" s="20">
        <v>45636</v>
      </c>
      <c r="C4430" s="59">
        <v>50515034</v>
      </c>
      <c r="D4430" s="55" t="s">
        <v>41</v>
      </c>
      <c r="G4430" s="65">
        <v>115.2</v>
      </c>
      <c r="H4430" s="56" t="s">
        <v>80</v>
      </c>
      <c r="I4430" s="54">
        <v>8659996563</v>
      </c>
      <c r="K4430" s="56">
        <v>3014</v>
      </c>
      <c r="L4430" s="55" t="s">
        <v>2152</v>
      </c>
      <c r="M4430" s="55" t="s">
        <v>2849</v>
      </c>
      <c r="N4430" s="4" t="s">
        <v>1905</v>
      </c>
      <c r="O4430" s="55" t="s">
        <v>178</v>
      </c>
    </row>
    <row r="4431" spans="2:15">
      <c r="B4431" s="20">
        <v>45636</v>
      </c>
      <c r="C4431" s="59">
        <v>50834329</v>
      </c>
      <c r="D4431" s="55" t="s">
        <v>1475</v>
      </c>
      <c r="G4431" s="65">
        <v>4070.7</v>
      </c>
      <c r="H4431" s="56" t="s">
        <v>82</v>
      </c>
      <c r="I4431" s="54">
        <v>8659996563</v>
      </c>
      <c r="K4431" s="56">
        <v>3014</v>
      </c>
      <c r="L4431" s="55" t="s">
        <v>2152</v>
      </c>
      <c r="M4431" s="55" t="s">
        <v>2849</v>
      </c>
      <c r="N4431" s="4" t="s">
        <v>1905</v>
      </c>
      <c r="O4431" s="55" t="s">
        <v>178</v>
      </c>
    </row>
    <row r="4432" spans="2:15">
      <c r="B4432" s="20">
        <v>45636</v>
      </c>
      <c r="C4432" s="59">
        <v>50272278</v>
      </c>
      <c r="D4432" s="55" t="s">
        <v>21</v>
      </c>
      <c r="G4432" s="65">
        <v>2500</v>
      </c>
      <c r="H4432" s="56" t="s">
        <v>92</v>
      </c>
      <c r="I4432" s="54">
        <v>8658459356</v>
      </c>
      <c r="K4432" s="56">
        <v>3015</v>
      </c>
      <c r="L4432" s="55" t="s">
        <v>2152</v>
      </c>
      <c r="M4432" s="55" t="s">
        <v>2824</v>
      </c>
      <c r="N4432" s="4" t="s">
        <v>1905</v>
      </c>
      <c r="O4432" s="55" t="s">
        <v>178</v>
      </c>
    </row>
    <row r="4433" spans="2:15">
      <c r="B4433" s="20">
        <v>45636</v>
      </c>
      <c r="C4433" s="59">
        <v>40011780</v>
      </c>
      <c r="D4433" s="55" t="s">
        <v>584</v>
      </c>
      <c r="G4433" s="65">
        <v>900</v>
      </c>
      <c r="H4433" s="56" t="s">
        <v>80</v>
      </c>
      <c r="I4433" s="54">
        <v>8658459356</v>
      </c>
      <c r="K4433" s="56">
        <v>3015</v>
      </c>
      <c r="L4433" s="55" t="s">
        <v>2152</v>
      </c>
      <c r="M4433" s="55" t="s">
        <v>2824</v>
      </c>
      <c r="N4433" s="4" t="s">
        <v>1905</v>
      </c>
      <c r="O4433" s="55" t="s">
        <v>178</v>
      </c>
    </row>
    <row r="4434" spans="2:15">
      <c r="B4434" s="20">
        <v>45636</v>
      </c>
      <c r="C4434" s="59">
        <v>50449101</v>
      </c>
      <c r="D4434" s="55" t="s">
        <v>237</v>
      </c>
      <c r="G4434" s="65">
        <v>602917</v>
      </c>
      <c r="H4434" s="56" t="s">
        <v>92</v>
      </c>
      <c r="I4434" s="54">
        <v>8658459356</v>
      </c>
      <c r="K4434" s="56">
        <v>3015</v>
      </c>
      <c r="L4434" s="55" t="s">
        <v>2152</v>
      </c>
      <c r="M4434" s="55" t="s">
        <v>2824</v>
      </c>
      <c r="N4434" s="4" t="s">
        <v>1905</v>
      </c>
      <c r="O4434" s="55" t="s">
        <v>178</v>
      </c>
    </row>
    <row r="4435" spans="2:15">
      <c r="B4435" s="20">
        <v>45636</v>
      </c>
      <c r="C4435" s="59">
        <v>50811693</v>
      </c>
      <c r="D4435" s="55" t="s">
        <v>1269</v>
      </c>
      <c r="G4435" s="65">
        <v>640000</v>
      </c>
      <c r="H4435" s="56" t="s">
        <v>92</v>
      </c>
      <c r="I4435" s="54">
        <v>8658459356</v>
      </c>
      <c r="K4435" s="56">
        <v>3015</v>
      </c>
      <c r="L4435" s="55" t="s">
        <v>2152</v>
      </c>
      <c r="M4435" s="55" t="s">
        <v>2824</v>
      </c>
      <c r="N4435" s="4" t="s">
        <v>1905</v>
      </c>
      <c r="O4435" s="55" t="s">
        <v>178</v>
      </c>
    </row>
    <row r="4436" spans="2:15">
      <c r="B4436" s="20">
        <v>45636</v>
      </c>
      <c r="C4436" s="59">
        <v>50837509</v>
      </c>
      <c r="D4436" s="55" t="s">
        <v>14</v>
      </c>
      <c r="G4436" s="65">
        <v>2028600</v>
      </c>
      <c r="H4436" s="56" t="s">
        <v>92</v>
      </c>
      <c r="I4436" s="54">
        <v>8658459356</v>
      </c>
      <c r="K4436" s="56">
        <v>3015</v>
      </c>
      <c r="L4436" s="55" t="s">
        <v>2152</v>
      </c>
      <c r="M4436" s="55" t="s">
        <v>2824</v>
      </c>
      <c r="N4436" s="4" t="s">
        <v>1905</v>
      </c>
      <c r="O4436" s="55" t="s">
        <v>178</v>
      </c>
    </row>
    <row r="4437" spans="2:15">
      <c r="B4437" s="20">
        <v>45637</v>
      </c>
      <c r="C4437" s="59">
        <v>50144376</v>
      </c>
      <c r="D4437" s="55" t="s">
        <v>19</v>
      </c>
      <c r="G4437" s="65">
        <v>5500</v>
      </c>
      <c r="H4437" s="56" t="s">
        <v>92</v>
      </c>
      <c r="I4437" s="54">
        <v>8658961449</v>
      </c>
      <c r="K4437" s="56">
        <v>3016</v>
      </c>
      <c r="L4437" s="55" t="s">
        <v>2152</v>
      </c>
      <c r="M4437" s="55" t="s">
        <v>2824</v>
      </c>
      <c r="N4437" s="4" t="s">
        <v>1905</v>
      </c>
      <c r="O4437" s="55" t="s">
        <v>178</v>
      </c>
    </row>
    <row r="4438" spans="2:15">
      <c r="B4438" s="20">
        <v>45637</v>
      </c>
      <c r="C4438" s="59">
        <v>50272278</v>
      </c>
      <c r="D4438" s="55" t="s">
        <v>21</v>
      </c>
      <c r="G4438" s="65">
        <v>5500</v>
      </c>
      <c r="H4438" s="56" t="s">
        <v>92</v>
      </c>
      <c r="I4438" s="54">
        <v>8658961449</v>
      </c>
      <c r="K4438" s="56">
        <v>3016</v>
      </c>
      <c r="L4438" s="55" t="s">
        <v>2152</v>
      </c>
      <c r="M4438" s="55" t="s">
        <v>2824</v>
      </c>
      <c r="N4438" s="4" t="s">
        <v>1905</v>
      </c>
      <c r="O4438" s="55" t="s">
        <v>178</v>
      </c>
    </row>
    <row r="4439" spans="2:15">
      <c r="B4439" s="20">
        <v>45637</v>
      </c>
      <c r="C4439" s="59">
        <v>50144376</v>
      </c>
      <c r="D4439" s="55" t="s">
        <v>19</v>
      </c>
      <c r="G4439" s="65">
        <v>2000</v>
      </c>
      <c r="H4439" s="56" t="s">
        <v>92</v>
      </c>
      <c r="I4439" s="54">
        <v>8658962830</v>
      </c>
      <c r="K4439" s="56">
        <v>3017</v>
      </c>
      <c r="L4439" s="55" t="s">
        <v>326</v>
      </c>
      <c r="M4439" s="55" t="s">
        <v>2824</v>
      </c>
      <c r="N4439" s="4" t="s">
        <v>239</v>
      </c>
      <c r="O4439" s="55" t="s">
        <v>178</v>
      </c>
    </row>
    <row r="4440" spans="2:15">
      <c r="B4440" s="20">
        <v>45637</v>
      </c>
      <c r="C4440" s="59">
        <v>50470190</v>
      </c>
      <c r="D4440" s="55" t="s">
        <v>12</v>
      </c>
      <c r="G4440" s="65">
        <v>1738800</v>
      </c>
      <c r="H4440" s="56" t="s">
        <v>92</v>
      </c>
      <c r="I4440" s="54">
        <v>8658962830</v>
      </c>
      <c r="K4440" s="56">
        <v>3017</v>
      </c>
      <c r="L4440" s="55" t="s">
        <v>326</v>
      </c>
      <c r="M4440" s="55" t="s">
        <v>2824</v>
      </c>
      <c r="N4440" s="4" t="s">
        <v>239</v>
      </c>
      <c r="O4440" s="55" t="s">
        <v>178</v>
      </c>
    </row>
    <row r="4441" spans="2:15">
      <c r="B4441" s="20">
        <v>45637</v>
      </c>
      <c r="C4441" s="59">
        <v>50802401</v>
      </c>
      <c r="D4441" s="55" t="s">
        <v>13</v>
      </c>
      <c r="G4441" s="65">
        <v>1449000</v>
      </c>
      <c r="H4441" s="56" t="s">
        <v>92</v>
      </c>
      <c r="I4441" s="54">
        <v>8658962830</v>
      </c>
      <c r="K4441" s="56">
        <v>3017</v>
      </c>
      <c r="L4441" s="55" t="s">
        <v>326</v>
      </c>
      <c r="M4441" s="55" t="s">
        <v>2824</v>
      </c>
      <c r="N4441" s="4" t="s">
        <v>239</v>
      </c>
      <c r="O4441" s="55" t="s">
        <v>178</v>
      </c>
    </row>
    <row r="4442" spans="2:15">
      <c r="B4442" s="20">
        <v>45637</v>
      </c>
      <c r="C4442" s="59">
        <v>50820741</v>
      </c>
      <c r="D4442" s="55" t="s">
        <v>1838</v>
      </c>
      <c r="G4442" s="65">
        <v>1159200</v>
      </c>
      <c r="H4442" s="56" t="s">
        <v>92</v>
      </c>
      <c r="I4442" s="54">
        <v>8658962830</v>
      </c>
      <c r="K4442" s="56">
        <v>3017</v>
      </c>
      <c r="L4442" s="55" t="s">
        <v>326</v>
      </c>
      <c r="M4442" s="55" t="s">
        <v>2824</v>
      </c>
      <c r="N4442" s="4" t="s">
        <v>239</v>
      </c>
      <c r="O4442" s="55" t="s">
        <v>178</v>
      </c>
    </row>
    <row r="4443" spans="2:15">
      <c r="B4443" s="20">
        <v>45637</v>
      </c>
      <c r="C4443" s="59">
        <v>50793278</v>
      </c>
      <c r="D4443" s="55" t="s">
        <v>1086</v>
      </c>
      <c r="G4443" s="65">
        <v>50</v>
      </c>
      <c r="H4443" s="56" t="s">
        <v>1087</v>
      </c>
      <c r="I4443" s="54">
        <v>8659382269</v>
      </c>
      <c r="K4443" s="56">
        <v>3018</v>
      </c>
      <c r="L4443" s="55" t="s">
        <v>2601</v>
      </c>
      <c r="M4443" s="55" t="s">
        <v>2824</v>
      </c>
      <c r="N4443" s="4" t="s">
        <v>1793</v>
      </c>
      <c r="O4443" s="55" t="s">
        <v>178</v>
      </c>
    </row>
    <row r="4444" spans="2:15">
      <c r="B4444" s="20">
        <v>45637</v>
      </c>
      <c r="C4444" s="59">
        <v>50142327</v>
      </c>
      <c r="D4444" s="55" t="s">
        <v>256</v>
      </c>
      <c r="G4444" s="65">
        <v>1430.1</v>
      </c>
      <c r="H4444" s="56" t="s">
        <v>82</v>
      </c>
      <c r="I4444" s="54">
        <v>8659382269</v>
      </c>
      <c r="K4444" s="56">
        <v>3018</v>
      </c>
      <c r="L4444" s="55" t="s">
        <v>2601</v>
      </c>
      <c r="M4444" s="55" t="s">
        <v>2824</v>
      </c>
      <c r="N4444" s="4" t="s">
        <v>1793</v>
      </c>
      <c r="O4444" s="55" t="s">
        <v>178</v>
      </c>
    </row>
    <row r="4445" spans="2:15">
      <c r="B4445" s="20">
        <v>45637</v>
      </c>
      <c r="C4445" s="59">
        <v>50142334</v>
      </c>
      <c r="D4445" s="55" t="s">
        <v>257</v>
      </c>
      <c r="G4445" s="65">
        <v>1430.1</v>
      </c>
      <c r="H4445" s="56" t="s">
        <v>82</v>
      </c>
      <c r="I4445" s="54">
        <v>8659382269</v>
      </c>
      <c r="K4445" s="56">
        <v>3018</v>
      </c>
      <c r="L4445" s="55" t="s">
        <v>2601</v>
      </c>
      <c r="M4445" s="55" t="s">
        <v>2824</v>
      </c>
      <c r="N4445" s="4" t="s">
        <v>1793</v>
      </c>
      <c r="O4445" s="55" t="s">
        <v>178</v>
      </c>
    </row>
    <row r="4446" spans="2:15">
      <c r="B4446" s="20">
        <v>45637</v>
      </c>
      <c r="C4446" s="59">
        <v>50837509</v>
      </c>
      <c r="D4446" s="55" t="s">
        <v>14</v>
      </c>
      <c r="G4446" s="65">
        <v>1449000</v>
      </c>
      <c r="H4446" s="56" t="s">
        <v>92</v>
      </c>
      <c r="I4446" s="54">
        <v>8659382269</v>
      </c>
      <c r="K4446" s="56">
        <v>3018</v>
      </c>
      <c r="L4446" s="55" t="s">
        <v>2601</v>
      </c>
      <c r="M4446" s="55" t="s">
        <v>2824</v>
      </c>
      <c r="N4446" s="4" t="s">
        <v>1793</v>
      </c>
      <c r="O4446" s="55" t="s">
        <v>178</v>
      </c>
    </row>
    <row r="4447" spans="2:15">
      <c r="B4447" s="20">
        <v>45637</v>
      </c>
      <c r="C4447" s="59">
        <v>50840810</v>
      </c>
      <c r="D4447" s="55" t="s">
        <v>1910</v>
      </c>
      <c r="G4447" s="65">
        <v>2562.05</v>
      </c>
      <c r="H4447" s="56" t="s">
        <v>82</v>
      </c>
      <c r="I4447" s="54">
        <v>8659996051</v>
      </c>
      <c r="K4447" s="56">
        <v>3018</v>
      </c>
      <c r="L4447" s="55" t="s">
        <v>2601</v>
      </c>
      <c r="M4447" s="55" t="s">
        <v>2824</v>
      </c>
      <c r="N4447" s="4" t="s">
        <v>1793</v>
      </c>
      <c r="O4447" s="55" t="s">
        <v>178</v>
      </c>
    </row>
    <row r="4448" spans="2:15">
      <c r="B4448" s="20">
        <v>45638</v>
      </c>
      <c r="C4448" s="59">
        <v>50272278</v>
      </c>
      <c r="D4448" s="55" t="s">
        <v>21</v>
      </c>
      <c r="G4448" s="65">
        <v>2500</v>
      </c>
      <c r="H4448" s="56" t="s">
        <v>92</v>
      </c>
      <c r="I4448" s="54">
        <v>8659451873</v>
      </c>
      <c r="K4448" s="56">
        <v>3019</v>
      </c>
      <c r="L4448" s="55" t="s">
        <v>2152</v>
      </c>
      <c r="M4448" s="55" t="s">
        <v>2824</v>
      </c>
      <c r="N4448" s="4" t="s">
        <v>1905</v>
      </c>
      <c r="O4448" s="55" t="s">
        <v>178</v>
      </c>
    </row>
    <row r="4449" spans="2:15">
      <c r="B4449" s="20">
        <v>45638</v>
      </c>
      <c r="C4449" s="59">
        <v>50449101</v>
      </c>
      <c r="D4449" s="55" t="s">
        <v>237</v>
      </c>
      <c r="G4449" s="65">
        <v>869400</v>
      </c>
      <c r="H4449" s="56" t="s">
        <v>92</v>
      </c>
      <c r="I4449" s="54">
        <v>8659451873</v>
      </c>
      <c r="K4449" s="56">
        <v>3019</v>
      </c>
      <c r="L4449" s="55" t="s">
        <v>2152</v>
      </c>
      <c r="M4449" s="55" t="s">
        <v>2824</v>
      </c>
      <c r="N4449" s="4" t="s">
        <v>1905</v>
      </c>
      <c r="O4449" s="55" t="s">
        <v>178</v>
      </c>
    </row>
    <row r="4450" spans="2:15">
      <c r="B4450" s="20">
        <v>45638</v>
      </c>
      <c r="C4450" s="59">
        <v>50837509</v>
      </c>
      <c r="D4450" s="55" t="s">
        <v>14</v>
      </c>
      <c r="G4450" s="65">
        <v>1159200</v>
      </c>
      <c r="H4450" s="56" t="s">
        <v>92</v>
      </c>
      <c r="I4450" s="54">
        <v>8659451873</v>
      </c>
      <c r="J4450" s="56" t="s">
        <v>2978</v>
      </c>
      <c r="K4450" s="56">
        <v>3019</v>
      </c>
      <c r="L4450" s="55" t="s">
        <v>2152</v>
      </c>
      <c r="M4450" s="55" t="s">
        <v>2824</v>
      </c>
      <c r="N4450" s="4" t="s">
        <v>1905</v>
      </c>
      <c r="O4450" s="55" t="s">
        <v>178</v>
      </c>
    </row>
    <row r="4451" spans="2:15">
      <c r="B4451" s="20">
        <v>45638</v>
      </c>
      <c r="C4451" s="59">
        <v>50820741</v>
      </c>
      <c r="D4451" s="55" t="s">
        <v>1838</v>
      </c>
      <c r="G4451" s="65">
        <v>1449000</v>
      </c>
      <c r="H4451" s="56" t="s">
        <v>92</v>
      </c>
      <c r="I4451" s="54">
        <v>8659451873</v>
      </c>
      <c r="J4451" s="56" t="s">
        <v>2978</v>
      </c>
      <c r="K4451" s="56">
        <v>3019</v>
      </c>
      <c r="L4451" s="55" t="s">
        <v>2152</v>
      </c>
      <c r="M4451" s="55" t="s">
        <v>2824</v>
      </c>
      <c r="N4451" s="4" t="s">
        <v>1905</v>
      </c>
      <c r="O4451" s="55" t="s">
        <v>178</v>
      </c>
    </row>
    <row r="4452" spans="2:15">
      <c r="B4452" s="20">
        <v>45638</v>
      </c>
      <c r="C4452" s="59">
        <v>50010080</v>
      </c>
      <c r="D4452" s="55" t="s">
        <v>1657</v>
      </c>
      <c r="G4452" s="65">
        <v>2000</v>
      </c>
      <c r="H4452" s="56" t="s">
        <v>82</v>
      </c>
      <c r="I4452" s="54">
        <v>8659489624</v>
      </c>
      <c r="J4452" s="56" t="s">
        <v>2978</v>
      </c>
      <c r="K4452" s="56">
        <v>3020</v>
      </c>
      <c r="L4452" s="55" t="s">
        <v>2152</v>
      </c>
      <c r="M4452" s="55" t="s">
        <v>2824</v>
      </c>
      <c r="N4452" s="4" t="s">
        <v>1905</v>
      </c>
      <c r="O4452" s="55" t="s">
        <v>178</v>
      </c>
    </row>
    <row r="4453" spans="2:15">
      <c r="B4453" s="20">
        <v>45638</v>
      </c>
      <c r="C4453" s="59">
        <v>50142330</v>
      </c>
      <c r="D4453" s="55" t="s">
        <v>195</v>
      </c>
      <c r="G4453" s="65">
        <v>900</v>
      </c>
      <c r="H4453" s="56" t="s">
        <v>82</v>
      </c>
      <c r="I4453" s="54">
        <v>8659489624</v>
      </c>
      <c r="J4453" s="56" t="s">
        <v>2978</v>
      </c>
      <c r="K4453" s="56">
        <v>3020</v>
      </c>
      <c r="L4453" s="55" t="s">
        <v>2152</v>
      </c>
      <c r="M4453" s="55" t="s">
        <v>2824</v>
      </c>
      <c r="N4453" s="4" t="s">
        <v>1905</v>
      </c>
      <c r="O4453" s="55" t="s">
        <v>178</v>
      </c>
    </row>
    <row r="4454" spans="2:15">
      <c r="B4454" s="20">
        <v>45638</v>
      </c>
      <c r="C4454" s="59">
        <v>40011133</v>
      </c>
      <c r="D4454" s="55" t="s">
        <v>634</v>
      </c>
      <c r="G4454" s="65">
        <v>1728</v>
      </c>
      <c r="H4454" s="56" t="s">
        <v>80</v>
      </c>
      <c r="I4454" s="54">
        <v>8659489624</v>
      </c>
      <c r="J4454" s="56" t="s">
        <v>2978</v>
      </c>
      <c r="K4454" s="56">
        <v>3020</v>
      </c>
      <c r="L4454" s="55" t="s">
        <v>2152</v>
      </c>
      <c r="M4454" s="55" t="s">
        <v>2824</v>
      </c>
      <c r="N4454" s="4" t="s">
        <v>1905</v>
      </c>
      <c r="O4454" s="55" t="s">
        <v>178</v>
      </c>
    </row>
    <row r="4455" spans="2:15">
      <c r="B4455" s="20">
        <v>45638</v>
      </c>
      <c r="C4455" s="59">
        <v>50272278</v>
      </c>
      <c r="D4455" s="55" t="s">
        <v>21</v>
      </c>
      <c r="G4455" s="65">
        <v>3000</v>
      </c>
      <c r="H4455" s="56" t="s">
        <v>92</v>
      </c>
      <c r="I4455" s="54">
        <v>8659489624</v>
      </c>
      <c r="J4455" s="56" t="s">
        <v>2978</v>
      </c>
      <c r="K4455" s="56">
        <v>3020</v>
      </c>
      <c r="L4455" s="55" t="s">
        <v>2152</v>
      </c>
      <c r="M4455" s="55" t="s">
        <v>2824</v>
      </c>
      <c r="N4455" s="4" t="s">
        <v>1905</v>
      </c>
      <c r="O4455" s="55" t="s">
        <v>178</v>
      </c>
    </row>
    <row r="4456" spans="2:15">
      <c r="B4456" s="20">
        <v>45638</v>
      </c>
      <c r="C4456" s="59">
        <v>40009543</v>
      </c>
      <c r="D4456" s="55" t="s">
        <v>473</v>
      </c>
      <c r="G4456" s="65">
        <v>1920</v>
      </c>
      <c r="H4456" s="56" t="s">
        <v>80</v>
      </c>
      <c r="I4456" s="54">
        <v>8659489624</v>
      </c>
      <c r="J4456" s="56" t="s">
        <v>2978</v>
      </c>
      <c r="K4456" s="56">
        <v>3020</v>
      </c>
      <c r="L4456" s="55" t="s">
        <v>2152</v>
      </c>
      <c r="M4456" s="55" t="s">
        <v>2824</v>
      </c>
      <c r="N4456" s="4" t="s">
        <v>1905</v>
      </c>
      <c r="O4456" s="55" t="s">
        <v>178</v>
      </c>
    </row>
    <row r="4457" spans="2:15">
      <c r="B4457" s="20">
        <v>45638</v>
      </c>
      <c r="C4457" s="59">
        <v>40011588</v>
      </c>
      <c r="D4457" s="55" t="s">
        <v>585</v>
      </c>
      <c r="G4457" s="65">
        <v>900</v>
      </c>
      <c r="H4457" s="56" t="s">
        <v>80</v>
      </c>
      <c r="I4457" s="54">
        <v>8659489624</v>
      </c>
      <c r="J4457" s="56" t="s">
        <v>2978</v>
      </c>
      <c r="K4457" s="56">
        <v>3020</v>
      </c>
      <c r="L4457" s="55" t="s">
        <v>2152</v>
      </c>
      <c r="M4457" s="55" t="s">
        <v>2824</v>
      </c>
      <c r="N4457" s="4" t="s">
        <v>1905</v>
      </c>
      <c r="O4457" s="55" t="s">
        <v>178</v>
      </c>
    </row>
    <row r="4458" spans="2:15">
      <c r="B4458" s="20">
        <v>45638</v>
      </c>
      <c r="C4458" s="59">
        <v>50142350</v>
      </c>
      <c r="D4458" s="55" t="s">
        <v>212</v>
      </c>
      <c r="G4458" s="65">
        <v>1977.5</v>
      </c>
      <c r="H4458" s="56" t="s">
        <v>82</v>
      </c>
      <c r="I4458" s="54">
        <v>8659489624</v>
      </c>
      <c r="J4458" s="56" t="s">
        <v>2978</v>
      </c>
      <c r="K4458" s="56">
        <v>3020</v>
      </c>
      <c r="L4458" s="55" t="s">
        <v>2152</v>
      </c>
      <c r="M4458" s="55" t="s">
        <v>2824</v>
      </c>
      <c r="N4458" s="4" t="s">
        <v>1905</v>
      </c>
      <c r="O4458" s="55" t="s">
        <v>178</v>
      </c>
    </row>
    <row r="4459" spans="2:15">
      <c r="B4459" s="20">
        <v>45638</v>
      </c>
      <c r="C4459" s="59">
        <v>50142327</v>
      </c>
      <c r="D4459" s="55" t="s">
        <v>256</v>
      </c>
      <c r="G4459" s="65">
        <v>476.7</v>
      </c>
      <c r="H4459" s="56" t="s">
        <v>82</v>
      </c>
      <c r="I4459" s="54">
        <v>8659489624</v>
      </c>
      <c r="J4459" s="56" t="s">
        <v>2978</v>
      </c>
      <c r="K4459" s="56">
        <v>3020</v>
      </c>
      <c r="L4459" s="55" t="s">
        <v>2152</v>
      </c>
      <c r="M4459" s="55" t="s">
        <v>2824</v>
      </c>
      <c r="N4459" s="4" t="s">
        <v>1905</v>
      </c>
      <c r="O4459" s="55" t="s">
        <v>178</v>
      </c>
    </row>
    <row r="4460" spans="2:15">
      <c r="B4460" s="20">
        <v>45638</v>
      </c>
      <c r="C4460" s="59">
        <v>50811693</v>
      </c>
      <c r="D4460" s="55" t="s">
        <v>1269</v>
      </c>
      <c r="G4460" s="65">
        <v>500000</v>
      </c>
      <c r="H4460" s="56" t="s">
        <v>92</v>
      </c>
      <c r="I4460" s="54">
        <v>8659489624</v>
      </c>
      <c r="J4460" s="56" t="s">
        <v>2978</v>
      </c>
      <c r="K4460" s="56">
        <v>3020</v>
      </c>
      <c r="L4460" s="55" t="s">
        <v>2152</v>
      </c>
      <c r="M4460" s="55" t="s">
        <v>2824</v>
      </c>
      <c r="N4460" s="4" t="s">
        <v>1905</v>
      </c>
      <c r="O4460" s="55" t="s">
        <v>178</v>
      </c>
    </row>
    <row r="4461" spans="2:15">
      <c r="B4461" s="20">
        <v>45638</v>
      </c>
      <c r="C4461" s="59">
        <v>50144376</v>
      </c>
      <c r="D4461" s="55" t="s">
        <v>19</v>
      </c>
      <c r="G4461" s="65">
        <v>4000</v>
      </c>
      <c r="H4461" s="56" t="s">
        <v>92</v>
      </c>
      <c r="I4461" s="54">
        <v>8659491228</v>
      </c>
      <c r="J4461" s="56" t="s">
        <v>2978</v>
      </c>
      <c r="K4461" s="56">
        <v>3021</v>
      </c>
      <c r="L4461" s="55" t="s">
        <v>2152</v>
      </c>
      <c r="M4461" s="55" t="s">
        <v>2824</v>
      </c>
      <c r="N4461" s="4" t="s">
        <v>1905</v>
      </c>
      <c r="O4461" s="55" t="s">
        <v>178</v>
      </c>
    </row>
    <row r="4462" spans="2:15">
      <c r="B4462" s="20">
        <v>45638</v>
      </c>
      <c r="C4462" s="59">
        <v>50272278</v>
      </c>
      <c r="D4462" s="55" t="s">
        <v>21</v>
      </c>
      <c r="G4462" s="65">
        <v>7000</v>
      </c>
      <c r="H4462" s="56" t="s">
        <v>92</v>
      </c>
      <c r="I4462" s="54">
        <v>8659491228</v>
      </c>
      <c r="J4462" s="56" t="s">
        <v>2978</v>
      </c>
      <c r="K4462" s="56">
        <v>3021</v>
      </c>
      <c r="L4462" s="55" t="s">
        <v>2152</v>
      </c>
      <c r="M4462" s="55" t="s">
        <v>2824</v>
      </c>
      <c r="N4462" s="4" t="s">
        <v>1905</v>
      </c>
      <c r="O4462" s="55" t="s">
        <v>178</v>
      </c>
    </row>
    <row r="4463" spans="2:15">
      <c r="B4463" s="20">
        <v>45638</v>
      </c>
      <c r="C4463" s="59">
        <v>50449101</v>
      </c>
      <c r="D4463" s="55" t="s">
        <v>237</v>
      </c>
      <c r="G4463" s="65">
        <v>2898800</v>
      </c>
      <c r="H4463" s="56" t="s">
        <v>92</v>
      </c>
      <c r="I4463" s="54">
        <v>8660974013</v>
      </c>
      <c r="J4463" s="56" t="s">
        <v>2978</v>
      </c>
      <c r="K4463" s="56">
        <v>3022</v>
      </c>
      <c r="L4463" s="55" t="s">
        <v>2152</v>
      </c>
      <c r="M4463" s="55" t="s">
        <v>2824</v>
      </c>
      <c r="N4463" s="4" t="s">
        <v>1905</v>
      </c>
      <c r="O4463" s="55" t="s">
        <v>178</v>
      </c>
    </row>
    <row r="4464" spans="2:15">
      <c r="B4464" s="20">
        <v>45638</v>
      </c>
      <c r="C4464" s="59">
        <v>50837509</v>
      </c>
      <c r="D4464" s="55" t="s">
        <v>14</v>
      </c>
      <c r="G4464" s="65">
        <v>579600</v>
      </c>
      <c r="H4464" s="56" t="s">
        <v>92</v>
      </c>
      <c r="I4464" s="54">
        <v>8659993004</v>
      </c>
      <c r="J4464" s="56" t="s">
        <v>2978</v>
      </c>
      <c r="K4464" s="56">
        <v>3022</v>
      </c>
      <c r="L4464" s="55" t="s">
        <v>2152</v>
      </c>
      <c r="M4464" s="55" t="s">
        <v>2824</v>
      </c>
      <c r="N4464" s="4" t="s">
        <v>1905</v>
      </c>
      <c r="O4464" s="55" t="s">
        <v>178</v>
      </c>
    </row>
    <row r="4465" spans="2:15">
      <c r="B4465" s="20">
        <v>45638</v>
      </c>
      <c r="C4465" s="59">
        <v>50820741</v>
      </c>
      <c r="D4465" s="55" t="s">
        <v>1838</v>
      </c>
      <c r="G4465" s="65">
        <v>1738800</v>
      </c>
      <c r="H4465" s="56" t="s">
        <v>92</v>
      </c>
      <c r="I4465" s="54">
        <v>8659993004</v>
      </c>
      <c r="J4465" s="56" t="s">
        <v>2978</v>
      </c>
      <c r="K4465" s="56">
        <v>3022</v>
      </c>
      <c r="L4465" s="55" t="s">
        <v>2152</v>
      </c>
      <c r="M4465" s="55" t="s">
        <v>2824</v>
      </c>
      <c r="N4465" s="4" t="s">
        <v>1905</v>
      </c>
      <c r="O4465" s="55" t="s">
        <v>178</v>
      </c>
    </row>
    <row r="4466" spans="2:15">
      <c r="B4466" s="20">
        <v>45639</v>
      </c>
      <c r="C4466" s="59">
        <v>50272278</v>
      </c>
      <c r="D4466" s="55" t="s">
        <v>21</v>
      </c>
      <c r="G4466" s="65">
        <v>7500</v>
      </c>
      <c r="H4466" s="56" t="s">
        <v>92</v>
      </c>
      <c r="I4466" s="54">
        <v>8659996459</v>
      </c>
      <c r="J4466" s="56" t="s">
        <v>2978</v>
      </c>
      <c r="K4466" s="56">
        <v>3023</v>
      </c>
      <c r="L4466" s="55" t="s">
        <v>2152</v>
      </c>
      <c r="M4466" s="55" t="s">
        <v>2824</v>
      </c>
      <c r="N4466" s="4" t="s">
        <v>1905</v>
      </c>
      <c r="O4466" s="55" t="s">
        <v>178</v>
      </c>
    </row>
    <row r="4467" spans="2:15">
      <c r="B4467" s="20">
        <v>45639</v>
      </c>
      <c r="C4467" s="59">
        <v>40007941</v>
      </c>
      <c r="D4467" s="55" t="s">
        <v>211</v>
      </c>
      <c r="G4467" s="65">
        <v>2592</v>
      </c>
      <c r="H4467" s="56" t="s">
        <v>80</v>
      </c>
      <c r="I4467" s="54" t="s">
        <v>2874</v>
      </c>
      <c r="J4467" s="56" t="s">
        <v>2978</v>
      </c>
      <c r="K4467" s="56">
        <v>3023</v>
      </c>
      <c r="L4467" s="55" t="s">
        <v>2152</v>
      </c>
      <c r="M4467" s="55" t="s">
        <v>2824</v>
      </c>
      <c r="N4467" s="4" t="s">
        <v>1905</v>
      </c>
      <c r="O4467" s="55" t="s">
        <v>178</v>
      </c>
    </row>
    <row r="4468" spans="2:15">
      <c r="B4468" s="20">
        <v>45639</v>
      </c>
      <c r="C4468" s="59">
        <v>50392045</v>
      </c>
      <c r="D4468" s="55" t="s">
        <v>707</v>
      </c>
      <c r="G4468" s="65">
        <v>12</v>
      </c>
      <c r="H4468" s="56" t="s">
        <v>505</v>
      </c>
      <c r="I4468" s="54">
        <v>8659996459</v>
      </c>
      <c r="J4468" s="56" t="s">
        <v>2978</v>
      </c>
      <c r="K4468" s="56">
        <v>3023</v>
      </c>
      <c r="L4468" s="55" t="s">
        <v>2152</v>
      </c>
      <c r="M4468" s="55" t="s">
        <v>2824</v>
      </c>
      <c r="N4468" s="4" t="s">
        <v>1905</v>
      </c>
      <c r="O4468" s="55" t="s">
        <v>178</v>
      </c>
    </row>
    <row r="4469" spans="2:15">
      <c r="B4469" s="20">
        <v>45639</v>
      </c>
      <c r="C4469" s="59">
        <v>50840365</v>
      </c>
      <c r="D4469" s="55" t="s">
        <v>1886</v>
      </c>
      <c r="G4469" s="65">
        <v>2046.3</v>
      </c>
      <c r="H4469" s="56" t="s">
        <v>82</v>
      </c>
      <c r="I4469" s="54">
        <v>8659996459</v>
      </c>
      <c r="J4469" s="56" t="s">
        <v>2978</v>
      </c>
      <c r="K4469" s="56">
        <v>3023</v>
      </c>
      <c r="L4469" s="55" t="s">
        <v>2152</v>
      </c>
      <c r="M4469" s="55" t="s">
        <v>2824</v>
      </c>
      <c r="N4469" s="4" t="s">
        <v>1905</v>
      </c>
      <c r="O4469" s="55" t="s">
        <v>178</v>
      </c>
    </row>
    <row r="4470" spans="2:15">
      <c r="B4470" s="20">
        <v>45639</v>
      </c>
      <c r="C4470" s="59">
        <v>50501117</v>
      </c>
      <c r="D4470" s="55" t="s">
        <v>1541</v>
      </c>
      <c r="G4470" s="122">
        <v>52.416</v>
      </c>
      <c r="H4470" s="56" t="s">
        <v>1248</v>
      </c>
      <c r="I4470" s="54" t="s">
        <v>2874</v>
      </c>
      <c r="J4470" s="56" t="s">
        <v>2978</v>
      </c>
      <c r="K4470" s="56">
        <v>3024</v>
      </c>
      <c r="L4470" s="55" t="s">
        <v>2152</v>
      </c>
      <c r="M4470" s="55" t="s">
        <v>392</v>
      </c>
      <c r="N4470" s="4" t="s">
        <v>1905</v>
      </c>
      <c r="O4470" s="55" t="s">
        <v>178</v>
      </c>
    </row>
    <row r="4471" spans="2:15">
      <c r="B4471" s="20">
        <v>45642</v>
      </c>
      <c r="C4471" s="59">
        <v>50272278</v>
      </c>
      <c r="D4471" s="55" t="s">
        <v>21</v>
      </c>
      <c r="G4471" s="65">
        <v>1500</v>
      </c>
      <c r="H4471" s="56" t="s">
        <v>92</v>
      </c>
      <c r="I4471" s="54">
        <v>8660974708</v>
      </c>
      <c r="J4471" s="56" t="s">
        <v>2978</v>
      </c>
      <c r="K4471" s="56">
        <v>3025</v>
      </c>
      <c r="L4471" s="55" t="s">
        <v>2152</v>
      </c>
      <c r="M4471" s="55" t="s">
        <v>2824</v>
      </c>
      <c r="N4471" s="4" t="s">
        <v>1905</v>
      </c>
      <c r="O4471" s="55" t="s">
        <v>178</v>
      </c>
    </row>
    <row r="4472" spans="2:15">
      <c r="B4472" s="20">
        <v>45642</v>
      </c>
      <c r="C4472" s="59">
        <v>40007941</v>
      </c>
      <c r="D4472" s="55" t="s">
        <v>211</v>
      </c>
      <c r="G4472" s="65">
        <v>3596</v>
      </c>
      <c r="H4472" s="56" t="s">
        <v>80</v>
      </c>
      <c r="I4472" s="54" t="s">
        <v>2874</v>
      </c>
      <c r="J4472" s="56" t="s">
        <v>2978</v>
      </c>
      <c r="K4472" s="56">
        <v>3025</v>
      </c>
      <c r="L4472" s="55" t="s">
        <v>2152</v>
      </c>
      <c r="M4472" s="55" t="s">
        <v>2824</v>
      </c>
      <c r="N4472" s="4" t="s">
        <v>1905</v>
      </c>
      <c r="O4472" s="55" t="s">
        <v>178</v>
      </c>
    </row>
    <row r="4473" spans="2:15">
      <c r="B4473" s="20">
        <v>45642</v>
      </c>
      <c r="C4473" s="59">
        <v>50141533</v>
      </c>
      <c r="D4473" s="55" t="s">
        <v>494</v>
      </c>
      <c r="G4473" s="65">
        <v>3750</v>
      </c>
      <c r="H4473" s="56" t="s">
        <v>82</v>
      </c>
      <c r="I4473" s="54">
        <v>8660974708</v>
      </c>
      <c r="J4473" s="56" t="s">
        <v>2978</v>
      </c>
      <c r="K4473" s="56">
        <v>3025</v>
      </c>
      <c r="L4473" s="55" t="s">
        <v>2152</v>
      </c>
      <c r="M4473" s="55" t="s">
        <v>2824</v>
      </c>
      <c r="N4473" s="4" t="s">
        <v>1905</v>
      </c>
      <c r="O4473" s="55" t="s">
        <v>178</v>
      </c>
    </row>
    <row r="4474" spans="2:15">
      <c r="B4474" s="20">
        <v>45642</v>
      </c>
      <c r="C4474" s="59">
        <v>50470190</v>
      </c>
      <c r="D4474" s="55" t="s">
        <v>12</v>
      </c>
      <c r="G4474" s="65">
        <v>579600</v>
      </c>
      <c r="H4474" s="56" t="s">
        <v>92</v>
      </c>
      <c r="I4474" s="54">
        <v>8660974708</v>
      </c>
      <c r="J4474" s="56" t="s">
        <v>2978</v>
      </c>
      <c r="K4474" s="56">
        <v>3025</v>
      </c>
      <c r="L4474" s="55" t="s">
        <v>2152</v>
      </c>
      <c r="M4474" s="55" t="s">
        <v>2824</v>
      </c>
      <c r="N4474" s="4" t="s">
        <v>1905</v>
      </c>
      <c r="O4474" s="55" t="s">
        <v>178</v>
      </c>
    </row>
    <row r="4475" spans="2:15">
      <c r="B4475" s="20">
        <v>45642</v>
      </c>
      <c r="C4475" s="59">
        <v>50470190</v>
      </c>
      <c r="D4475" s="55" t="s">
        <v>12</v>
      </c>
      <c r="G4475" s="65">
        <v>2318400</v>
      </c>
      <c r="H4475" s="56" t="s">
        <v>92</v>
      </c>
      <c r="I4475" s="54">
        <v>8661450520</v>
      </c>
      <c r="J4475" s="56" t="s">
        <v>2978</v>
      </c>
      <c r="K4475" s="56">
        <v>3025</v>
      </c>
      <c r="L4475" s="55" t="s">
        <v>2152</v>
      </c>
      <c r="M4475" s="55" t="s">
        <v>2824</v>
      </c>
      <c r="N4475" s="4" t="s">
        <v>1905</v>
      </c>
      <c r="O4475" s="55" t="s">
        <v>178</v>
      </c>
    </row>
    <row r="4476" spans="2:15">
      <c r="B4476" s="20">
        <v>45643</v>
      </c>
      <c r="C4476" s="59">
        <v>50272278</v>
      </c>
      <c r="D4476" s="55" t="s">
        <v>21</v>
      </c>
      <c r="G4476" s="65">
        <v>11000</v>
      </c>
      <c r="H4476" s="56" t="s">
        <v>82</v>
      </c>
      <c r="I4476" s="54">
        <v>8661411015</v>
      </c>
      <c r="J4476" s="56" t="s">
        <v>2978</v>
      </c>
      <c r="K4476" s="56">
        <v>3026</v>
      </c>
      <c r="L4476" s="55" t="s">
        <v>2152</v>
      </c>
      <c r="M4476" s="55" t="s">
        <v>2824</v>
      </c>
      <c r="N4476" s="4" t="s">
        <v>1905</v>
      </c>
      <c r="O4476" s="55" t="s">
        <v>178</v>
      </c>
    </row>
    <row r="4477" spans="2:15">
      <c r="B4477" s="20">
        <v>45643</v>
      </c>
      <c r="C4477" s="59">
        <v>50809353</v>
      </c>
      <c r="D4477" s="55" t="s">
        <v>905</v>
      </c>
      <c r="G4477" s="65">
        <v>6600</v>
      </c>
      <c r="H4477" s="56" t="s">
        <v>82</v>
      </c>
      <c r="I4477" s="54">
        <v>8661445319</v>
      </c>
      <c r="J4477" s="56" t="s">
        <v>2978</v>
      </c>
      <c r="K4477" s="56">
        <v>3027</v>
      </c>
      <c r="L4477" s="55" t="s">
        <v>2152</v>
      </c>
      <c r="M4477" s="55" t="s">
        <v>2824</v>
      </c>
      <c r="N4477" s="4" t="s">
        <v>1905</v>
      </c>
      <c r="O4477" s="55" t="s">
        <v>178</v>
      </c>
    </row>
    <row r="4478" spans="2:15">
      <c r="B4478" s="20">
        <v>45643</v>
      </c>
      <c r="C4478" s="59">
        <v>40009546</v>
      </c>
      <c r="D4478" s="55" t="s">
        <v>174</v>
      </c>
      <c r="G4478" s="65">
        <v>3438</v>
      </c>
      <c r="H4478" s="56" t="s">
        <v>80</v>
      </c>
      <c r="I4478" s="54">
        <v>8661445319</v>
      </c>
      <c r="J4478" s="56" t="s">
        <v>2978</v>
      </c>
      <c r="K4478" s="56">
        <v>3027</v>
      </c>
      <c r="L4478" s="55" t="s">
        <v>2152</v>
      </c>
      <c r="M4478" s="55" t="s">
        <v>2824</v>
      </c>
      <c r="N4478" s="4" t="s">
        <v>1905</v>
      </c>
      <c r="O4478" s="55" t="s">
        <v>178</v>
      </c>
    </row>
    <row r="4479" spans="2:15">
      <c r="B4479" s="20">
        <v>45643</v>
      </c>
      <c r="C4479" s="59">
        <v>50824293</v>
      </c>
      <c r="D4479" s="55" t="s">
        <v>861</v>
      </c>
      <c r="G4479" s="65">
        <v>1392000</v>
      </c>
      <c r="H4479" s="56" t="s">
        <v>92</v>
      </c>
      <c r="I4479" s="54">
        <v>8661445319</v>
      </c>
      <c r="J4479" s="56" t="s">
        <v>2978</v>
      </c>
      <c r="K4479" s="56">
        <v>3027</v>
      </c>
      <c r="L4479" s="55" t="s">
        <v>2152</v>
      </c>
      <c r="M4479" s="55" t="s">
        <v>2824</v>
      </c>
      <c r="N4479" s="4" t="s">
        <v>1905</v>
      </c>
      <c r="O4479" s="55" t="s">
        <v>178</v>
      </c>
    </row>
    <row r="4480" spans="2:15">
      <c r="B4480" s="20">
        <v>45643</v>
      </c>
      <c r="C4480" s="59">
        <v>50840366</v>
      </c>
      <c r="D4480" s="55" t="s">
        <v>1920</v>
      </c>
      <c r="G4480" s="65">
        <v>3046.7</v>
      </c>
      <c r="H4480" s="56" t="s">
        <v>82</v>
      </c>
      <c r="I4480" s="54">
        <v>8661445319</v>
      </c>
      <c r="J4480" s="56" t="s">
        <v>2978</v>
      </c>
      <c r="K4480" s="56">
        <v>3027</v>
      </c>
      <c r="L4480" s="55" t="s">
        <v>2152</v>
      </c>
      <c r="M4480" s="55" t="s">
        <v>2824</v>
      </c>
      <c r="N4480" s="4" t="s">
        <v>1905</v>
      </c>
      <c r="O4480" s="55" t="s">
        <v>178</v>
      </c>
    </row>
    <row r="4481" spans="2:15">
      <c r="B4481" s="20">
        <v>45643</v>
      </c>
      <c r="C4481" s="59">
        <v>50010080</v>
      </c>
      <c r="D4481" s="55" t="s">
        <v>1657</v>
      </c>
      <c r="G4481" s="65">
        <v>2000</v>
      </c>
      <c r="H4481" s="56" t="s">
        <v>82</v>
      </c>
      <c r="I4481" s="54">
        <v>8661449356</v>
      </c>
      <c r="J4481" s="56" t="s">
        <v>2978</v>
      </c>
      <c r="K4481" s="56">
        <v>3028</v>
      </c>
      <c r="L4481" s="55" t="s">
        <v>2152</v>
      </c>
      <c r="M4481" s="55" t="s">
        <v>2824</v>
      </c>
      <c r="N4481" s="4" t="s">
        <v>1905</v>
      </c>
      <c r="O4481" s="55" t="s">
        <v>178</v>
      </c>
    </row>
    <row r="4482" spans="2:15">
      <c r="B4482" s="20">
        <v>45643</v>
      </c>
      <c r="C4482" s="59">
        <v>50272278</v>
      </c>
      <c r="D4482" s="55" t="s">
        <v>21</v>
      </c>
      <c r="G4482" s="65">
        <v>3000</v>
      </c>
      <c r="H4482" s="56" t="s">
        <v>92</v>
      </c>
      <c r="I4482" s="54">
        <v>8661449356</v>
      </c>
      <c r="J4482" s="56" t="s">
        <v>2978</v>
      </c>
      <c r="K4482" s="56">
        <v>3028</v>
      </c>
      <c r="L4482" s="55" t="s">
        <v>2152</v>
      </c>
      <c r="M4482" s="55" t="s">
        <v>2824</v>
      </c>
      <c r="N4482" s="4" t="s">
        <v>1905</v>
      </c>
      <c r="O4482" s="55" t="s">
        <v>178</v>
      </c>
    </row>
    <row r="4483" spans="2:15">
      <c r="B4483" s="20">
        <v>45643</v>
      </c>
      <c r="C4483" s="59">
        <v>40011149</v>
      </c>
      <c r="D4483" s="55" t="s">
        <v>37</v>
      </c>
      <c r="G4483" s="65">
        <v>720</v>
      </c>
      <c r="H4483" s="56" t="s">
        <v>80</v>
      </c>
      <c r="I4483" s="54">
        <v>8661449356</v>
      </c>
      <c r="J4483" s="56" t="s">
        <v>2978</v>
      </c>
      <c r="K4483" s="56">
        <v>3028</v>
      </c>
      <c r="L4483" s="55" t="s">
        <v>2152</v>
      </c>
      <c r="M4483" s="55" t="s">
        <v>2824</v>
      </c>
      <c r="N4483" s="4" t="s">
        <v>1905</v>
      </c>
      <c r="O4483" s="55" t="s">
        <v>178</v>
      </c>
    </row>
    <row r="4484" spans="2:15">
      <c r="B4484" s="20">
        <v>45643</v>
      </c>
      <c r="C4484" s="59">
        <v>50449101</v>
      </c>
      <c r="D4484" s="55" t="s">
        <v>237</v>
      </c>
      <c r="G4484" s="65">
        <v>289800</v>
      </c>
      <c r="H4484" s="56" t="s">
        <v>92</v>
      </c>
      <c r="I4484" s="54">
        <v>8661449356</v>
      </c>
      <c r="J4484" s="56" t="s">
        <v>2978</v>
      </c>
      <c r="K4484" s="56">
        <v>3028</v>
      </c>
      <c r="L4484" s="55" t="s">
        <v>2152</v>
      </c>
      <c r="M4484" s="55" t="s">
        <v>2824</v>
      </c>
      <c r="N4484" s="4" t="s">
        <v>1905</v>
      </c>
      <c r="O4484" s="55" t="s">
        <v>178</v>
      </c>
    </row>
    <row r="4485" spans="2:15">
      <c r="B4485" s="20">
        <v>45643</v>
      </c>
      <c r="C4485" s="59">
        <v>50142327</v>
      </c>
      <c r="D4485" s="55" t="s">
        <v>256</v>
      </c>
      <c r="G4485" s="65">
        <v>953.4</v>
      </c>
      <c r="H4485" s="56" t="s">
        <v>82</v>
      </c>
      <c r="I4485" s="54">
        <v>8661449356</v>
      </c>
      <c r="J4485" s="56" t="s">
        <v>2978</v>
      </c>
      <c r="K4485" s="56">
        <v>3028</v>
      </c>
      <c r="L4485" s="55" t="s">
        <v>2152</v>
      </c>
      <c r="M4485" s="55" t="s">
        <v>2824</v>
      </c>
      <c r="N4485" s="4" t="s">
        <v>1905</v>
      </c>
      <c r="O4485" s="55" t="s">
        <v>178</v>
      </c>
    </row>
    <row r="4486" spans="2:15">
      <c r="B4486" s="20">
        <v>45643</v>
      </c>
      <c r="C4486" s="59">
        <v>50142334</v>
      </c>
      <c r="D4486" s="55" t="s">
        <v>257</v>
      </c>
      <c r="G4486" s="65">
        <v>953.4</v>
      </c>
      <c r="H4486" s="56" t="s">
        <v>82</v>
      </c>
      <c r="I4486" s="54">
        <v>8661449356</v>
      </c>
      <c r="J4486" s="56" t="s">
        <v>2978</v>
      </c>
      <c r="K4486" s="56">
        <v>3028</v>
      </c>
      <c r="L4486" s="55" t="s">
        <v>2152</v>
      </c>
      <c r="M4486" s="55" t="s">
        <v>2824</v>
      </c>
      <c r="N4486" s="4" t="s">
        <v>1905</v>
      </c>
      <c r="O4486" s="55" t="s">
        <v>178</v>
      </c>
    </row>
    <row r="4487" spans="2:15">
      <c r="B4487" s="20">
        <v>45643</v>
      </c>
      <c r="C4487" s="59">
        <v>50820741</v>
      </c>
      <c r="D4487" s="55" t="s">
        <v>1114</v>
      </c>
      <c r="G4487" s="65">
        <v>1449000</v>
      </c>
      <c r="H4487" s="56" t="s">
        <v>92</v>
      </c>
      <c r="I4487" s="54">
        <v>8661449356</v>
      </c>
      <c r="J4487" s="56" t="s">
        <v>2978</v>
      </c>
      <c r="K4487" s="56">
        <v>3028</v>
      </c>
      <c r="L4487" s="55" t="s">
        <v>2152</v>
      </c>
      <c r="M4487" s="55" t="s">
        <v>2824</v>
      </c>
      <c r="N4487" s="4" t="s">
        <v>1905</v>
      </c>
      <c r="O4487" s="55" t="s">
        <v>178</v>
      </c>
    </row>
    <row r="4488" spans="2:15">
      <c r="B4488" s="20">
        <v>45644</v>
      </c>
      <c r="C4488" s="59">
        <v>50144376</v>
      </c>
      <c r="D4488" s="55" t="s">
        <v>19</v>
      </c>
      <c r="G4488" s="65">
        <v>4800</v>
      </c>
      <c r="H4488" s="56" t="s">
        <v>92</v>
      </c>
      <c r="I4488" s="54">
        <v>8661925627</v>
      </c>
      <c r="J4488" s="56" t="s">
        <v>2978</v>
      </c>
      <c r="K4488" s="56">
        <v>3029</v>
      </c>
      <c r="L4488" s="55" t="s">
        <v>2152</v>
      </c>
      <c r="M4488" s="55" t="s">
        <v>2824</v>
      </c>
      <c r="N4488" s="4" t="s">
        <v>1905</v>
      </c>
      <c r="O4488" s="55" t="s">
        <v>178</v>
      </c>
    </row>
    <row r="4489" spans="2:15">
      <c r="B4489" s="20">
        <v>45644</v>
      </c>
      <c r="C4489" s="59">
        <v>50470190</v>
      </c>
      <c r="D4489" s="55" t="s">
        <v>12</v>
      </c>
      <c r="G4489" s="65">
        <v>3477600</v>
      </c>
      <c r="H4489" s="56" t="s">
        <v>92</v>
      </c>
      <c r="I4489" s="54">
        <v>8661925627</v>
      </c>
      <c r="J4489" s="56" t="s">
        <v>2978</v>
      </c>
      <c r="K4489" s="56">
        <v>3029</v>
      </c>
      <c r="L4489" s="55" t="s">
        <v>2152</v>
      </c>
      <c r="M4489" s="55" t="s">
        <v>2824</v>
      </c>
      <c r="N4489" s="4" t="s">
        <v>1905</v>
      </c>
      <c r="O4489" s="55" t="s">
        <v>178</v>
      </c>
    </row>
    <row r="4490" spans="2:15">
      <c r="B4490" s="20">
        <v>45644</v>
      </c>
      <c r="C4490" s="59">
        <v>50144376</v>
      </c>
      <c r="D4490" s="55" t="s">
        <v>19</v>
      </c>
      <c r="G4490" s="65">
        <v>10800</v>
      </c>
      <c r="H4490" s="56" t="s">
        <v>92</v>
      </c>
      <c r="I4490" s="54">
        <v>8661928199</v>
      </c>
      <c r="J4490" s="56" t="s">
        <v>2978</v>
      </c>
      <c r="K4490" s="56">
        <v>3030</v>
      </c>
      <c r="L4490" s="55" t="s">
        <v>2152</v>
      </c>
      <c r="M4490" s="55" t="s">
        <v>2824</v>
      </c>
      <c r="N4490" s="4" t="s">
        <v>1905</v>
      </c>
      <c r="O4490" s="55" t="s">
        <v>178</v>
      </c>
    </row>
    <row r="4491" spans="2:15">
      <c r="B4491" s="20">
        <v>45644</v>
      </c>
      <c r="C4491" s="59">
        <v>50272278</v>
      </c>
      <c r="D4491" s="55" t="s">
        <v>21</v>
      </c>
      <c r="G4491" s="65">
        <v>4500</v>
      </c>
      <c r="H4491" s="56" t="s">
        <v>92</v>
      </c>
      <c r="I4491" s="54">
        <v>8661928199</v>
      </c>
      <c r="J4491" s="56" t="s">
        <v>2978</v>
      </c>
      <c r="K4491" s="56">
        <v>3030</v>
      </c>
      <c r="L4491" s="55" t="s">
        <v>2152</v>
      </c>
      <c r="M4491" s="55" t="s">
        <v>2824</v>
      </c>
      <c r="N4491" s="4" t="s">
        <v>1905</v>
      </c>
      <c r="O4491" s="55" t="s">
        <v>178</v>
      </c>
    </row>
    <row r="4492" spans="2:15">
      <c r="B4492" s="20">
        <v>45644</v>
      </c>
      <c r="C4492" s="59">
        <v>50820741</v>
      </c>
      <c r="D4492" s="55" t="s">
        <v>1114</v>
      </c>
      <c r="G4492" s="65">
        <v>579600</v>
      </c>
      <c r="H4492" s="56" t="s">
        <v>92</v>
      </c>
      <c r="I4492" s="54">
        <v>8661928199</v>
      </c>
      <c r="J4492" s="56" t="s">
        <v>2978</v>
      </c>
      <c r="K4492" s="56">
        <v>3030</v>
      </c>
      <c r="L4492" s="55" t="s">
        <v>2152</v>
      </c>
      <c r="M4492" s="55" t="s">
        <v>2824</v>
      </c>
      <c r="N4492" s="4" t="s">
        <v>1905</v>
      </c>
      <c r="O4492" s="55" t="s">
        <v>178</v>
      </c>
    </row>
    <row r="4493" spans="2:15">
      <c r="B4493" s="20">
        <v>45644</v>
      </c>
      <c r="C4493" s="59">
        <v>40011588</v>
      </c>
      <c r="D4493" s="55" t="s">
        <v>585</v>
      </c>
      <c r="G4493" s="65">
        <v>450</v>
      </c>
      <c r="H4493" s="56" t="s">
        <v>80</v>
      </c>
      <c r="I4493" s="54">
        <v>8661928199</v>
      </c>
      <c r="J4493" s="56" t="s">
        <v>2978</v>
      </c>
      <c r="K4493" s="56">
        <v>3030</v>
      </c>
      <c r="L4493" s="55" t="s">
        <v>2152</v>
      </c>
      <c r="M4493" s="55" t="s">
        <v>2824</v>
      </c>
      <c r="N4493" s="4" t="s">
        <v>1905</v>
      </c>
      <c r="O4493" s="55" t="s">
        <v>178</v>
      </c>
    </row>
    <row r="4494" spans="2:15">
      <c r="B4494" s="20">
        <v>45645</v>
      </c>
      <c r="C4494" s="59">
        <v>50010080</v>
      </c>
      <c r="D4494" s="55" t="s">
        <v>1657</v>
      </c>
      <c r="G4494" s="65">
        <v>1000</v>
      </c>
      <c r="H4494" s="56" t="s">
        <v>82</v>
      </c>
      <c r="I4494" s="54">
        <v>8662450573</v>
      </c>
      <c r="J4494" s="56" t="s">
        <v>2978</v>
      </c>
      <c r="K4494" s="56">
        <v>3031</v>
      </c>
      <c r="L4494" s="55" t="s">
        <v>2152</v>
      </c>
      <c r="M4494" s="55" t="s">
        <v>2824</v>
      </c>
      <c r="N4494" s="4" t="s">
        <v>1905</v>
      </c>
      <c r="O4494" s="55" t="s">
        <v>178</v>
      </c>
    </row>
    <row r="4495" spans="2:15">
      <c r="B4495" s="20">
        <v>45645</v>
      </c>
      <c r="C4495" s="59">
        <v>50010080</v>
      </c>
      <c r="D4495" s="55" t="s">
        <v>1657</v>
      </c>
      <c r="G4495" s="65">
        <v>3000</v>
      </c>
      <c r="H4495" s="56" t="s">
        <v>82</v>
      </c>
      <c r="I4495" s="54">
        <v>8664884974</v>
      </c>
      <c r="J4495" s="56" t="s">
        <v>2978</v>
      </c>
      <c r="K4495" s="56">
        <v>3031</v>
      </c>
      <c r="L4495" s="55" t="s">
        <v>2152</v>
      </c>
      <c r="M4495" s="55" t="s">
        <v>2824</v>
      </c>
      <c r="N4495" s="4" t="s">
        <v>1905</v>
      </c>
      <c r="O4495" s="55" t="s">
        <v>178</v>
      </c>
    </row>
    <row r="4496" spans="2:15">
      <c r="B4496" s="20">
        <v>45645</v>
      </c>
      <c r="C4496" s="59">
        <v>50142328</v>
      </c>
      <c r="D4496" s="55" t="s">
        <v>1591</v>
      </c>
      <c r="G4496" s="65">
        <v>2000</v>
      </c>
      <c r="H4496" s="56" t="s">
        <v>82</v>
      </c>
      <c r="I4496" s="54">
        <v>8662450573</v>
      </c>
      <c r="J4496" s="56" t="s">
        <v>2978</v>
      </c>
      <c r="K4496" s="56">
        <v>3031</v>
      </c>
      <c r="L4496" s="55" t="s">
        <v>2152</v>
      </c>
      <c r="M4496" s="55" t="s">
        <v>2824</v>
      </c>
      <c r="N4496" s="4" t="s">
        <v>1905</v>
      </c>
      <c r="O4496" s="55" t="s">
        <v>178</v>
      </c>
    </row>
    <row r="4497" spans="2:15">
      <c r="B4497" s="20">
        <v>45645</v>
      </c>
      <c r="C4497" s="59">
        <v>50142137</v>
      </c>
      <c r="D4497" s="55" t="s">
        <v>840</v>
      </c>
      <c r="G4497" s="65">
        <v>2050</v>
      </c>
      <c r="H4497" s="56" t="s">
        <v>82</v>
      </c>
      <c r="I4497" s="54">
        <v>8662450573</v>
      </c>
      <c r="J4497" s="56" t="s">
        <v>2978</v>
      </c>
      <c r="K4497" s="56">
        <v>3031</v>
      </c>
      <c r="L4497" s="55" t="s">
        <v>2152</v>
      </c>
      <c r="M4497" s="55" t="s">
        <v>2824</v>
      </c>
      <c r="N4497" s="4" t="s">
        <v>1905</v>
      </c>
      <c r="O4497" s="55" t="s">
        <v>178</v>
      </c>
    </row>
    <row r="4498" spans="2:15">
      <c r="B4498" s="20">
        <v>45645</v>
      </c>
      <c r="C4498" s="59">
        <v>50804971</v>
      </c>
      <c r="D4498" s="55" t="s">
        <v>855</v>
      </c>
      <c r="G4498" s="65">
        <v>1980000</v>
      </c>
      <c r="H4498" s="56" t="s">
        <v>92</v>
      </c>
      <c r="I4498" s="54">
        <v>8662450573</v>
      </c>
      <c r="J4498" s="56" t="s">
        <v>2978</v>
      </c>
      <c r="K4498" s="56">
        <v>3031</v>
      </c>
      <c r="L4498" s="55" t="s">
        <v>2152</v>
      </c>
      <c r="M4498" s="55" t="s">
        <v>2824</v>
      </c>
      <c r="N4498" s="4" t="s">
        <v>1905</v>
      </c>
      <c r="O4498" s="55" t="s">
        <v>178</v>
      </c>
    </row>
    <row r="4499" spans="2:15">
      <c r="B4499" s="20">
        <v>45645</v>
      </c>
      <c r="C4499" s="59">
        <v>50804929</v>
      </c>
      <c r="D4499" s="55" t="s">
        <v>856</v>
      </c>
      <c r="G4499" s="65">
        <v>455950</v>
      </c>
      <c r="H4499" s="56" t="s">
        <v>92</v>
      </c>
      <c r="I4499" s="54">
        <v>8662450573</v>
      </c>
      <c r="J4499" s="56" t="s">
        <v>2978</v>
      </c>
      <c r="K4499" s="56">
        <v>3031</v>
      </c>
      <c r="L4499" s="55" t="s">
        <v>2152</v>
      </c>
      <c r="M4499" s="55" t="s">
        <v>2824</v>
      </c>
      <c r="N4499" s="4" t="s">
        <v>1905</v>
      </c>
      <c r="O4499" s="55" t="s">
        <v>178</v>
      </c>
    </row>
    <row r="4500" spans="2:15">
      <c r="B4500" s="20">
        <v>45645</v>
      </c>
      <c r="C4500" s="59">
        <v>50142237</v>
      </c>
      <c r="D4500" s="55" t="s">
        <v>617</v>
      </c>
      <c r="G4500" s="65">
        <v>10000</v>
      </c>
      <c r="H4500" s="56" t="s">
        <v>92</v>
      </c>
      <c r="I4500" s="54">
        <v>8662450573</v>
      </c>
      <c r="J4500" s="56" t="s">
        <v>2978</v>
      </c>
      <c r="K4500" s="56">
        <v>3031</v>
      </c>
      <c r="L4500" s="55" t="s">
        <v>2152</v>
      </c>
      <c r="M4500" s="55" t="s">
        <v>2824</v>
      </c>
      <c r="N4500" s="4" t="s">
        <v>1905</v>
      </c>
      <c r="O4500" s="55" t="s">
        <v>178</v>
      </c>
    </row>
    <row r="4501" spans="2:15">
      <c r="B4501" s="20">
        <v>45645</v>
      </c>
      <c r="C4501" s="59">
        <v>40011588</v>
      </c>
      <c r="D4501" s="55" t="s">
        <v>585</v>
      </c>
      <c r="G4501" s="65">
        <v>1350</v>
      </c>
      <c r="H4501" s="56" t="s">
        <v>80</v>
      </c>
      <c r="I4501" s="54">
        <v>8662450573</v>
      </c>
      <c r="J4501" s="56" t="s">
        <v>2978</v>
      </c>
      <c r="K4501" s="56">
        <v>3031</v>
      </c>
      <c r="L4501" s="55" t="s">
        <v>2152</v>
      </c>
      <c r="M4501" s="55" t="s">
        <v>2824</v>
      </c>
      <c r="N4501" s="4" t="s">
        <v>1905</v>
      </c>
      <c r="O4501" s="55" t="s">
        <v>178</v>
      </c>
    </row>
    <row r="4502" spans="2:15">
      <c r="B4502" s="20">
        <v>45645</v>
      </c>
      <c r="C4502" s="59">
        <v>50142327</v>
      </c>
      <c r="D4502" s="55" t="s">
        <v>256</v>
      </c>
      <c r="G4502" s="65">
        <v>1430.1</v>
      </c>
      <c r="H4502" s="56" t="s">
        <v>82</v>
      </c>
      <c r="I4502" s="54">
        <v>8662450573</v>
      </c>
      <c r="J4502" s="56" t="s">
        <v>2978</v>
      </c>
      <c r="K4502" s="56">
        <v>3031</v>
      </c>
      <c r="L4502" s="55" t="s">
        <v>2152</v>
      </c>
      <c r="M4502" s="55" t="s">
        <v>2824</v>
      </c>
      <c r="N4502" s="4" t="s">
        <v>1905</v>
      </c>
      <c r="O4502" s="55" t="s">
        <v>178</v>
      </c>
    </row>
    <row r="4503" spans="2:15">
      <c r="B4503" s="20">
        <v>45645</v>
      </c>
      <c r="C4503" s="59">
        <v>50142334</v>
      </c>
      <c r="D4503" s="55" t="s">
        <v>257</v>
      </c>
      <c r="G4503" s="65">
        <v>1430.1</v>
      </c>
      <c r="H4503" s="56" t="s">
        <v>82</v>
      </c>
      <c r="I4503" s="54">
        <v>8662450573</v>
      </c>
      <c r="J4503" s="56" t="s">
        <v>2978</v>
      </c>
      <c r="K4503" s="56">
        <v>3031</v>
      </c>
      <c r="L4503" s="55" t="s">
        <v>2152</v>
      </c>
      <c r="M4503" s="55" t="s">
        <v>2824</v>
      </c>
      <c r="N4503" s="4" t="s">
        <v>1905</v>
      </c>
      <c r="O4503" s="55" t="s">
        <v>178</v>
      </c>
    </row>
    <row r="4504" spans="2:15">
      <c r="B4504" s="20">
        <v>45645</v>
      </c>
      <c r="C4504" s="59">
        <v>50392046</v>
      </c>
      <c r="D4504" s="55" t="s">
        <v>509</v>
      </c>
      <c r="G4504" s="65">
        <v>18</v>
      </c>
      <c r="H4504" s="56" t="s">
        <v>505</v>
      </c>
      <c r="I4504" s="54">
        <v>8662450573</v>
      </c>
      <c r="J4504" s="56" t="s">
        <v>2978</v>
      </c>
      <c r="K4504" s="56">
        <v>3031</v>
      </c>
      <c r="L4504" s="55" t="s">
        <v>2152</v>
      </c>
      <c r="M4504" s="55" t="s">
        <v>2824</v>
      </c>
      <c r="N4504" s="4" t="s">
        <v>1905</v>
      </c>
      <c r="O4504" s="55" t="s">
        <v>178</v>
      </c>
    </row>
    <row r="4505" spans="2:15">
      <c r="B4505" s="20">
        <v>45645</v>
      </c>
      <c r="C4505" s="59">
        <v>50272278</v>
      </c>
      <c r="D4505" s="55" t="s">
        <v>21</v>
      </c>
      <c r="G4505" s="65">
        <v>4500</v>
      </c>
      <c r="H4505" s="56" t="s">
        <v>962</v>
      </c>
      <c r="I4505" s="54">
        <v>8662449939</v>
      </c>
      <c r="J4505" s="56" t="s">
        <v>2978</v>
      </c>
      <c r="K4505" s="56">
        <v>3032</v>
      </c>
      <c r="L4505" s="55" t="s">
        <v>2152</v>
      </c>
      <c r="M4505" s="55" t="s">
        <v>2824</v>
      </c>
      <c r="N4505" s="4" t="s">
        <v>1905</v>
      </c>
      <c r="O4505" s="55" t="s">
        <v>178</v>
      </c>
    </row>
    <row r="4506" spans="2:15">
      <c r="B4506" s="20">
        <v>45645</v>
      </c>
      <c r="C4506" s="59">
        <v>50470190</v>
      </c>
      <c r="D4506" s="55" t="s">
        <v>12</v>
      </c>
      <c r="G4506" s="65">
        <v>2898000</v>
      </c>
      <c r="H4506" s="56" t="s">
        <v>962</v>
      </c>
      <c r="I4506" s="54">
        <v>8662449939</v>
      </c>
      <c r="J4506" s="56" t="s">
        <v>2978</v>
      </c>
      <c r="K4506" s="56">
        <v>3032</v>
      </c>
      <c r="L4506" s="55" t="s">
        <v>2152</v>
      </c>
      <c r="M4506" s="55" t="s">
        <v>2824</v>
      </c>
      <c r="N4506" s="4" t="s">
        <v>1905</v>
      </c>
      <c r="O4506" s="55" t="s">
        <v>178</v>
      </c>
    </row>
    <row r="4507" spans="2:15">
      <c r="B4507" s="20">
        <v>45645</v>
      </c>
      <c r="C4507" s="59">
        <v>40008023</v>
      </c>
      <c r="D4507" s="55" t="s">
        <v>1883</v>
      </c>
      <c r="G4507" s="65">
        <v>450</v>
      </c>
      <c r="H4507" s="56" t="s">
        <v>1248</v>
      </c>
      <c r="I4507" s="54">
        <v>8662449939</v>
      </c>
      <c r="J4507" s="56" t="s">
        <v>2978</v>
      </c>
      <c r="K4507" s="56">
        <v>3032</v>
      </c>
      <c r="L4507" s="55" t="s">
        <v>2152</v>
      </c>
      <c r="M4507" s="55" t="s">
        <v>2824</v>
      </c>
      <c r="N4507" s="4" t="s">
        <v>1905</v>
      </c>
      <c r="O4507" s="55" t="s">
        <v>178</v>
      </c>
    </row>
    <row r="4508" spans="2:15">
      <c r="B4508" s="20">
        <v>45645</v>
      </c>
      <c r="C4508" s="59">
        <v>50501117</v>
      </c>
      <c r="D4508" s="55" t="s">
        <v>1541</v>
      </c>
      <c r="G4508" s="65">
        <v>52.416</v>
      </c>
      <c r="H4508" s="56" t="s">
        <v>80</v>
      </c>
      <c r="I4508" s="54" t="s">
        <v>2874</v>
      </c>
      <c r="J4508" s="56" t="s">
        <v>2978</v>
      </c>
      <c r="K4508" s="56">
        <v>3033</v>
      </c>
      <c r="L4508" s="55" t="s">
        <v>2152</v>
      </c>
      <c r="M4508" s="55" t="s">
        <v>392</v>
      </c>
      <c r="N4508" s="4" t="s">
        <v>1905</v>
      </c>
      <c r="O4508" s="55" t="s">
        <v>178</v>
      </c>
    </row>
    <row r="4509" spans="2:15">
      <c r="B4509" s="20">
        <v>45585</v>
      </c>
      <c r="C4509" s="59">
        <v>50804929</v>
      </c>
      <c r="D4509" s="55" t="s">
        <v>856</v>
      </c>
      <c r="G4509" s="65">
        <v>1902000</v>
      </c>
      <c r="H4509" s="56" t="s">
        <v>92</v>
      </c>
      <c r="I4509" s="54">
        <v>8662994199</v>
      </c>
      <c r="J4509" s="56" t="s">
        <v>2978</v>
      </c>
      <c r="K4509" s="56">
        <v>3034</v>
      </c>
      <c r="L4509" s="55" t="s">
        <v>2152</v>
      </c>
      <c r="M4509" s="55" t="s">
        <v>2824</v>
      </c>
      <c r="N4509" s="4" t="s">
        <v>1905</v>
      </c>
      <c r="O4509" s="55" t="s">
        <v>178</v>
      </c>
    </row>
    <row r="4510" spans="2:15">
      <c r="B4510" s="20">
        <v>45585</v>
      </c>
      <c r="C4510" s="59">
        <v>50837238</v>
      </c>
      <c r="D4510" s="55" t="s">
        <v>1976</v>
      </c>
      <c r="G4510" s="65">
        <v>2994.4</v>
      </c>
      <c r="H4510" s="56" t="s">
        <v>82</v>
      </c>
      <c r="I4510" s="54">
        <v>8662994199</v>
      </c>
      <c r="J4510" s="56" t="s">
        <v>2978</v>
      </c>
      <c r="K4510" s="56">
        <v>3034</v>
      </c>
      <c r="L4510" s="55" t="s">
        <v>2152</v>
      </c>
      <c r="M4510" s="55" t="s">
        <v>2824</v>
      </c>
      <c r="N4510" s="4" t="s">
        <v>1905</v>
      </c>
      <c r="O4510" s="55" t="s">
        <v>178</v>
      </c>
    </row>
    <row r="4511" spans="2:15">
      <c r="B4511" s="20">
        <v>45585</v>
      </c>
      <c r="C4511" s="59">
        <v>50840365</v>
      </c>
      <c r="D4511" s="55" t="s">
        <v>1886</v>
      </c>
      <c r="G4511" s="65">
        <v>3547.9</v>
      </c>
      <c r="H4511" s="56" t="s">
        <v>82</v>
      </c>
      <c r="I4511" s="54">
        <v>8662994199</v>
      </c>
      <c r="J4511" s="56" t="s">
        <v>2978</v>
      </c>
      <c r="K4511" s="56">
        <v>3034</v>
      </c>
      <c r="L4511" s="55" t="s">
        <v>2152</v>
      </c>
      <c r="M4511" s="55" t="s">
        <v>2824</v>
      </c>
      <c r="N4511" s="4" t="s">
        <v>1905</v>
      </c>
      <c r="O4511" s="55" t="s">
        <v>178</v>
      </c>
    </row>
    <row r="4512" spans="2:15">
      <c r="B4512" s="20">
        <v>45585</v>
      </c>
      <c r="C4512" s="59">
        <v>50502050</v>
      </c>
      <c r="D4512" s="55" t="s">
        <v>1500</v>
      </c>
      <c r="G4512" s="65">
        <v>3500</v>
      </c>
      <c r="H4512" s="56" t="s">
        <v>82</v>
      </c>
      <c r="I4512" s="54">
        <v>8662994199</v>
      </c>
      <c r="J4512" s="56" t="s">
        <v>2978</v>
      </c>
      <c r="K4512" s="56">
        <v>3034</v>
      </c>
      <c r="L4512" s="55" t="s">
        <v>2152</v>
      </c>
      <c r="M4512" s="55" t="s">
        <v>2824</v>
      </c>
      <c r="N4512" s="4" t="s">
        <v>1905</v>
      </c>
      <c r="O4512" s="55" t="s">
        <v>178</v>
      </c>
    </row>
    <row r="4513" spans="2:15">
      <c r="B4513" s="20">
        <v>45585</v>
      </c>
      <c r="C4513" s="59">
        <v>40011149</v>
      </c>
      <c r="D4513" s="55" t="s">
        <v>37</v>
      </c>
      <c r="G4513" s="65">
        <v>360</v>
      </c>
      <c r="H4513" s="56" t="s">
        <v>80</v>
      </c>
      <c r="I4513" s="54">
        <v>8662994199</v>
      </c>
      <c r="J4513" s="56" t="s">
        <v>2978</v>
      </c>
      <c r="K4513" s="56">
        <v>3034</v>
      </c>
      <c r="L4513" s="55" t="s">
        <v>2152</v>
      </c>
      <c r="M4513" s="55" t="s">
        <v>2824</v>
      </c>
      <c r="N4513" s="4" t="s">
        <v>1905</v>
      </c>
      <c r="O4513" s="55" t="s">
        <v>178</v>
      </c>
    </row>
    <row r="4514" spans="2:15">
      <c r="B4514" s="20">
        <v>45585</v>
      </c>
      <c r="C4514" s="59">
        <v>50515034</v>
      </c>
      <c r="D4514" s="55" t="s">
        <v>41</v>
      </c>
      <c r="G4514" s="65">
        <v>28.8</v>
      </c>
      <c r="H4514" s="56" t="s">
        <v>80</v>
      </c>
      <c r="I4514" s="54" t="s">
        <v>2874</v>
      </c>
      <c r="J4514" s="56" t="s">
        <v>2978</v>
      </c>
      <c r="K4514" s="56">
        <v>3035</v>
      </c>
      <c r="L4514" s="55" t="s">
        <v>392</v>
      </c>
      <c r="M4514" s="55" t="s">
        <v>2849</v>
      </c>
      <c r="O4514" s="55" t="s">
        <v>178</v>
      </c>
    </row>
    <row r="4515" spans="2:15">
      <c r="B4515" s="20">
        <v>45585</v>
      </c>
      <c r="C4515" s="59">
        <v>50144376</v>
      </c>
      <c r="D4515" s="55" t="s">
        <v>19</v>
      </c>
      <c r="G4515" s="65">
        <v>7500</v>
      </c>
      <c r="H4515" s="56" t="s">
        <v>92</v>
      </c>
      <c r="I4515" s="54">
        <v>8662994305</v>
      </c>
      <c r="J4515" s="56" t="s">
        <v>2978</v>
      </c>
      <c r="K4515" s="56">
        <v>3036</v>
      </c>
      <c r="L4515" s="55" t="s">
        <v>2152</v>
      </c>
      <c r="M4515" s="55" t="s">
        <v>2824</v>
      </c>
      <c r="N4515" s="4" t="s">
        <v>1905</v>
      </c>
      <c r="O4515" s="55" t="s">
        <v>178</v>
      </c>
    </row>
    <row r="4516" spans="2:15">
      <c r="B4516" s="20">
        <v>45585</v>
      </c>
      <c r="C4516" s="59">
        <v>40011149</v>
      </c>
      <c r="D4516" s="55" t="s">
        <v>37</v>
      </c>
      <c r="G4516" s="65">
        <v>720</v>
      </c>
      <c r="H4516" s="56" t="s">
        <v>80</v>
      </c>
      <c r="I4516" s="54">
        <v>8662994305</v>
      </c>
      <c r="J4516" s="56" t="s">
        <v>2978</v>
      </c>
      <c r="K4516" s="56">
        <v>3036</v>
      </c>
      <c r="L4516" s="55" t="s">
        <v>2152</v>
      </c>
      <c r="M4516" s="55" t="s">
        <v>2824</v>
      </c>
      <c r="N4516" s="4" t="s">
        <v>1905</v>
      </c>
      <c r="O4516" s="55" t="s">
        <v>178</v>
      </c>
    </row>
    <row r="4517" spans="2:15">
      <c r="B4517" s="20">
        <v>45585</v>
      </c>
      <c r="C4517" s="59">
        <v>50820741</v>
      </c>
      <c r="D4517" s="55" t="s">
        <v>1114</v>
      </c>
      <c r="G4517" s="65">
        <v>1449000</v>
      </c>
      <c r="H4517" s="56" t="s">
        <v>92</v>
      </c>
      <c r="I4517" s="54">
        <v>8666238250</v>
      </c>
      <c r="J4517" s="56" t="s">
        <v>2978</v>
      </c>
      <c r="K4517" s="56">
        <v>3036</v>
      </c>
      <c r="L4517" s="55" t="s">
        <v>2152</v>
      </c>
      <c r="M4517" s="55" t="s">
        <v>2824</v>
      </c>
      <c r="N4517" s="4" t="s">
        <v>1905</v>
      </c>
      <c r="O4517" s="55" t="s">
        <v>178</v>
      </c>
    </row>
    <row r="4518" spans="2:15">
      <c r="B4518" s="20">
        <v>45585</v>
      </c>
      <c r="C4518" s="59">
        <v>50144376</v>
      </c>
      <c r="D4518" s="55" t="s">
        <v>19</v>
      </c>
      <c r="G4518" s="65">
        <v>5000</v>
      </c>
      <c r="H4518" s="56" t="s">
        <v>92</v>
      </c>
      <c r="I4518" s="54">
        <v>8662996304</v>
      </c>
      <c r="J4518" s="56" t="s">
        <v>2978</v>
      </c>
      <c r="K4518" s="56">
        <v>3037</v>
      </c>
      <c r="L4518" s="55" t="s">
        <v>416</v>
      </c>
      <c r="M4518" s="55" t="s">
        <v>2824</v>
      </c>
      <c r="N4518" s="4" t="s">
        <v>417</v>
      </c>
      <c r="O4518" s="55" t="s">
        <v>178</v>
      </c>
    </row>
    <row r="4519" spans="2:15">
      <c r="B4519" s="20">
        <v>45585</v>
      </c>
      <c r="C4519" s="59">
        <v>50272278</v>
      </c>
      <c r="D4519" s="55" t="s">
        <v>21</v>
      </c>
      <c r="G4519" s="65">
        <v>7000</v>
      </c>
      <c r="H4519" s="56" t="s">
        <v>92</v>
      </c>
      <c r="I4519" s="54">
        <v>8662996304</v>
      </c>
      <c r="J4519" s="56" t="s">
        <v>2978</v>
      </c>
      <c r="K4519" s="56">
        <v>3037</v>
      </c>
      <c r="L4519" s="55" t="s">
        <v>416</v>
      </c>
      <c r="M4519" s="55" t="s">
        <v>2824</v>
      </c>
      <c r="N4519" s="4" t="s">
        <v>417</v>
      </c>
      <c r="O4519" s="55" t="s">
        <v>178</v>
      </c>
    </row>
    <row r="4520" spans="2:15">
      <c r="B4520" s="20">
        <v>45585</v>
      </c>
      <c r="C4520" s="59">
        <v>50501117</v>
      </c>
      <c r="D4520" s="55" t="s">
        <v>1541</v>
      </c>
      <c r="G4520" s="65">
        <v>52.416</v>
      </c>
      <c r="H4520" s="56" t="s">
        <v>80</v>
      </c>
      <c r="I4520" s="54" t="s">
        <v>2874</v>
      </c>
      <c r="J4520" s="56" t="s">
        <v>2978</v>
      </c>
      <c r="K4520" s="56">
        <v>3038</v>
      </c>
      <c r="L4520" s="55" t="s">
        <v>2152</v>
      </c>
      <c r="M4520" s="55" t="s">
        <v>392</v>
      </c>
      <c r="N4520" s="4" t="s">
        <v>1905</v>
      </c>
      <c r="O4520" s="55" t="s">
        <v>178</v>
      </c>
    </row>
    <row r="4521" spans="2:15">
      <c r="B4521" s="20">
        <v>45649</v>
      </c>
      <c r="C4521" s="59">
        <v>50272278</v>
      </c>
      <c r="D4521" s="55" t="s">
        <v>21</v>
      </c>
      <c r="G4521" s="65">
        <v>11000</v>
      </c>
      <c r="H4521" s="56" t="s">
        <v>92</v>
      </c>
      <c r="I4521" s="54">
        <v>8664027519</v>
      </c>
      <c r="J4521" s="56" t="s">
        <v>2978</v>
      </c>
      <c r="K4521" s="56">
        <v>3039</v>
      </c>
      <c r="L4521" s="55" t="s">
        <v>2152</v>
      </c>
      <c r="M4521" s="55" t="s">
        <v>2824</v>
      </c>
      <c r="N4521" s="4" t="s">
        <v>1905</v>
      </c>
      <c r="O4521" s="55" t="s">
        <v>178</v>
      </c>
    </row>
    <row r="4522" spans="2:15">
      <c r="B4522" s="20">
        <v>45649</v>
      </c>
      <c r="C4522" s="59">
        <v>50328488</v>
      </c>
      <c r="D4522" s="55" t="s">
        <v>1853</v>
      </c>
      <c r="G4522" s="65">
        <v>250</v>
      </c>
      <c r="H4522" s="56" t="s">
        <v>82</v>
      </c>
      <c r="I4522" s="54">
        <v>8666239187</v>
      </c>
      <c r="J4522" s="56" t="s">
        <v>2978</v>
      </c>
      <c r="K4522" s="56">
        <v>3040</v>
      </c>
      <c r="L4522" s="55" t="s">
        <v>2152</v>
      </c>
      <c r="M4522" s="55" t="s">
        <v>2824</v>
      </c>
      <c r="N4522" s="4" t="s">
        <v>1905</v>
      </c>
      <c r="O4522" s="55" t="s">
        <v>178</v>
      </c>
    </row>
    <row r="4523" spans="2:15">
      <c r="B4523" s="20">
        <v>45649</v>
      </c>
      <c r="C4523" s="59">
        <v>50837284</v>
      </c>
      <c r="D4523" s="55" t="s">
        <v>28</v>
      </c>
      <c r="G4523" s="65">
        <v>3003</v>
      </c>
      <c r="H4523" s="56" t="s">
        <v>82</v>
      </c>
      <c r="I4523" s="54">
        <v>8664022976</v>
      </c>
      <c r="J4523" s="56" t="s">
        <v>2978</v>
      </c>
      <c r="K4523" s="56">
        <v>3040</v>
      </c>
      <c r="L4523" s="55" t="s">
        <v>2152</v>
      </c>
      <c r="M4523" s="55" t="s">
        <v>2824</v>
      </c>
      <c r="N4523" s="4" t="s">
        <v>1905</v>
      </c>
      <c r="O4523" s="55" t="s">
        <v>178</v>
      </c>
    </row>
    <row r="4524" spans="2:15">
      <c r="B4524" s="20">
        <v>45649</v>
      </c>
      <c r="C4524" s="59">
        <v>50328897</v>
      </c>
      <c r="D4524" s="55" t="s">
        <v>1850</v>
      </c>
      <c r="G4524" s="65">
        <v>220</v>
      </c>
      <c r="H4524" s="56" t="s">
        <v>82</v>
      </c>
      <c r="I4524" s="54">
        <v>8666239187</v>
      </c>
      <c r="J4524" s="56" t="s">
        <v>2978</v>
      </c>
      <c r="K4524" s="56">
        <v>3040</v>
      </c>
      <c r="L4524" s="55" t="s">
        <v>2152</v>
      </c>
      <c r="M4524" s="55" t="s">
        <v>2824</v>
      </c>
      <c r="N4524" s="4" t="s">
        <v>1905</v>
      </c>
      <c r="O4524" s="55" t="s">
        <v>178</v>
      </c>
    </row>
    <row r="4525" spans="2:15">
      <c r="B4525" s="20">
        <v>45649</v>
      </c>
      <c r="C4525" s="59">
        <v>50272278</v>
      </c>
      <c r="D4525" s="55" t="s">
        <v>21</v>
      </c>
      <c r="G4525" s="65">
        <v>1500</v>
      </c>
      <c r="H4525" s="56" t="s">
        <v>92</v>
      </c>
      <c r="I4525" s="54">
        <v>8664022976</v>
      </c>
      <c r="J4525" s="56" t="s">
        <v>2978</v>
      </c>
      <c r="K4525" s="56">
        <v>3040</v>
      </c>
      <c r="L4525" s="55" t="s">
        <v>2152</v>
      </c>
      <c r="M4525" s="55" t="s">
        <v>2824</v>
      </c>
      <c r="N4525" s="4" t="s">
        <v>1905</v>
      </c>
      <c r="O4525" s="55" t="s">
        <v>178</v>
      </c>
    </row>
    <row r="4526" spans="2:15">
      <c r="B4526" s="20">
        <v>45649</v>
      </c>
      <c r="C4526" s="59">
        <v>50142237</v>
      </c>
      <c r="D4526" s="55" t="s">
        <v>617</v>
      </c>
      <c r="G4526" s="65">
        <v>10000</v>
      </c>
      <c r="H4526" s="56" t="s">
        <v>92</v>
      </c>
      <c r="I4526" s="54">
        <v>8664022976</v>
      </c>
      <c r="J4526" s="56" t="s">
        <v>2978</v>
      </c>
      <c r="K4526" s="56">
        <v>3040</v>
      </c>
      <c r="L4526" s="55" t="s">
        <v>2152</v>
      </c>
      <c r="M4526" s="55" t="s">
        <v>2824</v>
      </c>
      <c r="N4526" s="4" t="s">
        <v>1905</v>
      </c>
      <c r="O4526" s="55" t="s">
        <v>178</v>
      </c>
    </row>
    <row r="4527" spans="2:15">
      <c r="B4527" s="20">
        <v>45649</v>
      </c>
      <c r="C4527" s="59">
        <v>50811693</v>
      </c>
      <c r="D4527" s="55" t="s">
        <v>1269</v>
      </c>
      <c r="G4527" s="65">
        <v>1000000</v>
      </c>
      <c r="H4527" s="56" t="s">
        <v>92</v>
      </c>
      <c r="I4527" s="54">
        <v>8664022976</v>
      </c>
      <c r="J4527" s="56" t="s">
        <v>2978</v>
      </c>
      <c r="K4527" s="56">
        <v>3040</v>
      </c>
      <c r="L4527" s="55" t="s">
        <v>2152</v>
      </c>
      <c r="M4527" s="55" t="s">
        <v>2824</v>
      </c>
      <c r="N4527" s="4" t="s">
        <v>1905</v>
      </c>
      <c r="O4527" s="55" t="s">
        <v>178</v>
      </c>
    </row>
    <row r="4528" spans="2:15">
      <c r="B4528" s="20">
        <v>45649</v>
      </c>
      <c r="C4528" s="59">
        <v>40011588</v>
      </c>
      <c r="D4528" s="55" t="s">
        <v>585</v>
      </c>
      <c r="G4528" s="65">
        <v>900</v>
      </c>
      <c r="H4528" s="56" t="s">
        <v>80</v>
      </c>
      <c r="I4528" s="54">
        <v>8664022976</v>
      </c>
      <c r="J4528" s="56" t="s">
        <v>2978</v>
      </c>
      <c r="K4528" s="56">
        <v>3040</v>
      </c>
      <c r="L4528" s="55" t="s">
        <v>2152</v>
      </c>
      <c r="M4528" s="55" t="s">
        <v>2824</v>
      </c>
      <c r="N4528" s="4" t="s">
        <v>1905</v>
      </c>
      <c r="O4528" s="55" t="s">
        <v>178</v>
      </c>
    </row>
    <row r="4529" spans="2:15">
      <c r="B4529" s="20">
        <v>45649</v>
      </c>
      <c r="C4529" s="59">
        <v>50142327</v>
      </c>
      <c r="D4529" s="55" t="s">
        <v>256</v>
      </c>
      <c r="G4529" s="65">
        <v>1906.8</v>
      </c>
      <c r="H4529" s="56" t="s">
        <v>82</v>
      </c>
      <c r="I4529" s="54">
        <v>8664022976</v>
      </c>
      <c r="J4529" s="56" t="s">
        <v>2978</v>
      </c>
      <c r="K4529" s="56">
        <v>3040</v>
      </c>
      <c r="L4529" s="55" t="s">
        <v>2152</v>
      </c>
      <c r="M4529" s="55" t="s">
        <v>2824</v>
      </c>
      <c r="N4529" s="4" t="s">
        <v>1905</v>
      </c>
      <c r="O4529" s="55" t="s">
        <v>178</v>
      </c>
    </row>
    <row r="4530" spans="2:15">
      <c r="B4530" s="20">
        <v>45649</v>
      </c>
      <c r="C4530" s="59">
        <v>50142334</v>
      </c>
      <c r="D4530" s="55" t="s">
        <v>257</v>
      </c>
      <c r="G4530" s="65">
        <v>1906.8</v>
      </c>
      <c r="H4530" s="56" t="s">
        <v>82</v>
      </c>
      <c r="I4530" s="54">
        <v>8664022976</v>
      </c>
      <c r="J4530" s="56" t="s">
        <v>2978</v>
      </c>
      <c r="K4530" s="56">
        <v>3040</v>
      </c>
      <c r="L4530" s="55" t="s">
        <v>2152</v>
      </c>
      <c r="M4530" s="55" t="s">
        <v>2824</v>
      </c>
      <c r="N4530" s="4" t="s">
        <v>1905</v>
      </c>
      <c r="O4530" s="55" t="s">
        <v>178</v>
      </c>
    </row>
    <row r="4531" spans="2:15">
      <c r="B4531" s="20">
        <v>45649</v>
      </c>
      <c r="C4531" s="59">
        <v>50470190</v>
      </c>
      <c r="D4531" s="66" t="s">
        <v>12</v>
      </c>
      <c r="G4531" s="65">
        <v>3767400</v>
      </c>
      <c r="H4531" s="56" t="s">
        <v>92</v>
      </c>
      <c r="I4531" s="54">
        <v>8664024989</v>
      </c>
      <c r="J4531" s="56" t="s">
        <v>2978</v>
      </c>
      <c r="K4531" s="56">
        <v>3041</v>
      </c>
      <c r="L4531" s="55" t="s">
        <v>2152</v>
      </c>
      <c r="M4531" s="55" t="s">
        <v>2824</v>
      </c>
      <c r="N4531" s="4" t="s">
        <v>1905</v>
      </c>
      <c r="O4531" s="55" t="s">
        <v>178</v>
      </c>
    </row>
    <row r="4532" spans="2:15">
      <c r="B4532" s="20">
        <v>45649</v>
      </c>
      <c r="C4532" s="59">
        <v>50145028</v>
      </c>
      <c r="D4532" s="55" t="s">
        <v>23</v>
      </c>
      <c r="G4532" s="65">
        <v>576</v>
      </c>
      <c r="H4532" s="56" t="s">
        <v>92</v>
      </c>
      <c r="I4532" s="54" t="s">
        <v>2874</v>
      </c>
      <c r="J4532" s="56" t="s">
        <v>2978</v>
      </c>
      <c r="K4532" s="56">
        <v>3042</v>
      </c>
      <c r="L4532" s="55" t="s">
        <v>326</v>
      </c>
      <c r="M4532" s="55" t="s">
        <v>2918</v>
      </c>
      <c r="N4532" s="4" t="s">
        <v>1613</v>
      </c>
      <c r="O4532" s="55" t="s">
        <v>178</v>
      </c>
    </row>
    <row r="4533" spans="2:15">
      <c r="B4533" s="20">
        <v>45649</v>
      </c>
      <c r="C4533" s="59">
        <v>50501117</v>
      </c>
      <c r="D4533" s="55" t="s">
        <v>1541</v>
      </c>
      <c r="G4533" s="65">
        <v>52.416</v>
      </c>
      <c r="H4533" s="56" t="s">
        <v>92</v>
      </c>
      <c r="I4533" s="54">
        <v>8664028371</v>
      </c>
      <c r="J4533" s="56" t="s">
        <v>2978</v>
      </c>
      <c r="K4533" s="56">
        <v>3043</v>
      </c>
      <c r="L4533" s="55" t="s">
        <v>2152</v>
      </c>
      <c r="M4533" s="55" t="s">
        <v>2824</v>
      </c>
      <c r="N4533" s="4" t="s">
        <v>1905</v>
      </c>
      <c r="O4533" s="55" t="s">
        <v>178</v>
      </c>
    </row>
    <row r="4534" spans="2:15">
      <c r="B4534" s="20">
        <v>45649</v>
      </c>
      <c r="C4534" s="59">
        <v>50142329</v>
      </c>
      <c r="D4534" s="55" t="s">
        <v>1073</v>
      </c>
      <c r="G4534" s="65">
        <v>500</v>
      </c>
      <c r="H4534" s="56" t="s">
        <v>2979</v>
      </c>
      <c r="I4534" s="54">
        <v>8668609696</v>
      </c>
      <c r="J4534" s="56" t="s">
        <v>2978</v>
      </c>
      <c r="K4534" s="56">
        <v>3043</v>
      </c>
      <c r="L4534" s="55" t="s">
        <v>2152</v>
      </c>
      <c r="M4534" s="55" t="s">
        <v>2824</v>
      </c>
      <c r="N4534" s="4" t="s">
        <v>1905</v>
      </c>
      <c r="O4534" s="55" t="s">
        <v>178</v>
      </c>
    </row>
    <row r="4535" spans="2:15">
      <c r="B4535" s="20">
        <v>45649</v>
      </c>
      <c r="C4535" s="59">
        <v>50501117</v>
      </c>
      <c r="D4535" s="55" t="s">
        <v>1541</v>
      </c>
      <c r="G4535" s="65">
        <v>52.416</v>
      </c>
      <c r="H4535" s="56" t="s">
        <v>1248</v>
      </c>
      <c r="I4535" s="54" t="s">
        <v>2874</v>
      </c>
      <c r="J4535" s="56" t="s">
        <v>2978</v>
      </c>
      <c r="K4535" s="56">
        <v>3044</v>
      </c>
      <c r="L4535" s="55" t="s">
        <v>392</v>
      </c>
      <c r="M4535" s="55" t="s">
        <v>392</v>
      </c>
      <c r="N4535" s="4" t="s">
        <v>2071</v>
      </c>
      <c r="O4535" s="55" t="s">
        <v>178</v>
      </c>
    </row>
    <row r="4536" spans="2:15">
      <c r="B4536" s="20">
        <v>45650</v>
      </c>
      <c r="C4536" s="59">
        <v>50804971</v>
      </c>
      <c r="D4536" s="55" t="s">
        <v>855</v>
      </c>
      <c r="G4536" s="65">
        <v>990000</v>
      </c>
      <c r="H4536" s="56" t="s">
        <v>92</v>
      </c>
      <c r="I4536" s="54">
        <v>8664884104</v>
      </c>
      <c r="J4536" s="56" t="s">
        <v>2978</v>
      </c>
      <c r="K4536" s="56">
        <v>3045</v>
      </c>
      <c r="L4536" s="55" t="s">
        <v>2152</v>
      </c>
      <c r="M4536" s="55" t="s">
        <v>2824</v>
      </c>
      <c r="N4536" s="4" t="s">
        <v>1905</v>
      </c>
      <c r="O4536" s="55" t="s">
        <v>178</v>
      </c>
    </row>
    <row r="4537" spans="2:15">
      <c r="B4537" s="20">
        <v>45650</v>
      </c>
      <c r="C4537" s="59">
        <v>50804929</v>
      </c>
      <c r="D4537" s="55" t="s">
        <v>856</v>
      </c>
      <c r="G4537" s="65">
        <v>924000</v>
      </c>
      <c r="H4537" s="56" t="s">
        <v>92</v>
      </c>
      <c r="I4537" s="54">
        <v>8664884104</v>
      </c>
      <c r="J4537" s="56" t="s">
        <v>2978</v>
      </c>
      <c r="K4537" s="56">
        <v>3045</v>
      </c>
      <c r="L4537" s="55" t="s">
        <v>2152</v>
      </c>
      <c r="M4537" s="55" t="s">
        <v>2824</v>
      </c>
      <c r="N4537" s="4" t="s">
        <v>1905</v>
      </c>
      <c r="O4537" s="55" t="s">
        <v>178</v>
      </c>
    </row>
    <row r="4538" spans="2:15">
      <c r="B4538" s="20">
        <v>45650</v>
      </c>
      <c r="C4538" s="59">
        <v>50143893</v>
      </c>
      <c r="D4538" s="55" t="s">
        <v>24</v>
      </c>
      <c r="G4538" s="65">
        <v>1683</v>
      </c>
      <c r="H4538" s="56" t="s">
        <v>82</v>
      </c>
      <c r="I4538" s="54">
        <v>8664884104</v>
      </c>
      <c r="J4538" s="56" t="s">
        <v>2978</v>
      </c>
      <c r="K4538" s="56">
        <v>3045</v>
      </c>
      <c r="L4538" s="55" t="s">
        <v>2152</v>
      </c>
      <c r="M4538" s="55" t="s">
        <v>2824</v>
      </c>
      <c r="N4538" s="4" t="s">
        <v>1905</v>
      </c>
      <c r="O4538" s="55" t="s">
        <v>178</v>
      </c>
    </row>
    <row r="4539" spans="2:15">
      <c r="B4539" s="20">
        <v>45650</v>
      </c>
      <c r="C4539" s="59">
        <v>50272278</v>
      </c>
      <c r="D4539" s="55" t="s">
        <v>21</v>
      </c>
      <c r="G4539" s="65">
        <v>2500</v>
      </c>
      <c r="H4539" s="56" t="s">
        <v>92</v>
      </c>
      <c r="I4539" s="54">
        <v>8664884104</v>
      </c>
      <c r="J4539" s="56" t="s">
        <v>2978</v>
      </c>
      <c r="K4539" s="56">
        <v>3045</v>
      </c>
      <c r="L4539" s="55" t="s">
        <v>2152</v>
      </c>
      <c r="M4539" s="55" t="s">
        <v>2824</v>
      </c>
      <c r="N4539" s="4" t="s">
        <v>1905</v>
      </c>
      <c r="O4539" s="55" t="s">
        <v>178</v>
      </c>
    </row>
    <row r="4540" spans="2:15">
      <c r="B4540" s="20">
        <v>45650</v>
      </c>
      <c r="C4540" s="59">
        <v>40011149</v>
      </c>
      <c r="D4540" s="55" t="s">
        <v>37</v>
      </c>
      <c r="G4540" s="65">
        <v>720</v>
      </c>
      <c r="H4540" s="56" t="s">
        <v>80</v>
      </c>
      <c r="I4540" s="54">
        <v>8672579701</v>
      </c>
      <c r="J4540" s="56" t="s">
        <v>2978</v>
      </c>
      <c r="K4540" s="56">
        <v>3045</v>
      </c>
      <c r="L4540" s="55" t="s">
        <v>2152</v>
      </c>
      <c r="M4540" s="55" t="s">
        <v>2824</v>
      </c>
      <c r="N4540" s="4" t="s">
        <v>1905</v>
      </c>
      <c r="O4540" s="55" t="s">
        <v>178</v>
      </c>
    </row>
    <row r="4541" spans="2:15">
      <c r="B4541" s="20">
        <v>45650</v>
      </c>
      <c r="C4541" s="59">
        <v>50470190</v>
      </c>
      <c r="D4541" s="55" t="s">
        <v>12</v>
      </c>
      <c r="G4541" s="65">
        <v>2318400</v>
      </c>
      <c r="H4541" s="56" t="s">
        <v>92</v>
      </c>
      <c r="I4541" s="54">
        <v>8664884104</v>
      </c>
      <c r="J4541" s="56" t="s">
        <v>2978</v>
      </c>
      <c r="K4541" s="56">
        <v>3045</v>
      </c>
      <c r="L4541" s="55" t="s">
        <v>2152</v>
      </c>
      <c r="M4541" s="55" t="s">
        <v>2824</v>
      </c>
      <c r="N4541" s="4" t="s">
        <v>1905</v>
      </c>
      <c r="O4541" s="55" t="s">
        <v>178</v>
      </c>
    </row>
    <row r="4542" spans="2:15">
      <c r="B4542" s="20">
        <v>45650</v>
      </c>
      <c r="C4542" s="59">
        <v>50272278</v>
      </c>
      <c r="D4542" s="55" t="s">
        <v>21</v>
      </c>
      <c r="G4542" s="65">
        <v>7000</v>
      </c>
      <c r="H4542" s="56" t="s">
        <v>92</v>
      </c>
      <c r="I4542" s="54">
        <v>8664883601</v>
      </c>
      <c r="J4542" s="56" t="s">
        <v>2978</v>
      </c>
      <c r="K4542" s="56">
        <v>3046</v>
      </c>
      <c r="L4542" s="55" t="s">
        <v>2152</v>
      </c>
      <c r="M4542" s="55" t="s">
        <v>2824</v>
      </c>
      <c r="N4542" s="4" t="s">
        <v>1905</v>
      </c>
      <c r="O4542" s="55" t="s">
        <v>178</v>
      </c>
    </row>
    <row r="4543" spans="2:15">
      <c r="B4543" s="20">
        <v>45650</v>
      </c>
      <c r="C4543" s="59">
        <v>50143875</v>
      </c>
      <c r="D4543" s="55" t="s">
        <v>713</v>
      </c>
      <c r="G4543" s="65">
        <v>7700</v>
      </c>
      <c r="H4543" s="56" t="s">
        <v>92</v>
      </c>
      <c r="I4543" s="54">
        <v>8684424627</v>
      </c>
      <c r="J4543" s="56" t="s">
        <v>2978</v>
      </c>
      <c r="K4543" s="56">
        <v>3046</v>
      </c>
      <c r="L4543" s="55" t="s">
        <v>2152</v>
      </c>
      <c r="M4543" s="55" t="s">
        <v>2824</v>
      </c>
      <c r="N4543" s="4" t="s">
        <v>1905</v>
      </c>
      <c r="O4543" s="55" t="s">
        <v>178</v>
      </c>
    </row>
    <row r="4544" spans="2:15">
      <c r="B4544" s="20">
        <v>45650</v>
      </c>
      <c r="C4544" s="59">
        <v>50802401</v>
      </c>
      <c r="D4544" s="55" t="s">
        <v>13</v>
      </c>
      <c r="G4544" s="65">
        <v>1159200</v>
      </c>
      <c r="H4544" s="56" t="s">
        <v>92</v>
      </c>
      <c r="I4544" s="54">
        <v>8664883601</v>
      </c>
      <c r="J4544" s="56" t="s">
        <v>2978</v>
      </c>
      <c r="K4544" s="56">
        <v>3046</v>
      </c>
      <c r="L4544" s="55" t="s">
        <v>2152</v>
      </c>
      <c r="M4544" s="55" t="s">
        <v>2824</v>
      </c>
      <c r="N4544" s="4" t="s">
        <v>1905</v>
      </c>
      <c r="O4544" s="55" t="s">
        <v>178</v>
      </c>
    </row>
    <row r="4545" spans="2:15">
      <c r="B4545" s="20">
        <v>45650</v>
      </c>
      <c r="C4545" s="59">
        <v>50142327</v>
      </c>
      <c r="D4545" s="55" t="s">
        <v>256</v>
      </c>
      <c r="G4545" s="65">
        <v>953.4</v>
      </c>
      <c r="H4545" s="56" t="s">
        <v>82</v>
      </c>
      <c r="I4545" s="54">
        <v>8664883601</v>
      </c>
      <c r="J4545" s="56" t="s">
        <v>2978</v>
      </c>
      <c r="K4545" s="56">
        <v>3046</v>
      </c>
      <c r="L4545" s="55" t="s">
        <v>2152</v>
      </c>
      <c r="M4545" s="55" t="s">
        <v>2824</v>
      </c>
      <c r="N4545" s="4" t="s">
        <v>1905</v>
      </c>
      <c r="O4545" s="55" t="s">
        <v>178</v>
      </c>
    </row>
    <row r="4546" spans="2:15">
      <c r="B4546" s="20">
        <v>45652</v>
      </c>
      <c r="C4546" s="59">
        <v>40014675</v>
      </c>
      <c r="D4546" s="55" t="s">
        <v>44</v>
      </c>
      <c r="G4546" s="65">
        <v>34.56</v>
      </c>
      <c r="H4546" s="56" t="s">
        <v>80</v>
      </c>
      <c r="I4546" s="54">
        <v>8666240554</v>
      </c>
      <c r="J4546" s="56" t="s">
        <v>2978</v>
      </c>
      <c r="K4546" s="56" t="s">
        <v>2980</v>
      </c>
      <c r="L4546" s="55" t="s">
        <v>392</v>
      </c>
      <c r="M4546" s="55" t="s">
        <v>2824</v>
      </c>
      <c r="O4546" s="55" t="s">
        <v>178</v>
      </c>
    </row>
    <row r="4547" spans="2:15">
      <c r="B4547" s="20">
        <v>45652</v>
      </c>
      <c r="C4547" s="59">
        <v>40014675</v>
      </c>
      <c r="D4547" s="55" t="s">
        <v>44</v>
      </c>
      <c r="G4547" s="65">
        <v>31.68</v>
      </c>
      <c r="H4547" s="56" t="s">
        <v>80</v>
      </c>
      <c r="I4547" s="54">
        <v>8666240557</v>
      </c>
      <c r="J4547" s="56" t="s">
        <v>2978</v>
      </c>
      <c r="K4547" s="56" t="s">
        <v>2981</v>
      </c>
      <c r="L4547" s="55" t="s">
        <v>176</v>
      </c>
      <c r="M4547" s="55" t="s">
        <v>2824</v>
      </c>
      <c r="O4547" s="55" t="s">
        <v>178</v>
      </c>
    </row>
    <row r="4548" spans="2:15">
      <c r="B4548" s="20">
        <v>45652</v>
      </c>
      <c r="C4548" s="59">
        <v>40014675</v>
      </c>
      <c r="D4548" s="55" t="s">
        <v>44</v>
      </c>
      <c r="G4548" s="65">
        <v>34.56</v>
      </c>
      <c r="H4548" s="56" t="s">
        <v>80</v>
      </c>
      <c r="I4548" s="54">
        <v>8667075660</v>
      </c>
      <c r="J4548" s="56" t="s">
        <v>2978</v>
      </c>
      <c r="K4548" s="56" t="s">
        <v>2982</v>
      </c>
      <c r="L4548" s="55" t="s">
        <v>392</v>
      </c>
      <c r="M4548" s="55" t="s">
        <v>2824</v>
      </c>
      <c r="O4548" s="55" t="s">
        <v>178</v>
      </c>
    </row>
    <row r="4549" spans="2:15">
      <c r="B4549" s="20">
        <v>45652</v>
      </c>
      <c r="C4549" s="59">
        <v>50534881</v>
      </c>
      <c r="D4549" s="55" t="s">
        <v>227</v>
      </c>
      <c r="G4549" s="65">
        <v>23600</v>
      </c>
      <c r="H4549" s="56" t="s">
        <v>92</v>
      </c>
      <c r="I4549" s="54">
        <v>8664884754</v>
      </c>
      <c r="J4549" s="56" t="s">
        <v>2978</v>
      </c>
      <c r="K4549" s="56">
        <v>3047</v>
      </c>
      <c r="L4549" s="55" t="s">
        <v>2152</v>
      </c>
      <c r="M4549" s="55" t="s">
        <v>2824</v>
      </c>
      <c r="N4549" s="4" t="s">
        <v>1905</v>
      </c>
      <c r="O4549" s="55" t="s">
        <v>178</v>
      </c>
    </row>
    <row r="4550" spans="2:15">
      <c r="B4550" s="20">
        <v>45652</v>
      </c>
      <c r="C4550" s="59">
        <v>40010086</v>
      </c>
      <c r="D4550" s="55" t="s">
        <v>79</v>
      </c>
      <c r="G4550" s="65">
        <v>8484</v>
      </c>
      <c r="H4550" s="56" t="s">
        <v>80</v>
      </c>
      <c r="I4550" s="54">
        <v>8664884754</v>
      </c>
      <c r="J4550" s="56" t="s">
        <v>2978</v>
      </c>
      <c r="K4550" s="56">
        <v>3047</v>
      </c>
      <c r="L4550" s="55" t="s">
        <v>2152</v>
      </c>
      <c r="M4550" s="55" t="s">
        <v>2824</v>
      </c>
      <c r="N4550" s="4" t="s">
        <v>1905</v>
      </c>
      <c r="O4550" s="55" t="s">
        <v>178</v>
      </c>
    </row>
    <row r="4551" spans="2:15">
      <c r="B4551" s="20">
        <v>45652</v>
      </c>
      <c r="C4551" s="59">
        <v>50142330</v>
      </c>
      <c r="D4551" s="55" t="s">
        <v>195</v>
      </c>
      <c r="G4551" s="65">
        <v>720</v>
      </c>
      <c r="H4551" s="56" t="s">
        <v>82</v>
      </c>
      <c r="I4551" s="54">
        <v>8664884754</v>
      </c>
      <c r="J4551" s="56" t="s">
        <v>2978</v>
      </c>
      <c r="K4551" s="56">
        <v>3047</v>
      </c>
      <c r="L4551" s="55" t="s">
        <v>2152</v>
      </c>
      <c r="M4551" s="55" t="s">
        <v>2824</v>
      </c>
      <c r="N4551" s="4" t="s">
        <v>1905</v>
      </c>
      <c r="O4551" s="55" t="s">
        <v>178</v>
      </c>
    </row>
    <row r="4552" spans="2:15">
      <c r="B4552" s="20">
        <v>45652</v>
      </c>
      <c r="C4552" s="59">
        <v>50811693</v>
      </c>
      <c r="D4552" s="55" t="s">
        <v>1269</v>
      </c>
      <c r="G4552" s="65">
        <v>500000</v>
      </c>
      <c r="H4552" s="56" t="s">
        <v>92</v>
      </c>
      <c r="I4552" s="54">
        <v>8664884754</v>
      </c>
      <c r="J4552" s="56" t="s">
        <v>2978</v>
      </c>
      <c r="K4552" s="56">
        <v>3047</v>
      </c>
      <c r="L4552" s="55" t="s">
        <v>2152</v>
      </c>
      <c r="M4552" s="55" t="s">
        <v>2824</v>
      </c>
      <c r="N4552" s="4" t="s">
        <v>1905</v>
      </c>
      <c r="O4552" s="55" t="s">
        <v>178</v>
      </c>
    </row>
    <row r="4553" spans="2:15">
      <c r="B4553" s="20">
        <v>45652</v>
      </c>
      <c r="C4553" s="59">
        <v>50802401</v>
      </c>
      <c r="D4553" s="55" t="s">
        <v>13</v>
      </c>
      <c r="G4553" s="65">
        <v>2898000</v>
      </c>
      <c r="H4553" s="56" t="s">
        <v>92</v>
      </c>
      <c r="I4553" s="54">
        <v>8664884754</v>
      </c>
      <c r="J4553" s="56" t="s">
        <v>2978</v>
      </c>
      <c r="K4553" s="56">
        <v>3047</v>
      </c>
      <c r="L4553" s="55" t="s">
        <v>2152</v>
      </c>
      <c r="M4553" s="55" t="s">
        <v>2824</v>
      </c>
      <c r="N4553" s="4" t="s">
        <v>1905</v>
      </c>
      <c r="O4553" s="55" t="s">
        <v>178</v>
      </c>
    </row>
    <row r="4554" spans="2:15">
      <c r="B4554" s="20">
        <v>45652</v>
      </c>
      <c r="C4554" s="59">
        <v>50272278</v>
      </c>
      <c r="D4554" s="69" t="s">
        <v>21</v>
      </c>
      <c r="G4554" s="65">
        <v>11200</v>
      </c>
      <c r="I4554" s="54">
        <v>8664884813</v>
      </c>
      <c r="J4554" s="56" t="s">
        <v>2978</v>
      </c>
      <c r="K4554" s="56">
        <v>3048</v>
      </c>
      <c r="L4554" s="55" t="s">
        <v>2152</v>
      </c>
      <c r="M4554" s="55" t="s">
        <v>2824</v>
      </c>
      <c r="N4554" s="4" t="s">
        <v>1905</v>
      </c>
      <c r="O4554" s="55" t="s">
        <v>178</v>
      </c>
    </row>
    <row r="4555" spans="2:15">
      <c r="B4555" s="20">
        <v>45652</v>
      </c>
      <c r="C4555" s="59">
        <v>40014675</v>
      </c>
      <c r="D4555" s="55" t="s">
        <v>44</v>
      </c>
      <c r="G4555" s="65">
        <v>31.68</v>
      </c>
      <c r="H4555" s="56" t="s">
        <v>80</v>
      </c>
      <c r="I4555" s="54">
        <v>8666240560</v>
      </c>
      <c r="J4555" s="56" t="s">
        <v>2978</v>
      </c>
      <c r="K4555" s="56" t="s">
        <v>2983</v>
      </c>
      <c r="L4555" s="55" t="s">
        <v>176</v>
      </c>
      <c r="M4555" s="55" t="s">
        <v>2824</v>
      </c>
      <c r="O4555" s="55" t="s">
        <v>178</v>
      </c>
    </row>
    <row r="4556" spans="2:15">
      <c r="B4556" s="20">
        <v>45653</v>
      </c>
      <c r="C4556" s="59">
        <v>50470190</v>
      </c>
      <c r="D4556" s="55" t="s">
        <v>12</v>
      </c>
      <c r="G4556" s="65">
        <v>579600</v>
      </c>
      <c r="H4556" s="56" t="s">
        <v>92</v>
      </c>
      <c r="I4556" s="54">
        <v>8665286243</v>
      </c>
      <c r="J4556" s="56" t="s">
        <v>2978</v>
      </c>
      <c r="K4556" s="56">
        <v>3049</v>
      </c>
      <c r="L4556" s="55" t="s">
        <v>2152</v>
      </c>
      <c r="M4556" s="55" t="s">
        <v>2824</v>
      </c>
      <c r="N4556" s="4" t="s">
        <v>1905</v>
      </c>
      <c r="O4556" s="55" t="s">
        <v>178</v>
      </c>
    </row>
    <row r="4557" spans="2:15">
      <c r="B4557" s="20">
        <v>45653</v>
      </c>
      <c r="C4557" s="59">
        <v>50802401</v>
      </c>
      <c r="D4557" s="55" t="s">
        <v>13</v>
      </c>
      <c r="G4557" s="65">
        <v>2608200</v>
      </c>
      <c r="H4557" s="56" t="s">
        <v>92</v>
      </c>
      <c r="I4557" s="54">
        <v>8665286243</v>
      </c>
      <c r="J4557" s="56" t="s">
        <v>2978</v>
      </c>
      <c r="K4557" s="56">
        <v>3049</v>
      </c>
      <c r="L4557" s="55" t="s">
        <v>2152</v>
      </c>
      <c r="M4557" s="55" t="s">
        <v>2824</v>
      </c>
      <c r="N4557" s="4" t="s">
        <v>1905</v>
      </c>
      <c r="O4557" s="55" t="s">
        <v>178</v>
      </c>
    </row>
    <row r="4558" spans="2:15">
      <c r="B4558" s="20">
        <v>45653</v>
      </c>
      <c r="C4558" s="59">
        <v>50470190</v>
      </c>
      <c r="D4558" s="55" t="s">
        <v>12</v>
      </c>
      <c r="G4558" s="65">
        <v>2028600</v>
      </c>
      <c r="H4558" s="56" t="s">
        <v>92</v>
      </c>
      <c r="I4558" s="54">
        <v>8666244207</v>
      </c>
      <c r="J4558" s="56" t="s">
        <v>2978</v>
      </c>
      <c r="K4558" s="56">
        <v>3049</v>
      </c>
      <c r="L4558" s="55" t="s">
        <v>2152</v>
      </c>
      <c r="M4558" s="55" t="s">
        <v>2824</v>
      </c>
      <c r="N4558" s="4" t="s">
        <v>1905</v>
      </c>
      <c r="O4558" s="55" t="s">
        <v>178</v>
      </c>
    </row>
    <row r="4559" spans="2:15">
      <c r="B4559" s="20">
        <v>45653</v>
      </c>
      <c r="C4559" s="59">
        <v>50501117</v>
      </c>
      <c r="D4559" s="55" t="s">
        <v>1541</v>
      </c>
      <c r="G4559" s="65">
        <v>52.416</v>
      </c>
      <c r="H4559" s="56" t="s">
        <v>80</v>
      </c>
      <c r="I4559" s="54" t="s">
        <v>2874</v>
      </c>
      <c r="J4559" s="56" t="s">
        <v>2978</v>
      </c>
      <c r="K4559" s="56">
        <v>3050</v>
      </c>
      <c r="L4559" s="55" t="s">
        <v>176</v>
      </c>
      <c r="M4559" s="55" t="s">
        <v>392</v>
      </c>
      <c r="N4559" s="4" t="s">
        <v>177</v>
      </c>
      <c r="O4559" s="55" t="s">
        <v>178</v>
      </c>
    </row>
    <row r="4560" spans="2:15">
      <c r="B4560" s="20">
        <v>45653</v>
      </c>
      <c r="C4560" s="59">
        <v>50010080</v>
      </c>
      <c r="D4560" s="55" t="s">
        <v>1657</v>
      </c>
      <c r="G4560" s="65">
        <v>2000</v>
      </c>
      <c r="H4560" s="56" t="s">
        <v>82</v>
      </c>
      <c r="I4560" s="54">
        <v>8666240154</v>
      </c>
      <c r="J4560" s="56" t="s">
        <v>2978</v>
      </c>
      <c r="K4560" s="56">
        <v>3051</v>
      </c>
      <c r="L4560" s="55" t="s">
        <v>2152</v>
      </c>
      <c r="M4560" s="55" t="s">
        <v>2824</v>
      </c>
      <c r="N4560" s="4" t="s">
        <v>1905</v>
      </c>
      <c r="O4560" s="55" t="s">
        <v>178</v>
      </c>
    </row>
    <row r="4561" spans="2:15">
      <c r="B4561" s="20">
        <v>45653</v>
      </c>
      <c r="C4561" s="59">
        <v>40009544</v>
      </c>
      <c r="D4561" s="55" t="s">
        <v>179</v>
      </c>
      <c r="G4561" s="65">
        <v>5656</v>
      </c>
      <c r="H4561" s="56" t="s">
        <v>80</v>
      </c>
      <c r="I4561" s="54">
        <v>8666240154</v>
      </c>
      <c r="J4561" s="56" t="s">
        <v>2978</v>
      </c>
      <c r="K4561" s="56">
        <v>3051</v>
      </c>
      <c r="L4561" s="55" t="s">
        <v>2152</v>
      </c>
      <c r="M4561" s="55" t="s">
        <v>2824</v>
      </c>
      <c r="N4561" s="4" t="s">
        <v>1905</v>
      </c>
      <c r="O4561" s="55" t="s">
        <v>178</v>
      </c>
    </row>
    <row r="4562" spans="2:15">
      <c r="B4562" s="20">
        <v>45653</v>
      </c>
      <c r="C4562" s="59">
        <v>40010087</v>
      </c>
      <c r="D4562" s="55" t="s">
        <v>387</v>
      </c>
      <c r="G4562" s="65">
        <v>1728</v>
      </c>
      <c r="H4562" s="56" t="s">
        <v>80</v>
      </c>
      <c r="I4562" s="54">
        <v>8666240154</v>
      </c>
      <c r="J4562" s="56" t="s">
        <v>2978</v>
      </c>
      <c r="K4562" s="56">
        <v>3051</v>
      </c>
      <c r="L4562" s="55" t="s">
        <v>2152</v>
      </c>
      <c r="M4562" s="55" t="s">
        <v>2824</v>
      </c>
      <c r="N4562" s="4" t="s">
        <v>1905</v>
      </c>
      <c r="O4562" s="55" t="s">
        <v>178</v>
      </c>
    </row>
    <row r="4563" spans="2:15">
      <c r="B4563" s="20">
        <v>45653</v>
      </c>
      <c r="C4563" s="59">
        <v>50272278</v>
      </c>
      <c r="D4563" s="55" t="s">
        <v>21</v>
      </c>
      <c r="G4563" s="65">
        <v>9500</v>
      </c>
      <c r="H4563" s="56" t="s">
        <v>92</v>
      </c>
      <c r="I4563" s="54">
        <v>8666244196</v>
      </c>
      <c r="J4563" s="56" t="s">
        <v>2978</v>
      </c>
      <c r="K4563" s="56">
        <v>3051</v>
      </c>
      <c r="L4563" s="55" t="s">
        <v>2152</v>
      </c>
      <c r="M4563" s="55" t="s">
        <v>2824</v>
      </c>
      <c r="N4563" s="4" t="s">
        <v>1905</v>
      </c>
      <c r="O4563" s="55" t="s">
        <v>178</v>
      </c>
    </row>
    <row r="4564" spans="2:15">
      <c r="B4564" s="20">
        <v>45653</v>
      </c>
      <c r="C4564" s="59">
        <v>50143875</v>
      </c>
      <c r="D4564" s="55" t="s">
        <v>713</v>
      </c>
      <c r="G4564" s="65">
        <v>2500</v>
      </c>
      <c r="H4564" s="56" t="s">
        <v>92</v>
      </c>
      <c r="I4564" s="54">
        <v>8684424627</v>
      </c>
      <c r="J4564" s="56" t="s">
        <v>2978</v>
      </c>
      <c r="K4564" s="56">
        <v>3051</v>
      </c>
      <c r="L4564" s="55" t="s">
        <v>2152</v>
      </c>
      <c r="M4564" s="55" t="s">
        <v>2824</v>
      </c>
      <c r="N4564" s="4" t="s">
        <v>1905</v>
      </c>
      <c r="O4564" s="55" t="s">
        <v>178</v>
      </c>
    </row>
    <row r="4565" spans="2:15">
      <c r="B4565" s="20">
        <v>45653</v>
      </c>
      <c r="C4565" s="59">
        <v>50142237</v>
      </c>
      <c r="D4565" s="55" t="s">
        <v>617</v>
      </c>
      <c r="G4565" s="65">
        <v>10000</v>
      </c>
      <c r="H4565" s="56" t="s">
        <v>92</v>
      </c>
      <c r="I4565" s="54">
        <v>8666240154</v>
      </c>
      <c r="J4565" s="56" t="s">
        <v>2978</v>
      </c>
      <c r="K4565" s="56">
        <v>3051</v>
      </c>
      <c r="L4565" s="55" t="s">
        <v>2152</v>
      </c>
      <c r="M4565" s="55" t="s">
        <v>2824</v>
      </c>
      <c r="N4565" s="4" t="s">
        <v>1905</v>
      </c>
      <c r="O4565" s="55" t="s">
        <v>178</v>
      </c>
    </row>
    <row r="4566" spans="2:15">
      <c r="B4566" s="20">
        <v>45653</v>
      </c>
      <c r="C4566" s="59">
        <v>20016059</v>
      </c>
      <c r="D4566" s="55" t="s">
        <v>1498</v>
      </c>
      <c r="G4566" s="65">
        <v>100</v>
      </c>
      <c r="H4566" s="56" t="s">
        <v>92</v>
      </c>
      <c r="I4566" s="54">
        <v>8666240154</v>
      </c>
      <c r="J4566" s="56" t="s">
        <v>2978</v>
      </c>
      <c r="K4566" s="56">
        <v>3051</v>
      </c>
      <c r="L4566" s="55" t="s">
        <v>2152</v>
      </c>
      <c r="M4566" s="55" t="s">
        <v>2824</v>
      </c>
      <c r="N4566" s="4" t="s">
        <v>1905</v>
      </c>
      <c r="O4566" s="55" t="s">
        <v>178</v>
      </c>
    </row>
    <row r="4567" spans="2:15">
      <c r="B4567" s="20">
        <v>45653</v>
      </c>
      <c r="C4567" s="59">
        <v>50811693</v>
      </c>
      <c r="D4567" s="55" t="s">
        <v>1269</v>
      </c>
      <c r="G4567" s="65">
        <v>1500000</v>
      </c>
      <c r="H4567" s="56" t="s">
        <v>92</v>
      </c>
      <c r="I4567" s="54">
        <v>8666240154</v>
      </c>
      <c r="J4567" s="56" t="s">
        <v>2978</v>
      </c>
      <c r="K4567" s="56">
        <v>3051</v>
      </c>
      <c r="L4567" s="55" t="s">
        <v>2152</v>
      </c>
      <c r="M4567" s="55" t="s">
        <v>2824</v>
      </c>
      <c r="N4567" s="4" t="s">
        <v>1905</v>
      </c>
      <c r="O4567" s="55" t="s">
        <v>178</v>
      </c>
    </row>
    <row r="4568" spans="2:15">
      <c r="B4568" s="20">
        <v>45653</v>
      </c>
      <c r="C4568" s="59">
        <v>50337816</v>
      </c>
      <c r="D4568" s="55" t="s">
        <v>245</v>
      </c>
      <c r="G4568" s="65">
        <v>1056</v>
      </c>
      <c r="H4568" s="56" t="s">
        <v>80</v>
      </c>
      <c r="I4568" s="54">
        <v>8666240154</v>
      </c>
      <c r="J4568" s="56" t="s">
        <v>2978</v>
      </c>
      <c r="K4568" s="56">
        <v>3051</v>
      </c>
      <c r="L4568" s="55" t="s">
        <v>2152</v>
      </c>
      <c r="M4568" s="55" t="s">
        <v>2824</v>
      </c>
      <c r="N4568" s="4" t="s">
        <v>1905</v>
      </c>
      <c r="O4568" s="55" t="s">
        <v>178</v>
      </c>
    </row>
    <row r="4569" spans="2:15">
      <c r="B4569" s="20">
        <v>45653</v>
      </c>
      <c r="C4569" s="59">
        <v>40011588</v>
      </c>
      <c r="D4569" s="55" t="s">
        <v>585</v>
      </c>
      <c r="G4569" s="65">
        <v>450</v>
      </c>
      <c r="H4569" s="56" t="s">
        <v>80</v>
      </c>
      <c r="I4569" s="54">
        <v>8666240154</v>
      </c>
      <c r="J4569" s="56" t="s">
        <v>2978</v>
      </c>
      <c r="K4569" s="56">
        <v>3051</v>
      </c>
      <c r="L4569" s="55" t="s">
        <v>2152</v>
      </c>
      <c r="M4569" s="55" t="s">
        <v>2824</v>
      </c>
      <c r="N4569" s="4" t="s">
        <v>1905</v>
      </c>
      <c r="O4569" s="55" t="s">
        <v>178</v>
      </c>
    </row>
    <row r="4570" spans="2:15">
      <c r="B4570" s="20">
        <v>45653</v>
      </c>
      <c r="C4570" s="59">
        <v>50142327</v>
      </c>
      <c r="D4570" s="55" t="s">
        <v>256</v>
      </c>
      <c r="G4570" s="65">
        <v>953.4</v>
      </c>
      <c r="H4570" s="56" t="s">
        <v>82</v>
      </c>
      <c r="I4570" s="54">
        <v>8666240154</v>
      </c>
      <c r="J4570" s="56" t="s">
        <v>2978</v>
      </c>
      <c r="K4570" s="56">
        <v>3051</v>
      </c>
      <c r="L4570" s="55" t="s">
        <v>2152</v>
      </c>
      <c r="M4570" s="55" t="s">
        <v>2824</v>
      </c>
      <c r="N4570" s="4" t="s">
        <v>1905</v>
      </c>
      <c r="O4570" s="55" t="s">
        <v>178</v>
      </c>
    </row>
    <row r="4571" spans="2:15">
      <c r="B4571" s="20">
        <v>45653</v>
      </c>
      <c r="C4571" s="59">
        <v>50142334</v>
      </c>
      <c r="D4571" s="55" t="s">
        <v>257</v>
      </c>
      <c r="G4571" s="65">
        <v>953.4</v>
      </c>
      <c r="H4571" s="56" t="s">
        <v>82</v>
      </c>
      <c r="I4571" s="54">
        <v>8666240154</v>
      </c>
      <c r="J4571" s="56" t="s">
        <v>2978</v>
      </c>
      <c r="K4571" s="56">
        <v>3051</v>
      </c>
      <c r="L4571" s="55" t="s">
        <v>2152</v>
      </c>
      <c r="M4571" s="55" t="s">
        <v>2824</v>
      </c>
      <c r="N4571" s="4" t="s">
        <v>1905</v>
      </c>
      <c r="O4571" s="55" t="s">
        <v>178</v>
      </c>
    </row>
    <row r="4572" spans="2:15">
      <c r="B4572" s="20">
        <v>45653</v>
      </c>
      <c r="C4572" s="59">
        <v>40014675</v>
      </c>
      <c r="D4572" s="55" t="s">
        <v>44</v>
      </c>
      <c r="G4572" s="65">
        <v>106.4</v>
      </c>
      <c r="H4572" s="56" t="s">
        <v>80</v>
      </c>
      <c r="I4572" s="54">
        <v>8667075657</v>
      </c>
      <c r="J4572" s="56" t="s">
        <v>2978</v>
      </c>
      <c r="K4572" s="56">
        <v>3052</v>
      </c>
      <c r="L4572" s="55" t="s">
        <v>176</v>
      </c>
      <c r="M4572" s="55" t="s">
        <v>2824</v>
      </c>
      <c r="N4572" s="4" t="s">
        <v>177</v>
      </c>
      <c r="O4572" s="55" t="s">
        <v>178</v>
      </c>
    </row>
    <row r="4573" spans="2:15">
      <c r="B4573" s="20">
        <v>45653</v>
      </c>
      <c r="C4573" s="59">
        <v>40014675</v>
      </c>
      <c r="D4573" s="55" t="s">
        <v>44</v>
      </c>
      <c r="G4573" s="65">
        <v>34.56</v>
      </c>
      <c r="H4573" s="56" t="s">
        <v>80</v>
      </c>
      <c r="I4573" s="54">
        <v>8666240563</v>
      </c>
      <c r="J4573" s="56" t="s">
        <v>2978</v>
      </c>
      <c r="K4573" s="56" t="s">
        <v>2984</v>
      </c>
      <c r="L4573" s="55" t="s">
        <v>392</v>
      </c>
      <c r="M4573" s="55" t="s">
        <v>2824</v>
      </c>
      <c r="O4573" s="55" t="s">
        <v>178</v>
      </c>
    </row>
    <row r="4574" spans="2:15">
      <c r="B4574" s="20">
        <v>45653</v>
      </c>
      <c r="C4574" s="59">
        <v>50272278</v>
      </c>
      <c r="D4574" s="55" t="s">
        <v>21</v>
      </c>
      <c r="G4574" s="65">
        <v>9000</v>
      </c>
      <c r="H4574" s="56" t="s">
        <v>92</v>
      </c>
      <c r="I4574" s="54">
        <v>8666244203</v>
      </c>
      <c r="J4574" s="56" t="s">
        <v>2978</v>
      </c>
      <c r="K4574" s="56">
        <v>3053</v>
      </c>
      <c r="L4574" s="55" t="s">
        <v>2152</v>
      </c>
      <c r="M4574" s="55" t="s">
        <v>2824</v>
      </c>
      <c r="N4574" s="4" t="s">
        <v>1905</v>
      </c>
      <c r="O4574" s="55" t="s">
        <v>178</v>
      </c>
    </row>
    <row r="4575" spans="2:15">
      <c r="B4575" s="20">
        <v>45653</v>
      </c>
      <c r="C4575" s="59">
        <v>50818948</v>
      </c>
      <c r="D4575" s="66" t="s">
        <v>2985</v>
      </c>
      <c r="G4575" s="65">
        <v>30000</v>
      </c>
      <c r="H4575" s="56" t="s">
        <v>92</v>
      </c>
      <c r="I4575" s="54" t="s">
        <v>2986</v>
      </c>
      <c r="J4575" s="56" t="s">
        <v>2978</v>
      </c>
      <c r="K4575" s="56">
        <v>3053</v>
      </c>
      <c r="L4575" s="55" t="s">
        <v>2152</v>
      </c>
      <c r="M4575" s="55" t="s">
        <v>2824</v>
      </c>
      <c r="N4575" s="4" t="s">
        <v>1905</v>
      </c>
      <c r="O4575" s="55" t="s">
        <v>178</v>
      </c>
    </row>
    <row r="4576" spans="2:15">
      <c r="B4576" s="20">
        <v>45653</v>
      </c>
      <c r="C4576" s="59">
        <v>50818947</v>
      </c>
      <c r="D4576" s="66" t="s">
        <v>2987</v>
      </c>
      <c r="G4576" s="65">
        <v>50000</v>
      </c>
      <c r="H4576" s="56" t="s">
        <v>92</v>
      </c>
      <c r="I4576" s="54" t="s">
        <v>2986</v>
      </c>
      <c r="J4576" s="56" t="s">
        <v>2978</v>
      </c>
      <c r="K4576" s="56">
        <v>3053</v>
      </c>
      <c r="L4576" s="55" t="s">
        <v>2152</v>
      </c>
      <c r="M4576" s="55" t="s">
        <v>2824</v>
      </c>
      <c r="N4576" s="4" t="s">
        <v>1905</v>
      </c>
      <c r="O4576" s="55" t="s">
        <v>178</v>
      </c>
    </row>
    <row r="4577" spans="2:15">
      <c r="B4577" s="20">
        <v>45653</v>
      </c>
      <c r="C4577" s="59">
        <v>50802401</v>
      </c>
      <c r="D4577" s="66" t="s">
        <v>2988</v>
      </c>
      <c r="G4577" s="65">
        <v>1449000</v>
      </c>
      <c r="H4577" s="56" t="s">
        <v>92</v>
      </c>
      <c r="I4577" s="54" t="s">
        <v>2986</v>
      </c>
      <c r="J4577" s="56" t="s">
        <v>2978</v>
      </c>
      <c r="K4577" s="56">
        <v>3053</v>
      </c>
      <c r="L4577" s="55" t="s">
        <v>2152</v>
      </c>
      <c r="M4577" s="55" t="s">
        <v>2824</v>
      </c>
      <c r="N4577" s="4" t="s">
        <v>1905</v>
      </c>
      <c r="O4577" s="55" t="s">
        <v>178</v>
      </c>
    </row>
    <row r="4578" spans="2:15">
      <c r="B4578" s="20">
        <v>45654</v>
      </c>
      <c r="C4578" s="59">
        <v>40014675</v>
      </c>
      <c r="D4578" s="55" t="s">
        <v>44</v>
      </c>
      <c r="G4578" s="65">
        <v>31.68</v>
      </c>
      <c r="H4578" s="56" t="s">
        <v>80</v>
      </c>
      <c r="I4578" s="54">
        <v>8666240595</v>
      </c>
      <c r="J4578" s="56" t="s">
        <v>2978</v>
      </c>
      <c r="K4578" s="56" t="s">
        <v>2989</v>
      </c>
      <c r="L4578" s="55" t="s">
        <v>176</v>
      </c>
      <c r="M4578" s="55" t="s">
        <v>2824</v>
      </c>
      <c r="O4578" s="55" t="s">
        <v>178</v>
      </c>
    </row>
    <row r="4579" spans="2:15">
      <c r="B4579" s="20">
        <v>45654</v>
      </c>
      <c r="C4579" s="59">
        <v>40014675</v>
      </c>
      <c r="D4579" s="55" t="s">
        <v>44</v>
      </c>
      <c r="G4579" s="65">
        <v>34.56</v>
      </c>
      <c r="H4579" s="56" t="s">
        <v>80</v>
      </c>
      <c r="I4579" s="54">
        <v>8666240710</v>
      </c>
      <c r="J4579" s="56" t="s">
        <v>2978</v>
      </c>
      <c r="K4579" s="56" t="s">
        <v>2990</v>
      </c>
      <c r="L4579" s="55" t="s">
        <v>392</v>
      </c>
      <c r="M4579" s="55" t="s">
        <v>2824</v>
      </c>
      <c r="O4579" s="55" t="s">
        <v>178</v>
      </c>
    </row>
    <row r="4580" spans="2:15">
      <c r="B4580" s="20">
        <v>45654</v>
      </c>
      <c r="C4580" s="59">
        <v>40014675</v>
      </c>
      <c r="D4580" s="55" t="s">
        <v>44</v>
      </c>
      <c r="G4580" s="65">
        <v>31.68</v>
      </c>
      <c r="H4580" s="56" t="s">
        <v>80</v>
      </c>
      <c r="I4580" s="54">
        <v>8666240713</v>
      </c>
      <c r="J4580" s="56" t="s">
        <v>2978</v>
      </c>
      <c r="K4580" s="56" t="s">
        <v>2991</v>
      </c>
      <c r="L4580" s="55" t="s">
        <v>176</v>
      </c>
      <c r="M4580" s="55" t="s">
        <v>2824</v>
      </c>
      <c r="O4580" s="55" t="s">
        <v>178</v>
      </c>
    </row>
    <row r="4581" spans="2:15">
      <c r="B4581" s="20">
        <v>45654</v>
      </c>
      <c r="C4581" s="59">
        <v>40014675</v>
      </c>
      <c r="D4581" s="55" t="s">
        <v>44</v>
      </c>
      <c r="G4581" s="65">
        <v>34.56</v>
      </c>
      <c r="H4581" s="56" t="s">
        <v>80</v>
      </c>
      <c r="I4581" s="54">
        <v>8666240764</v>
      </c>
      <c r="J4581" s="56" t="s">
        <v>2978</v>
      </c>
      <c r="K4581" s="56" t="s">
        <v>2992</v>
      </c>
      <c r="L4581" s="55" t="s">
        <v>392</v>
      </c>
      <c r="M4581" s="55" t="s">
        <v>2824</v>
      </c>
      <c r="O4581" s="55" t="s">
        <v>178</v>
      </c>
    </row>
    <row r="4582" spans="2:15">
      <c r="B4582" s="20">
        <v>45654</v>
      </c>
      <c r="C4582" s="59">
        <v>50501117</v>
      </c>
      <c r="D4582" s="55" t="s">
        <v>1541</v>
      </c>
      <c r="G4582" s="122">
        <v>52.416</v>
      </c>
      <c r="H4582" s="56" t="s">
        <v>80</v>
      </c>
      <c r="I4582" s="54" t="s">
        <v>2874</v>
      </c>
      <c r="J4582" s="56" t="s">
        <v>2978</v>
      </c>
      <c r="K4582" s="56">
        <v>3054</v>
      </c>
      <c r="L4582" s="55" t="s">
        <v>176</v>
      </c>
      <c r="M4582" s="55" t="s">
        <v>392</v>
      </c>
      <c r="N4582" s="4" t="s">
        <v>177</v>
      </c>
      <c r="O4582" s="55" t="s">
        <v>178</v>
      </c>
    </row>
    <row r="4583" spans="2:15">
      <c r="B4583" s="20">
        <v>45655</v>
      </c>
      <c r="C4583" s="59">
        <v>40014675</v>
      </c>
      <c r="D4583" s="55" t="s">
        <v>44</v>
      </c>
      <c r="G4583" s="65">
        <v>31.68</v>
      </c>
      <c r="H4583" s="56" t="s">
        <v>80</v>
      </c>
      <c r="I4583" s="54">
        <v>8666240826</v>
      </c>
      <c r="J4583" s="56" t="s">
        <v>2978</v>
      </c>
      <c r="K4583" s="56" t="s">
        <v>2993</v>
      </c>
      <c r="L4583" s="55" t="s">
        <v>176</v>
      </c>
      <c r="M4583" s="55" t="s">
        <v>2824</v>
      </c>
      <c r="O4583" s="55" t="s">
        <v>178</v>
      </c>
    </row>
    <row r="4584" spans="2:15">
      <c r="B4584" s="20">
        <v>45655</v>
      </c>
      <c r="C4584" s="59">
        <v>40014675</v>
      </c>
      <c r="D4584" s="55" t="s">
        <v>44</v>
      </c>
      <c r="G4584" s="65">
        <v>34.56</v>
      </c>
      <c r="H4584" s="56" t="s">
        <v>80</v>
      </c>
      <c r="I4584" s="54">
        <v>8666240770</v>
      </c>
      <c r="J4584" s="56" t="s">
        <v>2978</v>
      </c>
      <c r="K4584" s="56" t="s">
        <v>2994</v>
      </c>
      <c r="L4584" s="55" t="s">
        <v>392</v>
      </c>
      <c r="M4584" s="55" t="s">
        <v>2824</v>
      </c>
      <c r="O4584" s="55" t="s">
        <v>178</v>
      </c>
    </row>
    <row r="4585" spans="2:15">
      <c r="B4585" s="20">
        <v>45655</v>
      </c>
      <c r="C4585" s="59">
        <v>40014675</v>
      </c>
      <c r="D4585" s="55" t="s">
        <v>44</v>
      </c>
      <c r="G4585" s="65">
        <v>31.68</v>
      </c>
      <c r="H4585" s="56" t="s">
        <v>80</v>
      </c>
      <c r="I4585" s="54">
        <v>8666240773</v>
      </c>
      <c r="J4585" s="56" t="s">
        <v>2978</v>
      </c>
      <c r="K4585" s="56" t="s">
        <v>2995</v>
      </c>
      <c r="L4585" s="55" t="s">
        <v>176</v>
      </c>
      <c r="M4585" s="55" t="s">
        <v>2824</v>
      </c>
      <c r="O4585" s="55" t="s">
        <v>178</v>
      </c>
    </row>
    <row r="4586" spans="2:15">
      <c r="B4586" s="20">
        <v>45655</v>
      </c>
      <c r="C4586" s="59">
        <v>40014675</v>
      </c>
      <c r="D4586" s="55" t="s">
        <v>44</v>
      </c>
      <c r="G4586" s="65">
        <v>34.56</v>
      </c>
      <c r="H4586" s="56" t="s">
        <v>80</v>
      </c>
      <c r="I4586" s="54">
        <v>8666240831</v>
      </c>
      <c r="J4586" s="56" t="s">
        <v>2978</v>
      </c>
      <c r="K4586" s="56" t="s">
        <v>2996</v>
      </c>
      <c r="L4586" s="55" t="s">
        <v>392</v>
      </c>
      <c r="M4586" s="55" t="s">
        <v>2824</v>
      </c>
      <c r="O4586" s="55" t="s">
        <v>178</v>
      </c>
    </row>
    <row r="4587" spans="2:15">
      <c r="B4587" s="20">
        <v>45656</v>
      </c>
      <c r="C4587" s="59">
        <v>50272278</v>
      </c>
      <c r="D4587" s="69" t="s">
        <v>21</v>
      </c>
      <c r="G4587" s="65">
        <v>12000</v>
      </c>
      <c r="H4587" s="56" t="s">
        <v>92</v>
      </c>
      <c r="I4587" s="54">
        <v>8666250857</v>
      </c>
      <c r="J4587" s="56" t="s">
        <v>2978</v>
      </c>
      <c r="K4587" s="56">
        <v>3055</v>
      </c>
      <c r="L4587" s="55" t="s">
        <v>2152</v>
      </c>
      <c r="M4587" s="55" t="s">
        <v>2824</v>
      </c>
      <c r="N4587" s="4" t="s">
        <v>1905</v>
      </c>
      <c r="O4587" s="55" t="s">
        <v>178</v>
      </c>
    </row>
    <row r="4588" spans="2:15">
      <c r="B4588" s="20">
        <v>45656</v>
      </c>
      <c r="C4588" s="59">
        <v>40014675</v>
      </c>
      <c r="D4588" s="55" t="s">
        <v>44</v>
      </c>
      <c r="G4588" s="65">
        <v>31.68</v>
      </c>
      <c r="H4588" s="56" t="s">
        <v>80</v>
      </c>
      <c r="I4588" s="54">
        <v>8667075576</v>
      </c>
      <c r="J4588" s="56" t="s">
        <v>2978</v>
      </c>
      <c r="K4588" s="56" t="s">
        <v>2997</v>
      </c>
      <c r="L4588" s="55" t="s">
        <v>176</v>
      </c>
      <c r="M4588" s="55" t="s">
        <v>2824</v>
      </c>
      <c r="O4588" s="55" t="s">
        <v>178</v>
      </c>
    </row>
    <row r="4589" spans="2:15">
      <c r="B4589" s="20">
        <v>45656</v>
      </c>
      <c r="C4589" s="59">
        <v>40014675</v>
      </c>
      <c r="D4589" s="55" t="s">
        <v>44</v>
      </c>
      <c r="G4589" s="65">
        <v>34.56</v>
      </c>
      <c r="H4589" s="56" t="s">
        <v>80</v>
      </c>
      <c r="I4589" s="54">
        <v>8667075578</v>
      </c>
      <c r="J4589" s="56" t="s">
        <v>2978</v>
      </c>
      <c r="K4589" s="56" t="s">
        <v>2998</v>
      </c>
      <c r="L4589" s="55" t="s">
        <v>392</v>
      </c>
      <c r="M4589" s="55" t="s">
        <v>2824</v>
      </c>
      <c r="O4589" s="55" t="s">
        <v>178</v>
      </c>
    </row>
    <row r="4590" spans="2:15">
      <c r="B4590" s="20">
        <v>45656</v>
      </c>
      <c r="C4590" s="59">
        <v>50824293</v>
      </c>
      <c r="D4590" s="66" t="s">
        <v>2999</v>
      </c>
      <c r="G4590" s="65">
        <v>1944000</v>
      </c>
      <c r="H4590" s="56" t="s">
        <v>92</v>
      </c>
      <c r="I4590" s="54" t="s">
        <v>2986</v>
      </c>
      <c r="J4590" s="56" t="s">
        <v>2978</v>
      </c>
      <c r="K4590" s="56">
        <v>3056</v>
      </c>
      <c r="L4590" s="55" t="s">
        <v>2152</v>
      </c>
      <c r="M4590" s="55" t="s">
        <v>2824</v>
      </c>
      <c r="N4590" s="4" t="s">
        <v>1905</v>
      </c>
      <c r="O4590" s="55" t="s">
        <v>178</v>
      </c>
    </row>
    <row r="4591" spans="2:15">
      <c r="B4591" s="20">
        <v>45656</v>
      </c>
      <c r="C4591" s="59">
        <v>50272278</v>
      </c>
      <c r="D4591" s="55" t="s">
        <v>21</v>
      </c>
      <c r="G4591" s="65">
        <v>7000</v>
      </c>
      <c r="H4591" s="56" t="s">
        <v>92</v>
      </c>
      <c r="I4591" s="54">
        <v>8666251229</v>
      </c>
      <c r="J4591" s="56" t="s">
        <v>2978</v>
      </c>
      <c r="K4591" s="56">
        <v>3056</v>
      </c>
      <c r="L4591" s="55" t="s">
        <v>2152</v>
      </c>
      <c r="M4591" s="55" t="s">
        <v>2824</v>
      </c>
      <c r="N4591" s="4" t="s">
        <v>1905</v>
      </c>
      <c r="O4591" s="55" t="s">
        <v>178</v>
      </c>
    </row>
    <row r="4592" spans="2:15">
      <c r="B4592" s="20">
        <v>45656</v>
      </c>
      <c r="C4592" s="59">
        <v>40009543</v>
      </c>
      <c r="D4592" s="55" t="s">
        <v>473</v>
      </c>
      <c r="G4592" s="65">
        <v>2000</v>
      </c>
      <c r="H4592" s="56" t="s">
        <v>80</v>
      </c>
      <c r="I4592" s="54">
        <v>8666251229</v>
      </c>
      <c r="J4592" s="56" t="s">
        <v>2978</v>
      </c>
      <c r="K4592" s="56">
        <v>3056</v>
      </c>
      <c r="L4592" s="55" t="s">
        <v>2152</v>
      </c>
      <c r="M4592" s="55" t="s">
        <v>2824</v>
      </c>
      <c r="N4592" s="4" t="s">
        <v>1905</v>
      </c>
      <c r="O4592" s="55" t="s">
        <v>178</v>
      </c>
    </row>
    <row r="4593" spans="2:15">
      <c r="B4593" s="20">
        <v>45656</v>
      </c>
      <c r="C4593" s="59">
        <v>50392470</v>
      </c>
      <c r="D4593" s="55" t="s">
        <v>841</v>
      </c>
      <c r="G4593" s="65">
        <v>1023000</v>
      </c>
      <c r="H4593" s="56" t="s">
        <v>92</v>
      </c>
      <c r="I4593" s="54">
        <v>8666251229</v>
      </c>
      <c r="J4593" s="56" t="s">
        <v>2978</v>
      </c>
      <c r="K4593" s="56">
        <v>3056</v>
      </c>
      <c r="L4593" s="55" t="s">
        <v>2152</v>
      </c>
      <c r="M4593" s="55" t="s">
        <v>2824</v>
      </c>
      <c r="N4593" s="4" t="s">
        <v>1905</v>
      </c>
      <c r="O4593" s="55" t="s">
        <v>178</v>
      </c>
    </row>
    <row r="4594" spans="2:15">
      <c r="B4594" s="20">
        <v>45656</v>
      </c>
      <c r="C4594" s="59">
        <v>40011588</v>
      </c>
      <c r="D4594" s="55" t="s">
        <v>585</v>
      </c>
      <c r="G4594" s="65">
        <v>900</v>
      </c>
      <c r="H4594" s="56" t="s">
        <v>80</v>
      </c>
      <c r="I4594" s="54">
        <v>8666251229</v>
      </c>
      <c r="J4594" s="56" t="s">
        <v>2978</v>
      </c>
      <c r="K4594" s="56">
        <v>3056</v>
      </c>
      <c r="L4594" s="55" t="s">
        <v>2152</v>
      </c>
      <c r="M4594" s="55" t="s">
        <v>2824</v>
      </c>
      <c r="N4594" s="4" t="s">
        <v>1905</v>
      </c>
      <c r="O4594" s="55" t="s">
        <v>178</v>
      </c>
    </row>
    <row r="4595" spans="2:15">
      <c r="B4595" s="20">
        <v>45657</v>
      </c>
      <c r="C4595" s="59">
        <v>50010080</v>
      </c>
      <c r="D4595" s="55" t="s">
        <v>1657</v>
      </c>
      <c r="G4595" s="65">
        <v>2000</v>
      </c>
      <c r="H4595" s="56" t="s">
        <v>82</v>
      </c>
      <c r="I4595" s="54">
        <v>8666766508</v>
      </c>
      <c r="J4595" s="56" t="s">
        <v>2978</v>
      </c>
      <c r="K4595" s="56">
        <v>3057</v>
      </c>
      <c r="L4595" s="55" t="s">
        <v>2152</v>
      </c>
      <c r="M4595" s="55" t="s">
        <v>2824</v>
      </c>
      <c r="N4595" s="4" t="s">
        <v>1905</v>
      </c>
      <c r="O4595" s="55" t="s">
        <v>178</v>
      </c>
    </row>
    <row r="4596" spans="2:15">
      <c r="B4596" s="20">
        <v>45657</v>
      </c>
      <c r="C4596" s="59">
        <v>50142329</v>
      </c>
      <c r="D4596" s="55" t="s">
        <v>1073</v>
      </c>
      <c r="G4596" s="65">
        <v>500</v>
      </c>
      <c r="H4596" s="56" t="s">
        <v>198</v>
      </c>
      <c r="I4596" s="54" t="s">
        <v>2874</v>
      </c>
      <c r="J4596" s="56" t="s">
        <v>2978</v>
      </c>
      <c r="K4596" s="56">
        <v>3057</v>
      </c>
      <c r="L4596" s="55" t="s">
        <v>2152</v>
      </c>
      <c r="M4596" s="55" t="s">
        <v>2824</v>
      </c>
      <c r="N4596" s="4" t="s">
        <v>1905</v>
      </c>
      <c r="O4596" s="55" t="s">
        <v>178</v>
      </c>
    </row>
    <row r="4597" spans="2:15">
      <c r="B4597" s="20">
        <v>45657</v>
      </c>
      <c r="C4597" s="59">
        <v>50142328</v>
      </c>
      <c r="D4597" s="55" t="s">
        <v>1591</v>
      </c>
      <c r="G4597" s="65">
        <v>2000</v>
      </c>
      <c r="H4597" s="56" t="s">
        <v>82</v>
      </c>
      <c r="I4597" s="54">
        <v>8666766508</v>
      </c>
      <c r="J4597" s="56" t="s">
        <v>2978</v>
      </c>
      <c r="K4597" s="56">
        <v>3057</v>
      </c>
      <c r="L4597" s="55" t="s">
        <v>2152</v>
      </c>
      <c r="M4597" s="55" t="s">
        <v>2824</v>
      </c>
      <c r="N4597" s="4" t="s">
        <v>1905</v>
      </c>
      <c r="O4597" s="55" t="s">
        <v>178</v>
      </c>
    </row>
    <row r="4598" spans="2:15">
      <c r="B4598" s="20">
        <v>45657</v>
      </c>
      <c r="C4598" s="59">
        <v>50837237</v>
      </c>
      <c r="D4598" s="55" t="s">
        <v>1747</v>
      </c>
      <c r="G4598" s="65">
        <v>957.45</v>
      </c>
      <c r="H4598" s="56" t="s">
        <v>82</v>
      </c>
      <c r="I4598" s="54">
        <v>8666766508</v>
      </c>
      <c r="J4598" s="56" t="s">
        <v>2978</v>
      </c>
      <c r="K4598" s="56">
        <v>3057</v>
      </c>
      <c r="L4598" s="55" t="s">
        <v>2152</v>
      </c>
      <c r="M4598" s="55" t="s">
        <v>2824</v>
      </c>
      <c r="N4598" s="4" t="s">
        <v>1905</v>
      </c>
      <c r="O4598" s="55" t="s">
        <v>178</v>
      </c>
    </row>
    <row r="4599" spans="2:15">
      <c r="B4599" s="20">
        <v>45657</v>
      </c>
      <c r="C4599" s="59">
        <v>50272278</v>
      </c>
      <c r="D4599" s="55" t="s">
        <v>21</v>
      </c>
      <c r="G4599" s="65">
        <v>1500</v>
      </c>
      <c r="H4599" s="56" t="s">
        <v>92</v>
      </c>
      <c r="I4599" s="54">
        <v>8666766508</v>
      </c>
      <c r="J4599" s="56" t="s">
        <v>2978</v>
      </c>
      <c r="K4599" s="56">
        <v>3057</v>
      </c>
      <c r="L4599" s="55" t="s">
        <v>2152</v>
      </c>
      <c r="M4599" s="55" t="s">
        <v>2824</v>
      </c>
      <c r="N4599" s="4" t="s">
        <v>1905</v>
      </c>
      <c r="O4599" s="55" t="s">
        <v>178</v>
      </c>
    </row>
    <row r="4600" spans="2:15">
      <c r="B4600" s="20">
        <v>45657</v>
      </c>
      <c r="C4600" s="59">
        <v>50470190</v>
      </c>
      <c r="D4600" s="55" t="s">
        <v>12</v>
      </c>
      <c r="G4600" s="65">
        <v>1738800</v>
      </c>
      <c r="H4600" s="56" t="s">
        <v>92</v>
      </c>
      <c r="I4600" s="54">
        <v>8666766508</v>
      </c>
      <c r="J4600" s="56" t="s">
        <v>2978</v>
      </c>
      <c r="K4600" s="56">
        <v>3057</v>
      </c>
      <c r="L4600" s="55" t="s">
        <v>2152</v>
      </c>
      <c r="M4600" s="55" t="s">
        <v>2824</v>
      </c>
      <c r="N4600" s="4" t="s">
        <v>1905</v>
      </c>
      <c r="O4600" s="55" t="s">
        <v>178</v>
      </c>
    </row>
    <row r="4601" spans="2:15">
      <c r="B4601" s="20">
        <v>45657</v>
      </c>
      <c r="C4601" s="59">
        <v>50820741</v>
      </c>
      <c r="D4601" s="55" t="s">
        <v>1114</v>
      </c>
      <c r="G4601" s="65">
        <v>579600</v>
      </c>
      <c r="H4601" s="56" t="s">
        <v>92</v>
      </c>
      <c r="I4601" s="54">
        <v>8666766508</v>
      </c>
      <c r="J4601" s="56" t="s">
        <v>2978</v>
      </c>
      <c r="K4601" s="56">
        <v>3057</v>
      </c>
      <c r="L4601" s="55" t="s">
        <v>2152</v>
      </c>
      <c r="M4601" s="55" t="s">
        <v>2824</v>
      </c>
      <c r="N4601" s="4" t="s">
        <v>1905</v>
      </c>
      <c r="O4601" s="55" t="s">
        <v>178</v>
      </c>
    </row>
    <row r="4602" spans="2:15">
      <c r="B4602" s="20">
        <v>45657</v>
      </c>
      <c r="C4602" s="59">
        <v>50142327</v>
      </c>
      <c r="D4602" s="55" t="s">
        <v>256</v>
      </c>
      <c r="G4602" s="65">
        <v>476.7</v>
      </c>
      <c r="H4602" s="56" t="s">
        <v>82</v>
      </c>
      <c r="I4602" s="54">
        <v>8666766508</v>
      </c>
      <c r="J4602" s="56" t="s">
        <v>2978</v>
      </c>
      <c r="K4602" s="56">
        <v>3057</v>
      </c>
      <c r="L4602" s="55" t="s">
        <v>2152</v>
      </c>
      <c r="M4602" s="55" t="s">
        <v>2824</v>
      </c>
      <c r="N4602" s="4" t="s">
        <v>1905</v>
      </c>
      <c r="O4602" s="55" t="s">
        <v>178</v>
      </c>
    </row>
    <row r="4603" spans="2:15">
      <c r="B4603" s="20">
        <v>45657</v>
      </c>
      <c r="C4603" s="59">
        <v>50142334</v>
      </c>
      <c r="D4603" s="55" t="s">
        <v>257</v>
      </c>
      <c r="G4603" s="65">
        <v>476.7</v>
      </c>
      <c r="H4603" s="56" t="s">
        <v>82</v>
      </c>
      <c r="I4603" s="54">
        <v>8666766508</v>
      </c>
      <c r="J4603" s="56" t="s">
        <v>2978</v>
      </c>
      <c r="K4603" s="56">
        <v>3057</v>
      </c>
      <c r="L4603" s="55" t="s">
        <v>2152</v>
      </c>
      <c r="M4603" s="55" t="s">
        <v>2824</v>
      </c>
      <c r="N4603" s="4" t="s">
        <v>1905</v>
      </c>
      <c r="O4603" s="55" t="s">
        <v>178</v>
      </c>
    </row>
    <row r="4604" spans="2:15">
      <c r="B4604" s="20">
        <v>45657</v>
      </c>
      <c r="C4604" s="59">
        <v>40014675</v>
      </c>
      <c r="D4604" s="55" t="s">
        <v>44</v>
      </c>
      <c r="G4604" s="65">
        <v>106.4</v>
      </c>
      <c r="H4604" s="56" t="s">
        <v>80</v>
      </c>
      <c r="I4604" s="54">
        <v>8667075581</v>
      </c>
      <c r="J4604" s="56" t="s">
        <v>2978</v>
      </c>
      <c r="K4604" s="56">
        <v>3058</v>
      </c>
      <c r="L4604" s="55" t="s">
        <v>392</v>
      </c>
      <c r="M4604" s="55" t="s">
        <v>2824</v>
      </c>
      <c r="N4604" s="4" t="s">
        <v>1273</v>
      </c>
      <c r="O4604" s="55" t="s">
        <v>178</v>
      </c>
    </row>
    <row r="4605" spans="2:15">
      <c r="B4605" s="20">
        <v>45659</v>
      </c>
      <c r="C4605" s="59">
        <v>50272278</v>
      </c>
      <c r="D4605" s="55" t="s">
        <v>21</v>
      </c>
      <c r="G4605" s="65">
        <v>8000</v>
      </c>
      <c r="H4605" s="56" t="s">
        <v>92</v>
      </c>
      <c r="I4605" s="54">
        <v>8667075540</v>
      </c>
      <c r="J4605" s="56" t="s">
        <v>2978</v>
      </c>
      <c r="K4605" s="56">
        <v>3059</v>
      </c>
      <c r="L4605" s="55" t="s">
        <v>2152</v>
      </c>
      <c r="M4605" s="55" t="s">
        <v>2824</v>
      </c>
      <c r="N4605" s="4" t="s">
        <v>1905</v>
      </c>
      <c r="O4605" s="55" t="s">
        <v>178</v>
      </c>
    </row>
    <row r="4606" spans="2:15">
      <c r="B4606" s="20">
        <v>45659</v>
      </c>
      <c r="C4606" s="59">
        <v>40011148</v>
      </c>
      <c r="D4606" s="55" t="s">
        <v>86</v>
      </c>
      <c r="G4606" s="65">
        <v>1800</v>
      </c>
      <c r="H4606" s="56" t="s">
        <v>80</v>
      </c>
      <c r="I4606" s="54">
        <v>8667075540</v>
      </c>
      <c r="J4606" s="56" t="s">
        <v>2978</v>
      </c>
      <c r="K4606" s="56">
        <v>3059</v>
      </c>
      <c r="L4606" s="55" t="s">
        <v>2152</v>
      </c>
      <c r="M4606" s="55" t="s">
        <v>2824</v>
      </c>
      <c r="N4606" s="4" t="s">
        <v>1905</v>
      </c>
      <c r="O4606" s="55" t="s">
        <v>178</v>
      </c>
    </row>
    <row r="4607" spans="2:15">
      <c r="B4607" s="20">
        <v>45659</v>
      </c>
      <c r="C4607" s="59">
        <v>50010080</v>
      </c>
      <c r="D4607" s="55" t="s">
        <v>1657</v>
      </c>
      <c r="G4607" s="65">
        <v>3000</v>
      </c>
      <c r="H4607" s="56" t="s">
        <v>82</v>
      </c>
      <c r="I4607" s="54">
        <v>8667075574</v>
      </c>
      <c r="J4607" s="56" t="s">
        <v>2978</v>
      </c>
      <c r="K4607" s="56">
        <v>3060</v>
      </c>
      <c r="L4607" s="55" t="s">
        <v>2152</v>
      </c>
      <c r="M4607" s="55" t="s">
        <v>2824</v>
      </c>
      <c r="N4607" s="4" t="s">
        <v>1905</v>
      </c>
      <c r="O4607" s="55" t="s">
        <v>178</v>
      </c>
    </row>
    <row r="4608" spans="2:15">
      <c r="B4608" s="20">
        <v>45659</v>
      </c>
      <c r="C4608" s="59">
        <v>40009151</v>
      </c>
      <c r="D4608" s="55" t="s">
        <v>180</v>
      </c>
      <c r="G4608" s="65">
        <v>2250</v>
      </c>
      <c r="H4608" s="56" t="s">
        <v>80</v>
      </c>
      <c r="I4608" s="124">
        <v>8669505418</v>
      </c>
      <c r="J4608" s="56" t="s">
        <v>2978</v>
      </c>
      <c r="K4608" s="56">
        <v>3060</v>
      </c>
      <c r="L4608" s="55" t="s">
        <v>2152</v>
      </c>
      <c r="M4608" s="55" t="s">
        <v>2824</v>
      </c>
      <c r="N4608" s="4" t="s">
        <v>1905</v>
      </c>
      <c r="O4608" s="55" t="s">
        <v>178</v>
      </c>
    </row>
    <row r="4609" spans="2:15">
      <c r="B4609" s="20">
        <v>45659</v>
      </c>
      <c r="C4609" s="59">
        <v>50837509</v>
      </c>
      <c r="D4609" s="55" t="s">
        <v>14</v>
      </c>
      <c r="G4609" s="65">
        <v>1159200</v>
      </c>
      <c r="H4609" s="56" t="s">
        <v>92</v>
      </c>
      <c r="I4609" s="54">
        <v>8667075574</v>
      </c>
      <c r="J4609" s="56" t="s">
        <v>2978</v>
      </c>
      <c r="K4609" s="56">
        <v>3060</v>
      </c>
      <c r="L4609" s="55" t="s">
        <v>2152</v>
      </c>
      <c r="M4609" s="55" t="s">
        <v>2824</v>
      </c>
      <c r="N4609" s="4" t="s">
        <v>1905</v>
      </c>
      <c r="O4609" s="55" t="s">
        <v>178</v>
      </c>
    </row>
    <row r="4610" spans="2:15">
      <c r="B4610" s="20">
        <v>45659</v>
      </c>
      <c r="C4610" s="59">
        <v>50142327</v>
      </c>
      <c r="D4610" s="55" t="s">
        <v>256</v>
      </c>
      <c r="G4610" s="65">
        <v>953.4</v>
      </c>
      <c r="H4610" s="56" t="s">
        <v>82</v>
      </c>
      <c r="I4610" s="54">
        <v>8667075574</v>
      </c>
      <c r="J4610" s="56" t="s">
        <v>2978</v>
      </c>
      <c r="K4610" s="56">
        <v>3060</v>
      </c>
      <c r="L4610" s="55" t="s">
        <v>2152</v>
      </c>
      <c r="M4610" s="55" t="s">
        <v>2824</v>
      </c>
      <c r="N4610" s="4" t="s">
        <v>1905</v>
      </c>
      <c r="O4610" s="55" t="s">
        <v>178</v>
      </c>
    </row>
    <row r="4611" spans="2:15">
      <c r="B4611" s="20">
        <v>45659</v>
      </c>
      <c r="C4611" s="59">
        <v>50142334</v>
      </c>
      <c r="D4611" s="55" t="s">
        <v>257</v>
      </c>
      <c r="G4611" s="65">
        <v>953.4</v>
      </c>
      <c r="H4611" s="56" t="s">
        <v>82</v>
      </c>
      <c r="I4611" s="54">
        <v>8667075574</v>
      </c>
      <c r="J4611" s="56" t="s">
        <v>2978</v>
      </c>
      <c r="K4611" s="56">
        <v>3060</v>
      </c>
      <c r="L4611" s="55" t="s">
        <v>2152</v>
      </c>
      <c r="M4611" s="55" t="s">
        <v>2824</v>
      </c>
      <c r="N4611" s="4" t="s">
        <v>1905</v>
      </c>
      <c r="O4611" s="55" t="s">
        <v>178</v>
      </c>
    </row>
    <row r="4612" spans="2:15">
      <c r="B4612" s="20">
        <v>45659</v>
      </c>
      <c r="C4612" s="59">
        <v>50837509</v>
      </c>
      <c r="D4612" s="55" t="s">
        <v>14</v>
      </c>
      <c r="G4612" s="65">
        <v>1159200</v>
      </c>
      <c r="H4612" s="56" t="s">
        <v>92</v>
      </c>
      <c r="I4612" s="54">
        <v>8669062229</v>
      </c>
      <c r="J4612" s="56" t="s">
        <v>2978</v>
      </c>
      <c r="K4612" s="56">
        <v>3060</v>
      </c>
      <c r="L4612" s="55" t="s">
        <v>2152</v>
      </c>
      <c r="M4612" s="55" t="s">
        <v>2824</v>
      </c>
      <c r="N4612" s="4" t="s">
        <v>1905</v>
      </c>
      <c r="O4612" s="55" t="s">
        <v>178</v>
      </c>
    </row>
    <row r="4613" spans="2:15">
      <c r="B4613" s="20">
        <v>45659</v>
      </c>
      <c r="C4613" s="59">
        <v>50809353</v>
      </c>
      <c r="D4613" s="55" t="s">
        <v>905</v>
      </c>
      <c r="G4613" s="65">
        <v>7000</v>
      </c>
      <c r="H4613" s="56" t="s">
        <v>82</v>
      </c>
      <c r="I4613" s="54">
        <v>8667076800</v>
      </c>
      <c r="J4613" s="56" t="s">
        <v>2978</v>
      </c>
      <c r="K4613" s="56">
        <v>3061</v>
      </c>
      <c r="L4613" s="55" t="s">
        <v>2152</v>
      </c>
      <c r="M4613" s="55" t="s">
        <v>2824</v>
      </c>
      <c r="N4613" s="4" t="s">
        <v>1905</v>
      </c>
      <c r="O4613" s="55" t="s">
        <v>178</v>
      </c>
    </row>
    <row r="4614" spans="2:15">
      <c r="B4614" s="20">
        <v>45659</v>
      </c>
      <c r="C4614" s="59">
        <v>50837237</v>
      </c>
      <c r="D4614" s="55" t="s">
        <v>1747</v>
      </c>
      <c r="G4614" s="65">
        <v>2044.3</v>
      </c>
      <c r="H4614" s="56" t="s">
        <v>82</v>
      </c>
      <c r="I4614" s="54">
        <v>5016599094</v>
      </c>
      <c r="J4614" s="56" t="s">
        <v>2978</v>
      </c>
      <c r="K4614" s="56">
        <v>3061</v>
      </c>
      <c r="L4614" s="55" t="s">
        <v>2152</v>
      </c>
      <c r="M4614" s="55" t="s">
        <v>2824</v>
      </c>
      <c r="N4614" s="4" t="s">
        <v>1905</v>
      </c>
      <c r="O4614" s="55" t="s">
        <v>178</v>
      </c>
    </row>
    <row r="4615" spans="2:15">
      <c r="B4615" s="20">
        <v>45659</v>
      </c>
      <c r="C4615" s="59">
        <v>50837239</v>
      </c>
      <c r="D4615" s="55" t="s">
        <v>27</v>
      </c>
      <c r="G4615" s="65">
        <v>2539.25</v>
      </c>
      <c r="H4615" s="56" t="s">
        <v>82</v>
      </c>
      <c r="I4615" s="54">
        <v>8667076800</v>
      </c>
      <c r="J4615" s="56" t="s">
        <v>2978</v>
      </c>
      <c r="K4615" s="56">
        <v>3061</v>
      </c>
      <c r="L4615" s="55" t="s">
        <v>2152</v>
      </c>
      <c r="M4615" s="55" t="s">
        <v>2824</v>
      </c>
      <c r="N4615" s="4" t="s">
        <v>1905</v>
      </c>
      <c r="O4615" s="55" t="s">
        <v>178</v>
      </c>
    </row>
    <row r="4616" spans="2:15">
      <c r="B4616" s="20">
        <v>45660</v>
      </c>
      <c r="C4616" s="59">
        <v>50272278</v>
      </c>
      <c r="D4616" s="69" t="s">
        <v>21</v>
      </c>
      <c r="G4616" s="65">
        <v>11000</v>
      </c>
      <c r="H4616" s="56" t="s">
        <v>92</v>
      </c>
      <c r="I4616" s="54">
        <v>8667389894</v>
      </c>
      <c r="J4616" s="56" t="s">
        <v>2978</v>
      </c>
      <c r="K4616" s="56">
        <v>3064</v>
      </c>
      <c r="L4616" s="55" t="s">
        <v>2152</v>
      </c>
      <c r="M4616" s="55" t="s">
        <v>2824</v>
      </c>
      <c r="N4616" s="4" t="s">
        <v>1905</v>
      </c>
      <c r="O4616" s="55" t="s">
        <v>178</v>
      </c>
    </row>
    <row r="4617" spans="2:15">
      <c r="B4617" s="20">
        <v>45660</v>
      </c>
      <c r="C4617" s="59">
        <v>40010087</v>
      </c>
      <c r="D4617" s="55" t="s">
        <v>387</v>
      </c>
      <c r="G4617" s="65">
        <v>2592</v>
      </c>
      <c r="H4617" s="56" t="s">
        <v>80</v>
      </c>
      <c r="I4617" s="54">
        <v>8667392878</v>
      </c>
      <c r="J4617" s="56" t="s">
        <v>2978</v>
      </c>
      <c r="K4617" s="56">
        <v>3065</v>
      </c>
      <c r="L4617" s="55" t="s">
        <v>2152</v>
      </c>
      <c r="M4617" s="55" t="s">
        <v>2824</v>
      </c>
      <c r="N4617" s="4" t="s">
        <v>1905</v>
      </c>
      <c r="O4617" s="55" t="s">
        <v>178</v>
      </c>
    </row>
    <row r="4618" spans="2:15">
      <c r="B4618" s="20">
        <v>45660</v>
      </c>
      <c r="C4618" s="59">
        <v>40011133</v>
      </c>
      <c r="D4618" s="55" t="s">
        <v>634</v>
      </c>
      <c r="G4618" s="65">
        <v>864</v>
      </c>
      <c r="H4618" s="56" t="s">
        <v>80</v>
      </c>
      <c r="I4618" s="54">
        <v>8667392878</v>
      </c>
      <c r="J4618" s="56" t="s">
        <v>2978</v>
      </c>
      <c r="K4618" s="56">
        <v>3065</v>
      </c>
      <c r="L4618" s="55" t="s">
        <v>2152</v>
      </c>
      <c r="M4618" s="55" t="s">
        <v>2824</v>
      </c>
      <c r="N4618" s="4" t="s">
        <v>1905</v>
      </c>
      <c r="O4618" s="55" t="s">
        <v>178</v>
      </c>
    </row>
    <row r="4619" spans="2:15">
      <c r="B4619" s="20">
        <v>45660</v>
      </c>
      <c r="C4619" s="59">
        <v>50272278</v>
      </c>
      <c r="D4619" s="55" t="s">
        <v>21</v>
      </c>
      <c r="G4619" s="65">
        <v>2500</v>
      </c>
      <c r="H4619" s="56" t="s">
        <v>92</v>
      </c>
      <c r="I4619" s="54">
        <v>8667392878</v>
      </c>
      <c r="J4619" s="56" t="s">
        <v>2978</v>
      </c>
      <c r="K4619" s="56">
        <v>3065</v>
      </c>
      <c r="L4619" s="55" t="s">
        <v>2152</v>
      </c>
      <c r="M4619" s="55" t="s">
        <v>2824</v>
      </c>
      <c r="N4619" s="4" t="s">
        <v>1905</v>
      </c>
      <c r="O4619" s="55" t="s">
        <v>178</v>
      </c>
    </row>
    <row r="4620" spans="2:15">
      <c r="B4620" s="20">
        <v>45660</v>
      </c>
      <c r="C4620" s="59">
        <v>50811693</v>
      </c>
      <c r="D4620" s="55" t="s">
        <v>1269</v>
      </c>
      <c r="G4620" s="65">
        <v>1000000</v>
      </c>
      <c r="H4620" s="56" t="s">
        <v>92</v>
      </c>
      <c r="I4620" s="54">
        <v>8667392878</v>
      </c>
      <c r="J4620" s="56" t="s">
        <v>2978</v>
      </c>
      <c r="K4620" s="56">
        <v>3065</v>
      </c>
      <c r="L4620" s="55" t="s">
        <v>2152</v>
      </c>
      <c r="M4620" s="55" t="s">
        <v>2824</v>
      </c>
      <c r="N4620" s="4" t="s">
        <v>1905</v>
      </c>
      <c r="O4620" s="55" t="s">
        <v>178</v>
      </c>
    </row>
    <row r="4621" spans="2:15">
      <c r="B4621" s="20">
        <v>45660</v>
      </c>
      <c r="C4621" s="59">
        <v>40011588</v>
      </c>
      <c r="D4621" s="55" t="s">
        <v>585</v>
      </c>
      <c r="G4621" s="65">
        <v>1350</v>
      </c>
      <c r="H4621" s="56" t="s">
        <v>80</v>
      </c>
      <c r="I4621" s="54">
        <v>8667392878</v>
      </c>
      <c r="J4621" s="56" t="s">
        <v>2978</v>
      </c>
      <c r="K4621" s="56">
        <v>3065</v>
      </c>
      <c r="L4621" s="55" t="s">
        <v>2152</v>
      </c>
      <c r="M4621" s="55" t="s">
        <v>2824</v>
      </c>
      <c r="N4621" s="4" t="s">
        <v>1905</v>
      </c>
      <c r="O4621" s="55" t="s">
        <v>178</v>
      </c>
    </row>
    <row r="4622" spans="2:15">
      <c r="B4622" s="20">
        <v>45660</v>
      </c>
      <c r="C4622" s="59">
        <v>50837265</v>
      </c>
      <c r="D4622" s="55" t="s">
        <v>25</v>
      </c>
      <c r="G4622" s="65">
        <v>4336.85</v>
      </c>
      <c r="H4622" s="56" t="s">
        <v>82</v>
      </c>
      <c r="I4622" s="54">
        <v>8668609741</v>
      </c>
      <c r="J4622" s="56" t="s">
        <v>2978</v>
      </c>
      <c r="K4622" s="56">
        <v>3065</v>
      </c>
      <c r="L4622" s="55" t="s">
        <v>2152</v>
      </c>
      <c r="M4622" s="55" t="s">
        <v>2824</v>
      </c>
      <c r="N4622" s="4" t="s">
        <v>1905</v>
      </c>
      <c r="O4622" s="55" t="s">
        <v>178</v>
      </c>
    </row>
    <row r="4623" spans="2:15">
      <c r="B4623" s="20">
        <v>45660</v>
      </c>
      <c r="C4623" s="59">
        <v>40014675</v>
      </c>
      <c r="D4623" s="55" t="s">
        <v>44</v>
      </c>
      <c r="G4623" s="65">
        <v>106.4</v>
      </c>
      <c r="H4623" s="56" t="s">
        <v>80</v>
      </c>
      <c r="I4623" s="54">
        <v>8668609742</v>
      </c>
      <c r="J4623" s="56" t="s">
        <v>2978</v>
      </c>
      <c r="K4623" s="56">
        <v>3066</v>
      </c>
      <c r="L4623" s="55" t="s">
        <v>392</v>
      </c>
      <c r="M4623" s="55" t="s">
        <v>2824</v>
      </c>
      <c r="N4623" s="4" t="s">
        <v>2171</v>
      </c>
      <c r="O4623" s="55" t="s">
        <v>178</v>
      </c>
    </row>
    <row r="4624" spans="2:15">
      <c r="B4624" s="20">
        <v>45661</v>
      </c>
      <c r="C4624" s="59">
        <v>50837633</v>
      </c>
      <c r="D4624" s="55" t="s">
        <v>1901</v>
      </c>
      <c r="G4624" s="65">
        <v>1295000</v>
      </c>
      <c r="H4624" s="56" t="s">
        <v>962</v>
      </c>
      <c r="I4624" s="54">
        <v>8667762350</v>
      </c>
      <c r="J4624" s="56" t="s">
        <v>2978</v>
      </c>
      <c r="K4624" s="56">
        <v>3067</v>
      </c>
      <c r="L4624" s="55" t="s">
        <v>2152</v>
      </c>
      <c r="M4624" s="55" t="s">
        <v>2824</v>
      </c>
      <c r="N4624" s="4" t="s">
        <v>1905</v>
      </c>
      <c r="O4624" s="55" t="s">
        <v>178</v>
      </c>
    </row>
    <row r="4625" spans="2:15">
      <c r="B4625" s="20">
        <v>45661</v>
      </c>
      <c r="C4625" s="59">
        <v>50837632</v>
      </c>
      <c r="D4625" s="55" t="s">
        <v>1897</v>
      </c>
      <c r="G4625" s="65">
        <v>1092000</v>
      </c>
      <c r="H4625" s="56" t="s">
        <v>962</v>
      </c>
      <c r="I4625" s="54">
        <v>8667762350</v>
      </c>
      <c r="J4625" s="56" t="s">
        <v>2978</v>
      </c>
      <c r="K4625" s="56">
        <v>3067</v>
      </c>
      <c r="L4625" s="55" t="s">
        <v>2152</v>
      </c>
      <c r="M4625" s="55" t="s">
        <v>2824</v>
      </c>
      <c r="N4625" s="4" t="s">
        <v>1905</v>
      </c>
      <c r="O4625" s="55" t="s">
        <v>178</v>
      </c>
    </row>
    <row r="4626" spans="2:15">
      <c r="B4626" s="20">
        <v>45661</v>
      </c>
      <c r="C4626" s="59">
        <v>50470190</v>
      </c>
      <c r="D4626" s="55" t="s">
        <v>12</v>
      </c>
      <c r="G4626" s="65">
        <v>1159200</v>
      </c>
      <c r="H4626" s="56" t="s">
        <v>92</v>
      </c>
      <c r="I4626" s="54">
        <v>8667762350</v>
      </c>
      <c r="J4626" s="56" t="s">
        <v>2978</v>
      </c>
      <c r="K4626" s="56">
        <v>3067</v>
      </c>
      <c r="L4626" s="55" t="s">
        <v>2152</v>
      </c>
      <c r="M4626" s="55" t="s">
        <v>2824</v>
      </c>
      <c r="N4626" s="4" t="s">
        <v>1905</v>
      </c>
      <c r="O4626" s="55" t="s">
        <v>178</v>
      </c>
    </row>
    <row r="4627" spans="2:15">
      <c r="B4627" s="20">
        <v>45661</v>
      </c>
      <c r="C4627" s="59">
        <v>50820741</v>
      </c>
      <c r="D4627" s="55" t="s">
        <v>1114</v>
      </c>
      <c r="G4627" s="65">
        <v>1738800</v>
      </c>
      <c r="H4627" s="56" t="s">
        <v>92</v>
      </c>
      <c r="I4627" s="54">
        <v>8667762350</v>
      </c>
      <c r="J4627" s="56" t="s">
        <v>2978</v>
      </c>
      <c r="K4627" s="56">
        <v>3067</v>
      </c>
      <c r="L4627" s="55" t="s">
        <v>2152</v>
      </c>
      <c r="M4627" s="55" t="s">
        <v>2824</v>
      </c>
      <c r="N4627" s="4" t="s">
        <v>1905</v>
      </c>
      <c r="O4627" s="55" t="s">
        <v>178</v>
      </c>
    </row>
    <row r="4628" spans="2:15">
      <c r="B4628" s="20">
        <v>45661</v>
      </c>
      <c r="C4628" s="59">
        <v>50802401</v>
      </c>
      <c r="D4628" s="55" t="s">
        <v>13</v>
      </c>
      <c r="G4628" s="65">
        <v>1159200</v>
      </c>
      <c r="H4628" s="56" t="s">
        <v>92</v>
      </c>
      <c r="I4628" s="54">
        <v>8667762350</v>
      </c>
      <c r="J4628" s="56" t="s">
        <v>2978</v>
      </c>
      <c r="K4628" s="56">
        <v>3067</v>
      </c>
      <c r="L4628" s="55" t="s">
        <v>2152</v>
      </c>
      <c r="M4628" s="55" t="s">
        <v>2824</v>
      </c>
      <c r="N4628" s="4" t="s">
        <v>1905</v>
      </c>
      <c r="O4628" s="55" t="s">
        <v>178</v>
      </c>
    </row>
    <row r="4629" spans="2:15">
      <c r="B4629" s="20">
        <v>45661</v>
      </c>
      <c r="C4629" s="59">
        <v>50837509</v>
      </c>
      <c r="D4629" s="55" t="s">
        <v>14</v>
      </c>
      <c r="G4629" s="65">
        <v>579600</v>
      </c>
      <c r="H4629" s="56" t="s">
        <v>92</v>
      </c>
      <c r="I4629" s="54">
        <v>8669062231</v>
      </c>
      <c r="J4629" s="56" t="s">
        <v>2978</v>
      </c>
      <c r="K4629" s="56">
        <v>3067</v>
      </c>
      <c r="L4629" s="55" t="s">
        <v>2152</v>
      </c>
      <c r="M4629" s="55" t="s">
        <v>2824</v>
      </c>
      <c r="N4629" s="4" t="s">
        <v>1905</v>
      </c>
      <c r="O4629" s="55" t="s">
        <v>178</v>
      </c>
    </row>
    <row r="4630" spans="2:15">
      <c r="B4630" s="20">
        <v>45661</v>
      </c>
      <c r="C4630" s="59">
        <v>50834669</v>
      </c>
      <c r="D4630" s="55" t="s">
        <v>1668</v>
      </c>
      <c r="G4630" s="122">
        <v>187920</v>
      </c>
      <c r="H4630" s="56" t="s">
        <v>92</v>
      </c>
      <c r="I4630" s="54" t="s">
        <v>2874</v>
      </c>
      <c r="J4630" s="56" t="s">
        <v>2978</v>
      </c>
      <c r="K4630" s="56">
        <v>3068</v>
      </c>
      <c r="L4630" s="55" t="s">
        <v>326</v>
      </c>
      <c r="M4630" s="55" t="s">
        <v>392</v>
      </c>
      <c r="N4630" s="4" t="s">
        <v>1613</v>
      </c>
      <c r="O4630" s="55" t="s">
        <v>178</v>
      </c>
    </row>
    <row r="4631" spans="2:15">
      <c r="B4631" s="20">
        <v>45661</v>
      </c>
      <c r="C4631" s="59">
        <v>50145028</v>
      </c>
      <c r="D4631" s="55" t="s">
        <v>23</v>
      </c>
      <c r="G4631" s="58">
        <v>192</v>
      </c>
      <c r="H4631" s="56" t="s">
        <v>92</v>
      </c>
      <c r="I4631" s="54" t="s">
        <v>2874</v>
      </c>
      <c r="J4631" s="56" t="s">
        <v>2978</v>
      </c>
      <c r="K4631" s="56">
        <v>3068</v>
      </c>
      <c r="L4631" s="55" t="s">
        <v>326</v>
      </c>
      <c r="M4631" s="55" t="s">
        <v>392</v>
      </c>
      <c r="N4631" s="4" t="s">
        <v>1613</v>
      </c>
      <c r="O4631" s="55" t="s">
        <v>178</v>
      </c>
    </row>
    <row r="4632" spans="2:15">
      <c r="B4632" s="20">
        <v>45661</v>
      </c>
      <c r="C4632" s="59">
        <v>50834329</v>
      </c>
      <c r="D4632" s="55" t="s">
        <v>1475</v>
      </c>
      <c r="G4632" s="122">
        <v>815.6</v>
      </c>
      <c r="H4632" s="56" t="s">
        <v>82</v>
      </c>
      <c r="I4632" s="54" t="s">
        <v>2874</v>
      </c>
      <c r="J4632" s="56" t="s">
        <v>2978</v>
      </c>
      <c r="K4632" s="56">
        <v>3068</v>
      </c>
      <c r="L4632" s="55" t="s">
        <v>326</v>
      </c>
      <c r="M4632" s="55" t="s">
        <v>392</v>
      </c>
      <c r="N4632" s="4" t="s">
        <v>1613</v>
      </c>
      <c r="O4632" s="55" t="s">
        <v>178</v>
      </c>
    </row>
    <row r="4633" spans="2:15">
      <c r="B4633" s="20">
        <v>45661</v>
      </c>
      <c r="C4633" s="59">
        <v>40014675</v>
      </c>
      <c r="D4633" s="55" t="s">
        <v>44</v>
      </c>
      <c r="G4633" s="65">
        <v>106.4</v>
      </c>
      <c r="H4633" s="56" t="s">
        <v>80</v>
      </c>
      <c r="I4633" s="54">
        <v>8668609771</v>
      </c>
      <c r="J4633" s="56" t="s">
        <v>2978</v>
      </c>
      <c r="K4633" s="56">
        <v>3071</v>
      </c>
      <c r="L4633" s="55" t="s">
        <v>176</v>
      </c>
      <c r="M4633" s="55" t="s">
        <v>2824</v>
      </c>
      <c r="N4633" s="4" t="s">
        <v>177</v>
      </c>
      <c r="O4633" s="55" t="s">
        <v>178</v>
      </c>
    </row>
    <row r="4634" spans="2:15">
      <c r="B4634" s="20">
        <v>45663</v>
      </c>
      <c r="C4634" s="59">
        <v>50010080</v>
      </c>
      <c r="D4634" s="55" t="s">
        <v>1657</v>
      </c>
      <c r="G4634" s="65">
        <v>2000</v>
      </c>
      <c r="H4634" s="56" t="s">
        <v>82</v>
      </c>
      <c r="I4634" s="54">
        <v>8668609786</v>
      </c>
      <c r="J4634" s="56" t="s">
        <v>2978</v>
      </c>
      <c r="K4634" s="56">
        <v>3070</v>
      </c>
      <c r="L4634" s="55" t="s">
        <v>2152</v>
      </c>
      <c r="M4634" s="55" t="s">
        <v>2824</v>
      </c>
      <c r="N4634" s="4" t="s">
        <v>1905</v>
      </c>
      <c r="O4634" s="55" t="s">
        <v>178</v>
      </c>
    </row>
    <row r="4635" spans="2:15">
      <c r="B4635" s="20">
        <v>45663</v>
      </c>
      <c r="C4635" s="59">
        <v>50272278</v>
      </c>
      <c r="D4635" s="55" t="s">
        <v>21</v>
      </c>
      <c r="G4635" s="65">
        <v>5000</v>
      </c>
      <c r="H4635" s="56" t="s">
        <v>92</v>
      </c>
      <c r="I4635" s="54">
        <v>8668609786</v>
      </c>
      <c r="J4635" s="56" t="s">
        <v>2978</v>
      </c>
      <c r="K4635" s="56">
        <v>3070</v>
      </c>
      <c r="L4635" s="55" t="s">
        <v>2152</v>
      </c>
      <c r="M4635" s="55" t="s">
        <v>2824</v>
      </c>
      <c r="N4635" s="4" t="s">
        <v>1905</v>
      </c>
      <c r="O4635" s="55" t="s">
        <v>178</v>
      </c>
    </row>
    <row r="4636" spans="2:15">
      <c r="B4636" s="20">
        <v>45663</v>
      </c>
      <c r="C4636" s="59">
        <v>50470190</v>
      </c>
      <c r="D4636" s="55" t="s">
        <v>12</v>
      </c>
      <c r="G4636" s="65">
        <v>869400</v>
      </c>
      <c r="H4636" s="56" t="s">
        <v>92</v>
      </c>
      <c r="I4636" s="54">
        <v>8668609786</v>
      </c>
      <c r="J4636" s="56" t="s">
        <v>2978</v>
      </c>
      <c r="K4636" s="56">
        <v>3070</v>
      </c>
      <c r="L4636" s="55" t="s">
        <v>2152</v>
      </c>
      <c r="M4636" s="55" t="s">
        <v>2824</v>
      </c>
      <c r="N4636" s="4" t="s">
        <v>1905</v>
      </c>
      <c r="O4636" s="55" t="s">
        <v>178</v>
      </c>
    </row>
    <row r="4637" spans="2:15">
      <c r="B4637" s="20">
        <v>45663</v>
      </c>
      <c r="C4637" s="59">
        <v>50802401</v>
      </c>
      <c r="D4637" s="55" t="s">
        <v>13</v>
      </c>
      <c r="G4637" s="65">
        <v>869400</v>
      </c>
      <c r="H4637" s="56" t="s">
        <v>92</v>
      </c>
      <c r="I4637" s="54">
        <v>8668609786</v>
      </c>
      <c r="J4637" s="56" t="s">
        <v>2978</v>
      </c>
      <c r="K4637" s="56">
        <v>3070</v>
      </c>
      <c r="L4637" s="55" t="s">
        <v>2152</v>
      </c>
      <c r="M4637" s="55" t="s">
        <v>2824</v>
      </c>
      <c r="N4637" s="4" t="s">
        <v>1905</v>
      </c>
      <c r="O4637" s="55" t="s">
        <v>178</v>
      </c>
    </row>
    <row r="4638" spans="2:15">
      <c r="B4638" s="20">
        <v>45663</v>
      </c>
      <c r="C4638" s="59">
        <v>50804929</v>
      </c>
      <c r="D4638" s="55" t="s">
        <v>856</v>
      </c>
      <c r="G4638" s="65">
        <v>480000</v>
      </c>
      <c r="H4638" s="56" t="s">
        <v>92</v>
      </c>
      <c r="I4638" s="54">
        <v>8670832942</v>
      </c>
      <c r="J4638" s="56" t="s">
        <v>2978</v>
      </c>
      <c r="K4638" s="56">
        <v>3070</v>
      </c>
      <c r="L4638" s="55" t="s">
        <v>2152</v>
      </c>
      <c r="M4638" s="55" t="s">
        <v>2824</v>
      </c>
      <c r="N4638" s="4" t="s">
        <v>1905</v>
      </c>
      <c r="O4638" s="55" t="s">
        <v>178</v>
      </c>
    </row>
    <row r="4639" spans="2:15">
      <c r="B4639" s="20">
        <v>45663</v>
      </c>
      <c r="C4639" s="59">
        <v>50804971</v>
      </c>
      <c r="D4639" s="55" t="s">
        <v>855</v>
      </c>
      <c r="G4639" s="65">
        <v>720000</v>
      </c>
      <c r="H4639" s="56" t="s">
        <v>92</v>
      </c>
      <c r="I4639" s="54">
        <v>8670832942</v>
      </c>
      <c r="J4639" s="56" t="s">
        <v>2978</v>
      </c>
      <c r="K4639" s="56">
        <v>3070</v>
      </c>
      <c r="L4639" s="55" t="s">
        <v>2152</v>
      </c>
      <c r="M4639" s="55" t="s">
        <v>2824</v>
      </c>
      <c r="N4639" s="4" t="s">
        <v>1905</v>
      </c>
      <c r="O4639" s="55" t="s">
        <v>178</v>
      </c>
    </row>
    <row r="4640" spans="2:15">
      <c r="B4640" s="20">
        <v>45663</v>
      </c>
      <c r="C4640" s="59">
        <v>50804970</v>
      </c>
      <c r="D4640" s="55" t="s">
        <v>857</v>
      </c>
      <c r="G4640" s="65">
        <v>2500000</v>
      </c>
      <c r="H4640" s="56" t="s">
        <v>92</v>
      </c>
      <c r="I4640" s="54">
        <v>8670832942</v>
      </c>
      <c r="J4640" s="56" t="s">
        <v>2978</v>
      </c>
      <c r="K4640" s="56">
        <v>3070</v>
      </c>
      <c r="L4640" s="55" t="s">
        <v>2152</v>
      </c>
      <c r="M4640" s="55" t="s">
        <v>2824</v>
      </c>
      <c r="N4640" s="4" t="s">
        <v>1905</v>
      </c>
      <c r="O4640" s="55" t="s">
        <v>178</v>
      </c>
    </row>
    <row r="4641" spans="2:15">
      <c r="B4641" s="20">
        <v>45663</v>
      </c>
      <c r="C4641" s="59">
        <v>40014675</v>
      </c>
      <c r="D4641" s="55" t="s">
        <v>44</v>
      </c>
      <c r="G4641" s="65">
        <v>31.68</v>
      </c>
      <c r="I4641" s="54" t="s">
        <v>2874</v>
      </c>
      <c r="J4641" s="56" t="s">
        <v>2978</v>
      </c>
      <c r="K4641" s="56" t="s">
        <v>3000</v>
      </c>
      <c r="L4641" s="55" t="s">
        <v>176</v>
      </c>
      <c r="M4641" s="55" t="s">
        <v>392</v>
      </c>
      <c r="N4641" s="4" t="s">
        <v>177</v>
      </c>
      <c r="O4641" s="55" t="s">
        <v>178</v>
      </c>
    </row>
    <row r="4642" spans="2:15">
      <c r="B4642" s="20">
        <v>45663</v>
      </c>
      <c r="C4642" s="59">
        <v>40015070</v>
      </c>
      <c r="D4642" s="55" t="s">
        <v>1978</v>
      </c>
      <c r="G4642" s="65">
        <v>3954375</v>
      </c>
      <c r="H4642" s="56" t="s">
        <v>92</v>
      </c>
      <c r="I4642" s="54" t="s">
        <v>2874</v>
      </c>
      <c r="J4642" s="56" t="s">
        <v>2978</v>
      </c>
      <c r="K4642" s="56">
        <v>3072</v>
      </c>
      <c r="L4642" s="55" t="s">
        <v>176</v>
      </c>
      <c r="M4642" s="55" t="s">
        <v>2824</v>
      </c>
      <c r="N4642" s="4" t="s">
        <v>177</v>
      </c>
      <c r="O4642" s="55" t="s">
        <v>178</v>
      </c>
    </row>
    <row r="4643" spans="2:15">
      <c r="B4643" s="20">
        <v>45664</v>
      </c>
      <c r="C4643" s="59">
        <v>40015070</v>
      </c>
      <c r="D4643" s="55" t="s">
        <v>1978</v>
      </c>
      <c r="G4643" s="65">
        <v>3600000</v>
      </c>
      <c r="H4643" s="56" t="s">
        <v>92</v>
      </c>
      <c r="I4643" s="54" t="s">
        <v>2874</v>
      </c>
      <c r="J4643" s="56" t="s">
        <v>2978</v>
      </c>
      <c r="K4643" s="56">
        <v>3073</v>
      </c>
      <c r="L4643" s="55" t="s">
        <v>2152</v>
      </c>
      <c r="M4643" s="55" t="s">
        <v>2824</v>
      </c>
      <c r="N4643" s="4" t="s">
        <v>1905</v>
      </c>
      <c r="O4643" s="55" t="s">
        <v>178</v>
      </c>
    </row>
    <row r="4644" spans="2:15">
      <c r="B4644" s="20">
        <v>45664</v>
      </c>
      <c r="C4644" s="59">
        <v>50144376</v>
      </c>
      <c r="D4644" s="55" t="s">
        <v>19</v>
      </c>
      <c r="G4644" s="65">
        <v>1000</v>
      </c>
      <c r="H4644" s="56" t="s">
        <v>92</v>
      </c>
      <c r="I4644" s="54">
        <v>8668610168</v>
      </c>
      <c r="J4644" s="56" t="s">
        <v>2978</v>
      </c>
      <c r="K4644" s="56">
        <v>3073</v>
      </c>
      <c r="L4644" s="55" t="s">
        <v>2152</v>
      </c>
      <c r="M4644" s="55" t="s">
        <v>2824</v>
      </c>
      <c r="N4644" s="4" t="s">
        <v>1905</v>
      </c>
      <c r="O4644" s="55" t="s">
        <v>178</v>
      </c>
    </row>
    <row r="4645" spans="2:15">
      <c r="B4645" s="20">
        <v>45664</v>
      </c>
      <c r="C4645" s="59">
        <v>50144376</v>
      </c>
      <c r="D4645" s="55" t="s">
        <v>19</v>
      </c>
      <c r="G4645" s="65">
        <v>11000</v>
      </c>
      <c r="H4645" s="56" t="s">
        <v>92</v>
      </c>
      <c r="I4645" s="54">
        <v>8668609808</v>
      </c>
      <c r="J4645" s="56" t="s">
        <v>2978</v>
      </c>
      <c r="K4645" s="56">
        <v>3074</v>
      </c>
      <c r="L4645" s="55" t="s">
        <v>2152</v>
      </c>
      <c r="M4645" s="55" t="s">
        <v>2824</v>
      </c>
      <c r="N4645" s="4" t="s">
        <v>1905</v>
      </c>
      <c r="O4645" s="55" t="s">
        <v>178</v>
      </c>
    </row>
    <row r="4646" spans="2:15">
      <c r="B4646" s="20">
        <v>45664</v>
      </c>
      <c r="C4646" s="59">
        <v>50837632</v>
      </c>
      <c r="D4646" s="55" t="s">
        <v>1897</v>
      </c>
      <c r="G4646" s="65">
        <v>546000</v>
      </c>
      <c r="H4646" s="56" t="s">
        <v>962</v>
      </c>
      <c r="I4646" s="54">
        <v>8669058574</v>
      </c>
      <c r="J4646" s="56" t="s">
        <v>2978</v>
      </c>
      <c r="K4646" s="56">
        <v>3074</v>
      </c>
      <c r="L4646" s="55" t="s">
        <v>2152</v>
      </c>
      <c r="M4646" s="55" t="s">
        <v>2824</v>
      </c>
      <c r="N4646" s="4" t="s">
        <v>1905</v>
      </c>
      <c r="O4646" s="55" t="s">
        <v>178</v>
      </c>
    </row>
    <row r="4647" spans="2:15">
      <c r="B4647" s="20">
        <v>45664</v>
      </c>
      <c r="C4647" s="59">
        <v>40007857</v>
      </c>
      <c r="D4647" s="55" t="s">
        <v>225</v>
      </c>
      <c r="G4647" s="65">
        <v>3911</v>
      </c>
      <c r="H4647" s="56" t="s">
        <v>80</v>
      </c>
      <c r="I4647" s="54">
        <v>8669062806</v>
      </c>
      <c r="J4647" s="56" t="s">
        <v>2978</v>
      </c>
      <c r="K4647" s="56">
        <v>3074</v>
      </c>
      <c r="L4647" s="55" t="s">
        <v>2152</v>
      </c>
      <c r="M4647" s="55" t="s">
        <v>2824</v>
      </c>
      <c r="N4647" s="4" t="s">
        <v>1905</v>
      </c>
      <c r="O4647" s="55" t="s">
        <v>178</v>
      </c>
    </row>
    <row r="4648" spans="2:15">
      <c r="B4648" s="20">
        <v>45664</v>
      </c>
      <c r="C4648" s="59">
        <v>50337814</v>
      </c>
      <c r="D4648" s="55" t="s">
        <v>669</v>
      </c>
      <c r="G4648" s="65">
        <v>528</v>
      </c>
      <c r="H4648" s="56" t="s">
        <v>80</v>
      </c>
      <c r="I4648" s="54">
        <v>8669058574</v>
      </c>
      <c r="J4648" s="56" t="s">
        <v>2978</v>
      </c>
      <c r="K4648" s="56">
        <v>3074</v>
      </c>
      <c r="L4648" s="55" t="s">
        <v>2152</v>
      </c>
      <c r="M4648" s="55" t="s">
        <v>2824</v>
      </c>
      <c r="N4648" s="4" t="s">
        <v>1905</v>
      </c>
      <c r="O4648" s="55" t="s">
        <v>178</v>
      </c>
    </row>
    <row r="4649" spans="2:15">
      <c r="B4649" s="20">
        <v>45664</v>
      </c>
      <c r="C4649" s="59">
        <v>50820741</v>
      </c>
      <c r="D4649" s="55" t="s">
        <v>1114</v>
      </c>
      <c r="G4649" s="65">
        <v>2898000</v>
      </c>
      <c r="H4649" s="56" t="s">
        <v>92</v>
      </c>
      <c r="I4649" s="54">
        <v>8669058574</v>
      </c>
      <c r="J4649" s="56" t="s">
        <v>2978</v>
      </c>
      <c r="K4649" s="56">
        <v>3074</v>
      </c>
      <c r="L4649" s="55" t="s">
        <v>2152</v>
      </c>
      <c r="M4649" s="55" t="s">
        <v>2824</v>
      </c>
      <c r="N4649" s="4" t="s">
        <v>1905</v>
      </c>
      <c r="O4649" s="55" t="s">
        <v>178</v>
      </c>
    </row>
    <row r="4650" spans="2:15">
      <c r="B4650" s="20">
        <v>45664</v>
      </c>
      <c r="C4650" s="59">
        <v>50802401</v>
      </c>
      <c r="D4650" s="55" t="s">
        <v>13</v>
      </c>
      <c r="G4650" s="65">
        <v>1517400</v>
      </c>
      <c r="H4650" s="56" t="s">
        <v>92</v>
      </c>
      <c r="I4650" s="54">
        <v>8669058574</v>
      </c>
      <c r="J4650" s="56" t="s">
        <v>2978</v>
      </c>
      <c r="K4650" s="56">
        <v>3074</v>
      </c>
      <c r="L4650" s="55" t="s">
        <v>2152</v>
      </c>
      <c r="M4650" s="55" t="s">
        <v>2824</v>
      </c>
      <c r="N4650" s="4" t="s">
        <v>1905</v>
      </c>
      <c r="O4650" s="55" t="s">
        <v>178</v>
      </c>
    </row>
    <row r="4651" spans="2:15">
      <c r="B4651" s="20">
        <v>45665</v>
      </c>
      <c r="C4651" s="59">
        <v>50144376</v>
      </c>
      <c r="D4651" s="55" t="s">
        <v>19</v>
      </c>
      <c r="G4651" s="65">
        <v>4000</v>
      </c>
      <c r="H4651" s="56" t="s">
        <v>92</v>
      </c>
      <c r="I4651" s="54">
        <v>8669057177</v>
      </c>
      <c r="J4651" s="56" t="s">
        <v>2978</v>
      </c>
      <c r="K4651" s="56">
        <v>3075</v>
      </c>
      <c r="L4651" s="55" t="s">
        <v>2152</v>
      </c>
      <c r="M4651" s="55" t="s">
        <v>2824</v>
      </c>
      <c r="N4651" s="4" t="s">
        <v>1905</v>
      </c>
      <c r="O4651" s="55" t="s">
        <v>178</v>
      </c>
    </row>
    <row r="4652" spans="2:15">
      <c r="B4652" s="20">
        <v>45665</v>
      </c>
      <c r="C4652" s="59">
        <v>50272278</v>
      </c>
      <c r="D4652" s="55" t="s">
        <v>21</v>
      </c>
      <c r="G4652" s="65">
        <v>7000</v>
      </c>
      <c r="H4652" s="56" t="s">
        <v>92</v>
      </c>
      <c r="J4652" s="56" t="s">
        <v>2978</v>
      </c>
      <c r="K4652" s="56">
        <v>3075</v>
      </c>
      <c r="L4652" s="55" t="s">
        <v>2152</v>
      </c>
      <c r="M4652" s="55" t="s">
        <v>2824</v>
      </c>
      <c r="N4652" s="4" t="s">
        <v>1905</v>
      </c>
      <c r="O4652" s="55" t="s">
        <v>178</v>
      </c>
    </row>
    <row r="4653" spans="2:15">
      <c r="B4653" s="20">
        <v>45665</v>
      </c>
      <c r="C4653" s="59">
        <v>50142329</v>
      </c>
      <c r="D4653" s="55" t="s">
        <v>1073</v>
      </c>
      <c r="G4653" s="65">
        <v>600</v>
      </c>
      <c r="H4653" s="56" t="s">
        <v>198</v>
      </c>
      <c r="I4653" s="54">
        <v>8672579095</v>
      </c>
      <c r="J4653" s="56" t="s">
        <v>2978</v>
      </c>
      <c r="K4653" s="56">
        <v>3076</v>
      </c>
      <c r="L4653" s="55" t="s">
        <v>2152</v>
      </c>
      <c r="M4653" s="55" t="s">
        <v>2824</v>
      </c>
      <c r="N4653" s="4" t="s">
        <v>1905</v>
      </c>
      <c r="O4653" s="55" t="s">
        <v>178</v>
      </c>
    </row>
    <row r="4654" spans="2:15">
      <c r="B4654" s="20">
        <v>45665</v>
      </c>
      <c r="C4654" s="59">
        <v>50142237</v>
      </c>
      <c r="D4654" s="55" t="s">
        <v>617</v>
      </c>
      <c r="G4654" s="65">
        <v>10000</v>
      </c>
      <c r="H4654" s="56" t="s">
        <v>92</v>
      </c>
      <c r="I4654" s="54">
        <v>8669062866</v>
      </c>
      <c r="J4654" s="56" t="s">
        <v>2978</v>
      </c>
      <c r="K4654" s="56">
        <v>3076</v>
      </c>
      <c r="L4654" s="55" t="s">
        <v>2152</v>
      </c>
      <c r="M4654" s="55" t="s">
        <v>2824</v>
      </c>
      <c r="N4654" s="4" t="s">
        <v>1905</v>
      </c>
      <c r="O4654" s="55" t="s">
        <v>178</v>
      </c>
    </row>
    <row r="4655" spans="2:15">
      <c r="B4655" s="20">
        <v>45665</v>
      </c>
      <c r="C4655" s="59">
        <v>50470190</v>
      </c>
      <c r="D4655" s="55" t="s">
        <v>12</v>
      </c>
      <c r="G4655" s="65">
        <v>3117600</v>
      </c>
      <c r="H4655" s="56" t="s">
        <v>92</v>
      </c>
      <c r="I4655" s="54">
        <v>8669501808</v>
      </c>
      <c r="J4655" s="56" t="s">
        <v>2978</v>
      </c>
      <c r="K4655" s="56">
        <v>3076</v>
      </c>
      <c r="L4655" s="55" t="s">
        <v>2152</v>
      </c>
      <c r="M4655" s="55" t="s">
        <v>2824</v>
      </c>
      <c r="N4655" s="4" t="s">
        <v>1905</v>
      </c>
      <c r="O4655" s="55" t="s">
        <v>178</v>
      </c>
    </row>
    <row r="4656" spans="2:15">
      <c r="B4656" s="20">
        <v>45665</v>
      </c>
      <c r="C4656" s="59">
        <v>50820741</v>
      </c>
      <c r="D4656" s="55" t="s">
        <v>1114</v>
      </c>
      <c r="G4656" s="65">
        <v>1159200</v>
      </c>
      <c r="H4656" s="56" t="s">
        <v>92</v>
      </c>
      <c r="I4656" s="54">
        <v>8669062866</v>
      </c>
      <c r="J4656" s="56" t="s">
        <v>2978</v>
      </c>
      <c r="K4656" s="56">
        <v>3076</v>
      </c>
      <c r="L4656" s="55" t="s">
        <v>2152</v>
      </c>
      <c r="M4656" s="55" t="s">
        <v>2824</v>
      </c>
      <c r="N4656" s="4" t="s">
        <v>1905</v>
      </c>
      <c r="O4656" s="55" t="s">
        <v>178</v>
      </c>
    </row>
    <row r="4657" spans="2:15">
      <c r="B4657" s="20">
        <v>45666</v>
      </c>
      <c r="C4657" s="59">
        <v>50010080</v>
      </c>
      <c r="D4657" s="55" t="s">
        <v>1657</v>
      </c>
      <c r="G4657" s="65">
        <v>4000</v>
      </c>
      <c r="H4657" s="56" t="s">
        <v>82</v>
      </c>
      <c r="I4657" s="54">
        <v>8669503751</v>
      </c>
      <c r="J4657" s="56" t="s">
        <v>2978</v>
      </c>
      <c r="K4657" s="56">
        <v>3077</v>
      </c>
      <c r="L4657" s="55" t="s">
        <v>326</v>
      </c>
      <c r="M4657" s="55" t="s">
        <v>2824</v>
      </c>
      <c r="N4657" s="4" t="s">
        <v>327</v>
      </c>
      <c r="O4657" s="55" t="s">
        <v>178</v>
      </c>
    </row>
    <row r="4658" spans="2:15">
      <c r="B4658" s="20">
        <v>45666</v>
      </c>
      <c r="C4658" s="59">
        <v>50531473</v>
      </c>
      <c r="D4658" s="55" t="s">
        <v>1193</v>
      </c>
      <c r="G4658" s="65">
        <v>1808000</v>
      </c>
      <c r="H4658" s="56" t="s">
        <v>92</v>
      </c>
      <c r="I4658" s="54">
        <v>8669503751</v>
      </c>
      <c r="J4658" s="56" t="s">
        <v>2978</v>
      </c>
      <c r="K4658" s="56">
        <v>3077</v>
      </c>
      <c r="L4658" s="55" t="s">
        <v>326</v>
      </c>
      <c r="M4658" s="55" t="s">
        <v>2824</v>
      </c>
      <c r="N4658" s="4" t="s">
        <v>327</v>
      </c>
      <c r="O4658" s="55" t="s">
        <v>178</v>
      </c>
    </row>
    <row r="4659" spans="2:15">
      <c r="B4659" s="20">
        <v>45666</v>
      </c>
      <c r="C4659" s="59">
        <v>50837633</v>
      </c>
      <c r="D4659" s="55" t="s">
        <v>1901</v>
      </c>
      <c r="G4659" s="65">
        <v>1470000</v>
      </c>
      <c r="H4659" s="56" t="s">
        <v>92</v>
      </c>
      <c r="I4659" s="54">
        <v>8669503751</v>
      </c>
      <c r="J4659" s="56" t="s">
        <v>2978</v>
      </c>
      <c r="K4659" s="56">
        <v>3077</v>
      </c>
      <c r="L4659" s="55" t="s">
        <v>326</v>
      </c>
      <c r="M4659" s="55" t="s">
        <v>2824</v>
      </c>
      <c r="N4659" s="4" t="s">
        <v>327</v>
      </c>
      <c r="O4659" s="55" t="s">
        <v>178</v>
      </c>
    </row>
    <row r="4660" spans="2:15">
      <c r="B4660" s="20">
        <v>45666</v>
      </c>
      <c r="C4660" s="59">
        <v>50837632</v>
      </c>
      <c r="D4660" s="55" t="s">
        <v>1897</v>
      </c>
      <c r="G4660" s="65">
        <v>1092000</v>
      </c>
      <c r="H4660" s="56" t="s">
        <v>92</v>
      </c>
      <c r="I4660" s="54">
        <v>8669503751</v>
      </c>
      <c r="J4660" s="56" t="s">
        <v>2978</v>
      </c>
      <c r="K4660" s="56">
        <v>3077</v>
      </c>
      <c r="L4660" s="55" t="s">
        <v>326</v>
      </c>
      <c r="M4660" s="55" t="s">
        <v>2824</v>
      </c>
      <c r="N4660" s="4" t="s">
        <v>327</v>
      </c>
      <c r="O4660" s="55" t="s">
        <v>178</v>
      </c>
    </row>
    <row r="4661" spans="2:15">
      <c r="B4661" s="20">
        <v>45666</v>
      </c>
      <c r="C4661" s="59">
        <v>50811693</v>
      </c>
      <c r="D4661" s="55" t="s">
        <v>1269</v>
      </c>
      <c r="G4661" s="65">
        <v>1500000</v>
      </c>
      <c r="H4661" s="56" t="s">
        <v>92</v>
      </c>
      <c r="I4661" s="54">
        <v>8669503751</v>
      </c>
      <c r="J4661" s="56" t="s">
        <v>2978</v>
      </c>
      <c r="K4661" s="56">
        <v>3077</v>
      </c>
      <c r="L4661" s="55" t="s">
        <v>326</v>
      </c>
      <c r="M4661" s="55" t="s">
        <v>2824</v>
      </c>
      <c r="N4661" s="4" t="s">
        <v>327</v>
      </c>
      <c r="O4661" s="55" t="s">
        <v>178</v>
      </c>
    </row>
    <row r="4662" spans="2:15">
      <c r="B4662" s="20">
        <v>45666</v>
      </c>
      <c r="C4662" s="59">
        <v>50142327</v>
      </c>
      <c r="D4662" s="55" t="s">
        <v>256</v>
      </c>
      <c r="G4662" s="65">
        <v>2383.5</v>
      </c>
      <c r="H4662" s="56" t="s">
        <v>82</v>
      </c>
      <c r="I4662" s="54">
        <v>8669503751</v>
      </c>
      <c r="J4662" s="56" t="s">
        <v>2978</v>
      </c>
      <c r="K4662" s="56">
        <v>3077</v>
      </c>
      <c r="L4662" s="55" t="s">
        <v>326</v>
      </c>
      <c r="M4662" s="55" t="s">
        <v>2824</v>
      </c>
      <c r="N4662" s="4" t="s">
        <v>327</v>
      </c>
      <c r="O4662" s="55" t="s">
        <v>178</v>
      </c>
    </row>
    <row r="4663" spans="2:15">
      <c r="B4663" s="20">
        <v>45666</v>
      </c>
      <c r="C4663" s="59">
        <v>50142334</v>
      </c>
      <c r="D4663" s="55" t="s">
        <v>257</v>
      </c>
      <c r="G4663" s="65">
        <v>953.4</v>
      </c>
      <c r="H4663" s="56" t="s">
        <v>82</v>
      </c>
      <c r="I4663" s="54">
        <v>8669503751</v>
      </c>
      <c r="J4663" s="56" t="s">
        <v>2978</v>
      </c>
      <c r="K4663" s="56">
        <v>3077</v>
      </c>
      <c r="L4663" s="55" t="s">
        <v>326</v>
      </c>
      <c r="M4663" s="55" t="s">
        <v>2824</v>
      </c>
      <c r="N4663" s="4" t="s">
        <v>327</v>
      </c>
      <c r="O4663" s="55" t="s">
        <v>178</v>
      </c>
    </row>
    <row r="4664" spans="2:15">
      <c r="B4664" s="20">
        <v>45666</v>
      </c>
      <c r="C4664" s="59">
        <v>50144376</v>
      </c>
      <c r="D4664" s="55" t="s">
        <v>19</v>
      </c>
      <c r="G4664" s="65">
        <v>8000</v>
      </c>
      <c r="H4664" s="56" t="s">
        <v>92</v>
      </c>
      <c r="I4664" s="54">
        <v>8669505147</v>
      </c>
      <c r="J4664" s="56" t="s">
        <v>2978</v>
      </c>
      <c r="K4664" s="56">
        <v>3078</v>
      </c>
      <c r="L4664" s="55" t="s">
        <v>326</v>
      </c>
      <c r="M4664" s="55" t="s">
        <v>2824</v>
      </c>
      <c r="N4664" s="4" t="s">
        <v>327</v>
      </c>
      <c r="O4664" s="55" t="s">
        <v>178</v>
      </c>
    </row>
    <row r="4665" spans="2:15">
      <c r="B4665" s="20">
        <v>45666</v>
      </c>
      <c r="C4665" s="59">
        <v>50272278</v>
      </c>
      <c r="D4665" s="55" t="s">
        <v>21</v>
      </c>
      <c r="G4665" s="65">
        <v>3300</v>
      </c>
      <c r="H4665" s="56" t="s">
        <v>92</v>
      </c>
      <c r="I4665" s="54">
        <v>8669505147</v>
      </c>
      <c r="J4665" s="56" t="s">
        <v>2978</v>
      </c>
      <c r="K4665" s="56">
        <v>3078</v>
      </c>
      <c r="L4665" s="55" t="s">
        <v>326</v>
      </c>
      <c r="M4665" s="55" t="s">
        <v>2824</v>
      </c>
      <c r="N4665" s="4" t="s">
        <v>327</v>
      </c>
      <c r="O4665" s="55" t="s">
        <v>178</v>
      </c>
    </row>
    <row r="4666" spans="2:15">
      <c r="B4666" s="20">
        <v>45666</v>
      </c>
      <c r="C4666" s="59">
        <v>50470190</v>
      </c>
      <c r="D4666" s="55" t="s">
        <v>12</v>
      </c>
      <c r="G4666" s="65">
        <v>1159200</v>
      </c>
      <c r="H4666" s="56" t="s">
        <v>92</v>
      </c>
      <c r="I4666" s="54">
        <v>8669506208</v>
      </c>
      <c r="J4666" s="56" t="s">
        <v>2978</v>
      </c>
      <c r="K4666" s="56">
        <v>3079</v>
      </c>
      <c r="L4666" s="55" t="s">
        <v>326</v>
      </c>
      <c r="M4666" s="55" t="s">
        <v>2824</v>
      </c>
      <c r="N4666" s="4" t="s">
        <v>327</v>
      </c>
      <c r="O4666" s="55" t="s">
        <v>178</v>
      </c>
    </row>
    <row r="4667" spans="2:15">
      <c r="B4667" s="20">
        <v>45666</v>
      </c>
      <c r="C4667" s="59">
        <v>50802401</v>
      </c>
      <c r="D4667" s="55" t="s">
        <v>13</v>
      </c>
      <c r="G4667" s="65">
        <v>1159200</v>
      </c>
      <c r="H4667" s="56" t="s">
        <v>92</v>
      </c>
      <c r="I4667" s="54">
        <v>8669506208</v>
      </c>
      <c r="J4667" s="56" t="s">
        <v>2978</v>
      </c>
      <c r="K4667" s="56">
        <v>3079</v>
      </c>
      <c r="L4667" s="55" t="s">
        <v>326</v>
      </c>
      <c r="M4667" s="55" t="s">
        <v>2824</v>
      </c>
      <c r="N4667" s="4" t="s">
        <v>327</v>
      </c>
      <c r="O4667" s="55" t="s">
        <v>178</v>
      </c>
    </row>
    <row r="4668" spans="2:15">
      <c r="B4668" s="20">
        <v>45666</v>
      </c>
      <c r="C4668" s="59">
        <v>50449101</v>
      </c>
      <c r="D4668" s="55" t="s">
        <v>237</v>
      </c>
      <c r="G4668" s="65">
        <v>2898000</v>
      </c>
      <c r="H4668" s="56" t="s">
        <v>92</v>
      </c>
      <c r="I4668" s="54">
        <v>8671701694</v>
      </c>
      <c r="J4668" s="56" t="s">
        <v>2978</v>
      </c>
      <c r="K4668" s="56">
        <v>3079</v>
      </c>
      <c r="L4668" s="55" t="s">
        <v>326</v>
      </c>
      <c r="M4668" s="55" t="s">
        <v>2824</v>
      </c>
      <c r="N4668" s="4" t="s">
        <v>327</v>
      </c>
      <c r="O4668" s="55" t="s">
        <v>178</v>
      </c>
    </row>
    <row r="4669" spans="2:15">
      <c r="B4669" s="20">
        <v>45667</v>
      </c>
      <c r="C4669" s="59">
        <v>50272278</v>
      </c>
      <c r="D4669" s="69" t="s">
        <v>21</v>
      </c>
      <c r="G4669" s="65">
        <v>13200</v>
      </c>
      <c r="H4669" s="56" t="s">
        <v>92</v>
      </c>
      <c r="I4669" s="54">
        <v>8669971590</v>
      </c>
      <c r="J4669" s="56" t="s">
        <v>2978</v>
      </c>
      <c r="K4669" s="56">
        <v>3080</v>
      </c>
      <c r="L4669" s="55" t="s">
        <v>2152</v>
      </c>
      <c r="M4669" s="55" t="s">
        <v>2824</v>
      </c>
      <c r="N4669" s="4" t="s">
        <v>1905</v>
      </c>
      <c r="O4669" s="55" t="s">
        <v>178</v>
      </c>
    </row>
    <row r="4670" spans="2:15">
      <c r="B4670" s="20">
        <v>45667</v>
      </c>
      <c r="C4670" s="59">
        <v>50802401</v>
      </c>
      <c r="D4670" s="55" t="s">
        <v>13</v>
      </c>
      <c r="G4670" s="65">
        <f>6*289800</f>
        <v>1738800</v>
      </c>
      <c r="H4670" s="56" t="s">
        <v>92</v>
      </c>
      <c r="I4670" s="54">
        <v>8670833477</v>
      </c>
      <c r="J4670" s="56" t="s">
        <v>2978</v>
      </c>
      <c r="K4670" s="56">
        <v>3081</v>
      </c>
      <c r="L4670" s="55" t="s">
        <v>2152</v>
      </c>
      <c r="M4670" s="55" t="s">
        <v>2824</v>
      </c>
      <c r="N4670" s="4" t="s">
        <v>1905</v>
      </c>
      <c r="O4670" s="55" t="s">
        <v>533</v>
      </c>
    </row>
    <row r="4671" spans="2:15">
      <c r="B4671" s="20">
        <v>45667</v>
      </c>
      <c r="C4671" s="59">
        <v>50449101</v>
      </c>
      <c r="D4671" s="55" t="s">
        <v>237</v>
      </c>
      <c r="G4671" s="65">
        <f>2*289800</f>
        <v>579600</v>
      </c>
      <c r="H4671" s="56" t="s">
        <v>92</v>
      </c>
      <c r="I4671" s="54">
        <v>8671701724</v>
      </c>
      <c r="J4671" s="56" t="s">
        <v>2978</v>
      </c>
      <c r="K4671" s="56">
        <v>3081</v>
      </c>
      <c r="L4671" s="55" t="s">
        <v>2152</v>
      </c>
      <c r="M4671" s="55" t="s">
        <v>2824</v>
      </c>
      <c r="N4671" s="4" t="s">
        <v>1905</v>
      </c>
      <c r="O4671" s="55" t="s">
        <v>533</v>
      </c>
    </row>
    <row r="4672" spans="2:15">
      <c r="B4672" s="20">
        <v>45667</v>
      </c>
      <c r="C4672" s="59">
        <v>50531473</v>
      </c>
      <c r="D4672" s="55" t="s">
        <v>1193</v>
      </c>
      <c r="G4672" s="65">
        <f>3*1024000</f>
        <v>3072000</v>
      </c>
      <c r="H4672" s="56" t="s">
        <v>92</v>
      </c>
      <c r="I4672" s="54">
        <v>8670833477</v>
      </c>
      <c r="J4672" s="56" t="s">
        <v>2978</v>
      </c>
      <c r="K4672" s="56">
        <v>3081</v>
      </c>
      <c r="L4672" s="55" t="s">
        <v>2152</v>
      </c>
      <c r="M4672" s="55" t="s">
        <v>2824</v>
      </c>
      <c r="N4672" s="4" t="s">
        <v>1905</v>
      </c>
      <c r="O4672" s="55" t="s">
        <v>533</v>
      </c>
    </row>
    <row r="4673" spans="2:15">
      <c r="B4673" s="20">
        <v>45667</v>
      </c>
      <c r="C4673" s="59">
        <v>40011588</v>
      </c>
      <c r="D4673" s="55" t="s">
        <v>585</v>
      </c>
      <c r="G4673" s="65">
        <v>450</v>
      </c>
      <c r="H4673" s="56" t="s">
        <v>80</v>
      </c>
      <c r="I4673" s="54">
        <v>8670833477</v>
      </c>
      <c r="J4673" s="56" t="s">
        <v>2978</v>
      </c>
      <c r="K4673" s="56">
        <v>3081</v>
      </c>
      <c r="L4673" s="55" t="s">
        <v>2152</v>
      </c>
      <c r="M4673" s="55" t="s">
        <v>2824</v>
      </c>
      <c r="N4673" s="4" t="s">
        <v>1905</v>
      </c>
      <c r="O4673" s="55" t="s">
        <v>533</v>
      </c>
    </row>
    <row r="4674" spans="2:15">
      <c r="B4674" s="20">
        <v>45667</v>
      </c>
      <c r="C4674" s="59">
        <v>50837238</v>
      </c>
      <c r="D4674" s="55" t="s">
        <v>1976</v>
      </c>
      <c r="G4674" s="65">
        <f>537.4+567.8</f>
        <v>1105.2</v>
      </c>
      <c r="H4674" s="56" t="s">
        <v>82</v>
      </c>
      <c r="I4674" s="54">
        <v>8673338795</v>
      </c>
      <c r="J4674" s="56" t="s">
        <v>2978</v>
      </c>
      <c r="K4674" s="56">
        <v>3081</v>
      </c>
      <c r="L4674" s="55" t="s">
        <v>2152</v>
      </c>
      <c r="M4674" s="55" t="s">
        <v>2824</v>
      </c>
      <c r="N4674" s="4" t="s">
        <v>1905</v>
      </c>
      <c r="O4674" s="55" t="s">
        <v>533</v>
      </c>
    </row>
    <row r="4675" spans="2:15">
      <c r="B4675" s="20">
        <v>45667</v>
      </c>
      <c r="C4675" s="59">
        <v>50837632</v>
      </c>
      <c r="D4675" s="55" t="s">
        <v>1897</v>
      </c>
      <c r="G4675" s="65">
        <v>546</v>
      </c>
      <c r="H4675" s="56" t="s">
        <v>80</v>
      </c>
      <c r="I4675" s="54">
        <v>8670833477</v>
      </c>
      <c r="J4675" s="56" t="s">
        <v>2978</v>
      </c>
      <c r="K4675" s="56">
        <v>3081</v>
      </c>
      <c r="L4675" s="55" t="s">
        <v>2152</v>
      </c>
      <c r="M4675" s="55" t="s">
        <v>2824</v>
      </c>
      <c r="N4675" s="4" t="s">
        <v>1905</v>
      </c>
      <c r="O4675" s="55" t="s">
        <v>533</v>
      </c>
    </row>
    <row r="4676" spans="2:15">
      <c r="B4676" s="20">
        <v>45667</v>
      </c>
      <c r="C4676" s="59">
        <v>50837633</v>
      </c>
      <c r="D4676" s="55" t="s">
        <v>1901</v>
      </c>
      <c r="G4676" s="65">
        <v>735</v>
      </c>
      <c r="H4676" s="56" t="s">
        <v>80</v>
      </c>
      <c r="I4676" s="54">
        <v>8670833477</v>
      </c>
      <c r="J4676" s="56" t="s">
        <v>2978</v>
      </c>
      <c r="K4676" s="56">
        <v>3081</v>
      </c>
      <c r="L4676" s="55" t="s">
        <v>2152</v>
      </c>
      <c r="M4676" s="55" t="s">
        <v>2824</v>
      </c>
      <c r="N4676" s="4" t="s">
        <v>1905</v>
      </c>
      <c r="O4676" s="55" t="s">
        <v>533</v>
      </c>
    </row>
    <row r="4677" spans="2:15">
      <c r="B4677" s="20">
        <v>45667</v>
      </c>
      <c r="C4677" s="59">
        <v>50144376</v>
      </c>
      <c r="D4677" s="55" t="s">
        <v>19</v>
      </c>
      <c r="G4677" s="65">
        <f>4*250</f>
        <v>1000</v>
      </c>
      <c r="H4677" s="56" t="s">
        <v>92</v>
      </c>
      <c r="I4677" s="54">
        <v>8670833477</v>
      </c>
      <c r="J4677" s="56" t="s">
        <v>2978</v>
      </c>
      <c r="K4677" s="56">
        <v>3081</v>
      </c>
      <c r="L4677" s="55" t="s">
        <v>2152</v>
      </c>
      <c r="M4677" s="55" t="s">
        <v>2824</v>
      </c>
      <c r="N4677" s="4" t="s">
        <v>1905</v>
      </c>
      <c r="O4677" s="55" t="s">
        <v>533</v>
      </c>
    </row>
    <row r="4678" spans="2:15">
      <c r="B4678" s="20">
        <v>45667</v>
      </c>
      <c r="C4678" s="59">
        <v>40009151</v>
      </c>
      <c r="D4678" s="66" t="s">
        <v>1961</v>
      </c>
      <c r="E4678" s="125" t="s">
        <v>2986</v>
      </c>
      <c r="F4678" s="125"/>
      <c r="G4678" s="126">
        <v>1300</v>
      </c>
      <c r="H4678" s="56" t="s">
        <v>80</v>
      </c>
      <c r="I4678" s="54">
        <v>8670833477</v>
      </c>
      <c r="J4678" s="56" t="s">
        <v>2978</v>
      </c>
      <c r="K4678" s="56">
        <v>3081</v>
      </c>
      <c r="L4678" s="55" t="s">
        <v>2152</v>
      </c>
      <c r="M4678" s="55" t="s">
        <v>2824</v>
      </c>
      <c r="N4678" s="4" t="s">
        <v>1905</v>
      </c>
      <c r="O4678" s="55" t="s">
        <v>533</v>
      </c>
    </row>
    <row r="4679" spans="2:15">
      <c r="B4679" s="20">
        <v>45667</v>
      </c>
      <c r="C4679" s="59">
        <v>40014675</v>
      </c>
      <c r="D4679" s="55" t="s">
        <v>44</v>
      </c>
      <c r="G4679" s="65">
        <v>31.68</v>
      </c>
      <c r="H4679" s="56" t="s">
        <v>80</v>
      </c>
      <c r="I4679" s="54">
        <v>8670418444</v>
      </c>
      <c r="J4679" s="56" t="s">
        <v>2978</v>
      </c>
      <c r="K4679" s="56" t="s">
        <v>3001</v>
      </c>
      <c r="L4679" s="55" t="s">
        <v>176</v>
      </c>
      <c r="M4679" s="55" t="s">
        <v>2824</v>
      </c>
      <c r="O4679" s="55" t="s">
        <v>178</v>
      </c>
    </row>
    <row r="4680" spans="2:15">
      <c r="B4680" s="20">
        <v>45667</v>
      </c>
      <c r="C4680" s="59">
        <v>40014675</v>
      </c>
      <c r="D4680" s="55" t="s">
        <v>44</v>
      </c>
      <c r="G4680" s="65">
        <v>31.68</v>
      </c>
      <c r="H4680" s="56" t="s">
        <v>80</v>
      </c>
      <c r="I4680" s="54">
        <v>8670418445</v>
      </c>
      <c r="J4680" s="56" t="s">
        <v>2978</v>
      </c>
      <c r="K4680" s="56" t="s">
        <v>3002</v>
      </c>
      <c r="L4680" s="55" t="s">
        <v>392</v>
      </c>
      <c r="M4680" s="55" t="s">
        <v>2824</v>
      </c>
      <c r="O4680" s="55" t="s">
        <v>178</v>
      </c>
    </row>
    <row r="4681" spans="2:15">
      <c r="B4681" s="20">
        <v>45667</v>
      </c>
      <c r="C4681" s="59">
        <v>40014675</v>
      </c>
      <c r="D4681" s="55" t="s">
        <v>44</v>
      </c>
      <c r="G4681" s="65">
        <v>34.56</v>
      </c>
      <c r="H4681" s="56" t="s">
        <v>80</v>
      </c>
      <c r="I4681" s="54">
        <v>8670418452</v>
      </c>
      <c r="J4681" s="56" t="s">
        <v>2978</v>
      </c>
      <c r="K4681" s="56" t="s">
        <v>3003</v>
      </c>
      <c r="L4681" s="55" t="s">
        <v>176</v>
      </c>
      <c r="M4681" s="55" t="s">
        <v>2824</v>
      </c>
      <c r="O4681" s="55" t="s">
        <v>178</v>
      </c>
    </row>
    <row r="4682" spans="2:15">
      <c r="B4682" s="20">
        <v>45667</v>
      </c>
      <c r="C4682" s="59">
        <v>40014675</v>
      </c>
      <c r="D4682" s="55" t="s">
        <v>44</v>
      </c>
      <c r="G4682" s="65">
        <v>34.56</v>
      </c>
      <c r="H4682" s="56" t="s">
        <v>80</v>
      </c>
      <c r="I4682" s="54">
        <v>8670418474</v>
      </c>
      <c r="J4682" s="56" t="s">
        <v>2978</v>
      </c>
      <c r="K4682" s="56" t="s">
        <v>3004</v>
      </c>
      <c r="L4682" s="55" t="s">
        <v>392</v>
      </c>
      <c r="M4682" s="55" t="s">
        <v>2824</v>
      </c>
      <c r="O4682" s="55" t="s">
        <v>178</v>
      </c>
    </row>
    <row r="4683" spans="2:15">
      <c r="B4683" s="20">
        <v>45668</v>
      </c>
      <c r="C4683" s="59">
        <v>40014675</v>
      </c>
      <c r="D4683" s="55" t="s">
        <v>44</v>
      </c>
      <c r="G4683" s="65">
        <v>31.68</v>
      </c>
      <c r="H4683" s="56" t="s">
        <v>80</v>
      </c>
      <c r="I4683" s="54">
        <v>8670418447</v>
      </c>
      <c r="J4683" s="56" t="s">
        <v>2978</v>
      </c>
      <c r="K4683" s="56" t="s">
        <v>3005</v>
      </c>
      <c r="L4683" s="55" t="s">
        <v>176</v>
      </c>
      <c r="M4683" s="55" t="s">
        <v>2824</v>
      </c>
      <c r="O4683" s="55" t="s">
        <v>178</v>
      </c>
    </row>
    <row r="4684" spans="2:15">
      <c r="B4684" s="20">
        <v>45668</v>
      </c>
      <c r="C4684" s="59">
        <v>40014675</v>
      </c>
      <c r="D4684" s="55" t="s">
        <v>44</v>
      </c>
      <c r="G4684" s="65">
        <v>34.56</v>
      </c>
      <c r="H4684" s="56" t="s">
        <v>80</v>
      </c>
      <c r="I4684" s="54">
        <v>8670418477</v>
      </c>
      <c r="J4684" s="56" t="s">
        <v>2978</v>
      </c>
      <c r="K4684" s="56" t="s">
        <v>3006</v>
      </c>
      <c r="L4684" s="55" t="s">
        <v>392</v>
      </c>
      <c r="M4684" s="55" t="s">
        <v>2824</v>
      </c>
      <c r="O4684" s="55" t="s">
        <v>178</v>
      </c>
    </row>
    <row r="4685" spans="2:15">
      <c r="B4685" s="20">
        <v>45668</v>
      </c>
      <c r="C4685" s="59">
        <v>40014675</v>
      </c>
      <c r="D4685" s="55" t="s">
        <v>44</v>
      </c>
      <c r="G4685" s="65">
        <v>31.68</v>
      </c>
      <c r="H4685" s="56" t="s">
        <v>80</v>
      </c>
      <c r="I4685" s="54">
        <v>8670418450</v>
      </c>
      <c r="J4685" s="56" t="s">
        <v>2978</v>
      </c>
      <c r="K4685" s="56" t="s">
        <v>3007</v>
      </c>
      <c r="L4685" s="55" t="s">
        <v>176</v>
      </c>
      <c r="M4685" s="55" t="s">
        <v>2824</v>
      </c>
      <c r="O4685" s="55" t="s">
        <v>178</v>
      </c>
    </row>
    <row r="4686" spans="2:15">
      <c r="B4686" s="20">
        <v>45668</v>
      </c>
      <c r="C4686" s="59">
        <v>40014675</v>
      </c>
      <c r="D4686" s="55" t="s">
        <v>44</v>
      </c>
      <c r="G4686" s="65">
        <v>34.56</v>
      </c>
      <c r="H4686" s="56" t="s">
        <v>80</v>
      </c>
      <c r="I4686" s="54">
        <v>8670418480</v>
      </c>
      <c r="J4686" s="56" t="s">
        <v>2978</v>
      </c>
      <c r="K4686" s="56" t="s">
        <v>3008</v>
      </c>
      <c r="L4686" s="55" t="s">
        <v>392</v>
      </c>
      <c r="M4686" s="55" t="s">
        <v>2824</v>
      </c>
      <c r="O4686" s="55" t="s">
        <v>178</v>
      </c>
    </row>
    <row r="4687" spans="2:15">
      <c r="B4687" s="20">
        <v>45670</v>
      </c>
      <c r="C4687" s="59">
        <v>50837239</v>
      </c>
      <c r="D4687" s="55" t="s">
        <v>27</v>
      </c>
      <c r="G4687" s="65">
        <v>3029</v>
      </c>
      <c r="H4687" s="56" t="s">
        <v>82</v>
      </c>
      <c r="I4687" s="54">
        <v>8671257004</v>
      </c>
      <c r="J4687" s="56" t="s">
        <v>2978</v>
      </c>
      <c r="K4687" s="56">
        <v>3082</v>
      </c>
      <c r="L4687" s="55" t="s">
        <v>2152</v>
      </c>
      <c r="M4687" s="55" t="s">
        <v>2824</v>
      </c>
      <c r="N4687" s="4" t="s">
        <v>1905</v>
      </c>
      <c r="O4687" s="55" t="s">
        <v>178</v>
      </c>
    </row>
    <row r="4688" spans="2:15">
      <c r="B4688" s="20">
        <v>45670</v>
      </c>
      <c r="C4688" s="59">
        <v>50840365</v>
      </c>
      <c r="D4688" s="55" t="s">
        <v>1886</v>
      </c>
      <c r="G4688" s="65">
        <v>1891.85</v>
      </c>
      <c r="H4688" s="56" t="s">
        <v>82</v>
      </c>
      <c r="I4688" s="54">
        <v>8671257004</v>
      </c>
      <c r="J4688" s="56" t="s">
        <v>2978</v>
      </c>
      <c r="K4688" s="56">
        <v>3082</v>
      </c>
      <c r="L4688" s="55" t="s">
        <v>2152</v>
      </c>
      <c r="M4688" s="55" t="s">
        <v>2824</v>
      </c>
      <c r="N4688" s="4" t="s">
        <v>1905</v>
      </c>
      <c r="O4688" s="55" t="s">
        <v>178</v>
      </c>
    </row>
    <row r="4689" spans="2:15">
      <c r="B4689" s="20">
        <v>45670</v>
      </c>
      <c r="C4689" s="59">
        <v>40011149</v>
      </c>
      <c r="D4689" s="55" t="s">
        <v>37</v>
      </c>
      <c r="G4689" s="65">
        <v>360</v>
      </c>
      <c r="H4689" s="56" t="s">
        <v>80</v>
      </c>
      <c r="I4689" s="54">
        <v>8670837592</v>
      </c>
      <c r="J4689" s="56" t="s">
        <v>2978</v>
      </c>
      <c r="K4689" s="56">
        <v>3082</v>
      </c>
      <c r="L4689" s="55" t="s">
        <v>2152</v>
      </c>
      <c r="M4689" s="55" t="s">
        <v>2824</v>
      </c>
      <c r="N4689" s="4" t="s">
        <v>1905</v>
      </c>
      <c r="O4689" s="55" t="s">
        <v>178</v>
      </c>
    </row>
    <row r="4690" spans="2:15">
      <c r="B4690" s="20">
        <v>45670</v>
      </c>
      <c r="C4690" s="59">
        <v>50802401</v>
      </c>
      <c r="D4690" s="55" t="s">
        <v>13</v>
      </c>
      <c r="G4690" s="65">
        <v>2028600</v>
      </c>
      <c r="H4690" s="56" t="s">
        <v>92</v>
      </c>
      <c r="I4690" s="54">
        <v>8670837592</v>
      </c>
      <c r="J4690" s="56" t="s">
        <v>2978</v>
      </c>
      <c r="K4690" s="56">
        <v>3082</v>
      </c>
      <c r="L4690" s="55" t="s">
        <v>2152</v>
      </c>
      <c r="M4690" s="55" t="s">
        <v>2824</v>
      </c>
      <c r="N4690" s="4" t="s">
        <v>1905</v>
      </c>
      <c r="O4690" s="55" t="s">
        <v>178</v>
      </c>
    </row>
    <row r="4691" spans="2:15">
      <c r="B4691" s="20">
        <v>45670</v>
      </c>
      <c r="C4691" s="59">
        <v>40011659</v>
      </c>
      <c r="D4691" s="55" t="s">
        <v>89</v>
      </c>
      <c r="G4691" s="65">
        <v>1056</v>
      </c>
      <c r="H4691" s="56" t="s">
        <v>80</v>
      </c>
      <c r="I4691" s="54">
        <v>8670837592</v>
      </c>
      <c r="J4691" s="56" t="s">
        <v>2978</v>
      </c>
      <c r="K4691" s="56">
        <v>3082</v>
      </c>
      <c r="L4691" s="55" t="s">
        <v>2152</v>
      </c>
      <c r="M4691" s="55" t="s">
        <v>2824</v>
      </c>
      <c r="N4691" s="4" t="s">
        <v>1905</v>
      </c>
      <c r="O4691" s="55" t="s">
        <v>178</v>
      </c>
    </row>
    <row r="4692" spans="2:15">
      <c r="B4692" s="20">
        <v>45670</v>
      </c>
      <c r="C4692" s="59">
        <v>50272278</v>
      </c>
      <c r="D4692" s="55" t="s">
        <v>21</v>
      </c>
      <c r="G4692" s="65">
        <v>6000</v>
      </c>
      <c r="H4692" s="56" t="s">
        <v>92</v>
      </c>
      <c r="I4692" s="54">
        <v>8671257557</v>
      </c>
      <c r="J4692" s="56" t="s">
        <v>2978</v>
      </c>
      <c r="K4692" s="56">
        <v>3083</v>
      </c>
      <c r="L4692" s="55" t="s">
        <v>2152</v>
      </c>
      <c r="M4692" s="55" t="s">
        <v>2824</v>
      </c>
      <c r="N4692" s="4" t="s">
        <v>1905</v>
      </c>
      <c r="O4692" s="55" t="s">
        <v>178</v>
      </c>
    </row>
    <row r="4693" spans="2:15">
      <c r="B4693" s="20">
        <v>45670</v>
      </c>
      <c r="C4693" s="59">
        <v>50837633</v>
      </c>
      <c r="D4693" s="55" t="s">
        <v>1901</v>
      </c>
      <c r="G4693" s="65">
        <v>1277500</v>
      </c>
      <c r="H4693" s="56" t="s">
        <v>962</v>
      </c>
      <c r="I4693" s="54">
        <v>8671257557</v>
      </c>
      <c r="J4693" s="56" t="s">
        <v>2978</v>
      </c>
      <c r="K4693" s="56">
        <v>3083</v>
      </c>
      <c r="L4693" s="55" t="s">
        <v>2152</v>
      </c>
      <c r="M4693" s="55" t="s">
        <v>2824</v>
      </c>
      <c r="N4693" s="4" t="s">
        <v>1905</v>
      </c>
      <c r="O4693" s="55" t="s">
        <v>178</v>
      </c>
    </row>
    <row r="4694" spans="2:15">
      <c r="B4694" s="20">
        <v>45670</v>
      </c>
      <c r="C4694" s="59">
        <v>50837632</v>
      </c>
      <c r="D4694" s="55" t="s">
        <v>1897</v>
      </c>
      <c r="G4694" s="65">
        <f>1092000-65000</f>
        <v>1027000</v>
      </c>
      <c r="H4694" s="56" t="s">
        <v>962</v>
      </c>
      <c r="I4694" s="54">
        <v>8671257557</v>
      </c>
      <c r="J4694" s="56" t="s">
        <v>2978</v>
      </c>
      <c r="K4694" s="56">
        <v>3083</v>
      </c>
      <c r="L4694" s="55" t="s">
        <v>2152</v>
      </c>
      <c r="M4694" s="55" t="s">
        <v>2824</v>
      </c>
      <c r="N4694" s="4" t="s">
        <v>1905</v>
      </c>
      <c r="O4694" s="55" t="s">
        <v>178</v>
      </c>
    </row>
    <row r="4695" spans="2:15">
      <c r="B4695" s="20">
        <v>45670</v>
      </c>
      <c r="C4695" s="59">
        <v>40011149</v>
      </c>
      <c r="D4695" s="55" t="s">
        <v>37</v>
      </c>
      <c r="G4695" s="65">
        <v>1080</v>
      </c>
      <c r="H4695" s="56" t="s">
        <v>80</v>
      </c>
      <c r="I4695" s="54">
        <v>8671257557</v>
      </c>
      <c r="J4695" s="56" t="s">
        <v>2978</v>
      </c>
      <c r="K4695" s="56">
        <v>3083</v>
      </c>
      <c r="L4695" s="55" t="s">
        <v>2152</v>
      </c>
      <c r="M4695" s="55" t="s">
        <v>2824</v>
      </c>
      <c r="N4695" s="4" t="s">
        <v>1905</v>
      </c>
      <c r="O4695" s="55" t="s">
        <v>178</v>
      </c>
    </row>
    <row r="4696" spans="2:15">
      <c r="B4696" s="20">
        <v>45670</v>
      </c>
      <c r="C4696" s="59">
        <v>50470190</v>
      </c>
      <c r="D4696" s="55" t="s">
        <v>12</v>
      </c>
      <c r="G4696" s="65">
        <v>1159200</v>
      </c>
      <c r="H4696" s="56" t="s">
        <v>92</v>
      </c>
      <c r="I4696" s="54">
        <v>8671257557</v>
      </c>
      <c r="J4696" s="56" t="s">
        <v>2978</v>
      </c>
      <c r="K4696" s="56">
        <v>3083</v>
      </c>
      <c r="L4696" s="55" t="s">
        <v>2152</v>
      </c>
      <c r="M4696" s="55" t="s">
        <v>2824</v>
      </c>
      <c r="N4696" s="4" t="s">
        <v>1905</v>
      </c>
      <c r="O4696" s="55" t="s">
        <v>178</v>
      </c>
    </row>
    <row r="4697" spans="2:15">
      <c r="B4697" s="20">
        <v>45670</v>
      </c>
      <c r="C4697" s="59">
        <v>50834669</v>
      </c>
      <c r="D4697" s="55" t="s">
        <v>1668</v>
      </c>
      <c r="G4697" s="65">
        <v>262800</v>
      </c>
      <c r="H4697" s="56" t="s">
        <v>92</v>
      </c>
      <c r="I4697" s="54" t="s">
        <v>2874</v>
      </c>
      <c r="J4697" s="56" t="s">
        <v>2978</v>
      </c>
      <c r="K4697" s="56">
        <v>3084</v>
      </c>
      <c r="L4697" s="55" t="s">
        <v>326</v>
      </c>
      <c r="M4697" s="55" t="s">
        <v>392</v>
      </c>
      <c r="N4697" s="4" t="s">
        <v>239</v>
      </c>
      <c r="O4697" s="55" t="s">
        <v>178</v>
      </c>
    </row>
    <row r="4698" spans="2:15">
      <c r="B4698" s="20">
        <v>45670</v>
      </c>
      <c r="C4698" s="59">
        <v>50143893</v>
      </c>
      <c r="D4698" s="55" t="s">
        <v>24</v>
      </c>
      <c r="G4698" s="65">
        <v>1782</v>
      </c>
      <c r="H4698" s="56" t="s">
        <v>82</v>
      </c>
      <c r="I4698" s="54" t="s">
        <v>2874</v>
      </c>
      <c r="J4698" s="56" t="s">
        <v>2978</v>
      </c>
      <c r="K4698" s="56">
        <v>3084</v>
      </c>
      <c r="L4698" s="55" t="s">
        <v>326</v>
      </c>
      <c r="M4698" s="55" t="s">
        <v>392</v>
      </c>
      <c r="N4698" s="4" t="s">
        <v>239</v>
      </c>
      <c r="O4698" s="55" t="s">
        <v>178</v>
      </c>
    </row>
    <row r="4699" spans="2:15">
      <c r="B4699" s="20">
        <v>45670</v>
      </c>
      <c r="C4699" s="59">
        <v>40014675</v>
      </c>
      <c r="D4699" s="55" t="s">
        <v>44</v>
      </c>
      <c r="G4699" s="65">
        <v>31.68</v>
      </c>
      <c r="H4699" s="56" t="s">
        <v>80</v>
      </c>
      <c r="I4699" s="54">
        <v>8671257562</v>
      </c>
      <c r="J4699" s="56" t="s">
        <v>2978</v>
      </c>
      <c r="K4699" s="56" t="s">
        <v>3009</v>
      </c>
      <c r="L4699" s="55" t="s">
        <v>392</v>
      </c>
      <c r="M4699" s="55" t="s">
        <v>2824</v>
      </c>
      <c r="O4699" s="55" t="s">
        <v>178</v>
      </c>
    </row>
    <row r="4700" spans="2:15">
      <c r="B4700" s="20">
        <v>45670</v>
      </c>
      <c r="C4700" s="59">
        <v>40014675</v>
      </c>
      <c r="D4700" s="55" t="s">
        <v>44</v>
      </c>
      <c r="G4700" s="65">
        <v>34.56</v>
      </c>
      <c r="H4700" s="56" t="s">
        <v>80</v>
      </c>
      <c r="I4700" s="54">
        <v>8671257625</v>
      </c>
      <c r="J4700" s="56" t="s">
        <v>2978</v>
      </c>
      <c r="K4700" s="56" t="s">
        <v>3010</v>
      </c>
      <c r="L4700" s="55" t="s">
        <v>176</v>
      </c>
      <c r="M4700" s="55" t="s">
        <v>2824</v>
      </c>
      <c r="O4700" s="55" t="s">
        <v>178</v>
      </c>
    </row>
    <row r="4701" spans="2:15">
      <c r="B4701" s="20">
        <v>45671</v>
      </c>
      <c r="C4701" s="59">
        <v>50272278</v>
      </c>
      <c r="D4701" s="69" t="s">
        <v>21</v>
      </c>
      <c r="G4701" s="65">
        <v>11000</v>
      </c>
      <c r="H4701" s="56" t="s">
        <v>92</v>
      </c>
      <c r="I4701" s="54">
        <v>8671256917</v>
      </c>
      <c r="J4701" s="56" t="s">
        <v>2978</v>
      </c>
      <c r="K4701" s="56">
        <v>3085</v>
      </c>
      <c r="L4701" s="55" t="s">
        <v>2152</v>
      </c>
      <c r="M4701" s="55" t="s">
        <v>2824</v>
      </c>
      <c r="N4701" s="4" t="s">
        <v>1905</v>
      </c>
      <c r="O4701" s="55" t="s">
        <v>178</v>
      </c>
    </row>
    <row r="4702" spans="2:15">
      <c r="B4702" s="20">
        <v>45671</v>
      </c>
      <c r="C4702" s="59">
        <v>50804970</v>
      </c>
      <c r="D4702" s="55" t="s">
        <v>857</v>
      </c>
      <c r="G4702" s="65">
        <v>940850</v>
      </c>
      <c r="H4702" s="56" t="s">
        <v>92</v>
      </c>
      <c r="I4702" s="54">
        <v>8671701363</v>
      </c>
      <c r="J4702" s="56" t="s">
        <v>2978</v>
      </c>
      <c r="K4702" s="56">
        <v>3086</v>
      </c>
      <c r="L4702" s="55" t="s">
        <v>2152</v>
      </c>
      <c r="M4702" s="55" t="s">
        <v>2824</v>
      </c>
      <c r="N4702" s="4" t="s">
        <v>1905</v>
      </c>
      <c r="O4702" s="55" t="s">
        <v>178</v>
      </c>
    </row>
    <row r="4703" spans="2:15">
      <c r="B4703" s="20">
        <v>45671</v>
      </c>
      <c r="C4703" s="59">
        <v>50804971</v>
      </c>
      <c r="D4703" s="55" t="s">
        <v>855</v>
      </c>
      <c r="G4703" s="65">
        <v>1440000</v>
      </c>
      <c r="H4703" s="56" t="s">
        <v>92</v>
      </c>
      <c r="I4703" s="54">
        <v>8671701363</v>
      </c>
      <c r="J4703" s="56" t="s">
        <v>2978</v>
      </c>
      <c r="K4703" s="56">
        <v>3086</v>
      </c>
      <c r="L4703" s="55" t="s">
        <v>2152</v>
      </c>
      <c r="M4703" s="55" t="s">
        <v>2824</v>
      </c>
      <c r="N4703" s="4" t="s">
        <v>1905</v>
      </c>
      <c r="O4703" s="55" t="s">
        <v>178</v>
      </c>
    </row>
    <row r="4704" spans="2:15">
      <c r="B4704" s="20">
        <v>45671</v>
      </c>
      <c r="C4704" s="59">
        <v>50804929</v>
      </c>
      <c r="D4704" s="55" t="s">
        <v>856</v>
      </c>
      <c r="G4704" s="65">
        <v>480000</v>
      </c>
      <c r="H4704" s="56" t="s">
        <v>92</v>
      </c>
      <c r="I4704" s="54">
        <v>8671701363</v>
      </c>
      <c r="J4704" s="56" t="s">
        <v>2978</v>
      </c>
      <c r="K4704" s="56">
        <v>3086</v>
      </c>
      <c r="L4704" s="55" t="s">
        <v>2152</v>
      </c>
      <c r="M4704" s="55" t="s">
        <v>2824</v>
      </c>
      <c r="N4704" s="4" t="s">
        <v>1905</v>
      </c>
      <c r="O4704" s="55" t="s">
        <v>178</v>
      </c>
    </row>
    <row r="4705" spans="2:15">
      <c r="B4705" s="20">
        <v>45671</v>
      </c>
      <c r="C4705" s="59">
        <v>50824293</v>
      </c>
      <c r="D4705" s="55" t="s">
        <v>861</v>
      </c>
      <c r="G4705" s="65">
        <v>1728000</v>
      </c>
      <c r="H4705" s="56" t="s">
        <v>92</v>
      </c>
      <c r="I4705" s="54">
        <v>8671701363</v>
      </c>
      <c r="J4705" s="56" t="s">
        <v>2978</v>
      </c>
      <c r="K4705" s="56">
        <v>3086</v>
      </c>
      <c r="L4705" s="55" t="s">
        <v>2152</v>
      </c>
      <c r="M4705" s="55" t="s">
        <v>2824</v>
      </c>
      <c r="N4705" s="4" t="s">
        <v>1905</v>
      </c>
      <c r="O4705" s="55" t="s">
        <v>178</v>
      </c>
    </row>
    <row r="4706" spans="2:15">
      <c r="B4706" s="20">
        <v>45671</v>
      </c>
      <c r="C4706" s="59">
        <v>40007942</v>
      </c>
      <c r="D4706" s="55" t="s">
        <v>219</v>
      </c>
      <c r="G4706" s="65">
        <v>5707</v>
      </c>
      <c r="H4706" s="56" t="s">
        <v>80</v>
      </c>
      <c r="I4706" s="54">
        <v>8671701363</v>
      </c>
      <c r="J4706" s="56" t="s">
        <v>2978</v>
      </c>
      <c r="K4706" s="56">
        <v>3086</v>
      </c>
      <c r="L4706" s="55" t="s">
        <v>2152</v>
      </c>
      <c r="M4706" s="55" t="s">
        <v>2824</v>
      </c>
      <c r="N4706" s="4" t="s">
        <v>1905</v>
      </c>
      <c r="O4706" s="55" t="s">
        <v>178</v>
      </c>
    </row>
    <row r="4707" spans="2:15">
      <c r="B4707" s="20">
        <v>45671</v>
      </c>
      <c r="C4707" s="59">
        <v>40009151</v>
      </c>
      <c r="D4707" s="55" t="s">
        <v>180</v>
      </c>
      <c r="G4707" s="65">
        <v>1350</v>
      </c>
      <c r="H4707" s="56" t="s">
        <v>80</v>
      </c>
      <c r="I4707" s="54">
        <v>8671701363</v>
      </c>
      <c r="J4707" s="56" t="s">
        <v>2978</v>
      </c>
      <c r="K4707" s="56">
        <v>3086</v>
      </c>
      <c r="L4707" s="55" t="s">
        <v>2152</v>
      </c>
      <c r="M4707" s="55" t="s">
        <v>2824</v>
      </c>
      <c r="N4707" s="4" t="s">
        <v>1905</v>
      </c>
      <c r="O4707" s="55" t="s">
        <v>178</v>
      </c>
    </row>
    <row r="4708" spans="2:15">
      <c r="B4708" s="20">
        <v>45671</v>
      </c>
      <c r="C4708" s="59">
        <v>50470190</v>
      </c>
      <c r="D4708" s="55" t="s">
        <v>12</v>
      </c>
      <c r="G4708" s="65">
        <v>2898000</v>
      </c>
      <c r="H4708" s="56" t="s">
        <v>92</v>
      </c>
      <c r="I4708" s="54">
        <v>8671701363</v>
      </c>
      <c r="J4708" s="56" t="s">
        <v>2978</v>
      </c>
      <c r="K4708" s="56">
        <v>3086</v>
      </c>
      <c r="L4708" s="55" t="s">
        <v>2152</v>
      </c>
      <c r="M4708" s="55" t="s">
        <v>2824</v>
      </c>
      <c r="N4708" s="4" t="s">
        <v>1905</v>
      </c>
      <c r="O4708" s="55" t="s">
        <v>178</v>
      </c>
    </row>
    <row r="4709" spans="2:15">
      <c r="B4709" s="20">
        <v>45671</v>
      </c>
      <c r="C4709" s="59">
        <v>40014675</v>
      </c>
      <c r="D4709" s="55" t="s">
        <v>44</v>
      </c>
      <c r="G4709" s="65">
        <v>34.56</v>
      </c>
      <c r="H4709" s="56" t="s">
        <v>80</v>
      </c>
      <c r="I4709" s="54">
        <v>8671701471</v>
      </c>
      <c r="J4709" s="56" t="s">
        <v>2978</v>
      </c>
      <c r="K4709" s="56" t="s">
        <v>3011</v>
      </c>
      <c r="L4709" s="55" t="s">
        <v>392</v>
      </c>
      <c r="M4709" s="55" t="s">
        <v>2824</v>
      </c>
      <c r="O4709" s="55" t="s">
        <v>178</v>
      </c>
    </row>
    <row r="4710" spans="2:15">
      <c r="B4710" s="20">
        <v>45671</v>
      </c>
      <c r="C4710" s="59">
        <v>40014675</v>
      </c>
      <c r="D4710" s="55" t="s">
        <v>44</v>
      </c>
      <c r="G4710" s="65">
        <v>31.68</v>
      </c>
      <c r="H4710" s="56" t="s">
        <v>80</v>
      </c>
      <c r="I4710" s="54">
        <v>8671701473</v>
      </c>
      <c r="J4710" s="56" t="s">
        <v>2978</v>
      </c>
      <c r="K4710" s="56" t="s">
        <v>3012</v>
      </c>
      <c r="L4710" s="55" t="s">
        <v>176</v>
      </c>
      <c r="M4710" s="55" t="s">
        <v>2824</v>
      </c>
      <c r="O4710" s="55" t="s">
        <v>178</v>
      </c>
    </row>
    <row r="4711" spans="2:15">
      <c r="B4711" s="20">
        <v>45672</v>
      </c>
      <c r="C4711" s="59">
        <v>40014675</v>
      </c>
      <c r="D4711" s="55" t="s">
        <v>44</v>
      </c>
      <c r="G4711" s="65">
        <v>34.56</v>
      </c>
      <c r="H4711" s="56" t="s">
        <v>80</v>
      </c>
      <c r="I4711" s="54">
        <v>8672578992</v>
      </c>
      <c r="J4711" s="56" t="s">
        <v>2978</v>
      </c>
      <c r="K4711" s="56" t="s">
        <v>3013</v>
      </c>
      <c r="L4711" s="55" t="s">
        <v>392</v>
      </c>
      <c r="M4711" s="55" t="s">
        <v>2824</v>
      </c>
      <c r="O4711" s="55" t="s">
        <v>178</v>
      </c>
    </row>
    <row r="4712" spans="2:15">
      <c r="B4712" s="20">
        <v>45672</v>
      </c>
      <c r="C4712" s="59">
        <v>40014675</v>
      </c>
      <c r="D4712" s="55" t="s">
        <v>44</v>
      </c>
      <c r="G4712" s="65">
        <v>31.68</v>
      </c>
      <c r="H4712" s="56" t="s">
        <v>80</v>
      </c>
      <c r="I4712" s="54">
        <v>8672578993</v>
      </c>
      <c r="J4712" s="56" t="s">
        <v>2978</v>
      </c>
      <c r="K4712" s="56" t="s">
        <v>3014</v>
      </c>
      <c r="L4712" s="55" t="s">
        <v>176</v>
      </c>
      <c r="M4712" s="55" t="s">
        <v>2824</v>
      </c>
      <c r="O4712" s="55" t="s">
        <v>178</v>
      </c>
    </row>
    <row r="4713" spans="2:15">
      <c r="B4713" s="20">
        <v>45672</v>
      </c>
      <c r="C4713" s="59">
        <v>50144376</v>
      </c>
      <c r="D4713" s="55" t="s">
        <v>19</v>
      </c>
      <c r="G4713" s="65">
        <v>5900</v>
      </c>
      <c r="H4713" s="56" t="s">
        <v>92</v>
      </c>
      <c r="I4713" s="54">
        <v>8671699316</v>
      </c>
      <c r="J4713" s="56" t="s">
        <v>2978</v>
      </c>
      <c r="K4713" s="56">
        <v>3087</v>
      </c>
      <c r="L4713" s="55" t="s">
        <v>2152</v>
      </c>
      <c r="M4713" s="55" t="s">
        <v>2824</v>
      </c>
      <c r="N4713" s="4" t="s">
        <v>1905</v>
      </c>
      <c r="O4713" s="55" t="s">
        <v>178</v>
      </c>
    </row>
    <row r="4714" spans="2:15">
      <c r="B4714" s="20">
        <v>45672</v>
      </c>
      <c r="C4714" s="59">
        <v>50272278</v>
      </c>
      <c r="D4714" s="69" t="s">
        <v>21</v>
      </c>
      <c r="G4714" s="65">
        <v>5500</v>
      </c>
      <c r="H4714" s="56" t="s">
        <v>92</v>
      </c>
      <c r="I4714" s="54">
        <v>8671699316</v>
      </c>
      <c r="J4714" s="56" t="s">
        <v>2978</v>
      </c>
      <c r="K4714" s="56">
        <v>3087</v>
      </c>
      <c r="L4714" s="55" t="s">
        <v>2152</v>
      </c>
      <c r="M4714" s="55" t="s">
        <v>2824</v>
      </c>
      <c r="N4714" s="4" t="s">
        <v>1905</v>
      </c>
      <c r="O4714" s="55" t="s">
        <v>178</v>
      </c>
    </row>
    <row r="4715" spans="2:15">
      <c r="B4715" s="20">
        <v>45672</v>
      </c>
      <c r="C4715" s="59">
        <v>50811693</v>
      </c>
      <c r="D4715" s="55" t="s">
        <v>1269</v>
      </c>
      <c r="G4715" s="65">
        <v>800000</v>
      </c>
      <c r="H4715" s="56" t="s">
        <v>92</v>
      </c>
      <c r="I4715" s="54">
        <v>8671701633</v>
      </c>
      <c r="J4715" s="56" t="s">
        <v>2978</v>
      </c>
      <c r="K4715" s="56">
        <v>3088</v>
      </c>
      <c r="L4715" s="55" t="s">
        <v>2152</v>
      </c>
      <c r="M4715" s="55" t="s">
        <v>2824</v>
      </c>
      <c r="N4715" s="4" t="s">
        <v>1905</v>
      </c>
      <c r="O4715" s="55" t="s">
        <v>178</v>
      </c>
    </row>
    <row r="4716" spans="2:15">
      <c r="B4716" s="20">
        <v>45672</v>
      </c>
      <c r="C4716" s="59">
        <v>50820741</v>
      </c>
      <c r="D4716" s="55" t="s">
        <v>1114</v>
      </c>
      <c r="G4716" s="65">
        <v>1738800</v>
      </c>
      <c r="H4716" s="56" t="s">
        <v>92</v>
      </c>
      <c r="I4716" s="54">
        <v>8671701633</v>
      </c>
      <c r="J4716" s="56" t="s">
        <v>2978</v>
      </c>
      <c r="K4716" s="56">
        <v>3088</v>
      </c>
      <c r="L4716" s="55" t="s">
        <v>2152</v>
      </c>
      <c r="M4716" s="55" t="s">
        <v>2824</v>
      </c>
      <c r="N4716" s="4" t="s">
        <v>1905</v>
      </c>
      <c r="O4716" s="55" t="s">
        <v>178</v>
      </c>
    </row>
    <row r="4717" spans="2:15">
      <c r="B4717" s="20">
        <v>45672</v>
      </c>
      <c r="C4717" s="59">
        <v>50449101</v>
      </c>
      <c r="D4717" s="55" t="s">
        <v>237</v>
      </c>
      <c r="G4717" s="65">
        <v>1159200</v>
      </c>
      <c r="H4717" s="56" t="s">
        <v>92</v>
      </c>
      <c r="I4717" s="54">
        <v>8671701633</v>
      </c>
      <c r="J4717" s="56" t="s">
        <v>2978</v>
      </c>
      <c r="K4717" s="56">
        <v>3088</v>
      </c>
      <c r="L4717" s="55" t="s">
        <v>2152</v>
      </c>
      <c r="M4717" s="55" t="s">
        <v>2824</v>
      </c>
      <c r="N4717" s="4" t="s">
        <v>1905</v>
      </c>
      <c r="O4717" s="55" t="s">
        <v>178</v>
      </c>
    </row>
    <row r="4718" spans="2:15">
      <c r="B4718" s="20">
        <v>45672</v>
      </c>
      <c r="C4718" s="59">
        <v>50837509</v>
      </c>
      <c r="D4718" s="55" t="s">
        <v>14</v>
      </c>
      <c r="G4718" s="65">
        <v>579600</v>
      </c>
      <c r="H4718" s="56" t="s">
        <v>92</v>
      </c>
      <c r="I4718" s="54">
        <v>8671701633</v>
      </c>
      <c r="J4718" s="56" t="s">
        <v>2978</v>
      </c>
      <c r="K4718" s="56">
        <v>3088</v>
      </c>
      <c r="L4718" s="55" t="s">
        <v>2152</v>
      </c>
      <c r="M4718" s="55" t="s">
        <v>2824</v>
      </c>
      <c r="N4718" s="4" t="s">
        <v>1905</v>
      </c>
      <c r="O4718" s="55" t="s">
        <v>178</v>
      </c>
    </row>
    <row r="4719" spans="2:15">
      <c r="B4719" s="20">
        <v>45672</v>
      </c>
      <c r="C4719" s="59">
        <v>50142327</v>
      </c>
      <c r="D4719" s="55" t="s">
        <v>256</v>
      </c>
      <c r="G4719" s="65">
        <v>1430.1</v>
      </c>
      <c r="H4719" s="56" t="s">
        <v>82</v>
      </c>
      <c r="I4719" s="54">
        <v>8671701633</v>
      </c>
      <c r="J4719" s="56" t="s">
        <v>2978</v>
      </c>
      <c r="K4719" s="56">
        <v>3088</v>
      </c>
      <c r="L4719" s="55" t="s">
        <v>2152</v>
      </c>
      <c r="M4719" s="55" t="s">
        <v>2824</v>
      </c>
      <c r="N4719" s="4" t="s">
        <v>1905</v>
      </c>
      <c r="O4719" s="55" t="s">
        <v>178</v>
      </c>
    </row>
    <row r="4720" spans="2:15">
      <c r="B4720" s="20">
        <v>45672</v>
      </c>
      <c r="C4720" s="59">
        <v>50142334</v>
      </c>
      <c r="D4720" s="55" t="s">
        <v>257</v>
      </c>
      <c r="G4720" s="65">
        <v>1430.1</v>
      </c>
      <c r="H4720" s="56" t="s">
        <v>82</v>
      </c>
      <c r="I4720" s="54">
        <v>8671701633</v>
      </c>
      <c r="J4720" s="56" t="s">
        <v>2978</v>
      </c>
      <c r="K4720" s="56">
        <v>3088</v>
      </c>
      <c r="L4720" s="55" t="s">
        <v>2152</v>
      </c>
      <c r="M4720" s="55" t="s">
        <v>2824</v>
      </c>
      <c r="N4720" s="4" t="s">
        <v>1905</v>
      </c>
      <c r="O4720" s="55" t="s">
        <v>178</v>
      </c>
    </row>
    <row r="4721" spans="2:15">
      <c r="B4721" s="20">
        <v>45672</v>
      </c>
      <c r="C4721" s="59">
        <v>40014675</v>
      </c>
      <c r="D4721" s="55" t="s">
        <v>44</v>
      </c>
      <c r="G4721" s="65">
        <v>31.68</v>
      </c>
      <c r="H4721" s="56" t="s">
        <v>80</v>
      </c>
      <c r="I4721" s="54">
        <v>8672579006</v>
      </c>
      <c r="J4721" s="56" t="s">
        <v>2978</v>
      </c>
      <c r="K4721" s="56" t="s">
        <v>3015</v>
      </c>
      <c r="L4721" s="55" t="s">
        <v>176</v>
      </c>
      <c r="M4721" s="55" t="s">
        <v>2824</v>
      </c>
      <c r="O4721" s="55" t="s">
        <v>178</v>
      </c>
    </row>
    <row r="4722" spans="2:15">
      <c r="B4722" s="20">
        <v>45672</v>
      </c>
      <c r="C4722" s="59">
        <v>50145028</v>
      </c>
      <c r="D4722" s="55" t="s">
        <v>23</v>
      </c>
      <c r="G4722" s="65">
        <v>579</v>
      </c>
      <c r="H4722" s="56" t="s">
        <v>962</v>
      </c>
      <c r="I4722" s="54" t="s">
        <v>2874</v>
      </c>
      <c r="J4722" s="56" t="s">
        <v>2978</v>
      </c>
      <c r="K4722" s="56">
        <v>3089</v>
      </c>
      <c r="L4722" s="55" t="s">
        <v>326</v>
      </c>
      <c r="M4722" s="55" t="s">
        <v>2918</v>
      </c>
      <c r="N4722" s="4" t="s">
        <v>1613</v>
      </c>
      <c r="O4722" s="55" t="s">
        <v>178</v>
      </c>
    </row>
    <row r="4723" spans="2:15">
      <c r="B4723" s="20">
        <v>45672</v>
      </c>
      <c r="C4723" s="59">
        <v>50144334</v>
      </c>
      <c r="D4723" s="55" t="s">
        <v>426</v>
      </c>
      <c r="G4723" s="65">
        <v>580</v>
      </c>
      <c r="H4723" s="56" t="s">
        <v>82</v>
      </c>
      <c r="I4723" s="54" t="s">
        <v>2874</v>
      </c>
      <c r="J4723" s="56" t="s">
        <v>2978</v>
      </c>
      <c r="K4723" s="56">
        <v>3089</v>
      </c>
      <c r="L4723" s="55" t="s">
        <v>326</v>
      </c>
      <c r="M4723" s="55" t="s">
        <v>2918</v>
      </c>
      <c r="N4723" s="4" t="s">
        <v>1613</v>
      </c>
      <c r="O4723" s="55" t="s">
        <v>178</v>
      </c>
    </row>
    <row r="4724" spans="2:15">
      <c r="B4724" s="20">
        <v>45672</v>
      </c>
      <c r="C4724" s="59">
        <v>50144376</v>
      </c>
      <c r="D4724" s="55" t="s">
        <v>19</v>
      </c>
      <c r="G4724" s="65">
        <v>3000</v>
      </c>
      <c r="H4724" s="56" t="s">
        <v>962</v>
      </c>
      <c r="I4724" s="54" t="s">
        <v>2874</v>
      </c>
      <c r="J4724" s="56" t="s">
        <v>2978</v>
      </c>
      <c r="K4724" s="56">
        <v>3089</v>
      </c>
      <c r="L4724" s="55" t="s">
        <v>326</v>
      </c>
      <c r="M4724" s="55" t="s">
        <v>2918</v>
      </c>
      <c r="N4724" s="4" t="s">
        <v>1613</v>
      </c>
      <c r="O4724" s="55" t="s">
        <v>178</v>
      </c>
    </row>
    <row r="4725" spans="2:15">
      <c r="B4725" s="20">
        <v>45672</v>
      </c>
      <c r="C4725" s="59">
        <v>50272278</v>
      </c>
      <c r="D4725" s="55" t="s">
        <v>21</v>
      </c>
      <c r="G4725" s="65">
        <v>3000</v>
      </c>
      <c r="H4725" s="56" t="s">
        <v>962</v>
      </c>
      <c r="I4725" s="54" t="s">
        <v>2874</v>
      </c>
      <c r="J4725" s="56" t="s">
        <v>2978</v>
      </c>
      <c r="K4725" s="56">
        <v>3089</v>
      </c>
      <c r="L4725" s="55" t="s">
        <v>326</v>
      </c>
      <c r="M4725" s="55" t="s">
        <v>2918</v>
      </c>
      <c r="N4725" s="4" t="s">
        <v>1613</v>
      </c>
      <c r="O4725" s="55" t="s">
        <v>178</v>
      </c>
    </row>
    <row r="4726" spans="2:15">
      <c r="B4726" s="20">
        <v>45672</v>
      </c>
      <c r="C4726" s="59">
        <v>50142237</v>
      </c>
      <c r="D4726" s="69" t="s">
        <v>617</v>
      </c>
      <c r="G4726" s="65">
        <v>10000</v>
      </c>
      <c r="H4726" s="56" t="s">
        <v>962</v>
      </c>
      <c r="I4726" s="54" t="s">
        <v>2874</v>
      </c>
      <c r="J4726" s="56" t="s">
        <v>2978</v>
      </c>
      <c r="K4726" s="56">
        <v>3090</v>
      </c>
      <c r="L4726" s="55" t="s">
        <v>392</v>
      </c>
      <c r="M4726" s="55" t="s">
        <v>392</v>
      </c>
      <c r="N4726" s="4" t="s">
        <v>2851</v>
      </c>
      <c r="O4726" s="55" t="s">
        <v>178</v>
      </c>
    </row>
    <row r="4727" spans="2:15">
      <c r="B4727" s="20">
        <v>45673</v>
      </c>
      <c r="C4727" s="59">
        <v>50010080</v>
      </c>
      <c r="D4727" s="55" t="s">
        <v>1657</v>
      </c>
      <c r="G4727" s="65">
        <v>3000</v>
      </c>
      <c r="H4727" s="56" t="s">
        <v>82</v>
      </c>
      <c r="I4727" s="54">
        <v>8672579145</v>
      </c>
      <c r="J4727" s="56" t="s">
        <v>2978</v>
      </c>
      <c r="K4727" s="56">
        <v>3091</v>
      </c>
      <c r="L4727" s="55" t="s">
        <v>2152</v>
      </c>
      <c r="M4727" s="55" t="s">
        <v>2824</v>
      </c>
      <c r="N4727" s="4" t="s">
        <v>1905</v>
      </c>
      <c r="O4727" s="55" t="s">
        <v>178</v>
      </c>
    </row>
    <row r="4728" spans="2:15">
      <c r="B4728" s="20">
        <v>45673</v>
      </c>
      <c r="C4728" s="59">
        <v>50272278</v>
      </c>
      <c r="D4728" s="55" t="s">
        <v>21</v>
      </c>
      <c r="G4728" s="65">
        <v>2500</v>
      </c>
      <c r="H4728" s="56" t="s">
        <v>92</v>
      </c>
      <c r="I4728" s="54">
        <v>8672579145</v>
      </c>
      <c r="J4728" s="56" t="s">
        <v>2978</v>
      </c>
      <c r="K4728" s="56">
        <v>3091</v>
      </c>
      <c r="L4728" s="55" t="s">
        <v>2152</v>
      </c>
      <c r="M4728" s="55" t="s">
        <v>2824</v>
      </c>
      <c r="N4728" s="4" t="s">
        <v>1905</v>
      </c>
      <c r="O4728" s="55" t="s">
        <v>178</v>
      </c>
    </row>
    <row r="4729" spans="2:15">
      <c r="B4729" s="20">
        <v>45673</v>
      </c>
      <c r="C4729" s="59">
        <v>50143875</v>
      </c>
      <c r="D4729" s="55" t="s">
        <v>713</v>
      </c>
      <c r="G4729" s="65">
        <v>12000</v>
      </c>
      <c r="H4729" s="56" t="s">
        <v>92</v>
      </c>
      <c r="I4729" s="54">
        <v>8684345942</v>
      </c>
      <c r="J4729" s="56" t="s">
        <v>2978</v>
      </c>
      <c r="K4729" s="56">
        <v>3091</v>
      </c>
      <c r="L4729" s="55" t="s">
        <v>2152</v>
      </c>
      <c r="M4729" s="55" t="s">
        <v>2824</v>
      </c>
      <c r="N4729" s="4" t="s">
        <v>1905</v>
      </c>
      <c r="O4729" s="55" t="s">
        <v>178</v>
      </c>
    </row>
    <row r="4730" spans="2:15">
      <c r="B4730" s="20">
        <v>45673</v>
      </c>
      <c r="C4730" s="59">
        <v>50143894</v>
      </c>
      <c r="D4730" s="55" t="s">
        <v>944</v>
      </c>
      <c r="G4730" s="65">
        <v>735</v>
      </c>
      <c r="H4730" s="56" t="s">
        <v>92</v>
      </c>
      <c r="I4730" s="54">
        <v>8684345942</v>
      </c>
      <c r="J4730" s="56" t="s">
        <v>2978</v>
      </c>
      <c r="K4730" s="56">
        <v>3091</v>
      </c>
      <c r="L4730" s="55" t="s">
        <v>2152</v>
      </c>
      <c r="M4730" s="55" t="s">
        <v>2824</v>
      </c>
      <c r="N4730" s="4" t="s">
        <v>1905</v>
      </c>
      <c r="O4730" s="55" t="s">
        <v>178</v>
      </c>
    </row>
    <row r="4731" spans="2:15">
      <c r="B4731" s="20">
        <v>45673</v>
      </c>
      <c r="C4731" s="59">
        <v>50470190</v>
      </c>
      <c r="D4731" s="55" t="s">
        <v>12</v>
      </c>
      <c r="G4731" s="65">
        <v>1738800</v>
      </c>
      <c r="H4731" s="56" t="s">
        <v>92</v>
      </c>
      <c r="I4731" s="54">
        <v>8672579145</v>
      </c>
      <c r="J4731" s="56" t="s">
        <v>2978</v>
      </c>
      <c r="K4731" s="56">
        <v>3091</v>
      </c>
      <c r="L4731" s="55" t="s">
        <v>2152</v>
      </c>
      <c r="M4731" s="55" t="s">
        <v>2824</v>
      </c>
      <c r="N4731" s="4" t="s">
        <v>1905</v>
      </c>
      <c r="O4731" s="55" t="s">
        <v>178</v>
      </c>
    </row>
    <row r="4732" spans="2:15">
      <c r="B4732" s="20">
        <v>45673</v>
      </c>
      <c r="C4732" s="59">
        <v>50142327</v>
      </c>
      <c r="D4732" s="55" t="s">
        <v>256</v>
      </c>
      <c r="G4732" s="65">
        <v>953.4</v>
      </c>
      <c r="H4732" s="56" t="s">
        <v>82</v>
      </c>
      <c r="I4732" s="54">
        <v>8672579145</v>
      </c>
      <c r="J4732" s="56" t="s">
        <v>2978</v>
      </c>
      <c r="K4732" s="56">
        <v>3091</v>
      </c>
      <c r="L4732" s="55" t="s">
        <v>2152</v>
      </c>
      <c r="M4732" s="55" t="s">
        <v>2824</v>
      </c>
      <c r="N4732" s="4" t="s">
        <v>1905</v>
      </c>
      <c r="O4732" s="55" t="s">
        <v>178</v>
      </c>
    </row>
    <row r="4733" spans="2:15">
      <c r="B4733" s="20">
        <v>45673</v>
      </c>
      <c r="C4733" s="59">
        <v>50142334</v>
      </c>
      <c r="D4733" s="55" t="s">
        <v>257</v>
      </c>
      <c r="G4733" s="65">
        <v>476.7</v>
      </c>
      <c r="H4733" s="56" t="s">
        <v>82</v>
      </c>
      <c r="I4733" s="54">
        <v>8672579145</v>
      </c>
      <c r="J4733" s="56" t="s">
        <v>2978</v>
      </c>
      <c r="K4733" s="56">
        <v>3091</v>
      </c>
      <c r="L4733" s="55" t="s">
        <v>2152</v>
      </c>
      <c r="M4733" s="55" t="s">
        <v>2824</v>
      </c>
      <c r="N4733" s="4" t="s">
        <v>1905</v>
      </c>
      <c r="O4733" s="55" t="s">
        <v>178</v>
      </c>
    </row>
    <row r="4734" spans="2:15">
      <c r="B4734" s="20">
        <v>45673</v>
      </c>
      <c r="C4734" s="59">
        <v>50145028</v>
      </c>
      <c r="D4734" s="55" t="s">
        <v>23</v>
      </c>
      <c r="G4734" s="65">
        <v>768</v>
      </c>
      <c r="H4734" s="56" t="s">
        <v>92</v>
      </c>
      <c r="I4734" s="54" t="s">
        <v>2874</v>
      </c>
      <c r="J4734" s="56" t="s">
        <v>2978</v>
      </c>
      <c r="K4734" s="56">
        <v>3092</v>
      </c>
      <c r="L4734" s="55" t="s">
        <v>392</v>
      </c>
      <c r="M4734" s="55" t="s">
        <v>392</v>
      </c>
      <c r="O4734" s="55" t="s">
        <v>178</v>
      </c>
    </row>
    <row r="4735" spans="2:15">
      <c r="B4735" s="20">
        <v>45673</v>
      </c>
      <c r="C4735" s="59">
        <v>50809353</v>
      </c>
      <c r="D4735" s="55" t="s">
        <v>905</v>
      </c>
      <c r="G4735" s="65">
        <v>3400</v>
      </c>
      <c r="H4735" s="56" t="s">
        <v>82</v>
      </c>
      <c r="I4735" s="54">
        <v>8672579212</v>
      </c>
      <c r="J4735" s="56" t="s">
        <v>2978</v>
      </c>
      <c r="K4735" s="56">
        <v>3093</v>
      </c>
      <c r="L4735" s="55" t="s">
        <v>2152</v>
      </c>
      <c r="M4735" s="55" t="s">
        <v>2824</v>
      </c>
      <c r="N4735" s="4" t="s">
        <v>1905</v>
      </c>
      <c r="O4735" s="55" t="s">
        <v>178</v>
      </c>
    </row>
    <row r="4736" spans="2:15">
      <c r="B4736" s="20">
        <v>45673</v>
      </c>
      <c r="C4736" s="59">
        <v>50142328</v>
      </c>
      <c r="D4736" s="55" t="s">
        <v>1591</v>
      </c>
      <c r="G4736" s="65">
        <v>4000</v>
      </c>
      <c r="H4736" s="56" t="s">
        <v>82</v>
      </c>
      <c r="I4736" s="54">
        <v>8674692155</v>
      </c>
      <c r="J4736" s="56" t="s">
        <v>2978</v>
      </c>
      <c r="K4736" s="56">
        <v>3093</v>
      </c>
      <c r="L4736" s="55" t="s">
        <v>2152</v>
      </c>
      <c r="M4736" s="55" t="s">
        <v>2824</v>
      </c>
      <c r="N4736" s="4" t="s">
        <v>1905</v>
      </c>
      <c r="O4736" s="55" t="s">
        <v>178</v>
      </c>
    </row>
    <row r="4737" spans="2:15">
      <c r="B4737" s="20">
        <v>45673</v>
      </c>
      <c r="C4737" s="59">
        <v>50328488</v>
      </c>
      <c r="D4737" s="55" t="s">
        <v>1853</v>
      </c>
      <c r="G4737" s="65">
        <v>25</v>
      </c>
      <c r="H4737" s="56" t="s">
        <v>82</v>
      </c>
      <c r="I4737" s="54">
        <v>8672579212</v>
      </c>
      <c r="J4737" s="56" t="s">
        <v>2978</v>
      </c>
      <c r="K4737" s="56">
        <v>3093</v>
      </c>
      <c r="L4737" s="55" t="s">
        <v>2152</v>
      </c>
      <c r="M4737" s="55" t="s">
        <v>2824</v>
      </c>
      <c r="N4737" s="4" t="s">
        <v>1905</v>
      </c>
      <c r="O4737" s="55" t="s">
        <v>178</v>
      </c>
    </row>
    <row r="4738" spans="2:15">
      <c r="B4738" s="20">
        <v>45673</v>
      </c>
      <c r="C4738" s="59">
        <v>50142330</v>
      </c>
      <c r="D4738" s="55" t="s">
        <v>195</v>
      </c>
      <c r="G4738" s="65">
        <v>1080</v>
      </c>
      <c r="H4738" s="56" t="s">
        <v>82</v>
      </c>
      <c r="I4738" s="54">
        <v>8672579212</v>
      </c>
      <c r="J4738" s="56" t="s">
        <v>2978</v>
      </c>
      <c r="K4738" s="56">
        <v>3093</v>
      </c>
      <c r="L4738" s="55" t="s">
        <v>2152</v>
      </c>
      <c r="M4738" s="55" t="s">
        <v>2824</v>
      </c>
      <c r="N4738" s="4" t="s">
        <v>1905</v>
      </c>
      <c r="O4738" s="55" t="s">
        <v>178</v>
      </c>
    </row>
    <row r="4739" spans="2:15">
      <c r="B4739" s="20">
        <v>45673</v>
      </c>
      <c r="C4739" s="59">
        <v>40010087</v>
      </c>
      <c r="D4739" s="55" t="s">
        <v>387</v>
      </c>
      <c r="G4739" s="65">
        <v>864</v>
      </c>
      <c r="H4739" s="56" t="s">
        <v>80</v>
      </c>
      <c r="I4739" s="54">
        <v>8672579212</v>
      </c>
      <c r="J4739" s="56" t="s">
        <v>2978</v>
      </c>
      <c r="K4739" s="56">
        <v>3093</v>
      </c>
      <c r="L4739" s="55" t="s">
        <v>2152</v>
      </c>
      <c r="M4739" s="55" t="s">
        <v>2824</v>
      </c>
      <c r="N4739" s="4" t="s">
        <v>1905</v>
      </c>
      <c r="O4739" s="55" t="s">
        <v>178</v>
      </c>
    </row>
    <row r="4740" spans="2:15">
      <c r="B4740" s="20">
        <v>45673</v>
      </c>
      <c r="C4740" s="59">
        <v>40011133</v>
      </c>
      <c r="D4740" s="55" t="s">
        <v>634</v>
      </c>
      <c r="G4740" s="65">
        <v>1728</v>
      </c>
      <c r="H4740" s="56" t="s">
        <v>80</v>
      </c>
      <c r="I4740" s="54">
        <v>8672579212</v>
      </c>
      <c r="J4740" s="56" t="s">
        <v>2978</v>
      </c>
      <c r="K4740" s="56">
        <v>3093</v>
      </c>
      <c r="L4740" s="55" t="s">
        <v>2152</v>
      </c>
      <c r="M4740" s="55" t="s">
        <v>2824</v>
      </c>
      <c r="N4740" s="4" t="s">
        <v>1905</v>
      </c>
      <c r="O4740" s="55" t="s">
        <v>178</v>
      </c>
    </row>
    <row r="4741" spans="2:15">
      <c r="B4741" s="20">
        <v>45673</v>
      </c>
      <c r="C4741" s="59">
        <v>50824293</v>
      </c>
      <c r="D4741" s="55" t="s">
        <v>861</v>
      </c>
      <c r="G4741" s="65">
        <v>1728000</v>
      </c>
      <c r="H4741" s="56" t="s">
        <v>92</v>
      </c>
      <c r="I4741" s="54">
        <v>8672579212</v>
      </c>
      <c r="J4741" s="56" t="s">
        <v>2978</v>
      </c>
      <c r="K4741" s="56">
        <v>3093</v>
      </c>
      <c r="L4741" s="55" t="s">
        <v>2152</v>
      </c>
      <c r="M4741" s="55" t="s">
        <v>2824</v>
      </c>
      <c r="N4741" s="4" t="s">
        <v>1905</v>
      </c>
      <c r="O4741" s="55" t="s">
        <v>178</v>
      </c>
    </row>
    <row r="4742" spans="2:15">
      <c r="B4742" s="20">
        <v>45673</v>
      </c>
      <c r="C4742" s="59">
        <v>50328897</v>
      </c>
      <c r="D4742" s="55" t="s">
        <v>1850</v>
      </c>
      <c r="G4742" s="65">
        <v>220</v>
      </c>
      <c r="H4742" s="56" t="s">
        <v>82</v>
      </c>
      <c r="I4742" s="54">
        <v>8672579212</v>
      </c>
      <c r="J4742" s="56" t="s">
        <v>2978</v>
      </c>
      <c r="K4742" s="56">
        <v>3093</v>
      </c>
      <c r="L4742" s="55" t="s">
        <v>2152</v>
      </c>
      <c r="M4742" s="55" t="s">
        <v>2824</v>
      </c>
      <c r="N4742" s="4" t="s">
        <v>1905</v>
      </c>
      <c r="O4742" s="55" t="s">
        <v>178</v>
      </c>
    </row>
    <row r="4743" spans="2:15">
      <c r="B4743" s="20">
        <v>45673</v>
      </c>
      <c r="C4743" s="59">
        <v>50142262</v>
      </c>
      <c r="D4743" s="55" t="s">
        <v>779</v>
      </c>
      <c r="G4743" s="65">
        <v>250</v>
      </c>
      <c r="H4743" s="56" t="s">
        <v>82</v>
      </c>
      <c r="I4743" s="54">
        <v>8672579212</v>
      </c>
      <c r="J4743" s="56" t="s">
        <v>2978</v>
      </c>
      <c r="K4743" s="56">
        <v>3093</v>
      </c>
      <c r="L4743" s="55" t="s">
        <v>2152</v>
      </c>
      <c r="M4743" s="55" t="s">
        <v>2824</v>
      </c>
      <c r="N4743" s="4" t="s">
        <v>1905</v>
      </c>
      <c r="O4743" s="55" t="s">
        <v>178</v>
      </c>
    </row>
    <row r="4744" spans="2:15">
      <c r="B4744" s="20">
        <v>45673</v>
      </c>
      <c r="C4744" s="59">
        <v>40009151</v>
      </c>
      <c r="D4744" s="55" t="s">
        <v>180</v>
      </c>
      <c r="G4744" s="65">
        <v>900</v>
      </c>
      <c r="H4744" s="56" t="s">
        <v>80</v>
      </c>
      <c r="I4744" s="54">
        <v>8672579212</v>
      </c>
      <c r="J4744" s="56" t="s">
        <v>2978</v>
      </c>
      <c r="K4744" s="56">
        <v>3093</v>
      </c>
      <c r="L4744" s="55" t="s">
        <v>2152</v>
      </c>
      <c r="M4744" s="55" t="s">
        <v>2824</v>
      </c>
      <c r="N4744" s="4" t="s">
        <v>1905</v>
      </c>
      <c r="O4744" s="55" t="s">
        <v>178</v>
      </c>
    </row>
    <row r="4745" spans="2:15">
      <c r="B4745" s="20">
        <v>45673</v>
      </c>
      <c r="C4745" s="59">
        <v>40011588</v>
      </c>
      <c r="D4745" s="55" t="s">
        <v>585</v>
      </c>
      <c r="G4745" s="65">
        <v>450</v>
      </c>
      <c r="H4745" s="56" t="s">
        <v>80</v>
      </c>
      <c r="I4745" s="54">
        <v>8672579212</v>
      </c>
      <c r="J4745" s="56" t="s">
        <v>2978</v>
      </c>
      <c r="K4745" s="56">
        <v>3093</v>
      </c>
      <c r="L4745" s="55" t="s">
        <v>2152</v>
      </c>
      <c r="M4745" s="55" t="s">
        <v>2824</v>
      </c>
      <c r="N4745" s="4" t="s">
        <v>1905</v>
      </c>
      <c r="O4745" s="55" t="s">
        <v>178</v>
      </c>
    </row>
    <row r="4746" spans="2:15">
      <c r="B4746" s="20">
        <v>45673</v>
      </c>
      <c r="C4746" s="59">
        <v>40014675</v>
      </c>
      <c r="D4746" s="55" t="s">
        <v>44</v>
      </c>
      <c r="G4746" s="65">
        <v>31.68</v>
      </c>
      <c r="H4746" s="56" t="s">
        <v>80</v>
      </c>
      <c r="I4746" s="54">
        <v>8672579008</v>
      </c>
      <c r="J4746" s="56" t="s">
        <v>2978</v>
      </c>
      <c r="K4746" s="56" t="s">
        <v>3016</v>
      </c>
      <c r="L4746" s="55" t="s">
        <v>176</v>
      </c>
      <c r="M4746" s="55" t="s">
        <v>2824</v>
      </c>
      <c r="O4746" s="55" t="s">
        <v>178</v>
      </c>
    </row>
    <row r="4747" spans="2:15">
      <c r="B4747" s="20">
        <v>45673</v>
      </c>
      <c r="C4747" s="59">
        <v>40014675</v>
      </c>
      <c r="D4747" s="55" t="s">
        <v>44</v>
      </c>
      <c r="G4747" s="65">
        <v>34.56</v>
      </c>
      <c r="H4747" s="56" t="s">
        <v>80</v>
      </c>
      <c r="I4747" s="54">
        <v>8672579011</v>
      </c>
      <c r="J4747" s="56" t="s">
        <v>2978</v>
      </c>
      <c r="K4747" s="56" t="s">
        <v>3017</v>
      </c>
      <c r="L4747" s="55" t="s">
        <v>392</v>
      </c>
      <c r="M4747" s="55" t="s">
        <v>2824</v>
      </c>
      <c r="O4747" s="55" t="s">
        <v>178</v>
      </c>
    </row>
    <row r="4748" spans="2:15">
      <c r="B4748" s="20">
        <v>45673</v>
      </c>
      <c r="C4748" s="59">
        <v>40014675</v>
      </c>
      <c r="D4748" s="55" t="s">
        <v>44</v>
      </c>
      <c r="G4748" s="65">
        <v>31.68</v>
      </c>
      <c r="H4748" s="56" t="s">
        <v>80</v>
      </c>
      <c r="I4748" s="54">
        <v>8672579067</v>
      </c>
      <c r="J4748" s="56" t="s">
        <v>2978</v>
      </c>
      <c r="K4748" s="56" t="s">
        <v>3018</v>
      </c>
      <c r="L4748" s="55" t="s">
        <v>176</v>
      </c>
      <c r="M4748" s="55" t="s">
        <v>2824</v>
      </c>
      <c r="O4748" s="55" t="s">
        <v>178</v>
      </c>
    </row>
    <row r="4749" spans="2:15">
      <c r="B4749" s="20">
        <v>45673</v>
      </c>
      <c r="C4749" s="59">
        <v>40014675</v>
      </c>
      <c r="D4749" s="55" t="s">
        <v>44</v>
      </c>
      <c r="G4749" s="65">
        <v>34.56</v>
      </c>
      <c r="H4749" s="56" t="s">
        <v>80</v>
      </c>
      <c r="I4749" s="54">
        <v>8672579071</v>
      </c>
      <c r="J4749" s="56" t="s">
        <v>2978</v>
      </c>
      <c r="K4749" s="56" t="s">
        <v>3019</v>
      </c>
      <c r="L4749" s="55" t="s">
        <v>392</v>
      </c>
      <c r="M4749" s="55" t="s">
        <v>2824</v>
      </c>
      <c r="O4749" s="55" t="s">
        <v>178</v>
      </c>
    </row>
    <row r="4750" spans="2:15">
      <c r="B4750" s="20">
        <v>45674</v>
      </c>
      <c r="C4750" s="59">
        <v>50144376</v>
      </c>
      <c r="D4750" s="55" t="s">
        <v>19</v>
      </c>
      <c r="G4750" s="65">
        <v>5000</v>
      </c>
      <c r="H4750" s="56" t="s">
        <v>92</v>
      </c>
      <c r="I4750" s="54">
        <v>8672579285</v>
      </c>
      <c r="J4750" s="56" t="s">
        <v>2978</v>
      </c>
      <c r="K4750" s="56">
        <v>3094</v>
      </c>
      <c r="L4750" s="55" t="s">
        <v>2152</v>
      </c>
      <c r="M4750" s="55" t="s">
        <v>2824</v>
      </c>
      <c r="N4750" s="4" t="s">
        <v>1905</v>
      </c>
      <c r="O4750" s="55" t="s">
        <v>178</v>
      </c>
    </row>
    <row r="4751" spans="2:15">
      <c r="B4751" s="20">
        <v>45674</v>
      </c>
      <c r="C4751" s="59">
        <v>50272278</v>
      </c>
      <c r="D4751" s="55" t="s">
        <v>21</v>
      </c>
      <c r="G4751" s="65">
        <v>5500</v>
      </c>
      <c r="H4751" s="56" t="s">
        <v>92</v>
      </c>
      <c r="I4751" s="54">
        <v>8672579285</v>
      </c>
      <c r="J4751" s="56" t="s">
        <v>2978</v>
      </c>
      <c r="K4751" s="56">
        <v>3094</v>
      </c>
      <c r="L4751" s="55" t="s">
        <v>2152</v>
      </c>
      <c r="M4751" s="55" t="s">
        <v>2824</v>
      </c>
      <c r="N4751" s="4" t="s">
        <v>1905</v>
      </c>
      <c r="O4751" s="55" t="s">
        <v>178</v>
      </c>
    </row>
    <row r="4752" spans="2:15">
      <c r="B4752" s="20">
        <v>45674</v>
      </c>
      <c r="C4752" s="59">
        <v>50142373</v>
      </c>
      <c r="D4752" s="55" t="s">
        <v>1130</v>
      </c>
      <c r="G4752" s="65">
        <v>700</v>
      </c>
      <c r="H4752" s="56" t="s">
        <v>82</v>
      </c>
      <c r="I4752" s="54">
        <v>8672579285</v>
      </c>
      <c r="J4752" s="56" t="s">
        <v>2978</v>
      </c>
      <c r="K4752" s="56">
        <v>3094</v>
      </c>
      <c r="L4752" s="55" t="s">
        <v>2152</v>
      </c>
      <c r="M4752" s="55" t="s">
        <v>2824</v>
      </c>
      <c r="N4752" s="4" t="s">
        <v>1905</v>
      </c>
      <c r="O4752" s="55" t="s">
        <v>178</v>
      </c>
    </row>
    <row r="4753" spans="2:15">
      <c r="B4753" s="20">
        <v>45674</v>
      </c>
      <c r="C4753" s="59">
        <v>50809353</v>
      </c>
      <c r="D4753" s="55" t="s">
        <v>905</v>
      </c>
      <c r="G4753" s="65">
        <v>2400</v>
      </c>
      <c r="H4753" s="56" t="s">
        <v>82</v>
      </c>
      <c r="I4753" s="54">
        <v>8673338085</v>
      </c>
      <c r="J4753" s="56" t="s">
        <v>2978</v>
      </c>
      <c r="K4753" s="56">
        <v>3095</v>
      </c>
      <c r="L4753" s="55" t="s">
        <v>2152</v>
      </c>
      <c r="M4753" s="55" t="s">
        <v>2824</v>
      </c>
      <c r="N4753" s="4" t="s">
        <v>1905</v>
      </c>
      <c r="O4753" s="55" t="s">
        <v>178</v>
      </c>
    </row>
    <row r="4754" spans="2:15">
      <c r="B4754" s="20">
        <v>45674</v>
      </c>
      <c r="C4754" s="59">
        <v>50531473</v>
      </c>
      <c r="D4754" s="55" t="s">
        <v>1193</v>
      </c>
      <c r="G4754" s="65">
        <v>2048000</v>
      </c>
      <c r="H4754" s="56" t="s">
        <v>92</v>
      </c>
      <c r="I4754" s="54">
        <v>8673338085</v>
      </c>
      <c r="J4754" s="56" t="s">
        <v>2978</v>
      </c>
      <c r="K4754" s="56">
        <v>3095</v>
      </c>
      <c r="L4754" s="55" t="s">
        <v>2152</v>
      </c>
      <c r="M4754" s="55" t="s">
        <v>2824</v>
      </c>
      <c r="N4754" s="4" t="s">
        <v>1905</v>
      </c>
      <c r="O4754" s="55" t="s">
        <v>178</v>
      </c>
    </row>
    <row r="4755" spans="2:15">
      <c r="B4755" s="20">
        <v>45674</v>
      </c>
      <c r="C4755" s="59">
        <v>50837238</v>
      </c>
      <c r="D4755" s="55" t="s">
        <v>1976</v>
      </c>
      <c r="G4755" s="65">
        <v>1447.95</v>
      </c>
      <c r="H4755" s="56" t="s">
        <v>82</v>
      </c>
      <c r="I4755" s="54">
        <v>8673338798</v>
      </c>
      <c r="J4755" s="56" t="s">
        <v>2978</v>
      </c>
      <c r="K4755" s="56">
        <v>3095</v>
      </c>
      <c r="L4755" s="55" t="s">
        <v>2152</v>
      </c>
      <c r="M4755" s="55" t="s">
        <v>2824</v>
      </c>
      <c r="N4755" s="4" t="s">
        <v>1905</v>
      </c>
      <c r="O4755" s="55" t="s">
        <v>178</v>
      </c>
    </row>
    <row r="4756" spans="2:15">
      <c r="B4756" s="20">
        <v>45674</v>
      </c>
      <c r="C4756" s="59">
        <v>20016059</v>
      </c>
      <c r="D4756" s="55" t="s">
        <v>1498</v>
      </c>
      <c r="G4756" s="65">
        <v>100</v>
      </c>
      <c r="H4756" s="56" t="s">
        <v>92</v>
      </c>
      <c r="I4756" s="54">
        <v>8673338085</v>
      </c>
      <c r="J4756" s="56" t="s">
        <v>2978</v>
      </c>
      <c r="K4756" s="56">
        <v>3095</v>
      </c>
      <c r="L4756" s="55" t="s">
        <v>2152</v>
      </c>
      <c r="M4756" s="55" t="s">
        <v>2824</v>
      </c>
      <c r="N4756" s="4" t="s">
        <v>1905</v>
      </c>
      <c r="O4756" s="55" t="s">
        <v>178</v>
      </c>
    </row>
    <row r="4757" spans="2:15">
      <c r="B4757" s="20">
        <v>45674</v>
      </c>
      <c r="C4757" s="59">
        <v>50837633</v>
      </c>
      <c r="D4757" s="55" t="s">
        <v>1901</v>
      </c>
      <c r="G4757" s="65">
        <v>1470000</v>
      </c>
      <c r="H4757" s="56" t="s">
        <v>962</v>
      </c>
      <c r="I4757" s="54">
        <v>8673338085</v>
      </c>
      <c r="J4757" s="56" t="s">
        <v>2978</v>
      </c>
      <c r="K4757" s="56">
        <v>3095</v>
      </c>
      <c r="L4757" s="55" t="s">
        <v>2152</v>
      </c>
      <c r="M4757" s="55" t="s">
        <v>2824</v>
      </c>
      <c r="N4757" s="4" t="s">
        <v>1905</v>
      </c>
      <c r="O4757" s="55" t="s">
        <v>178</v>
      </c>
    </row>
    <row r="4758" spans="2:15">
      <c r="B4758" s="20">
        <v>45674</v>
      </c>
      <c r="C4758" s="59">
        <v>50837632</v>
      </c>
      <c r="D4758" s="55" t="s">
        <v>1897</v>
      </c>
      <c r="G4758" s="65">
        <v>1092000</v>
      </c>
      <c r="H4758" s="56" t="s">
        <v>962</v>
      </c>
      <c r="I4758" s="54">
        <v>8673338085</v>
      </c>
      <c r="J4758" s="56" t="s">
        <v>2978</v>
      </c>
      <c r="K4758" s="56">
        <v>3095</v>
      </c>
      <c r="L4758" s="55" t="s">
        <v>2152</v>
      </c>
      <c r="M4758" s="55" t="s">
        <v>2824</v>
      </c>
      <c r="N4758" s="4" t="s">
        <v>1905</v>
      </c>
      <c r="O4758" s="55" t="s">
        <v>178</v>
      </c>
    </row>
    <row r="4759" spans="2:15">
      <c r="B4759" s="20">
        <v>45674</v>
      </c>
      <c r="C4759" s="59">
        <v>50145029</v>
      </c>
      <c r="D4759" s="55" t="s">
        <v>705</v>
      </c>
      <c r="G4759" s="65">
        <v>12</v>
      </c>
      <c r="H4759" s="56" t="s">
        <v>505</v>
      </c>
      <c r="I4759" s="54">
        <v>8673338085</v>
      </c>
      <c r="J4759" s="56" t="s">
        <v>2978</v>
      </c>
      <c r="K4759" s="56">
        <v>3095</v>
      </c>
      <c r="L4759" s="55" t="s">
        <v>2152</v>
      </c>
      <c r="M4759" s="55" t="s">
        <v>2824</v>
      </c>
      <c r="N4759" s="4" t="s">
        <v>1905</v>
      </c>
      <c r="O4759" s="55" t="s">
        <v>178</v>
      </c>
    </row>
    <row r="4760" spans="2:15">
      <c r="B4760" s="20">
        <v>45674</v>
      </c>
      <c r="C4760" s="59">
        <v>50392045</v>
      </c>
      <c r="D4760" s="55" t="s">
        <v>707</v>
      </c>
      <c r="G4760" s="65">
        <v>18</v>
      </c>
      <c r="H4760" s="56" t="s">
        <v>505</v>
      </c>
      <c r="I4760" s="54">
        <v>8673338085</v>
      </c>
      <c r="J4760" s="56" t="s">
        <v>2978</v>
      </c>
      <c r="K4760" s="56">
        <v>3095</v>
      </c>
      <c r="L4760" s="55" t="s">
        <v>2152</v>
      </c>
      <c r="M4760" s="55" t="s">
        <v>2824</v>
      </c>
      <c r="N4760" s="4" t="s">
        <v>1905</v>
      </c>
      <c r="O4760" s="55" t="s">
        <v>178</v>
      </c>
    </row>
    <row r="4761" spans="2:15">
      <c r="B4761" s="20">
        <v>45674</v>
      </c>
      <c r="C4761" s="59">
        <v>50811693</v>
      </c>
      <c r="D4761" s="55" t="s">
        <v>1269</v>
      </c>
      <c r="G4761" s="65">
        <v>400000</v>
      </c>
      <c r="H4761" s="56" t="s">
        <v>92</v>
      </c>
      <c r="I4761" s="54">
        <v>8673338085</v>
      </c>
      <c r="J4761" s="56" t="s">
        <v>2978</v>
      </c>
      <c r="K4761" s="56">
        <v>3095</v>
      </c>
      <c r="L4761" s="55" t="s">
        <v>2152</v>
      </c>
      <c r="M4761" s="55" t="s">
        <v>2824</v>
      </c>
      <c r="N4761" s="4" t="s">
        <v>1905</v>
      </c>
      <c r="O4761" s="55" t="s">
        <v>178</v>
      </c>
    </row>
    <row r="4762" spans="2:15">
      <c r="B4762" s="20">
        <v>45674</v>
      </c>
      <c r="C4762" s="59">
        <v>50470190</v>
      </c>
      <c r="D4762" s="55" t="s">
        <v>12</v>
      </c>
      <c r="G4762" s="65">
        <v>1159200</v>
      </c>
      <c r="H4762" s="56" t="s">
        <v>92</v>
      </c>
      <c r="I4762" s="54">
        <v>8673338085</v>
      </c>
      <c r="J4762" s="56" t="s">
        <v>2978</v>
      </c>
      <c r="K4762" s="56">
        <v>3095</v>
      </c>
      <c r="L4762" s="55" t="s">
        <v>2152</v>
      </c>
      <c r="M4762" s="55" t="s">
        <v>2824</v>
      </c>
      <c r="N4762" s="4" t="s">
        <v>1905</v>
      </c>
      <c r="O4762" s="55" t="s">
        <v>178</v>
      </c>
    </row>
    <row r="4763" spans="2:15">
      <c r="B4763" s="20">
        <v>45674</v>
      </c>
      <c r="C4763" s="59">
        <v>50142350</v>
      </c>
      <c r="D4763" s="55" t="s">
        <v>212</v>
      </c>
      <c r="G4763" s="65">
        <v>791</v>
      </c>
      <c r="H4763" s="56" t="s">
        <v>82</v>
      </c>
      <c r="I4763" s="54">
        <v>8673338085</v>
      </c>
      <c r="J4763" s="56" t="s">
        <v>2978</v>
      </c>
      <c r="K4763" s="56">
        <v>3095</v>
      </c>
      <c r="L4763" s="55" t="s">
        <v>2152</v>
      </c>
      <c r="M4763" s="55" t="s">
        <v>2824</v>
      </c>
      <c r="N4763" s="4" t="s">
        <v>1905</v>
      </c>
      <c r="O4763" s="55" t="s">
        <v>178</v>
      </c>
    </row>
    <row r="4764" spans="2:15">
      <c r="B4764" s="20">
        <v>45674</v>
      </c>
      <c r="C4764" s="59">
        <v>50392046</v>
      </c>
      <c r="D4764" s="55" t="s">
        <v>509</v>
      </c>
      <c r="G4764" s="65">
        <v>12</v>
      </c>
      <c r="H4764" s="56" t="s">
        <v>505</v>
      </c>
      <c r="I4764" s="54">
        <v>8673338085</v>
      </c>
      <c r="J4764" s="56" t="s">
        <v>2978</v>
      </c>
      <c r="K4764" s="56">
        <v>3095</v>
      </c>
      <c r="L4764" s="55" t="s">
        <v>2152</v>
      </c>
      <c r="M4764" s="55" t="s">
        <v>2824</v>
      </c>
      <c r="N4764" s="4" t="s">
        <v>1905</v>
      </c>
      <c r="O4764" s="55" t="s">
        <v>178</v>
      </c>
    </row>
    <row r="4765" spans="2:15">
      <c r="B4765" s="20">
        <v>45674</v>
      </c>
      <c r="C4765" s="59">
        <v>40014675</v>
      </c>
      <c r="D4765" s="55" t="s">
        <v>44</v>
      </c>
      <c r="G4765" s="65">
        <v>34.56</v>
      </c>
      <c r="H4765" s="56" t="s">
        <v>80</v>
      </c>
      <c r="I4765" s="54">
        <v>8673763678</v>
      </c>
      <c r="J4765" s="56" t="s">
        <v>2978</v>
      </c>
      <c r="K4765" s="56" t="s">
        <v>3020</v>
      </c>
      <c r="L4765" s="55" t="s">
        <v>392</v>
      </c>
      <c r="M4765" s="55" t="s">
        <v>2824</v>
      </c>
      <c r="O4765" s="55" t="s">
        <v>178</v>
      </c>
    </row>
    <row r="4766" spans="2:15">
      <c r="B4766" s="20">
        <v>45674</v>
      </c>
      <c r="C4766" s="59">
        <v>40014675</v>
      </c>
      <c r="D4766" s="55" t="s">
        <v>44</v>
      </c>
      <c r="G4766" s="65">
        <v>31.68</v>
      </c>
      <c r="H4766" s="56" t="s">
        <v>80</v>
      </c>
      <c r="I4766" s="54">
        <v>8673763682</v>
      </c>
      <c r="J4766" s="56" t="s">
        <v>2978</v>
      </c>
      <c r="K4766" s="56" t="s">
        <v>3021</v>
      </c>
      <c r="L4766" s="55" t="s">
        <v>176</v>
      </c>
      <c r="M4766" s="55" t="s">
        <v>2824</v>
      </c>
      <c r="O4766" s="55" t="s">
        <v>178</v>
      </c>
    </row>
    <row r="4767" spans="2:15">
      <c r="B4767" s="20">
        <v>45674</v>
      </c>
      <c r="C4767" s="59">
        <v>40014675</v>
      </c>
      <c r="D4767" s="55" t="s">
        <v>44</v>
      </c>
      <c r="G4767" s="65">
        <v>34.56</v>
      </c>
      <c r="H4767" s="56" t="s">
        <v>80</v>
      </c>
      <c r="I4767" s="54">
        <v>8673763718</v>
      </c>
      <c r="J4767" s="56" t="s">
        <v>2978</v>
      </c>
      <c r="K4767" s="56" t="s">
        <v>3022</v>
      </c>
      <c r="L4767" s="55" t="s">
        <v>392</v>
      </c>
      <c r="M4767" s="55" t="s">
        <v>2824</v>
      </c>
      <c r="O4767" s="55" t="s">
        <v>178</v>
      </c>
    </row>
    <row r="4768" spans="2:15">
      <c r="B4768" s="20">
        <v>45674</v>
      </c>
      <c r="C4768" s="59">
        <v>40014675</v>
      </c>
      <c r="D4768" s="55" t="s">
        <v>44</v>
      </c>
      <c r="G4768" s="65">
        <v>25.88</v>
      </c>
      <c r="H4768" s="56" t="s">
        <v>80</v>
      </c>
      <c r="I4768" s="54">
        <v>8673763785</v>
      </c>
      <c r="J4768" s="56" t="s">
        <v>2978</v>
      </c>
      <c r="K4768" s="56" t="s">
        <v>3023</v>
      </c>
      <c r="L4768" s="55" t="s">
        <v>176</v>
      </c>
      <c r="M4768" s="55" t="s">
        <v>2824</v>
      </c>
      <c r="O4768" s="55" t="s">
        <v>178</v>
      </c>
    </row>
    <row r="4769" spans="2:15">
      <c r="B4769" s="20">
        <v>45677</v>
      </c>
      <c r="C4769" s="59">
        <v>50837509</v>
      </c>
      <c r="D4769" s="55" t="s">
        <v>14</v>
      </c>
      <c r="G4769" s="65">
        <v>2898000</v>
      </c>
      <c r="H4769" s="56" t="s">
        <v>92</v>
      </c>
      <c r="I4769" s="54">
        <v>8673339961</v>
      </c>
      <c r="J4769" s="56" t="s">
        <v>2978</v>
      </c>
      <c r="K4769" s="56">
        <v>3096</v>
      </c>
      <c r="L4769" s="55" t="s">
        <v>2152</v>
      </c>
      <c r="M4769" s="55" t="s">
        <v>2824</v>
      </c>
      <c r="N4769" s="4" t="s">
        <v>1905</v>
      </c>
      <c r="O4769" s="55" t="s">
        <v>178</v>
      </c>
    </row>
    <row r="4770" spans="2:15">
      <c r="B4770" s="20">
        <v>45677</v>
      </c>
      <c r="C4770" s="59">
        <v>50142327</v>
      </c>
      <c r="D4770" s="55" t="s">
        <v>256</v>
      </c>
      <c r="G4770" s="65">
        <v>2383.5</v>
      </c>
      <c r="H4770" s="56" t="s">
        <v>82</v>
      </c>
      <c r="I4770" s="54">
        <v>8673339961</v>
      </c>
      <c r="J4770" s="56" t="s">
        <v>2978</v>
      </c>
      <c r="K4770" s="56">
        <v>3096</v>
      </c>
      <c r="L4770" s="55" t="s">
        <v>2152</v>
      </c>
      <c r="M4770" s="55" t="s">
        <v>2824</v>
      </c>
      <c r="N4770" s="4" t="s">
        <v>1905</v>
      </c>
      <c r="O4770" s="55" t="s">
        <v>178</v>
      </c>
    </row>
    <row r="4771" spans="2:15">
      <c r="B4771" s="20">
        <v>45677</v>
      </c>
      <c r="C4771" s="59">
        <v>50142334</v>
      </c>
      <c r="D4771" s="55" t="s">
        <v>257</v>
      </c>
      <c r="G4771" s="65">
        <v>2383.5</v>
      </c>
      <c r="H4771" s="56" t="s">
        <v>82</v>
      </c>
      <c r="I4771" s="54">
        <v>8673339961</v>
      </c>
      <c r="J4771" s="56" t="s">
        <v>2978</v>
      </c>
      <c r="K4771" s="56">
        <v>3096</v>
      </c>
      <c r="L4771" s="55" t="s">
        <v>2152</v>
      </c>
      <c r="M4771" s="55" t="s">
        <v>2824</v>
      </c>
      <c r="N4771" s="4" t="s">
        <v>1905</v>
      </c>
      <c r="O4771" s="55" t="s">
        <v>178</v>
      </c>
    </row>
    <row r="4772" spans="2:15">
      <c r="B4772" s="20">
        <v>45678</v>
      </c>
      <c r="C4772" s="59">
        <v>50840365</v>
      </c>
      <c r="D4772" s="55" t="s">
        <v>1886</v>
      </c>
      <c r="G4772" s="65">
        <v>1545.05</v>
      </c>
      <c r="H4772" s="56" t="s">
        <v>82</v>
      </c>
      <c r="I4772" s="54">
        <v>8673763568</v>
      </c>
      <c r="J4772" s="56" t="s">
        <v>2978</v>
      </c>
      <c r="K4772" s="56">
        <v>3097</v>
      </c>
      <c r="L4772" s="55" t="s">
        <v>2152</v>
      </c>
      <c r="M4772" s="55" t="s">
        <v>2824</v>
      </c>
      <c r="N4772" s="4" t="s">
        <v>1905</v>
      </c>
      <c r="O4772" s="55" t="s">
        <v>178</v>
      </c>
    </row>
    <row r="4773" spans="2:15">
      <c r="B4773" s="20">
        <v>45678</v>
      </c>
      <c r="C4773" s="59">
        <v>50272278</v>
      </c>
      <c r="D4773" s="55" t="s">
        <v>21</v>
      </c>
      <c r="G4773" s="65">
        <v>5000</v>
      </c>
      <c r="H4773" s="56" t="s">
        <v>92</v>
      </c>
      <c r="I4773" s="54">
        <v>8673763568</v>
      </c>
      <c r="J4773" s="56" t="s">
        <v>2978</v>
      </c>
      <c r="K4773" s="56">
        <v>3097</v>
      </c>
      <c r="L4773" s="55" t="s">
        <v>2152</v>
      </c>
      <c r="M4773" s="55" t="s">
        <v>2824</v>
      </c>
      <c r="N4773" s="4" t="s">
        <v>1905</v>
      </c>
      <c r="O4773" s="55" t="s">
        <v>178</v>
      </c>
    </row>
    <row r="4774" spans="2:15">
      <c r="B4774" s="20">
        <v>45678</v>
      </c>
      <c r="C4774" s="59">
        <v>50802401</v>
      </c>
      <c r="D4774" s="55" t="s">
        <v>13</v>
      </c>
      <c r="G4774" s="65">
        <v>1449000</v>
      </c>
      <c r="H4774" s="56" t="s">
        <v>92</v>
      </c>
      <c r="I4774" s="54">
        <v>8674692162</v>
      </c>
      <c r="J4774" s="56" t="s">
        <v>2978</v>
      </c>
      <c r="K4774" s="56">
        <v>3097</v>
      </c>
      <c r="L4774" s="55" t="s">
        <v>2152</v>
      </c>
      <c r="M4774" s="55" t="s">
        <v>2824</v>
      </c>
      <c r="N4774" s="4" t="s">
        <v>1905</v>
      </c>
      <c r="O4774" s="55" t="s">
        <v>178</v>
      </c>
    </row>
    <row r="4775" spans="2:15">
      <c r="B4775" s="20">
        <v>45678</v>
      </c>
      <c r="C4775" s="59">
        <v>50449101</v>
      </c>
      <c r="D4775" s="55" t="s">
        <v>237</v>
      </c>
      <c r="G4775" s="65">
        <v>869400</v>
      </c>
      <c r="H4775" s="56" t="s">
        <v>92</v>
      </c>
      <c r="I4775" s="54">
        <v>8673763568</v>
      </c>
      <c r="J4775" s="56" t="s">
        <v>2978</v>
      </c>
      <c r="K4775" s="56">
        <v>3097</v>
      </c>
      <c r="L4775" s="55" t="s">
        <v>2152</v>
      </c>
      <c r="M4775" s="55" t="s">
        <v>2824</v>
      </c>
      <c r="N4775" s="4" t="s">
        <v>1905</v>
      </c>
      <c r="O4775" s="55" t="s">
        <v>178</v>
      </c>
    </row>
    <row r="4776" spans="2:15">
      <c r="B4776" s="20">
        <v>45678</v>
      </c>
      <c r="C4776" s="59">
        <v>50010080</v>
      </c>
      <c r="D4776" s="55" t="s">
        <v>1657</v>
      </c>
      <c r="G4776" s="65">
        <v>2000</v>
      </c>
      <c r="H4776" s="56" t="s">
        <v>82</v>
      </c>
      <c r="I4776" s="54">
        <v>8673763603</v>
      </c>
      <c r="J4776" s="56" t="s">
        <v>2978</v>
      </c>
      <c r="K4776" s="56">
        <v>3098</v>
      </c>
      <c r="L4776" s="55" t="s">
        <v>2152</v>
      </c>
      <c r="M4776" s="55" t="s">
        <v>2824</v>
      </c>
      <c r="N4776" s="4" t="s">
        <v>1905</v>
      </c>
      <c r="O4776" s="55" t="s">
        <v>178</v>
      </c>
    </row>
    <row r="4777" spans="2:15">
      <c r="B4777" s="20">
        <v>45678</v>
      </c>
      <c r="C4777" s="59">
        <v>40009544</v>
      </c>
      <c r="D4777" s="55" t="s">
        <v>179</v>
      </c>
      <c r="G4777" s="65">
        <v>1120</v>
      </c>
      <c r="H4777" s="56" t="s">
        <v>80</v>
      </c>
      <c r="I4777" s="54">
        <v>8673763603</v>
      </c>
      <c r="J4777" s="56" t="s">
        <v>2978</v>
      </c>
      <c r="K4777" s="56">
        <v>3098</v>
      </c>
      <c r="L4777" s="55" t="s">
        <v>2152</v>
      </c>
      <c r="M4777" s="55" t="s">
        <v>2824</v>
      </c>
      <c r="N4777" s="4" t="s">
        <v>1905</v>
      </c>
      <c r="O4777" s="55" t="s">
        <v>178</v>
      </c>
    </row>
    <row r="4778" spans="2:15">
      <c r="B4778" s="20">
        <v>45678</v>
      </c>
      <c r="C4778" s="59">
        <v>50804929</v>
      </c>
      <c r="D4778" s="55" t="s">
        <v>856</v>
      </c>
      <c r="G4778" s="65">
        <v>480000</v>
      </c>
      <c r="H4778" s="56" t="s">
        <v>92</v>
      </c>
      <c r="I4778" s="54">
        <v>8673763603</v>
      </c>
      <c r="J4778" s="56" t="s">
        <v>2978</v>
      </c>
      <c r="K4778" s="56">
        <v>3098</v>
      </c>
      <c r="L4778" s="55" t="s">
        <v>2152</v>
      </c>
      <c r="M4778" s="55" t="s">
        <v>2824</v>
      </c>
      <c r="N4778" s="4" t="s">
        <v>1905</v>
      </c>
      <c r="O4778" s="55" t="s">
        <v>178</v>
      </c>
    </row>
    <row r="4779" spans="2:15">
      <c r="B4779" s="20">
        <v>45678</v>
      </c>
      <c r="C4779" s="59">
        <v>40010087</v>
      </c>
      <c r="D4779" s="55" t="s">
        <v>387</v>
      </c>
      <c r="G4779" s="65">
        <v>864</v>
      </c>
      <c r="H4779" s="56" t="s">
        <v>80</v>
      </c>
      <c r="I4779" s="54">
        <v>8673763603</v>
      </c>
      <c r="J4779" s="56" t="s">
        <v>2978</v>
      </c>
      <c r="K4779" s="56">
        <v>3098</v>
      </c>
      <c r="L4779" s="55" t="s">
        <v>2152</v>
      </c>
      <c r="M4779" s="55" t="s">
        <v>2824</v>
      </c>
      <c r="N4779" s="4" t="s">
        <v>1905</v>
      </c>
      <c r="O4779" s="55" t="s">
        <v>178</v>
      </c>
    </row>
    <row r="4780" spans="2:15">
      <c r="B4780" s="20">
        <v>45678</v>
      </c>
      <c r="C4780" s="59">
        <v>50837238</v>
      </c>
      <c r="D4780" s="55" t="s">
        <v>1976</v>
      </c>
      <c r="G4780" s="65">
        <v>2190.25</v>
      </c>
      <c r="H4780" s="56" t="s">
        <v>82</v>
      </c>
      <c r="I4780" s="54">
        <v>8673763603</v>
      </c>
      <c r="J4780" s="56" t="s">
        <v>2978</v>
      </c>
      <c r="K4780" s="56">
        <v>3098</v>
      </c>
      <c r="L4780" s="55" t="s">
        <v>2152</v>
      </c>
      <c r="M4780" s="55" t="s">
        <v>2824</v>
      </c>
      <c r="N4780" s="4" t="s">
        <v>1905</v>
      </c>
      <c r="O4780" s="55" t="s">
        <v>178</v>
      </c>
    </row>
    <row r="4781" spans="2:15">
      <c r="B4781" s="20">
        <v>45678</v>
      </c>
      <c r="C4781" s="59">
        <v>50272278</v>
      </c>
      <c r="D4781" s="55" t="s">
        <v>21</v>
      </c>
      <c r="G4781" s="65">
        <v>2500</v>
      </c>
      <c r="H4781" s="56" t="s">
        <v>92</v>
      </c>
      <c r="I4781" s="54">
        <v>8673763603</v>
      </c>
      <c r="J4781" s="56" t="s">
        <v>2978</v>
      </c>
      <c r="K4781" s="56">
        <v>3098</v>
      </c>
      <c r="L4781" s="55" t="s">
        <v>2152</v>
      </c>
      <c r="M4781" s="55" t="s">
        <v>2824</v>
      </c>
      <c r="N4781" s="4" t="s">
        <v>1905</v>
      </c>
      <c r="O4781" s="55" t="s">
        <v>178</v>
      </c>
    </row>
    <row r="4782" spans="2:15">
      <c r="B4782" s="20">
        <v>45678</v>
      </c>
      <c r="C4782" s="59">
        <v>50811693</v>
      </c>
      <c r="D4782" s="55" t="s">
        <v>1269</v>
      </c>
      <c r="G4782" s="65">
        <v>800000</v>
      </c>
      <c r="H4782" s="56" t="s">
        <v>92</v>
      </c>
      <c r="I4782" s="54">
        <v>8673763603</v>
      </c>
      <c r="J4782" s="56" t="s">
        <v>2978</v>
      </c>
      <c r="K4782" s="56">
        <v>3098</v>
      </c>
      <c r="L4782" s="55" t="s">
        <v>2152</v>
      </c>
      <c r="M4782" s="55" t="s">
        <v>2824</v>
      </c>
      <c r="N4782" s="4" t="s">
        <v>1905</v>
      </c>
      <c r="O4782" s="55" t="s">
        <v>178</v>
      </c>
    </row>
    <row r="4783" spans="2:15">
      <c r="B4783" s="20">
        <v>45678</v>
      </c>
      <c r="C4783" s="59">
        <v>40011780</v>
      </c>
      <c r="D4783" s="55" t="s">
        <v>584</v>
      </c>
      <c r="G4783" s="65">
        <v>1350</v>
      </c>
      <c r="H4783" s="56" t="s">
        <v>80</v>
      </c>
      <c r="I4783" s="54">
        <v>8673763603</v>
      </c>
      <c r="J4783" s="56" t="s">
        <v>2978</v>
      </c>
      <c r="K4783" s="56">
        <v>3098</v>
      </c>
      <c r="L4783" s="55" t="s">
        <v>2152</v>
      </c>
      <c r="M4783" s="55" t="s">
        <v>2824</v>
      </c>
      <c r="N4783" s="4" t="s">
        <v>1905</v>
      </c>
      <c r="O4783" s="55" t="s">
        <v>178</v>
      </c>
    </row>
    <row r="4784" spans="2:15">
      <c r="B4784" s="20">
        <v>45678</v>
      </c>
      <c r="C4784" s="59">
        <v>40011588</v>
      </c>
      <c r="D4784" s="55" t="s">
        <v>585</v>
      </c>
      <c r="G4784" s="65">
        <v>450</v>
      </c>
      <c r="H4784" s="56" t="s">
        <v>80</v>
      </c>
      <c r="I4784" s="54">
        <v>8673763603</v>
      </c>
      <c r="J4784" s="56" t="s">
        <v>2978</v>
      </c>
      <c r="K4784" s="56">
        <v>3098</v>
      </c>
      <c r="L4784" s="55" t="s">
        <v>2152</v>
      </c>
      <c r="M4784" s="55" t="s">
        <v>2824</v>
      </c>
      <c r="N4784" s="4" t="s">
        <v>1905</v>
      </c>
      <c r="O4784" s="55" t="s">
        <v>178</v>
      </c>
    </row>
    <row r="4785" spans="2:15">
      <c r="B4785" s="20">
        <v>45678</v>
      </c>
      <c r="C4785" s="59">
        <v>50142327</v>
      </c>
      <c r="D4785" s="55" t="s">
        <v>256</v>
      </c>
      <c r="G4785" s="65">
        <v>476.7</v>
      </c>
      <c r="H4785" s="56" t="s">
        <v>82</v>
      </c>
      <c r="I4785" s="54">
        <v>8673763603</v>
      </c>
      <c r="J4785" s="56" t="s">
        <v>2978</v>
      </c>
      <c r="K4785" s="56">
        <v>3098</v>
      </c>
      <c r="L4785" s="55" t="s">
        <v>2152</v>
      </c>
      <c r="M4785" s="55" t="s">
        <v>2824</v>
      </c>
      <c r="N4785" s="4" t="s">
        <v>1905</v>
      </c>
      <c r="O4785" s="55" t="s">
        <v>178</v>
      </c>
    </row>
    <row r="4786" spans="2:15">
      <c r="B4786" s="20">
        <v>45678</v>
      </c>
      <c r="C4786" s="59">
        <v>50272278</v>
      </c>
      <c r="D4786" s="69" t="s">
        <v>21</v>
      </c>
      <c r="G4786" s="65">
        <v>10500</v>
      </c>
      <c r="H4786" s="56" t="s">
        <v>92</v>
      </c>
      <c r="I4786" s="54">
        <v>8673763636</v>
      </c>
      <c r="J4786" s="56" t="s">
        <v>2978</v>
      </c>
      <c r="K4786" s="56">
        <v>3099</v>
      </c>
      <c r="L4786" s="55" t="s">
        <v>2152</v>
      </c>
      <c r="M4786" s="55" t="s">
        <v>2824</v>
      </c>
      <c r="N4786" s="4" t="s">
        <v>1905</v>
      </c>
      <c r="O4786" s="55" t="s">
        <v>178</v>
      </c>
    </row>
    <row r="4787" spans="2:15">
      <c r="B4787" s="20">
        <v>45679</v>
      </c>
      <c r="C4787" s="59">
        <v>50804970</v>
      </c>
      <c r="D4787" s="55" t="s">
        <v>857</v>
      </c>
      <c r="G4787" s="65">
        <v>2400000</v>
      </c>
      <c r="H4787" s="56" t="s">
        <v>92</v>
      </c>
      <c r="I4787" s="54">
        <v>8674217874</v>
      </c>
      <c r="J4787" s="56" t="s">
        <v>2978</v>
      </c>
      <c r="K4787" s="56">
        <v>3100</v>
      </c>
      <c r="L4787" s="55" t="s">
        <v>2152</v>
      </c>
      <c r="M4787" s="55" t="s">
        <v>2824</v>
      </c>
      <c r="N4787" s="4" t="s">
        <v>1905</v>
      </c>
      <c r="O4787" s="55" t="s">
        <v>178</v>
      </c>
    </row>
    <row r="4788" spans="2:15">
      <c r="B4788" s="20">
        <v>45679</v>
      </c>
      <c r="C4788" s="59">
        <v>40009544</v>
      </c>
      <c r="D4788" s="55" t="s">
        <v>179</v>
      </c>
      <c r="G4788" s="65">
        <v>10080</v>
      </c>
      <c r="H4788" s="56" t="s">
        <v>80</v>
      </c>
      <c r="I4788" s="54">
        <v>8674217874</v>
      </c>
      <c r="J4788" s="56" t="s">
        <v>2978</v>
      </c>
      <c r="K4788" s="56">
        <v>3100</v>
      </c>
      <c r="L4788" s="55" t="s">
        <v>2152</v>
      </c>
      <c r="M4788" s="55" t="s">
        <v>2824</v>
      </c>
      <c r="N4788" s="4" t="s">
        <v>1905</v>
      </c>
      <c r="O4788" s="55" t="s">
        <v>178</v>
      </c>
    </row>
    <row r="4789" spans="2:15">
      <c r="B4789" s="20">
        <v>45679</v>
      </c>
      <c r="C4789" s="59">
        <v>40009546</v>
      </c>
      <c r="D4789" s="55" t="s">
        <v>174</v>
      </c>
      <c r="G4789" s="65">
        <v>450</v>
      </c>
      <c r="H4789" s="56" t="s">
        <v>80</v>
      </c>
      <c r="I4789" s="54">
        <v>8674217874</v>
      </c>
      <c r="J4789" s="56" t="s">
        <v>2978</v>
      </c>
      <c r="K4789" s="56">
        <v>3100</v>
      </c>
      <c r="L4789" s="55" t="s">
        <v>2152</v>
      </c>
      <c r="M4789" s="55" t="s">
        <v>2824</v>
      </c>
      <c r="N4789" s="4" t="s">
        <v>1905</v>
      </c>
      <c r="O4789" s="55" t="s">
        <v>178</v>
      </c>
    </row>
    <row r="4790" spans="2:15">
      <c r="B4790" s="20">
        <v>45679</v>
      </c>
      <c r="C4790" s="59">
        <v>50837284</v>
      </c>
      <c r="D4790" s="55" t="s">
        <v>28</v>
      </c>
      <c r="G4790" s="65">
        <v>2579.75</v>
      </c>
      <c r="H4790" s="56" t="s">
        <v>82</v>
      </c>
      <c r="I4790" s="54">
        <v>8674217874</v>
      </c>
      <c r="J4790" s="56" t="s">
        <v>2978</v>
      </c>
      <c r="K4790" s="56">
        <v>3100</v>
      </c>
      <c r="L4790" s="55" t="s">
        <v>2152</v>
      </c>
      <c r="M4790" s="55" t="s">
        <v>2824</v>
      </c>
      <c r="N4790" s="4" t="s">
        <v>1905</v>
      </c>
      <c r="O4790" s="55" t="s">
        <v>178</v>
      </c>
    </row>
    <row r="4791" spans="2:15">
      <c r="B4791" s="20">
        <v>45679</v>
      </c>
      <c r="C4791" s="59">
        <v>50143875</v>
      </c>
      <c r="D4791" s="55" t="s">
        <v>713</v>
      </c>
      <c r="G4791" s="65">
        <v>8000</v>
      </c>
      <c r="H4791" s="56" t="s">
        <v>92</v>
      </c>
      <c r="I4791" s="54">
        <v>8684424627</v>
      </c>
      <c r="J4791" s="56" t="s">
        <v>2978</v>
      </c>
      <c r="K4791" s="56">
        <v>3100</v>
      </c>
      <c r="L4791" s="55" t="s">
        <v>2152</v>
      </c>
      <c r="M4791" s="55" t="s">
        <v>2824</v>
      </c>
      <c r="N4791" s="4" t="s">
        <v>1905</v>
      </c>
      <c r="O4791" s="55" t="s">
        <v>178</v>
      </c>
    </row>
    <row r="4792" spans="2:15">
      <c r="B4792" s="20">
        <v>45679</v>
      </c>
      <c r="C4792" s="59">
        <v>40011149</v>
      </c>
      <c r="D4792" s="55" t="s">
        <v>37</v>
      </c>
      <c r="G4792" s="65">
        <v>720</v>
      </c>
      <c r="H4792" s="56" t="s">
        <v>80</v>
      </c>
      <c r="I4792" s="54">
        <v>8674217874</v>
      </c>
      <c r="J4792" s="56" t="s">
        <v>2978</v>
      </c>
      <c r="K4792" s="56">
        <v>3100</v>
      </c>
      <c r="L4792" s="55" t="s">
        <v>2152</v>
      </c>
      <c r="M4792" s="55" t="s">
        <v>2824</v>
      </c>
      <c r="N4792" s="4" t="s">
        <v>1905</v>
      </c>
      <c r="O4792" s="55" t="s">
        <v>178</v>
      </c>
    </row>
    <row r="4793" spans="2:15">
      <c r="B4793" s="20">
        <v>45679</v>
      </c>
      <c r="C4793" s="59">
        <v>50820741</v>
      </c>
      <c r="D4793" s="55" t="s">
        <v>1114</v>
      </c>
      <c r="G4793" s="65">
        <v>869400</v>
      </c>
      <c r="H4793" s="56" t="s">
        <v>92</v>
      </c>
      <c r="I4793" s="54">
        <v>8674217874</v>
      </c>
      <c r="J4793" s="56" t="s">
        <v>2978</v>
      </c>
      <c r="K4793" s="56">
        <v>3100</v>
      </c>
      <c r="L4793" s="55" t="s">
        <v>2152</v>
      </c>
      <c r="M4793" s="55" t="s">
        <v>2824</v>
      </c>
      <c r="N4793" s="4" t="s">
        <v>1905</v>
      </c>
      <c r="O4793" s="55" t="s">
        <v>178</v>
      </c>
    </row>
    <row r="4794" spans="2:15">
      <c r="B4794" s="20">
        <v>45679</v>
      </c>
      <c r="C4794" s="59">
        <v>40008023</v>
      </c>
      <c r="D4794" s="55" t="s">
        <v>1883</v>
      </c>
      <c r="G4794" s="65">
        <v>910</v>
      </c>
      <c r="H4794" s="56" t="s">
        <v>80</v>
      </c>
      <c r="I4794" s="54">
        <v>8674217874</v>
      </c>
      <c r="J4794" s="56" t="s">
        <v>2978</v>
      </c>
      <c r="K4794" s="56">
        <v>3100</v>
      </c>
      <c r="L4794" s="55" t="s">
        <v>2152</v>
      </c>
      <c r="M4794" s="55" t="s">
        <v>2824</v>
      </c>
      <c r="N4794" s="4" t="s">
        <v>1905</v>
      </c>
      <c r="O4794" s="55" t="s">
        <v>178</v>
      </c>
    </row>
    <row r="4795" spans="2:15">
      <c r="B4795" s="20">
        <v>45679</v>
      </c>
      <c r="C4795" s="59">
        <v>50449101</v>
      </c>
      <c r="D4795" s="55" t="s">
        <v>237</v>
      </c>
      <c r="G4795" s="65">
        <v>869400</v>
      </c>
      <c r="H4795" s="56" t="s">
        <v>92</v>
      </c>
      <c r="I4795" s="54">
        <v>8674217874</v>
      </c>
      <c r="J4795" s="56" t="s">
        <v>2978</v>
      </c>
      <c r="K4795" s="56">
        <v>3100</v>
      </c>
      <c r="L4795" s="55" t="s">
        <v>2152</v>
      </c>
      <c r="M4795" s="55" t="s">
        <v>2824</v>
      </c>
      <c r="N4795" s="4" t="s">
        <v>1905</v>
      </c>
      <c r="O4795" s="55" t="s">
        <v>178</v>
      </c>
    </row>
    <row r="4796" spans="2:15">
      <c r="B4796" s="20">
        <v>45679</v>
      </c>
      <c r="C4796" s="59">
        <v>50272278</v>
      </c>
      <c r="D4796" s="55" t="s">
        <v>21</v>
      </c>
      <c r="G4796" s="65">
        <v>5000</v>
      </c>
      <c r="H4796" s="56" t="s">
        <v>92</v>
      </c>
      <c r="I4796" s="54">
        <v>8674217906</v>
      </c>
      <c r="J4796" s="56" t="s">
        <v>2978</v>
      </c>
      <c r="K4796" s="56">
        <v>3101</v>
      </c>
      <c r="L4796" s="55" t="s">
        <v>2152</v>
      </c>
      <c r="M4796" s="55" t="s">
        <v>2824</v>
      </c>
      <c r="N4796" s="4" t="s">
        <v>1905</v>
      </c>
      <c r="O4796" s="55" t="s">
        <v>178</v>
      </c>
    </row>
    <row r="4797" spans="2:15">
      <c r="B4797" s="20">
        <v>45679</v>
      </c>
      <c r="C4797" s="59">
        <v>50470190</v>
      </c>
      <c r="D4797" s="55" t="s">
        <v>12</v>
      </c>
      <c r="G4797" s="65">
        <v>2608200</v>
      </c>
      <c r="H4797" s="123" t="s">
        <v>92</v>
      </c>
      <c r="I4797" s="54">
        <v>8674217906</v>
      </c>
      <c r="J4797" s="56" t="s">
        <v>2978</v>
      </c>
      <c r="K4797" s="56">
        <v>3101</v>
      </c>
      <c r="L4797" s="55" t="s">
        <v>2152</v>
      </c>
      <c r="M4797" s="55" t="s">
        <v>2824</v>
      </c>
      <c r="N4797" s="4" t="s">
        <v>1905</v>
      </c>
      <c r="O4797" s="55" t="s">
        <v>178</v>
      </c>
    </row>
    <row r="4798" spans="2:15">
      <c r="B4798" s="20">
        <v>45679</v>
      </c>
      <c r="C4798" s="59">
        <v>55555555</v>
      </c>
      <c r="D4798" s="55" t="s">
        <v>2009</v>
      </c>
      <c r="G4798" s="65">
        <v>385000</v>
      </c>
      <c r="H4798" s="56" t="s">
        <v>92</v>
      </c>
      <c r="I4798" s="54">
        <v>8674217906</v>
      </c>
      <c r="J4798" s="56" t="s">
        <v>2978</v>
      </c>
      <c r="K4798" s="56">
        <v>3101</v>
      </c>
      <c r="L4798" s="55" t="s">
        <v>2152</v>
      </c>
      <c r="M4798" s="55" t="s">
        <v>2824</v>
      </c>
      <c r="N4798" s="4" t="s">
        <v>1905</v>
      </c>
      <c r="O4798" s="55" t="s">
        <v>178</v>
      </c>
    </row>
    <row r="4799" spans="2:15">
      <c r="B4799" s="20">
        <v>45679</v>
      </c>
      <c r="C4799" s="59">
        <v>44444444</v>
      </c>
      <c r="D4799" s="55" t="s">
        <v>2012</v>
      </c>
      <c r="G4799" s="65">
        <v>385000</v>
      </c>
      <c r="H4799" s="56" t="s">
        <v>92</v>
      </c>
      <c r="I4799" s="54">
        <v>8674217906</v>
      </c>
      <c r="J4799" s="56" t="s">
        <v>2978</v>
      </c>
      <c r="K4799" s="56">
        <v>3101</v>
      </c>
      <c r="L4799" s="55" t="s">
        <v>2152</v>
      </c>
      <c r="M4799" s="55" t="s">
        <v>2824</v>
      </c>
      <c r="N4799" s="4" t="s">
        <v>1905</v>
      </c>
      <c r="O4799" s="55" t="s">
        <v>178</v>
      </c>
    </row>
    <row r="4800" spans="2:15">
      <c r="B4800" s="20">
        <v>45679</v>
      </c>
      <c r="C4800" s="59">
        <v>77777777</v>
      </c>
      <c r="D4800" s="55" t="s">
        <v>2013</v>
      </c>
      <c r="G4800" s="65">
        <v>22000</v>
      </c>
      <c r="H4800" s="56" t="s">
        <v>92</v>
      </c>
      <c r="I4800" s="54">
        <v>8674217906</v>
      </c>
      <c r="J4800" s="56" t="s">
        <v>2978</v>
      </c>
      <c r="K4800" s="56">
        <v>3101</v>
      </c>
      <c r="L4800" s="55" t="s">
        <v>2152</v>
      </c>
      <c r="M4800" s="55" t="s">
        <v>2824</v>
      </c>
      <c r="N4800" s="4" t="s">
        <v>1905</v>
      </c>
      <c r="O4800" s="55" t="s">
        <v>178</v>
      </c>
    </row>
    <row r="4801" spans="2:15">
      <c r="B4801" s="20">
        <v>45679</v>
      </c>
      <c r="C4801" s="59">
        <v>88888888</v>
      </c>
      <c r="D4801" s="55" t="s">
        <v>2014</v>
      </c>
      <c r="G4801" s="65">
        <v>22000</v>
      </c>
      <c r="H4801" s="56" t="s">
        <v>92</v>
      </c>
      <c r="I4801" s="54">
        <v>8674217906</v>
      </c>
      <c r="J4801" s="56" t="s">
        <v>2978</v>
      </c>
      <c r="K4801" s="56">
        <v>3101</v>
      </c>
      <c r="L4801" s="55" t="s">
        <v>2152</v>
      </c>
      <c r="M4801" s="55" t="s">
        <v>2824</v>
      </c>
      <c r="N4801" s="4" t="s">
        <v>1905</v>
      </c>
      <c r="O4801" s="55" t="s">
        <v>178</v>
      </c>
    </row>
    <row r="4802" spans="2:15">
      <c r="B4802" s="20">
        <v>45679</v>
      </c>
      <c r="C4802" s="59">
        <v>99999999</v>
      </c>
      <c r="D4802" s="55" t="s">
        <v>2015</v>
      </c>
      <c r="G4802" s="65">
        <v>22000</v>
      </c>
      <c r="H4802" s="56" t="s">
        <v>92</v>
      </c>
      <c r="I4802" s="54">
        <v>8674217906</v>
      </c>
      <c r="J4802" s="56" t="s">
        <v>2978</v>
      </c>
      <c r="K4802" s="56">
        <v>3101</v>
      </c>
      <c r="L4802" s="55" t="s">
        <v>2152</v>
      </c>
      <c r="M4802" s="55" t="s">
        <v>2824</v>
      </c>
      <c r="N4802" s="4" t="s">
        <v>1905</v>
      </c>
      <c r="O4802" s="55" t="s">
        <v>178</v>
      </c>
    </row>
    <row r="4803" spans="2:15">
      <c r="B4803" s="20">
        <v>45679</v>
      </c>
      <c r="C4803" s="59">
        <v>10101010</v>
      </c>
      <c r="D4803" s="55" t="s">
        <v>2016</v>
      </c>
      <c r="G4803" s="65">
        <v>22000</v>
      </c>
      <c r="H4803" s="56" t="s">
        <v>92</v>
      </c>
      <c r="I4803" s="54">
        <v>8674217906</v>
      </c>
      <c r="J4803" s="56" t="s">
        <v>2978</v>
      </c>
      <c r="K4803" s="56">
        <v>3101</v>
      </c>
      <c r="L4803" s="55" t="s">
        <v>2152</v>
      </c>
      <c r="M4803" s="55" t="s">
        <v>2824</v>
      </c>
      <c r="N4803" s="4" t="s">
        <v>1905</v>
      </c>
      <c r="O4803" s="55" t="s">
        <v>178</v>
      </c>
    </row>
    <row r="4804" spans="2:15">
      <c r="B4804" s="20">
        <v>45680</v>
      </c>
      <c r="C4804" s="59">
        <v>50144376</v>
      </c>
      <c r="D4804" s="55" t="s">
        <v>19</v>
      </c>
      <c r="G4804" s="65">
        <v>5900</v>
      </c>
      <c r="H4804" s="56" t="s">
        <v>92</v>
      </c>
      <c r="I4804" s="54">
        <v>8674692208</v>
      </c>
      <c r="J4804" s="56" t="s">
        <v>2978</v>
      </c>
      <c r="K4804" s="56">
        <v>3102</v>
      </c>
      <c r="L4804" s="55" t="s">
        <v>2152</v>
      </c>
      <c r="M4804" s="55" t="s">
        <v>2824</v>
      </c>
      <c r="N4804" s="4" t="s">
        <v>1905</v>
      </c>
      <c r="O4804" s="55" t="s">
        <v>178</v>
      </c>
    </row>
    <row r="4805" spans="2:15">
      <c r="B4805" s="20">
        <v>45680</v>
      </c>
      <c r="C4805" s="59">
        <v>50820741</v>
      </c>
      <c r="D4805" s="55" t="s">
        <v>1114</v>
      </c>
      <c r="G4805" s="65">
        <v>2898000</v>
      </c>
      <c r="H4805" s="56" t="s">
        <v>92</v>
      </c>
      <c r="I4805" s="54">
        <v>8674692208</v>
      </c>
      <c r="J4805" s="56" t="s">
        <v>2978</v>
      </c>
      <c r="K4805" s="56">
        <v>3102</v>
      </c>
      <c r="L4805" s="55" t="s">
        <v>2152</v>
      </c>
      <c r="M4805" s="55" t="s">
        <v>2824</v>
      </c>
      <c r="N4805" s="4" t="s">
        <v>1905</v>
      </c>
      <c r="O4805" s="55" t="s">
        <v>178</v>
      </c>
    </row>
    <row r="4806" spans="2:15">
      <c r="B4806" s="20">
        <v>45680</v>
      </c>
      <c r="C4806" s="59">
        <v>50010080</v>
      </c>
      <c r="D4806" s="55" t="s">
        <v>1657</v>
      </c>
      <c r="G4806" s="65">
        <v>2000</v>
      </c>
      <c r="H4806" s="56" t="s">
        <v>82</v>
      </c>
      <c r="I4806" s="54">
        <v>8674692632</v>
      </c>
      <c r="J4806" s="56" t="s">
        <v>2978</v>
      </c>
      <c r="K4806" s="56">
        <v>3103</v>
      </c>
      <c r="L4806" s="55" t="s">
        <v>2152</v>
      </c>
      <c r="M4806" s="55" t="s">
        <v>2824</v>
      </c>
      <c r="N4806" s="4" t="s">
        <v>1905</v>
      </c>
      <c r="O4806" s="55" t="s">
        <v>178</v>
      </c>
    </row>
    <row r="4807" spans="2:15">
      <c r="B4807" s="20">
        <v>45680</v>
      </c>
      <c r="C4807" s="59">
        <v>50804971</v>
      </c>
      <c r="D4807" s="55" t="s">
        <v>855</v>
      </c>
      <c r="G4807" s="65">
        <v>720000</v>
      </c>
      <c r="H4807" s="56" t="s">
        <v>92</v>
      </c>
      <c r="I4807" s="54">
        <v>8674692632</v>
      </c>
      <c r="J4807" s="56" t="s">
        <v>2978</v>
      </c>
      <c r="K4807" s="56">
        <v>3103</v>
      </c>
      <c r="L4807" s="55" t="s">
        <v>2152</v>
      </c>
      <c r="M4807" s="55" t="s">
        <v>2824</v>
      </c>
      <c r="N4807" s="4" t="s">
        <v>1905</v>
      </c>
      <c r="O4807" s="55" t="s">
        <v>178</v>
      </c>
    </row>
    <row r="4808" spans="2:15">
      <c r="B4808" s="20">
        <v>45680</v>
      </c>
      <c r="C4808" s="59">
        <v>50804929</v>
      </c>
      <c r="D4808" s="55" t="s">
        <v>856</v>
      </c>
      <c r="G4808" s="65">
        <v>720000</v>
      </c>
      <c r="H4808" s="56" t="s">
        <v>92</v>
      </c>
      <c r="I4808" s="54">
        <v>8674692632</v>
      </c>
      <c r="J4808" s="56" t="s">
        <v>2978</v>
      </c>
      <c r="K4808" s="56">
        <v>3103</v>
      </c>
      <c r="L4808" s="55" t="s">
        <v>2152</v>
      </c>
      <c r="M4808" s="55" t="s">
        <v>2824</v>
      </c>
      <c r="N4808" s="4" t="s">
        <v>1905</v>
      </c>
      <c r="O4808" s="55" t="s">
        <v>178</v>
      </c>
    </row>
    <row r="4809" spans="2:15">
      <c r="B4809" s="20">
        <v>45680</v>
      </c>
      <c r="C4809" s="59">
        <v>50272278</v>
      </c>
      <c r="D4809" s="55" t="s">
        <v>21</v>
      </c>
      <c r="G4809" s="65">
        <v>8100</v>
      </c>
      <c r="H4809" s="56" t="s">
        <v>92</v>
      </c>
      <c r="I4809" s="54">
        <v>8674692632</v>
      </c>
      <c r="J4809" s="56" t="s">
        <v>2978</v>
      </c>
      <c r="K4809" s="56">
        <v>3103</v>
      </c>
      <c r="L4809" s="55" t="s">
        <v>2152</v>
      </c>
      <c r="M4809" s="55" t="s">
        <v>2824</v>
      </c>
      <c r="N4809" s="4" t="s">
        <v>1905</v>
      </c>
      <c r="O4809" s="55" t="s">
        <v>178</v>
      </c>
    </row>
    <row r="4810" spans="2:15">
      <c r="B4810" s="20">
        <v>45681</v>
      </c>
      <c r="C4810" s="59">
        <v>50272278</v>
      </c>
      <c r="D4810" s="55" t="s">
        <v>21</v>
      </c>
      <c r="G4810" s="65">
        <v>7100</v>
      </c>
      <c r="H4810" s="56" t="s">
        <v>92</v>
      </c>
      <c r="I4810" s="54">
        <v>8675176902</v>
      </c>
      <c r="J4810" s="56" t="s">
        <v>2978</v>
      </c>
      <c r="K4810" s="56">
        <v>3104</v>
      </c>
      <c r="L4810" s="55" t="s">
        <v>2152</v>
      </c>
      <c r="M4810" s="55" t="s">
        <v>2824</v>
      </c>
      <c r="N4810" s="4" t="s">
        <v>1905</v>
      </c>
      <c r="O4810" s="55" t="s">
        <v>178</v>
      </c>
    </row>
    <row r="4811" spans="2:15">
      <c r="B4811" s="20">
        <v>45681</v>
      </c>
      <c r="C4811" s="59">
        <v>50793278</v>
      </c>
      <c r="D4811" s="55" t="s">
        <v>1086</v>
      </c>
      <c r="G4811" s="65">
        <v>20</v>
      </c>
      <c r="H4811" s="56" t="s">
        <v>1087</v>
      </c>
      <c r="I4811" s="54">
        <v>8676236227</v>
      </c>
      <c r="J4811" s="56" t="s">
        <v>2978</v>
      </c>
      <c r="K4811" s="56">
        <v>3104</v>
      </c>
      <c r="L4811" s="55" t="s">
        <v>2152</v>
      </c>
      <c r="M4811" s="55" t="s">
        <v>2824</v>
      </c>
      <c r="N4811" s="4" t="s">
        <v>1905</v>
      </c>
      <c r="O4811" s="55" t="s">
        <v>178</v>
      </c>
    </row>
    <row r="4812" spans="2:15">
      <c r="B4812" s="20">
        <v>45681</v>
      </c>
      <c r="C4812" s="59">
        <v>40011149</v>
      </c>
      <c r="D4812" s="55" t="s">
        <v>37</v>
      </c>
      <c r="G4812" s="65">
        <v>360</v>
      </c>
      <c r="H4812" s="56" t="s">
        <v>80</v>
      </c>
      <c r="I4812" s="54">
        <v>8675176902</v>
      </c>
      <c r="J4812" s="56" t="s">
        <v>2978</v>
      </c>
      <c r="K4812" s="56">
        <v>3104</v>
      </c>
      <c r="L4812" s="55" t="s">
        <v>2152</v>
      </c>
      <c r="M4812" s="55" t="s">
        <v>2824</v>
      </c>
      <c r="N4812" s="4" t="s">
        <v>1905</v>
      </c>
      <c r="O4812" s="55" t="s">
        <v>178</v>
      </c>
    </row>
    <row r="4813" spans="2:15">
      <c r="B4813" s="20">
        <v>45681</v>
      </c>
      <c r="C4813" s="59">
        <v>50470190</v>
      </c>
      <c r="D4813" s="55" t="s">
        <v>12</v>
      </c>
      <c r="G4813" s="65">
        <v>1449000</v>
      </c>
      <c r="H4813" s="56" t="s">
        <v>92</v>
      </c>
      <c r="I4813" s="54">
        <v>8675176902</v>
      </c>
      <c r="J4813" s="56" t="s">
        <v>2978</v>
      </c>
      <c r="K4813" s="56">
        <v>3104</v>
      </c>
      <c r="L4813" s="55" t="s">
        <v>2152</v>
      </c>
      <c r="M4813" s="55" t="s">
        <v>2824</v>
      </c>
      <c r="N4813" s="4" t="s">
        <v>1905</v>
      </c>
      <c r="O4813" s="55" t="s">
        <v>178</v>
      </c>
    </row>
    <row r="4814" spans="2:15">
      <c r="B4814" s="20">
        <v>45681</v>
      </c>
      <c r="C4814" s="59">
        <v>50144376</v>
      </c>
      <c r="D4814" s="55" t="s">
        <v>19</v>
      </c>
      <c r="H4814" s="56" t="s">
        <v>92</v>
      </c>
      <c r="I4814" s="54">
        <v>8675178142</v>
      </c>
      <c r="J4814" s="56" t="s">
        <v>2978</v>
      </c>
      <c r="K4814" s="56">
        <v>3105</v>
      </c>
      <c r="L4814" s="55" t="s">
        <v>2152</v>
      </c>
      <c r="M4814" s="55" t="s">
        <v>2824</v>
      </c>
      <c r="N4814" s="4" t="s">
        <v>1905</v>
      </c>
      <c r="O4814" s="55" t="s">
        <v>178</v>
      </c>
    </row>
    <row r="4815" spans="2:15">
      <c r="B4815" s="20">
        <v>45681</v>
      </c>
      <c r="C4815" s="59">
        <v>50821479</v>
      </c>
      <c r="D4815" s="55" t="s">
        <v>1199</v>
      </c>
      <c r="G4815" s="65">
        <v>1920000</v>
      </c>
      <c r="H4815" s="56" t="s">
        <v>92</v>
      </c>
      <c r="I4815" s="54">
        <v>8675178142</v>
      </c>
      <c r="J4815" s="56" t="s">
        <v>2978</v>
      </c>
      <c r="K4815" s="56">
        <v>3105</v>
      </c>
      <c r="L4815" s="55" t="s">
        <v>2152</v>
      </c>
      <c r="M4815" s="55" t="s">
        <v>2824</v>
      </c>
      <c r="N4815" s="4" t="s">
        <v>1905</v>
      </c>
      <c r="O4815" s="55" t="s">
        <v>178</v>
      </c>
    </row>
    <row r="4816" spans="2:15">
      <c r="B4816" s="20">
        <v>45681</v>
      </c>
      <c r="C4816" s="59">
        <v>50834669</v>
      </c>
      <c r="D4816" s="55" t="s">
        <v>1668</v>
      </c>
      <c r="G4816" s="65">
        <v>172800</v>
      </c>
      <c r="H4816" s="56" t="s">
        <v>92</v>
      </c>
      <c r="I4816" s="54" t="s">
        <v>2874</v>
      </c>
      <c r="J4816" s="56" t="s">
        <v>2978</v>
      </c>
      <c r="K4816" s="56">
        <v>3106</v>
      </c>
      <c r="O4816" s="55" t="s">
        <v>178</v>
      </c>
    </row>
    <row r="4817" spans="2:15">
      <c r="B4817" s="20">
        <v>45684</v>
      </c>
      <c r="C4817" s="59">
        <v>50272278</v>
      </c>
      <c r="D4817" s="55" t="s">
        <v>21</v>
      </c>
      <c r="G4817" s="65">
        <v>5000</v>
      </c>
      <c r="H4817" s="56" t="s">
        <v>92</v>
      </c>
      <c r="I4817" s="54">
        <v>8676027595</v>
      </c>
      <c r="J4817" s="56" t="s">
        <v>2978</v>
      </c>
      <c r="K4817" s="56">
        <v>3107</v>
      </c>
      <c r="L4817" s="55" t="s">
        <v>2152</v>
      </c>
      <c r="M4817" s="55" t="s">
        <v>2824</v>
      </c>
      <c r="N4817" s="4" t="s">
        <v>1905</v>
      </c>
      <c r="O4817" s="55" t="s">
        <v>178</v>
      </c>
    </row>
    <row r="4818" spans="2:15">
      <c r="B4818" s="20">
        <v>45684</v>
      </c>
      <c r="C4818" s="59">
        <v>50470190</v>
      </c>
      <c r="D4818" s="55" t="s">
        <v>12</v>
      </c>
      <c r="G4818" s="65">
        <v>2898000</v>
      </c>
      <c r="H4818" s="56" t="s">
        <v>92</v>
      </c>
      <c r="I4818" s="54">
        <v>8676027595</v>
      </c>
      <c r="J4818" s="56" t="s">
        <v>2978</v>
      </c>
      <c r="K4818" s="56">
        <v>3107</v>
      </c>
      <c r="L4818" s="55" t="s">
        <v>2152</v>
      </c>
      <c r="M4818" s="55" t="s">
        <v>2824</v>
      </c>
      <c r="N4818" s="4" t="s">
        <v>1905</v>
      </c>
      <c r="O4818" s="55" t="s">
        <v>178</v>
      </c>
    </row>
    <row r="4819" spans="2:15">
      <c r="B4819" s="20">
        <v>45685</v>
      </c>
      <c r="C4819" s="59">
        <v>50804971</v>
      </c>
      <c r="D4819" s="69" t="s">
        <v>855</v>
      </c>
      <c r="G4819" s="65">
        <v>720000</v>
      </c>
      <c r="H4819" s="56" t="s">
        <v>92</v>
      </c>
      <c r="I4819" s="54">
        <v>8676235875</v>
      </c>
      <c r="J4819" s="56" t="s">
        <v>2978</v>
      </c>
      <c r="K4819" s="56">
        <v>3108</v>
      </c>
      <c r="L4819" s="55" t="s">
        <v>2152</v>
      </c>
      <c r="M4819" s="55" t="s">
        <v>2824</v>
      </c>
      <c r="N4819" s="4" t="s">
        <v>1905</v>
      </c>
      <c r="O4819" s="55" t="s">
        <v>178</v>
      </c>
    </row>
    <row r="4820" spans="2:15">
      <c r="B4820" s="20">
        <v>45685</v>
      </c>
      <c r="C4820" s="59">
        <v>50804929</v>
      </c>
      <c r="D4820" s="55" t="s">
        <v>856</v>
      </c>
      <c r="G4820" s="65">
        <v>960000</v>
      </c>
      <c r="H4820" s="56" t="s">
        <v>92</v>
      </c>
      <c r="I4820" s="54">
        <v>8676235875</v>
      </c>
      <c r="J4820" s="56" t="s">
        <v>2978</v>
      </c>
      <c r="K4820" s="56">
        <v>3108</v>
      </c>
      <c r="L4820" s="55" t="s">
        <v>2152</v>
      </c>
      <c r="M4820" s="55" t="s">
        <v>2824</v>
      </c>
      <c r="N4820" s="4" t="s">
        <v>1905</v>
      </c>
      <c r="O4820" s="55" t="s">
        <v>178</v>
      </c>
    </row>
    <row r="4821" spans="2:15">
      <c r="B4821" s="20">
        <v>45685</v>
      </c>
      <c r="C4821" s="59">
        <v>50272278</v>
      </c>
      <c r="D4821" s="55" t="s">
        <v>21</v>
      </c>
      <c r="G4821" s="65">
        <v>6000</v>
      </c>
      <c r="H4821" s="56" t="s">
        <v>92</v>
      </c>
      <c r="I4821" s="54">
        <v>8676235875</v>
      </c>
      <c r="J4821" s="56" t="s">
        <v>2978</v>
      </c>
      <c r="K4821" s="56">
        <v>3108</v>
      </c>
      <c r="L4821" s="55" t="s">
        <v>2152</v>
      </c>
      <c r="M4821" s="55" t="s">
        <v>2824</v>
      </c>
      <c r="N4821" s="4" t="s">
        <v>1905</v>
      </c>
      <c r="O4821" s="55" t="s">
        <v>178</v>
      </c>
    </row>
    <row r="4822" spans="2:15">
      <c r="B4822" s="20">
        <v>45685</v>
      </c>
      <c r="C4822" s="59">
        <v>50811693</v>
      </c>
      <c r="D4822" s="55" t="s">
        <v>1269</v>
      </c>
      <c r="G4822" s="65">
        <v>800660</v>
      </c>
      <c r="H4822" s="56" t="s">
        <v>92</v>
      </c>
      <c r="I4822" s="54">
        <v>8676235875</v>
      </c>
      <c r="J4822" s="56" t="s">
        <v>2978</v>
      </c>
      <c r="K4822" s="56">
        <v>3108</v>
      </c>
      <c r="L4822" s="55" t="s">
        <v>2152</v>
      </c>
      <c r="M4822" s="55" t="s">
        <v>2824</v>
      </c>
      <c r="N4822" s="4" t="s">
        <v>1905</v>
      </c>
      <c r="O4822" s="55" t="s">
        <v>178</v>
      </c>
    </row>
    <row r="4823" spans="2:15">
      <c r="B4823" s="20">
        <v>45685</v>
      </c>
      <c r="C4823" s="59">
        <v>40011588</v>
      </c>
      <c r="D4823" s="55" t="s">
        <v>585</v>
      </c>
      <c r="G4823" s="65">
        <v>1350</v>
      </c>
      <c r="H4823" s="56" t="s">
        <v>80</v>
      </c>
      <c r="I4823" s="54">
        <v>8676235875</v>
      </c>
      <c r="J4823" s="56" t="s">
        <v>2978</v>
      </c>
      <c r="K4823" s="56">
        <v>3108</v>
      </c>
      <c r="L4823" s="55" t="s">
        <v>2152</v>
      </c>
      <c r="M4823" s="55" t="s">
        <v>2824</v>
      </c>
      <c r="N4823" s="4" t="s">
        <v>1905</v>
      </c>
      <c r="O4823" s="55" t="s">
        <v>178</v>
      </c>
    </row>
    <row r="4824" spans="2:15">
      <c r="B4824" s="20">
        <v>45685</v>
      </c>
      <c r="C4824" s="59">
        <v>50793278</v>
      </c>
      <c r="D4824" s="55" t="s">
        <v>1086</v>
      </c>
      <c r="G4824" s="65">
        <v>40</v>
      </c>
      <c r="H4824" s="56" t="s">
        <v>1087</v>
      </c>
      <c r="I4824" s="54">
        <v>8676235931</v>
      </c>
      <c r="J4824" s="56" t="s">
        <v>2978</v>
      </c>
      <c r="K4824" s="56">
        <v>3109</v>
      </c>
      <c r="L4824" s="55" t="s">
        <v>2152</v>
      </c>
      <c r="M4824" s="55" t="s">
        <v>2824</v>
      </c>
      <c r="N4824" s="4" t="s">
        <v>1905</v>
      </c>
      <c r="O4824" s="55" t="s">
        <v>178</v>
      </c>
    </row>
    <row r="4825" spans="2:15">
      <c r="B4825" s="20">
        <v>45685</v>
      </c>
      <c r="C4825" s="59">
        <v>50470190</v>
      </c>
      <c r="D4825" s="55" t="s">
        <v>12</v>
      </c>
      <c r="G4825" s="65">
        <v>2318400</v>
      </c>
      <c r="H4825" s="56" t="s">
        <v>92</v>
      </c>
      <c r="I4825" s="54">
        <v>8676235931</v>
      </c>
      <c r="J4825" s="56" t="s">
        <v>2978</v>
      </c>
      <c r="K4825" s="56">
        <v>3109</v>
      </c>
      <c r="L4825" s="55" t="s">
        <v>2152</v>
      </c>
      <c r="M4825" s="55" t="s">
        <v>2824</v>
      </c>
      <c r="N4825" s="4" t="s">
        <v>1905</v>
      </c>
      <c r="O4825" s="55" t="s">
        <v>178</v>
      </c>
    </row>
    <row r="4826" spans="2:15">
      <c r="B4826" s="20">
        <v>45685</v>
      </c>
      <c r="C4826" s="59">
        <v>50802401</v>
      </c>
      <c r="D4826" s="55" t="s">
        <v>13</v>
      </c>
      <c r="G4826" s="65">
        <v>1738800</v>
      </c>
      <c r="H4826" s="56" t="s">
        <v>92</v>
      </c>
      <c r="I4826" s="54">
        <v>8676235931</v>
      </c>
      <c r="J4826" s="56" t="s">
        <v>2978</v>
      </c>
      <c r="K4826" s="56">
        <v>3109</v>
      </c>
      <c r="L4826" s="55" t="s">
        <v>2152</v>
      </c>
      <c r="M4826" s="55" t="s">
        <v>2824</v>
      </c>
      <c r="N4826" s="4" t="s">
        <v>1905</v>
      </c>
      <c r="O4826" s="55" t="s">
        <v>178</v>
      </c>
    </row>
    <row r="4827" spans="2:15">
      <c r="B4827" s="20">
        <v>45685</v>
      </c>
      <c r="C4827" s="59">
        <v>50142327</v>
      </c>
      <c r="D4827" s="55" t="s">
        <v>256</v>
      </c>
      <c r="G4827" s="65">
        <v>953.4</v>
      </c>
      <c r="H4827" s="56" t="s">
        <v>82</v>
      </c>
      <c r="I4827" s="54">
        <v>8676235931</v>
      </c>
      <c r="J4827" s="56" t="s">
        <v>2978</v>
      </c>
      <c r="K4827" s="56">
        <v>3109</v>
      </c>
      <c r="L4827" s="55" t="s">
        <v>2152</v>
      </c>
      <c r="M4827" s="55" t="s">
        <v>2824</v>
      </c>
      <c r="N4827" s="4" t="s">
        <v>1905</v>
      </c>
      <c r="O4827" s="55" t="s">
        <v>178</v>
      </c>
    </row>
    <row r="4828" spans="2:15">
      <c r="B4828" s="20">
        <v>45686</v>
      </c>
      <c r="C4828" s="59">
        <v>40010087</v>
      </c>
      <c r="D4828" s="55" t="s">
        <v>387</v>
      </c>
      <c r="G4828" s="65">
        <v>2592</v>
      </c>
      <c r="H4828" s="56" t="s">
        <v>80</v>
      </c>
      <c r="I4828" s="54">
        <v>8676675923</v>
      </c>
      <c r="J4828" s="56" t="s">
        <v>2978</v>
      </c>
      <c r="K4828" s="56">
        <v>3110</v>
      </c>
      <c r="L4828" s="55" t="s">
        <v>2152</v>
      </c>
      <c r="M4828" s="55" t="s">
        <v>2824</v>
      </c>
      <c r="N4828" s="4" t="s">
        <v>1905</v>
      </c>
      <c r="O4828" s="55" t="s">
        <v>178</v>
      </c>
    </row>
    <row r="4829" spans="2:15">
      <c r="B4829" s="20">
        <v>45686</v>
      </c>
      <c r="C4829" s="59">
        <v>50837237</v>
      </c>
      <c r="D4829" s="55" t="s">
        <v>1747</v>
      </c>
      <c r="G4829" s="65">
        <v>1008.85</v>
      </c>
      <c r="H4829" s="56" t="s">
        <v>82</v>
      </c>
      <c r="I4829" s="54">
        <v>8679888352</v>
      </c>
      <c r="J4829" s="56" t="s">
        <v>2978</v>
      </c>
      <c r="K4829" s="56">
        <v>3110</v>
      </c>
      <c r="L4829" s="55" t="s">
        <v>2152</v>
      </c>
      <c r="M4829" s="55" t="s">
        <v>2824</v>
      </c>
      <c r="N4829" s="4" t="s">
        <v>1905</v>
      </c>
      <c r="O4829" s="55" t="s">
        <v>178</v>
      </c>
    </row>
    <row r="4830" spans="2:15">
      <c r="B4830" s="20">
        <v>45686</v>
      </c>
      <c r="C4830" s="59">
        <v>50272278</v>
      </c>
      <c r="D4830" s="55" t="s">
        <v>21</v>
      </c>
      <c r="G4830" s="65">
        <v>5500</v>
      </c>
      <c r="H4830" s="56" t="s">
        <v>92</v>
      </c>
      <c r="I4830" s="54">
        <v>8676675923</v>
      </c>
      <c r="J4830" s="56" t="s">
        <v>2978</v>
      </c>
      <c r="K4830" s="56">
        <v>3110</v>
      </c>
      <c r="L4830" s="55" t="s">
        <v>2152</v>
      </c>
      <c r="M4830" s="55" t="s">
        <v>2824</v>
      </c>
      <c r="N4830" s="4" t="s">
        <v>1905</v>
      </c>
      <c r="O4830" s="55" t="s">
        <v>178</v>
      </c>
    </row>
    <row r="4831" spans="2:15">
      <c r="B4831" s="20">
        <v>45686</v>
      </c>
      <c r="C4831" s="59">
        <v>50507916</v>
      </c>
      <c r="D4831" s="55" t="s">
        <v>406</v>
      </c>
      <c r="G4831" s="65">
        <v>528000</v>
      </c>
      <c r="H4831" s="56" t="s">
        <v>92</v>
      </c>
      <c r="I4831" s="54">
        <v>8679888349</v>
      </c>
      <c r="J4831" s="56" t="s">
        <v>2978</v>
      </c>
      <c r="K4831" s="56">
        <v>3110</v>
      </c>
      <c r="L4831" s="55" t="s">
        <v>2152</v>
      </c>
      <c r="M4831" s="55" t="s">
        <v>2824</v>
      </c>
      <c r="N4831" s="4" t="s">
        <v>1905</v>
      </c>
      <c r="O4831" s="55" t="s">
        <v>178</v>
      </c>
    </row>
    <row r="4832" spans="2:15">
      <c r="B4832" s="20">
        <v>45686</v>
      </c>
      <c r="C4832" s="59">
        <v>40011588</v>
      </c>
      <c r="D4832" s="55" t="s">
        <v>585</v>
      </c>
      <c r="G4832" s="65">
        <v>1350</v>
      </c>
      <c r="H4832" s="56" t="s">
        <v>80</v>
      </c>
      <c r="I4832" s="54">
        <v>8676675923</v>
      </c>
      <c r="J4832" s="56" t="s">
        <v>2978</v>
      </c>
      <c r="K4832" s="56">
        <v>3110</v>
      </c>
      <c r="L4832" s="55" t="s">
        <v>2152</v>
      </c>
      <c r="M4832" s="55" t="s">
        <v>2824</v>
      </c>
      <c r="N4832" s="4" t="s">
        <v>1905</v>
      </c>
      <c r="O4832" s="55" t="s">
        <v>178</v>
      </c>
    </row>
    <row r="4833" spans="2:15">
      <c r="B4833" s="20">
        <v>45686</v>
      </c>
      <c r="C4833" s="59">
        <v>50142334</v>
      </c>
      <c r="D4833" s="55" t="s">
        <v>257</v>
      </c>
      <c r="G4833" s="65">
        <v>476.7</v>
      </c>
      <c r="H4833" s="56" t="s">
        <v>82</v>
      </c>
      <c r="I4833" s="54">
        <v>8676675923</v>
      </c>
      <c r="J4833" s="56" t="s">
        <v>2978</v>
      </c>
      <c r="K4833" s="56">
        <v>3110</v>
      </c>
      <c r="L4833" s="55" t="s">
        <v>2152</v>
      </c>
      <c r="M4833" s="55" t="s">
        <v>2824</v>
      </c>
      <c r="N4833" s="4" t="s">
        <v>1905</v>
      </c>
      <c r="O4833" s="55" t="s">
        <v>178</v>
      </c>
    </row>
    <row r="4834" spans="2:15">
      <c r="B4834" s="20">
        <v>45687</v>
      </c>
      <c r="C4834" s="59">
        <v>50272278</v>
      </c>
      <c r="D4834" s="69" t="s">
        <v>21</v>
      </c>
      <c r="G4834" s="65">
        <v>11000</v>
      </c>
      <c r="H4834" s="56" t="s">
        <v>92</v>
      </c>
      <c r="I4834" s="54">
        <v>8677362218</v>
      </c>
      <c r="J4834" s="56" t="s">
        <v>2978</v>
      </c>
      <c r="K4834" s="56">
        <v>3111</v>
      </c>
      <c r="L4834" s="55" t="s">
        <v>2152</v>
      </c>
      <c r="M4834" s="55" t="s">
        <v>2824</v>
      </c>
      <c r="N4834" s="4" t="s">
        <v>1905</v>
      </c>
      <c r="O4834" s="55" t="s">
        <v>178</v>
      </c>
    </row>
    <row r="4835" spans="2:15">
      <c r="B4835" s="20">
        <v>45687</v>
      </c>
      <c r="C4835" s="59">
        <v>50010080</v>
      </c>
      <c r="D4835" s="55" t="s">
        <v>1657</v>
      </c>
      <c r="G4835" s="65">
        <v>5000</v>
      </c>
      <c r="H4835" s="56" t="s">
        <v>82</v>
      </c>
      <c r="I4835" s="54">
        <v>8677362288</v>
      </c>
      <c r="J4835" s="56" t="s">
        <v>2978</v>
      </c>
      <c r="K4835" s="56">
        <v>3112</v>
      </c>
      <c r="L4835" s="55" t="s">
        <v>2152</v>
      </c>
      <c r="M4835" s="55" t="s">
        <v>2824</v>
      </c>
      <c r="N4835" s="4" t="s">
        <v>1905</v>
      </c>
      <c r="O4835" s="55" t="s">
        <v>178</v>
      </c>
    </row>
    <row r="4836" spans="2:15">
      <c r="B4836" s="20">
        <v>45687</v>
      </c>
      <c r="C4836" s="59">
        <v>20016185</v>
      </c>
      <c r="D4836" s="55" t="s">
        <v>285</v>
      </c>
      <c r="G4836" s="65">
        <v>10000</v>
      </c>
      <c r="H4836" s="56" t="s">
        <v>92</v>
      </c>
      <c r="I4836" s="54">
        <v>8677362288</v>
      </c>
      <c r="J4836" s="56" t="s">
        <v>2978</v>
      </c>
      <c r="K4836" s="56">
        <v>3112</v>
      </c>
      <c r="L4836" s="55" t="s">
        <v>2152</v>
      </c>
      <c r="M4836" s="55" t="s">
        <v>2824</v>
      </c>
      <c r="N4836" s="4" t="s">
        <v>1905</v>
      </c>
      <c r="O4836" s="55" t="s">
        <v>178</v>
      </c>
    </row>
    <row r="4837" spans="2:15">
      <c r="B4837" s="20">
        <v>45687</v>
      </c>
      <c r="C4837" s="59">
        <v>50470190</v>
      </c>
      <c r="D4837" s="55" t="s">
        <v>12</v>
      </c>
      <c r="G4837" s="65">
        <v>289800</v>
      </c>
      <c r="H4837" s="56" t="s">
        <v>92</v>
      </c>
      <c r="I4837" s="54">
        <v>8677362288</v>
      </c>
      <c r="J4837" s="56" t="s">
        <v>2978</v>
      </c>
      <c r="K4837" s="56">
        <v>3112</v>
      </c>
      <c r="L4837" s="55" t="s">
        <v>2152</v>
      </c>
      <c r="M4837" s="55" t="s">
        <v>2824</v>
      </c>
      <c r="N4837" s="4" t="s">
        <v>1905</v>
      </c>
      <c r="O4837" s="55" t="s">
        <v>178</v>
      </c>
    </row>
    <row r="4838" spans="2:15">
      <c r="B4838" s="20">
        <v>45687</v>
      </c>
      <c r="C4838" s="59">
        <v>50820741</v>
      </c>
      <c r="D4838" s="55" t="s">
        <v>1114</v>
      </c>
      <c r="G4838" s="65">
        <v>1449000</v>
      </c>
      <c r="H4838" s="56" t="s">
        <v>92</v>
      </c>
      <c r="I4838" s="54">
        <v>8677362288</v>
      </c>
      <c r="J4838" s="56" t="s">
        <v>2978</v>
      </c>
      <c r="K4838" s="56">
        <v>3112</v>
      </c>
      <c r="L4838" s="55" t="s">
        <v>2152</v>
      </c>
      <c r="M4838" s="55" t="s">
        <v>2824</v>
      </c>
      <c r="N4838" s="4" t="s">
        <v>1905</v>
      </c>
      <c r="O4838" s="55" t="s">
        <v>178</v>
      </c>
    </row>
    <row r="4839" spans="2:15">
      <c r="B4839" s="20">
        <v>45687</v>
      </c>
      <c r="C4839" s="59">
        <v>50142327</v>
      </c>
      <c r="D4839" s="55" t="s">
        <v>256</v>
      </c>
      <c r="G4839" s="65">
        <v>1906.8</v>
      </c>
      <c r="H4839" s="56" t="s">
        <v>82</v>
      </c>
      <c r="I4839" s="54">
        <v>8677362288</v>
      </c>
      <c r="J4839" s="56" t="s">
        <v>2978</v>
      </c>
      <c r="K4839" s="56">
        <v>3112</v>
      </c>
      <c r="L4839" s="55" t="s">
        <v>2152</v>
      </c>
      <c r="M4839" s="55" t="s">
        <v>2824</v>
      </c>
      <c r="N4839" s="4" t="s">
        <v>1905</v>
      </c>
      <c r="O4839" s="55" t="s">
        <v>178</v>
      </c>
    </row>
    <row r="4840" spans="2:15">
      <c r="B4840" s="20">
        <v>45687</v>
      </c>
      <c r="C4840" s="59">
        <v>50142334</v>
      </c>
      <c r="D4840" s="55" t="s">
        <v>257</v>
      </c>
      <c r="G4840" s="65">
        <v>1906.8</v>
      </c>
      <c r="H4840" s="56" t="s">
        <v>82</v>
      </c>
      <c r="I4840" s="54">
        <v>8677362288</v>
      </c>
      <c r="J4840" s="56" t="s">
        <v>2978</v>
      </c>
      <c r="K4840" s="56">
        <v>3112</v>
      </c>
      <c r="L4840" s="55" t="s">
        <v>2152</v>
      </c>
      <c r="M4840" s="55" t="s">
        <v>2824</v>
      </c>
      <c r="N4840" s="4" t="s">
        <v>1905</v>
      </c>
      <c r="O4840" s="55" t="s">
        <v>178</v>
      </c>
    </row>
    <row r="4841" spans="2:15">
      <c r="B4841" s="20">
        <v>45687</v>
      </c>
      <c r="C4841" s="59">
        <v>50834669</v>
      </c>
      <c r="D4841" s="55" t="s">
        <v>1668</v>
      </c>
      <c r="G4841" s="65">
        <v>57600</v>
      </c>
      <c r="H4841" s="56" t="s">
        <v>92</v>
      </c>
      <c r="I4841" s="54" t="s">
        <v>2874</v>
      </c>
      <c r="J4841" s="56" t="s">
        <v>2978</v>
      </c>
      <c r="K4841" s="56">
        <v>3113</v>
      </c>
      <c r="L4841" s="55" t="s">
        <v>416</v>
      </c>
      <c r="M4841" s="55" t="s">
        <v>392</v>
      </c>
      <c r="N4841" s="4" t="s">
        <v>417</v>
      </c>
      <c r="O4841" s="55" t="s">
        <v>178</v>
      </c>
    </row>
    <row r="4842" spans="2:15">
      <c r="B4842" s="20">
        <v>45687</v>
      </c>
      <c r="C4842" s="59">
        <v>50143893</v>
      </c>
      <c r="D4842" s="55" t="s">
        <v>24</v>
      </c>
      <c r="G4842" s="65">
        <v>1980</v>
      </c>
      <c r="H4842" s="56" t="s">
        <v>82</v>
      </c>
      <c r="I4842" s="54" t="s">
        <v>2874</v>
      </c>
      <c r="J4842" s="56" t="s">
        <v>2978</v>
      </c>
      <c r="K4842" s="56">
        <v>3113</v>
      </c>
      <c r="L4842" s="55" t="s">
        <v>416</v>
      </c>
      <c r="M4842" s="55" t="s">
        <v>392</v>
      </c>
      <c r="N4842" s="4" t="s">
        <v>417</v>
      </c>
      <c r="O4842" s="55" t="s">
        <v>178</v>
      </c>
    </row>
    <row r="4843" spans="2:15">
      <c r="B4843" s="20">
        <v>45687</v>
      </c>
      <c r="C4843" s="59">
        <v>50834329</v>
      </c>
      <c r="D4843" s="55" t="s">
        <v>1475</v>
      </c>
      <c r="G4843" s="65">
        <v>1899.5</v>
      </c>
      <c r="H4843" s="56" t="s">
        <v>82</v>
      </c>
      <c r="I4843" s="54" t="s">
        <v>2874</v>
      </c>
      <c r="J4843" s="56" t="s">
        <v>2978</v>
      </c>
      <c r="K4843" s="56">
        <v>3113</v>
      </c>
      <c r="L4843" s="55" t="s">
        <v>416</v>
      </c>
      <c r="M4843" s="55" t="s">
        <v>392</v>
      </c>
      <c r="N4843" s="4" t="s">
        <v>417</v>
      </c>
      <c r="O4843" s="55" t="s">
        <v>178</v>
      </c>
    </row>
    <row r="4844" spans="2:15">
      <c r="B4844" s="20">
        <v>45688</v>
      </c>
      <c r="C4844" s="59">
        <v>40011133</v>
      </c>
      <c r="D4844" s="55" t="s">
        <v>634</v>
      </c>
      <c r="G4844" s="65">
        <v>1728</v>
      </c>
      <c r="H4844" s="56" t="s">
        <v>80</v>
      </c>
      <c r="I4844" s="54">
        <v>8677815112</v>
      </c>
      <c r="J4844" s="56" t="s">
        <v>2978</v>
      </c>
      <c r="K4844" s="56">
        <v>3114</v>
      </c>
      <c r="L4844" s="55" t="s">
        <v>2152</v>
      </c>
      <c r="M4844" s="55" t="s">
        <v>2824</v>
      </c>
      <c r="N4844" s="4" t="s">
        <v>1905</v>
      </c>
      <c r="O4844" s="55" t="s">
        <v>178</v>
      </c>
    </row>
    <row r="4845" spans="2:15">
      <c r="B4845" s="20">
        <v>45688</v>
      </c>
      <c r="C4845" s="59">
        <v>50837237</v>
      </c>
      <c r="D4845" s="55" t="s">
        <v>1747</v>
      </c>
      <c r="G4845" s="65">
        <v>1017</v>
      </c>
      <c r="H4845" s="56" t="s">
        <v>82</v>
      </c>
      <c r="I4845" s="54">
        <v>8677815112</v>
      </c>
      <c r="J4845" s="56" t="s">
        <v>2978</v>
      </c>
      <c r="K4845" s="56">
        <v>3114</v>
      </c>
      <c r="L4845" s="55" t="s">
        <v>2152</v>
      </c>
      <c r="M4845" s="55" t="s">
        <v>2824</v>
      </c>
      <c r="N4845" s="4" t="s">
        <v>1905</v>
      </c>
      <c r="O4845" s="55" t="s">
        <v>178</v>
      </c>
    </row>
    <row r="4846" spans="2:15">
      <c r="B4846" s="20">
        <v>45688</v>
      </c>
      <c r="C4846" s="59">
        <v>50837239</v>
      </c>
      <c r="D4846" s="55" t="s">
        <v>27</v>
      </c>
      <c r="G4846" s="65">
        <v>1137</v>
      </c>
      <c r="H4846" s="56" t="s">
        <v>82</v>
      </c>
      <c r="I4846" s="54">
        <v>8677815112</v>
      </c>
      <c r="J4846" s="56" t="s">
        <v>2978</v>
      </c>
      <c r="K4846" s="56">
        <v>3114</v>
      </c>
      <c r="L4846" s="55" t="s">
        <v>2152</v>
      </c>
      <c r="M4846" s="55" t="s">
        <v>2824</v>
      </c>
      <c r="N4846" s="4" t="s">
        <v>1905</v>
      </c>
      <c r="O4846" s="55" t="s">
        <v>178</v>
      </c>
    </row>
    <row r="4847" spans="2:15">
      <c r="B4847" s="20">
        <v>45688</v>
      </c>
      <c r="C4847" s="59">
        <v>50272278</v>
      </c>
      <c r="D4847" s="55" t="s">
        <v>21</v>
      </c>
      <c r="G4847" s="65">
        <v>2500</v>
      </c>
      <c r="H4847" s="56" t="s">
        <v>92</v>
      </c>
      <c r="I4847" s="54">
        <v>8677815112</v>
      </c>
      <c r="J4847" s="56" t="s">
        <v>2978</v>
      </c>
      <c r="K4847" s="56">
        <v>3114</v>
      </c>
      <c r="L4847" s="55" t="s">
        <v>2152</v>
      </c>
      <c r="M4847" s="55" t="s">
        <v>2824</v>
      </c>
      <c r="N4847" s="4" t="s">
        <v>1905</v>
      </c>
      <c r="O4847" s="55" t="s">
        <v>178</v>
      </c>
    </row>
    <row r="4848" spans="2:15">
      <c r="B4848" s="20">
        <v>45688</v>
      </c>
      <c r="C4848" s="59">
        <v>50821479</v>
      </c>
      <c r="D4848" s="55" t="s">
        <v>1199</v>
      </c>
      <c r="G4848" s="65">
        <v>320000</v>
      </c>
      <c r="H4848" s="56" t="s">
        <v>92</v>
      </c>
      <c r="I4848" s="54">
        <v>8677815112</v>
      </c>
      <c r="J4848" s="56" t="s">
        <v>2978</v>
      </c>
      <c r="K4848" s="56">
        <v>3114</v>
      </c>
      <c r="L4848" s="55" t="s">
        <v>2152</v>
      </c>
      <c r="M4848" s="55" t="s">
        <v>2824</v>
      </c>
      <c r="N4848" s="4" t="s">
        <v>1905</v>
      </c>
      <c r="O4848" s="55" t="s">
        <v>178</v>
      </c>
    </row>
    <row r="4849" spans="2:15">
      <c r="B4849" s="20">
        <v>45688</v>
      </c>
      <c r="C4849" s="59">
        <v>50837236</v>
      </c>
      <c r="D4849" s="55" t="s">
        <v>1992</v>
      </c>
      <c r="G4849" s="65">
        <v>1059.85</v>
      </c>
      <c r="H4849" s="56" t="s">
        <v>82</v>
      </c>
      <c r="I4849" s="54">
        <v>8677815112</v>
      </c>
      <c r="J4849" s="56" t="s">
        <v>2978</v>
      </c>
      <c r="K4849" s="56">
        <v>3114</v>
      </c>
      <c r="L4849" s="55" t="s">
        <v>2152</v>
      </c>
      <c r="M4849" s="55" t="s">
        <v>2824</v>
      </c>
      <c r="N4849" s="4" t="s">
        <v>1905</v>
      </c>
      <c r="O4849" s="55" t="s">
        <v>178</v>
      </c>
    </row>
    <row r="4850" spans="2:15">
      <c r="B4850" s="20">
        <v>45688</v>
      </c>
      <c r="C4850" s="59">
        <v>40015004</v>
      </c>
      <c r="D4850" s="55" t="s">
        <v>2024</v>
      </c>
      <c r="G4850" s="122">
        <v>2067</v>
      </c>
      <c r="H4850" s="56" t="s">
        <v>80</v>
      </c>
      <c r="I4850" s="54" t="s">
        <v>2874</v>
      </c>
      <c r="J4850" s="56" t="s">
        <v>2978</v>
      </c>
      <c r="K4850" s="56">
        <v>3114</v>
      </c>
      <c r="L4850" s="55" t="s">
        <v>2152</v>
      </c>
      <c r="M4850" s="55" t="s">
        <v>2824</v>
      </c>
      <c r="N4850" s="4" t="s">
        <v>1905</v>
      </c>
      <c r="O4850" s="55" t="s">
        <v>178</v>
      </c>
    </row>
    <row r="4851" spans="2:15">
      <c r="B4851" s="20">
        <v>45688</v>
      </c>
      <c r="C4851" s="59">
        <v>40015005</v>
      </c>
      <c r="D4851" s="55" t="s">
        <v>2026</v>
      </c>
      <c r="G4851" s="122">
        <v>2019</v>
      </c>
      <c r="H4851" s="56" t="s">
        <v>80</v>
      </c>
      <c r="I4851" s="54" t="s">
        <v>2874</v>
      </c>
      <c r="J4851" s="56" t="s">
        <v>2978</v>
      </c>
      <c r="K4851" s="56">
        <v>3114</v>
      </c>
      <c r="L4851" s="55" t="s">
        <v>2152</v>
      </c>
      <c r="M4851" s="55" t="s">
        <v>2824</v>
      </c>
      <c r="N4851" s="4" t="s">
        <v>1905</v>
      </c>
      <c r="O4851" s="55" t="s">
        <v>178</v>
      </c>
    </row>
    <row r="4852" spans="2:15">
      <c r="B4852" s="20">
        <v>45688</v>
      </c>
      <c r="C4852" s="59">
        <v>40015006</v>
      </c>
      <c r="D4852" s="55" t="s">
        <v>2027</v>
      </c>
      <c r="G4852" s="122">
        <v>2102</v>
      </c>
      <c r="H4852" s="56" t="s">
        <v>80</v>
      </c>
      <c r="I4852" s="54" t="s">
        <v>2874</v>
      </c>
      <c r="J4852" s="56" t="s">
        <v>2978</v>
      </c>
      <c r="K4852" s="56">
        <v>3114</v>
      </c>
      <c r="L4852" s="55" t="s">
        <v>2152</v>
      </c>
      <c r="M4852" s="55" t="s">
        <v>2824</v>
      </c>
      <c r="N4852" s="4" t="s">
        <v>1905</v>
      </c>
      <c r="O4852" s="55" t="s">
        <v>178</v>
      </c>
    </row>
    <row r="4853" spans="2:15">
      <c r="B4853" s="20">
        <v>45688</v>
      </c>
      <c r="C4853" s="59">
        <v>40015003</v>
      </c>
      <c r="D4853" s="55" t="s">
        <v>2028</v>
      </c>
      <c r="G4853" s="122">
        <v>2079</v>
      </c>
      <c r="H4853" s="56" t="s">
        <v>80</v>
      </c>
      <c r="I4853" s="54" t="s">
        <v>2874</v>
      </c>
      <c r="J4853" s="56" t="s">
        <v>2978</v>
      </c>
      <c r="K4853" s="56">
        <v>3114</v>
      </c>
      <c r="L4853" s="55" t="s">
        <v>2152</v>
      </c>
      <c r="M4853" s="55" t="s">
        <v>2824</v>
      </c>
      <c r="N4853" s="4" t="s">
        <v>1905</v>
      </c>
      <c r="O4853" s="55" t="s">
        <v>178</v>
      </c>
    </row>
    <row r="4854" spans="2:15">
      <c r="B4854" s="20">
        <v>45688</v>
      </c>
      <c r="C4854" s="59">
        <v>50143893</v>
      </c>
      <c r="D4854" s="55" t="s">
        <v>24</v>
      </c>
      <c r="G4854" s="65">
        <v>2640</v>
      </c>
      <c r="H4854" s="56" t="s">
        <v>82</v>
      </c>
      <c r="I4854" s="54">
        <v>8677815424</v>
      </c>
      <c r="J4854" s="56" t="s">
        <v>2978</v>
      </c>
      <c r="K4854" s="56">
        <v>3115</v>
      </c>
      <c r="L4854" s="55" t="s">
        <v>2152</v>
      </c>
      <c r="M4854" s="55" t="s">
        <v>2824</v>
      </c>
      <c r="N4854" s="4" t="s">
        <v>1905</v>
      </c>
      <c r="O4854" s="55" t="s">
        <v>178</v>
      </c>
    </row>
    <row r="4855" spans="2:15">
      <c r="B4855" s="20">
        <v>45688</v>
      </c>
      <c r="C4855" s="59">
        <v>50272278</v>
      </c>
      <c r="D4855" s="55" t="s">
        <v>21</v>
      </c>
      <c r="G4855" s="65">
        <v>2000</v>
      </c>
      <c r="H4855" s="56" t="s">
        <v>92</v>
      </c>
      <c r="I4855" s="54">
        <v>8677815424</v>
      </c>
      <c r="J4855" s="56" t="s">
        <v>2978</v>
      </c>
      <c r="K4855" s="56">
        <v>3115</v>
      </c>
      <c r="L4855" s="55" t="s">
        <v>2152</v>
      </c>
      <c r="M4855" s="55" t="s">
        <v>2824</v>
      </c>
      <c r="N4855" s="4" t="s">
        <v>1905</v>
      </c>
      <c r="O4855" s="55" t="s">
        <v>178</v>
      </c>
    </row>
    <row r="4856" spans="2:15">
      <c r="B4856" s="20">
        <v>45688</v>
      </c>
      <c r="C4856" s="59">
        <v>50793278</v>
      </c>
      <c r="D4856" s="55" t="s">
        <v>1086</v>
      </c>
      <c r="G4856" s="65">
        <v>20</v>
      </c>
      <c r="H4856" s="56" t="s">
        <v>1087</v>
      </c>
      <c r="I4856" s="54">
        <v>8677815424</v>
      </c>
      <c r="J4856" s="56" t="s">
        <v>2978</v>
      </c>
      <c r="K4856" s="56">
        <v>3115</v>
      </c>
      <c r="L4856" s="55" t="s">
        <v>2152</v>
      </c>
      <c r="M4856" s="55" t="s">
        <v>2824</v>
      </c>
      <c r="N4856" s="4" t="s">
        <v>1905</v>
      </c>
      <c r="O4856" s="55" t="s">
        <v>178</v>
      </c>
    </row>
    <row r="4857" spans="2:15">
      <c r="B4857" s="20">
        <v>45688</v>
      </c>
      <c r="C4857" s="59">
        <v>50470190</v>
      </c>
      <c r="D4857" s="55" t="s">
        <v>12</v>
      </c>
      <c r="G4857" s="65">
        <v>1449000</v>
      </c>
      <c r="H4857" s="56" t="s">
        <v>92</v>
      </c>
      <c r="I4857" s="54">
        <v>8677815424</v>
      </c>
      <c r="J4857" s="56" t="s">
        <v>2978</v>
      </c>
      <c r="K4857" s="56">
        <v>3115</v>
      </c>
      <c r="L4857" s="55" t="s">
        <v>2152</v>
      </c>
      <c r="M4857" s="55" t="s">
        <v>2824</v>
      </c>
      <c r="N4857" s="4" t="s">
        <v>1905</v>
      </c>
      <c r="O4857" s="55" t="s">
        <v>178</v>
      </c>
    </row>
    <row r="4858" spans="2:15">
      <c r="B4858" s="20">
        <v>45688</v>
      </c>
      <c r="C4858" s="59">
        <v>50802401</v>
      </c>
      <c r="D4858" s="55" t="s">
        <v>13</v>
      </c>
      <c r="G4858" s="65">
        <v>1449000</v>
      </c>
      <c r="H4858" s="56" t="s">
        <v>92</v>
      </c>
      <c r="I4858" s="54">
        <v>8677815424</v>
      </c>
      <c r="J4858" s="56" t="s">
        <v>2978</v>
      </c>
      <c r="K4858" s="56">
        <v>3115</v>
      </c>
      <c r="L4858" s="55" t="s">
        <v>2152</v>
      </c>
      <c r="M4858" s="55" t="s">
        <v>2824</v>
      </c>
      <c r="N4858" s="4" t="s">
        <v>1905</v>
      </c>
      <c r="O4858" s="55" t="s">
        <v>178</v>
      </c>
    </row>
    <row r="4859" spans="2:15">
      <c r="B4859" s="20">
        <v>45691</v>
      </c>
      <c r="C4859" s="59">
        <v>50837237</v>
      </c>
      <c r="D4859" s="55" t="s">
        <v>1747</v>
      </c>
      <c r="G4859" s="65">
        <v>1015.4</v>
      </c>
      <c r="H4859" s="56" t="s">
        <v>82</v>
      </c>
      <c r="I4859" s="54">
        <v>8678624043</v>
      </c>
      <c r="J4859" s="56" t="s">
        <v>2978</v>
      </c>
      <c r="K4859" s="56">
        <v>3116</v>
      </c>
      <c r="L4859" s="55" t="s">
        <v>2152</v>
      </c>
      <c r="M4859" s="55" t="s">
        <v>2824</v>
      </c>
      <c r="N4859" s="4" t="s">
        <v>1905</v>
      </c>
      <c r="O4859" s="55" t="s">
        <v>178</v>
      </c>
    </row>
    <row r="4860" spans="2:15">
      <c r="B4860" s="20">
        <v>45691</v>
      </c>
      <c r="C4860" s="59">
        <v>50470190</v>
      </c>
      <c r="D4860" s="55" t="s">
        <v>12</v>
      </c>
      <c r="G4860" s="65">
        <v>3477600</v>
      </c>
      <c r="H4860" s="56" t="s">
        <v>92</v>
      </c>
      <c r="I4860" s="54">
        <v>8678624043</v>
      </c>
      <c r="J4860" s="56" t="s">
        <v>2978</v>
      </c>
      <c r="K4860" s="56">
        <v>3116</v>
      </c>
      <c r="L4860" s="55" t="s">
        <v>2152</v>
      </c>
      <c r="M4860" s="55" t="s">
        <v>2824</v>
      </c>
      <c r="N4860" s="4" t="s">
        <v>1905</v>
      </c>
      <c r="O4860" s="55" t="s">
        <v>178</v>
      </c>
    </row>
    <row r="4861" spans="2:15">
      <c r="B4861" s="20">
        <v>45691</v>
      </c>
      <c r="C4861" s="59">
        <v>50821962</v>
      </c>
      <c r="D4861" s="55" t="s">
        <v>2020</v>
      </c>
      <c r="G4861" s="65">
        <v>2585.3</v>
      </c>
      <c r="H4861" s="56" t="s">
        <v>82</v>
      </c>
      <c r="I4861" s="54">
        <v>8678624043</v>
      </c>
      <c r="J4861" s="56" t="s">
        <v>2978</v>
      </c>
      <c r="K4861" s="56">
        <v>3116</v>
      </c>
      <c r="L4861" s="55" t="s">
        <v>2152</v>
      </c>
      <c r="M4861" s="55" t="s">
        <v>2824</v>
      </c>
      <c r="N4861" s="4" t="s">
        <v>1905</v>
      </c>
      <c r="O4861" s="55" t="s">
        <v>178</v>
      </c>
    </row>
    <row r="4862" spans="2:15">
      <c r="B4862" s="20">
        <v>45691</v>
      </c>
      <c r="C4862" s="59">
        <v>50272278</v>
      </c>
      <c r="D4862" s="55" t="s">
        <v>21</v>
      </c>
      <c r="G4862" s="65">
        <v>11000</v>
      </c>
      <c r="H4862" s="56" t="s">
        <v>92</v>
      </c>
      <c r="I4862" s="54">
        <v>8679888144</v>
      </c>
      <c r="J4862" s="56" t="s">
        <v>2978</v>
      </c>
      <c r="K4862" s="56">
        <v>3117</v>
      </c>
      <c r="L4862" s="55" t="s">
        <v>2152</v>
      </c>
      <c r="M4862" s="55" t="s">
        <v>2824</v>
      </c>
      <c r="N4862" s="4" t="s">
        <v>1905</v>
      </c>
      <c r="O4862" s="55" t="s">
        <v>178</v>
      </c>
    </row>
    <row r="4863" spans="2:15">
      <c r="B4863" s="20">
        <v>45692</v>
      </c>
      <c r="C4863" s="59">
        <v>50837237</v>
      </c>
      <c r="D4863" s="55" t="s">
        <v>1747</v>
      </c>
      <c r="G4863" s="65">
        <v>1014</v>
      </c>
      <c r="H4863" s="56" t="s">
        <v>82</v>
      </c>
      <c r="I4863" s="54">
        <v>8678993619</v>
      </c>
      <c r="J4863" s="56" t="s">
        <v>2978</v>
      </c>
      <c r="K4863" s="56">
        <v>3118</v>
      </c>
      <c r="L4863" s="55" t="s">
        <v>2152</v>
      </c>
      <c r="M4863" s="55" t="s">
        <v>2824</v>
      </c>
      <c r="N4863" s="4" t="s">
        <v>1905</v>
      </c>
      <c r="O4863" s="55" t="s">
        <v>178</v>
      </c>
    </row>
    <row r="4864" spans="2:15">
      <c r="B4864" s="20">
        <v>45692</v>
      </c>
      <c r="C4864" s="59">
        <v>50143893</v>
      </c>
      <c r="D4864" s="55" t="s">
        <v>24</v>
      </c>
      <c r="G4864" s="65">
        <v>1980</v>
      </c>
      <c r="H4864" s="56" t="s">
        <v>82</v>
      </c>
      <c r="I4864" s="54">
        <v>8678993619</v>
      </c>
      <c r="J4864" s="56" t="s">
        <v>2978</v>
      </c>
      <c r="K4864" s="56">
        <v>3118</v>
      </c>
      <c r="L4864" s="55" t="s">
        <v>2152</v>
      </c>
      <c r="M4864" s="55" t="s">
        <v>2824</v>
      </c>
      <c r="N4864" s="4" t="s">
        <v>1905</v>
      </c>
      <c r="O4864" s="55" t="s">
        <v>178</v>
      </c>
    </row>
    <row r="4865" spans="2:15">
      <c r="B4865" s="20">
        <v>45692</v>
      </c>
      <c r="C4865" s="59">
        <v>50144200</v>
      </c>
      <c r="D4865" s="55" t="s">
        <v>184</v>
      </c>
      <c r="G4865" s="65">
        <v>1584000</v>
      </c>
      <c r="H4865" s="56" t="s">
        <v>92</v>
      </c>
      <c r="I4865" s="54">
        <v>8679433475</v>
      </c>
      <c r="J4865" s="56" t="s">
        <v>2978</v>
      </c>
      <c r="K4865" s="56">
        <v>3118</v>
      </c>
      <c r="L4865" s="55" t="s">
        <v>2152</v>
      </c>
      <c r="M4865" s="55" t="s">
        <v>2824</v>
      </c>
      <c r="N4865" s="4" t="s">
        <v>1905</v>
      </c>
      <c r="O4865" s="55" t="s">
        <v>178</v>
      </c>
    </row>
    <row r="4866" spans="2:15">
      <c r="B4866" s="20">
        <v>45692</v>
      </c>
      <c r="C4866" s="59">
        <v>40009151</v>
      </c>
      <c r="D4866" s="55" t="s">
        <v>180</v>
      </c>
      <c r="G4866" s="65">
        <v>900</v>
      </c>
      <c r="H4866" s="56" t="s">
        <v>80</v>
      </c>
      <c r="I4866" s="54">
        <v>8678993619</v>
      </c>
      <c r="J4866" s="56" t="s">
        <v>2978</v>
      </c>
      <c r="K4866" s="56">
        <v>3118</v>
      </c>
      <c r="L4866" s="55" t="s">
        <v>2152</v>
      </c>
      <c r="M4866" s="55" t="s">
        <v>2824</v>
      </c>
      <c r="N4866" s="4" t="s">
        <v>1905</v>
      </c>
      <c r="O4866" s="55" t="s">
        <v>178</v>
      </c>
    </row>
    <row r="4867" spans="2:15">
      <c r="B4867" s="20">
        <v>45692</v>
      </c>
      <c r="C4867" s="59">
        <v>50470190</v>
      </c>
      <c r="D4867" s="55" t="s">
        <v>12</v>
      </c>
      <c r="G4867" s="65">
        <v>1738800</v>
      </c>
      <c r="H4867" s="123" t="s">
        <v>92</v>
      </c>
      <c r="I4867" s="54">
        <v>8678993619</v>
      </c>
      <c r="J4867" s="56" t="s">
        <v>2978</v>
      </c>
      <c r="K4867" s="56">
        <v>3118</v>
      </c>
      <c r="L4867" s="55" t="s">
        <v>2152</v>
      </c>
      <c r="M4867" s="55" t="s">
        <v>2824</v>
      </c>
      <c r="N4867" s="4" t="s">
        <v>1905</v>
      </c>
      <c r="O4867" s="55" t="s">
        <v>178</v>
      </c>
    </row>
    <row r="4868" spans="2:15">
      <c r="B4868" s="20">
        <v>45692</v>
      </c>
      <c r="C4868" s="59">
        <v>50837236</v>
      </c>
      <c r="D4868" s="55" t="s">
        <v>1992</v>
      </c>
      <c r="G4868" s="65">
        <v>1023.3</v>
      </c>
      <c r="H4868" s="56" t="s">
        <v>82</v>
      </c>
      <c r="I4868" s="54">
        <v>8678993619</v>
      </c>
      <c r="J4868" s="56" t="s">
        <v>2978</v>
      </c>
      <c r="K4868" s="56">
        <v>3118</v>
      </c>
      <c r="L4868" s="55" t="s">
        <v>2152</v>
      </c>
      <c r="M4868" s="55" t="s">
        <v>2824</v>
      </c>
      <c r="N4868" s="4" t="s">
        <v>1905</v>
      </c>
      <c r="O4868" s="55" t="s">
        <v>178</v>
      </c>
    </row>
    <row r="4869" spans="2:15">
      <c r="B4869" s="20">
        <v>45692</v>
      </c>
      <c r="C4869" s="59">
        <v>50142571</v>
      </c>
      <c r="D4869" s="55" t="s">
        <v>605</v>
      </c>
      <c r="G4869" s="65">
        <v>336</v>
      </c>
      <c r="H4869" s="56" t="s">
        <v>82</v>
      </c>
      <c r="I4869" s="54" t="s">
        <v>2874</v>
      </c>
      <c r="J4869" s="56" t="s">
        <v>2978</v>
      </c>
      <c r="K4869" s="56">
        <v>3119</v>
      </c>
      <c r="L4869" s="55" t="s">
        <v>2152</v>
      </c>
      <c r="M4869" s="55" t="s">
        <v>2824</v>
      </c>
      <c r="N4869" s="4" t="s">
        <v>1905</v>
      </c>
      <c r="O4869" s="55" t="s">
        <v>178</v>
      </c>
    </row>
    <row r="4870" spans="2:15">
      <c r="B4870" s="20">
        <v>45692</v>
      </c>
      <c r="C4870" s="59">
        <v>50272278</v>
      </c>
      <c r="D4870" s="55" t="s">
        <v>21</v>
      </c>
      <c r="G4870" s="65">
        <v>4500</v>
      </c>
      <c r="H4870" s="56" t="s">
        <v>92</v>
      </c>
      <c r="I4870" s="54">
        <v>8678996009</v>
      </c>
      <c r="J4870" s="56" t="s">
        <v>2978</v>
      </c>
      <c r="K4870" s="56">
        <v>3119</v>
      </c>
      <c r="L4870" s="55" t="s">
        <v>2152</v>
      </c>
      <c r="M4870" s="55" t="s">
        <v>2824</v>
      </c>
      <c r="N4870" s="4" t="s">
        <v>1905</v>
      </c>
      <c r="O4870" s="55" t="s">
        <v>178</v>
      </c>
    </row>
    <row r="4871" spans="2:15">
      <c r="B4871" s="20">
        <v>45692</v>
      </c>
      <c r="C4871" s="59">
        <v>50793278</v>
      </c>
      <c r="D4871" s="55" t="s">
        <v>1086</v>
      </c>
      <c r="G4871" s="65">
        <v>40</v>
      </c>
      <c r="H4871" s="56" t="s">
        <v>1087</v>
      </c>
      <c r="I4871" s="54">
        <v>8678996009</v>
      </c>
      <c r="J4871" s="56" t="s">
        <v>2978</v>
      </c>
      <c r="K4871" s="56">
        <v>3119</v>
      </c>
      <c r="L4871" s="55" t="s">
        <v>2152</v>
      </c>
      <c r="M4871" s="55" t="s">
        <v>2824</v>
      </c>
      <c r="N4871" s="4" t="s">
        <v>1905</v>
      </c>
      <c r="O4871" s="55" t="s">
        <v>178</v>
      </c>
    </row>
    <row r="4872" spans="2:15">
      <c r="B4872" s="20">
        <v>45692</v>
      </c>
      <c r="C4872" s="59">
        <v>50142327</v>
      </c>
      <c r="D4872" s="55" t="s">
        <v>256</v>
      </c>
      <c r="G4872" s="65">
        <v>1906.8</v>
      </c>
      <c r="H4872" s="56" t="s">
        <v>82</v>
      </c>
      <c r="I4872" s="54">
        <v>8678996009</v>
      </c>
      <c r="J4872" s="56" t="s">
        <v>2978</v>
      </c>
      <c r="K4872" s="56">
        <v>3119</v>
      </c>
      <c r="L4872" s="55" t="s">
        <v>2152</v>
      </c>
      <c r="M4872" s="55" t="s">
        <v>2824</v>
      </c>
      <c r="N4872" s="4" t="s">
        <v>1905</v>
      </c>
      <c r="O4872" s="55" t="s">
        <v>178</v>
      </c>
    </row>
    <row r="4873" spans="2:15">
      <c r="B4873" s="20">
        <v>45692</v>
      </c>
      <c r="C4873" s="59">
        <v>50142334</v>
      </c>
      <c r="D4873" s="55" t="s">
        <v>257</v>
      </c>
      <c r="G4873" s="65">
        <v>1906.8</v>
      </c>
      <c r="H4873" s="56" t="s">
        <v>82</v>
      </c>
      <c r="I4873" s="54">
        <v>8678996009</v>
      </c>
      <c r="J4873" s="56" t="s">
        <v>2978</v>
      </c>
      <c r="K4873" s="56">
        <v>3119</v>
      </c>
      <c r="L4873" s="55" t="s">
        <v>2152</v>
      </c>
      <c r="M4873" s="55" t="s">
        <v>2824</v>
      </c>
      <c r="N4873" s="4" t="s">
        <v>1905</v>
      </c>
      <c r="O4873" s="55" t="s">
        <v>178</v>
      </c>
    </row>
    <row r="4874" spans="2:15">
      <c r="B4874" s="20">
        <v>45693</v>
      </c>
      <c r="C4874" s="59">
        <v>50804971</v>
      </c>
      <c r="D4874" s="55" t="s">
        <v>855</v>
      </c>
      <c r="G4874" s="65">
        <v>720000</v>
      </c>
      <c r="H4874" s="56" t="s">
        <v>92</v>
      </c>
      <c r="I4874" s="54">
        <v>8679433471</v>
      </c>
      <c r="J4874" s="56" t="s">
        <v>2978</v>
      </c>
      <c r="K4874" s="56">
        <v>3120</v>
      </c>
      <c r="L4874" s="55" t="s">
        <v>2152</v>
      </c>
      <c r="M4874" s="55" t="s">
        <v>2824</v>
      </c>
      <c r="N4874" s="4" t="s">
        <v>1905</v>
      </c>
      <c r="O4874" s="55" t="s">
        <v>178</v>
      </c>
    </row>
    <row r="4875" spans="2:15">
      <c r="B4875" s="20">
        <v>45693</v>
      </c>
      <c r="C4875" s="59">
        <v>50142330</v>
      </c>
      <c r="D4875" s="55" t="s">
        <v>195</v>
      </c>
      <c r="G4875" s="65">
        <v>1260</v>
      </c>
      <c r="H4875" s="56" t="s">
        <v>82</v>
      </c>
      <c r="I4875" s="54">
        <v>8679433471</v>
      </c>
      <c r="J4875" s="56" t="s">
        <v>2978</v>
      </c>
      <c r="K4875" s="56">
        <v>3120</v>
      </c>
      <c r="L4875" s="55" t="s">
        <v>2152</v>
      </c>
      <c r="M4875" s="55" t="s">
        <v>2824</v>
      </c>
      <c r="N4875" s="4" t="s">
        <v>1905</v>
      </c>
      <c r="O4875" s="55" t="s">
        <v>178</v>
      </c>
    </row>
    <row r="4876" spans="2:15">
      <c r="B4876" s="20">
        <v>45693</v>
      </c>
      <c r="C4876" s="59">
        <v>50804929</v>
      </c>
      <c r="D4876" s="55" t="s">
        <v>856</v>
      </c>
      <c r="G4876" s="65">
        <v>720000</v>
      </c>
      <c r="H4876" s="56" t="s">
        <v>92</v>
      </c>
      <c r="I4876" s="54">
        <v>8679433471</v>
      </c>
      <c r="J4876" s="56" t="s">
        <v>2978</v>
      </c>
      <c r="K4876" s="56">
        <v>3120</v>
      </c>
      <c r="L4876" s="55" t="s">
        <v>2152</v>
      </c>
      <c r="M4876" s="55" t="s">
        <v>2824</v>
      </c>
      <c r="N4876" s="4" t="s">
        <v>1905</v>
      </c>
      <c r="O4876" s="55" t="s">
        <v>178</v>
      </c>
    </row>
    <row r="4877" spans="2:15">
      <c r="B4877" s="20">
        <v>45693</v>
      </c>
      <c r="C4877" s="59">
        <v>40010084</v>
      </c>
      <c r="D4877" s="55" t="s">
        <v>81</v>
      </c>
      <c r="G4877" s="65">
        <v>1897</v>
      </c>
      <c r="H4877" s="56" t="s">
        <v>80</v>
      </c>
      <c r="I4877" s="54">
        <v>8679433471</v>
      </c>
      <c r="J4877" s="56" t="s">
        <v>2978</v>
      </c>
      <c r="K4877" s="56">
        <v>3120</v>
      </c>
      <c r="L4877" s="55" t="s">
        <v>2152</v>
      </c>
      <c r="M4877" s="55" t="s">
        <v>2824</v>
      </c>
      <c r="N4877" s="4" t="s">
        <v>1905</v>
      </c>
      <c r="O4877" s="55" t="s">
        <v>178</v>
      </c>
    </row>
    <row r="4878" spans="2:15">
      <c r="B4878" s="20">
        <v>45693</v>
      </c>
      <c r="C4878" s="59">
        <v>50145029</v>
      </c>
      <c r="D4878" s="55" t="s">
        <v>705</v>
      </c>
      <c r="G4878" s="65">
        <v>24</v>
      </c>
      <c r="H4878" s="56" t="s">
        <v>505</v>
      </c>
      <c r="I4878" s="54">
        <v>8679433471</v>
      </c>
      <c r="J4878" s="56" t="s">
        <v>2978</v>
      </c>
      <c r="K4878" s="56">
        <v>3120</v>
      </c>
      <c r="L4878" s="55" t="s">
        <v>2152</v>
      </c>
      <c r="M4878" s="55" t="s">
        <v>2824</v>
      </c>
      <c r="N4878" s="4" t="s">
        <v>1905</v>
      </c>
      <c r="O4878" s="55" t="s">
        <v>178</v>
      </c>
    </row>
    <row r="4879" spans="2:15">
      <c r="B4879" s="20">
        <v>45693</v>
      </c>
      <c r="C4879" s="59">
        <v>50392045</v>
      </c>
      <c r="D4879" s="55" t="s">
        <v>707</v>
      </c>
      <c r="G4879" s="65">
        <v>18</v>
      </c>
      <c r="H4879" s="56" t="s">
        <v>505</v>
      </c>
      <c r="I4879" s="54">
        <v>8679433471</v>
      </c>
      <c r="J4879" s="56" t="s">
        <v>2978</v>
      </c>
      <c r="K4879" s="56">
        <v>3120</v>
      </c>
      <c r="L4879" s="55" t="s">
        <v>2152</v>
      </c>
      <c r="M4879" s="55" t="s">
        <v>2824</v>
      </c>
      <c r="N4879" s="4" t="s">
        <v>1905</v>
      </c>
      <c r="O4879" s="55" t="s">
        <v>178</v>
      </c>
    </row>
    <row r="4880" spans="2:15">
      <c r="B4880" s="20">
        <v>45693</v>
      </c>
      <c r="C4880" s="59">
        <v>40011149</v>
      </c>
      <c r="D4880" s="55" t="s">
        <v>37</v>
      </c>
      <c r="G4880" s="65">
        <v>1800</v>
      </c>
      <c r="H4880" s="56" t="s">
        <v>80</v>
      </c>
      <c r="I4880" s="54">
        <v>8679433471</v>
      </c>
      <c r="J4880" s="56" t="s">
        <v>2978</v>
      </c>
      <c r="K4880" s="56">
        <v>3120</v>
      </c>
      <c r="L4880" s="55" t="s">
        <v>2152</v>
      </c>
      <c r="M4880" s="55" t="s">
        <v>2824</v>
      </c>
      <c r="N4880" s="4" t="s">
        <v>1905</v>
      </c>
      <c r="O4880" s="55" t="s">
        <v>178</v>
      </c>
    </row>
    <row r="4881" spans="2:15">
      <c r="B4881" s="20">
        <v>45693</v>
      </c>
      <c r="C4881" s="59">
        <v>50144200</v>
      </c>
      <c r="D4881" s="55" t="s">
        <v>184</v>
      </c>
      <c r="G4881" s="65">
        <v>528000</v>
      </c>
      <c r="H4881" s="56" t="s">
        <v>92</v>
      </c>
      <c r="I4881" s="54">
        <v>8679433471</v>
      </c>
      <c r="J4881" s="56" t="s">
        <v>2978</v>
      </c>
      <c r="K4881" s="56">
        <v>3120</v>
      </c>
      <c r="L4881" s="55" t="s">
        <v>2152</v>
      </c>
      <c r="M4881" s="55" t="s">
        <v>2824</v>
      </c>
      <c r="N4881" s="4" t="s">
        <v>1905</v>
      </c>
      <c r="O4881" s="55" t="s">
        <v>178</v>
      </c>
    </row>
    <row r="4882" spans="2:15">
      <c r="B4882" s="20">
        <v>45693</v>
      </c>
      <c r="C4882" s="59">
        <v>40011780</v>
      </c>
      <c r="D4882" s="55" t="s">
        <v>584</v>
      </c>
      <c r="G4882" s="65">
        <v>1350</v>
      </c>
      <c r="H4882" s="56" t="s">
        <v>80</v>
      </c>
      <c r="I4882" s="54">
        <v>8679433471</v>
      </c>
      <c r="J4882" s="56" t="s">
        <v>2978</v>
      </c>
      <c r="K4882" s="56">
        <v>3120</v>
      </c>
      <c r="L4882" s="55" t="s">
        <v>2152</v>
      </c>
      <c r="M4882" s="55" t="s">
        <v>2824</v>
      </c>
      <c r="N4882" s="4" t="s">
        <v>1905</v>
      </c>
      <c r="O4882" s="55" t="s">
        <v>178</v>
      </c>
    </row>
    <row r="4883" spans="2:15">
      <c r="B4883" s="20">
        <v>45693</v>
      </c>
      <c r="C4883" s="59">
        <v>50145012</v>
      </c>
      <c r="D4883" s="55" t="s">
        <v>504</v>
      </c>
      <c r="G4883" s="65">
        <v>6</v>
      </c>
      <c r="H4883" s="56" t="s">
        <v>505</v>
      </c>
      <c r="I4883" s="54">
        <v>8679433471</v>
      </c>
      <c r="J4883" s="56" t="s">
        <v>2978</v>
      </c>
      <c r="K4883" s="56">
        <v>3120</v>
      </c>
      <c r="L4883" s="55" t="s">
        <v>2152</v>
      </c>
      <c r="M4883" s="55" t="s">
        <v>2824</v>
      </c>
      <c r="N4883" s="4" t="s">
        <v>1905</v>
      </c>
      <c r="O4883" s="55" t="s">
        <v>178</v>
      </c>
    </row>
    <row r="4884" spans="2:15">
      <c r="B4884" s="20">
        <v>45693</v>
      </c>
      <c r="C4884" s="59">
        <v>50392046</v>
      </c>
      <c r="D4884" s="55" t="s">
        <v>509</v>
      </c>
      <c r="G4884" s="65">
        <v>18</v>
      </c>
      <c r="H4884" s="56" t="s">
        <v>505</v>
      </c>
      <c r="I4884" s="54">
        <v>8679433471</v>
      </c>
      <c r="J4884" s="56" t="s">
        <v>2978</v>
      </c>
      <c r="K4884" s="56">
        <v>3120</v>
      </c>
      <c r="L4884" s="55" t="s">
        <v>2152</v>
      </c>
      <c r="M4884" s="55" t="s">
        <v>2824</v>
      </c>
      <c r="N4884" s="4" t="s">
        <v>1905</v>
      </c>
      <c r="O4884" s="55" t="s">
        <v>178</v>
      </c>
    </row>
    <row r="4885" spans="2:15">
      <c r="B4885" s="20">
        <v>45693</v>
      </c>
      <c r="C4885" s="59">
        <v>50470190</v>
      </c>
      <c r="D4885" s="55" t="s">
        <v>12</v>
      </c>
      <c r="G4885" s="65">
        <v>2898000</v>
      </c>
      <c r="H4885" s="56" t="s">
        <v>92</v>
      </c>
      <c r="I4885" s="54">
        <v>8679433537</v>
      </c>
      <c r="J4885" s="56" t="s">
        <v>2978</v>
      </c>
      <c r="K4885" s="56">
        <v>3121</v>
      </c>
      <c r="L4885" s="55" t="s">
        <v>2152</v>
      </c>
      <c r="M4885" s="55" t="s">
        <v>2824</v>
      </c>
      <c r="N4885" s="4" t="s">
        <v>1905</v>
      </c>
      <c r="O4885" s="55" t="s">
        <v>178</v>
      </c>
    </row>
    <row r="4886" spans="2:15">
      <c r="B4886" s="20">
        <v>45693</v>
      </c>
      <c r="C4886" s="59">
        <v>50802401</v>
      </c>
      <c r="D4886" s="55" t="s">
        <v>13</v>
      </c>
      <c r="G4886" s="65">
        <v>2318400</v>
      </c>
      <c r="H4886" s="56" t="s">
        <v>92</v>
      </c>
      <c r="I4886" s="54">
        <v>8679433537</v>
      </c>
      <c r="J4886" s="56" t="s">
        <v>2978</v>
      </c>
      <c r="K4886" s="56">
        <v>3121</v>
      </c>
      <c r="L4886" s="55" t="s">
        <v>2152</v>
      </c>
      <c r="M4886" s="55" t="s">
        <v>2824</v>
      </c>
      <c r="N4886" s="4" t="s">
        <v>1905</v>
      </c>
      <c r="O4886" s="55" t="s">
        <v>178</v>
      </c>
    </row>
    <row r="4887" spans="2:15">
      <c r="B4887" s="20">
        <v>45693</v>
      </c>
      <c r="C4887" s="59">
        <v>50837236</v>
      </c>
      <c r="D4887" s="55" t="s">
        <v>1992</v>
      </c>
      <c r="G4887" s="65">
        <v>1013.3</v>
      </c>
      <c r="H4887" s="56" t="s">
        <v>82</v>
      </c>
      <c r="I4887" s="54">
        <v>8679433537</v>
      </c>
      <c r="J4887" s="56" t="s">
        <v>2978</v>
      </c>
      <c r="K4887" s="56">
        <v>3121</v>
      </c>
      <c r="L4887" s="55" t="s">
        <v>2152</v>
      </c>
      <c r="M4887" s="55" t="s">
        <v>2824</v>
      </c>
      <c r="N4887" s="4" t="s">
        <v>1905</v>
      </c>
      <c r="O4887" s="55" t="s">
        <v>178</v>
      </c>
    </row>
    <row r="4888" spans="2:15">
      <c r="B4888" s="20">
        <v>45693</v>
      </c>
      <c r="C4888" s="59">
        <v>40014675</v>
      </c>
      <c r="D4888" s="55" t="s">
        <v>44</v>
      </c>
      <c r="G4888" s="65">
        <v>37.44</v>
      </c>
      <c r="H4888" s="56" t="s">
        <v>1248</v>
      </c>
      <c r="I4888" s="54">
        <v>8681219101</v>
      </c>
      <c r="J4888" s="56" t="s">
        <v>2978</v>
      </c>
      <c r="K4888" s="56">
        <v>142</v>
      </c>
      <c r="L4888" s="55" t="s">
        <v>2876</v>
      </c>
      <c r="M4888" s="55" t="s">
        <v>2824</v>
      </c>
      <c r="O4888" s="55" t="s">
        <v>178</v>
      </c>
    </row>
    <row r="4889" spans="2:15">
      <c r="B4889" s="20">
        <v>45693</v>
      </c>
      <c r="C4889" s="59">
        <v>40014675</v>
      </c>
      <c r="D4889" s="55" t="s">
        <v>44</v>
      </c>
      <c r="G4889" s="65">
        <v>37.44</v>
      </c>
      <c r="H4889" s="56" t="s">
        <v>1248</v>
      </c>
      <c r="I4889" s="54">
        <v>8681219102</v>
      </c>
      <c r="J4889" s="56" t="s">
        <v>2978</v>
      </c>
      <c r="K4889" s="56">
        <v>143</v>
      </c>
      <c r="L4889" s="55" t="s">
        <v>2876</v>
      </c>
      <c r="M4889" s="55" t="s">
        <v>2824</v>
      </c>
      <c r="O4889" s="55" t="s">
        <v>178</v>
      </c>
    </row>
    <row r="4890" spans="2:15">
      <c r="B4890" s="20">
        <v>45693</v>
      </c>
      <c r="C4890" s="59">
        <v>40014675</v>
      </c>
      <c r="D4890" s="55" t="s">
        <v>44</v>
      </c>
      <c r="G4890" s="65">
        <v>37.44</v>
      </c>
      <c r="H4890" s="56" t="s">
        <v>1248</v>
      </c>
      <c r="I4890" s="54">
        <v>8681219103</v>
      </c>
      <c r="J4890" s="56" t="s">
        <v>2978</v>
      </c>
      <c r="K4890" s="56">
        <v>144</v>
      </c>
      <c r="L4890" s="55" t="s">
        <v>2876</v>
      </c>
      <c r="M4890" s="55" t="s">
        <v>2824</v>
      </c>
      <c r="O4890" s="55" t="s">
        <v>178</v>
      </c>
    </row>
    <row r="4891" spans="2:15">
      <c r="B4891" s="20">
        <v>45693</v>
      </c>
      <c r="C4891" s="59">
        <v>40014675</v>
      </c>
      <c r="D4891" s="55" t="s">
        <v>44</v>
      </c>
      <c r="G4891" s="65">
        <v>37.44</v>
      </c>
      <c r="H4891" s="56" t="s">
        <v>1248</v>
      </c>
      <c r="I4891" s="54">
        <v>8681219105</v>
      </c>
      <c r="J4891" s="56" t="s">
        <v>2978</v>
      </c>
      <c r="K4891" s="56">
        <v>145</v>
      </c>
      <c r="L4891" s="55" t="s">
        <v>2876</v>
      </c>
      <c r="M4891" s="55" t="s">
        <v>2824</v>
      </c>
      <c r="O4891" s="55" t="s">
        <v>178</v>
      </c>
    </row>
    <row r="4892" spans="2:15">
      <c r="B4892" s="20">
        <v>45693</v>
      </c>
      <c r="C4892" s="59">
        <v>40014675</v>
      </c>
      <c r="D4892" s="55" t="s">
        <v>44</v>
      </c>
      <c r="G4892" s="65">
        <v>37.44</v>
      </c>
      <c r="H4892" s="56" t="s">
        <v>1248</v>
      </c>
      <c r="I4892" s="54">
        <v>8681219106</v>
      </c>
      <c r="J4892" s="56" t="s">
        <v>2978</v>
      </c>
      <c r="K4892" s="56">
        <v>147</v>
      </c>
      <c r="L4892" s="55" t="s">
        <v>2876</v>
      </c>
      <c r="M4892" s="55" t="s">
        <v>2824</v>
      </c>
      <c r="O4892" s="55" t="s">
        <v>178</v>
      </c>
    </row>
    <row r="4893" spans="2:15">
      <c r="B4893" s="20">
        <v>45693</v>
      </c>
      <c r="C4893" s="59">
        <v>40014675</v>
      </c>
      <c r="D4893" s="55" t="s">
        <v>44</v>
      </c>
      <c r="G4893" s="65">
        <v>37.44</v>
      </c>
      <c r="H4893" s="56" t="s">
        <v>1248</v>
      </c>
      <c r="I4893" s="54">
        <v>8681219107</v>
      </c>
      <c r="J4893" s="56" t="s">
        <v>2978</v>
      </c>
      <c r="K4893" s="56">
        <v>148</v>
      </c>
      <c r="L4893" s="55" t="s">
        <v>2876</v>
      </c>
      <c r="M4893" s="55" t="s">
        <v>2824</v>
      </c>
      <c r="O4893" s="55" t="s">
        <v>178</v>
      </c>
    </row>
    <row r="4894" spans="2:15">
      <c r="B4894" s="20">
        <v>45694</v>
      </c>
      <c r="C4894" s="59">
        <v>50143646</v>
      </c>
      <c r="D4894" s="55" t="s">
        <v>191</v>
      </c>
      <c r="G4894" s="65">
        <v>5280</v>
      </c>
      <c r="H4894" s="56" t="s">
        <v>82</v>
      </c>
      <c r="I4894" s="54">
        <v>8681231286</v>
      </c>
      <c r="J4894" s="56" t="s">
        <v>2978</v>
      </c>
      <c r="K4894" s="56">
        <v>3122</v>
      </c>
      <c r="L4894" s="55" t="s">
        <v>2152</v>
      </c>
      <c r="M4894" s="55" t="s">
        <v>2824</v>
      </c>
      <c r="N4894" s="4" t="s">
        <v>1905</v>
      </c>
      <c r="O4894" s="55" t="s">
        <v>178</v>
      </c>
    </row>
    <row r="4895" spans="2:15">
      <c r="B4895" s="20">
        <v>45694</v>
      </c>
      <c r="C4895" s="59">
        <v>50793278</v>
      </c>
      <c r="D4895" s="55" t="s">
        <v>1086</v>
      </c>
      <c r="G4895" s="65">
        <v>40</v>
      </c>
      <c r="H4895" s="56" t="s">
        <v>1087</v>
      </c>
      <c r="I4895" s="54">
        <v>8679888102</v>
      </c>
      <c r="J4895" s="56" t="s">
        <v>2978</v>
      </c>
      <c r="K4895" s="56">
        <v>3122</v>
      </c>
      <c r="L4895" s="55" t="s">
        <v>2152</v>
      </c>
      <c r="M4895" s="55" t="s">
        <v>2824</v>
      </c>
      <c r="N4895" s="4" t="s">
        <v>1905</v>
      </c>
      <c r="O4895" s="55" t="s">
        <v>178</v>
      </c>
    </row>
    <row r="4896" spans="2:15">
      <c r="B4896" s="20">
        <v>45694</v>
      </c>
      <c r="C4896" s="59">
        <v>50470190</v>
      </c>
      <c r="D4896" s="55" t="s">
        <v>12</v>
      </c>
      <c r="G4896" s="65">
        <v>1449000</v>
      </c>
      <c r="H4896" s="56" t="s">
        <v>92</v>
      </c>
      <c r="I4896" s="54">
        <v>8679888102</v>
      </c>
      <c r="J4896" s="56" t="s">
        <v>2978</v>
      </c>
      <c r="K4896" s="56">
        <v>3122</v>
      </c>
      <c r="L4896" s="55" t="s">
        <v>2152</v>
      </c>
      <c r="M4896" s="55" t="s">
        <v>2824</v>
      </c>
      <c r="N4896" s="4" t="s">
        <v>1905</v>
      </c>
      <c r="O4896" s="55" t="s">
        <v>178</v>
      </c>
    </row>
    <row r="4897" spans="2:15">
      <c r="B4897" s="20">
        <v>45694</v>
      </c>
      <c r="C4897" s="59">
        <v>50802401</v>
      </c>
      <c r="D4897" s="55" t="s">
        <v>13</v>
      </c>
      <c r="G4897" s="65">
        <v>579600</v>
      </c>
      <c r="H4897" s="56" t="s">
        <v>92</v>
      </c>
      <c r="I4897" s="54">
        <v>8679888102</v>
      </c>
      <c r="J4897" s="56" t="s">
        <v>2978</v>
      </c>
      <c r="K4897" s="56">
        <v>3122</v>
      </c>
      <c r="L4897" s="55" t="s">
        <v>2152</v>
      </c>
      <c r="M4897" s="55" t="s">
        <v>2824</v>
      </c>
      <c r="N4897" s="4" t="s">
        <v>1905</v>
      </c>
      <c r="O4897" s="55" t="s">
        <v>178</v>
      </c>
    </row>
    <row r="4898" spans="2:15">
      <c r="B4898" s="20">
        <v>45694</v>
      </c>
      <c r="C4898" s="59">
        <v>50144376</v>
      </c>
      <c r="D4898" s="55" t="s">
        <v>19</v>
      </c>
      <c r="G4898" s="65">
        <v>8500</v>
      </c>
      <c r="H4898" s="56" t="s">
        <v>92</v>
      </c>
      <c r="I4898" s="54">
        <v>8679888117</v>
      </c>
      <c r="J4898" s="56" t="s">
        <v>2978</v>
      </c>
      <c r="K4898" s="56">
        <v>3123</v>
      </c>
      <c r="L4898" s="55" t="s">
        <v>2152</v>
      </c>
      <c r="M4898" s="55" t="s">
        <v>2824</v>
      </c>
      <c r="N4898" s="4" t="s">
        <v>1905</v>
      </c>
      <c r="O4898" s="55" t="s">
        <v>178</v>
      </c>
    </row>
    <row r="4899" spans="2:15">
      <c r="B4899" s="20">
        <v>45694</v>
      </c>
      <c r="C4899" s="59">
        <v>40014675</v>
      </c>
      <c r="D4899" s="55" t="s">
        <v>44</v>
      </c>
      <c r="G4899" s="65">
        <v>37.44</v>
      </c>
      <c r="H4899" s="56" t="s">
        <v>1248</v>
      </c>
      <c r="I4899" s="54">
        <v>8681219108</v>
      </c>
      <c r="J4899" s="56" t="s">
        <v>2978</v>
      </c>
      <c r="K4899" s="56">
        <v>149</v>
      </c>
      <c r="L4899" s="55" t="s">
        <v>2876</v>
      </c>
      <c r="M4899" s="55" t="s">
        <v>2824</v>
      </c>
      <c r="O4899" s="55" t="s">
        <v>178</v>
      </c>
    </row>
    <row r="4900" spans="2:15">
      <c r="B4900" s="20">
        <v>45694</v>
      </c>
      <c r="C4900" s="59">
        <v>40014675</v>
      </c>
      <c r="D4900" s="55" t="s">
        <v>44</v>
      </c>
      <c r="G4900" s="65">
        <v>37.44</v>
      </c>
      <c r="H4900" s="56" t="s">
        <v>1248</v>
      </c>
      <c r="I4900" s="54">
        <v>8681219109</v>
      </c>
      <c r="J4900" s="56" t="s">
        <v>2978</v>
      </c>
      <c r="K4900" s="56">
        <v>150</v>
      </c>
      <c r="L4900" s="55" t="s">
        <v>2876</v>
      </c>
      <c r="M4900" s="55" t="s">
        <v>2824</v>
      </c>
      <c r="O4900" s="55" t="s">
        <v>178</v>
      </c>
    </row>
    <row r="4901" spans="2:15">
      <c r="B4901" s="20">
        <v>45694</v>
      </c>
      <c r="C4901" s="59">
        <v>40014675</v>
      </c>
      <c r="D4901" s="55" t="s">
        <v>44</v>
      </c>
      <c r="G4901" s="65">
        <v>37.44</v>
      </c>
      <c r="H4901" s="56" t="s">
        <v>1248</v>
      </c>
      <c r="I4901" s="54">
        <v>8681219110</v>
      </c>
      <c r="J4901" s="56" t="s">
        <v>2978</v>
      </c>
      <c r="K4901" s="56">
        <v>151</v>
      </c>
      <c r="L4901" s="55" t="s">
        <v>2876</v>
      </c>
      <c r="M4901" s="55" t="s">
        <v>2824</v>
      </c>
      <c r="O4901" s="55" t="s">
        <v>178</v>
      </c>
    </row>
    <row r="4902" spans="2:15">
      <c r="B4902" s="20">
        <v>45694</v>
      </c>
      <c r="C4902" s="59">
        <v>40014675</v>
      </c>
      <c r="D4902" s="55" t="s">
        <v>44</v>
      </c>
      <c r="G4902" s="65">
        <v>37.44</v>
      </c>
      <c r="H4902" s="56" t="s">
        <v>1248</v>
      </c>
      <c r="I4902" s="54">
        <v>8681219112</v>
      </c>
      <c r="J4902" s="56" t="s">
        <v>2978</v>
      </c>
      <c r="K4902" s="56">
        <v>152</v>
      </c>
      <c r="L4902" s="55" t="s">
        <v>2876</v>
      </c>
      <c r="M4902" s="55" t="s">
        <v>2824</v>
      </c>
      <c r="O4902" s="55" t="s">
        <v>178</v>
      </c>
    </row>
    <row r="4903" spans="2:15">
      <c r="B4903" s="20">
        <v>45694</v>
      </c>
      <c r="C4903" s="59">
        <v>40014675</v>
      </c>
      <c r="D4903" s="55" t="s">
        <v>44</v>
      </c>
      <c r="G4903" s="65">
        <v>37.44</v>
      </c>
      <c r="H4903" s="56" t="s">
        <v>1248</v>
      </c>
      <c r="I4903" s="54">
        <v>8681219115</v>
      </c>
      <c r="J4903" s="56" t="s">
        <v>2978</v>
      </c>
      <c r="K4903" s="56">
        <v>153</v>
      </c>
      <c r="L4903" s="55" t="s">
        <v>2876</v>
      </c>
      <c r="M4903" s="55" t="s">
        <v>2824</v>
      </c>
      <c r="O4903" s="55" t="s">
        <v>178</v>
      </c>
    </row>
    <row r="4904" spans="2:15">
      <c r="B4904" s="20">
        <v>45694</v>
      </c>
      <c r="C4904" s="59">
        <v>40014675</v>
      </c>
      <c r="D4904" s="55" t="s">
        <v>44</v>
      </c>
      <c r="G4904" s="65">
        <v>37.44</v>
      </c>
      <c r="H4904" s="56" t="s">
        <v>1248</v>
      </c>
      <c r="I4904" s="54">
        <v>8681219116</v>
      </c>
      <c r="J4904" s="56" t="s">
        <v>2978</v>
      </c>
      <c r="K4904" s="56">
        <v>154</v>
      </c>
      <c r="L4904" s="55" t="s">
        <v>2876</v>
      </c>
      <c r="M4904" s="55" t="s">
        <v>2824</v>
      </c>
      <c r="O4904" s="55" t="s">
        <v>178</v>
      </c>
    </row>
    <row r="4905" spans="2:15">
      <c r="B4905" s="20">
        <v>45695</v>
      </c>
      <c r="C4905" s="59">
        <v>50272278</v>
      </c>
      <c r="D4905" s="55" t="s">
        <v>21</v>
      </c>
      <c r="G4905" s="65">
        <v>11000</v>
      </c>
      <c r="H4905" s="56" t="s">
        <v>92</v>
      </c>
      <c r="I4905" s="54">
        <v>8680344648</v>
      </c>
      <c r="J4905" s="56" t="s">
        <v>2978</v>
      </c>
      <c r="K4905" s="56">
        <v>3124</v>
      </c>
      <c r="L4905" s="55" t="s">
        <v>2152</v>
      </c>
      <c r="M4905" s="55" t="s">
        <v>2824</v>
      </c>
      <c r="N4905" s="4" t="s">
        <v>1905</v>
      </c>
      <c r="O4905" s="55" t="s">
        <v>178</v>
      </c>
    </row>
    <row r="4906" spans="2:15">
      <c r="B4906" s="20">
        <v>45695</v>
      </c>
      <c r="C4906" s="59">
        <v>50010080</v>
      </c>
      <c r="D4906" s="55" t="s">
        <v>1657</v>
      </c>
      <c r="G4906" s="65">
        <v>4000</v>
      </c>
      <c r="H4906" s="56" t="s">
        <v>82</v>
      </c>
      <c r="I4906" s="54">
        <v>8681219068</v>
      </c>
      <c r="J4906" s="56" t="s">
        <v>2978</v>
      </c>
      <c r="K4906" s="56">
        <v>3125</v>
      </c>
      <c r="L4906" s="55" t="s">
        <v>2152</v>
      </c>
      <c r="M4906" s="55" t="s">
        <v>2824</v>
      </c>
      <c r="N4906" s="4" t="s">
        <v>1905</v>
      </c>
      <c r="O4906" s="55" t="s">
        <v>178</v>
      </c>
    </row>
    <row r="4907" spans="2:15">
      <c r="B4907" s="20">
        <v>45695</v>
      </c>
      <c r="C4907" s="59">
        <v>50328488</v>
      </c>
      <c r="D4907" s="55" t="s">
        <v>1853</v>
      </c>
      <c r="G4907" s="65">
        <v>225</v>
      </c>
      <c r="H4907" s="56" t="s">
        <v>82</v>
      </c>
      <c r="I4907" s="54">
        <v>8684345934</v>
      </c>
      <c r="J4907" s="56" t="s">
        <v>2978</v>
      </c>
      <c r="K4907" s="56">
        <v>3125</v>
      </c>
      <c r="L4907" s="55" t="s">
        <v>2152</v>
      </c>
      <c r="M4907" s="55" t="s">
        <v>2824</v>
      </c>
      <c r="N4907" s="4" t="s">
        <v>1905</v>
      </c>
      <c r="O4907" s="55" t="s">
        <v>178</v>
      </c>
    </row>
    <row r="4908" spans="2:15">
      <c r="B4908" s="20">
        <v>45695</v>
      </c>
      <c r="C4908" s="59">
        <v>40010087</v>
      </c>
      <c r="D4908" s="55" t="s">
        <v>387</v>
      </c>
      <c r="G4908" s="65">
        <v>1728</v>
      </c>
      <c r="H4908" s="56" t="s">
        <v>80</v>
      </c>
      <c r="I4908" s="54">
        <v>8681219068</v>
      </c>
      <c r="J4908" s="56" t="s">
        <v>2978</v>
      </c>
      <c r="K4908" s="56">
        <v>3125</v>
      </c>
      <c r="L4908" s="55" t="s">
        <v>2152</v>
      </c>
      <c r="M4908" s="55" t="s">
        <v>2824</v>
      </c>
      <c r="N4908" s="4" t="s">
        <v>1905</v>
      </c>
      <c r="O4908" s="55" t="s">
        <v>178</v>
      </c>
    </row>
    <row r="4909" spans="2:15">
      <c r="B4909" s="20">
        <v>45695</v>
      </c>
      <c r="C4909" s="59">
        <v>50328897</v>
      </c>
      <c r="D4909" s="55" t="s">
        <v>1850</v>
      </c>
      <c r="G4909" s="65">
        <v>66</v>
      </c>
      <c r="H4909" s="56" t="s">
        <v>82</v>
      </c>
      <c r="I4909" s="54">
        <v>8684345934</v>
      </c>
      <c r="J4909" s="56" t="s">
        <v>2978</v>
      </c>
      <c r="K4909" s="56">
        <v>3125</v>
      </c>
      <c r="L4909" s="55" t="s">
        <v>2152</v>
      </c>
      <c r="M4909" s="55" t="s">
        <v>2824</v>
      </c>
      <c r="N4909" s="4" t="s">
        <v>1905</v>
      </c>
      <c r="O4909" s="55" t="s">
        <v>178</v>
      </c>
    </row>
    <row r="4910" spans="2:15">
      <c r="B4910" s="20">
        <v>45695</v>
      </c>
      <c r="C4910" s="59">
        <v>40009151</v>
      </c>
      <c r="D4910" s="55" t="s">
        <v>180</v>
      </c>
      <c r="G4910" s="65">
        <v>450</v>
      </c>
      <c r="H4910" s="56" t="s">
        <v>80</v>
      </c>
      <c r="I4910" s="54">
        <v>8681219068</v>
      </c>
      <c r="J4910" s="56" t="s">
        <v>2978</v>
      </c>
      <c r="K4910" s="56">
        <v>3125</v>
      </c>
      <c r="L4910" s="55" t="s">
        <v>2152</v>
      </c>
      <c r="M4910" s="55" t="s">
        <v>2824</v>
      </c>
      <c r="N4910" s="4" t="s">
        <v>1905</v>
      </c>
      <c r="O4910" s="55" t="s">
        <v>178</v>
      </c>
    </row>
    <row r="4911" spans="2:15">
      <c r="B4911" s="20">
        <v>45695</v>
      </c>
      <c r="C4911" s="59">
        <v>50470190</v>
      </c>
      <c r="D4911" s="55" t="s">
        <v>12</v>
      </c>
      <c r="G4911" s="65">
        <v>2898000</v>
      </c>
      <c r="H4911" s="56" t="s">
        <v>92</v>
      </c>
      <c r="I4911" s="54">
        <v>8681219068</v>
      </c>
      <c r="J4911" s="56" t="s">
        <v>2978</v>
      </c>
      <c r="K4911" s="56">
        <v>3125</v>
      </c>
      <c r="L4911" s="55" t="s">
        <v>2152</v>
      </c>
      <c r="M4911" s="55" t="s">
        <v>2824</v>
      </c>
      <c r="N4911" s="4" t="s">
        <v>1905</v>
      </c>
      <c r="O4911" s="55" t="s">
        <v>178</v>
      </c>
    </row>
    <row r="4912" spans="2:15">
      <c r="B4912" s="20">
        <v>45695</v>
      </c>
      <c r="C4912" s="59">
        <v>40011588</v>
      </c>
      <c r="D4912" s="55" t="s">
        <v>585</v>
      </c>
      <c r="G4912" s="65">
        <v>900</v>
      </c>
      <c r="H4912" s="56" t="s">
        <v>80</v>
      </c>
      <c r="I4912" s="54">
        <v>8681219068</v>
      </c>
      <c r="J4912" s="56" t="s">
        <v>2978</v>
      </c>
      <c r="K4912" s="56">
        <v>3125</v>
      </c>
      <c r="L4912" s="55" t="s">
        <v>2152</v>
      </c>
      <c r="M4912" s="55" t="s">
        <v>2824</v>
      </c>
      <c r="N4912" s="4" t="s">
        <v>1905</v>
      </c>
      <c r="O4912" s="55" t="s">
        <v>178</v>
      </c>
    </row>
    <row r="4913" spans="2:15">
      <c r="B4913" s="20">
        <v>45695</v>
      </c>
      <c r="C4913" s="59">
        <v>50272278</v>
      </c>
      <c r="D4913" s="55" t="s">
        <v>21</v>
      </c>
      <c r="G4913" s="65">
        <v>11000</v>
      </c>
      <c r="H4913" s="56" t="s">
        <v>92</v>
      </c>
      <c r="I4913" s="54">
        <v>8680344716</v>
      </c>
      <c r="J4913" s="56" t="s">
        <v>2978</v>
      </c>
      <c r="K4913" s="56">
        <v>3126</v>
      </c>
      <c r="L4913" s="55" t="s">
        <v>2152</v>
      </c>
      <c r="M4913" s="55" t="s">
        <v>2824</v>
      </c>
      <c r="N4913" s="4" t="s">
        <v>1905</v>
      </c>
      <c r="O4913" s="55" t="s">
        <v>178</v>
      </c>
    </row>
    <row r="4914" spans="2:15">
      <c r="B4914" s="20">
        <v>45695</v>
      </c>
      <c r="C4914" s="59">
        <v>40014675</v>
      </c>
      <c r="D4914" s="55" t="s">
        <v>44</v>
      </c>
      <c r="G4914" s="65">
        <v>37.44</v>
      </c>
      <c r="H4914" s="56" t="s">
        <v>1248</v>
      </c>
      <c r="I4914" s="54">
        <v>8681219118</v>
      </c>
      <c r="J4914" s="56" t="s">
        <v>2978</v>
      </c>
      <c r="K4914" s="56">
        <v>155</v>
      </c>
      <c r="L4914" s="55" t="s">
        <v>2876</v>
      </c>
      <c r="M4914" s="55" t="s">
        <v>2824</v>
      </c>
      <c r="O4914" s="55" t="s">
        <v>178</v>
      </c>
    </row>
    <row r="4915" spans="2:15">
      <c r="B4915" s="20">
        <v>45695</v>
      </c>
      <c r="C4915" s="59">
        <v>40014675</v>
      </c>
      <c r="D4915" s="55" t="s">
        <v>44</v>
      </c>
      <c r="G4915" s="65">
        <v>37.44</v>
      </c>
      <c r="H4915" s="56" t="s">
        <v>1248</v>
      </c>
      <c r="I4915" s="54">
        <v>8681219120</v>
      </c>
      <c r="J4915" s="56" t="s">
        <v>2978</v>
      </c>
      <c r="K4915" s="56">
        <v>156</v>
      </c>
      <c r="L4915" s="55" t="s">
        <v>2876</v>
      </c>
      <c r="M4915" s="55" t="s">
        <v>2824</v>
      </c>
      <c r="O4915" s="55" t="s">
        <v>178</v>
      </c>
    </row>
    <row r="4916" spans="2:15">
      <c r="B4916" s="20">
        <v>45695</v>
      </c>
      <c r="C4916" s="59">
        <v>40014675</v>
      </c>
      <c r="D4916" s="55" t="s">
        <v>44</v>
      </c>
      <c r="G4916" s="65">
        <v>37.44</v>
      </c>
      <c r="H4916" s="56" t="s">
        <v>1248</v>
      </c>
      <c r="I4916" s="54">
        <v>8681219122</v>
      </c>
      <c r="J4916" s="56" t="s">
        <v>2978</v>
      </c>
      <c r="K4916" s="56">
        <v>157</v>
      </c>
      <c r="L4916" s="55" t="s">
        <v>2876</v>
      </c>
      <c r="M4916" s="55" t="s">
        <v>2824</v>
      </c>
      <c r="O4916" s="55" t="s">
        <v>178</v>
      </c>
    </row>
    <row r="4917" spans="2:15">
      <c r="B4917" s="20">
        <v>45695</v>
      </c>
      <c r="C4917" s="59">
        <v>40014675</v>
      </c>
      <c r="D4917" s="55" t="s">
        <v>44</v>
      </c>
      <c r="G4917" s="65">
        <v>37.44</v>
      </c>
      <c r="H4917" s="56" t="s">
        <v>1248</v>
      </c>
      <c r="I4917" s="54">
        <v>8682629096</v>
      </c>
      <c r="J4917" s="56" t="s">
        <v>2978</v>
      </c>
      <c r="K4917" s="56">
        <v>158</v>
      </c>
      <c r="L4917" s="55" t="s">
        <v>2876</v>
      </c>
      <c r="M4917" s="55" t="s">
        <v>2824</v>
      </c>
      <c r="O4917" s="55" t="s">
        <v>178</v>
      </c>
    </row>
    <row r="4918" spans="2:15">
      <c r="B4918" s="20">
        <v>45695</v>
      </c>
      <c r="C4918" s="59">
        <v>40014675</v>
      </c>
      <c r="D4918" s="55" t="s">
        <v>44</v>
      </c>
      <c r="G4918" s="65">
        <v>37.44</v>
      </c>
      <c r="H4918" s="56" t="s">
        <v>1248</v>
      </c>
      <c r="I4918" s="54">
        <v>8682629097</v>
      </c>
      <c r="J4918" s="56" t="s">
        <v>2978</v>
      </c>
      <c r="K4918" s="56">
        <v>159</v>
      </c>
      <c r="L4918" s="55" t="s">
        <v>2876</v>
      </c>
      <c r="M4918" s="55" t="s">
        <v>2824</v>
      </c>
      <c r="O4918" s="55" t="s">
        <v>178</v>
      </c>
    </row>
    <row r="4919" spans="2:15">
      <c r="B4919" s="20">
        <v>45695</v>
      </c>
      <c r="C4919" s="59">
        <v>40014675</v>
      </c>
      <c r="D4919" s="55" t="s">
        <v>44</v>
      </c>
      <c r="G4919" s="65">
        <v>37.44</v>
      </c>
      <c r="H4919" s="56" t="s">
        <v>1248</v>
      </c>
      <c r="I4919" s="54">
        <v>8682629100</v>
      </c>
      <c r="J4919" s="56" t="s">
        <v>2978</v>
      </c>
      <c r="K4919" s="56">
        <v>160</v>
      </c>
      <c r="L4919" s="55" t="s">
        <v>2876</v>
      </c>
      <c r="M4919" s="55" t="s">
        <v>2824</v>
      </c>
      <c r="O4919" s="55" t="s">
        <v>178</v>
      </c>
    </row>
    <row r="4920" spans="2:15">
      <c r="B4920" s="20">
        <v>45696</v>
      </c>
      <c r="C4920" s="59">
        <v>50804929</v>
      </c>
      <c r="D4920" s="55" t="s">
        <v>856</v>
      </c>
      <c r="G4920" s="65">
        <v>1440000</v>
      </c>
      <c r="H4920" s="56" t="s">
        <v>92</v>
      </c>
      <c r="I4920" s="54">
        <v>8681219072</v>
      </c>
      <c r="J4920" s="56" t="s">
        <v>2978</v>
      </c>
      <c r="K4920" s="56">
        <v>3127</v>
      </c>
      <c r="L4920" s="55" t="s">
        <v>2152</v>
      </c>
      <c r="M4920" s="55" t="s">
        <v>2824</v>
      </c>
      <c r="N4920" s="4" t="s">
        <v>1905</v>
      </c>
      <c r="O4920" s="55" t="s">
        <v>178</v>
      </c>
    </row>
    <row r="4921" spans="2:15">
      <c r="B4921" s="20">
        <v>45696</v>
      </c>
      <c r="C4921" s="59">
        <v>50144200</v>
      </c>
      <c r="D4921" s="55" t="s">
        <v>184</v>
      </c>
      <c r="G4921" s="65">
        <v>4224000</v>
      </c>
      <c r="H4921" s="56" t="s">
        <v>92</v>
      </c>
      <c r="I4921" s="54">
        <v>8681219072</v>
      </c>
      <c r="J4921" s="56" t="s">
        <v>2978</v>
      </c>
      <c r="K4921" s="56">
        <v>3127</v>
      </c>
      <c r="L4921" s="55" t="s">
        <v>2152</v>
      </c>
      <c r="M4921" s="55" t="s">
        <v>2824</v>
      </c>
      <c r="N4921" s="4" t="s">
        <v>1905</v>
      </c>
      <c r="O4921" s="55" t="s">
        <v>178</v>
      </c>
    </row>
    <row r="4922" spans="2:15">
      <c r="B4922" s="20">
        <v>45696</v>
      </c>
      <c r="C4922" s="59">
        <v>50809353</v>
      </c>
      <c r="D4922" s="55" t="s">
        <v>905</v>
      </c>
      <c r="G4922" s="65">
        <v>6000</v>
      </c>
      <c r="H4922" s="56" t="s">
        <v>82</v>
      </c>
      <c r="I4922" s="54">
        <v>8681219098</v>
      </c>
      <c r="J4922" s="56" t="s">
        <v>2978</v>
      </c>
      <c r="K4922" s="56">
        <v>3128</v>
      </c>
      <c r="L4922" s="55" t="s">
        <v>2152</v>
      </c>
      <c r="M4922" s="55" t="s">
        <v>2824</v>
      </c>
      <c r="N4922" s="4" t="s">
        <v>1905</v>
      </c>
      <c r="O4922" s="55" t="s">
        <v>178</v>
      </c>
    </row>
    <row r="4923" spans="2:15">
      <c r="B4923" s="20">
        <v>45696</v>
      </c>
      <c r="C4923" s="59">
        <v>50142424</v>
      </c>
      <c r="D4923" s="55" t="s">
        <v>33</v>
      </c>
      <c r="G4923" s="65">
        <v>2000</v>
      </c>
      <c r="H4923" s="56" t="s">
        <v>82</v>
      </c>
      <c r="I4923" s="54">
        <v>8681219098</v>
      </c>
      <c r="J4923" s="56" t="s">
        <v>2978</v>
      </c>
      <c r="K4923" s="56">
        <v>3128</v>
      </c>
      <c r="L4923" s="55" t="s">
        <v>2152</v>
      </c>
      <c r="M4923" s="55" t="s">
        <v>2824</v>
      </c>
      <c r="N4923" s="4" t="s">
        <v>1905</v>
      </c>
      <c r="O4923" s="55" t="s">
        <v>178</v>
      </c>
    </row>
    <row r="4924" spans="2:15">
      <c r="B4924" s="20">
        <v>45696</v>
      </c>
      <c r="C4924" s="59">
        <v>50142328</v>
      </c>
      <c r="D4924" s="55" t="s">
        <v>1591</v>
      </c>
      <c r="G4924" s="65">
        <v>2000</v>
      </c>
      <c r="H4924" s="56" t="s">
        <v>82</v>
      </c>
      <c r="I4924" s="54">
        <v>8681219098</v>
      </c>
      <c r="J4924" s="56" t="s">
        <v>2978</v>
      </c>
      <c r="K4924" s="56">
        <v>3128</v>
      </c>
      <c r="L4924" s="55" t="s">
        <v>2152</v>
      </c>
      <c r="M4924" s="55" t="s">
        <v>2824</v>
      </c>
      <c r="N4924" s="4" t="s">
        <v>1905</v>
      </c>
      <c r="O4924" s="55" t="s">
        <v>178</v>
      </c>
    </row>
    <row r="4925" spans="2:15">
      <c r="B4925" s="20">
        <v>45696</v>
      </c>
      <c r="C4925" s="59">
        <v>50142551</v>
      </c>
      <c r="D4925" s="55" t="s">
        <v>215</v>
      </c>
      <c r="G4925" s="65">
        <v>130</v>
      </c>
      <c r="H4925" s="56" t="s">
        <v>92</v>
      </c>
      <c r="I4925" s="54">
        <v>8681219098</v>
      </c>
      <c r="J4925" s="56" t="s">
        <v>2978</v>
      </c>
      <c r="K4925" s="56">
        <v>3128</v>
      </c>
      <c r="L4925" s="55" t="s">
        <v>2152</v>
      </c>
      <c r="M4925" s="55" t="s">
        <v>2824</v>
      </c>
      <c r="N4925" s="4" t="s">
        <v>1905</v>
      </c>
      <c r="O4925" s="55" t="s">
        <v>178</v>
      </c>
    </row>
    <row r="4926" spans="2:15">
      <c r="B4926" s="20">
        <v>45696</v>
      </c>
      <c r="C4926" s="59">
        <v>50470190</v>
      </c>
      <c r="D4926" s="55" t="s">
        <v>12</v>
      </c>
      <c r="G4926" s="65">
        <v>2028600</v>
      </c>
      <c r="H4926" s="56" t="s">
        <v>92</v>
      </c>
      <c r="I4926" s="54">
        <v>8681219098</v>
      </c>
      <c r="J4926" s="56" t="s">
        <v>2978</v>
      </c>
      <c r="K4926" s="56">
        <v>3128</v>
      </c>
      <c r="L4926" s="55" t="s">
        <v>2152</v>
      </c>
      <c r="M4926" s="55" t="s">
        <v>2824</v>
      </c>
      <c r="N4926" s="4" t="s">
        <v>1905</v>
      </c>
      <c r="O4926" s="55" t="s">
        <v>178</v>
      </c>
    </row>
    <row r="4927" spans="2:15">
      <c r="B4927" s="20">
        <v>45696</v>
      </c>
      <c r="C4927" s="59">
        <v>40014675</v>
      </c>
      <c r="D4927" s="55" t="s">
        <v>44</v>
      </c>
      <c r="G4927" s="65">
        <v>37.44</v>
      </c>
      <c r="H4927" s="56" t="s">
        <v>1248</v>
      </c>
      <c r="I4927" s="54">
        <v>8682629121</v>
      </c>
      <c r="J4927" s="56" t="s">
        <v>2978</v>
      </c>
      <c r="K4927" s="56">
        <v>161</v>
      </c>
      <c r="L4927" s="55" t="s">
        <v>2876</v>
      </c>
      <c r="M4927" s="55" t="s">
        <v>2824</v>
      </c>
      <c r="O4927" s="55" t="s">
        <v>178</v>
      </c>
    </row>
    <row r="4928" spans="2:15">
      <c r="B4928" s="20">
        <v>45696</v>
      </c>
      <c r="C4928" s="59">
        <v>40014675</v>
      </c>
      <c r="D4928" s="55" t="s">
        <v>44</v>
      </c>
      <c r="G4928" s="65">
        <v>37.44</v>
      </c>
      <c r="H4928" s="56" t="s">
        <v>1248</v>
      </c>
      <c r="I4928" s="54">
        <v>8682629139</v>
      </c>
      <c r="J4928" s="56" t="s">
        <v>2978</v>
      </c>
      <c r="K4928" s="56">
        <v>162</v>
      </c>
      <c r="L4928" s="55" t="s">
        <v>2876</v>
      </c>
      <c r="M4928" s="55" t="s">
        <v>2824</v>
      </c>
      <c r="O4928" s="55" t="s">
        <v>178</v>
      </c>
    </row>
    <row r="4929" spans="2:15">
      <c r="B4929" s="20">
        <v>45696</v>
      </c>
      <c r="C4929" s="59">
        <v>40014675</v>
      </c>
      <c r="D4929" s="55" t="s">
        <v>44</v>
      </c>
      <c r="G4929" s="65">
        <v>37.44</v>
      </c>
      <c r="H4929" s="56" t="s">
        <v>1248</v>
      </c>
      <c r="I4929" s="54">
        <v>8682629144</v>
      </c>
      <c r="J4929" s="56" t="s">
        <v>2978</v>
      </c>
      <c r="K4929" s="56">
        <v>163</v>
      </c>
      <c r="L4929" s="55" t="s">
        <v>2876</v>
      </c>
      <c r="M4929" s="55" t="s">
        <v>2824</v>
      </c>
      <c r="O4929" s="55" t="s">
        <v>178</v>
      </c>
    </row>
    <row r="4930" spans="2:15">
      <c r="B4930" s="20">
        <v>45696</v>
      </c>
      <c r="C4930" s="59">
        <v>40014675</v>
      </c>
      <c r="D4930" s="55" t="s">
        <v>44</v>
      </c>
      <c r="G4930" s="65">
        <v>37.44</v>
      </c>
      <c r="H4930" s="56" t="s">
        <v>1248</v>
      </c>
      <c r="I4930" s="54">
        <v>8682629145</v>
      </c>
      <c r="J4930" s="56" t="s">
        <v>2978</v>
      </c>
      <c r="K4930" s="56">
        <v>164</v>
      </c>
      <c r="L4930" s="55" t="s">
        <v>2876</v>
      </c>
      <c r="M4930" s="55" t="s">
        <v>2824</v>
      </c>
      <c r="O4930" s="55" t="s">
        <v>178</v>
      </c>
    </row>
    <row r="4931" spans="2:15">
      <c r="B4931" s="20">
        <v>45696</v>
      </c>
      <c r="C4931" s="59">
        <v>40014675</v>
      </c>
      <c r="D4931" s="55" t="s">
        <v>44</v>
      </c>
      <c r="G4931" s="65">
        <v>37.44</v>
      </c>
      <c r="H4931" s="56" t="s">
        <v>1248</v>
      </c>
      <c r="I4931" s="54">
        <v>8682629150</v>
      </c>
      <c r="J4931" s="56" t="s">
        <v>2978</v>
      </c>
      <c r="K4931" s="56">
        <v>165</v>
      </c>
      <c r="L4931" s="55" t="s">
        <v>2876</v>
      </c>
      <c r="M4931" s="55" t="s">
        <v>2824</v>
      </c>
      <c r="O4931" s="55" t="s">
        <v>178</v>
      </c>
    </row>
    <row r="4932" spans="2:15">
      <c r="B4932" s="20">
        <v>45696</v>
      </c>
      <c r="C4932" s="59">
        <v>40014675</v>
      </c>
      <c r="D4932" s="55" t="s">
        <v>44</v>
      </c>
      <c r="G4932" s="65">
        <v>37.44</v>
      </c>
      <c r="H4932" s="56" t="s">
        <v>1248</v>
      </c>
      <c r="I4932" s="54">
        <v>8682629152</v>
      </c>
      <c r="J4932" s="56" t="s">
        <v>2978</v>
      </c>
      <c r="K4932" s="56">
        <v>166</v>
      </c>
      <c r="L4932" s="55" t="s">
        <v>2876</v>
      </c>
      <c r="M4932" s="55" t="s">
        <v>2824</v>
      </c>
      <c r="O4932" s="55" t="s">
        <v>178</v>
      </c>
    </row>
    <row r="4933" spans="2:15">
      <c r="B4933" s="20">
        <v>45696</v>
      </c>
      <c r="C4933" s="59">
        <v>40014675</v>
      </c>
      <c r="D4933" s="55" t="s">
        <v>44</v>
      </c>
      <c r="G4933" s="65">
        <v>37.44</v>
      </c>
      <c r="H4933" s="56" t="s">
        <v>1248</v>
      </c>
      <c r="I4933" s="54">
        <v>8682629165</v>
      </c>
      <c r="J4933" s="56" t="s">
        <v>2978</v>
      </c>
      <c r="K4933" s="56">
        <v>167</v>
      </c>
      <c r="L4933" s="55" t="s">
        <v>2876</v>
      </c>
      <c r="M4933" s="55" t="s">
        <v>2824</v>
      </c>
      <c r="O4933" s="55" t="s">
        <v>178</v>
      </c>
    </row>
    <row r="4934" spans="2:15">
      <c r="B4934" s="20">
        <v>45697</v>
      </c>
      <c r="C4934" s="59">
        <v>40014675</v>
      </c>
      <c r="D4934" s="55" t="s">
        <v>44</v>
      </c>
      <c r="G4934" s="65">
        <v>37.44</v>
      </c>
      <c r="H4934" s="56" t="s">
        <v>1248</v>
      </c>
      <c r="I4934" s="54">
        <v>8682629167</v>
      </c>
      <c r="J4934" s="56" t="s">
        <v>2978</v>
      </c>
      <c r="K4934" s="56">
        <v>168</v>
      </c>
      <c r="L4934" s="55" t="s">
        <v>2876</v>
      </c>
      <c r="M4934" s="55" t="s">
        <v>2824</v>
      </c>
      <c r="O4934" s="55" t="s">
        <v>178</v>
      </c>
    </row>
    <row r="4935" spans="2:15">
      <c r="B4935" s="20">
        <v>45697</v>
      </c>
      <c r="C4935" s="59">
        <v>40014675</v>
      </c>
      <c r="D4935" s="55" t="s">
        <v>44</v>
      </c>
      <c r="G4935" s="65">
        <v>37.44</v>
      </c>
      <c r="H4935" s="56" t="s">
        <v>1248</v>
      </c>
      <c r="I4935" s="54">
        <v>8682629168</v>
      </c>
      <c r="J4935" s="56" t="s">
        <v>2978</v>
      </c>
      <c r="K4935" s="56">
        <v>169</v>
      </c>
      <c r="L4935" s="55" t="s">
        <v>2876</v>
      </c>
      <c r="M4935" s="55" t="s">
        <v>2824</v>
      </c>
      <c r="O4935" s="55" t="s">
        <v>178</v>
      </c>
    </row>
    <row r="4936" spans="2:15">
      <c r="B4936" s="20">
        <v>45697</v>
      </c>
      <c r="C4936" s="59">
        <v>40014675</v>
      </c>
      <c r="D4936" s="55" t="s">
        <v>44</v>
      </c>
      <c r="G4936" s="65">
        <v>37.44</v>
      </c>
      <c r="H4936" s="56" t="s">
        <v>1248</v>
      </c>
      <c r="I4936" s="54">
        <v>8682629171</v>
      </c>
      <c r="J4936" s="56" t="s">
        <v>2978</v>
      </c>
      <c r="K4936" s="56">
        <v>170</v>
      </c>
      <c r="L4936" s="55" t="s">
        <v>2876</v>
      </c>
      <c r="M4936" s="55" t="s">
        <v>2824</v>
      </c>
      <c r="O4936" s="55" t="s">
        <v>178</v>
      </c>
    </row>
    <row r="4937" spans="2:15">
      <c r="B4937" s="20">
        <v>45697</v>
      </c>
      <c r="C4937" s="59">
        <v>40014675</v>
      </c>
      <c r="D4937" s="55" t="s">
        <v>44</v>
      </c>
      <c r="G4937" s="65">
        <v>37.44</v>
      </c>
      <c r="H4937" s="56" t="s">
        <v>1248</v>
      </c>
      <c r="I4937" s="54">
        <v>8682629172</v>
      </c>
      <c r="J4937" s="56" t="s">
        <v>2978</v>
      </c>
      <c r="K4937" s="56">
        <v>171</v>
      </c>
      <c r="L4937" s="55" t="s">
        <v>2876</v>
      </c>
      <c r="M4937" s="55" t="s">
        <v>2824</v>
      </c>
      <c r="O4937" s="55" t="s">
        <v>178</v>
      </c>
    </row>
    <row r="4938" spans="2:15">
      <c r="B4938" s="20">
        <v>45697</v>
      </c>
      <c r="C4938" s="59">
        <v>40014675</v>
      </c>
      <c r="D4938" s="55" t="s">
        <v>44</v>
      </c>
      <c r="G4938" s="65">
        <v>37.44</v>
      </c>
      <c r="H4938" s="56" t="s">
        <v>1248</v>
      </c>
      <c r="I4938" s="54">
        <v>8682629305</v>
      </c>
      <c r="J4938" s="56" t="s">
        <v>2978</v>
      </c>
      <c r="K4938" s="56">
        <v>172</v>
      </c>
      <c r="L4938" s="55" t="s">
        <v>2876</v>
      </c>
      <c r="M4938" s="55" t="s">
        <v>2824</v>
      </c>
      <c r="O4938" s="55" t="s">
        <v>178</v>
      </c>
    </row>
    <row r="4939" spans="2:15">
      <c r="B4939" s="20">
        <v>45697</v>
      </c>
      <c r="C4939" s="59">
        <v>40014675</v>
      </c>
      <c r="D4939" s="55" t="s">
        <v>44</v>
      </c>
      <c r="G4939" s="65">
        <v>37.44</v>
      </c>
      <c r="H4939" s="56" t="s">
        <v>1248</v>
      </c>
      <c r="I4939" s="54">
        <v>8682629309</v>
      </c>
      <c r="J4939" s="56" t="s">
        <v>2978</v>
      </c>
      <c r="K4939" s="56">
        <v>173</v>
      </c>
      <c r="L4939" s="55" t="s">
        <v>2876</v>
      </c>
      <c r="M4939" s="55" t="s">
        <v>2824</v>
      </c>
      <c r="O4939" s="55" t="s">
        <v>178</v>
      </c>
    </row>
    <row r="4940" spans="2:15">
      <c r="B4940" s="20">
        <v>45698</v>
      </c>
      <c r="C4940" s="59">
        <v>50142631</v>
      </c>
      <c r="D4940" s="55" t="s">
        <v>566</v>
      </c>
      <c r="G4940" s="65">
        <v>1000</v>
      </c>
      <c r="H4940" s="56" t="s">
        <v>82</v>
      </c>
      <c r="I4940" s="54">
        <v>8681236311</v>
      </c>
      <c r="J4940" s="56" t="s">
        <v>2978</v>
      </c>
      <c r="K4940" s="56">
        <v>3129</v>
      </c>
      <c r="L4940" s="55" t="s">
        <v>2152</v>
      </c>
      <c r="M4940" s="55" t="s">
        <v>2824</v>
      </c>
      <c r="N4940" s="4" t="s">
        <v>1905</v>
      </c>
      <c r="O4940" s="55" t="s">
        <v>178</v>
      </c>
    </row>
    <row r="4941" spans="2:15">
      <c r="B4941" s="20">
        <v>45698</v>
      </c>
      <c r="C4941" s="59">
        <v>50840366</v>
      </c>
      <c r="D4941" s="55" t="s">
        <v>1920</v>
      </c>
      <c r="G4941" s="65">
        <v>2023.25</v>
      </c>
      <c r="H4941" s="56" t="s">
        <v>82</v>
      </c>
      <c r="I4941" s="54">
        <v>8683570773</v>
      </c>
      <c r="J4941" s="56" t="s">
        <v>2978</v>
      </c>
      <c r="K4941" s="56">
        <v>3129</v>
      </c>
      <c r="L4941" s="55" t="s">
        <v>2152</v>
      </c>
      <c r="M4941" s="55" t="s">
        <v>2824</v>
      </c>
      <c r="N4941" s="4" t="s">
        <v>1905</v>
      </c>
      <c r="O4941" s="55" t="s">
        <v>178</v>
      </c>
    </row>
    <row r="4942" spans="2:15">
      <c r="B4942" s="20">
        <v>45698</v>
      </c>
      <c r="C4942" s="59">
        <v>50837239</v>
      </c>
      <c r="D4942" s="55" t="s">
        <v>27</v>
      </c>
      <c r="G4942" s="65">
        <v>4322.75</v>
      </c>
      <c r="H4942" s="56" t="s">
        <v>82</v>
      </c>
      <c r="I4942" s="54">
        <v>8681236311</v>
      </c>
      <c r="J4942" s="56" t="s">
        <v>2978</v>
      </c>
      <c r="K4942" s="56">
        <v>3129</v>
      </c>
      <c r="L4942" s="55" t="s">
        <v>2152</v>
      </c>
      <c r="M4942" s="55" t="s">
        <v>2824</v>
      </c>
      <c r="N4942" s="4" t="s">
        <v>1905</v>
      </c>
      <c r="O4942" s="55" t="s">
        <v>178</v>
      </c>
    </row>
    <row r="4943" spans="2:15">
      <c r="B4943" s="20">
        <v>45698</v>
      </c>
      <c r="C4943" s="59">
        <v>50837633</v>
      </c>
      <c r="D4943" s="55" t="s">
        <v>1901</v>
      </c>
      <c r="G4943" s="65">
        <v>1470000</v>
      </c>
      <c r="H4943" s="56" t="s">
        <v>962</v>
      </c>
      <c r="I4943" s="54">
        <v>8681236311</v>
      </c>
      <c r="J4943" s="56" t="s">
        <v>2978</v>
      </c>
      <c r="K4943" s="56">
        <v>3129</v>
      </c>
      <c r="L4943" s="55" t="s">
        <v>2152</v>
      </c>
      <c r="M4943" s="55" t="s">
        <v>2824</v>
      </c>
      <c r="N4943" s="4" t="s">
        <v>1905</v>
      </c>
      <c r="O4943" s="55" t="s">
        <v>178</v>
      </c>
    </row>
    <row r="4944" spans="2:15">
      <c r="B4944" s="20">
        <v>45698</v>
      </c>
      <c r="C4944" s="59">
        <v>50837632</v>
      </c>
      <c r="D4944" s="55" t="s">
        <v>1897</v>
      </c>
      <c r="G4944" s="65">
        <v>2184000</v>
      </c>
      <c r="H4944" s="56" t="s">
        <v>962</v>
      </c>
      <c r="I4944" s="54">
        <v>8681236311</v>
      </c>
      <c r="J4944" s="56" t="s">
        <v>2978</v>
      </c>
      <c r="K4944" s="56">
        <v>3129</v>
      </c>
      <c r="L4944" s="55" t="s">
        <v>2152</v>
      </c>
      <c r="M4944" s="55" t="s">
        <v>2824</v>
      </c>
      <c r="N4944" s="4" t="s">
        <v>1905</v>
      </c>
      <c r="O4944" s="55" t="s">
        <v>178</v>
      </c>
    </row>
    <row r="4945" spans="2:15">
      <c r="B4945" s="20">
        <v>45698</v>
      </c>
      <c r="C4945" s="59">
        <v>50821479</v>
      </c>
      <c r="D4945" s="55" t="s">
        <v>1199</v>
      </c>
      <c r="G4945" s="65">
        <v>1280000</v>
      </c>
      <c r="H4945" s="56" t="s">
        <v>92</v>
      </c>
      <c r="I4945" s="54">
        <v>8681236311</v>
      </c>
      <c r="J4945" s="56" t="s">
        <v>2978</v>
      </c>
      <c r="K4945" s="56">
        <v>3129</v>
      </c>
      <c r="L4945" s="55" t="s">
        <v>2152</v>
      </c>
      <c r="M4945" s="55" t="s">
        <v>2824</v>
      </c>
      <c r="N4945" s="4" t="s">
        <v>1905</v>
      </c>
      <c r="O4945" s="55" t="s">
        <v>178</v>
      </c>
    </row>
    <row r="4946" spans="2:15">
      <c r="B4946" s="20">
        <v>45698</v>
      </c>
      <c r="C4946" s="59">
        <v>50144376</v>
      </c>
      <c r="D4946" s="55" t="s">
        <v>19</v>
      </c>
      <c r="G4946" s="65">
        <v>4000</v>
      </c>
      <c r="H4946" s="56" t="s">
        <v>92</v>
      </c>
      <c r="I4946" s="54">
        <v>8681236459</v>
      </c>
      <c r="J4946" s="56" t="s">
        <v>2978</v>
      </c>
      <c r="K4946" s="56">
        <v>3130</v>
      </c>
      <c r="L4946" s="55" t="s">
        <v>2152</v>
      </c>
      <c r="M4946" s="55" t="s">
        <v>2824</v>
      </c>
      <c r="N4946" s="4" t="s">
        <v>1905</v>
      </c>
      <c r="O4946" s="55" t="s">
        <v>178</v>
      </c>
    </row>
    <row r="4947" spans="2:15">
      <c r="B4947" s="20">
        <v>45698</v>
      </c>
      <c r="C4947" s="59">
        <v>50272278</v>
      </c>
      <c r="D4947" s="55" t="s">
        <v>21</v>
      </c>
      <c r="G4947" s="65">
        <v>7000</v>
      </c>
      <c r="H4947" s="56" t="s">
        <v>92</v>
      </c>
      <c r="I4947" s="54">
        <v>8681236459</v>
      </c>
      <c r="J4947" s="56" t="s">
        <v>2978</v>
      </c>
      <c r="K4947" s="56">
        <v>3130</v>
      </c>
      <c r="L4947" s="55" t="s">
        <v>2152</v>
      </c>
      <c r="M4947" s="55" t="s">
        <v>2824</v>
      </c>
      <c r="N4947" s="4" t="s">
        <v>1905</v>
      </c>
      <c r="O4947" s="55" t="s">
        <v>178</v>
      </c>
    </row>
    <row r="4948" spans="2:15">
      <c r="B4948" s="20">
        <v>45699</v>
      </c>
      <c r="C4948" s="59">
        <v>50824293</v>
      </c>
      <c r="D4948" s="55" t="s">
        <v>861</v>
      </c>
      <c r="G4948" s="65">
        <v>1384000</v>
      </c>
      <c r="H4948" s="56" t="s">
        <v>92</v>
      </c>
      <c r="I4948" s="54">
        <v>8681674716</v>
      </c>
      <c r="J4948" s="56" t="s">
        <v>2978</v>
      </c>
      <c r="K4948" s="56">
        <v>3131</v>
      </c>
      <c r="L4948" s="55" t="s">
        <v>2152</v>
      </c>
      <c r="M4948" s="55" t="s">
        <v>2824</v>
      </c>
      <c r="N4948" s="4" t="s">
        <v>1905</v>
      </c>
      <c r="O4948" s="55" t="s">
        <v>178</v>
      </c>
    </row>
    <row r="4949" spans="2:15">
      <c r="B4949" s="20">
        <v>45699</v>
      </c>
      <c r="C4949" s="59">
        <v>40007938</v>
      </c>
      <c r="D4949" s="55" t="s">
        <v>202</v>
      </c>
      <c r="G4949" s="65">
        <v>3190</v>
      </c>
      <c r="H4949" s="56" t="s">
        <v>80</v>
      </c>
      <c r="I4949" s="54" t="s">
        <v>2874</v>
      </c>
      <c r="J4949" s="56" t="s">
        <v>2978</v>
      </c>
      <c r="K4949" s="56">
        <v>3131</v>
      </c>
      <c r="L4949" s="55" t="s">
        <v>2152</v>
      </c>
      <c r="M4949" s="55" t="s">
        <v>2824</v>
      </c>
      <c r="N4949" s="4" t="s">
        <v>1905</v>
      </c>
      <c r="O4949" s="55" t="s">
        <v>178</v>
      </c>
    </row>
    <row r="4950" spans="2:15">
      <c r="B4950" s="20">
        <v>45699</v>
      </c>
      <c r="C4950" s="59">
        <v>40011148</v>
      </c>
      <c r="D4950" s="55" t="s">
        <v>86</v>
      </c>
      <c r="G4950" s="65">
        <v>900</v>
      </c>
      <c r="H4950" s="56" t="s">
        <v>80</v>
      </c>
      <c r="I4950" s="54">
        <v>8681674716</v>
      </c>
      <c r="J4950" s="56" t="s">
        <v>2978</v>
      </c>
      <c r="K4950" s="56">
        <v>3131</v>
      </c>
      <c r="L4950" s="55" t="s">
        <v>2152</v>
      </c>
      <c r="M4950" s="55" t="s">
        <v>2824</v>
      </c>
      <c r="N4950" s="4" t="s">
        <v>1905</v>
      </c>
      <c r="O4950" s="55" t="s">
        <v>178</v>
      </c>
    </row>
    <row r="4951" spans="2:15">
      <c r="B4951" s="20">
        <v>45699</v>
      </c>
      <c r="C4951" s="59">
        <v>40009151</v>
      </c>
      <c r="D4951" s="55" t="s">
        <v>180</v>
      </c>
      <c r="G4951" s="65">
        <v>1350</v>
      </c>
      <c r="H4951" s="56" t="s">
        <v>80</v>
      </c>
      <c r="I4951" s="54">
        <v>8681674716</v>
      </c>
      <c r="J4951" s="56" t="s">
        <v>2978</v>
      </c>
      <c r="K4951" s="56">
        <v>3131</v>
      </c>
      <c r="L4951" s="55" t="s">
        <v>2152</v>
      </c>
      <c r="M4951" s="55" t="s">
        <v>2824</v>
      </c>
      <c r="N4951" s="4" t="s">
        <v>1905</v>
      </c>
      <c r="O4951" s="55" t="s">
        <v>178</v>
      </c>
    </row>
    <row r="4952" spans="2:15">
      <c r="B4952" s="20">
        <v>45699</v>
      </c>
      <c r="C4952" s="59">
        <v>50470190</v>
      </c>
      <c r="D4952" s="55" t="s">
        <v>12</v>
      </c>
      <c r="G4952" s="65">
        <v>2608200</v>
      </c>
      <c r="H4952" s="56" t="s">
        <v>92</v>
      </c>
      <c r="I4952" s="54">
        <v>8681674716</v>
      </c>
      <c r="J4952" s="56" t="s">
        <v>2978</v>
      </c>
      <c r="K4952" s="56">
        <v>3131</v>
      </c>
      <c r="L4952" s="55" t="s">
        <v>2152</v>
      </c>
      <c r="M4952" s="55" t="s">
        <v>2824</v>
      </c>
      <c r="N4952" s="4" t="s">
        <v>1905</v>
      </c>
      <c r="O4952" s="55" t="s">
        <v>178</v>
      </c>
    </row>
    <row r="4953" spans="2:15">
      <c r="B4953" s="20">
        <v>45699</v>
      </c>
      <c r="C4953" s="59">
        <v>50802401</v>
      </c>
      <c r="D4953" s="55" t="s">
        <v>13</v>
      </c>
      <c r="G4953" s="65">
        <v>1159200</v>
      </c>
      <c r="H4953" s="56" t="s">
        <v>92</v>
      </c>
      <c r="I4953" s="54">
        <v>8681674716</v>
      </c>
      <c r="J4953" s="56" t="s">
        <v>2978</v>
      </c>
      <c r="K4953" s="56">
        <v>3131</v>
      </c>
      <c r="L4953" s="55" t="s">
        <v>2152</v>
      </c>
      <c r="M4953" s="55" t="s">
        <v>2824</v>
      </c>
      <c r="N4953" s="4" t="s">
        <v>1905</v>
      </c>
      <c r="O4953" s="55" t="s">
        <v>178</v>
      </c>
    </row>
    <row r="4954" spans="2:15">
      <c r="B4954" s="20">
        <v>45699</v>
      </c>
      <c r="C4954" s="59">
        <v>40014675</v>
      </c>
      <c r="D4954" s="55" t="s">
        <v>44</v>
      </c>
      <c r="G4954" s="65">
        <v>37.44</v>
      </c>
      <c r="H4954" s="56" t="s">
        <v>1248</v>
      </c>
      <c r="I4954" s="54">
        <v>8682629382</v>
      </c>
      <c r="J4954" s="56" t="s">
        <v>2978</v>
      </c>
      <c r="K4954" s="56">
        <v>174</v>
      </c>
      <c r="L4954" s="55" t="s">
        <v>2876</v>
      </c>
      <c r="M4954" s="55" t="s">
        <v>2824</v>
      </c>
      <c r="O4954" s="55" t="s">
        <v>178</v>
      </c>
    </row>
    <row r="4955" spans="2:15">
      <c r="B4955" s="20">
        <v>45699</v>
      </c>
      <c r="C4955" s="59">
        <v>40014675</v>
      </c>
      <c r="D4955" s="55" t="s">
        <v>44</v>
      </c>
      <c r="G4955" s="65">
        <v>37.44</v>
      </c>
      <c r="H4955" s="56" t="s">
        <v>1248</v>
      </c>
      <c r="I4955" s="54">
        <v>8682629434</v>
      </c>
      <c r="J4955" s="56" t="s">
        <v>2978</v>
      </c>
      <c r="K4955" s="56">
        <v>175</v>
      </c>
      <c r="L4955" s="55" t="s">
        <v>2876</v>
      </c>
      <c r="M4955" s="55" t="s">
        <v>2824</v>
      </c>
      <c r="O4955" s="55" t="s">
        <v>178</v>
      </c>
    </row>
    <row r="4956" spans="2:15">
      <c r="B4956" s="20">
        <v>45699</v>
      </c>
      <c r="C4956" s="59">
        <v>40014675</v>
      </c>
      <c r="D4956" s="55" t="s">
        <v>44</v>
      </c>
      <c r="G4956" s="65">
        <v>37.44</v>
      </c>
      <c r="H4956" s="56" t="s">
        <v>1248</v>
      </c>
      <c r="I4956" s="54">
        <v>8682629436</v>
      </c>
      <c r="J4956" s="56" t="s">
        <v>2978</v>
      </c>
      <c r="K4956" s="56">
        <v>176</v>
      </c>
      <c r="L4956" s="55" t="s">
        <v>2876</v>
      </c>
      <c r="M4956" s="55" t="s">
        <v>2824</v>
      </c>
      <c r="O4956" s="55" t="s">
        <v>178</v>
      </c>
    </row>
    <row r="4957" spans="2:15">
      <c r="B4957" s="20">
        <v>45699</v>
      </c>
      <c r="C4957" s="59">
        <v>40014675</v>
      </c>
      <c r="D4957" s="55" t="s">
        <v>44</v>
      </c>
      <c r="G4957" s="65">
        <v>37.44</v>
      </c>
      <c r="H4957" s="56" t="s">
        <v>1248</v>
      </c>
      <c r="I4957" s="54">
        <v>8682629438</v>
      </c>
      <c r="J4957" s="56" t="s">
        <v>2978</v>
      </c>
      <c r="K4957" s="56">
        <v>177</v>
      </c>
      <c r="L4957" s="55" t="s">
        <v>2876</v>
      </c>
      <c r="M4957" s="55" t="s">
        <v>2824</v>
      </c>
      <c r="O4957" s="55" t="s">
        <v>178</v>
      </c>
    </row>
    <row r="4958" spans="2:15">
      <c r="B4958" s="20">
        <v>45699</v>
      </c>
      <c r="C4958" s="59">
        <v>40014675</v>
      </c>
      <c r="D4958" s="55" t="s">
        <v>44</v>
      </c>
      <c r="G4958" s="65">
        <v>37.44</v>
      </c>
      <c r="H4958" s="56" t="s">
        <v>1248</v>
      </c>
      <c r="I4958" s="54">
        <v>8682629443</v>
      </c>
      <c r="J4958" s="56" t="s">
        <v>2978</v>
      </c>
      <c r="K4958" s="56">
        <v>178</v>
      </c>
      <c r="L4958" s="55" t="s">
        <v>2876</v>
      </c>
      <c r="M4958" s="55" t="s">
        <v>2824</v>
      </c>
      <c r="O4958" s="55" t="s">
        <v>178</v>
      </c>
    </row>
    <row r="4959" spans="2:15">
      <c r="B4959" s="20">
        <v>45699</v>
      </c>
      <c r="C4959" s="59">
        <v>40014675</v>
      </c>
      <c r="D4959" s="55" t="s">
        <v>44</v>
      </c>
      <c r="G4959" s="65">
        <v>37.44</v>
      </c>
      <c r="H4959" s="56" t="s">
        <v>1248</v>
      </c>
      <c r="I4959" s="54">
        <v>8682629476</v>
      </c>
      <c r="J4959" s="56" t="s">
        <v>2978</v>
      </c>
      <c r="K4959" s="56">
        <v>179</v>
      </c>
      <c r="L4959" s="55" t="s">
        <v>2876</v>
      </c>
      <c r="M4959" s="55" t="s">
        <v>2824</v>
      </c>
      <c r="O4959" s="55" t="s">
        <v>178</v>
      </c>
    </row>
    <row r="4960" spans="2:15">
      <c r="B4960" s="20">
        <v>45700</v>
      </c>
      <c r="C4960" s="59">
        <v>50819321</v>
      </c>
      <c r="D4960" s="55" t="s">
        <v>1703</v>
      </c>
      <c r="G4960" s="65">
        <v>510000</v>
      </c>
      <c r="H4960" s="56" t="s">
        <v>80</v>
      </c>
      <c r="I4960" s="54" t="s">
        <v>2874</v>
      </c>
      <c r="J4960" s="56" t="s">
        <v>2978</v>
      </c>
      <c r="K4960" s="56">
        <v>3132</v>
      </c>
      <c r="L4960" s="55" t="s">
        <v>2152</v>
      </c>
      <c r="M4960" s="55" t="s">
        <v>2824</v>
      </c>
      <c r="N4960" s="4" t="s">
        <v>1905</v>
      </c>
      <c r="O4960" s="55" t="s">
        <v>178</v>
      </c>
    </row>
    <row r="4961" spans="2:15">
      <c r="B4961" s="20">
        <v>45700</v>
      </c>
      <c r="C4961" s="59">
        <v>50819320</v>
      </c>
      <c r="D4961" s="55" t="s">
        <v>1701</v>
      </c>
      <c r="G4961" s="65">
        <v>510000</v>
      </c>
      <c r="H4961" s="56" t="s">
        <v>80</v>
      </c>
      <c r="I4961" s="54" t="s">
        <v>2874</v>
      </c>
      <c r="J4961" s="56" t="s">
        <v>2978</v>
      </c>
      <c r="K4961" s="56">
        <v>3132</v>
      </c>
      <c r="L4961" s="55" t="s">
        <v>2152</v>
      </c>
      <c r="M4961" s="55" t="s">
        <v>2824</v>
      </c>
      <c r="N4961" s="4" t="s">
        <v>1905</v>
      </c>
      <c r="O4961" s="55" t="s">
        <v>178</v>
      </c>
    </row>
    <row r="4962" spans="2:15">
      <c r="B4962" s="20">
        <v>45700</v>
      </c>
      <c r="C4962" s="59">
        <v>50840366</v>
      </c>
      <c r="D4962" s="55" t="s">
        <v>1920</v>
      </c>
      <c r="G4962" s="65">
        <v>1010.85</v>
      </c>
      <c r="H4962" s="56" t="s">
        <v>82</v>
      </c>
      <c r="I4962" s="54">
        <v>8683570965</v>
      </c>
      <c r="J4962" s="56" t="s">
        <v>2978</v>
      </c>
      <c r="K4962" s="56">
        <v>3132</v>
      </c>
      <c r="L4962" s="55" t="s">
        <v>2152</v>
      </c>
      <c r="M4962" s="55" t="s">
        <v>2824</v>
      </c>
      <c r="N4962" s="4" t="s">
        <v>1905</v>
      </c>
      <c r="O4962" s="55" t="s">
        <v>178</v>
      </c>
    </row>
    <row r="4963" spans="2:15">
      <c r="B4963" s="20">
        <v>45700</v>
      </c>
      <c r="C4963" s="59">
        <v>50837237</v>
      </c>
      <c r="D4963" s="55" t="s">
        <v>1747</v>
      </c>
      <c r="G4963" s="65">
        <v>1010.45</v>
      </c>
      <c r="H4963" s="56" t="s">
        <v>82</v>
      </c>
      <c r="I4963" s="54">
        <v>8684337377</v>
      </c>
      <c r="J4963" s="56" t="s">
        <v>2978</v>
      </c>
      <c r="K4963" s="56">
        <v>3132</v>
      </c>
      <c r="L4963" s="55" t="s">
        <v>2152</v>
      </c>
      <c r="M4963" s="55" t="s">
        <v>2824</v>
      </c>
      <c r="N4963" s="4" t="s">
        <v>1905</v>
      </c>
      <c r="O4963" s="55" t="s">
        <v>178</v>
      </c>
    </row>
    <row r="4964" spans="2:15">
      <c r="B4964" s="20">
        <v>45700</v>
      </c>
      <c r="C4964" s="59">
        <v>50837238</v>
      </c>
      <c r="D4964" s="55" t="s">
        <v>1976</v>
      </c>
      <c r="G4964" s="65">
        <v>2270</v>
      </c>
      <c r="H4964" s="56" t="s">
        <v>82</v>
      </c>
      <c r="I4964" s="54">
        <v>8682146218</v>
      </c>
      <c r="J4964" s="56" t="s">
        <v>2978</v>
      </c>
      <c r="K4964" s="56">
        <v>3132</v>
      </c>
      <c r="L4964" s="55" t="s">
        <v>2152</v>
      </c>
      <c r="M4964" s="55" t="s">
        <v>2824</v>
      </c>
      <c r="N4964" s="4" t="s">
        <v>1905</v>
      </c>
      <c r="O4964" s="55" t="s">
        <v>178</v>
      </c>
    </row>
    <row r="4965" spans="2:15">
      <c r="B4965" s="20">
        <v>45700</v>
      </c>
      <c r="C4965" s="59">
        <v>50145029</v>
      </c>
      <c r="D4965" s="55" t="s">
        <v>705</v>
      </c>
      <c r="G4965" s="65">
        <v>18</v>
      </c>
      <c r="H4965" s="56" t="s">
        <v>505</v>
      </c>
      <c r="I4965" s="54">
        <v>8682146218</v>
      </c>
      <c r="J4965" s="56" t="s">
        <v>2978</v>
      </c>
      <c r="K4965" s="56">
        <v>3132</v>
      </c>
      <c r="L4965" s="55" t="s">
        <v>2152</v>
      </c>
      <c r="M4965" s="55" t="s">
        <v>2824</v>
      </c>
      <c r="N4965" s="4" t="s">
        <v>1905</v>
      </c>
      <c r="O4965" s="55" t="s">
        <v>178</v>
      </c>
    </row>
    <row r="4966" spans="2:15">
      <c r="B4966" s="20">
        <v>45700</v>
      </c>
      <c r="C4966" s="59">
        <v>50392045</v>
      </c>
      <c r="D4966" s="55" t="s">
        <v>707</v>
      </c>
      <c r="G4966" s="65">
        <v>18</v>
      </c>
      <c r="H4966" s="56" t="s">
        <v>505</v>
      </c>
      <c r="I4966" s="54">
        <v>8682146218</v>
      </c>
      <c r="J4966" s="56" t="s">
        <v>2978</v>
      </c>
      <c r="K4966" s="56">
        <v>3132</v>
      </c>
      <c r="L4966" s="55" t="s">
        <v>2152</v>
      </c>
      <c r="M4966" s="55" t="s">
        <v>2824</v>
      </c>
      <c r="N4966" s="4" t="s">
        <v>1905</v>
      </c>
      <c r="O4966" s="55" t="s">
        <v>178</v>
      </c>
    </row>
    <row r="4967" spans="2:15">
      <c r="B4967" s="20">
        <v>45700</v>
      </c>
      <c r="C4967" s="59">
        <v>40011149</v>
      </c>
      <c r="D4967" s="55" t="s">
        <v>37</v>
      </c>
      <c r="G4967" s="65">
        <v>720</v>
      </c>
      <c r="H4967" s="56" t="s">
        <v>80</v>
      </c>
      <c r="I4967" s="54">
        <v>8682146218</v>
      </c>
      <c r="J4967" s="56" t="s">
        <v>2978</v>
      </c>
      <c r="K4967" s="56">
        <v>3132</v>
      </c>
      <c r="L4967" s="55" t="s">
        <v>2152</v>
      </c>
      <c r="M4967" s="55" t="s">
        <v>2824</v>
      </c>
      <c r="N4967" s="4" t="s">
        <v>1905</v>
      </c>
      <c r="O4967" s="55" t="s">
        <v>178</v>
      </c>
    </row>
    <row r="4968" spans="2:15">
      <c r="B4968" s="20">
        <v>45700</v>
      </c>
      <c r="C4968" s="59">
        <v>50470190</v>
      </c>
      <c r="D4968" s="55" t="s">
        <v>12</v>
      </c>
      <c r="G4968" s="65">
        <f>289800*4</f>
        <v>1159200</v>
      </c>
      <c r="H4968" s="56" t="s">
        <v>92</v>
      </c>
      <c r="I4968" s="54">
        <v>8682606481</v>
      </c>
      <c r="J4968" s="56" t="s">
        <v>2978</v>
      </c>
      <c r="K4968" s="56">
        <v>3132</v>
      </c>
      <c r="L4968" s="55" t="s">
        <v>2152</v>
      </c>
      <c r="M4968" s="55" t="s">
        <v>2824</v>
      </c>
      <c r="N4968" s="4" t="s">
        <v>1905</v>
      </c>
      <c r="O4968" s="55" t="s">
        <v>178</v>
      </c>
    </row>
    <row r="4969" spans="2:15">
      <c r="B4969" s="20">
        <v>45700</v>
      </c>
      <c r="C4969" s="59">
        <v>40011588</v>
      </c>
      <c r="D4969" s="55" t="s">
        <v>585</v>
      </c>
      <c r="G4969" s="65">
        <v>900</v>
      </c>
      <c r="H4969" s="56" t="s">
        <v>80</v>
      </c>
      <c r="I4969" s="54">
        <v>8682146218</v>
      </c>
      <c r="J4969" s="56" t="s">
        <v>2978</v>
      </c>
      <c r="K4969" s="56">
        <v>3132</v>
      </c>
      <c r="L4969" s="55" t="s">
        <v>2152</v>
      </c>
      <c r="M4969" s="55" t="s">
        <v>2824</v>
      </c>
      <c r="N4969" s="4" t="s">
        <v>1905</v>
      </c>
      <c r="O4969" s="55" t="s">
        <v>178</v>
      </c>
    </row>
    <row r="4970" spans="2:15">
      <c r="B4970" s="20">
        <v>45700</v>
      </c>
      <c r="C4970" s="59">
        <v>50449101</v>
      </c>
      <c r="D4970" s="55" t="s">
        <v>237</v>
      </c>
      <c r="G4970" s="65">
        <v>1159200</v>
      </c>
      <c r="H4970" s="56" t="s">
        <v>92</v>
      </c>
      <c r="I4970" s="54">
        <v>8682602215</v>
      </c>
      <c r="J4970" s="56" t="s">
        <v>2978</v>
      </c>
      <c r="K4970" s="56">
        <v>3132</v>
      </c>
      <c r="L4970" s="55" t="s">
        <v>2152</v>
      </c>
      <c r="M4970" s="55" t="s">
        <v>2824</v>
      </c>
      <c r="N4970" s="4" t="s">
        <v>1905</v>
      </c>
      <c r="O4970" s="55" t="s">
        <v>178</v>
      </c>
    </row>
    <row r="4971" spans="2:15">
      <c r="B4971" s="20">
        <v>45700</v>
      </c>
      <c r="C4971" s="59">
        <v>50821479</v>
      </c>
      <c r="D4971" s="55" t="s">
        <v>1199</v>
      </c>
      <c r="G4971" s="65">
        <v>2084690</v>
      </c>
      <c r="H4971" s="56" t="s">
        <v>92</v>
      </c>
      <c r="I4971" s="54">
        <v>8682146223</v>
      </c>
      <c r="J4971" s="56" t="s">
        <v>2978</v>
      </c>
      <c r="K4971" s="56">
        <v>3233</v>
      </c>
      <c r="L4971" s="55" t="s">
        <v>2152</v>
      </c>
      <c r="M4971" s="55" t="s">
        <v>2824</v>
      </c>
      <c r="N4971" s="4" t="s">
        <v>1905</v>
      </c>
      <c r="O4971" s="55" t="s">
        <v>178</v>
      </c>
    </row>
    <row r="4972" spans="2:15">
      <c r="B4972" s="20">
        <v>45700</v>
      </c>
      <c r="C4972" s="59">
        <v>50802401</v>
      </c>
      <c r="D4972" s="55" t="s">
        <v>13</v>
      </c>
      <c r="G4972" s="65">
        <v>579600</v>
      </c>
      <c r="H4972" s="56" t="s">
        <v>92</v>
      </c>
      <c r="I4972" s="54">
        <v>8682146223</v>
      </c>
      <c r="J4972" s="56" t="s">
        <v>2978</v>
      </c>
      <c r="K4972" s="56">
        <v>3133</v>
      </c>
      <c r="L4972" s="55" t="s">
        <v>2152</v>
      </c>
      <c r="M4972" s="55" t="s">
        <v>2824</v>
      </c>
      <c r="N4972" s="4" t="s">
        <v>1905</v>
      </c>
      <c r="O4972" s="55" t="s">
        <v>178</v>
      </c>
    </row>
    <row r="4973" spans="2:15">
      <c r="B4973" s="20">
        <v>45700</v>
      </c>
      <c r="C4973" s="59">
        <v>50142327</v>
      </c>
      <c r="D4973" s="55" t="s">
        <v>256</v>
      </c>
      <c r="G4973" s="65">
        <v>2383.5</v>
      </c>
      <c r="H4973" s="56" t="s">
        <v>82</v>
      </c>
      <c r="I4973" s="54">
        <v>8682146223</v>
      </c>
      <c r="J4973" s="56" t="s">
        <v>2978</v>
      </c>
      <c r="K4973" s="56">
        <v>3133</v>
      </c>
      <c r="L4973" s="55" t="s">
        <v>2152</v>
      </c>
      <c r="M4973" s="55" t="s">
        <v>2824</v>
      </c>
      <c r="N4973" s="4" t="s">
        <v>1905</v>
      </c>
      <c r="O4973" s="55" t="s">
        <v>178</v>
      </c>
    </row>
    <row r="4974" spans="2:15">
      <c r="B4974" s="20">
        <v>45700</v>
      </c>
      <c r="C4974" s="59">
        <v>50142334</v>
      </c>
      <c r="D4974" s="55" t="s">
        <v>257</v>
      </c>
      <c r="G4974" s="65">
        <v>2838.5</v>
      </c>
      <c r="H4974" s="56" t="s">
        <v>82</v>
      </c>
      <c r="I4974" s="54">
        <v>8682146223</v>
      </c>
      <c r="J4974" s="56" t="s">
        <v>2978</v>
      </c>
      <c r="K4974" s="56">
        <v>3133</v>
      </c>
      <c r="L4974" s="55" t="s">
        <v>2152</v>
      </c>
      <c r="M4974" s="55" t="s">
        <v>2824</v>
      </c>
      <c r="N4974" s="4" t="s">
        <v>1905</v>
      </c>
      <c r="O4974" s="55" t="s">
        <v>178</v>
      </c>
    </row>
    <row r="4975" spans="2:15">
      <c r="B4975" s="20">
        <v>45700</v>
      </c>
      <c r="C4975" s="59">
        <v>40014900</v>
      </c>
      <c r="D4975" s="55" t="s">
        <v>153</v>
      </c>
      <c r="G4975" s="65">
        <v>37.44</v>
      </c>
      <c r="H4975" s="56" t="s">
        <v>1248</v>
      </c>
      <c r="I4975" s="54">
        <v>8682629479</v>
      </c>
      <c r="J4975" s="56" t="s">
        <v>2978</v>
      </c>
      <c r="K4975" s="56">
        <v>180</v>
      </c>
      <c r="L4975" s="55" t="s">
        <v>2876</v>
      </c>
      <c r="M4975" s="55" t="s">
        <v>2824</v>
      </c>
      <c r="O4975" s="55" t="s">
        <v>178</v>
      </c>
    </row>
    <row r="4976" spans="2:15">
      <c r="B4976" s="20">
        <v>45700</v>
      </c>
      <c r="C4976" s="59">
        <v>40014900</v>
      </c>
      <c r="D4976" s="55" t="s">
        <v>153</v>
      </c>
      <c r="G4976" s="65">
        <v>37.44</v>
      </c>
      <c r="H4976" s="56" t="s">
        <v>1248</v>
      </c>
      <c r="I4976" s="54" t="s">
        <v>2874</v>
      </c>
      <c r="J4976" s="56" t="s">
        <v>2978</v>
      </c>
      <c r="K4976" s="56">
        <v>181</v>
      </c>
      <c r="L4976" s="55" t="s">
        <v>2876</v>
      </c>
      <c r="M4976" s="55" t="s">
        <v>2824</v>
      </c>
      <c r="O4976" s="55" t="s">
        <v>178</v>
      </c>
    </row>
    <row r="4977" spans="2:15">
      <c r="B4977" s="20">
        <v>45700</v>
      </c>
      <c r="C4977" s="59">
        <v>40014900</v>
      </c>
      <c r="D4977" s="55" t="s">
        <v>153</v>
      </c>
      <c r="G4977" s="65">
        <v>37.44</v>
      </c>
      <c r="H4977" s="56" t="s">
        <v>1248</v>
      </c>
      <c r="I4977" s="54" t="s">
        <v>2874</v>
      </c>
      <c r="J4977" s="56" t="s">
        <v>2978</v>
      </c>
      <c r="K4977" s="56">
        <v>182</v>
      </c>
      <c r="L4977" s="55" t="s">
        <v>2876</v>
      </c>
      <c r="M4977" s="55" t="s">
        <v>2824</v>
      </c>
      <c r="O4977" s="55" t="s">
        <v>178</v>
      </c>
    </row>
    <row r="4978" spans="2:15">
      <c r="B4978" s="20">
        <v>45700</v>
      </c>
      <c r="C4978" s="59">
        <v>40014900</v>
      </c>
      <c r="D4978" s="55" t="s">
        <v>153</v>
      </c>
      <c r="G4978" s="65">
        <v>37.44</v>
      </c>
      <c r="H4978" s="56" t="s">
        <v>1248</v>
      </c>
      <c r="I4978" s="54" t="s">
        <v>2874</v>
      </c>
      <c r="J4978" s="56" t="s">
        <v>2978</v>
      </c>
      <c r="K4978" s="56">
        <v>183</v>
      </c>
      <c r="L4978" s="55" t="s">
        <v>2876</v>
      </c>
      <c r="M4978" s="55" t="s">
        <v>2824</v>
      </c>
      <c r="O4978" s="55" t="s">
        <v>178</v>
      </c>
    </row>
    <row r="4979" spans="2:15">
      <c r="B4979" s="20">
        <v>45700</v>
      </c>
      <c r="C4979" s="59">
        <v>50144376</v>
      </c>
      <c r="D4979" s="55" t="s">
        <v>19</v>
      </c>
      <c r="G4979" s="65">
        <v>5500</v>
      </c>
      <c r="H4979" s="56" t="s">
        <v>92</v>
      </c>
      <c r="I4979" s="54">
        <v>8682611878</v>
      </c>
      <c r="J4979" s="56" t="s">
        <v>2978</v>
      </c>
      <c r="K4979" s="56">
        <v>3134</v>
      </c>
      <c r="L4979" s="55" t="s">
        <v>2152</v>
      </c>
      <c r="M4979" s="55" t="s">
        <v>2824</v>
      </c>
      <c r="N4979" s="4" t="s">
        <v>1905</v>
      </c>
      <c r="O4979" s="55" t="s">
        <v>178</v>
      </c>
    </row>
    <row r="4980" spans="2:15">
      <c r="B4980" s="20">
        <v>45700</v>
      </c>
      <c r="C4980" s="59">
        <v>50272278</v>
      </c>
      <c r="D4980" s="55" t="s">
        <v>21</v>
      </c>
      <c r="G4980" s="65">
        <v>5500</v>
      </c>
      <c r="H4980" s="56" t="s">
        <v>92</v>
      </c>
      <c r="I4980" s="54">
        <v>8682611878</v>
      </c>
      <c r="J4980" s="56" t="s">
        <v>2978</v>
      </c>
      <c r="K4980" s="56">
        <v>3134</v>
      </c>
      <c r="L4980" s="55" t="s">
        <v>2152</v>
      </c>
      <c r="M4980" s="55" t="s">
        <v>2824</v>
      </c>
      <c r="N4980" s="4" t="s">
        <v>1905</v>
      </c>
      <c r="O4980" s="55" t="s">
        <v>178</v>
      </c>
    </row>
    <row r="4981" spans="2:15">
      <c r="B4981" s="20">
        <v>45701</v>
      </c>
      <c r="C4981" s="59">
        <v>50010080</v>
      </c>
      <c r="D4981" s="55" t="s">
        <v>1657</v>
      </c>
      <c r="G4981" s="65">
        <v>4000</v>
      </c>
      <c r="H4981" s="56" t="s">
        <v>82</v>
      </c>
      <c r="I4981" s="54">
        <v>8682627300</v>
      </c>
      <c r="J4981" s="56" t="s">
        <v>2978</v>
      </c>
      <c r="K4981" s="56">
        <v>3135</v>
      </c>
      <c r="L4981" s="55" t="s">
        <v>2152</v>
      </c>
      <c r="M4981" s="55" t="s">
        <v>2824</v>
      </c>
      <c r="N4981" s="4" t="s">
        <v>1905</v>
      </c>
      <c r="O4981" s="55" t="s">
        <v>178</v>
      </c>
    </row>
    <row r="4982" spans="2:15">
      <c r="B4982" s="20">
        <v>45701</v>
      </c>
      <c r="C4982" s="59">
        <v>20016185</v>
      </c>
      <c r="D4982" s="55" t="s">
        <v>285</v>
      </c>
      <c r="G4982" s="65">
        <v>34000</v>
      </c>
      <c r="H4982" s="56" t="s">
        <v>92</v>
      </c>
      <c r="I4982" s="54">
        <v>8682627300</v>
      </c>
      <c r="J4982" s="56" t="s">
        <v>2978</v>
      </c>
      <c r="K4982" s="56">
        <v>3135</v>
      </c>
      <c r="L4982" s="55" t="s">
        <v>2152</v>
      </c>
      <c r="M4982" s="55" t="s">
        <v>2824</v>
      </c>
      <c r="N4982" s="4" t="s">
        <v>1905</v>
      </c>
      <c r="O4982" s="55" t="s">
        <v>178</v>
      </c>
    </row>
    <row r="4983" spans="2:15">
      <c r="B4983" s="20">
        <v>45701</v>
      </c>
      <c r="C4983" s="59">
        <v>50142237</v>
      </c>
      <c r="D4983" s="55" t="s">
        <v>617</v>
      </c>
      <c r="G4983" s="65">
        <v>10000</v>
      </c>
      <c r="H4983" s="56" t="s">
        <v>92</v>
      </c>
      <c r="I4983" s="54">
        <v>8682627300</v>
      </c>
      <c r="J4983" s="56" t="s">
        <v>2978</v>
      </c>
      <c r="K4983" s="56">
        <v>3135</v>
      </c>
      <c r="L4983" s="55" t="s">
        <v>2152</v>
      </c>
      <c r="M4983" s="55" t="s">
        <v>2824</v>
      </c>
      <c r="N4983" s="4" t="s">
        <v>1905</v>
      </c>
      <c r="O4983" s="55" t="s">
        <v>178</v>
      </c>
    </row>
    <row r="4984" spans="2:15">
      <c r="B4984" s="20">
        <v>45701</v>
      </c>
      <c r="C4984" s="59">
        <v>50470190</v>
      </c>
      <c r="D4984" s="55" t="s">
        <v>12</v>
      </c>
      <c r="G4984" s="65">
        <v>2608200</v>
      </c>
      <c r="H4984" s="56" t="s">
        <v>92</v>
      </c>
      <c r="I4984" s="54">
        <v>8682627300</v>
      </c>
      <c r="J4984" s="56" t="s">
        <v>2978</v>
      </c>
      <c r="K4984" s="56">
        <v>3135</v>
      </c>
      <c r="L4984" s="55" t="s">
        <v>2152</v>
      </c>
      <c r="M4984" s="55" t="s">
        <v>2824</v>
      </c>
      <c r="N4984" s="4" t="s">
        <v>1905</v>
      </c>
      <c r="O4984" s="55" t="s">
        <v>178</v>
      </c>
    </row>
    <row r="4985" spans="2:15">
      <c r="B4985" s="20">
        <v>45701</v>
      </c>
      <c r="C4985" s="59">
        <v>50449101</v>
      </c>
      <c r="D4985" s="55" t="s">
        <v>237</v>
      </c>
      <c r="G4985" s="65">
        <v>1449000</v>
      </c>
      <c r="H4985" s="56" t="s">
        <v>92</v>
      </c>
      <c r="I4985" s="54">
        <v>8682627300</v>
      </c>
      <c r="J4985" s="56" t="s">
        <v>2978</v>
      </c>
      <c r="K4985" s="56">
        <v>3135</v>
      </c>
      <c r="L4985" s="55" t="s">
        <v>2152</v>
      </c>
      <c r="M4985" s="55" t="s">
        <v>2824</v>
      </c>
      <c r="N4985" s="4" t="s">
        <v>1905</v>
      </c>
      <c r="O4985" s="55" t="s">
        <v>178</v>
      </c>
    </row>
    <row r="4986" spans="2:15">
      <c r="B4986" s="20">
        <v>45701</v>
      </c>
      <c r="C4986" s="59">
        <v>40014900</v>
      </c>
      <c r="D4986" s="55" t="s">
        <v>153</v>
      </c>
      <c r="G4986" s="65">
        <v>5.9</v>
      </c>
      <c r="H4986" s="56" t="s">
        <v>1248</v>
      </c>
      <c r="I4986" s="54" t="s">
        <v>2874</v>
      </c>
      <c r="J4986" s="56" t="s">
        <v>2978</v>
      </c>
      <c r="K4986" s="56">
        <v>3136</v>
      </c>
      <c r="L4986" s="55" t="s">
        <v>2152</v>
      </c>
      <c r="M4986" s="55" t="s">
        <v>2824</v>
      </c>
      <c r="N4986" s="4" t="s">
        <v>1905</v>
      </c>
      <c r="O4986" s="55" t="s">
        <v>178</v>
      </c>
    </row>
    <row r="4987" spans="2:15">
      <c r="B4987" s="20">
        <v>45701</v>
      </c>
      <c r="C4987" s="59">
        <v>50144376</v>
      </c>
      <c r="D4987" s="55" t="s">
        <v>19</v>
      </c>
      <c r="G4987" s="65">
        <v>4000</v>
      </c>
      <c r="H4987" s="56" t="s">
        <v>92</v>
      </c>
      <c r="I4987" s="54">
        <v>8682629507</v>
      </c>
      <c r="J4987" s="56" t="s">
        <v>2978</v>
      </c>
      <c r="K4987" s="56">
        <v>3136</v>
      </c>
      <c r="L4987" s="55" t="s">
        <v>2152</v>
      </c>
      <c r="M4987" s="55" t="s">
        <v>2824</v>
      </c>
      <c r="N4987" s="4" t="s">
        <v>1905</v>
      </c>
      <c r="O4987" s="55" t="s">
        <v>178</v>
      </c>
    </row>
    <row r="4988" spans="2:15">
      <c r="B4988" s="20">
        <v>45701</v>
      </c>
      <c r="C4988" s="59">
        <v>50272278</v>
      </c>
      <c r="D4988" s="55" t="s">
        <v>21</v>
      </c>
      <c r="G4988" s="65">
        <v>4500</v>
      </c>
      <c r="H4988" s="56" t="s">
        <v>92</v>
      </c>
      <c r="I4988" s="54">
        <v>8682629507</v>
      </c>
      <c r="J4988" s="56" t="s">
        <v>2978</v>
      </c>
      <c r="K4988" s="56">
        <v>3136</v>
      </c>
      <c r="L4988" s="55" t="s">
        <v>2152</v>
      </c>
      <c r="M4988" s="55" t="s">
        <v>2824</v>
      </c>
      <c r="N4988" s="4" t="s">
        <v>1905</v>
      </c>
      <c r="O4988" s="55" t="s">
        <v>178</v>
      </c>
    </row>
    <row r="4989" spans="2:15">
      <c r="B4989" s="20">
        <v>45701</v>
      </c>
      <c r="C4989" s="59">
        <v>40014675</v>
      </c>
      <c r="D4989" s="55" t="s">
        <v>44</v>
      </c>
      <c r="G4989" s="65">
        <v>37.44</v>
      </c>
      <c r="H4989" s="56" t="s">
        <v>1248</v>
      </c>
      <c r="I4989" s="54">
        <v>8682630887</v>
      </c>
      <c r="J4989" s="56" t="s">
        <v>2978</v>
      </c>
      <c r="K4989" s="56">
        <v>184</v>
      </c>
      <c r="L4989" s="55" t="s">
        <v>2876</v>
      </c>
      <c r="M4989" s="55" t="s">
        <v>2824</v>
      </c>
      <c r="O4989" s="55" t="s">
        <v>178</v>
      </c>
    </row>
    <row r="4990" spans="2:15">
      <c r="B4990" s="20">
        <v>45701</v>
      </c>
      <c r="C4990" s="59">
        <v>40014675</v>
      </c>
      <c r="D4990" s="55" t="s">
        <v>44</v>
      </c>
      <c r="G4990" s="65">
        <v>37.44</v>
      </c>
      <c r="H4990" s="56" t="s">
        <v>1248</v>
      </c>
      <c r="I4990" s="54">
        <v>8682630889</v>
      </c>
      <c r="J4990" s="56" t="s">
        <v>2978</v>
      </c>
      <c r="K4990" s="56">
        <v>185</v>
      </c>
      <c r="L4990" s="55" t="s">
        <v>2876</v>
      </c>
      <c r="M4990" s="55" t="s">
        <v>2824</v>
      </c>
      <c r="O4990" s="55" t="s">
        <v>178</v>
      </c>
    </row>
    <row r="4991" spans="2:15">
      <c r="B4991" s="20">
        <v>45701</v>
      </c>
      <c r="C4991" s="59">
        <v>40014675</v>
      </c>
      <c r="D4991" s="55" t="s">
        <v>44</v>
      </c>
      <c r="G4991" s="65">
        <v>37.44</v>
      </c>
      <c r="H4991" s="56" t="s">
        <v>1248</v>
      </c>
      <c r="I4991" s="54">
        <v>8682630984</v>
      </c>
      <c r="J4991" s="56" t="s">
        <v>2978</v>
      </c>
      <c r="K4991" s="56">
        <v>186</v>
      </c>
      <c r="L4991" s="55" t="s">
        <v>2876</v>
      </c>
      <c r="M4991" s="55" t="s">
        <v>2824</v>
      </c>
      <c r="O4991" s="55" t="s">
        <v>178</v>
      </c>
    </row>
    <row r="4992" spans="2:15">
      <c r="B4992" s="20">
        <v>45701</v>
      </c>
      <c r="C4992" s="59">
        <v>40014675</v>
      </c>
      <c r="D4992" s="55" t="s">
        <v>44</v>
      </c>
      <c r="G4992" s="65">
        <v>37.44</v>
      </c>
      <c r="H4992" s="56" t="s">
        <v>1248</v>
      </c>
      <c r="I4992" s="54">
        <v>8682630988</v>
      </c>
      <c r="J4992" s="56" t="s">
        <v>2978</v>
      </c>
      <c r="K4992" s="56">
        <v>187</v>
      </c>
      <c r="L4992" s="55" t="s">
        <v>2876</v>
      </c>
      <c r="M4992" s="55" t="s">
        <v>2824</v>
      </c>
      <c r="O4992" s="55" t="s">
        <v>178</v>
      </c>
    </row>
    <row r="4993" spans="2:15">
      <c r="B4993" s="20">
        <v>45701</v>
      </c>
      <c r="C4993" s="59">
        <v>40014675</v>
      </c>
      <c r="D4993" s="55" t="s">
        <v>44</v>
      </c>
      <c r="G4993" s="65">
        <v>37.44</v>
      </c>
      <c r="H4993" s="56" t="s">
        <v>1248</v>
      </c>
      <c r="I4993" s="54">
        <v>8683110412</v>
      </c>
      <c r="J4993" s="56" t="s">
        <v>2978</v>
      </c>
      <c r="K4993" s="56">
        <v>188</v>
      </c>
      <c r="L4993" s="55" t="s">
        <v>2876</v>
      </c>
      <c r="M4993" s="55" t="s">
        <v>2824</v>
      </c>
      <c r="O4993" s="55" t="s">
        <v>178</v>
      </c>
    </row>
    <row r="4994" spans="2:15">
      <c r="B4994" s="20">
        <v>45701</v>
      </c>
      <c r="C4994" s="59">
        <v>40014675</v>
      </c>
      <c r="D4994" s="55" t="s">
        <v>44</v>
      </c>
      <c r="G4994" s="65">
        <v>37.44</v>
      </c>
      <c r="H4994" s="56" t="s">
        <v>1248</v>
      </c>
      <c r="I4994" s="54">
        <v>8683110436</v>
      </c>
      <c r="J4994" s="56" t="s">
        <v>2978</v>
      </c>
      <c r="K4994" s="56">
        <v>190</v>
      </c>
      <c r="L4994" s="55" t="s">
        <v>2876</v>
      </c>
      <c r="M4994" s="55" t="s">
        <v>2824</v>
      </c>
      <c r="O4994" s="55" t="s">
        <v>178</v>
      </c>
    </row>
    <row r="4995" spans="2:15">
      <c r="B4995" s="20">
        <v>45702</v>
      </c>
      <c r="C4995" s="59">
        <v>50142281</v>
      </c>
      <c r="D4995" s="55" t="s">
        <v>204</v>
      </c>
      <c r="G4995" s="65">
        <v>8550</v>
      </c>
      <c r="H4995" s="56" t="s">
        <v>82</v>
      </c>
      <c r="I4995" s="54">
        <v>8684421627</v>
      </c>
      <c r="J4995" s="56" t="s">
        <v>2978</v>
      </c>
      <c r="K4995" s="56">
        <v>3137</v>
      </c>
      <c r="L4995" s="55" t="s">
        <v>2152</v>
      </c>
      <c r="M4995" s="55" t="s">
        <v>2824</v>
      </c>
      <c r="N4995" s="4" t="s">
        <v>1905</v>
      </c>
      <c r="O4995" s="55" t="s">
        <v>178</v>
      </c>
    </row>
    <row r="4996" spans="2:15">
      <c r="B4996" s="20">
        <v>45702</v>
      </c>
      <c r="C4996" s="59">
        <v>50470190</v>
      </c>
      <c r="D4996" s="55" t="s">
        <v>12</v>
      </c>
      <c r="G4996" s="65">
        <v>869400</v>
      </c>
      <c r="H4996" s="56" t="s">
        <v>92</v>
      </c>
      <c r="I4996" s="54">
        <v>863109345</v>
      </c>
      <c r="J4996" s="56" t="s">
        <v>2978</v>
      </c>
      <c r="K4996" s="56">
        <v>3137</v>
      </c>
      <c r="L4996" s="55" t="s">
        <v>2152</v>
      </c>
      <c r="M4996" s="55" t="s">
        <v>2824</v>
      </c>
      <c r="N4996" s="4" t="s">
        <v>1905</v>
      </c>
      <c r="O4996" s="55" t="s">
        <v>178</v>
      </c>
    </row>
    <row r="4997" spans="2:15">
      <c r="B4997" s="20">
        <v>45702</v>
      </c>
      <c r="C4997" s="59">
        <v>40010086</v>
      </c>
      <c r="D4997" s="55" t="s">
        <v>79</v>
      </c>
      <c r="G4997" s="65">
        <v>4704</v>
      </c>
      <c r="H4997" s="56" t="s">
        <v>80</v>
      </c>
      <c r="I4997" s="54">
        <v>8683109942</v>
      </c>
      <c r="J4997" s="56" t="s">
        <v>2978</v>
      </c>
      <c r="K4997" s="56">
        <v>3138</v>
      </c>
      <c r="L4997" s="55" t="s">
        <v>2152</v>
      </c>
      <c r="M4997" s="55" t="s">
        <v>2824</v>
      </c>
      <c r="N4997" s="4" t="s">
        <v>1905</v>
      </c>
      <c r="O4997" s="55" t="s">
        <v>178</v>
      </c>
    </row>
    <row r="4998" spans="2:15">
      <c r="B4998" s="20">
        <v>45702</v>
      </c>
      <c r="C4998" s="59">
        <v>50531473</v>
      </c>
      <c r="D4998" s="55" t="s">
        <v>1193</v>
      </c>
      <c r="G4998" s="65">
        <v>2048000</v>
      </c>
      <c r="H4998" s="56" t="s">
        <v>92</v>
      </c>
      <c r="I4998" s="54">
        <v>8683109942</v>
      </c>
      <c r="J4998" s="56" t="s">
        <v>2978</v>
      </c>
      <c r="K4998" s="56">
        <v>3138</v>
      </c>
      <c r="L4998" s="55" t="s">
        <v>2152</v>
      </c>
      <c r="M4998" s="55" t="s">
        <v>2824</v>
      </c>
      <c r="N4998" s="4" t="s">
        <v>1905</v>
      </c>
      <c r="O4998" s="55" t="s">
        <v>178</v>
      </c>
    </row>
    <row r="4999" spans="2:15">
      <c r="B4999" s="20">
        <v>45702</v>
      </c>
      <c r="C4999" s="59">
        <v>50804929</v>
      </c>
      <c r="D4999" s="55" t="s">
        <v>856</v>
      </c>
      <c r="G4999" s="65">
        <v>240000</v>
      </c>
      <c r="H4999" s="56" t="s">
        <v>92</v>
      </c>
      <c r="I4999" s="54">
        <v>8683109942</v>
      </c>
      <c r="J4999" s="56" t="s">
        <v>2978</v>
      </c>
      <c r="K4999" s="56">
        <v>3138</v>
      </c>
      <c r="L4999" s="55" t="s">
        <v>2152</v>
      </c>
      <c r="M4999" s="55" t="s">
        <v>2824</v>
      </c>
      <c r="N4999" s="4" t="s">
        <v>1905</v>
      </c>
      <c r="O4999" s="55" t="s">
        <v>178</v>
      </c>
    </row>
    <row r="5000" spans="2:15">
      <c r="B5000" s="20">
        <v>45702</v>
      </c>
      <c r="C5000" s="59">
        <v>40010087</v>
      </c>
      <c r="D5000" s="55" t="s">
        <v>387</v>
      </c>
      <c r="G5000" s="65">
        <v>1292</v>
      </c>
      <c r="H5000" s="56" t="s">
        <v>80</v>
      </c>
      <c r="I5000" s="54">
        <v>8683109942</v>
      </c>
      <c r="J5000" s="56" t="s">
        <v>2978</v>
      </c>
      <c r="K5000" s="56">
        <v>3138</v>
      </c>
      <c r="L5000" s="55" t="s">
        <v>2152</v>
      </c>
      <c r="M5000" s="55" t="s">
        <v>2824</v>
      </c>
      <c r="N5000" s="4" t="s">
        <v>1905</v>
      </c>
      <c r="O5000" s="55" t="s">
        <v>178</v>
      </c>
    </row>
    <row r="5001" spans="2:15">
      <c r="B5001" s="20">
        <v>45702</v>
      </c>
      <c r="C5001" s="59">
        <v>50470190</v>
      </c>
      <c r="D5001" s="55" t="s">
        <v>12</v>
      </c>
      <c r="G5001" s="65">
        <v>4057200</v>
      </c>
      <c r="H5001" s="56" t="s">
        <v>92</v>
      </c>
      <c r="I5001" s="54">
        <v>8683109942</v>
      </c>
      <c r="J5001" s="56" t="s">
        <v>2978</v>
      </c>
      <c r="K5001" s="56">
        <v>3138</v>
      </c>
      <c r="L5001" s="55" t="s">
        <v>2152</v>
      </c>
      <c r="M5001" s="55" t="s">
        <v>2824</v>
      </c>
      <c r="N5001" s="4" t="s">
        <v>1905</v>
      </c>
      <c r="O5001" s="55" t="s">
        <v>178</v>
      </c>
    </row>
    <row r="5002" spans="2:15">
      <c r="B5002" s="20">
        <v>45702</v>
      </c>
      <c r="C5002" s="59">
        <v>50144376</v>
      </c>
      <c r="D5002" s="55" t="s">
        <v>19</v>
      </c>
      <c r="G5002" s="65">
        <v>5550</v>
      </c>
      <c r="H5002" s="56" t="s">
        <v>92</v>
      </c>
      <c r="I5002" s="54">
        <v>8683110005</v>
      </c>
      <c r="J5002" s="56" t="s">
        <v>2978</v>
      </c>
      <c r="K5002" s="56">
        <v>3139</v>
      </c>
      <c r="L5002" s="55" t="s">
        <v>2152</v>
      </c>
      <c r="M5002" s="55" t="s">
        <v>2824</v>
      </c>
      <c r="N5002" s="4" t="s">
        <v>1905</v>
      </c>
      <c r="O5002" s="55" t="s">
        <v>178</v>
      </c>
    </row>
    <row r="5003" spans="2:15">
      <c r="B5003" s="20">
        <v>45702</v>
      </c>
      <c r="C5003" s="59">
        <v>50272278</v>
      </c>
      <c r="D5003" s="55" t="s">
        <v>21</v>
      </c>
      <c r="G5003" s="65">
        <v>5000</v>
      </c>
      <c r="H5003" s="56" t="s">
        <v>92</v>
      </c>
      <c r="I5003" s="54">
        <v>8683110005</v>
      </c>
      <c r="J5003" s="56" t="s">
        <v>2978</v>
      </c>
      <c r="K5003" s="56">
        <v>3139</v>
      </c>
      <c r="L5003" s="55" t="s">
        <v>2152</v>
      </c>
      <c r="M5003" s="55" t="s">
        <v>2824</v>
      </c>
      <c r="N5003" s="4" t="s">
        <v>1905</v>
      </c>
      <c r="O5003" s="55" t="s">
        <v>178</v>
      </c>
    </row>
    <row r="5004" spans="2:15">
      <c r="B5004" s="20">
        <v>45702</v>
      </c>
      <c r="C5004" s="59">
        <v>40014675</v>
      </c>
      <c r="D5004" s="55" t="s">
        <v>44</v>
      </c>
      <c r="G5004" s="65">
        <v>37.44</v>
      </c>
      <c r="H5004" s="56" t="s">
        <v>1248</v>
      </c>
      <c r="I5004" s="54">
        <v>8683110441</v>
      </c>
      <c r="J5004" s="56" t="s">
        <v>2978</v>
      </c>
      <c r="K5004" s="56">
        <v>191</v>
      </c>
      <c r="L5004" s="55" t="s">
        <v>2876</v>
      </c>
      <c r="M5004" s="55" t="s">
        <v>2824</v>
      </c>
      <c r="O5004" s="55" t="s">
        <v>178</v>
      </c>
    </row>
    <row r="5005" spans="2:15">
      <c r="B5005" s="20">
        <v>45702</v>
      </c>
      <c r="C5005" s="59">
        <v>40014675</v>
      </c>
      <c r="D5005" s="55" t="s">
        <v>44</v>
      </c>
      <c r="G5005" s="65">
        <v>37.44</v>
      </c>
      <c r="H5005" s="56" t="s">
        <v>1248</v>
      </c>
      <c r="I5005" s="54">
        <v>8683110462</v>
      </c>
      <c r="J5005" s="56" t="s">
        <v>2978</v>
      </c>
      <c r="K5005" s="56">
        <v>192</v>
      </c>
      <c r="L5005" s="55" t="s">
        <v>2876</v>
      </c>
      <c r="M5005" s="55" t="s">
        <v>2824</v>
      </c>
      <c r="O5005" s="55" t="s">
        <v>178</v>
      </c>
    </row>
    <row r="5006" spans="2:15">
      <c r="B5006" s="20">
        <v>45702</v>
      </c>
      <c r="C5006" s="59">
        <v>40014675</v>
      </c>
      <c r="D5006" s="55" t="s">
        <v>44</v>
      </c>
      <c r="G5006" s="65">
        <v>37.44</v>
      </c>
      <c r="H5006" s="56" t="s">
        <v>1248</v>
      </c>
      <c r="I5006" s="54">
        <v>8683110474</v>
      </c>
      <c r="J5006" s="56" t="s">
        <v>2978</v>
      </c>
      <c r="K5006" s="56">
        <v>193</v>
      </c>
      <c r="L5006" s="55" t="s">
        <v>2876</v>
      </c>
      <c r="M5006" s="55" t="s">
        <v>2824</v>
      </c>
      <c r="O5006" s="55" t="s">
        <v>178</v>
      </c>
    </row>
    <row r="5007" spans="2:15">
      <c r="B5007" s="20">
        <v>45702</v>
      </c>
      <c r="C5007" s="59">
        <v>40014675</v>
      </c>
      <c r="D5007" s="55" t="s">
        <v>44</v>
      </c>
      <c r="G5007" s="65">
        <v>37.44</v>
      </c>
      <c r="H5007" s="56" t="s">
        <v>1248</v>
      </c>
      <c r="I5007" s="54">
        <v>8683110475</v>
      </c>
      <c r="J5007" s="56" t="s">
        <v>2978</v>
      </c>
      <c r="K5007" s="56">
        <v>194</v>
      </c>
      <c r="L5007" s="55" t="s">
        <v>2876</v>
      </c>
      <c r="M5007" s="55" t="s">
        <v>2824</v>
      </c>
      <c r="O5007" s="55" t="s">
        <v>178</v>
      </c>
    </row>
    <row r="5008" spans="2:15">
      <c r="B5008" s="20">
        <v>45702</v>
      </c>
      <c r="C5008" s="59">
        <v>40014675</v>
      </c>
      <c r="D5008" s="55" t="s">
        <v>44</v>
      </c>
      <c r="G5008" s="65">
        <v>37.44</v>
      </c>
      <c r="H5008" s="56" t="s">
        <v>1248</v>
      </c>
      <c r="I5008" s="54">
        <v>8683110482</v>
      </c>
      <c r="J5008" s="56" t="s">
        <v>2978</v>
      </c>
      <c r="K5008" s="56">
        <v>195</v>
      </c>
      <c r="L5008" s="55" t="s">
        <v>2876</v>
      </c>
      <c r="M5008" s="55" t="s">
        <v>2824</v>
      </c>
      <c r="O5008" s="55" t="s">
        <v>178</v>
      </c>
    </row>
    <row r="5009" spans="2:15">
      <c r="B5009" s="20">
        <v>45702</v>
      </c>
      <c r="C5009" s="59">
        <v>50144376</v>
      </c>
      <c r="D5009" s="55" t="s">
        <v>19</v>
      </c>
      <c r="G5009" s="65">
        <v>5500</v>
      </c>
      <c r="H5009" s="56" t="s">
        <v>92</v>
      </c>
      <c r="I5009" s="54">
        <v>8683111384</v>
      </c>
      <c r="J5009" s="56" t="s">
        <v>2978</v>
      </c>
      <c r="K5009" s="56">
        <v>3140</v>
      </c>
      <c r="L5009" s="55" t="s">
        <v>2152</v>
      </c>
      <c r="M5009" s="55" t="s">
        <v>2824</v>
      </c>
      <c r="N5009" s="4" t="s">
        <v>1905</v>
      </c>
      <c r="O5009" s="55" t="s">
        <v>178</v>
      </c>
    </row>
    <row r="5010" spans="2:15">
      <c r="B5010" s="20">
        <v>45702</v>
      </c>
      <c r="C5010" s="59">
        <v>50272278</v>
      </c>
      <c r="D5010" s="55" t="s">
        <v>21</v>
      </c>
      <c r="G5010" s="65">
        <v>5500</v>
      </c>
      <c r="H5010" s="56" t="s">
        <v>92</v>
      </c>
      <c r="I5010" s="54">
        <v>8683111384</v>
      </c>
      <c r="J5010" s="56" t="s">
        <v>2978</v>
      </c>
      <c r="K5010" s="56">
        <v>3140</v>
      </c>
      <c r="L5010" s="55" t="s">
        <v>2152</v>
      </c>
      <c r="M5010" s="55" t="s">
        <v>2824</v>
      </c>
      <c r="N5010" s="4" t="s">
        <v>1905</v>
      </c>
      <c r="O5010" s="55" t="s">
        <v>178</v>
      </c>
    </row>
    <row r="5011" spans="2:15">
      <c r="B5011" s="20">
        <v>45702</v>
      </c>
      <c r="C5011" s="59">
        <v>50515034</v>
      </c>
      <c r="D5011" s="55" t="s">
        <v>41</v>
      </c>
      <c r="G5011" s="65">
        <v>64.8</v>
      </c>
      <c r="H5011" s="56" t="s">
        <v>80</v>
      </c>
      <c r="I5011" s="54" t="s">
        <v>2874</v>
      </c>
      <c r="J5011" s="56" t="s">
        <v>2978</v>
      </c>
      <c r="K5011" s="56">
        <v>3142</v>
      </c>
      <c r="L5011" s="55" t="s">
        <v>176</v>
      </c>
      <c r="M5011" s="55" t="s">
        <v>392</v>
      </c>
      <c r="N5011" s="4" t="s">
        <v>177</v>
      </c>
      <c r="O5011" s="55" t="s">
        <v>178</v>
      </c>
    </row>
    <row r="5012" spans="2:15">
      <c r="B5012" s="20">
        <v>45702</v>
      </c>
      <c r="C5012" s="59">
        <v>50834669</v>
      </c>
      <c r="D5012" s="55" t="s">
        <v>1668</v>
      </c>
      <c r="G5012" s="65">
        <v>57600</v>
      </c>
      <c r="H5012" s="56" t="s">
        <v>92</v>
      </c>
      <c r="I5012" s="54" t="s">
        <v>2874</v>
      </c>
      <c r="J5012" s="56" t="s">
        <v>2978</v>
      </c>
      <c r="K5012" s="56">
        <v>3142</v>
      </c>
      <c r="L5012" s="55" t="s">
        <v>176</v>
      </c>
      <c r="M5012" s="55" t="s">
        <v>392</v>
      </c>
      <c r="N5012" s="4" t="s">
        <v>177</v>
      </c>
      <c r="O5012" s="55" t="s">
        <v>178</v>
      </c>
    </row>
    <row r="5013" spans="2:15">
      <c r="B5013" s="20">
        <v>45702</v>
      </c>
      <c r="C5013" s="59">
        <v>50145028</v>
      </c>
      <c r="D5013" s="55" t="s">
        <v>23</v>
      </c>
      <c r="G5013" s="65">
        <v>768</v>
      </c>
      <c r="H5013" s="56" t="s">
        <v>92</v>
      </c>
      <c r="I5013" s="54" t="s">
        <v>2874</v>
      </c>
      <c r="J5013" s="56" t="s">
        <v>2978</v>
      </c>
      <c r="K5013" s="56">
        <v>3142</v>
      </c>
      <c r="L5013" s="55" t="s">
        <v>176</v>
      </c>
      <c r="M5013" s="55" t="s">
        <v>392</v>
      </c>
      <c r="N5013" s="4" t="s">
        <v>177</v>
      </c>
      <c r="O5013" s="55" t="s">
        <v>178</v>
      </c>
    </row>
    <row r="5014" spans="2:15">
      <c r="B5014" s="20">
        <v>45702</v>
      </c>
      <c r="C5014" s="59">
        <v>50834329</v>
      </c>
      <c r="D5014" s="55" t="s">
        <v>1475</v>
      </c>
      <c r="G5014" s="65">
        <v>3167.05</v>
      </c>
      <c r="H5014" s="56" t="s">
        <v>82</v>
      </c>
      <c r="I5014" s="54" t="s">
        <v>2874</v>
      </c>
      <c r="J5014" s="56" t="s">
        <v>2978</v>
      </c>
      <c r="K5014" s="56">
        <v>3142</v>
      </c>
      <c r="L5014" s="55" t="s">
        <v>176</v>
      </c>
      <c r="M5014" s="55" t="s">
        <v>392</v>
      </c>
      <c r="N5014" s="4" t="s">
        <v>177</v>
      </c>
      <c r="O5014" s="55" t="s">
        <v>178</v>
      </c>
    </row>
    <row r="5015" spans="2:15">
      <c r="B5015" s="20">
        <v>45702</v>
      </c>
      <c r="C5015" s="59">
        <v>50144376</v>
      </c>
      <c r="D5015" s="55" t="s">
        <v>19</v>
      </c>
      <c r="G5015" s="65">
        <v>2000</v>
      </c>
      <c r="H5015" s="56" t="s">
        <v>92</v>
      </c>
      <c r="I5015" s="54" t="s">
        <v>2874</v>
      </c>
      <c r="J5015" s="56" t="s">
        <v>2978</v>
      </c>
      <c r="K5015" s="56">
        <v>3142</v>
      </c>
      <c r="L5015" s="55" t="s">
        <v>176</v>
      </c>
      <c r="M5015" s="55" t="s">
        <v>392</v>
      </c>
      <c r="N5015" s="4" t="s">
        <v>177</v>
      </c>
      <c r="O5015" s="55" t="s">
        <v>178</v>
      </c>
    </row>
    <row r="5016" spans="2:15">
      <c r="B5016" s="20">
        <v>45702</v>
      </c>
      <c r="C5016" s="59">
        <v>50272278</v>
      </c>
      <c r="D5016" s="55" t="s">
        <v>21</v>
      </c>
      <c r="G5016" s="65">
        <v>1150</v>
      </c>
      <c r="H5016" s="56" t="s">
        <v>92</v>
      </c>
      <c r="I5016" s="54" t="s">
        <v>2874</v>
      </c>
      <c r="J5016" s="56" t="s">
        <v>2978</v>
      </c>
      <c r="K5016" s="56">
        <v>3142</v>
      </c>
      <c r="L5016" s="55" t="s">
        <v>176</v>
      </c>
      <c r="M5016" s="55" t="s">
        <v>392</v>
      </c>
      <c r="N5016" s="4" t="s">
        <v>177</v>
      </c>
      <c r="O5016" s="55" t="s">
        <v>178</v>
      </c>
    </row>
    <row r="5017" spans="2:15">
      <c r="B5017" s="20">
        <v>45705</v>
      </c>
      <c r="C5017" s="59">
        <v>50272278</v>
      </c>
      <c r="D5017" s="69" t="s">
        <v>21</v>
      </c>
      <c r="G5017" s="65">
        <v>12000</v>
      </c>
      <c r="H5017" s="56" t="s">
        <v>92</v>
      </c>
      <c r="I5017" s="54">
        <v>8683992607</v>
      </c>
      <c r="J5017" s="56" t="s">
        <v>2978</v>
      </c>
      <c r="K5017" s="56">
        <v>3143</v>
      </c>
      <c r="L5017" s="55" t="s">
        <v>392</v>
      </c>
      <c r="M5017" s="55" t="s">
        <v>392</v>
      </c>
      <c r="N5017" s="4" t="s">
        <v>1275</v>
      </c>
      <c r="O5017" s="55" t="s">
        <v>178</v>
      </c>
    </row>
    <row r="5018" spans="2:15">
      <c r="B5018" s="20">
        <v>45702</v>
      </c>
      <c r="C5018" s="59">
        <v>40014675</v>
      </c>
      <c r="D5018" s="55" t="s">
        <v>44</v>
      </c>
      <c r="G5018" s="65">
        <v>37.44</v>
      </c>
      <c r="H5018" s="56" t="s">
        <v>1248</v>
      </c>
      <c r="I5018" s="54">
        <v>8683991553</v>
      </c>
      <c r="J5018" s="56" t="s">
        <v>2978</v>
      </c>
      <c r="K5018" s="56">
        <v>196</v>
      </c>
      <c r="L5018" s="55" t="s">
        <v>2876</v>
      </c>
      <c r="M5018" s="55" t="s">
        <v>2824</v>
      </c>
      <c r="O5018" s="55" t="s">
        <v>178</v>
      </c>
    </row>
    <row r="5019" spans="2:15">
      <c r="B5019" s="20">
        <v>45706</v>
      </c>
      <c r="C5019" s="59">
        <v>50804971</v>
      </c>
      <c r="D5019" s="55" t="s">
        <v>855</v>
      </c>
      <c r="G5019" s="65">
        <v>1440000</v>
      </c>
      <c r="H5019" s="56" t="s">
        <v>92</v>
      </c>
      <c r="I5019" s="54">
        <v>8684421827</v>
      </c>
      <c r="J5019" s="56" t="s">
        <v>2978</v>
      </c>
      <c r="K5019" s="56">
        <v>3144</v>
      </c>
      <c r="L5019" s="55" t="s">
        <v>392</v>
      </c>
      <c r="M5019" s="55" t="s">
        <v>392</v>
      </c>
      <c r="N5019" s="4" t="s">
        <v>1275</v>
      </c>
      <c r="O5019" s="55" t="s">
        <v>178</v>
      </c>
    </row>
    <row r="5020" spans="2:15">
      <c r="B5020" s="20">
        <v>45706</v>
      </c>
      <c r="C5020" s="59">
        <v>50272278</v>
      </c>
      <c r="D5020" s="55" t="s">
        <v>21</v>
      </c>
      <c r="G5020" s="65">
        <v>8000</v>
      </c>
      <c r="H5020" s="56" t="s">
        <v>92</v>
      </c>
      <c r="I5020" s="54">
        <v>8684421827</v>
      </c>
      <c r="J5020" s="56" t="s">
        <v>2978</v>
      </c>
      <c r="K5020" s="56">
        <v>3144</v>
      </c>
      <c r="L5020" s="55" t="s">
        <v>392</v>
      </c>
      <c r="M5020" s="55" t="s">
        <v>392</v>
      </c>
      <c r="N5020" s="4" t="s">
        <v>1275</v>
      </c>
      <c r="O5020" s="55" t="s">
        <v>178</v>
      </c>
    </row>
    <row r="5021" spans="2:15">
      <c r="B5021" s="20">
        <v>45706</v>
      </c>
      <c r="C5021" s="59">
        <v>40011149</v>
      </c>
      <c r="D5021" s="55" t="s">
        <v>37</v>
      </c>
      <c r="G5021" s="65">
        <v>1440</v>
      </c>
      <c r="H5021" s="56" t="s">
        <v>80</v>
      </c>
      <c r="I5021" s="54">
        <v>8684421827</v>
      </c>
      <c r="J5021" s="56" t="s">
        <v>2978</v>
      </c>
      <c r="K5021" s="56">
        <v>3144</v>
      </c>
      <c r="L5021" s="55" t="s">
        <v>392</v>
      </c>
      <c r="M5021" s="55" t="s">
        <v>392</v>
      </c>
      <c r="N5021" s="4" t="s">
        <v>1275</v>
      </c>
      <c r="O5021" s="55" t="s">
        <v>178</v>
      </c>
    </row>
    <row r="5022" spans="2:15">
      <c r="B5022" s="20">
        <v>45706</v>
      </c>
      <c r="C5022" s="59">
        <v>40011588</v>
      </c>
      <c r="D5022" s="55" t="s">
        <v>585</v>
      </c>
      <c r="G5022" s="65">
        <v>560</v>
      </c>
      <c r="H5022" s="56" t="s">
        <v>80</v>
      </c>
      <c r="I5022" s="54">
        <v>8684421827</v>
      </c>
      <c r="J5022" s="56" t="s">
        <v>2978</v>
      </c>
      <c r="K5022" s="56">
        <v>3144</v>
      </c>
      <c r="L5022" s="55" t="s">
        <v>392</v>
      </c>
      <c r="M5022" s="55" t="s">
        <v>392</v>
      </c>
      <c r="N5022" s="4" t="s">
        <v>1275</v>
      </c>
      <c r="O5022" s="55" t="s">
        <v>178</v>
      </c>
    </row>
    <row r="5023" spans="2:15">
      <c r="B5023" s="20">
        <v>45707</v>
      </c>
      <c r="C5023" s="59">
        <v>50272278</v>
      </c>
      <c r="D5023" s="69" t="s">
        <v>21</v>
      </c>
      <c r="G5023" s="65">
        <v>11000</v>
      </c>
      <c r="H5023" s="56" t="s">
        <v>92</v>
      </c>
      <c r="I5023" s="54">
        <v>8684888384</v>
      </c>
      <c r="J5023" s="56" t="s">
        <v>2978</v>
      </c>
      <c r="K5023" s="56">
        <v>3145</v>
      </c>
      <c r="L5023" s="55" t="s">
        <v>2152</v>
      </c>
      <c r="M5023" s="55" t="s">
        <v>2824</v>
      </c>
      <c r="N5023" s="4" t="s">
        <v>1905</v>
      </c>
      <c r="O5023" s="55" t="s">
        <v>178</v>
      </c>
    </row>
    <row r="5024" spans="2:15">
      <c r="B5024" s="20">
        <v>45708</v>
      </c>
      <c r="C5024" s="59">
        <v>50272278</v>
      </c>
      <c r="D5024" s="69" t="s">
        <v>21</v>
      </c>
      <c r="G5024" s="65">
        <v>11000</v>
      </c>
      <c r="H5024" s="56" t="s">
        <v>92</v>
      </c>
      <c r="I5024" s="54">
        <v>8685842141</v>
      </c>
      <c r="J5024" s="56" t="s">
        <v>2978</v>
      </c>
      <c r="K5024" s="56">
        <v>3146</v>
      </c>
      <c r="L5024" s="55" t="s">
        <v>2152</v>
      </c>
      <c r="M5024" s="55" t="s">
        <v>2824</v>
      </c>
      <c r="N5024" s="4" t="s">
        <v>1905</v>
      </c>
      <c r="O5024" s="55" t="s">
        <v>178</v>
      </c>
    </row>
    <row r="5025" spans="2:15">
      <c r="B5025" s="20">
        <v>45708</v>
      </c>
      <c r="C5025" s="59">
        <v>50142631</v>
      </c>
      <c r="D5025" s="55" t="s">
        <v>566</v>
      </c>
      <c r="G5025" s="65">
        <v>1000</v>
      </c>
      <c r="H5025" s="56" t="s">
        <v>82</v>
      </c>
      <c r="I5025" s="54">
        <v>8685842504</v>
      </c>
      <c r="J5025" s="56" t="s">
        <v>2978</v>
      </c>
      <c r="K5025" s="56">
        <v>3147</v>
      </c>
      <c r="L5025" s="55" t="s">
        <v>2152</v>
      </c>
      <c r="M5025" s="55" t="s">
        <v>2824</v>
      </c>
      <c r="N5025" s="4" t="s">
        <v>1905</v>
      </c>
      <c r="O5025" s="55" t="s">
        <v>178</v>
      </c>
    </row>
    <row r="5026" spans="2:15">
      <c r="B5026" s="20">
        <v>45708</v>
      </c>
      <c r="C5026" s="59">
        <v>50010080</v>
      </c>
      <c r="D5026" s="55" t="s">
        <v>1657</v>
      </c>
      <c r="G5026" s="65">
        <v>3950</v>
      </c>
      <c r="H5026" s="56" t="s">
        <v>82</v>
      </c>
      <c r="I5026" s="54">
        <v>8685842504</v>
      </c>
      <c r="J5026" s="56" t="s">
        <v>2978</v>
      </c>
      <c r="K5026" s="56">
        <v>3147</v>
      </c>
      <c r="L5026" s="55" t="s">
        <v>2152</v>
      </c>
      <c r="M5026" s="55" t="s">
        <v>2824</v>
      </c>
      <c r="N5026" s="4" t="s">
        <v>1905</v>
      </c>
      <c r="O5026" s="55" t="s">
        <v>178</v>
      </c>
    </row>
    <row r="5027" spans="2:15">
      <c r="B5027" s="20">
        <v>45708</v>
      </c>
      <c r="C5027" s="59">
        <v>40010087</v>
      </c>
      <c r="D5027" s="55" t="s">
        <v>387</v>
      </c>
      <c r="G5027" s="65">
        <v>3456</v>
      </c>
      <c r="H5027" s="56" t="s">
        <v>92</v>
      </c>
      <c r="I5027" s="54">
        <v>8685842504</v>
      </c>
      <c r="J5027" s="56" t="s">
        <v>2978</v>
      </c>
      <c r="K5027" s="56">
        <v>3147</v>
      </c>
      <c r="L5027" s="55" t="s">
        <v>2152</v>
      </c>
      <c r="M5027" s="55" t="s">
        <v>2824</v>
      </c>
      <c r="N5027" s="4" t="s">
        <v>1905</v>
      </c>
      <c r="O5027" s="55" t="s">
        <v>178</v>
      </c>
    </row>
    <row r="5028" spans="2:15">
      <c r="B5028" s="20">
        <v>45708</v>
      </c>
      <c r="C5028" s="59">
        <v>40009541</v>
      </c>
      <c r="D5028" s="55" t="s">
        <v>685</v>
      </c>
      <c r="G5028" s="65">
        <v>3731</v>
      </c>
      <c r="H5028" s="56" t="s">
        <v>80</v>
      </c>
      <c r="I5028" s="54">
        <v>8685842504</v>
      </c>
      <c r="J5028" s="56" t="s">
        <v>2978</v>
      </c>
      <c r="K5028" s="56">
        <v>3147</v>
      </c>
      <c r="L5028" s="55" t="s">
        <v>2152</v>
      </c>
      <c r="M5028" s="55" t="s">
        <v>2824</v>
      </c>
      <c r="N5028" s="4" t="s">
        <v>1905</v>
      </c>
      <c r="O5028" s="55" t="s">
        <v>178</v>
      </c>
    </row>
    <row r="5029" spans="2:15">
      <c r="B5029" s="20">
        <v>45708</v>
      </c>
      <c r="C5029" s="59">
        <v>50507916</v>
      </c>
      <c r="D5029" s="55" t="s">
        <v>406</v>
      </c>
      <c r="G5029" s="65">
        <v>1056000</v>
      </c>
      <c r="H5029" s="56" t="s">
        <v>80</v>
      </c>
      <c r="I5029" s="54">
        <v>8685842504</v>
      </c>
      <c r="J5029" s="56" t="s">
        <v>2978</v>
      </c>
      <c r="K5029" s="56">
        <v>3147</v>
      </c>
      <c r="L5029" s="55" t="s">
        <v>2152</v>
      </c>
      <c r="M5029" s="55" t="s">
        <v>2824</v>
      </c>
      <c r="N5029" s="4" t="s">
        <v>1905</v>
      </c>
      <c r="O5029" s="55" t="s">
        <v>178</v>
      </c>
    </row>
    <row r="5030" spans="2:15">
      <c r="B5030" s="20">
        <v>45708</v>
      </c>
      <c r="C5030" s="59">
        <v>50449101</v>
      </c>
      <c r="D5030" s="55" t="s">
        <v>237</v>
      </c>
      <c r="G5030" s="65">
        <v>869400</v>
      </c>
      <c r="H5030" s="56" t="s">
        <v>92</v>
      </c>
      <c r="I5030" s="54">
        <v>8685842504</v>
      </c>
      <c r="J5030" s="56" t="s">
        <v>2978</v>
      </c>
      <c r="K5030" s="56">
        <v>3147</v>
      </c>
      <c r="L5030" s="55" t="s">
        <v>2152</v>
      </c>
      <c r="M5030" s="55" t="s">
        <v>2824</v>
      </c>
      <c r="N5030" s="4" t="s">
        <v>1905</v>
      </c>
      <c r="O5030" s="55" t="s">
        <v>178</v>
      </c>
    </row>
    <row r="5031" spans="2:15">
      <c r="B5031" s="20">
        <v>45708</v>
      </c>
      <c r="C5031" s="59">
        <v>50837509</v>
      </c>
      <c r="D5031" s="55" t="s">
        <v>14</v>
      </c>
      <c r="G5031" s="65">
        <v>1159200</v>
      </c>
      <c r="H5031" s="56" t="s">
        <v>92</v>
      </c>
      <c r="I5031" s="54">
        <v>8685842504</v>
      </c>
      <c r="J5031" s="56" t="s">
        <v>2978</v>
      </c>
      <c r="K5031" s="56">
        <v>3147</v>
      </c>
      <c r="L5031" s="55" t="s">
        <v>2152</v>
      </c>
      <c r="M5031" s="55" t="s">
        <v>2824</v>
      </c>
      <c r="N5031" s="4" t="s">
        <v>1905</v>
      </c>
      <c r="O5031" s="55" t="s">
        <v>178</v>
      </c>
    </row>
    <row r="5032" spans="2:15">
      <c r="B5032" s="20">
        <v>45708</v>
      </c>
      <c r="C5032" s="59">
        <v>50819323</v>
      </c>
      <c r="D5032" s="55" t="s">
        <v>40</v>
      </c>
      <c r="G5032" s="65">
        <v>82.54</v>
      </c>
      <c r="H5032" s="56" t="s">
        <v>80</v>
      </c>
      <c r="I5032" s="54" t="s">
        <v>2874</v>
      </c>
      <c r="J5032" s="56" t="s">
        <v>2978</v>
      </c>
      <c r="K5032" s="56">
        <v>3148</v>
      </c>
      <c r="L5032" s="55" t="s">
        <v>416</v>
      </c>
      <c r="O5032" s="55" t="s">
        <v>178</v>
      </c>
    </row>
    <row r="5033" spans="2:15">
      <c r="B5033" s="20">
        <v>45708</v>
      </c>
      <c r="C5033" s="59">
        <v>50834329</v>
      </c>
      <c r="D5033" s="55" t="s">
        <v>1475</v>
      </c>
      <c r="G5033" s="65">
        <v>1938.9</v>
      </c>
      <c r="H5033" s="56" t="s">
        <v>82</v>
      </c>
      <c r="I5033" s="54" t="s">
        <v>2874</v>
      </c>
      <c r="J5033" s="56" t="s">
        <v>2978</v>
      </c>
      <c r="K5033" s="56">
        <v>3148</v>
      </c>
      <c r="L5033" s="55" t="s">
        <v>416</v>
      </c>
      <c r="O5033" s="55" t="s">
        <v>178</v>
      </c>
    </row>
    <row r="5034" spans="2:15">
      <c r="B5034" s="20">
        <v>45708</v>
      </c>
      <c r="C5034" s="59">
        <v>50272278</v>
      </c>
      <c r="D5034" s="69" t="s">
        <v>21</v>
      </c>
      <c r="G5034" s="65">
        <v>8000</v>
      </c>
      <c r="H5034" s="56" t="s">
        <v>92</v>
      </c>
      <c r="I5034" s="54">
        <v>8685842508</v>
      </c>
      <c r="J5034" s="56" t="s">
        <v>2978</v>
      </c>
      <c r="K5034" s="56">
        <v>3149</v>
      </c>
      <c r="L5034" s="55" t="s">
        <v>2152</v>
      </c>
      <c r="M5034" s="55" t="s">
        <v>2824</v>
      </c>
      <c r="N5034" s="4" t="s">
        <v>1905</v>
      </c>
      <c r="O5034" s="55" t="s">
        <v>178</v>
      </c>
    </row>
    <row r="5035" spans="2:15">
      <c r="B5035" s="20">
        <v>45708</v>
      </c>
      <c r="C5035" s="59">
        <v>50142327</v>
      </c>
      <c r="D5035" s="69" t="s">
        <v>256</v>
      </c>
      <c r="G5035" s="65">
        <v>1906.8</v>
      </c>
      <c r="H5035" s="56" t="s">
        <v>82</v>
      </c>
      <c r="I5035" s="54">
        <v>8685842508</v>
      </c>
      <c r="J5035" s="56" t="s">
        <v>2978</v>
      </c>
      <c r="K5035" s="56">
        <v>3149</v>
      </c>
      <c r="L5035" s="55" t="s">
        <v>2152</v>
      </c>
      <c r="M5035" s="55" t="s">
        <v>2824</v>
      </c>
      <c r="N5035" s="4" t="s">
        <v>1905</v>
      </c>
      <c r="O5035" s="55" t="s">
        <v>178</v>
      </c>
    </row>
    <row r="5036" spans="2:15">
      <c r="B5036" s="20">
        <v>45708</v>
      </c>
      <c r="C5036" s="59">
        <v>50142334</v>
      </c>
      <c r="D5036" s="69" t="s">
        <v>257</v>
      </c>
      <c r="G5036" s="65">
        <v>953.4</v>
      </c>
      <c r="H5036" s="56" t="s">
        <v>82</v>
      </c>
      <c r="I5036" s="54">
        <v>8685842508</v>
      </c>
      <c r="J5036" s="56" t="s">
        <v>2978</v>
      </c>
      <c r="K5036" s="56">
        <v>3149</v>
      </c>
      <c r="L5036" s="55" t="s">
        <v>2152</v>
      </c>
      <c r="M5036" s="55" t="s">
        <v>2824</v>
      </c>
      <c r="N5036" s="4" t="s">
        <v>1905</v>
      </c>
      <c r="O5036" s="55" t="s">
        <v>178</v>
      </c>
    </row>
    <row r="5037" spans="2:15">
      <c r="B5037" s="20">
        <v>45709</v>
      </c>
      <c r="C5037" s="59">
        <v>50142519</v>
      </c>
      <c r="D5037" s="55" t="s">
        <v>1575</v>
      </c>
      <c r="G5037" s="65">
        <v>6000</v>
      </c>
      <c r="H5037" s="56" t="s">
        <v>92</v>
      </c>
      <c r="I5037" s="54">
        <v>8686842818</v>
      </c>
      <c r="J5037" s="56" t="s">
        <v>2978</v>
      </c>
      <c r="K5037" s="56">
        <v>3150</v>
      </c>
      <c r="L5037" s="55" t="s">
        <v>2152</v>
      </c>
      <c r="M5037" s="55" t="s">
        <v>2824</v>
      </c>
      <c r="N5037" s="4" t="s">
        <v>1905</v>
      </c>
      <c r="O5037" s="55" t="s">
        <v>178</v>
      </c>
    </row>
    <row r="5038" spans="2:15">
      <c r="B5038" s="20">
        <v>45709</v>
      </c>
      <c r="C5038" s="59">
        <v>50470190</v>
      </c>
      <c r="D5038" s="55" t="s">
        <v>12</v>
      </c>
      <c r="G5038" s="65">
        <v>5216400</v>
      </c>
      <c r="H5038" s="56" t="s">
        <v>92</v>
      </c>
      <c r="I5038" s="54">
        <v>8686842818</v>
      </c>
      <c r="J5038" s="56" t="s">
        <v>2978</v>
      </c>
      <c r="K5038" s="56">
        <v>3150</v>
      </c>
      <c r="L5038" s="55" t="s">
        <v>2152</v>
      </c>
      <c r="M5038" s="55" t="s">
        <v>2824</v>
      </c>
      <c r="N5038" s="4" t="s">
        <v>1905</v>
      </c>
      <c r="O5038" s="55" t="s">
        <v>178</v>
      </c>
    </row>
    <row r="5039" spans="2:15">
      <c r="B5039" s="20">
        <v>45709</v>
      </c>
      <c r="C5039" s="59">
        <v>50143893</v>
      </c>
      <c r="D5039" s="55" t="s">
        <v>24</v>
      </c>
      <c r="G5039" s="65">
        <v>2640</v>
      </c>
      <c r="H5039" s="56" t="s">
        <v>82</v>
      </c>
      <c r="I5039" s="54">
        <v>8686731862</v>
      </c>
      <c r="J5039" s="56" t="s">
        <v>2978</v>
      </c>
      <c r="K5039" s="56">
        <v>3151</v>
      </c>
      <c r="L5039" s="55" t="s">
        <v>2152</v>
      </c>
      <c r="M5039" s="55" t="s">
        <v>2824</v>
      </c>
      <c r="N5039" s="4" t="s">
        <v>1905</v>
      </c>
      <c r="O5039" s="55" t="s">
        <v>178</v>
      </c>
    </row>
    <row r="5040" spans="2:15">
      <c r="B5040" s="20">
        <v>45709</v>
      </c>
      <c r="C5040" s="59">
        <v>50837284</v>
      </c>
      <c r="D5040" s="55" t="s">
        <v>28</v>
      </c>
      <c r="G5040" s="65">
        <v>2027.8</v>
      </c>
      <c r="H5040" s="56" t="s">
        <v>82</v>
      </c>
      <c r="I5040" s="54">
        <v>8686731862</v>
      </c>
      <c r="J5040" s="56" t="s">
        <v>2978</v>
      </c>
      <c r="K5040" s="56">
        <v>3151</v>
      </c>
      <c r="L5040" s="55" t="s">
        <v>2152</v>
      </c>
      <c r="M5040" s="55" t="s">
        <v>2824</v>
      </c>
      <c r="N5040" s="4" t="s">
        <v>1905</v>
      </c>
      <c r="O5040" s="55" t="s">
        <v>178</v>
      </c>
    </row>
    <row r="5041" spans="2:15">
      <c r="B5041" s="20">
        <v>45709</v>
      </c>
      <c r="C5041" s="59">
        <v>50144376</v>
      </c>
      <c r="D5041" s="55" t="s">
        <v>19</v>
      </c>
      <c r="G5041" s="65">
        <v>5500</v>
      </c>
      <c r="H5041" s="56" t="s">
        <v>92</v>
      </c>
      <c r="I5041" s="54">
        <v>8686731862</v>
      </c>
      <c r="J5041" s="56" t="s">
        <v>2978</v>
      </c>
      <c r="K5041" s="56">
        <v>3151</v>
      </c>
      <c r="L5041" s="55" t="s">
        <v>2152</v>
      </c>
      <c r="M5041" s="55" t="s">
        <v>2824</v>
      </c>
      <c r="N5041" s="4" t="s">
        <v>1905</v>
      </c>
      <c r="O5041" s="55" t="s">
        <v>178</v>
      </c>
    </row>
    <row r="5042" spans="2:15">
      <c r="B5042" s="20">
        <v>45709</v>
      </c>
      <c r="C5042" s="59">
        <v>40010083</v>
      </c>
      <c r="D5042" s="55" t="s">
        <v>85</v>
      </c>
      <c r="G5042" s="65">
        <v>1698</v>
      </c>
      <c r="H5042" s="56" t="s">
        <v>80</v>
      </c>
      <c r="I5042" s="54">
        <v>8688140926</v>
      </c>
      <c r="J5042" s="56" t="s">
        <v>2978</v>
      </c>
      <c r="K5042" s="56">
        <v>3151</v>
      </c>
      <c r="L5042" s="55" t="s">
        <v>2152</v>
      </c>
      <c r="M5042" s="55" t="s">
        <v>2824</v>
      </c>
      <c r="N5042" s="4" t="s">
        <v>1905</v>
      </c>
      <c r="O5042" s="55" t="s">
        <v>178</v>
      </c>
    </row>
    <row r="5043" spans="2:15">
      <c r="B5043" s="20">
        <v>45709</v>
      </c>
      <c r="C5043" s="59">
        <v>50837267</v>
      </c>
      <c r="D5043" s="55" t="s">
        <v>26</v>
      </c>
      <c r="G5043" s="65">
        <v>985.55</v>
      </c>
      <c r="H5043" s="56" t="s">
        <v>82</v>
      </c>
      <c r="I5043" s="54">
        <v>8688133031</v>
      </c>
      <c r="J5043" s="56" t="s">
        <v>2978</v>
      </c>
      <c r="K5043" s="56">
        <v>3151</v>
      </c>
      <c r="L5043" s="55" t="s">
        <v>2152</v>
      </c>
      <c r="M5043" s="55" t="s">
        <v>2824</v>
      </c>
      <c r="N5043" s="4" t="s">
        <v>1905</v>
      </c>
      <c r="O5043" s="55" t="s">
        <v>178</v>
      </c>
    </row>
    <row r="5044" spans="2:15">
      <c r="B5044" s="20">
        <v>45709</v>
      </c>
      <c r="C5044" s="59">
        <v>20016059</v>
      </c>
      <c r="D5044" s="55" t="s">
        <v>1498</v>
      </c>
      <c r="G5044" s="65">
        <v>50</v>
      </c>
      <c r="H5044" s="56" t="s">
        <v>92</v>
      </c>
      <c r="I5044" s="54" t="s">
        <v>2874</v>
      </c>
      <c r="J5044" s="56" t="s">
        <v>2978</v>
      </c>
      <c r="K5044" s="56">
        <v>3151</v>
      </c>
      <c r="L5044" s="55" t="s">
        <v>2152</v>
      </c>
      <c r="M5044" s="55" t="s">
        <v>2824</v>
      </c>
      <c r="N5044" s="4" t="s">
        <v>1905</v>
      </c>
      <c r="O5044" s="55" t="s">
        <v>178</v>
      </c>
    </row>
    <row r="5045" spans="2:15">
      <c r="B5045" s="20">
        <v>45710</v>
      </c>
      <c r="C5045" s="59">
        <v>40010087</v>
      </c>
      <c r="D5045" s="55" t="s">
        <v>387</v>
      </c>
      <c r="G5045" s="65">
        <v>4320</v>
      </c>
      <c r="H5045" s="56" t="s">
        <v>80</v>
      </c>
      <c r="I5045" s="54" t="s">
        <v>2986</v>
      </c>
      <c r="J5045" s="56" t="s">
        <v>2978</v>
      </c>
      <c r="K5045" s="56">
        <v>3152</v>
      </c>
      <c r="L5045" s="55" t="s">
        <v>176</v>
      </c>
      <c r="M5045" s="55" t="s">
        <v>2824</v>
      </c>
      <c r="N5045" s="4" t="s">
        <v>177</v>
      </c>
      <c r="O5045" s="55" t="s">
        <v>178</v>
      </c>
    </row>
    <row r="5046" spans="2:15">
      <c r="B5046" s="20">
        <v>45710</v>
      </c>
      <c r="C5046" s="59">
        <v>40009543</v>
      </c>
      <c r="D5046" s="55" t="s">
        <v>473</v>
      </c>
      <c r="G5046" s="65">
        <v>1920</v>
      </c>
      <c r="H5046" s="56" t="s">
        <v>80</v>
      </c>
      <c r="I5046" s="54" t="s">
        <v>2986</v>
      </c>
      <c r="J5046" s="56" t="s">
        <v>2978</v>
      </c>
      <c r="K5046" s="56">
        <v>3152</v>
      </c>
      <c r="L5046" s="55" t="s">
        <v>176</v>
      </c>
      <c r="M5046" s="55" t="s">
        <v>2824</v>
      </c>
      <c r="N5046" s="4" t="s">
        <v>177</v>
      </c>
      <c r="O5046" s="55" t="s">
        <v>178</v>
      </c>
    </row>
    <row r="5047" spans="2:15">
      <c r="B5047" s="20">
        <v>45710</v>
      </c>
      <c r="C5047" s="59">
        <v>40007855</v>
      </c>
      <c r="D5047" s="55" t="s">
        <v>84</v>
      </c>
      <c r="G5047" s="65">
        <v>1536</v>
      </c>
      <c r="H5047" s="56" t="s">
        <v>80</v>
      </c>
      <c r="I5047" s="54" t="s">
        <v>2986</v>
      </c>
      <c r="J5047" s="56" t="s">
        <v>2978</v>
      </c>
      <c r="K5047" s="56">
        <v>3152</v>
      </c>
      <c r="L5047" s="55" t="s">
        <v>176</v>
      </c>
      <c r="M5047" s="55" t="s">
        <v>2824</v>
      </c>
      <c r="N5047" s="4" t="s">
        <v>177</v>
      </c>
      <c r="O5047" s="55" t="s">
        <v>178</v>
      </c>
    </row>
    <row r="5048" spans="2:15">
      <c r="B5048" s="20">
        <v>45710</v>
      </c>
      <c r="C5048" s="59">
        <v>40009151</v>
      </c>
      <c r="D5048" s="55" t="s">
        <v>180</v>
      </c>
      <c r="G5048" s="65">
        <v>150</v>
      </c>
      <c r="H5048" s="56" t="s">
        <v>80</v>
      </c>
      <c r="I5048" s="54" t="s">
        <v>2986</v>
      </c>
      <c r="J5048" s="56" t="s">
        <v>2978</v>
      </c>
      <c r="K5048" s="56">
        <v>3152</v>
      </c>
      <c r="L5048" s="55" t="s">
        <v>176</v>
      </c>
      <c r="M5048" s="55" t="s">
        <v>2824</v>
      </c>
      <c r="N5048" s="4" t="s">
        <v>177</v>
      </c>
      <c r="O5048" s="55" t="s">
        <v>178</v>
      </c>
    </row>
    <row r="5049" spans="2:15">
      <c r="B5049" s="20">
        <v>45710</v>
      </c>
      <c r="C5049" s="59">
        <v>50142350</v>
      </c>
      <c r="D5049" s="55" t="s">
        <v>212</v>
      </c>
      <c r="G5049" s="65">
        <v>11.34</v>
      </c>
      <c r="H5049" s="56" t="s">
        <v>82</v>
      </c>
      <c r="I5049" s="54" t="s">
        <v>2986</v>
      </c>
      <c r="J5049" s="56" t="s">
        <v>2978</v>
      </c>
      <c r="K5049" s="56">
        <v>3152</v>
      </c>
      <c r="L5049" s="55" t="s">
        <v>176</v>
      </c>
      <c r="M5049" s="55" t="s">
        <v>2824</v>
      </c>
      <c r="N5049" s="4" t="s">
        <v>177</v>
      </c>
      <c r="O5049" s="55" t="s">
        <v>178</v>
      </c>
    </row>
    <row r="5050" spans="2:15">
      <c r="B5050" s="20">
        <v>45710</v>
      </c>
      <c r="C5050" s="59">
        <v>50142327</v>
      </c>
      <c r="D5050" s="69" t="s">
        <v>256</v>
      </c>
      <c r="G5050" s="65">
        <v>544.8</v>
      </c>
      <c r="H5050" s="56" t="s">
        <v>82</v>
      </c>
      <c r="I5050" s="54" t="s">
        <v>2986</v>
      </c>
      <c r="J5050" s="56" t="s">
        <v>2978</v>
      </c>
      <c r="K5050" s="56">
        <v>3152</v>
      </c>
      <c r="L5050" s="55" t="s">
        <v>176</v>
      </c>
      <c r="M5050" s="55" t="s">
        <v>2824</v>
      </c>
      <c r="N5050" s="4" t="s">
        <v>177</v>
      </c>
      <c r="O5050" s="55" t="s">
        <v>178</v>
      </c>
    </row>
    <row r="5051" spans="2:15">
      <c r="B5051" s="20">
        <v>45710</v>
      </c>
      <c r="C5051" s="59">
        <v>50142334</v>
      </c>
      <c r="D5051" s="69" t="s">
        <v>257</v>
      </c>
      <c r="G5051" s="65">
        <v>522.1</v>
      </c>
      <c r="H5051" s="56" t="s">
        <v>82</v>
      </c>
      <c r="I5051" s="54" t="s">
        <v>2986</v>
      </c>
      <c r="J5051" s="56" t="s">
        <v>2978</v>
      </c>
      <c r="K5051" s="56">
        <v>3152</v>
      </c>
      <c r="L5051" s="55" t="s">
        <v>176</v>
      </c>
      <c r="M5051" s="55" t="s">
        <v>2824</v>
      </c>
      <c r="N5051" s="4" t="s">
        <v>177</v>
      </c>
      <c r="O5051" s="55" t="s">
        <v>178</v>
      </c>
    </row>
    <row r="5052" spans="2:15">
      <c r="B5052" s="20">
        <v>45712</v>
      </c>
      <c r="C5052" s="59">
        <v>50837239</v>
      </c>
      <c r="D5052" s="55" t="s">
        <v>27</v>
      </c>
      <c r="G5052" s="65">
        <v>2020.35</v>
      </c>
      <c r="H5052" s="56" t="s">
        <v>82</v>
      </c>
      <c r="I5052" s="54">
        <v>8687194185</v>
      </c>
      <c r="J5052" s="56" t="s">
        <v>2978</v>
      </c>
      <c r="K5052" s="56">
        <v>3153</v>
      </c>
      <c r="L5052" s="55" t="s">
        <v>2152</v>
      </c>
      <c r="M5052" s="55" t="s">
        <v>2824</v>
      </c>
      <c r="N5052" s="4" t="s">
        <v>1905</v>
      </c>
      <c r="O5052" s="55" t="s">
        <v>178</v>
      </c>
    </row>
    <row r="5053" spans="2:15">
      <c r="B5053" s="20">
        <v>45712</v>
      </c>
      <c r="C5053" s="59">
        <v>50837284</v>
      </c>
      <c r="D5053" s="55" t="s">
        <v>28</v>
      </c>
      <c r="G5053" s="65">
        <v>2663.6</v>
      </c>
      <c r="H5053" s="56" t="s">
        <v>82</v>
      </c>
      <c r="I5053" s="54">
        <v>8687194185</v>
      </c>
      <c r="J5053" s="56" t="s">
        <v>2978</v>
      </c>
      <c r="K5053" s="56">
        <v>3153</v>
      </c>
      <c r="L5053" s="55" t="s">
        <v>2152</v>
      </c>
      <c r="M5053" s="55" t="s">
        <v>2824</v>
      </c>
      <c r="N5053" s="4" t="s">
        <v>1905</v>
      </c>
      <c r="O5053" s="55" t="s">
        <v>178</v>
      </c>
    </row>
    <row r="5054" spans="2:15">
      <c r="B5054" s="20">
        <v>45712</v>
      </c>
      <c r="C5054" s="59">
        <v>50142237</v>
      </c>
      <c r="D5054" s="55" t="s">
        <v>617</v>
      </c>
      <c r="G5054" s="65">
        <v>30000</v>
      </c>
      <c r="H5054" s="56" t="s">
        <v>92</v>
      </c>
      <c r="I5054" s="54">
        <v>8687194185</v>
      </c>
      <c r="J5054" s="56" t="s">
        <v>2978</v>
      </c>
      <c r="K5054" s="56">
        <v>3153</v>
      </c>
      <c r="L5054" s="55" t="s">
        <v>2152</v>
      </c>
      <c r="M5054" s="55" t="s">
        <v>2824</v>
      </c>
      <c r="N5054" s="4" t="s">
        <v>1905</v>
      </c>
      <c r="O5054" s="55" t="s">
        <v>178</v>
      </c>
    </row>
    <row r="5055" spans="2:15">
      <c r="B5055" s="20">
        <v>45712</v>
      </c>
      <c r="C5055" s="59">
        <v>20016059</v>
      </c>
      <c r="D5055" s="55" t="s">
        <v>1498</v>
      </c>
      <c r="G5055" s="65">
        <v>150</v>
      </c>
      <c r="H5055" s="56" t="s">
        <v>92</v>
      </c>
      <c r="I5055" s="54" t="s">
        <v>2874</v>
      </c>
      <c r="J5055" s="56" t="s">
        <v>2978</v>
      </c>
      <c r="K5055" s="56">
        <v>3153</v>
      </c>
      <c r="L5055" s="55" t="s">
        <v>2152</v>
      </c>
      <c r="M5055" s="55" t="s">
        <v>2824</v>
      </c>
      <c r="N5055" s="4" t="s">
        <v>1905</v>
      </c>
      <c r="O5055" s="55" t="s">
        <v>178</v>
      </c>
    </row>
    <row r="5056" spans="2:15">
      <c r="B5056" s="20">
        <v>45712</v>
      </c>
      <c r="C5056" s="59">
        <v>50507916</v>
      </c>
      <c r="D5056" s="55" t="s">
        <v>406</v>
      </c>
      <c r="G5056" s="65">
        <v>1584000</v>
      </c>
      <c r="H5056" s="56" t="s">
        <v>92</v>
      </c>
      <c r="I5056" s="54">
        <v>8687194185</v>
      </c>
      <c r="J5056" s="56" t="s">
        <v>2978</v>
      </c>
      <c r="K5056" s="56">
        <v>3153</v>
      </c>
      <c r="L5056" s="55" t="s">
        <v>2152</v>
      </c>
      <c r="M5056" s="55" t="s">
        <v>2824</v>
      </c>
      <c r="N5056" s="4" t="s">
        <v>1905</v>
      </c>
      <c r="O5056" s="55" t="s">
        <v>178</v>
      </c>
    </row>
    <row r="5057" spans="2:15">
      <c r="B5057" s="20">
        <v>45712</v>
      </c>
      <c r="C5057" s="59">
        <v>50470190</v>
      </c>
      <c r="D5057" s="55" t="s">
        <v>12</v>
      </c>
      <c r="G5057" s="65">
        <v>1159200</v>
      </c>
      <c r="H5057" s="56" t="s">
        <v>92</v>
      </c>
      <c r="I5057" s="54">
        <v>8687194185</v>
      </c>
      <c r="J5057" s="56" t="s">
        <v>2978</v>
      </c>
      <c r="K5057" s="56">
        <v>3153</v>
      </c>
      <c r="L5057" s="55" t="s">
        <v>2152</v>
      </c>
      <c r="M5057" s="55" t="s">
        <v>2824</v>
      </c>
      <c r="N5057" s="4" t="s">
        <v>1905</v>
      </c>
      <c r="O5057" s="55" t="s">
        <v>178</v>
      </c>
    </row>
    <row r="5058" spans="2:15">
      <c r="B5058" s="20">
        <v>45713</v>
      </c>
      <c r="C5058" s="59">
        <v>50470190</v>
      </c>
      <c r="D5058" s="55" t="s">
        <v>12</v>
      </c>
      <c r="G5058" s="65">
        <v>3767400</v>
      </c>
      <c r="H5058" s="56" t="s">
        <v>92</v>
      </c>
      <c r="I5058" s="54">
        <v>8687201198</v>
      </c>
      <c r="J5058" s="56" t="s">
        <v>2978</v>
      </c>
      <c r="K5058" s="56">
        <v>3155</v>
      </c>
      <c r="L5058" s="55" t="s">
        <v>2152</v>
      </c>
      <c r="M5058" s="55" t="s">
        <v>2824</v>
      </c>
      <c r="N5058" s="4" t="s">
        <v>1905</v>
      </c>
      <c r="O5058" s="55" t="s">
        <v>178</v>
      </c>
    </row>
    <row r="5059" spans="2:15">
      <c r="B5059" s="20">
        <v>45713</v>
      </c>
      <c r="C5059" s="59">
        <v>50802401</v>
      </c>
      <c r="D5059" s="55" t="s">
        <v>13</v>
      </c>
      <c r="G5059" s="65">
        <v>1449000</v>
      </c>
      <c r="H5059" s="56" t="s">
        <v>92</v>
      </c>
      <c r="I5059" s="54">
        <v>8688131941</v>
      </c>
      <c r="J5059" s="56" t="s">
        <v>2978</v>
      </c>
      <c r="K5059" s="56">
        <v>3155</v>
      </c>
      <c r="L5059" s="55" t="s">
        <v>2152</v>
      </c>
      <c r="M5059" s="55" t="s">
        <v>2824</v>
      </c>
      <c r="N5059" s="4" t="s">
        <v>1905</v>
      </c>
      <c r="O5059" s="55" t="s">
        <v>178</v>
      </c>
    </row>
    <row r="5060" spans="2:15">
      <c r="B5060" s="20">
        <v>45713</v>
      </c>
      <c r="C5060" s="59">
        <v>50272278</v>
      </c>
      <c r="D5060" s="69" t="s">
        <v>21</v>
      </c>
      <c r="G5060" s="65">
        <v>11000</v>
      </c>
      <c r="H5060" s="56" t="s">
        <v>92</v>
      </c>
      <c r="I5060" s="54">
        <v>8687201203</v>
      </c>
      <c r="J5060" s="56" t="s">
        <v>2978</v>
      </c>
      <c r="K5060" s="56">
        <v>3156</v>
      </c>
      <c r="L5060" s="55" t="s">
        <v>2152</v>
      </c>
      <c r="M5060" s="55" t="s">
        <v>2824</v>
      </c>
      <c r="N5060" s="4" t="s">
        <v>1905</v>
      </c>
      <c r="O5060" s="55" t="s">
        <v>178</v>
      </c>
    </row>
    <row r="5061" spans="2:15">
      <c r="B5061" s="20">
        <v>45714</v>
      </c>
      <c r="C5061" s="59">
        <v>40009546</v>
      </c>
      <c r="D5061" s="55" t="s">
        <v>174</v>
      </c>
      <c r="G5061" s="122">
        <v>864</v>
      </c>
      <c r="H5061" s="56" t="s">
        <v>92</v>
      </c>
      <c r="I5061" s="54">
        <v>8688132002</v>
      </c>
      <c r="J5061" s="56" t="s">
        <v>2978</v>
      </c>
      <c r="K5061" s="56">
        <v>3157</v>
      </c>
      <c r="L5061" s="55" t="s">
        <v>2152</v>
      </c>
      <c r="M5061" s="55" t="s">
        <v>2824</v>
      </c>
      <c r="N5061" s="4" t="s">
        <v>1905</v>
      </c>
      <c r="O5061" s="55" t="s">
        <v>178</v>
      </c>
    </row>
    <row r="5062" spans="2:15">
      <c r="B5062" s="20">
        <v>45714</v>
      </c>
      <c r="C5062" s="59">
        <v>50837237</v>
      </c>
      <c r="D5062" s="55" t="s">
        <v>1747</v>
      </c>
      <c r="G5062" s="122">
        <v>991.4</v>
      </c>
      <c r="H5062" s="56" t="s">
        <v>82</v>
      </c>
      <c r="I5062" s="54">
        <v>8688132002</v>
      </c>
      <c r="J5062" s="56" t="s">
        <v>2978</v>
      </c>
      <c r="K5062" s="56">
        <v>3157</v>
      </c>
      <c r="L5062" s="55" t="s">
        <v>2152</v>
      </c>
      <c r="M5062" s="55" t="s">
        <v>2824</v>
      </c>
      <c r="N5062" s="4" t="s">
        <v>1905</v>
      </c>
      <c r="O5062" s="55" t="s">
        <v>178</v>
      </c>
    </row>
    <row r="5063" spans="2:15">
      <c r="B5063" s="20">
        <v>45714</v>
      </c>
      <c r="C5063" s="59">
        <v>50837239</v>
      </c>
      <c r="D5063" s="55" t="s">
        <v>27</v>
      </c>
      <c r="G5063" s="122">
        <v>1003.05</v>
      </c>
      <c r="H5063" s="56" t="s">
        <v>82</v>
      </c>
      <c r="I5063" s="54">
        <v>8688132002</v>
      </c>
      <c r="J5063" s="56" t="s">
        <v>2978</v>
      </c>
      <c r="K5063" s="56">
        <v>3157</v>
      </c>
      <c r="L5063" s="55" t="s">
        <v>2152</v>
      </c>
      <c r="M5063" s="55" t="s">
        <v>2824</v>
      </c>
      <c r="N5063" s="4" t="s">
        <v>1905</v>
      </c>
      <c r="O5063" s="55" t="s">
        <v>178</v>
      </c>
    </row>
    <row r="5064" spans="2:15">
      <c r="B5064" s="20">
        <v>45714</v>
      </c>
      <c r="C5064" s="59">
        <v>50141533</v>
      </c>
      <c r="D5064" s="55" t="s">
        <v>494</v>
      </c>
      <c r="G5064" s="122">
        <v>2500</v>
      </c>
      <c r="H5064" s="56" t="s">
        <v>82</v>
      </c>
      <c r="I5064" s="54">
        <v>8688132002</v>
      </c>
      <c r="J5064" s="56" t="s">
        <v>2978</v>
      </c>
      <c r="K5064" s="56">
        <v>3157</v>
      </c>
      <c r="L5064" s="55" t="s">
        <v>2152</v>
      </c>
      <c r="M5064" s="55" t="s">
        <v>2824</v>
      </c>
      <c r="N5064" s="4" t="s">
        <v>1905</v>
      </c>
      <c r="O5064" s="55" t="s">
        <v>178</v>
      </c>
    </row>
    <row r="5065" spans="2:15">
      <c r="B5065" s="20">
        <v>45714</v>
      </c>
      <c r="C5065" s="59">
        <v>40011148</v>
      </c>
      <c r="D5065" s="55" t="s">
        <v>86</v>
      </c>
      <c r="G5065" s="122">
        <v>900</v>
      </c>
      <c r="H5065" s="56" t="s">
        <v>80</v>
      </c>
      <c r="I5065" s="54">
        <v>8688132002</v>
      </c>
      <c r="J5065" s="56" t="s">
        <v>2978</v>
      </c>
      <c r="K5065" s="56">
        <v>3157</v>
      </c>
      <c r="L5065" s="55" t="s">
        <v>2152</v>
      </c>
      <c r="M5065" s="55" t="s">
        <v>2824</v>
      </c>
      <c r="N5065" s="4" t="s">
        <v>1905</v>
      </c>
      <c r="O5065" s="55" t="s">
        <v>178</v>
      </c>
    </row>
    <row r="5066" spans="2:15">
      <c r="B5066" s="20">
        <v>45714</v>
      </c>
      <c r="C5066" s="59">
        <v>50337814</v>
      </c>
      <c r="D5066" s="55" t="s">
        <v>669</v>
      </c>
      <c r="G5066" s="122">
        <v>264</v>
      </c>
      <c r="H5066" s="56" t="s">
        <v>80</v>
      </c>
      <c r="I5066" s="54">
        <v>8688132002</v>
      </c>
      <c r="J5066" s="56" t="s">
        <v>2978</v>
      </c>
      <c r="K5066" s="56">
        <v>3157</v>
      </c>
      <c r="L5066" s="55" t="s">
        <v>2152</v>
      </c>
      <c r="M5066" s="55" t="s">
        <v>2824</v>
      </c>
      <c r="N5066" s="4" t="s">
        <v>1905</v>
      </c>
      <c r="O5066" s="55" t="s">
        <v>178</v>
      </c>
    </row>
    <row r="5067" spans="2:15">
      <c r="B5067" s="20">
        <v>45714</v>
      </c>
      <c r="C5067" s="59">
        <v>50802401</v>
      </c>
      <c r="D5067" s="55" t="s">
        <v>13</v>
      </c>
      <c r="G5067" s="122">
        <v>2898000</v>
      </c>
      <c r="H5067" s="56" t="s">
        <v>92</v>
      </c>
      <c r="I5067" s="54">
        <v>8688132002</v>
      </c>
      <c r="J5067" s="56" t="s">
        <v>2978</v>
      </c>
      <c r="K5067" s="56">
        <v>3157</v>
      </c>
      <c r="L5067" s="55" t="s">
        <v>2152</v>
      </c>
      <c r="M5067" s="55" t="s">
        <v>2824</v>
      </c>
      <c r="N5067" s="4" t="s">
        <v>1905</v>
      </c>
      <c r="O5067" s="55" t="s">
        <v>178</v>
      </c>
    </row>
    <row r="5068" spans="2:15">
      <c r="B5068" s="20">
        <v>45715</v>
      </c>
      <c r="C5068" s="59">
        <v>40014675</v>
      </c>
      <c r="D5068" s="55" t="s">
        <v>44</v>
      </c>
      <c r="G5068" s="65">
        <v>31.68</v>
      </c>
      <c r="H5068" s="56" t="s">
        <v>80</v>
      </c>
      <c r="I5068" s="54">
        <v>8688146275</v>
      </c>
      <c r="J5068" s="56" t="s">
        <v>2978</v>
      </c>
      <c r="K5068" s="56">
        <v>204</v>
      </c>
      <c r="M5068" s="55" t="s">
        <v>2824</v>
      </c>
      <c r="O5068" s="55" t="s">
        <v>178</v>
      </c>
    </row>
    <row r="5069" spans="2:15">
      <c r="B5069" s="20">
        <v>45715</v>
      </c>
      <c r="C5069" s="59">
        <v>40014675</v>
      </c>
      <c r="D5069" s="55" t="s">
        <v>44</v>
      </c>
      <c r="G5069" s="65">
        <v>31.68</v>
      </c>
      <c r="H5069" s="56" t="s">
        <v>80</v>
      </c>
      <c r="I5069" s="54">
        <v>8688145939</v>
      </c>
      <c r="J5069" s="56" t="s">
        <v>2978</v>
      </c>
      <c r="K5069" s="56">
        <v>205</v>
      </c>
      <c r="M5069" s="55" t="s">
        <v>2824</v>
      </c>
    </row>
    <row r="5070" spans="2:15">
      <c r="B5070" s="20">
        <v>45715</v>
      </c>
      <c r="C5070" s="59">
        <v>40014675</v>
      </c>
      <c r="D5070" s="55" t="s">
        <v>44</v>
      </c>
      <c r="G5070" s="65">
        <v>37.44</v>
      </c>
      <c r="H5070" s="56" t="s">
        <v>80</v>
      </c>
      <c r="I5070" s="54">
        <v>8688145936</v>
      </c>
      <c r="J5070" s="56" t="s">
        <v>2978</v>
      </c>
      <c r="K5070" s="56">
        <v>206</v>
      </c>
      <c r="M5070" s="55" t="s">
        <v>2824</v>
      </c>
    </row>
    <row r="5071" spans="2:15">
      <c r="B5071" s="20">
        <v>45715</v>
      </c>
      <c r="C5071" s="59">
        <v>40014675</v>
      </c>
      <c r="D5071" s="55" t="s">
        <v>44</v>
      </c>
      <c r="G5071" s="65">
        <v>37.44</v>
      </c>
      <c r="H5071" s="56" t="s">
        <v>80</v>
      </c>
      <c r="I5071" s="54">
        <v>8688145943</v>
      </c>
      <c r="J5071" s="56" t="s">
        <v>2978</v>
      </c>
      <c r="K5071" s="56">
        <v>207</v>
      </c>
      <c r="M5071" s="55" t="s">
        <v>2824</v>
      </c>
    </row>
    <row r="5072" spans="2:15">
      <c r="B5072" s="20">
        <v>45715</v>
      </c>
      <c r="C5072" s="59">
        <v>40014675</v>
      </c>
      <c r="D5072" s="55" t="s">
        <v>44</v>
      </c>
      <c r="G5072" s="65">
        <v>34.56</v>
      </c>
      <c r="H5072" s="56" t="s">
        <v>80</v>
      </c>
      <c r="I5072" s="54">
        <v>8688145942</v>
      </c>
      <c r="J5072" s="56" t="s">
        <v>2978</v>
      </c>
      <c r="K5072" s="56">
        <v>208</v>
      </c>
      <c r="M5072" s="55" t="s">
        <v>2824</v>
      </c>
    </row>
    <row r="5073" spans="2:15">
      <c r="B5073" s="20">
        <v>45715</v>
      </c>
      <c r="C5073" s="59">
        <v>40014675</v>
      </c>
      <c r="D5073" s="55" t="s">
        <v>44</v>
      </c>
      <c r="G5073" s="65">
        <v>34.56</v>
      </c>
      <c r="H5073" s="56" t="s">
        <v>80</v>
      </c>
      <c r="I5073" s="54">
        <v>8688146276</v>
      </c>
      <c r="J5073" s="56" t="s">
        <v>2978</v>
      </c>
      <c r="K5073" s="56">
        <v>209</v>
      </c>
      <c r="M5073" s="55" t="s">
        <v>2824</v>
      </c>
    </row>
    <row r="5074" spans="2:15">
      <c r="B5074" s="20">
        <v>45715</v>
      </c>
      <c r="C5074" s="59">
        <v>50272278</v>
      </c>
      <c r="D5074" s="55" t="s">
        <v>21</v>
      </c>
      <c r="G5074" s="65">
        <v>11000</v>
      </c>
      <c r="H5074" s="56" t="s">
        <v>92</v>
      </c>
      <c r="I5074" s="54">
        <v>868813236</v>
      </c>
      <c r="J5074" s="56" t="s">
        <v>2978</v>
      </c>
      <c r="K5074" s="56">
        <v>3158</v>
      </c>
      <c r="L5074" s="55" t="s">
        <v>2152</v>
      </c>
      <c r="M5074" s="55" t="s">
        <v>2824</v>
      </c>
      <c r="N5074" s="4" t="s">
        <v>1905</v>
      </c>
      <c r="O5074" s="55" t="s">
        <v>178</v>
      </c>
    </row>
    <row r="5075" spans="2:15">
      <c r="B5075" s="20">
        <v>45715</v>
      </c>
      <c r="C5075" s="59">
        <v>50145028</v>
      </c>
      <c r="D5075" s="55" t="s">
        <v>23</v>
      </c>
      <c r="G5075" s="65">
        <v>960</v>
      </c>
      <c r="H5075" s="56" t="s">
        <v>92</v>
      </c>
      <c r="I5075" s="54" t="s">
        <v>2874</v>
      </c>
      <c r="J5075" s="56" t="s">
        <v>2978</v>
      </c>
      <c r="K5075" s="56">
        <v>3159</v>
      </c>
      <c r="L5075" s="55" t="s">
        <v>392</v>
      </c>
      <c r="M5075" s="55" t="s">
        <v>392</v>
      </c>
      <c r="O5075" s="55" t="s">
        <v>178</v>
      </c>
    </row>
    <row r="5076" spans="2:15">
      <c r="B5076" s="20">
        <v>45715</v>
      </c>
      <c r="C5076" s="59">
        <v>50272278</v>
      </c>
      <c r="D5076" s="55" t="s">
        <v>21</v>
      </c>
      <c r="G5076" s="65">
        <v>3650</v>
      </c>
      <c r="H5076" s="56" t="s">
        <v>92</v>
      </c>
      <c r="I5076" s="54" t="s">
        <v>2874</v>
      </c>
      <c r="J5076" s="56" t="s">
        <v>2978</v>
      </c>
      <c r="K5076" s="56">
        <v>3159</v>
      </c>
      <c r="L5076" s="55" t="s">
        <v>392</v>
      </c>
      <c r="M5076" s="55" t="s">
        <v>392</v>
      </c>
      <c r="O5076" s="55" t="s">
        <v>178</v>
      </c>
    </row>
    <row r="5077" spans="2:15">
      <c r="B5077" s="20">
        <v>45715</v>
      </c>
      <c r="C5077" s="59">
        <v>50142237</v>
      </c>
      <c r="D5077" s="55" t="s">
        <v>617</v>
      </c>
      <c r="G5077" s="65">
        <v>10000</v>
      </c>
      <c r="H5077" s="56" t="s">
        <v>92</v>
      </c>
      <c r="I5077" s="54" t="s">
        <v>2874</v>
      </c>
      <c r="J5077" s="56" t="s">
        <v>2978</v>
      </c>
      <c r="K5077" s="56">
        <v>3159</v>
      </c>
      <c r="L5077" s="55" t="s">
        <v>392</v>
      </c>
      <c r="M5077" s="55" t="s">
        <v>392</v>
      </c>
      <c r="O5077" s="55" t="s">
        <v>178</v>
      </c>
    </row>
    <row r="5078" spans="2:15">
      <c r="B5078" s="20">
        <v>45715</v>
      </c>
      <c r="C5078" s="59">
        <v>50837239</v>
      </c>
      <c r="D5078" s="55" t="s">
        <v>27</v>
      </c>
      <c r="G5078" s="65">
        <v>4015.55</v>
      </c>
      <c r="H5078" s="56" t="s">
        <v>92</v>
      </c>
      <c r="I5078" s="54">
        <v>8688144992</v>
      </c>
      <c r="J5078" s="56" t="s">
        <v>2978</v>
      </c>
      <c r="K5078" s="56">
        <v>3160</v>
      </c>
      <c r="L5078" s="55" t="s">
        <v>2152</v>
      </c>
      <c r="M5078" s="55" t="s">
        <v>2824</v>
      </c>
      <c r="N5078" s="4" t="s">
        <v>1905</v>
      </c>
      <c r="O5078" s="55" t="s">
        <v>178</v>
      </c>
    </row>
    <row r="5079" spans="2:15">
      <c r="B5079" s="20">
        <v>45715</v>
      </c>
      <c r="C5079" s="59">
        <v>50802401</v>
      </c>
      <c r="D5079" s="55" t="s">
        <v>13</v>
      </c>
      <c r="G5079" s="65">
        <v>1738800</v>
      </c>
      <c r="H5079" s="56" t="s">
        <v>92</v>
      </c>
      <c r="I5079" s="54">
        <v>8688144992</v>
      </c>
      <c r="J5079" s="56" t="s">
        <v>2978</v>
      </c>
      <c r="K5079" s="56">
        <v>3160</v>
      </c>
      <c r="L5079" s="55" t="s">
        <v>2152</v>
      </c>
      <c r="M5079" s="55" t="s">
        <v>2824</v>
      </c>
      <c r="N5079" s="4" t="s">
        <v>1905</v>
      </c>
      <c r="O5079" s="55" t="s">
        <v>178</v>
      </c>
    </row>
    <row r="5080" spans="2:15">
      <c r="B5080" s="20">
        <v>45715</v>
      </c>
      <c r="C5080" s="59">
        <v>50470190</v>
      </c>
      <c r="D5080" s="55" t="s">
        <v>12</v>
      </c>
      <c r="G5080" s="65">
        <v>1159200</v>
      </c>
      <c r="H5080" s="56" t="s">
        <v>92</v>
      </c>
      <c r="I5080" s="54">
        <v>8688144993</v>
      </c>
      <c r="J5080" s="56" t="s">
        <v>2978</v>
      </c>
      <c r="K5080" s="56">
        <v>3161</v>
      </c>
      <c r="L5080" s="55" t="s">
        <v>2152</v>
      </c>
      <c r="M5080" s="55" t="s">
        <v>2824</v>
      </c>
      <c r="N5080" s="4" t="s">
        <v>1905</v>
      </c>
      <c r="O5080" s="55" t="s">
        <v>178</v>
      </c>
    </row>
    <row r="5081" spans="2:15">
      <c r="B5081" s="20">
        <v>45715</v>
      </c>
      <c r="C5081" s="59">
        <v>50802401</v>
      </c>
      <c r="D5081" s="55" t="s">
        <v>13</v>
      </c>
      <c r="G5081" s="65">
        <v>1159200</v>
      </c>
      <c r="H5081" s="56" t="s">
        <v>92</v>
      </c>
      <c r="I5081" s="54">
        <v>8688144993</v>
      </c>
      <c r="J5081" s="56" t="s">
        <v>2978</v>
      </c>
      <c r="K5081" s="56">
        <v>3161</v>
      </c>
      <c r="L5081" s="55" t="s">
        <v>2152</v>
      </c>
      <c r="M5081" s="55" t="s">
        <v>2824</v>
      </c>
      <c r="N5081" s="4" t="s">
        <v>1905</v>
      </c>
      <c r="O5081" s="55" t="s">
        <v>178</v>
      </c>
    </row>
    <row r="5082" spans="2:15">
      <c r="B5082" s="20">
        <v>45715</v>
      </c>
      <c r="C5082" s="59">
        <v>50142327</v>
      </c>
      <c r="D5082" s="55" t="s">
        <v>256</v>
      </c>
      <c r="G5082" s="65">
        <v>2383.5</v>
      </c>
      <c r="H5082" s="56" t="s">
        <v>82</v>
      </c>
      <c r="I5082" s="54">
        <v>8688144993</v>
      </c>
      <c r="J5082" s="56" t="s">
        <v>2978</v>
      </c>
      <c r="K5082" s="56">
        <v>3161</v>
      </c>
      <c r="L5082" s="55" t="s">
        <v>2152</v>
      </c>
      <c r="M5082" s="55" t="s">
        <v>2824</v>
      </c>
      <c r="N5082" s="4" t="s">
        <v>1905</v>
      </c>
      <c r="O5082" s="55" t="s">
        <v>178</v>
      </c>
    </row>
    <row r="5083" spans="2:15">
      <c r="B5083" s="20">
        <v>45715</v>
      </c>
      <c r="C5083" s="59">
        <v>50142334</v>
      </c>
      <c r="D5083" s="55" t="s">
        <v>257</v>
      </c>
      <c r="G5083" s="65">
        <v>2383.5</v>
      </c>
      <c r="H5083" s="56" t="s">
        <v>82</v>
      </c>
      <c r="I5083" s="54">
        <v>8688144993</v>
      </c>
      <c r="J5083" s="56" t="s">
        <v>2978</v>
      </c>
      <c r="K5083" s="56">
        <v>3161</v>
      </c>
      <c r="L5083" s="55" t="s">
        <v>2152</v>
      </c>
      <c r="M5083" s="55" t="s">
        <v>2824</v>
      </c>
      <c r="N5083" s="4" t="s">
        <v>1905</v>
      </c>
      <c r="O5083" s="55" t="s">
        <v>178</v>
      </c>
    </row>
    <row r="5084" spans="2:15">
      <c r="B5084" s="20">
        <v>45715</v>
      </c>
      <c r="C5084" s="59">
        <v>50834669</v>
      </c>
      <c r="D5084" s="55" t="s">
        <v>1668</v>
      </c>
      <c r="G5084" s="65">
        <v>288000</v>
      </c>
      <c r="H5084" s="56" t="s">
        <v>92</v>
      </c>
      <c r="I5084" s="54" t="s">
        <v>2874</v>
      </c>
      <c r="J5084" s="56" t="s">
        <v>2978</v>
      </c>
      <c r="K5084" s="56">
        <v>3162</v>
      </c>
      <c r="L5084" s="55" t="s">
        <v>392</v>
      </c>
      <c r="M5084" s="55" t="s">
        <v>392</v>
      </c>
      <c r="O5084" s="55" t="s">
        <v>178</v>
      </c>
    </row>
    <row r="5085" spans="2:15">
      <c r="B5085" s="20">
        <v>45715</v>
      </c>
      <c r="C5085" s="59">
        <v>50271649</v>
      </c>
      <c r="D5085" s="55" t="s">
        <v>1435</v>
      </c>
      <c r="G5085" s="65">
        <v>3672</v>
      </c>
      <c r="H5085" s="56" t="s">
        <v>92</v>
      </c>
      <c r="I5085" s="54" t="s">
        <v>2874</v>
      </c>
      <c r="J5085" s="56" t="s">
        <v>2978</v>
      </c>
      <c r="K5085" s="56">
        <v>3163</v>
      </c>
      <c r="L5085" s="55" t="s">
        <v>2152</v>
      </c>
      <c r="M5085" s="55" t="s">
        <v>2824</v>
      </c>
      <c r="N5085" s="4" t="s">
        <v>1905</v>
      </c>
      <c r="O5085" s="55" t="s">
        <v>178</v>
      </c>
    </row>
    <row r="5086" spans="2:15">
      <c r="B5086" s="20">
        <v>45715</v>
      </c>
      <c r="C5086" s="59">
        <v>40014675</v>
      </c>
      <c r="D5086" s="55" t="s">
        <v>44</v>
      </c>
      <c r="G5086" s="65">
        <v>15.2</v>
      </c>
      <c r="H5086" s="56" t="s">
        <v>1248</v>
      </c>
      <c r="I5086" s="54" t="s">
        <v>2874</v>
      </c>
      <c r="J5086" s="56" t="s">
        <v>2978</v>
      </c>
      <c r="K5086" s="56">
        <v>3163</v>
      </c>
      <c r="L5086" s="55" t="s">
        <v>2152</v>
      </c>
      <c r="M5086" s="55" t="s">
        <v>2824</v>
      </c>
      <c r="N5086" s="4" t="s">
        <v>1905</v>
      </c>
      <c r="O5086" s="55" t="s">
        <v>178</v>
      </c>
    </row>
    <row r="5087" spans="2:15">
      <c r="B5087" s="20">
        <v>45716</v>
      </c>
      <c r="C5087" s="59">
        <v>50272278</v>
      </c>
      <c r="D5087" s="55" t="s">
        <v>21</v>
      </c>
      <c r="G5087" s="65">
        <v>11000</v>
      </c>
      <c r="H5087" s="56" t="s">
        <v>92</v>
      </c>
      <c r="I5087" s="54" t="s">
        <v>2874</v>
      </c>
      <c r="J5087" s="56" t="s">
        <v>2978</v>
      </c>
      <c r="K5087" s="56">
        <v>3164</v>
      </c>
      <c r="L5087" s="55" t="s">
        <v>2152</v>
      </c>
      <c r="M5087" s="55" t="s">
        <v>2824</v>
      </c>
      <c r="N5087" s="4" t="s">
        <v>1905</v>
      </c>
      <c r="O5087" s="55" t="s">
        <v>178</v>
      </c>
    </row>
    <row r="5088" spans="2:15">
      <c r="B5088" s="20">
        <v>45716</v>
      </c>
      <c r="C5088" s="59">
        <v>50531473</v>
      </c>
      <c r="D5088" s="55" t="s">
        <v>1193</v>
      </c>
      <c r="G5088" s="65">
        <v>1024000</v>
      </c>
      <c r="H5088" s="56" t="s">
        <v>92</v>
      </c>
      <c r="I5088" s="54">
        <v>8688610189</v>
      </c>
      <c r="J5088" s="56" t="s">
        <v>2978</v>
      </c>
      <c r="K5088" s="56">
        <v>3165</v>
      </c>
      <c r="L5088" s="55" t="s">
        <v>2152</v>
      </c>
      <c r="M5088" s="55" t="s">
        <v>2824</v>
      </c>
      <c r="N5088" s="4" t="s">
        <v>1905</v>
      </c>
      <c r="O5088" s="55" t="s">
        <v>178</v>
      </c>
    </row>
    <row r="5089" spans="2:15">
      <c r="B5089" s="20">
        <v>45716</v>
      </c>
      <c r="C5089" s="59">
        <v>50837239</v>
      </c>
      <c r="D5089" s="55" t="s">
        <v>27</v>
      </c>
      <c r="G5089" s="65">
        <v>1029.8</v>
      </c>
      <c r="H5089" s="56" t="s">
        <v>82</v>
      </c>
      <c r="I5089" s="54">
        <v>8688610189</v>
      </c>
      <c r="J5089" s="56" t="s">
        <v>2978</v>
      </c>
      <c r="K5089" s="56">
        <v>3165</v>
      </c>
      <c r="L5089" s="55" t="s">
        <v>2152</v>
      </c>
      <c r="M5089" s="55" t="s">
        <v>2824</v>
      </c>
      <c r="N5089" s="4" t="s">
        <v>1905</v>
      </c>
      <c r="O5089" s="55" t="s">
        <v>178</v>
      </c>
    </row>
    <row r="5090" spans="2:15">
      <c r="B5090" s="20">
        <v>45716</v>
      </c>
      <c r="C5090" s="59">
        <v>50837284</v>
      </c>
      <c r="D5090" s="55" t="s">
        <v>28</v>
      </c>
      <c r="G5090" s="65">
        <v>1534.85</v>
      </c>
      <c r="H5090" s="56" t="s">
        <v>82</v>
      </c>
      <c r="I5090" s="54">
        <v>8688610189</v>
      </c>
      <c r="J5090" s="56" t="s">
        <v>2978</v>
      </c>
      <c r="K5090" s="56">
        <v>3165</v>
      </c>
      <c r="L5090" s="55" t="s">
        <v>2152</v>
      </c>
      <c r="M5090" s="55" t="s">
        <v>2824</v>
      </c>
      <c r="N5090" s="4" t="s">
        <v>1905</v>
      </c>
      <c r="O5090" s="55" t="s">
        <v>178</v>
      </c>
    </row>
    <row r="5091" spans="2:15">
      <c r="B5091" s="20">
        <v>45716</v>
      </c>
      <c r="C5091" s="59">
        <v>50470190</v>
      </c>
      <c r="D5091" s="69" t="s">
        <v>12</v>
      </c>
      <c r="G5091" s="65">
        <v>1738800</v>
      </c>
      <c r="H5091" s="56" t="s">
        <v>92</v>
      </c>
      <c r="I5091" s="54">
        <v>8688610189</v>
      </c>
      <c r="J5091" s="56" t="s">
        <v>2978</v>
      </c>
      <c r="K5091" s="56">
        <v>3165</v>
      </c>
      <c r="L5091" s="55" t="s">
        <v>2152</v>
      </c>
      <c r="M5091" s="55" t="s">
        <v>2824</v>
      </c>
      <c r="N5091" s="4" t="s">
        <v>1905</v>
      </c>
      <c r="O5091" s="55" t="s">
        <v>178</v>
      </c>
    </row>
    <row r="5092" spans="2:15">
      <c r="B5092" s="20">
        <v>45716</v>
      </c>
      <c r="C5092" s="59">
        <v>50802401</v>
      </c>
      <c r="D5092" s="66" t="s">
        <v>13</v>
      </c>
      <c r="G5092" s="65">
        <v>1159200</v>
      </c>
      <c r="H5092" s="56" t="s">
        <v>92</v>
      </c>
      <c r="I5092" s="54">
        <v>8688610189</v>
      </c>
      <c r="J5092" s="56" t="s">
        <v>2978</v>
      </c>
      <c r="K5092" s="56">
        <v>3165</v>
      </c>
      <c r="L5092" s="55" t="s">
        <v>2152</v>
      </c>
      <c r="M5092" s="55" t="s">
        <v>2824</v>
      </c>
      <c r="N5092" s="4" t="s">
        <v>1905</v>
      </c>
      <c r="O5092" s="55" t="s">
        <v>178</v>
      </c>
    </row>
    <row r="5093" spans="2:15">
      <c r="B5093" s="20">
        <v>45716</v>
      </c>
      <c r="C5093" s="59">
        <v>55555555</v>
      </c>
      <c r="D5093" s="55" t="s">
        <v>2009</v>
      </c>
      <c r="G5093" s="65">
        <v>304000</v>
      </c>
      <c r="H5093" s="56" t="s">
        <v>92</v>
      </c>
      <c r="I5093" s="54">
        <v>8688610189</v>
      </c>
      <c r="J5093" s="56" t="s">
        <v>2978</v>
      </c>
      <c r="K5093" s="56">
        <v>3165</v>
      </c>
      <c r="L5093" s="55" t="s">
        <v>2152</v>
      </c>
      <c r="M5093" s="55" t="s">
        <v>2824</v>
      </c>
      <c r="N5093" s="4" t="s">
        <v>1905</v>
      </c>
      <c r="O5093" s="55" t="s">
        <v>178</v>
      </c>
    </row>
    <row r="5094" spans="2:15">
      <c r="B5094" s="20">
        <v>45716</v>
      </c>
      <c r="C5094" s="59">
        <v>44444444</v>
      </c>
      <c r="D5094" s="55" t="s">
        <v>2012</v>
      </c>
      <c r="G5094" s="65">
        <v>304000</v>
      </c>
      <c r="H5094" s="56" t="s">
        <v>92</v>
      </c>
      <c r="I5094" s="54">
        <v>8688610189</v>
      </c>
      <c r="J5094" s="56" t="s">
        <v>2978</v>
      </c>
      <c r="K5094" s="56">
        <v>3165</v>
      </c>
      <c r="L5094" s="55" t="s">
        <v>2152</v>
      </c>
      <c r="M5094" s="55" t="s">
        <v>2824</v>
      </c>
      <c r="N5094" s="4" t="s">
        <v>1905</v>
      </c>
      <c r="O5094" s="55" t="s">
        <v>178</v>
      </c>
    </row>
    <row r="5095" spans="2:15">
      <c r="B5095" s="20">
        <v>45716</v>
      </c>
      <c r="C5095" s="59">
        <v>50142055</v>
      </c>
      <c r="D5095" s="55" t="s">
        <v>206</v>
      </c>
      <c r="G5095" s="65">
        <v>6000</v>
      </c>
      <c r="H5095" s="56" t="s">
        <v>82</v>
      </c>
      <c r="I5095" s="54">
        <v>8688617614</v>
      </c>
      <c r="J5095" s="56" t="s">
        <v>2978</v>
      </c>
      <c r="K5095" s="56">
        <v>3166</v>
      </c>
      <c r="L5095" s="55" t="s">
        <v>2152</v>
      </c>
      <c r="M5095" s="55" t="s">
        <v>2824</v>
      </c>
      <c r="N5095" s="4" t="s">
        <v>1905</v>
      </c>
      <c r="O5095" s="55" t="s">
        <v>178</v>
      </c>
    </row>
    <row r="5096" spans="2:15">
      <c r="B5096" s="20">
        <v>45716</v>
      </c>
      <c r="C5096" s="59">
        <v>50837284</v>
      </c>
      <c r="D5096" s="55" t="s">
        <v>28</v>
      </c>
      <c r="G5096" s="65">
        <v>990.55</v>
      </c>
      <c r="H5096" s="56" t="s">
        <v>82</v>
      </c>
      <c r="I5096" s="54">
        <v>8688617614</v>
      </c>
      <c r="J5096" s="56" t="s">
        <v>2978</v>
      </c>
      <c r="K5096" s="56">
        <v>3166</v>
      </c>
      <c r="L5096" s="55" t="s">
        <v>2152</v>
      </c>
      <c r="M5096" s="55" t="s">
        <v>2824</v>
      </c>
      <c r="N5096" s="4" t="s">
        <v>1905</v>
      </c>
      <c r="O5096" s="55" t="s">
        <v>178</v>
      </c>
    </row>
    <row r="5097" spans="2:15">
      <c r="B5097" s="20">
        <v>45716</v>
      </c>
      <c r="C5097" s="59">
        <v>50272278</v>
      </c>
      <c r="D5097" s="55" t="s">
        <v>21</v>
      </c>
      <c r="G5097" s="65">
        <v>5000</v>
      </c>
      <c r="H5097" s="56" t="s">
        <v>92</v>
      </c>
      <c r="I5097" s="54">
        <v>8688617614</v>
      </c>
      <c r="J5097" s="56" t="s">
        <v>2978</v>
      </c>
      <c r="K5097" s="56">
        <v>3166</v>
      </c>
      <c r="L5097" s="55" t="s">
        <v>2152</v>
      </c>
      <c r="M5097" s="55" t="s">
        <v>2824</v>
      </c>
      <c r="N5097" s="4" t="s">
        <v>1905</v>
      </c>
      <c r="O5097" s="55" t="s">
        <v>178</v>
      </c>
    </row>
    <row r="5098" spans="2:15">
      <c r="B5098" s="20">
        <v>45716</v>
      </c>
      <c r="C5098" s="59">
        <v>50793278</v>
      </c>
      <c r="D5098" s="55" t="s">
        <v>1086</v>
      </c>
      <c r="G5098" s="65">
        <v>10</v>
      </c>
      <c r="H5098" s="56" t="s">
        <v>1087</v>
      </c>
      <c r="I5098" s="54" t="s">
        <v>2874</v>
      </c>
      <c r="J5098" s="56" t="s">
        <v>2978</v>
      </c>
      <c r="K5098" s="56">
        <v>3166</v>
      </c>
      <c r="L5098" s="55" t="s">
        <v>2152</v>
      </c>
      <c r="M5098" s="55" t="s">
        <v>2824</v>
      </c>
      <c r="N5098" s="4" t="s">
        <v>1905</v>
      </c>
      <c r="O5098" s="55" t="s">
        <v>178</v>
      </c>
    </row>
    <row r="5099" spans="2:15">
      <c r="B5099" s="20">
        <v>45716</v>
      </c>
      <c r="C5099" s="59">
        <v>40014675</v>
      </c>
      <c r="D5099" s="55" t="s">
        <v>44</v>
      </c>
      <c r="G5099" s="65">
        <v>31.68</v>
      </c>
      <c r="H5099" s="56" t="s">
        <v>80</v>
      </c>
      <c r="I5099" s="54">
        <v>8688618567</v>
      </c>
      <c r="J5099" s="56" t="s">
        <v>2978</v>
      </c>
      <c r="K5099" s="56">
        <v>210</v>
      </c>
      <c r="O5099" s="55" t="s">
        <v>178</v>
      </c>
    </row>
    <row r="5100" spans="2:15">
      <c r="B5100" s="20">
        <v>45716</v>
      </c>
      <c r="C5100" s="59">
        <v>40014675</v>
      </c>
      <c r="D5100" s="55" t="s">
        <v>44</v>
      </c>
      <c r="G5100" s="65">
        <v>31.68</v>
      </c>
      <c r="H5100" s="56" t="s">
        <v>80</v>
      </c>
      <c r="I5100" s="54">
        <v>8688618570</v>
      </c>
      <c r="J5100" s="56" t="s">
        <v>2978</v>
      </c>
      <c r="K5100" s="56">
        <v>211</v>
      </c>
      <c r="O5100" s="55" t="s">
        <v>178</v>
      </c>
    </row>
    <row r="5101" spans="2:15">
      <c r="B5101" s="20">
        <v>45716</v>
      </c>
      <c r="C5101" s="59">
        <v>40014675</v>
      </c>
      <c r="D5101" s="55" t="s">
        <v>44</v>
      </c>
      <c r="G5101" s="65">
        <v>37.44</v>
      </c>
      <c r="H5101" s="56" t="s">
        <v>80</v>
      </c>
      <c r="I5101" s="54">
        <v>8688618572</v>
      </c>
      <c r="J5101" s="56" t="s">
        <v>2978</v>
      </c>
      <c r="K5101" s="56">
        <v>212</v>
      </c>
      <c r="O5101" s="55" t="s">
        <v>178</v>
      </c>
    </row>
    <row r="5102" spans="2:15">
      <c r="B5102" s="20">
        <v>45716</v>
      </c>
      <c r="C5102" s="59">
        <v>40014675</v>
      </c>
      <c r="D5102" s="55" t="s">
        <v>44</v>
      </c>
      <c r="G5102" s="65">
        <v>37.44</v>
      </c>
      <c r="H5102" s="56" t="s">
        <v>80</v>
      </c>
      <c r="I5102" s="54">
        <v>8688618908</v>
      </c>
      <c r="J5102" s="56" t="s">
        <v>2978</v>
      </c>
      <c r="K5102" s="56">
        <v>213</v>
      </c>
      <c r="O5102" s="55" t="s">
        <v>178</v>
      </c>
    </row>
    <row r="5103" spans="2:15">
      <c r="B5103" s="20">
        <v>45716</v>
      </c>
      <c r="C5103" s="59">
        <v>40014675</v>
      </c>
      <c r="D5103" s="55" t="s">
        <v>44</v>
      </c>
      <c r="G5103" s="65">
        <v>34.56</v>
      </c>
      <c r="H5103" s="56" t="s">
        <v>80</v>
      </c>
      <c r="I5103" s="54">
        <v>8688618913</v>
      </c>
      <c r="J5103" s="56" t="s">
        <v>2978</v>
      </c>
      <c r="K5103" s="56">
        <v>214</v>
      </c>
      <c r="O5103" s="55" t="s">
        <v>178</v>
      </c>
    </row>
    <row r="5104" spans="2:15">
      <c r="B5104" s="20">
        <v>45716</v>
      </c>
      <c r="C5104" s="59">
        <v>40014675</v>
      </c>
      <c r="D5104" s="55" t="s">
        <v>44</v>
      </c>
      <c r="G5104" s="65">
        <v>34.56</v>
      </c>
      <c r="H5104" s="56" t="s">
        <v>80</v>
      </c>
      <c r="I5104" s="54">
        <v>8688619080</v>
      </c>
      <c r="J5104" s="56" t="s">
        <v>2978</v>
      </c>
      <c r="K5104" s="56">
        <v>215</v>
      </c>
      <c r="O5104" s="55" t="s">
        <v>178</v>
      </c>
    </row>
    <row r="5105" spans="2:15">
      <c r="B5105" s="20">
        <v>45717</v>
      </c>
      <c r="C5105" s="59">
        <v>50837284</v>
      </c>
      <c r="D5105" s="69" t="s">
        <v>28</v>
      </c>
      <c r="G5105" s="122">
        <v>3055.45</v>
      </c>
      <c r="H5105" s="56" t="s">
        <v>82</v>
      </c>
      <c r="I5105" s="54">
        <v>8689057323</v>
      </c>
      <c r="J5105" s="56" t="s">
        <v>2978</v>
      </c>
      <c r="K5105" s="56">
        <v>3167</v>
      </c>
      <c r="O5105" s="55" t="s">
        <v>178</v>
      </c>
    </row>
    <row r="5106" spans="2:15">
      <c r="B5106" s="20">
        <v>45717</v>
      </c>
      <c r="C5106" s="59">
        <v>50793278</v>
      </c>
      <c r="D5106" s="55" t="s">
        <v>1086</v>
      </c>
      <c r="G5106" s="65">
        <v>150</v>
      </c>
      <c r="H5106" s="56" t="s">
        <v>2313</v>
      </c>
      <c r="I5106" s="54">
        <v>8689057323</v>
      </c>
      <c r="J5106" s="56" t="s">
        <v>2978</v>
      </c>
      <c r="K5106" s="56">
        <v>3167</v>
      </c>
      <c r="L5106" s="55" t="s">
        <v>2152</v>
      </c>
      <c r="M5106" s="55" t="s">
        <v>2824</v>
      </c>
      <c r="N5106" s="4" t="s">
        <v>1905</v>
      </c>
      <c r="O5106" s="55" t="s">
        <v>178</v>
      </c>
    </row>
    <row r="5107" spans="2:15">
      <c r="B5107" s="20">
        <v>45717</v>
      </c>
      <c r="C5107" s="59">
        <v>40014675</v>
      </c>
      <c r="D5107" s="55" t="s">
        <v>44</v>
      </c>
      <c r="G5107" s="65">
        <v>31.68</v>
      </c>
      <c r="H5107" s="56" t="s">
        <v>80</v>
      </c>
      <c r="I5107" s="54">
        <v>8689060308</v>
      </c>
      <c r="J5107" s="56" t="s">
        <v>2978</v>
      </c>
      <c r="K5107" s="56">
        <v>216</v>
      </c>
      <c r="L5107" s="55" t="s">
        <v>2152</v>
      </c>
      <c r="M5107" s="55" t="s">
        <v>2824</v>
      </c>
      <c r="N5107" s="4" t="s">
        <v>1905</v>
      </c>
      <c r="O5107" s="55" t="s">
        <v>178</v>
      </c>
    </row>
    <row r="5108" spans="2:15">
      <c r="B5108" s="20">
        <v>45717</v>
      </c>
      <c r="C5108" s="59">
        <v>40014675</v>
      </c>
      <c r="D5108" s="55" t="s">
        <v>44</v>
      </c>
      <c r="G5108" s="65">
        <v>31.68</v>
      </c>
      <c r="H5108" s="56" t="s">
        <v>80</v>
      </c>
      <c r="I5108" s="54">
        <v>8689060495</v>
      </c>
      <c r="J5108" s="56" t="s">
        <v>2978</v>
      </c>
      <c r="K5108" s="56">
        <v>217</v>
      </c>
      <c r="L5108" s="55" t="s">
        <v>2152</v>
      </c>
      <c r="M5108" s="55" t="s">
        <v>2824</v>
      </c>
      <c r="N5108" s="4" t="s">
        <v>1905</v>
      </c>
      <c r="O5108" s="55" t="s">
        <v>178</v>
      </c>
    </row>
    <row r="5109" spans="2:15">
      <c r="B5109" s="20">
        <v>45717</v>
      </c>
      <c r="C5109" s="59">
        <v>40014675</v>
      </c>
      <c r="D5109" s="55" t="s">
        <v>44</v>
      </c>
      <c r="G5109" s="65">
        <v>31.68</v>
      </c>
      <c r="H5109" s="56" t="s">
        <v>80</v>
      </c>
      <c r="I5109" s="54">
        <v>8689060497</v>
      </c>
      <c r="J5109" s="56" t="s">
        <v>2978</v>
      </c>
      <c r="K5109" s="56">
        <v>218</v>
      </c>
      <c r="L5109" s="55" t="s">
        <v>2152</v>
      </c>
      <c r="M5109" s="55" t="s">
        <v>2824</v>
      </c>
      <c r="N5109" s="4" t="s">
        <v>1905</v>
      </c>
      <c r="O5109" s="55" t="s">
        <v>178</v>
      </c>
    </row>
    <row r="5110" spans="2:15">
      <c r="B5110" s="20">
        <v>45717</v>
      </c>
      <c r="C5110" s="59">
        <v>40014675</v>
      </c>
      <c r="D5110" s="55" t="s">
        <v>44</v>
      </c>
      <c r="G5110" s="65">
        <v>31.68</v>
      </c>
      <c r="H5110" s="56" t="s">
        <v>80</v>
      </c>
      <c r="I5110" s="54">
        <v>8689060503</v>
      </c>
      <c r="J5110" s="56" t="s">
        <v>2978</v>
      </c>
      <c r="K5110" s="56">
        <v>219</v>
      </c>
      <c r="L5110" s="55" t="s">
        <v>2152</v>
      </c>
      <c r="M5110" s="55" t="s">
        <v>2824</v>
      </c>
      <c r="N5110" s="4" t="s">
        <v>1905</v>
      </c>
      <c r="O5110" s="55" t="s">
        <v>178</v>
      </c>
    </row>
    <row r="5111" spans="2:15">
      <c r="B5111" s="20">
        <v>45717</v>
      </c>
      <c r="C5111" s="59">
        <v>40014675</v>
      </c>
      <c r="D5111" s="55" t="s">
        <v>44</v>
      </c>
      <c r="G5111" s="65">
        <v>34.56</v>
      </c>
      <c r="H5111" s="56" t="s">
        <v>80</v>
      </c>
      <c r="I5111" s="54">
        <v>8689058124</v>
      </c>
      <c r="J5111" s="56" t="s">
        <v>2978</v>
      </c>
      <c r="K5111" s="56">
        <v>220</v>
      </c>
      <c r="L5111" s="55" t="s">
        <v>2152</v>
      </c>
      <c r="M5111" s="55" t="s">
        <v>2824</v>
      </c>
      <c r="N5111" s="4" t="s">
        <v>1905</v>
      </c>
      <c r="O5111" s="55" t="s">
        <v>178</v>
      </c>
    </row>
    <row r="5112" spans="2:15">
      <c r="B5112" s="20">
        <v>45717</v>
      </c>
      <c r="C5112" s="59">
        <v>40014675</v>
      </c>
      <c r="D5112" s="55" t="s">
        <v>44</v>
      </c>
      <c r="G5112" s="65">
        <v>34.56</v>
      </c>
      <c r="H5112" s="56" t="s">
        <v>80</v>
      </c>
      <c r="I5112" s="54">
        <v>8689060496</v>
      </c>
      <c r="J5112" s="56" t="s">
        <v>2978</v>
      </c>
      <c r="K5112" s="56">
        <v>221</v>
      </c>
      <c r="L5112" s="55" t="s">
        <v>2152</v>
      </c>
      <c r="M5112" s="55" t="s">
        <v>2824</v>
      </c>
      <c r="N5112" s="4" t="s">
        <v>1905</v>
      </c>
      <c r="O5112" s="55" t="s">
        <v>178</v>
      </c>
    </row>
    <row r="5113" spans="2:15">
      <c r="B5113" s="20">
        <v>45717</v>
      </c>
      <c r="C5113" s="59">
        <v>40014675</v>
      </c>
      <c r="D5113" s="55" t="s">
        <v>44</v>
      </c>
      <c r="G5113" s="65">
        <v>31.68</v>
      </c>
      <c r="H5113" s="56" t="s">
        <v>80</v>
      </c>
      <c r="I5113" s="54">
        <v>8689060652</v>
      </c>
      <c r="J5113" s="56" t="s">
        <v>2978</v>
      </c>
      <c r="K5113" s="56">
        <v>220</v>
      </c>
      <c r="L5113" s="55" t="s">
        <v>2152</v>
      </c>
      <c r="M5113" s="55" t="s">
        <v>2824</v>
      </c>
      <c r="N5113" s="4" t="s">
        <v>1905</v>
      </c>
      <c r="O5113" s="55" t="s">
        <v>178</v>
      </c>
    </row>
    <row r="5114" spans="2:15">
      <c r="B5114" s="20">
        <v>45720</v>
      </c>
      <c r="C5114" s="59">
        <v>50799770</v>
      </c>
      <c r="D5114" s="55" t="s">
        <v>17</v>
      </c>
      <c r="G5114" s="65">
        <v>5000</v>
      </c>
      <c r="H5114" s="56" t="s">
        <v>92</v>
      </c>
      <c r="I5114" s="54">
        <v>8689815237</v>
      </c>
      <c r="J5114" s="56" t="s">
        <v>2978</v>
      </c>
      <c r="K5114" s="56">
        <v>3168</v>
      </c>
      <c r="L5114" s="55" t="s">
        <v>2152</v>
      </c>
      <c r="M5114" s="55" t="s">
        <v>2824</v>
      </c>
      <c r="N5114" s="4" t="s">
        <v>1905</v>
      </c>
      <c r="O5114" s="55" t="s">
        <v>178</v>
      </c>
    </row>
    <row r="5115" spans="2:15">
      <c r="B5115" s="20">
        <v>45720</v>
      </c>
      <c r="C5115" s="59">
        <v>40009544</v>
      </c>
      <c r="D5115" s="55" t="s">
        <v>179</v>
      </c>
      <c r="G5115" s="65">
        <v>6720</v>
      </c>
      <c r="H5115" s="56" t="s">
        <v>80</v>
      </c>
      <c r="I5115" s="54">
        <v>8689815295</v>
      </c>
      <c r="J5115" s="56" t="s">
        <v>2978</v>
      </c>
      <c r="K5115" s="56">
        <v>3169</v>
      </c>
      <c r="L5115" s="55" t="s">
        <v>2152</v>
      </c>
      <c r="M5115" s="55" t="s">
        <v>2824</v>
      </c>
      <c r="N5115" s="4" t="s">
        <v>1905</v>
      </c>
      <c r="O5115" s="55" t="s">
        <v>178</v>
      </c>
    </row>
    <row r="5116" spans="2:15">
      <c r="B5116" s="20">
        <v>45720</v>
      </c>
      <c r="C5116" s="59">
        <v>40009546</v>
      </c>
      <c r="D5116" s="55" t="s">
        <v>174</v>
      </c>
      <c r="G5116" s="65">
        <v>2592</v>
      </c>
      <c r="H5116" s="56" t="s">
        <v>80</v>
      </c>
      <c r="I5116" s="54">
        <v>8689815295</v>
      </c>
      <c r="J5116" s="56" t="s">
        <v>2978</v>
      </c>
      <c r="K5116" s="56">
        <v>3169</v>
      </c>
      <c r="L5116" s="55" t="s">
        <v>2152</v>
      </c>
      <c r="M5116" s="55" t="s">
        <v>2824</v>
      </c>
      <c r="N5116" s="4" t="s">
        <v>1905</v>
      </c>
      <c r="O5116" s="55" t="s">
        <v>178</v>
      </c>
    </row>
    <row r="5117" spans="2:15">
      <c r="B5117" s="20">
        <v>45720</v>
      </c>
      <c r="C5117" s="59">
        <v>50799770</v>
      </c>
      <c r="D5117" s="55" t="s">
        <v>17</v>
      </c>
      <c r="G5117" s="65">
        <v>2750</v>
      </c>
      <c r="H5117" s="56" t="s">
        <v>92</v>
      </c>
      <c r="I5117" s="54">
        <v>8689815295</v>
      </c>
      <c r="J5117" s="56" t="s">
        <v>2978</v>
      </c>
      <c r="K5117" s="56">
        <v>3169</v>
      </c>
      <c r="L5117" s="55" t="s">
        <v>2152</v>
      </c>
      <c r="M5117" s="55" t="s">
        <v>2824</v>
      </c>
      <c r="N5117" s="4" t="s">
        <v>1905</v>
      </c>
      <c r="O5117" s="55" t="s">
        <v>178</v>
      </c>
    </row>
    <row r="5118" spans="2:15">
      <c r="B5118" s="20">
        <v>45720</v>
      </c>
      <c r="C5118" s="59">
        <v>50144200</v>
      </c>
      <c r="D5118" s="55" t="s">
        <v>184</v>
      </c>
      <c r="G5118" s="65">
        <v>1271000</v>
      </c>
      <c r="H5118" s="56" t="s">
        <v>92</v>
      </c>
      <c r="I5118" s="54">
        <v>8689815295</v>
      </c>
      <c r="J5118" s="56" t="s">
        <v>2978</v>
      </c>
      <c r="K5118" s="56">
        <v>3169</v>
      </c>
      <c r="L5118" s="55" t="s">
        <v>2152</v>
      </c>
      <c r="M5118" s="55" t="s">
        <v>2824</v>
      </c>
      <c r="N5118" s="4" t="s">
        <v>1905</v>
      </c>
      <c r="O5118" s="55" t="s">
        <v>178</v>
      </c>
    </row>
    <row r="5119" spans="2:15">
      <c r="B5119" s="20">
        <v>45720</v>
      </c>
      <c r="C5119" s="59">
        <v>50470190</v>
      </c>
      <c r="D5119" s="55" t="s">
        <v>12</v>
      </c>
      <c r="G5119" s="65">
        <v>1738800</v>
      </c>
      <c r="H5119" s="56" t="s">
        <v>92</v>
      </c>
      <c r="I5119" s="54">
        <v>8689815295</v>
      </c>
      <c r="J5119" s="56" t="s">
        <v>2978</v>
      </c>
      <c r="K5119" s="56">
        <v>3169</v>
      </c>
      <c r="L5119" s="55" t="s">
        <v>2152</v>
      </c>
      <c r="M5119" s="55" t="s">
        <v>2824</v>
      </c>
      <c r="N5119" s="4" t="s">
        <v>1905</v>
      </c>
      <c r="O5119" s="55" t="s">
        <v>178</v>
      </c>
    </row>
    <row r="5120" spans="2:15">
      <c r="B5120" s="20">
        <v>45721</v>
      </c>
      <c r="C5120" s="59">
        <v>50272278</v>
      </c>
      <c r="D5120" s="69" t="s">
        <v>21</v>
      </c>
      <c r="G5120" s="65">
        <v>11000</v>
      </c>
      <c r="H5120" s="56" t="s">
        <v>92</v>
      </c>
      <c r="I5120" s="54">
        <v>8689974688</v>
      </c>
      <c r="J5120" s="56" t="s">
        <v>2978</v>
      </c>
      <c r="K5120" s="56">
        <v>3170</v>
      </c>
      <c r="L5120" s="55" t="s">
        <v>2152</v>
      </c>
      <c r="M5120" s="55" t="s">
        <v>2824</v>
      </c>
      <c r="N5120" s="4" t="s">
        <v>1905</v>
      </c>
      <c r="O5120" s="55" t="s">
        <v>178</v>
      </c>
    </row>
    <row r="5121" spans="2:15">
      <c r="B5121" s="20">
        <v>45721</v>
      </c>
      <c r="C5121" s="59">
        <v>50010080</v>
      </c>
      <c r="D5121" s="55" t="s">
        <v>1657</v>
      </c>
      <c r="G5121" s="65">
        <v>2200</v>
      </c>
      <c r="H5121" s="56" t="s">
        <v>82</v>
      </c>
      <c r="I5121" s="54">
        <v>8693485409</v>
      </c>
      <c r="J5121" s="56" t="s">
        <v>2978</v>
      </c>
      <c r="K5121" s="56">
        <v>3171</v>
      </c>
      <c r="L5121" s="55" t="s">
        <v>2152</v>
      </c>
      <c r="M5121" s="55" t="s">
        <v>2824</v>
      </c>
      <c r="N5121" s="4" t="s">
        <v>1905</v>
      </c>
      <c r="O5121" s="55" t="s">
        <v>178</v>
      </c>
    </row>
    <row r="5122" spans="2:15">
      <c r="B5122" s="20">
        <v>45721</v>
      </c>
      <c r="C5122" s="59">
        <v>40009546</v>
      </c>
      <c r="D5122" s="55" t="s">
        <v>174</v>
      </c>
      <c r="G5122" s="65">
        <v>2592</v>
      </c>
      <c r="H5122" s="56" t="s">
        <v>80</v>
      </c>
      <c r="I5122" s="54">
        <v>8689975065</v>
      </c>
      <c r="J5122" s="56" t="s">
        <v>2978</v>
      </c>
      <c r="K5122" s="56">
        <v>3171</v>
      </c>
      <c r="L5122" s="55" t="s">
        <v>2152</v>
      </c>
      <c r="M5122" s="55" t="s">
        <v>2824</v>
      </c>
      <c r="N5122" s="4" t="s">
        <v>1905</v>
      </c>
      <c r="O5122" s="55" t="s">
        <v>178</v>
      </c>
    </row>
    <row r="5123" spans="2:15">
      <c r="B5123" s="20">
        <v>45721</v>
      </c>
      <c r="C5123" s="59">
        <v>50837237</v>
      </c>
      <c r="D5123" s="55" t="s">
        <v>1747</v>
      </c>
      <c r="G5123" s="65">
        <v>1172.4</v>
      </c>
      <c r="H5123" s="56" t="s">
        <v>82</v>
      </c>
      <c r="I5123" s="54">
        <v>8689975065</v>
      </c>
      <c r="J5123" s="56" t="s">
        <v>2978</v>
      </c>
      <c r="K5123" s="56">
        <v>3171</v>
      </c>
      <c r="L5123" s="55" t="s">
        <v>2152</v>
      </c>
      <c r="M5123" s="55" t="s">
        <v>2824</v>
      </c>
      <c r="N5123" s="4" t="s">
        <v>1905</v>
      </c>
      <c r="O5123" s="55" t="s">
        <v>178</v>
      </c>
    </row>
    <row r="5124" spans="2:15">
      <c r="B5124" s="20">
        <v>45721</v>
      </c>
      <c r="C5124" s="59">
        <v>50837284</v>
      </c>
      <c r="D5124" s="55" t="s">
        <v>28</v>
      </c>
      <c r="G5124" s="65">
        <v>1035.35</v>
      </c>
      <c r="H5124" s="56" t="s">
        <v>82</v>
      </c>
      <c r="I5124" s="54">
        <v>8689975065</v>
      </c>
      <c r="J5124" s="56" t="s">
        <v>2978</v>
      </c>
      <c r="K5124" s="56">
        <v>3171</v>
      </c>
      <c r="L5124" s="55" t="s">
        <v>2152</v>
      </c>
      <c r="M5124" s="55" t="s">
        <v>2824</v>
      </c>
      <c r="N5124" s="4" t="s">
        <v>1905</v>
      </c>
      <c r="O5124" s="55" t="s">
        <v>178</v>
      </c>
    </row>
    <row r="5125" spans="2:15">
      <c r="B5125" s="20">
        <v>45721</v>
      </c>
      <c r="C5125" s="59">
        <v>50824293</v>
      </c>
      <c r="D5125" s="55" t="s">
        <v>861</v>
      </c>
      <c r="G5125" s="65">
        <v>1728000</v>
      </c>
      <c r="H5125" s="56" t="s">
        <v>92</v>
      </c>
      <c r="I5125" s="54">
        <v>8689975065</v>
      </c>
      <c r="J5125" s="56" t="s">
        <v>2978</v>
      </c>
      <c r="K5125" s="56">
        <v>3171</v>
      </c>
      <c r="L5125" s="55" t="s">
        <v>2152</v>
      </c>
      <c r="M5125" s="55" t="s">
        <v>2824</v>
      </c>
      <c r="N5125" s="4" t="s">
        <v>1905</v>
      </c>
      <c r="O5125" s="55" t="s">
        <v>178</v>
      </c>
    </row>
    <row r="5126" spans="2:15">
      <c r="B5126" s="20">
        <v>45721</v>
      </c>
      <c r="C5126" s="59">
        <v>50397884</v>
      </c>
      <c r="D5126" s="55" t="s">
        <v>1296</v>
      </c>
      <c r="G5126" s="65">
        <v>540</v>
      </c>
      <c r="H5126" s="56" t="s">
        <v>80</v>
      </c>
      <c r="I5126" s="54">
        <v>8689975065</v>
      </c>
      <c r="J5126" s="56" t="s">
        <v>2978</v>
      </c>
      <c r="K5126" s="56">
        <v>3171</v>
      </c>
      <c r="L5126" s="55" t="s">
        <v>2152</v>
      </c>
      <c r="M5126" s="55" t="s">
        <v>2824</v>
      </c>
      <c r="N5126" s="4" t="s">
        <v>1905</v>
      </c>
      <c r="O5126" s="55" t="s">
        <v>178</v>
      </c>
    </row>
    <row r="5127" spans="2:15">
      <c r="B5127" s="20">
        <v>45721</v>
      </c>
      <c r="C5127" s="59">
        <v>50472696</v>
      </c>
      <c r="D5127" s="55" t="s">
        <v>1308</v>
      </c>
      <c r="G5127" s="65">
        <v>3972.75</v>
      </c>
      <c r="H5127" s="56" t="s">
        <v>80</v>
      </c>
      <c r="I5127" s="54">
        <v>8689975065</v>
      </c>
      <c r="J5127" s="56" t="s">
        <v>2978</v>
      </c>
      <c r="K5127" s="56">
        <v>3171</v>
      </c>
      <c r="L5127" s="55" t="s">
        <v>2152</v>
      </c>
      <c r="M5127" s="55" t="s">
        <v>2824</v>
      </c>
      <c r="N5127" s="4" t="s">
        <v>1905</v>
      </c>
      <c r="O5127" s="55" t="s">
        <v>178</v>
      </c>
    </row>
    <row r="5128" spans="2:15">
      <c r="B5128" s="20">
        <v>45721</v>
      </c>
      <c r="C5128" s="59">
        <v>50472692</v>
      </c>
      <c r="D5128" s="55" t="s">
        <v>1304</v>
      </c>
      <c r="G5128" s="65">
        <v>1092</v>
      </c>
      <c r="H5128" s="56" t="s">
        <v>80</v>
      </c>
      <c r="I5128" s="54">
        <v>8689975065</v>
      </c>
      <c r="J5128" s="56" t="s">
        <v>2978</v>
      </c>
      <c r="K5128" s="56">
        <v>3171</v>
      </c>
      <c r="L5128" s="55" t="s">
        <v>2152</v>
      </c>
      <c r="M5128" s="55" t="s">
        <v>2824</v>
      </c>
      <c r="N5128" s="4" t="s">
        <v>1905</v>
      </c>
      <c r="O5128" s="55" t="s">
        <v>178</v>
      </c>
    </row>
    <row r="5129" spans="2:15">
      <c r="B5129" s="20">
        <v>45721</v>
      </c>
      <c r="C5129" s="59">
        <v>50507916</v>
      </c>
      <c r="D5129" s="55" t="s">
        <v>406</v>
      </c>
      <c r="G5129" s="65">
        <v>264000</v>
      </c>
      <c r="H5129" s="56" t="s">
        <v>92</v>
      </c>
      <c r="I5129" s="54">
        <v>8689975065</v>
      </c>
      <c r="J5129" s="56" t="s">
        <v>2978</v>
      </c>
      <c r="K5129" s="56">
        <v>3171</v>
      </c>
      <c r="L5129" s="55" t="s">
        <v>2152</v>
      </c>
      <c r="M5129" s="55" t="s">
        <v>2824</v>
      </c>
      <c r="N5129" s="4" t="s">
        <v>1905</v>
      </c>
      <c r="O5129" s="55" t="s">
        <v>178</v>
      </c>
    </row>
    <row r="5130" spans="2:15">
      <c r="B5130" s="20">
        <v>45721</v>
      </c>
      <c r="C5130" s="59">
        <v>40014675</v>
      </c>
      <c r="D5130" s="55" t="s">
        <v>44</v>
      </c>
      <c r="G5130" s="65">
        <v>37.44</v>
      </c>
      <c r="H5130" s="56" t="s">
        <v>80</v>
      </c>
      <c r="I5130" s="54">
        <v>8689975094</v>
      </c>
      <c r="J5130" s="56" t="s">
        <v>2978</v>
      </c>
      <c r="K5130" s="56">
        <v>223</v>
      </c>
    </row>
    <row r="5131" spans="2:15">
      <c r="B5131" s="20">
        <v>45721</v>
      </c>
      <c r="C5131" s="59">
        <v>40014675</v>
      </c>
      <c r="D5131" s="55" t="s">
        <v>44</v>
      </c>
      <c r="G5131" s="65">
        <v>37.44</v>
      </c>
      <c r="H5131" s="56" t="s">
        <v>80</v>
      </c>
      <c r="I5131" s="54">
        <v>8689975098</v>
      </c>
      <c r="J5131" s="56" t="s">
        <v>2978</v>
      </c>
      <c r="K5131" s="56">
        <v>224</v>
      </c>
    </row>
    <row r="5132" spans="2:15">
      <c r="B5132" s="20">
        <v>45721</v>
      </c>
      <c r="C5132" s="59">
        <v>40014675</v>
      </c>
      <c r="D5132" s="55" t="s">
        <v>44</v>
      </c>
      <c r="G5132" s="65">
        <v>37.44</v>
      </c>
      <c r="H5132" s="56" t="s">
        <v>80</v>
      </c>
      <c r="I5132" s="54">
        <v>8689975100</v>
      </c>
      <c r="J5132" s="56" t="s">
        <v>2978</v>
      </c>
      <c r="K5132" s="56">
        <v>225</v>
      </c>
    </row>
    <row r="5133" spans="2:15">
      <c r="B5133" s="20">
        <v>45721</v>
      </c>
      <c r="C5133" s="59">
        <v>40014675</v>
      </c>
      <c r="D5133" s="55" t="s">
        <v>44</v>
      </c>
      <c r="G5133" s="65">
        <v>37.44</v>
      </c>
      <c r="H5133" s="56" t="s">
        <v>80</v>
      </c>
      <c r="I5133" s="54">
        <v>8689975101</v>
      </c>
      <c r="J5133" s="56" t="s">
        <v>2978</v>
      </c>
      <c r="K5133" s="56">
        <v>226</v>
      </c>
    </row>
    <row r="5134" spans="2:15">
      <c r="B5134" s="20">
        <v>45722</v>
      </c>
      <c r="C5134" s="59">
        <v>50010080</v>
      </c>
      <c r="D5134" s="55" t="s">
        <v>1657</v>
      </c>
      <c r="G5134" s="65">
        <v>3300</v>
      </c>
      <c r="H5134" s="56" t="s">
        <v>82</v>
      </c>
      <c r="I5134" s="54">
        <v>8693485514</v>
      </c>
      <c r="J5134" s="56" t="s">
        <v>2978</v>
      </c>
      <c r="K5134" s="56">
        <v>3173</v>
      </c>
      <c r="L5134" s="55" t="s">
        <v>2152</v>
      </c>
      <c r="M5134" s="55" t="s">
        <v>2824</v>
      </c>
      <c r="N5134" s="4" t="s">
        <v>1905</v>
      </c>
      <c r="O5134" s="55" t="s">
        <v>178</v>
      </c>
    </row>
    <row r="5135" spans="2:15">
      <c r="B5135" s="20">
        <v>45722</v>
      </c>
      <c r="C5135" s="59">
        <v>50272278</v>
      </c>
      <c r="D5135" s="55" t="s">
        <v>21</v>
      </c>
      <c r="G5135" s="65">
        <v>5500</v>
      </c>
      <c r="H5135" s="56" t="s">
        <v>92</v>
      </c>
      <c r="I5135" s="54">
        <v>8690305373</v>
      </c>
      <c r="J5135" s="56" t="s">
        <v>2978</v>
      </c>
      <c r="K5135" s="56">
        <v>3173</v>
      </c>
      <c r="L5135" s="55" t="s">
        <v>2152</v>
      </c>
      <c r="M5135" s="55" t="s">
        <v>2824</v>
      </c>
      <c r="N5135" s="4" t="s">
        <v>1905</v>
      </c>
      <c r="O5135" s="55" t="s">
        <v>178</v>
      </c>
    </row>
    <row r="5136" spans="2:15">
      <c r="B5136" s="20">
        <v>45722</v>
      </c>
      <c r="C5136" s="59">
        <v>50142327</v>
      </c>
      <c r="D5136" s="55" t="s">
        <v>256</v>
      </c>
      <c r="G5136" s="65">
        <v>1906.8</v>
      </c>
      <c r="H5136" s="56" t="s">
        <v>82</v>
      </c>
      <c r="I5136" s="54">
        <v>8690305373</v>
      </c>
      <c r="J5136" s="56" t="s">
        <v>2978</v>
      </c>
      <c r="K5136" s="56">
        <v>3173</v>
      </c>
      <c r="L5136" s="55" t="s">
        <v>2152</v>
      </c>
      <c r="M5136" s="55" t="s">
        <v>2824</v>
      </c>
      <c r="N5136" s="4" t="s">
        <v>1905</v>
      </c>
      <c r="O5136" s="55" t="s">
        <v>178</v>
      </c>
    </row>
    <row r="5137" spans="2:15">
      <c r="B5137" s="20">
        <v>45722</v>
      </c>
      <c r="C5137" s="59">
        <v>50142334</v>
      </c>
      <c r="D5137" s="55" t="s">
        <v>257</v>
      </c>
      <c r="G5137" s="65">
        <v>1430.1</v>
      </c>
      <c r="H5137" s="56" t="s">
        <v>753</v>
      </c>
      <c r="I5137" s="54">
        <v>8690305373</v>
      </c>
      <c r="J5137" s="56" t="s">
        <v>2978</v>
      </c>
      <c r="K5137" s="56">
        <v>3173</v>
      </c>
      <c r="L5137" s="55" t="s">
        <v>2152</v>
      </c>
      <c r="M5137" s="55" t="s">
        <v>2824</v>
      </c>
      <c r="N5137" s="4" t="s">
        <v>1905</v>
      </c>
      <c r="O5137" s="55" t="s">
        <v>178</v>
      </c>
    </row>
    <row r="5138" spans="2:15">
      <c r="B5138" s="20">
        <v>45722</v>
      </c>
      <c r="C5138" s="59">
        <v>50145028</v>
      </c>
      <c r="D5138" s="55" t="s">
        <v>23</v>
      </c>
      <c r="G5138" s="65">
        <v>192</v>
      </c>
      <c r="H5138" s="56" t="s">
        <v>92</v>
      </c>
      <c r="I5138" s="54" t="s">
        <v>2874</v>
      </c>
      <c r="J5138" s="56" t="s">
        <v>2978</v>
      </c>
      <c r="K5138" s="56">
        <v>3174</v>
      </c>
      <c r="L5138" s="55" t="s">
        <v>326</v>
      </c>
      <c r="M5138" s="55" t="s">
        <v>2918</v>
      </c>
      <c r="O5138" s="55" t="s">
        <v>178</v>
      </c>
    </row>
    <row r="5139" spans="2:15">
      <c r="B5139" s="20">
        <v>45722</v>
      </c>
      <c r="C5139" s="59">
        <v>50144376</v>
      </c>
      <c r="D5139" s="55" t="s">
        <v>19</v>
      </c>
      <c r="G5139" s="65">
        <v>2750</v>
      </c>
      <c r="H5139" s="56" t="s">
        <v>92</v>
      </c>
      <c r="I5139" s="54" t="s">
        <v>2874</v>
      </c>
      <c r="J5139" s="56" t="s">
        <v>2978</v>
      </c>
      <c r="K5139" s="56">
        <v>3174</v>
      </c>
      <c r="L5139" s="55" t="s">
        <v>326</v>
      </c>
      <c r="M5139" s="55" t="s">
        <v>2918</v>
      </c>
      <c r="O5139" s="55" t="s">
        <v>178</v>
      </c>
    </row>
    <row r="5140" spans="2:15">
      <c r="B5140" s="20">
        <v>45722</v>
      </c>
      <c r="C5140" s="59">
        <v>50272278</v>
      </c>
      <c r="D5140" s="69" t="s">
        <v>21</v>
      </c>
      <c r="G5140" s="65">
        <v>5450</v>
      </c>
      <c r="H5140" s="56" t="s">
        <v>92</v>
      </c>
      <c r="I5140" s="54" t="s">
        <v>2874</v>
      </c>
      <c r="J5140" s="56" t="s">
        <v>2978</v>
      </c>
      <c r="K5140" s="56">
        <v>3174</v>
      </c>
      <c r="L5140" s="55" t="s">
        <v>326</v>
      </c>
      <c r="M5140" s="55" t="s">
        <v>2918</v>
      </c>
      <c r="O5140" s="55" t="s">
        <v>178</v>
      </c>
    </row>
    <row r="5141" spans="2:15">
      <c r="B5141" s="20">
        <v>45722</v>
      </c>
      <c r="C5141" s="59">
        <v>40011148</v>
      </c>
      <c r="D5141" s="55" t="s">
        <v>86</v>
      </c>
      <c r="G5141" s="65">
        <v>450</v>
      </c>
      <c r="H5141" s="56" t="s">
        <v>80</v>
      </c>
      <c r="I5141" s="54">
        <v>8690305607</v>
      </c>
      <c r="J5141" s="56" t="s">
        <v>2978</v>
      </c>
      <c r="K5141" s="56">
        <v>3175</v>
      </c>
      <c r="L5141" s="55" t="s">
        <v>2152</v>
      </c>
      <c r="M5141" s="55" t="s">
        <v>2824</v>
      </c>
      <c r="N5141" s="4" t="s">
        <v>1905</v>
      </c>
      <c r="O5141" s="55" t="s">
        <v>178</v>
      </c>
    </row>
    <row r="5142" spans="2:15">
      <c r="B5142" s="20">
        <v>45722</v>
      </c>
      <c r="C5142" s="59">
        <v>50507916</v>
      </c>
      <c r="D5142" s="55" t="s">
        <v>406</v>
      </c>
      <c r="G5142" s="65">
        <v>264000</v>
      </c>
      <c r="H5142" s="56" t="s">
        <v>92</v>
      </c>
      <c r="I5142" s="54">
        <v>8690305607</v>
      </c>
      <c r="J5142" s="56" t="s">
        <v>2978</v>
      </c>
      <c r="K5142" s="56">
        <v>3175</v>
      </c>
      <c r="L5142" s="55" t="s">
        <v>2152</v>
      </c>
      <c r="M5142" s="55" t="s">
        <v>2824</v>
      </c>
      <c r="N5142" s="4" t="s">
        <v>1905</v>
      </c>
      <c r="O5142" s="55" t="s">
        <v>178</v>
      </c>
    </row>
    <row r="5143" spans="2:15">
      <c r="B5143" s="20">
        <v>45722</v>
      </c>
      <c r="C5143" s="59">
        <v>50337814</v>
      </c>
      <c r="D5143" s="55" t="s">
        <v>669</v>
      </c>
      <c r="G5143" s="65">
        <v>528</v>
      </c>
      <c r="H5143" s="56" t="s">
        <v>80</v>
      </c>
      <c r="I5143" s="54">
        <v>8690305607</v>
      </c>
      <c r="J5143" s="56" t="s">
        <v>2978</v>
      </c>
      <c r="K5143" s="56">
        <v>3175</v>
      </c>
      <c r="L5143" s="55" t="s">
        <v>2152</v>
      </c>
      <c r="M5143" s="55" t="s">
        <v>2824</v>
      </c>
      <c r="N5143" s="4" t="s">
        <v>1905</v>
      </c>
      <c r="O5143" s="55" t="s">
        <v>178</v>
      </c>
    </row>
    <row r="5144" spans="2:15">
      <c r="B5144" s="20">
        <v>45722</v>
      </c>
      <c r="C5144" s="59">
        <v>40009151</v>
      </c>
      <c r="D5144" s="55" t="s">
        <v>180</v>
      </c>
      <c r="G5144" s="65">
        <v>850</v>
      </c>
      <c r="H5144" s="56" t="s">
        <v>80</v>
      </c>
      <c r="I5144" s="54">
        <v>8690305607</v>
      </c>
      <c r="J5144" s="56" t="s">
        <v>2978</v>
      </c>
      <c r="K5144" s="56">
        <v>3175</v>
      </c>
      <c r="L5144" s="55" t="s">
        <v>2152</v>
      </c>
      <c r="M5144" s="55" t="s">
        <v>2824</v>
      </c>
      <c r="N5144" s="4" t="s">
        <v>1905</v>
      </c>
      <c r="O5144" s="55" t="s">
        <v>178</v>
      </c>
    </row>
    <row r="5145" spans="2:15">
      <c r="B5145" s="20">
        <v>45722</v>
      </c>
      <c r="C5145" s="59">
        <v>50470190</v>
      </c>
      <c r="D5145" s="55" t="s">
        <v>12</v>
      </c>
      <c r="G5145" s="65">
        <v>3187800</v>
      </c>
      <c r="H5145" s="56" t="s">
        <v>92</v>
      </c>
      <c r="I5145" s="54">
        <v>8690305607</v>
      </c>
      <c r="J5145" s="56" t="s">
        <v>2978</v>
      </c>
      <c r="K5145" s="56">
        <v>3175</v>
      </c>
      <c r="L5145" s="55" t="s">
        <v>2152</v>
      </c>
      <c r="M5145" s="55" t="s">
        <v>2824</v>
      </c>
      <c r="N5145" s="4" t="s">
        <v>1905</v>
      </c>
      <c r="O5145" s="55" t="s">
        <v>178</v>
      </c>
    </row>
    <row r="5146" spans="2:15">
      <c r="B5146" s="20">
        <v>45722</v>
      </c>
      <c r="C5146" s="59">
        <v>50802401</v>
      </c>
      <c r="D5146" s="55" t="s">
        <v>13</v>
      </c>
      <c r="G5146" s="65">
        <v>869400</v>
      </c>
      <c r="H5146" s="56" t="s">
        <v>92</v>
      </c>
      <c r="I5146" s="54">
        <v>8690305607</v>
      </c>
      <c r="J5146" s="56" t="s">
        <v>2978</v>
      </c>
      <c r="K5146" s="56">
        <v>3175</v>
      </c>
      <c r="L5146" s="55" t="s">
        <v>2152</v>
      </c>
      <c r="M5146" s="55" t="s">
        <v>2824</v>
      </c>
      <c r="N5146" s="4" t="s">
        <v>1905</v>
      </c>
      <c r="O5146" s="55" t="s">
        <v>178</v>
      </c>
    </row>
    <row r="5147" spans="2:15">
      <c r="B5147" s="20">
        <v>45722</v>
      </c>
      <c r="C5147" s="59">
        <v>40014675</v>
      </c>
      <c r="D5147" s="55" t="s">
        <v>44</v>
      </c>
      <c r="G5147" s="65">
        <v>37.44</v>
      </c>
      <c r="H5147" s="56" t="s">
        <v>80</v>
      </c>
      <c r="I5147" s="54">
        <v>8690305611</v>
      </c>
      <c r="J5147" s="56" t="s">
        <v>2978</v>
      </c>
      <c r="K5147" s="56">
        <v>227</v>
      </c>
      <c r="L5147" s="55" t="s">
        <v>3024</v>
      </c>
      <c r="M5147" s="55" t="s">
        <v>2824</v>
      </c>
      <c r="O5147" s="55" t="s">
        <v>178</v>
      </c>
    </row>
    <row r="5148" spans="2:15">
      <c r="B5148" s="20">
        <v>45722</v>
      </c>
      <c r="C5148" s="59">
        <v>40014675</v>
      </c>
      <c r="D5148" s="55" t="s">
        <v>44</v>
      </c>
      <c r="G5148" s="65">
        <v>37.44</v>
      </c>
      <c r="H5148" s="56" t="s">
        <v>80</v>
      </c>
      <c r="I5148" s="54">
        <v>8690305613</v>
      </c>
      <c r="J5148" s="56" t="s">
        <v>2978</v>
      </c>
      <c r="K5148" s="56">
        <v>228</v>
      </c>
      <c r="L5148" s="55" t="s">
        <v>3024</v>
      </c>
      <c r="M5148" s="55" t="s">
        <v>2824</v>
      </c>
      <c r="O5148" s="55" t="s">
        <v>178</v>
      </c>
    </row>
    <row r="5149" spans="2:15">
      <c r="B5149" s="20">
        <v>45722</v>
      </c>
      <c r="C5149" s="59">
        <v>40014675</v>
      </c>
      <c r="D5149" s="55" t="s">
        <v>44</v>
      </c>
      <c r="G5149" s="65">
        <v>37.44</v>
      </c>
      <c r="H5149" s="56" t="s">
        <v>80</v>
      </c>
      <c r="I5149" s="54">
        <v>8690306335</v>
      </c>
      <c r="J5149" s="56" t="s">
        <v>2978</v>
      </c>
      <c r="K5149" s="56">
        <v>229</v>
      </c>
      <c r="L5149" s="55" t="s">
        <v>3024</v>
      </c>
      <c r="M5149" s="55" t="s">
        <v>2824</v>
      </c>
      <c r="O5149" s="55" t="s">
        <v>178</v>
      </c>
    </row>
    <row r="5150" spans="2:15">
      <c r="B5150" s="20">
        <v>45722</v>
      </c>
      <c r="C5150" s="59">
        <v>40014675</v>
      </c>
      <c r="D5150" s="55" t="s">
        <v>44</v>
      </c>
      <c r="G5150" s="65">
        <v>37.44</v>
      </c>
      <c r="H5150" s="56" t="s">
        <v>80</v>
      </c>
      <c r="I5150" s="54">
        <v>8690306339</v>
      </c>
      <c r="J5150" s="56" t="s">
        <v>2978</v>
      </c>
      <c r="K5150" s="56">
        <v>230</v>
      </c>
      <c r="L5150" s="55" t="s">
        <v>3024</v>
      </c>
      <c r="M5150" s="55" t="s">
        <v>2824</v>
      </c>
      <c r="O5150" s="55" t="s">
        <v>178</v>
      </c>
    </row>
    <row r="5151" spans="2:15">
      <c r="B5151" s="20">
        <v>45723</v>
      </c>
      <c r="C5151" s="59">
        <v>50142571</v>
      </c>
      <c r="D5151" s="55" t="s">
        <v>605</v>
      </c>
      <c r="G5151" s="122">
        <v>408</v>
      </c>
      <c r="H5151" s="56" t="s">
        <v>82</v>
      </c>
      <c r="I5151" s="54" t="s">
        <v>2874</v>
      </c>
      <c r="J5151" s="56" t="s">
        <v>2978</v>
      </c>
      <c r="K5151" s="56">
        <v>3177</v>
      </c>
      <c r="L5151" s="55" t="s">
        <v>2152</v>
      </c>
      <c r="M5151" s="55" t="s">
        <v>2824</v>
      </c>
      <c r="N5151" s="4" t="s">
        <v>1905</v>
      </c>
      <c r="O5151" s="55" t="s">
        <v>178</v>
      </c>
    </row>
    <row r="5152" spans="2:15">
      <c r="B5152" s="20">
        <v>45723</v>
      </c>
      <c r="C5152" s="59">
        <v>50837238</v>
      </c>
      <c r="D5152" s="55" t="s">
        <v>1976</v>
      </c>
      <c r="G5152" s="122">
        <v>1162.85</v>
      </c>
      <c r="H5152" s="56" t="s">
        <v>82</v>
      </c>
      <c r="I5152" s="54">
        <v>8690741180</v>
      </c>
      <c r="J5152" s="56" t="s">
        <v>2978</v>
      </c>
      <c r="K5152" s="56">
        <v>3177</v>
      </c>
      <c r="L5152" s="55" t="s">
        <v>2152</v>
      </c>
      <c r="M5152" s="55" t="s">
        <v>2824</v>
      </c>
      <c r="N5152" s="4" t="s">
        <v>1905</v>
      </c>
      <c r="O5152" s="55" t="s">
        <v>178</v>
      </c>
    </row>
    <row r="5153" spans="2:15">
      <c r="B5153" s="20">
        <v>45723</v>
      </c>
      <c r="C5153" s="59">
        <v>50837239</v>
      </c>
      <c r="D5153" s="55" t="s">
        <v>27</v>
      </c>
      <c r="G5153" s="122">
        <v>1021.45</v>
      </c>
      <c r="H5153" s="56" t="s">
        <v>82</v>
      </c>
      <c r="I5153" s="54">
        <v>8690741180</v>
      </c>
      <c r="J5153" s="56" t="s">
        <v>2978</v>
      </c>
      <c r="K5153" s="56">
        <v>3177</v>
      </c>
      <c r="L5153" s="55" t="s">
        <v>2152</v>
      </c>
      <c r="M5153" s="55" t="s">
        <v>2824</v>
      </c>
      <c r="N5153" s="4" t="s">
        <v>1905</v>
      </c>
      <c r="O5153" s="55" t="s">
        <v>178</v>
      </c>
    </row>
    <row r="5154" spans="2:15">
      <c r="B5154" s="20">
        <v>45723</v>
      </c>
      <c r="C5154" s="59">
        <v>50470190</v>
      </c>
      <c r="D5154" s="55" t="s">
        <v>12</v>
      </c>
      <c r="G5154" s="122">
        <v>2028600</v>
      </c>
      <c r="H5154" s="56" t="s">
        <v>92</v>
      </c>
      <c r="I5154" s="54">
        <v>8690741180</v>
      </c>
      <c r="J5154" s="56" t="s">
        <v>2978</v>
      </c>
      <c r="K5154" s="56">
        <v>3177</v>
      </c>
      <c r="L5154" s="55" t="s">
        <v>2152</v>
      </c>
      <c r="M5154" s="55" t="s">
        <v>2824</v>
      </c>
      <c r="N5154" s="4" t="s">
        <v>1905</v>
      </c>
      <c r="O5154" s="55" t="s">
        <v>178</v>
      </c>
    </row>
    <row r="5155" spans="2:15">
      <c r="B5155" s="20">
        <v>45723</v>
      </c>
      <c r="C5155" s="59">
        <v>50821962</v>
      </c>
      <c r="D5155" s="55" t="s">
        <v>2020</v>
      </c>
      <c r="G5155" s="122">
        <v>1222.45</v>
      </c>
      <c r="H5155" s="56" t="s">
        <v>82</v>
      </c>
      <c r="I5155" s="54">
        <v>8690741180</v>
      </c>
      <c r="J5155" s="56" t="s">
        <v>2978</v>
      </c>
      <c r="K5155" s="56">
        <v>3177</v>
      </c>
      <c r="L5155" s="55" t="s">
        <v>2152</v>
      </c>
      <c r="M5155" s="55" t="s">
        <v>2824</v>
      </c>
      <c r="N5155" s="4" t="s">
        <v>1905</v>
      </c>
      <c r="O5155" s="55" t="s">
        <v>178</v>
      </c>
    </row>
    <row r="5156" spans="2:15">
      <c r="B5156" s="20">
        <v>45723</v>
      </c>
      <c r="C5156" s="59">
        <v>7559042</v>
      </c>
      <c r="D5156" s="55" t="s">
        <v>2129</v>
      </c>
      <c r="G5156" s="122">
        <v>65100</v>
      </c>
      <c r="H5156" s="56" t="s">
        <v>962</v>
      </c>
      <c r="I5156" s="54" t="s">
        <v>2874</v>
      </c>
      <c r="J5156" s="56" t="s">
        <v>2978</v>
      </c>
      <c r="K5156" s="56">
        <v>3177</v>
      </c>
      <c r="L5156" s="55" t="s">
        <v>2152</v>
      </c>
      <c r="M5156" s="55" t="s">
        <v>2824</v>
      </c>
      <c r="N5156" s="4" t="s">
        <v>1905</v>
      </c>
      <c r="O5156" s="55" t="s">
        <v>178</v>
      </c>
    </row>
    <row r="5157" spans="2:15">
      <c r="B5157" s="20">
        <v>45723</v>
      </c>
      <c r="C5157" s="59">
        <v>50837269</v>
      </c>
      <c r="D5157" s="55" t="s">
        <v>2138</v>
      </c>
      <c r="G5157" s="122">
        <v>1586</v>
      </c>
      <c r="H5157" s="56" t="s">
        <v>987</v>
      </c>
      <c r="I5157" s="54">
        <v>8693485546</v>
      </c>
      <c r="J5157" s="56" t="s">
        <v>2978</v>
      </c>
      <c r="K5157" s="56">
        <v>3177</v>
      </c>
      <c r="L5157" s="55" t="s">
        <v>2152</v>
      </c>
      <c r="M5157" s="55" t="s">
        <v>2824</v>
      </c>
      <c r="N5157" s="4" t="s">
        <v>1905</v>
      </c>
      <c r="O5157" s="55" t="s">
        <v>178</v>
      </c>
    </row>
    <row r="5158" spans="2:15">
      <c r="B5158" s="20">
        <v>45723</v>
      </c>
      <c r="C5158" s="59">
        <v>40014675</v>
      </c>
      <c r="D5158" s="55" t="s">
        <v>44</v>
      </c>
      <c r="G5158" s="65">
        <v>37.44</v>
      </c>
      <c r="H5158" s="56" t="s">
        <v>80</v>
      </c>
      <c r="I5158" s="54">
        <v>8690741236</v>
      </c>
      <c r="J5158" s="56" t="s">
        <v>2978</v>
      </c>
      <c r="K5158" s="56">
        <v>232</v>
      </c>
      <c r="L5158" s="55" t="s">
        <v>3024</v>
      </c>
      <c r="M5158" s="55" t="s">
        <v>2824</v>
      </c>
      <c r="O5158" s="55" t="s">
        <v>178</v>
      </c>
    </row>
    <row r="5159" spans="2:15">
      <c r="B5159" s="20">
        <v>45723</v>
      </c>
      <c r="C5159" s="59">
        <v>40014675</v>
      </c>
      <c r="D5159" s="55" t="s">
        <v>44</v>
      </c>
      <c r="G5159" s="65">
        <v>37.44</v>
      </c>
      <c r="H5159" s="56" t="s">
        <v>80</v>
      </c>
      <c r="I5159" s="54">
        <v>8690741237</v>
      </c>
      <c r="J5159" s="56" t="s">
        <v>2978</v>
      </c>
      <c r="K5159" s="56">
        <v>233</v>
      </c>
      <c r="L5159" s="55" t="s">
        <v>3024</v>
      </c>
      <c r="M5159" s="55" t="s">
        <v>2824</v>
      </c>
      <c r="O5159" s="55" t="s">
        <v>178</v>
      </c>
    </row>
    <row r="5160" spans="2:15">
      <c r="B5160" s="20">
        <v>45723</v>
      </c>
      <c r="C5160" s="59">
        <v>40014675</v>
      </c>
      <c r="D5160" s="55" t="s">
        <v>44</v>
      </c>
      <c r="G5160" s="65">
        <v>37.44</v>
      </c>
      <c r="H5160" s="56" t="s">
        <v>80</v>
      </c>
      <c r="I5160" s="54">
        <v>8690741241</v>
      </c>
      <c r="J5160" s="56" t="s">
        <v>2978</v>
      </c>
      <c r="K5160" s="56">
        <v>234</v>
      </c>
      <c r="L5160" s="55" t="s">
        <v>3024</v>
      </c>
      <c r="M5160" s="55" t="s">
        <v>2824</v>
      </c>
      <c r="O5160" s="55" t="s">
        <v>178</v>
      </c>
    </row>
    <row r="5161" spans="2:15">
      <c r="B5161" s="20">
        <v>45723</v>
      </c>
      <c r="C5161" s="59">
        <v>40014675</v>
      </c>
      <c r="D5161" s="55" t="s">
        <v>44</v>
      </c>
      <c r="G5161" s="65">
        <v>37.44</v>
      </c>
      <c r="H5161" s="56" t="s">
        <v>80</v>
      </c>
      <c r="I5161" s="54">
        <v>8690741242</v>
      </c>
      <c r="J5161" s="56" t="s">
        <v>2978</v>
      </c>
      <c r="K5161" s="56">
        <v>235</v>
      </c>
      <c r="L5161" s="55" t="s">
        <v>3024</v>
      </c>
      <c r="M5161" s="55" t="s">
        <v>2824</v>
      </c>
      <c r="O5161" s="55" t="s">
        <v>178</v>
      </c>
    </row>
    <row r="5162" spans="2:15">
      <c r="B5162" s="20">
        <v>45723</v>
      </c>
      <c r="C5162" s="59">
        <v>40014675</v>
      </c>
      <c r="D5162" s="55" t="s">
        <v>44</v>
      </c>
      <c r="G5162" s="65">
        <v>37.44</v>
      </c>
      <c r="H5162" s="56" t="s">
        <v>80</v>
      </c>
      <c r="I5162" s="54">
        <v>8692012754</v>
      </c>
      <c r="J5162" s="56" t="s">
        <v>2978</v>
      </c>
      <c r="K5162" s="56">
        <v>236</v>
      </c>
      <c r="L5162" s="55" t="s">
        <v>3024</v>
      </c>
      <c r="M5162" s="55" t="s">
        <v>2824</v>
      </c>
      <c r="O5162" s="55" t="s">
        <v>178</v>
      </c>
    </row>
    <row r="5163" spans="2:15">
      <c r="B5163" s="20">
        <v>45723</v>
      </c>
      <c r="C5163" s="59">
        <v>50144376</v>
      </c>
      <c r="D5163" s="55" t="s">
        <v>19</v>
      </c>
      <c r="G5163" s="65">
        <v>2000</v>
      </c>
      <c r="H5163" s="56" t="s">
        <v>92</v>
      </c>
      <c r="I5163" s="54">
        <v>8690741849</v>
      </c>
      <c r="J5163" s="56" t="s">
        <v>2978</v>
      </c>
      <c r="K5163" s="56">
        <v>3178</v>
      </c>
      <c r="L5163" s="55" t="s">
        <v>2152</v>
      </c>
      <c r="M5163" s="55" t="s">
        <v>2824</v>
      </c>
      <c r="N5163" s="4" t="s">
        <v>1905</v>
      </c>
      <c r="O5163" s="55" t="s">
        <v>178</v>
      </c>
    </row>
    <row r="5164" spans="2:15">
      <c r="B5164" s="20">
        <v>45723</v>
      </c>
      <c r="C5164" s="59">
        <v>50272278</v>
      </c>
      <c r="D5164" s="69" t="s">
        <v>21</v>
      </c>
      <c r="G5164" s="65">
        <v>9000</v>
      </c>
      <c r="H5164" s="56" t="s">
        <v>92</v>
      </c>
      <c r="I5164" s="54">
        <v>8690741849</v>
      </c>
      <c r="J5164" s="56" t="s">
        <v>2978</v>
      </c>
      <c r="K5164" s="56">
        <v>3178</v>
      </c>
      <c r="L5164" s="55" t="s">
        <v>2152</v>
      </c>
      <c r="M5164" s="55" t="s">
        <v>2824</v>
      </c>
      <c r="N5164" s="4" t="s">
        <v>1905</v>
      </c>
      <c r="O5164" s="55" t="s">
        <v>178</v>
      </c>
    </row>
    <row r="5165" spans="2:15">
      <c r="B5165" s="20">
        <v>45724</v>
      </c>
      <c r="C5165" s="59">
        <v>50804970</v>
      </c>
      <c r="D5165" s="55" t="s">
        <v>857</v>
      </c>
      <c r="G5165" s="65">
        <v>3000000</v>
      </c>
      <c r="H5165" s="56" t="s">
        <v>92</v>
      </c>
      <c r="I5165" s="54" t="s">
        <v>2874</v>
      </c>
      <c r="J5165" s="56" t="s">
        <v>2978</v>
      </c>
      <c r="K5165" s="56">
        <v>3181</v>
      </c>
      <c r="L5165" s="55" t="s">
        <v>2152</v>
      </c>
      <c r="M5165" s="55" t="s">
        <v>2824</v>
      </c>
      <c r="N5165" s="4" t="s">
        <v>1905</v>
      </c>
      <c r="O5165" s="55" t="s">
        <v>178</v>
      </c>
    </row>
    <row r="5166" spans="2:15">
      <c r="B5166" s="20">
        <v>45724</v>
      </c>
      <c r="C5166" s="59">
        <v>50804971</v>
      </c>
      <c r="D5166" s="55" t="s">
        <v>855</v>
      </c>
      <c r="G5166" s="65">
        <v>1440000</v>
      </c>
      <c r="H5166" s="56" t="s">
        <v>92</v>
      </c>
      <c r="I5166" s="54">
        <v>8694804344</v>
      </c>
      <c r="J5166" s="56" t="s">
        <v>2978</v>
      </c>
      <c r="K5166" s="56">
        <v>3181</v>
      </c>
      <c r="L5166" s="55" t="s">
        <v>2152</v>
      </c>
      <c r="M5166" s="55" t="s">
        <v>2824</v>
      </c>
      <c r="N5166" s="4" t="s">
        <v>1905</v>
      </c>
      <c r="O5166" s="55" t="s">
        <v>178</v>
      </c>
    </row>
    <row r="5167" spans="2:15">
      <c r="B5167" s="20">
        <v>45724</v>
      </c>
      <c r="C5167" s="59">
        <v>50804929</v>
      </c>
      <c r="D5167" s="55" t="s">
        <v>856</v>
      </c>
      <c r="G5167" s="65">
        <v>810000</v>
      </c>
      <c r="H5167" s="56" t="s">
        <v>92</v>
      </c>
      <c r="I5167" s="54" t="s">
        <v>2874</v>
      </c>
      <c r="J5167" s="56" t="s">
        <v>2978</v>
      </c>
      <c r="K5167" s="56">
        <v>3181</v>
      </c>
      <c r="L5167" s="55" t="s">
        <v>2152</v>
      </c>
      <c r="M5167" s="55" t="s">
        <v>2824</v>
      </c>
      <c r="N5167" s="4" t="s">
        <v>1905</v>
      </c>
      <c r="O5167" s="55" t="s">
        <v>178</v>
      </c>
    </row>
    <row r="5168" spans="2:15">
      <c r="B5168" s="20">
        <v>45724</v>
      </c>
      <c r="C5168" s="59">
        <v>40014675</v>
      </c>
      <c r="D5168" s="55" t="s">
        <v>44</v>
      </c>
      <c r="G5168" s="65">
        <v>37.44</v>
      </c>
      <c r="H5168" s="56" t="s">
        <v>80</v>
      </c>
      <c r="I5168" s="54">
        <v>8692015487</v>
      </c>
      <c r="J5168" s="56" t="s">
        <v>2978</v>
      </c>
      <c r="K5168" s="56">
        <v>237</v>
      </c>
      <c r="L5168" s="55" t="s">
        <v>3024</v>
      </c>
      <c r="M5168" s="55" t="s">
        <v>2824</v>
      </c>
      <c r="O5168" s="55" t="s">
        <v>178</v>
      </c>
    </row>
    <row r="5169" spans="2:15">
      <c r="B5169" s="20">
        <v>45724</v>
      </c>
      <c r="C5169" s="59">
        <v>40014675</v>
      </c>
      <c r="D5169" s="55" t="s">
        <v>44</v>
      </c>
      <c r="G5169" s="65">
        <v>37.44</v>
      </c>
      <c r="H5169" s="56" t="s">
        <v>80</v>
      </c>
      <c r="I5169" s="54">
        <v>8692017997</v>
      </c>
      <c r="J5169" s="56" t="s">
        <v>2978</v>
      </c>
      <c r="K5169" s="56">
        <v>238</v>
      </c>
      <c r="L5169" s="55" t="s">
        <v>3024</v>
      </c>
      <c r="M5169" s="55" t="s">
        <v>2824</v>
      </c>
      <c r="O5169" s="55" t="s">
        <v>178</v>
      </c>
    </row>
    <row r="5170" spans="2:15">
      <c r="B5170" s="20">
        <v>45724</v>
      </c>
      <c r="C5170" s="59">
        <v>40014675</v>
      </c>
      <c r="D5170" s="55" t="s">
        <v>44</v>
      </c>
      <c r="G5170" s="65">
        <v>37.44</v>
      </c>
      <c r="H5170" s="56" t="s">
        <v>80</v>
      </c>
      <c r="I5170" s="54">
        <v>8692021340</v>
      </c>
      <c r="J5170" s="56" t="s">
        <v>2978</v>
      </c>
      <c r="K5170" s="56">
        <v>239</v>
      </c>
      <c r="L5170" s="55" t="s">
        <v>3024</v>
      </c>
      <c r="M5170" s="55" t="s">
        <v>2824</v>
      </c>
      <c r="O5170" s="55" t="s">
        <v>178</v>
      </c>
    </row>
    <row r="5171" spans="2:15">
      <c r="B5171" s="20">
        <v>45724</v>
      </c>
      <c r="C5171" s="59">
        <v>40014675</v>
      </c>
      <c r="D5171" s="55" t="s">
        <v>44</v>
      </c>
      <c r="G5171" s="65">
        <v>37.44</v>
      </c>
      <c r="H5171" s="56" t="s">
        <v>80</v>
      </c>
      <c r="I5171" s="54">
        <v>8692025109</v>
      </c>
      <c r="J5171" s="56" t="s">
        <v>2978</v>
      </c>
      <c r="K5171" s="56">
        <v>240</v>
      </c>
      <c r="L5171" s="55" t="s">
        <v>3024</v>
      </c>
      <c r="M5171" s="55" t="s">
        <v>2824</v>
      </c>
      <c r="O5171" s="55" t="s">
        <v>178</v>
      </c>
    </row>
    <row r="5172" spans="2:15">
      <c r="B5172" s="20">
        <v>45726</v>
      </c>
      <c r="C5172" s="59">
        <v>40011133</v>
      </c>
      <c r="D5172" s="55" t="s">
        <v>634</v>
      </c>
      <c r="G5172" s="65">
        <v>1710</v>
      </c>
      <c r="H5172" s="56" t="s">
        <v>80</v>
      </c>
      <c r="I5172" s="54">
        <v>8691990689</v>
      </c>
      <c r="J5172" s="56" t="s">
        <v>2978</v>
      </c>
      <c r="K5172" s="56">
        <v>3182</v>
      </c>
      <c r="L5172" s="55" t="s">
        <v>2152</v>
      </c>
      <c r="M5172" s="55" t="s">
        <v>2824</v>
      </c>
      <c r="N5172" s="4" t="s">
        <v>1905</v>
      </c>
      <c r="O5172" s="55" t="s">
        <v>178</v>
      </c>
    </row>
    <row r="5173" spans="2:15">
      <c r="B5173" s="20">
        <v>45726</v>
      </c>
      <c r="C5173" s="59">
        <v>50837284</v>
      </c>
      <c r="D5173" s="55" t="s">
        <v>28</v>
      </c>
      <c r="G5173" s="65">
        <v>2009.2</v>
      </c>
      <c r="H5173" s="56" t="s">
        <v>82</v>
      </c>
      <c r="I5173" s="54">
        <v>8691990689</v>
      </c>
      <c r="J5173" s="56" t="s">
        <v>2978</v>
      </c>
      <c r="K5173" s="56">
        <v>3182</v>
      </c>
      <c r="L5173" s="55" t="s">
        <v>2152</v>
      </c>
      <c r="M5173" s="55" t="s">
        <v>2824</v>
      </c>
      <c r="N5173" s="4" t="s">
        <v>1905</v>
      </c>
      <c r="O5173" s="55" t="s">
        <v>178</v>
      </c>
    </row>
    <row r="5174" spans="2:15">
      <c r="B5174" s="20">
        <v>45726</v>
      </c>
      <c r="C5174" s="59">
        <v>50145187</v>
      </c>
      <c r="D5174" s="55" t="s">
        <v>465</v>
      </c>
      <c r="G5174" s="65">
        <v>528000</v>
      </c>
      <c r="H5174" s="56" t="s">
        <v>92</v>
      </c>
      <c r="I5174" s="54">
        <v>8694808196</v>
      </c>
      <c r="J5174" s="56" t="s">
        <v>2978</v>
      </c>
      <c r="K5174" s="56">
        <v>3182</v>
      </c>
      <c r="L5174" s="55" t="s">
        <v>2152</v>
      </c>
      <c r="M5174" s="55" t="s">
        <v>2824</v>
      </c>
      <c r="N5174" s="4" t="s">
        <v>1905</v>
      </c>
      <c r="O5174" s="55" t="s">
        <v>178</v>
      </c>
    </row>
    <row r="5175" spans="2:15">
      <c r="B5175" s="20">
        <v>45726</v>
      </c>
      <c r="C5175" s="59">
        <v>50144200</v>
      </c>
      <c r="D5175" s="55" t="s">
        <v>184</v>
      </c>
      <c r="G5175" s="65">
        <v>528000</v>
      </c>
      <c r="H5175" s="56" t="s">
        <v>92</v>
      </c>
      <c r="I5175" s="54">
        <v>8691990689</v>
      </c>
      <c r="J5175" s="56" t="s">
        <v>2978</v>
      </c>
      <c r="K5175" s="56">
        <v>3182</v>
      </c>
      <c r="L5175" s="55" t="s">
        <v>2152</v>
      </c>
      <c r="M5175" s="55" t="s">
        <v>2824</v>
      </c>
      <c r="N5175" s="4" t="s">
        <v>1905</v>
      </c>
      <c r="O5175" s="55" t="s">
        <v>178</v>
      </c>
    </row>
    <row r="5176" spans="2:15">
      <c r="B5176" s="20">
        <v>45726</v>
      </c>
      <c r="C5176" s="59">
        <v>50507916</v>
      </c>
      <c r="D5176" s="55" t="s">
        <v>406</v>
      </c>
      <c r="G5176" s="65">
        <v>528000</v>
      </c>
      <c r="H5176" s="56" t="s">
        <v>92</v>
      </c>
      <c r="I5176" s="54">
        <v>8691990689</v>
      </c>
      <c r="J5176" s="56" t="s">
        <v>2978</v>
      </c>
      <c r="K5176" s="56">
        <v>3182</v>
      </c>
      <c r="L5176" s="55" t="s">
        <v>2152</v>
      </c>
      <c r="M5176" s="55" t="s">
        <v>2824</v>
      </c>
      <c r="N5176" s="4" t="s">
        <v>1905</v>
      </c>
      <c r="O5176" s="55" t="s">
        <v>178</v>
      </c>
    </row>
    <row r="5177" spans="2:15">
      <c r="B5177" s="20">
        <v>45726</v>
      </c>
      <c r="C5177" s="59">
        <v>40009151</v>
      </c>
      <c r="D5177" s="55" t="s">
        <v>180</v>
      </c>
      <c r="G5177" s="65">
        <v>1350</v>
      </c>
      <c r="H5177" s="56" t="s">
        <v>80</v>
      </c>
      <c r="I5177" s="54">
        <v>8691990689</v>
      </c>
      <c r="J5177" s="56" t="s">
        <v>2978</v>
      </c>
      <c r="K5177" s="56">
        <v>3182</v>
      </c>
      <c r="L5177" s="55" t="s">
        <v>2152</v>
      </c>
      <c r="M5177" s="55" t="s">
        <v>2824</v>
      </c>
      <c r="N5177" s="4" t="s">
        <v>1905</v>
      </c>
      <c r="O5177" s="55" t="s">
        <v>178</v>
      </c>
    </row>
    <row r="5178" spans="2:15">
      <c r="B5178" s="20">
        <v>45726</v>
      </c>
      <c r="C5178" s="59">
        <v>50470190</v>
      </c>
      <c r="D5178" s="55" t="s">
        <v>12</v>
      </c>
      <c r="G5178" s="65">
        <v>1159200</v>
      </c>
      <c r="H5178" s="56" t="s">
        <v>92</v>
      </c>
      <c r="I5178" s="54">
        <v>8691990689</v>
      </c>
      <c r="J5178" s="56" t="s">
        <v>2978</v>
      </c>
      <c r="K5178" s="56">
        <v>3182</v>
      </c>
      <c r="L5178" s="55" t="s">
        <v>2152</v>
      </c>
      <c r="M5178" s="55" t="s">
        <v>2824</v>
      </c>
      <c r="N5178" s="4" t="s">
        <v>1905</v>
      </c>
      <c r="O5178" s="55" t="s">
        <v>178</v>
      </c>
    </row>
    <row r="5179" spans="2:15">
      <c r="B5179" s="20">
        <v>45726</v>
      </c>
      <c r="C5179" s="59">
        <v>50837267</v>
      </c>
      <c r="D5179" s="55" t="s">
        <v>26</v>
      </c>
      <c r="G5179" s="65">
        <v>1214.7</v>
      </c>
      <c r="H5179" s="56" t="s">
        <v>82</v>
      </c>
      <c r="I5179" s="54">
        <v>8691990689</v>
      </c>
      <c r="J5179" s="56" t="s">
        <v>2978</v>
      </c>
      <c r="K5179" s="56">
        <v>3182</v>
      </c>
      <c r="L5179" s="55" t="s">
        <v>2152</v>
      </c>
      <c r="M5179" s="55" t="s">
        <v>2824</v>
      </c>
      <c r="N5179" s="4" t="s">
        <v>1905</v>
      </c>
      <c r="O5179" s="55" t="s">
        <v>178</v>
      </c>
    </row>
    <row r="5180" spans="2:15">
      <c r="B5180" s="20">
        <v>45726</v>
      </c>
      <c r="C5180" s="59">
        <v>50144376</v>
      </c>
      <c r="D5180" s="55" t="s">
        <v>19</v>
      </c>
      <c r="G5180" s="65">
        <v>5000</v>
      </c>
      <c r="H5180" s="56" t="s">
        <v>92</v>
      </c>
      <c r="I5180" s="54">
        <v>8691990739</v>
      </c>
      <c r="J5180" s="56" t="s">
        <v>2978</v>
      </c>
      <c r="K5180" s="56">
        <v>3183</v>
      </c>
      <c r="L5180" s="55" t="s">
        <v>2152</v>
      </c>
      <c r="M5180" s="55" t="s">
        <v>2824</v>
      </c>
      <c r="N5180" s="4" t="s">
        <v>1905</v>
      </c>
      <c r="O5180" s="55" t="s">
        <v>178</v>
      </c>
    </row>
    <row r="5181" spans="2:15">
      <c r="B5181" s="20">
        <v>45726</v>
      </c>
      <c r="C5181" s="59">
        <v>50272278</v>
      </c>
      <c r="D5181" s="55" t="s">
        <v>21</v>
      </c>
      <c r="G5181" s="65">
        <v>4500</v>
      </c>
      <c r="H5181" s="56" t="s">
        <v>92</v>
      </c>
      <c r="I5181" s="54">
        <v>8691990739</v>
      </c>
      <c r="J5181" s="56" t="s">
        <v>2978</v>
      </c>
      <c r="K5181" s="56">
        <v>3183</v>
      </c>
      <c r="L5181" s="55" t="s">
        <v>2152</v>
      </c>
      <c r="M5181" s="55" t="s">
        <v>2824</v>
      </c>
      <c r="N5181" s="4" t="s">
        <v>1905</v>
      </c>
      <c r="O5181" s="55" t="s">
        <v>178</v>
      </c>
    </row>
    <row r="5182" spans="2:15">
      <c r="B5182" s="20">
        <v>45726</v>
      </c>
      <c r="C5182" s="59">
        <v>50437501</v>
      </c>
      <c r="D5182" s="55" t="s">
        <v>2154</v>
      </c>
      <c r="G5182" s="65">
        <v>800</v>
      </c>
      <c r="H5182" s="56" t="s">
        <v>82</v>
      </c>
      <c r="I5182" s="54" t="s">
        <v>2874</v>
      </c>
      <c r="J5182" s="56" t="s">
        <v>2978</v>
      </c>
      <c r="K5182" s="56">
        <v>3183</v>
      </c>
      <c r="L5182" s="55" t="s">
        <v>2152</v>
      </c>
      <c r="M5182" s="55" t="s">
        <v>2824</v>
      </c>
      <c r="N5182" s="4" t="s">
        <v>1905</v>
      </c>
      <c r="O5182" s="55" t="s">
        <v>178</v>
      </c>
    </row>
    <row r="5183" spans="2:15">
      <c r="B5183" s="20">
        <v>45726</v>
      </c>
      <c r="C5183" s="59">
        <v>50507916</v>
      </c>
      <c r="D5183" s="55" t="s">
        <v>406</v>
      </c>
      <c r="G5183" s="65">
        <v>528000</v>
      </c>
      <c r="H5183" s="56" t="s">
        <v>92</v>
      </c>
      <c r="I5183" s="54">
        <v>8691990739</v>
      </c>
      <c r="J5183" s="56" t="s">
        <v>2978</v>
      </c>
      <c r="K5183" s="56">
        <v>3183</v>
      </c>
      <c r="L5183" s="55" t="s">
        <v>2152</v>
      </c>
      <c r="M5183" s="55" t="s">
        <v>2824</v>
      </c>
      <c r="N5183" s="4" t="s">
        <v>1905</v>
      </c>
      <c r="O5183" s="55" t="s">
        <v>178</v>
      </c>
    </row>
    <row r="5184" spans="2:15">
      <c r="B5184" s="20">
        <v>45727</v>
      </c>
      <c r="C5184" s="59">
        <v>50809353</v>
      </c>
      <c r="D5184" s="55" t="s">
        <v>905</v>
      </c>
      <c r="G5184" s="65">
        <v>3000</v>
      </c>
      <c r="H5184" s="56" t="s">
        <v>82</v>
      </c>
      <c r="I5184" s="54">
        <v>8692097172</v>
      </c>
      <c r="J5184" s="56" t="s">
        <v>2978</v>
      </c>
      <c r="K5184" s="56">
        <v>3184</v>
      </c>
      <c r="L5184" s="55" t="s">
        <v>2152</v>
      </c>
      <c r="M5184" s="55" t="s">
        <v>2824</v>
      </c>
      <c r="N5184" s="4" t="s">
        <v>1905</v>
      </c>
      <c r="O5184" s="55" t="s">
        <v>178</v>
      </c>
    </row>
    <row r="5185" spans="2:15">
      <c r="B5185" s="20">
        <v>45727</v>
      </c>
      <c r="C5185" s="59">
        <v>50837239</v>
      </c>
      <c r="D5185" s="55" t="s">
        <v>27</v>
      </c>
      <c r="G5185" s="65">
        <v>1030</v>
      </c>
      <c r="H5185" s="56" t="s">
        <v>82</v>
      </c>
      <c r="I5185" s="54">
        <v>8692097172</v>
      </c>
      <c r="J5185" s="56" t="s">
        <v>2978</v>
      </c>
      <c r="K5185" s="56">
        <v>3184</v>
      </c>
      <c r="L5185" s="55" t="s">
        <v>2152</v>
      </c>
      <c r="M5185" s="55" t="s">
        <v>2824</v>
      </c>
      <c r="N5185" s="4" t="s">
        <v>1905</v>
      </c>
      <c r="O5185" s="55" t="s">
        <v>178</v>
      </c>
    </row>
    <row r="5186" spans="2:15">
      <c r="B5186" s="20">
        <v>45727</v>
      </c>
      <c r="C5186" s="59">
        <v>50837284</v>
      </c>
      <c r="D5186" s="55" t="s">
        <v>28</v>
      </c>
      <c r="G5186" s="65">
        <v>1570.15</v>
      </c>
      <c r="H5186" s="56" t="s">
        <v>82</v>
      </c>
      <c r="I5186" s="54">
        <v>8692097172</v>
      </c>
      <c r="J5186" s="56" t="s">
        <v>2978</v>
      </c>
      <c r="K5186" s="56">
        <v>3184</v>
      </c>
      <c r="L5186" s="55" t="s">
        <v>2152</v>
      </c>
      <c r="M5186" s="55" t="s">
        <v>2824</v>
      </c>
      <c r="N5186" s="4" t="s">
        <v>1905</v>
      </c>
      <c r="O5186" s="55" t="s">
        <v>178</v>
      </c>
    </row>
    <row r="5187" spans="2:15">
      <c r="B5187" s="20">
        <v>45727</v>
      </c>
      <c r="C5187" s="59">
        <v>40011149</v>
      </c>
      <c r="D5187" s="55" t="s">
        <v>37</v>
      </c>
      <c r="G5187" s="65">
        <v>1080</v>
      </c>
      <c r="H5187" s="56" t="s">
        <v>80</v>
      </c>
      <c r="I5187" s="54">
        <v>8692097172</v>
      </c>
      <c r="J5187" s="56" t="s">
        <v>2978</v>
      </c>
      <c r="K5187" s="56">
        <v>3184</v>
      </c>
      <c r="L5187" s="55" t="s">
        <v>2152</v>
      </c>
      <c r="M5187" s="55" t="s">
        <v>2824</v>
      </c>
      <c r="N5187" s="4" t="s">
        <v>1905</v>
      </c>
      <c r="O5187" s="55" t="s">
        <v>178</v>
      </c>
    </row>
    <row r="5188" spans="2:15">
      <c r="B5188" s="20">
        <v>45727</v>
      </c>
      <c r="C5188" s="59">
        <v>50144200</v>
      </c>
      <c r="D5188" s="55" t="s">
        <v>184</v>
      </c>
      <c r="G5188" s="65">
        <v>1584000</v>
      </c>
      <c r="H5188" s="56" t="s">
        <v>92</v>
      </c>
      <c r="I5188" s="54">
        <v>8692097172</v>
      </c>
      <c r="J5188" s="56" t="s">
        <v>2978</v>
      </c>
      <c r="K5188" s="56">
        <v>3184</v>
      </c>
      <c r="L5188" s="55" t="s">
        <v>2152</v>
      </c>
      <c r="M5188" s="55" t="s">
        <v>2824</v>
      </c>
      <c r="N5188" s="4" t="s">
        <v>1905</v>
      </c>
      <c r="O5188" s="55" t="s">
        <v>178</v>
      </c>
    </row>
    <row r="5189" spans="2:15">
      <c r="B5189" s="20">
        <v>45727</v>
      </c>
      <c r="C5189" s="59">
        <v>50821962</v>
      </c>
      <c r="D5189" s="55" t="s">
        <v>2020</v>
      </c>
      <c r="G5189" s="65">
        <v>1011.2</v>
      </c>
      <c r="H5189" s="56" t="s">
        <v>82</v>
      </c>
      <c r="I5189" s="54">
        <v>8692097172</v>
      </c>
      <c r="J5189" s="56" t="s">
        <v>2978</v>
      </c>
      <c r="K5189" s="56">
        <v>3184</v>
      </c>
      <c r="L5189" s="55" t="s">
        <v>2152</v>
      </c>
      <c r="M5189" s="55" t="s">
        <v>2824</v>
      </c>
      <c r="N5189" s="4" t="s">
        <v>1905</v>
      </c>
      <c r="O5189" s="55" t="s">
        <v>178</v>
      </c>
    </row>
    <row r="5190" spans="2:15">
      <c r="B5190" s="20">
        <v>45727</v>
      </c>
      <c r="C5190" s="59">
        <v>50142298</v>
      </c>
      <c r="D5190" s="55" t="s">
        <v>2159</v>
      </c>
      <c r="G5190" s="65">
        <v>1685</v>
      </c>
      <c r="H5190" s="56" t="s">
        <v>82</v>
      </c>
      <c r="I5190" s="54" t="s">
        <v>2874</v>
      </c>
      <c r="J5190" s="56" t="s">
        <v>2978</v>
      </c>
      <c r="K5190" s="56">
        <v>3184</v>
      </c>
      <c r="L5190" s="55" t="s">
        <v>2152</v>
      </c>
      <c r="M5190" s="55" t="s">
        <v>2824</v>
      </c>
      <c r="N5190" s="4" t="s">
        <v>1905</v>
      </c>
      <c r="O5190" s="55" t="s">
        <v>178</v>
      </c>
    </row>
    <row r="5191" spans="2:15">
      <c r="B5191" s="20">
        <v>45728</v>
      </c>
      <c r="C5191" s="59">
        <v>50834669</v>
      </c>
      <c r="D5191" s="55" t="s">
        <v>1668</v>
      </c>
      <c r="G5191" s="65">
        <v>290160</v>
      </c>
      <c r="I5191" s="54" t="s">
        <v>2874</v>
      </c>
      <c r="J5191" s="56" t="s">
        <v>2978</v>
      </c>
      <c r="K5191" s="56">
        <v>3185</v>
      </c>
      <c r="L5191" s="55" t="s">
        <v>2152</v>
      </c>
      <c r="M5191" s="55" t="s">
        <v>392</v>
      </c>
      <c r="N5191" s="4" t="s">
        <v>1905</v>
      </c>
      <c r="O5191" s="55" t="s">
        <v>178</v>
      </c>
    </row>
    <row r="5192" spans="2:15">
      <c r="B5192" s="20">
        <v>45728</v>
      </c>
      <c r="C5192" s="59">
        <v>50010080</v>
      </c>
      <c r="D5192" s="55" t="s">
        <v>1657</v>
      </c>
      <c r="G5192" s="65">
        <v>4400</v>
      </c>
      <c r="H5192" s="56" t="s">
        <v>82</v>
      </c>
      <c r="I5192" s="54">
        <v>8693485519</v>
      </c>
      <c r="J5192" s="56" t="s">
        <v>2978</v>
      </c>
      <c r="K5192" s="56">
        <v>3185</v>
      </c>
      <c r="L5192" s="55" t="s">
        <v>2152</v>
      </c>
      <c r="M5192" s="55" t="s">
        <v>2824</v>
      </c>
      <c r="N5192" s="4" t="s">
        <v>1905</v>
      </c>
      <c r="O5192" s="55" t="s">
        <v>178</v>
      </c>
    </row>
    <row r="5193" spans="2:15">
      <c r="B5193" s="20">
        <v>45728</v>
      </c>
      <c r="C5193" s="59">
        <v>40010086</v>
      </c>
      <c r="D5193" s="55" t="s">
        <v>79</v>
      </c>
      <c r="G5193" s="65">
        <v>9314</v>
      </c>
      <c r="H5193" s="56" t="s">
        <v>80</v>
      </c>
      <c r="I5193" s="54">
        <v>8692532261</v>
      </c>
      <c r="J5193" s="56" t="s">
        <v>2978</v>
      </c>
      <c r="K5193" s="56">
        <v>3186</v>
      </c>
      <c r="L5193" s="55" t="s">
        <v>2152</v>
      </c>
      <c r="M5193" s="55" t="s">
        <v>2824</v>
      </c>
      <c r="N5193" s="4" t="s">
        <v>1905</v>
      </c>
      <c r="O5193" s="55" t="s">
        <v>178</v>
      </c>
    </row>
    <row r="5194" spans="2:15">
      <c r="B5194" s="20">
        <v>45728</v>
      </c>
      <c r="C5194" s="59">
        <v>50804929</v>
      </c>
      <c r="D5194" s="55" t="s">
        <v>856</v>
      </c>
      <c r="G5194" s="65">
        <v>1200000</v>
      </c>
      <c r="H5194" s="56" t="s">
        <v>92</v>
      </c>
      <c r="I5194" s="54">
        <v>8692532261</v>
      </c>
      <c r="J5194" s="56" t="s">
        <v>2978</v>
      </c>
      <c r="K5194" s="56">
        <v>3186</v>
      </c>
      <c r="L5194" s="55" t="s">
        <v>2152</v>
      </c>
      <c r="M5194" s="55" t="s">
        <v>2824</v>
      </c>
      <c r="N5194" s="4" t="s">
        <v>1905</v>
      </c>
      <c r="O5194" s="55" t="s">
        <v>178</v>
      </c>
    </row>
    <row r="5195" spans="2:15">
      <c r="B5195" s="20">
        <v>45728</v>
      </c>
      <c r="C5195" s="59">
        <v>40011149</v>
      </c>
      <c r="D5195" s="55" t="s">
        <v>37</v>
      </c>
      <c r="G5195" s="65">
        <v>928</v>
      </c>
      <c r="H5195" s="56" t="s">
        <v>80</v>
      </c>
      <c r="I5195" s="54">
        <v>8692532261</v>
      </c>
      <c r="J5195" s="56" t="s">
        <v>2978</v>
      </c>
      <c r="K5195" s="56">
        <v>3186</v>
      </c>
      <c r="L5195" s="55" t="s">
        <v>2152</v>
      </c>
      <c r="M5195" s="55" t="s">
        <v>2824</v>
      </c>
      <c r="N5195" s="4" t="s">
        <v>1905</v>
      </c>
      <c r="O5195" s="55" t="s">
        <v>178</v>
      </c>
    </row>
    <row r="5196" spans="2:15">
      <c r="B5196" s="20">
        <v>45728</v>
      </c>
      <c r="C5196" s="59">
        <v>50507916</v>
      </c>
      <c r="D5196" s="55" t="s">
        <v>406</v>
      </c>
      <c r="G5196" s="65">
        <v>1056000</v>
      </c>
      <c r="H5196" s="56" t="s">
        <v>92</v>
      </c>
      <c r="I5196" s="54">
        <v>8692532261</v>
      </c>
      <c r="J5196" s="56" t="s">
        <v>2978</v>
      </c>
      <c r="K5196" s="56">
        <v>3186</v>
      </c>
      <c r="L5196" s="55" t="s">
        <v>2152</v>
      </c>
      <c r="M5196" s="55" t="s">
        <v>2824</v>
      </c>
      <c r="N5196" s="4" t="s">
        <v>1905</v>
      </c>
      <c r="O5196" s="55" t="s">
        <v>178</v>
      </c>
    </row>
    <row r="5197" spans="2:15">
      <c r="B5197" s="20">
        <v>45728</v>
      </c>
      <c r="C5197" s="59">
        <v>50470190</v>
      </c>
      <c r="D5197" s="55" t="s">
        <v>12</v>
      </c>
      <c r="G5197" s="65">
        <v>1159200</v>
      </c>
      <c r="H5197" s="56" t="s">
        <v>92</v>
      </c>
      <c r="I5197" s="54">
        <v>8692532261</v>
      </c>
      <c r="J5197" s="56" t="s">
        <v>2978</v>
      </c>
      <c r="K5197" s="56">
        <v>3186</v>
      </c>
      <c r="L5197" s="55" t="s">
        <v>2152</v>
      </c>
      <c r="M5197" s="55" t="s">
        <v>2824</v>
      </c>
      <c r="N5197" s="4" t="s">
        <v>1905</v>
      </c>
      <c r="O5197" s="55" t="s">
        <v>178</v>
      </c>
    </row>
    <row r="5198" spans="2:15">
      <c r="B5198" s="20">
        <v>45729</v>
      </c>
      <c r="C5198" s="59">
        <v>50272278</v>
      </c>
      <c r="D5198" s="69" t="s">
        <v>21</v>
      </c>
      <c r="G5198" s="65">
        <v>11000</v>
      </c>
      <c r="H5198" s="56" t="s">
        <v>92</v>
      </c>
      <c r="I5198" s="54">
        <v>8692999384</v>
      </c>
      <c r="J5198" s="56" t="s">
        <v>2978</v>
      </c>
      <c r="K5198" s="56">
        <v>3187</v>
      </c>
      <c r="L5198" s="55" t="s">
        <v>2152</v>
      </c>
      <c r="M5198" s="55" t="s">
        <v>2824</v>
      </c>
      <c r="N5198" s="4" t="s">
        <v>1905</v>
      </c>
      <c r="O5198" s="55" t="s">
        <v>178</v>
      </c>
    </row>
    <row r="5199" spans="2:15">
      <c r="B5199" s="20">
        <v>45730</v>
      </c>
      <c r="C5199" s="59">
        <v>50272278</v>
      </c>
      <c r="D5199" s="69" t="s">
        <v>21</v>
      </c>
      <c r="G5199" s="65">
        <v>11000</v>
      </c>
      <c r="H5199" s="56" t="s">
        <v>92</v>
      </c>
      <c r="I5199" s="54">
        <v>8693482919</v>
      </c>
      <c r="J5199" s="56" t="s">
        <v>2978</v>
      </c>
      <c r="K5199" s="56">
        <v>3188</v>
      </c>
      <c r="L5199" s="55" t="s">
        <v>2152</v>
      </c>
      <c r="M5199" s="55" t="s">
        <v>2824</v>
      </c>
      <c r="N5199" s="4" t="s">
        <v>1905</v>
      </c>
      <c r="O5199" s="55" t="s">
        <v>178</v>
      </c>
    </row>
    <row r="5200" spans="2:15">
      <c r="B5200" s="20">
        <v>45730</v>
      </c>
      <c r="C5200" s="59">
        <v>50142619</v>
      </c>
      <c r="D5200" s="55" t="s">
        <v>433</v>
      </c>
      <c r="G5200" s="65">
        <v>242</v>
      </c>
      <c r="H5200" s="56" t="s">
        <v>82</v>
      </c>
      <c r="I5200" s="54" t="s">
        <v>2874</v>
      </c>
      <c r="J5200" s="56" t="s">
        <v>2978</v>
      </c>
      <c r="K5200" s="56">
        <v>3189</v>
      </c>
      <c r="L5200" s="55" t="s">
        <v>2152</v>
      </c>
      <c r="M5200" s="55" t="s">
        <v>2824</v>
      </c>
      <c r="N5200" s="4" t="s">
        <v>1905</v>
      </c>
      <c r="O5200" s="55" t="s">
        <v>178</v>
      </c>
    </row>
    <row r="5201" spans="2:15">
      <c r="B5201" s="20">
        <v>45730</v>
      </c>
      <c r="C5201" s="59">
        <v>50804929</v>
      </c>
      <c r="D5201" s="55" t="s">
        <v>856</v>
      </c>
      <c r="G5201" s="65">
        <v>449100</v>
      </c>
      <c r="H5201" s="56" t="s">
        <v>92</v>
      </c>
      <c r="I5201" s="54">
        <v>8693483160</v>
      </c>
      <c r="J5201" s="56" t="s">
        <v>2978</v>
      </c>
      <c r="K5201" s="56">
        <v>3189</v>
      </c>
      <c r="L5201" s="55" t="s">
        <v>2152</v>
      </c>
      <c r="M5201" s="55" t="s">
        <v>2824</v>
      </c>
      <c r="N5201" s="4" t="s">
        <v>1905</v>
      </c>
      <c r="O5201" s="55" t="s">
        <v>178</v>
      </c>
    </row>
    <row r="5202" spans="2:15">
      <c r="B5202" s="20">
        <v>45730</v>
      </c>
      <c r="C5202" s="59">
        <v>40010084</v>
      </c>
      <c r="D5202" s="55" t="s">
        <v>81</v>
      </c>
      <c r="G5202" s="65">
        <v>2912</v>
      </c>
      <c r="H5202" s="56" t="s">
        <v>80</v>
      </c>
      <c r="I5202" s="54">
        <v>8693483160</v>
      </c>
      <c r="J5202" s="56" t="s">
        <v>2978</v>
      </c>
      <c r="K5202" s="56">
        <v>3189</v>
      </c>
      <c r="L5202" s="55" t="s">
        <v>2152</v>
      </c>
      <c r="M5202" s="55" t="s">
        <v>2824</v>
      </c>
      <c r="N5202" s="4" t="s">
        <v>1905</v>
      </c>
      <c r="O5202" s="55" t="s">
        <v>178</v>
      </c>
    </row>
    <row r="5203" spans="2:15">
      <c r="B5203" s="20">
        <v>45730</v>
      </c>
      <c r="C5203" s="59">
        <v>50392045</v>
      </c>
      <c r="D5203" s="55" t="s">
        <v>707</v>
      </c>
      <c r="G5203" s="65">
        <v>30</v>
      </c>
      <c r="H5203" s="56" t="s">
        <v>505</v>
      </c>
      <c r="I5203" s="54">
        <v>8693483160</v>
      </c>
      <c r="J5203" s="56" t="s">
        <v>2978</v>
      </c>
      <c r="K5203" s="56">
        <v>3189</v>
      </c>
      <c r="L5203" s="55" t="s">
        <v>2152</v>
      </c>
      <c r="M5203" s="55" t="s">
        <v>2824</v>
      </c>
      <c r="N5203" s="4" t="s">
        <v>1905</v>
      </c>
      <c r="O5203" s="55" t="s">
        <v>178</v>
      </c>
    </row>
    <row r="5204" spans="2:15">
      <c r="B5204" s="20">
        <v>45730</v>
      </c>
      <c r="C5204" s="59">
        <v>50507916</v>
      </c>
      <c r="D5204" s="55" t="s">
        <v>406</v>
      </c>
      <c r="G5204" s="65">
        <v>792000</v>
      </c>
      <c r="H5204" s="56" t="s">
        <v>92</v>
      </c>
      <c r="I5204" s="54">
        <v>8693483160</v>
      </c>
      <c r="J5204" s="56" t="s">
        <v>2978</v>
      </c>
      <c r="K5204" s="56">
        <v>3189</v>
      </c>
      <c r="L5204" s="55" t="s">
        <v>2152</v>
      </c>
      <c r="M5204" s="55" t="s">
        <v>2824</v>
      </c>
      <c r="N5204" s="4" t="s">
        <v>1905</v>
      </c>
      <c r="O5204" s="55" t="s">
        <v>178</v>
      </c>
    </row>
    <row r="5205" spans="2:15">
      <c r="B5205" s="20">
        <v>45730</v>
      </c>
      <c r="C5205" s="59">
        <v>50470190</v>
      </c>
      <c r="D5205" s="55" t="s">
        <v>12</v>
      </c>
      <c r="G5205" s="65">
        <v>2318400</v>
      </c>
      <c r="H5205" s="56" t="s">
        <v>92</v>
      </c>
      <c r="I5205" s="54">
        <v>8693483160</v>
      </c>
      <c r="J5205" s="56" t="s">
        <v>2978</v>
      </c>
      <c r="K5205" s="56">
        <v>3189</v>
      </c>
      <c r="L5205" s="55" t="s">
        <v>2152</v>
      </c>
      <c r="M5205" s="55" t="s">
        <v>2824</v>
      </c>
      <c r="N5205" s="4" t="s">
        <v>1905</v>
      </c>
      <c r="O5205" s="55" t="s">
        <v>178</v>
      </c>
    </row>
    <row r="5206" spans="2:15">
      <c r="B5206" s="20">
        <v>45730</v>
      </c>
      <c r="C5206" s="59">
        <v>50821962</v>
      </c>
      <c r="D5206" s="55" t="s">
        <v>2020</v>
      </c>
      <c r="G5206" s="65">
        <v>2426.3</v>
      </c>
      <c r="H5206" s="56" t="s">
        <v>82</v>
      </c>
      <c r="I5206" s="54">
        <v>8693483160</v>
      </c>
      <c r="J5206" s="56" t="s">
        <v>2978</v>
      </c>
      <c r="K5206" s="56">
        <v>3189</v>
      </c>
      <c r="L5206" s="55" t="s">
        <v>2152</v>
      </c>
      <c r="M5206" s="55" t="s">
        <v>2824</v>
      </c>
      <c r="N5206" s="4" t="s">
        <v>1905</v>
      </c>
      <c r="O5206" s="55" t="s">
        <v>178</v>
      </c>
    </row>
    <row r="5207" spans="2:15">
      <c r="B5207" s="20">
        <v>45730</v>
      </c>
      <c r="C5207" s="59">
        <v>50470190</v>
      </c>
      <c r="D5207" s="55" t="s">
        <v>12</v>
      </c>
      <c r="G5207" s="65">
        <v>2608200</v>
      </c>
      <c r="H5207" s="56" t="s">
        <v>92</v>
      </c>
      <c r="I5207" s="54">
        <v>8693485319</v>
      </c>
      <c r="J5207" s="56" t="s">
        <v>2978</v>
      </c>
      <c r="K5207" s="56">
        <v>3190</v>
      </c>
      <c r="L5207" s="55" t="s">
        <v>2152</v>
      </c>
      <c r="M5207" s="55" t="s">
        <v>2824</v>
      </c>
      <c r="N5207" s="4" t="s">
        <v>1905</v>
      </c>
      <c r="O5207" s="55" t="s">
        <v>178</v>
      </c>
    </row>
    <row r="5208" spans="2:15">
      <c r="B5208" s="20">
        <v>45730</v>
      </c>
      <c r="C5208" s="59">
        <v>50387529</v>
      </c>
      <c r="D5208" s="55" t="s">
        <v>610</v>
      </c>
      <c r="G5208" s="65">
        <v>2000</v>
      </c>
      <c r="H5208" s="56" t="s">
        <v>82</v>
      </c>
      <c r="I5208" s="54" t="s">
        <v>2874</v>
      </c>
      <c r="J5208" s="56" t="s">
        <v>2978</v>
      </c>
      <c r="K5208" s="56">
        <v>3190</v>
      </c>
      <c r="L5208" s="55" t="s">
        <v>2152</v>
      </c>
      <c r="M5208" s="55" t="s">
        <v>2824</v>
      </c>
      <c r="N5208" s="4" t="s">
        <v>1905</v>
      </c>
      <c r="O5208" s="55" t="s">
        <v>178</v>
      </c>
    </row>
    <row r="5209" spans="2:15">
      <c r="B5209" s="20">
        <v>45730</v>
      </c>
      <c r="C5209" s="59">
        <v>50765894</v>
      </c>
      <c r="D5209" s="55" t="s">
        <v>2153</v>
      </c>
      <c r="G5209" s="65">
        <v>800</v>
      </c>
      <c r="H5209" s="56" t="s">
        <v>82</v>
      </c>
      <c r="I5209" s="54" t="s">
        <v>2874</v>
      </c>
      <c r="J5209" s="56" t="s">
        <v>2978</v>
      </c>
      <c r="K5209" s="56">
        <v>3190</v>
      </c>
      <c r="L5209" s="55" t="s">
        <v>2152</v>
      </c>
      <c r="M5209" s="55" t="s">
        <v>2824</v>
      </c>
      <c r="N5209" s="4" t="s">
        <v>1905</v>
      </c>
      <c r="O5209" s="55" t="s">
        <v>178</v>
      </c>
    </row>
    <row r="5210" spans="2:15">
      <c r="B5210" s="20">
        <v>45730</v>
      </c>
      <c r="C5210" s="59">
        <v>50772940</v>
      </c>
      <c r="D5210" s="55" t="s">
        <v>2155</v>
      </c>
      <c r="G5210" s="65">
        <v>800</v>
      </c>
      <c r="H5210" s="56" t="s">
        <v>82</v>
      </c>
      <c r="I5210" s="54" t="s">
        <v>2874</v>
      </c>
      <c r="J5210" s="56" t="s">
        <v>2978</v>
      </c>
      <c r="K5210" s="56">
        <v>3190</v>
      </c>
      <c r="L5210" s="55" t="s">
        <v>2152</v>
      </c>
      <c r="M5210" s="55" t="s">
        <v>2824</v>
      </c>
      <c r="N5210" s="4" t="s">
        <v>1905</v>
      </c>
      <c r="O5210" s="55" t="s">
        <v>178</v>
      </c>
    </row>
    <row r="5211" spans="2:15">
      <c r="B5211" s="20">
        <v>45730</v>
      </c>
      <c r="C5211" s="59">
        <v>50409115</v>
      </c>
      <c r="D5211" s="55" t="s">
        <v>2156</v>
      </c>
      <c r="G5211" s="65">
        <v>220</v>
      </c>
      <c r="H5211" s="56" t="s">
        <v>82</v>
      </c>
      <c r="I5211" s="54" t="s">
        <v>2874</v>
      </c>
      <c r="J5211" s="56" t="s">
        <v>2978</v>
      </c>
      <c r="K5211" s="56">
        <v>3190</v>
      </c>
      <c r="L5211" s="55" t="s">
        <v>2152</v>
      </c>
      <c r="M5211" s="55" t="s">
        <v>2824</v>
      </c>
      <c r="N5211" s="4" t="s">
        <v>1905</v>
      </c>
      <c r="O5211" s="55" t="s">
        <v>178</v>
      </c>
    </row>
    <row r="5212" spans="2:15">
      <c r="B5212" s="20">
        <v>45730</v>
      </c>
      <c r="C5212" s="59">
        <v>50409120</v>
      </c>
      <c r="D5212" s="55" t="s">
        <v>2157</v>
      </c>
      <c r="G5212" s="65">
        <v>240</v>
      </c>
      <c r="H5212" s="56" t="s">
        <v>82</v>
      </c>
      <c r="I5212" s="54" t="s">
        <v>2874</v>
      </c>
      <c r="J5212" s="56" t="s">
        <v>2978</v>
      </c>
      <c r="K5212" s="56">
        <v>3190</v>
      </c>
      <c r="L5212" s="55" t="s">
        <v>2152</v>
      </c>
      <c r="M5212" s="55" t="s">
        <v>2824</v>
      </c>
      <c r="N5212" s="4" t="s">
        <v>1905</v>
      </c>
      <c r="O5212" s="55" t="s">
        <v>178</v>
      </c>
    </row>
    <row r="5213" spans="2:15">
      <c r="B5213" s="20">
        <v>45730</v>
      </c>
      <c r="C5213" s="59">
        <v>504909122</v>
      </c>
      <c r="D5213" s="55" t="s">
        <v>2158</v>
      </c>
      <c r="G5213" s="65">
        <v>480</v>
      </c>
      <c r="H5213" s="56" t="s">
        <v>82</v>
      </c>
      <c r="I5213" s="54" t="s">
        <v>2874</v>
      </c>
      <c r="J5213" s="56" t="s">
        <v>2978</v>
      </c>
      <c r="K5213" s="56">
        <v>3190</v>
      </c>
      <c r="L5213" s="55" t="s">
        <v>2152</v>
      </c>
      <c r="M5213" s="55" t="s">
        <v>2824</v>
      </c>
      <c r="N5213" s="4" t="s">
        <v>1905</v>
      </c>
      <c r="O5213" s="55" t="s">
        <v>178</v>
      </c>
    </row>
    <row r="5214" spans="2:15">
      <c r="B5214" s="20">
        <v>45730</v>
      </c>
      <c r="C5214" s="59">
        <v>50142298</v>
      </c>
      <c r="D5214" s="55" t="s">
        <v>2159</v>
      </c>
      <c r="G5214" s="65">
        <v>3370</v>
      </c>
      <c r="H5214" s="56" t="s">
        <v>82</v>
      </c>
      <c r="I5214" s="54" t="s">
        <v>2874</v>
      </c>
      <c r="J5214" s="56" t="s">
        <v>2978</v>
      </c>
      <c r="K5214" s="56">
        <v>3190</v>
      </c>
      <c r="L5214" s="55" t="s">
        <v>2152</v>
      </c>
      <c r="M5214" s="55" t="s">
        <v>2824</v>
      </c>
      <c r="N5214" s="4" t="s">
        <v>1905</v>
      </c>
      <c r="O5214" s="55" t="s">
        <v>178</v>
      </c>
    </row>
    <row r="5215" spans="2:15">
      <c r="B5215" s="20">
        <v>45731</v>
      </c>
      <c r="C5215" s="59">
        <v>50400554</v>
      </c>
      <c r="D5215" s="55" t="s">
        <v>1311</v>
      </c>
      <c r="G5215" s="65">
        <v>31.68</v>
      </c>
      <c r="H5215" s="56" t="s">
        <v>80</v>
      </c>
      <c r="I5215" s="54">
        <v>8694363699</v>
      </c>
      <c r="J5215" s="56" t="s">
        <v>2978</v>
      </c>
      <c r="K5215" s="56">
        <v>244</v>
      </c>
      <c r="L5215" s="55" t="s">
        <v>176</v>
      </c>
      <c r="M5215" s="55" t="s">
        <v>2824</v>
      </c>
      <c r="O5215" s="55" t="s">
        <v>178</v>
      </c>
    </row>
    <row r="5216" spans="2:15">
      <c r="B5216" s="20">
        <v>45731</v>
      </c>
      <c r="C5216" s="59">
        <v>50400554</v>
      </c>
      <c r="D5216" s="55" t="s">
        <v>1311</v>
      </c>
      <c r="G5216" s="65">
        <v>34.56</v>
      </c>
      <c r="H5216" s="56" t="s">
        <v>80</v>
      </c>
      <c r="I5216" s="54">
        <v>8694363702</v>
      </c>
      <c r="J5216" s="56" t="s">
        <v>2978</v>
      </c>
      <c r="K5216" s="56">
        <v>245</v>
      </c>
      <c r="L5216" s="55" t="s">
        <v>392</v>
      </c>
      <c r="M5216" s="55" t="s">
        <v>2824</v>
      </c>
      <c r="O5216" s="55" t="s">
        <v>178</v>
      </c>
    </row>
    <row r="5217" spans="2:15">
      <c r="B5217" s="20">
        <v>45731</v>
      </c>
      <c r="C5217" s="59">
        <v>50400554</v>
      </c>
      <c r="D5217" s="55" t="s">
        <v>1311</v>
      </c>
      <c r="G5217" s="65">
        <v>31.68</v>
      </c>
      <c r="H5217" s="56" t="s">
        <v>80</v>
      </c>
      <c r="I5217" s="54">
        <v>8699363716</v>
      </c>
      <c r="J5217" s="56" t="s">
        <v>2978</v>
      </c>
      <c r="K5217" s="56">
        <v>246</v>
      </c>
      <c r="L5217" s="55" t="s">
        <v>176</v>
      </c>
      <c r="M5217" s="55" t="s">
        <v>2824</v>
      </c>
      <c r="O5217" s="55" t="s">
        <v>178</v>
      </c>
    </row>
    <row r="5218" spans="2:15">
      <c r="B5218" s="20">
        <v>45731</v>
      </c>
      <c r="C5218" s="59">
        <v>50400554</v>
      </c>
      <c r="D5218" s="55" t="s">
        <v>1311</v>
      </c>
      <c r="G5218" s="65">
        <v>8.64</v>
      </c>
      <c r="H5218" s="56" t="s">
        <v>80</v>
      </c>
      <c r="I5218" s="54">
        <v>8694363719</v>
      </c>
      <c r="J5218" s="56" t="s">
        <v>2978</v>
      </c>
      <c r="K5218" s="56">
        <v>247</v>
      </c>
      <c r="L5218" s="55" t="s">
        <v>392</v>
      </c>
      <c r="M5218" s="55" t="s">
        <v>2824</v>
      </c>
      <c r="O5218" s="55" t="s">
        <v>178</v>
      </c>
    </row>
    <row r="5219" spans="2:15">
      <c r="B5219" s="20">
        <v>45731</v>
      </c>
      <c r="C5219" s="59">
        <v>40014675</v>
      </c>
      <c r="D5219" s="55" t="s">
        <v>44</v>
      </c>
      <c r="G5219" s="65">
        <v>23.04</v>
      </c>
      <c r="H5219" s="56" t="s">
        <v>80</v>
      </c>
      <c r="I5219" s="54">
        <v>8694363428</v>
      </c>
      <c r="J5219" s="56" t="s">
        <v>2978</v>
      </c>
      <c r="K5219" s="56">
        <v>248</v>
      </c>
      <c r="L5219" s="55" t="s">
        <v>176</v>
      </c>
      <c r="M5219" s="55" t="s">
        <v>2824</v>
      </c>
      <c r="O5219" s="55" t="s">
        <v>178</v>
      </c>
    </row>
    <row r="5220" spans="2:15">
      <c r="B5220" s="20">
        <v>45731</v>
      </c>
      <c r="C5220" s="59">
        <v>40014675</v>
      </c>
      <c r="D5220" s="55" t="s">
        <v>44</v>
      </c>
      <c r="G5220" s="65">
        <v>31.56</v>
      </c>
      <c r="H5220" s="56" t="s">
        <v>80</v>
      </c>
      <c r="I5220" s="54">
        <v>8694363433</v>
      </c>
      <c r="J5220" s="56" t="s">
        <v>2978</v>
      </c>
      <c r="K5220" s="56">
        <v>248</v>
      </c>
      <c r="L5220" s="55" t="s">
        <v>176</v>
      </c>
      <c r="M5220" s="55" t="s">
        <v>2824</v>
      </c>
      <c r="O5220" s="55" t="s">
        <v>178</v>
      </c>
    </row>
    <row r="5221" spans="2:15">
      <c r="B5221" s="20">
        <v>45731</v>
      </c>
      <c r="C5221" s="59">
        <v>40014675</v>
      </c>
      <c r="D5221" s="55" t="s">
        <v>44</v>
      </c>
      <c r="G5221" s="65">
        <v>34.56</v>
      </c>
      <c r="H5221" s="56" t="s">
        <v>80</v>
      </c>
      <c r="I5221" s="54">
        <v>8694363453</v>
      </c>
      <c r="J5221" s="56" t="s">
        <v>2978</v>
      </c>
      <c r="K5221" s="56">
        <v>249</v>
      </c>
      <c r="L5221" s="55" t="s">
        <v>392</v>
      </c>
      <c r="M5221" s="55" t="s">
        <v>2824</v>
      </c>
      <c r="O5221" s="55" t="s">
        <v>178</v>
      </c>
    </row>
    <row r="5222" spans="2:15">
      <c r="B5222" s="20">
        <v>45733</v>
      </c>
      <c r="C5222" s="59">
        <v>40014900</v>
      </c>
      <c r="D5222" s="55" t="s">
        <v>153</v>
      </c>
      <c r="G5222" s="65">
        <v>37.44</v>
      </c>
      <c r="H5222" s="56" t="s">
        <v>80</v>
      </c>
      <c r="I5222" s="54">
        <v>8694804507</v>
      </c>
      <c r="J5222" s="56" t="s">
        <v>2978</v>
      </c>
      <c r="K5222" s="56">
        <v>251</v>
      </c>
      <c r="L5222" s="55" t="s">
        <v>2876</v>
      </c>
      <c r="M5222" s="55" t="s">
        <v>2824</v>
      </c>
      <c r="O5222" s="55" t="s">
        <v>178</v>
      </c>
    </row>
    <row r="5223" spans="2:15">
      <c r="B5223" s="20">
        <v>45733</v>
      </c>
      <c r="C5223" s="59">
        <v>40014900</v>
      </c>
      <c r="D5223" s="55" t="s">
        <v>153</v>
      </c>
      <c r="G5223" s="65">
        <v>37.44</v>
      </c>
      <c r="H5223" s="56" t="s">
        <v>80</v>
      </c>
      <c r="I5223" s="54">
        <v>8694804510</v>
      </c>
      <c r="J5223" s="56" t="s">
        <v>2978</v>
      </c>
      <c r="K5223" s="56">
        <v>252</v>
      </c>
      <c r="L5223" s="55" t="s">
        <v>3024</v>
      </c>
      <c r="M5223" s="55" t="s">
        <v>2824</v>
      </c>
      <c r="O5223" s="55" t="s">
        <v>178</v>
      </c>
    </row>
    <row r="5224" spans="2:15">
      <c r="B5224" s="20">
        <v>45733</v>
      </c>
      <c r="C5224" s="59">
        <v>40014900</v>
      </c>
      <c r="D5224" s="55" t="s">
        <v>153</v>
      </c>
      <c r="G5224" s="65">
        <v>34.56</v>
      </c>
      <c r="H5224" s="56" t="s">
        <v>80</v>
      </c>
      <c r="I5224" s="54">
        <v>8694804657</v>
      </c>
      <c r="J5224" s="56" t="s">
        <v>2978</v>
      </c>
      <c r="K5224" s="56">
        <v>254</v>
      </c>
      <c r="L5224" s="55" t="s">
        <v>392</v>
      </c>
      <c r="M5224" s="55" t="s">
        <v>2824</v>
      </c>
      <c r="O5224" s="55" t="s">
        <v>178</v>
      </c>
    </row>
    <row r="5225" spans="2:15">
      <c r="B5225" s="20">
        <v>45733</v>
      </c>
      <c r="C5225" s="59">
        <v>40014900</v>
      </c>
      <c r="D5225" s="55" t="s">
        <v>153</v>
      </c>
      <c r="G5225" s="65">
        <v>37.44</v>
      </c>
      <c r="H5225" s="56" t="s">
        <v>80</v>
      </c>
      <c r="I5225" s="54">
        <v>8694804585</v>
      </c>
      <c r="J5225" s="56" t="s">
        <v>2978</v>
      </c>
      <c r="K5225" s="56">
        <v>255</v>
      </c>
      <c r="L5225" s="55" t="s">
        <v>3024</v>
      </c>
      <c r="M5225" s="55" t="s">
        <v>2824</v>
      </c>
      <c r="O5225" s="55" t="s">
        <v>178</v>
      </c>
    </row>
    <row r="5226" spans="2:15">
      <c r="B5226" s="20">
        <v>45733</v>
      </c>
      <c r="C5226" s="59">
        <v>40014900</v>
      </c>
      <c r="D5226" s="55" t="s">
        <v>153</v>
      </c>
      <c r="G5226" s="65">
        <v>37.44</v>
      </c>
      <c r="H5226" s="56" t="s">
        <v>80</v>
      </c>
      <c r="I5226" s="54">
        <v>8694804616</v>
      </c>
      <c r="J5226" s="56" t="s">
        <v>2978</v>
      </c>
      <c r="K5226" s="56">
        <v>256</v>
      </c>
      <c r="L5226" s="55" t="s">
        <v>3024</v>
      </c>
      <c r="M5226" s="55" t="s">
        <v>2824</v>
      </c>
      <c r="O5226" s="55" t="s">
        <v>178</v>
      </c>
    </row>
    <row r="5227" spans="2:15">
      <c r="B5227" s="20">
        <v>45733</v>
      </c>
      <c r="C5227" s="59">
        <v>40014900</v>
      </c>
      <c r="D5227" s="55" t="s">
        <v>153</v>
      </c>
      <c r="G5227" s="65">
        <v>34.56</v>
      </c>
      <c r="H5227" s="56" t="s">
        <v>80</v>
      </c>
      <c r="I5227" s="54">
        <v>8694804658</v>
      </c>
      <c r="J5227" s="56" t="s">
        <v>2978</v>
      </c>
      <c r="K5227" s="56">
        <v>257</v>
      </c>
      <c r="L5227" s="55" t="s">
        <v>392</v>
      </c>
      <c r="M5227" s="55" t="s">
        <v>2824</v>
      </c>
      <c r="O5227" s="55" t="s">
        <v>178</v>
      </c>
    </row>
    <row r="5228" spans="2:15">
      <c r="B5228" s="20">
        <v>45733</v>
      </c>
      <c r="C5228" s="59">
        <v>40014900</v>
      </c>
      <c r="D5228" s="55" t="s">
        <v>153</v>
      </c>
      <c r="G5228" s="65">
        <v>37.44</v>
      </c>
      <c r="H5228" s="56" t="s">
        <v>80</v>
      </c>
      <c r="I5228" s="54">
        <v>8694804619</v>
      </c>
      <c r="J5228" s="56" t="s">
        <v>2978</v>
      </c>
      <c r="K5228" s="56">
        <v>258</v>
      </c>
      <c r="L5228" s="55" t="s">
        <v>3024</v>
      </c>
      <c r="M5228" s="55" t="s">
        <v>2824</v>
      </c>
      <c r="O5228" s="55" t="s">
        <v>178</v>
      </c>
    </row>
    <row r="5229" spans="2:15">
      <c r="B5229" s="20">
        <v>45733</v>
      </c>
      <c r="C5229" s="59">
        <v>40014900</v>
      </c>
      <c r="D5229" s="55" t="s">
        <v>153</v>
      </c>
      <c r="G5229" s="65">
        <v>37.44</v>
      </c>
      <c r="H5229" s="56" t="s">
        <v>80</v>
      </c>
      <c r="I5229" s="54">
        <v>8694804620</v>
      </c>
      <c r="J5229" s="56" t="s">
        <v>2978</v>
      </c>
      <c r="K5229" s="56">
        <v>259</v>
      </c>
      <c r="L5229" s="55" t="s">
        <v>3024</v>
      </c>
      <c r="M5229" s="55" t="s">
        <v>2824</v>
      </c>
      <c r="O5229" s="55" t="s">
        <v>178</v>
      </c>
    </row>
    <row r="5230" spans="2:15">
      <c r="B5230" s="20">
        <v>45733</v>
      </c>
      <c r="C5230" s="59">
        <v>40014675</v>
      </c>
      <c r="D5230" s="55" t="s">
        <v>44</v>
      </c>
      <c r="G5230" s="65">
        <v>34.56</v>
      </c>
      <c r="H5230" s="56" t="s">
        <v>80</v>
      </c>
      <c r="I5230" s="54">
        <v>8694363642</v>
      </c>
      <c r="J5230" s="56" t="s">
        <v>2978</v>
      </c>
      <c r="K5230" s="56">
        <v>260</v>
      </c>
      <c r="L5230" s="55" t="s">
        <v>392</v>
      </c>
      <c r="M5230" s="55" t="s">
        <v>2824</v>
      </c>
      <c r="O5230" s="55" t="s">
        <v>178</v>
      </c>
    </row>
    <row r="5231" spans="2:15">
      <c r="B5231" s="20">
        <v>45733</v>
      </c>
      <c r="C5231" s="59">
        <v>50837239</v>
      </c>
      <c r="D5231" s="55" t="s">
        <v>27</v>
      </c>
      <c r="G5231" s="65">
        <v>2510.65</v>
      </c>
      <c r="H5231" s="56" t="s">
        <v>82</v>
      </c>
      <c r="I5231" s="54">
        <v>8694363766</v>
      </c>
      <c r="J5231" s="56" t="s">
        <v>2978</v>
      </c>
      <c r="K5231" s="56">
        <v>3191</v>
      </c>
      <c r="L5231" s="55" t="s">
        <v>416</v>
      </c>
      <c r="M5231" s="55" t="s">
        <v>2824</v>
      </c>
      <c r="N5231" s="4" t="s">
        <v>417</v>
      </c>
      <c r="O5231" s="55" t="s">
        <v>178</v>
      </c>
    </row>
    <row r="5232" spans="2:15">
      <c r="B5232" s="20">
        <v>45733</v>
      </c>
      <c r="C5232" s="59">
        <v>50272278</v>
      </c>
      <c r="D5232" s="55" t="s">
        <v>21</v>
      </c>
      <c r="G5232" s="65">
        <v>7000</v>
      </c>
      <c r="H5232" s="56" t="s">
        <v>92</v>
      </c>
      <c r="I5232" s="54">
        <v>8694363766</v>
      </c>
      <c r="J5232" s="56" t="s">
        <v>2978</v>
      </c>
      <c r="K5232" s="56">
        <v>3191</v>
      </c>
      <c r="L5232" s="55" t="s">
        <v>416</v>
      </c>
      <c r="M5232" s="55" t="s">
        <v>2824</v>
      </c>
      <c r="N5232" s="4" t="s">
        <v>417</v>
      </c>
      <c r="O5232" s="55" t="s">
        <v>178</v>
      </c>
    </row>
    <row r="5233" spans="2:15">
      <c r="B5233" s="20">
        <v>45733</v>
      </c>
      <c r="C5233" s="59">
        <v>50397884</v>
      </c>
      <c r="D5233" s="55" t="s">
        <v>1296</v>
      </c>
      <c r="G5233" s="65">
        <v>810</v>
      </c>
      <c r="H5233" s="56" t="s">
        <v>80</v>
      </c>
      <c r="I5233" s="54">
        <v>8694363766</v>
      </c>
      <c r="J5233" s="56" t="s">
        <v>2978</v>
      </c>
      <c r="K5233" s="56">
        <v>3191</v>
      </c>
      <c r="L5233" s="55" t="s">
        <v>416</v>
      </c>
      <c r="M5233" s="55" t="s">
        <v>2824</v>
      </c>
      <c r="N5233" s="4" t="s">
        <v>417</v>
      </c>
      <c r="O5233" s="55" t="s">
        <v>178</v>
      </c>
    </row>
    <row r="5234" spans="2:15">
      <c r="B5234" s="20">
        <v>45733</v>
      </c>
      <c r="C5234" s="59">
        <v>50472692</v>
      </c>
      <c r="D5234" s="55" t="s">
        <v>1304</v>
      </c>
      <c r="G5234" s="65">
        <v>624</v>
      </c>
      <c r="H5234" s="56" t="s">
        <v>80</v>
      </c>
      <c r="I5234" s="54">
        <v>8694363766</v>
      </c>
      <c r="J5234" s="56" t="s">
        <v>2978</v>
      </c>
      <c r="K5234" s="56">
        <v>3191</v>
      </c>
      <c r="L5234" s="55" t="s">
        <v>416</v>
      </c>
      <c r="M5234" s="55" t="s">
        <v>2824</v>
      </c>
      <c r="N5234" s="4" t="s">
        <v>417</v>
      </c>
      <c r="O5234" s="55" t="s">
        <v>178</v>
      </c>
    </row>
    <row r="5235" spans="2:15">
      <c r="B5235" s="20">
        <v>45734</v>
      </c>
      <c r="C5235" s="59">
        <v>50824293</v>
      </c>
      <c r="D5235" s="55" t="s">
        <v>861</v>
      </c>
      <c r="G5235" s="65">
        <v>1728000</v>
      </c>
      <c r="H5235" s="56" t="s">
        <v>92</v>
      </c>
      <c r="I5235" s="54">
        <v>8694806038</v>
      </c>
      <c r="J5235" s="56" t="s">
        <v>2978</v>
      </c>
      <c r="K5235" s="56">
        <v>3192</v>
      </c>
      <c r="L5235" s="55" t="s">
        <v>2152</v>
      </c>
      <c r="M5235" s="55" t="s">
        <v>2824</v>
      </c>
      <c r="N5235" s="4" t="s">
        <v>1905</v>
      </c>
      <c r="O5235" s="55" t="s">
        <v>178</v>
      </c>
    </row>
    <row r="5236" spans="2:15">
      <c r="B5236" s="20">
        <v>45734</v>
      </c>
      <c r="C5236" s="59">
        <v>50507916</v>
      </c>
      <c r="D5236" s="55" t="s">
        <v>406</v>
      </c>
      <c r="G5236" s="65">
        <v>792000</v>
      </c>
      <c r="H5236" s="56" t="s">
        <v>92</v>
      </c>
      <c r="I5236" s="54">
        <v>8694806038</v>
      </c>
      <c r="J5236" s="56" t="s">
        <v>2978</v>
      </c>
      <c r="K5236" s="56">
        <v>3192</v>
      </c>
      <c r="L5236" s="55" t="s">
        <v>2152</v>
      </c>
      <c r="M5236" s="55" t="s">
        <v>2824</v>
      </c>
      <c r="N5236" s="4" t="s">
        <v>1905</v>
      </c>
      <c r="O5236" s="55" t="s">
        <v>178</v>
      </c>
    </row>
    <row r="5237" spans="2:15">
      <c r="B5237" s="20">
        <v>45734</v>
      </c>
      <c r="C5237" s="59">
        <v>50470190</v>
      </c>
      <c r="D5237" s="55" t="s">
        <v>12</v>
      </c>
      <c r="G5237" s="65">
        <v>1159200</v>
      </c>
      <c r="H5237" s="56" t="s">
        <v>92</v>
      </c>
      <c r="I5237" s="54">
        <v>8694806038</v>
      </c>
      <c r="J5237" s="56" t="s">
        <v>2978</v>
      </c>
      <c r="K5237" s="56">
        <v>3192</v>
      </c>
      <c r="L5237" s="55" t="s">
        <v>2152</v>
      </c>
      <c r="M5237" s="55" t="s">
        <v>2824</v>
      </c>
      <c r="N5237" s="4" t="s">
        <v>1905</v>
      </c>
      <c r="O5237" s="55" t="s">
        <v>178</v>
      </c>
    </row>
    <row r="5238" spans="2:15">
      <c r="B5238" s="20">
        <v>45734</v>
      </c>
      <c r="C5238" s="59">
        <v>50837509</v>
      </c>
      <c r="D5238" s="55" t="s">
        <v>14</v>
      </c>
      <c r="G5238" s="65">
        <v>1159200</v>
      </c>
      <c r="H5238" s="56" t="s">
        <v>92</v>
      </c>
      <c r="I5238" s="54">
        <v>8694806038</v>
      </c>
      <c r="J5238" s="56" t="s">
        <v>2978</v>
      </c>
      <c r="K5238" s="56">
        <v>3192</v>
      </c>
      <c r="L5238" s="55" t="s">
        <v>2152</v>
      </c>
      <c r="M5238" s="55" t="s">
        <v>2824</v>
      </c>
      <c r="N5238" s="4" t="s">
        <v>1905</v>
      </c>
      <c r="O5238" s="55" t="s">
        <v>178</v>
      </c>
    </row>
    <row r="5239" spans="2:15">
      <c r="B5239" s="20">
        <v>45734</v>
      </c>
      <c r="C5239" s="59">
        <v>50837236</v>
      </c>
      <c r="D5239" s="55" t="s">
        <v>1992</v>
      </c>
      <c r="G5239" s="65">
        <v>1988.5</v>
      </c>
      <c r="H5239" s="56" t="s">
        <v>82</v>
      </c>
      <c r="I5239" s="54">
        <v>8694806038</v>
      </c>
      <c r="J5239" s="56" t="s">
        <v>2978</v>
      </c>
      <c r="K5239" s="56">
        <v>3192</v>
      </c>
      <c r="L5239" s="55" t="s">
        <v>2152</v>
      </c>
      <c r="M5239" s="55" t="s">
        <v>2824</v>
      </c>
      <c r="N5239" s="4" t="s">
        <v>1905</v>
      </c>
      <c r="O5239" s="55" t="s">
        <v>178</v>
      </c>
    </row>
    <row r="5240" spans="2:15">
      <c r="B5240" s="20">
        <v>45734</v>
      </c>
      <c r="C5240" s="59">
        <v>50272278</v>
      </c>
      <c r="D5240" s="55" t="s">
        <v>21</v>
      </c>
      <c r="G5240" s="65">
        <v>9000</v>
      </c>
      <c r="H5240" s="56" t="s">
        <v>92</v>
      </c>
      <c r="I5240" s="54">
        <v>8694806120</v>
      </c>
      <c r="J5240" s="56" t="s">
        <v>2978</v>
      </c>
      <c r="K5240" s="56">
        <v>3193</v>
      </c>
      <c r="L5240" s="55" t="s">
        <v>2152</v>
      </c>
      <c r="M5240" s="55" t="s">
        <v>2824</v>
      </c>
      <c r="N5240" s="4" t="s">
        <v>1905</v>
      </c>
      <c r="O5240" s="55" t="s">
        <v>178</v>
      </c>
    </row>
    <row r="5241" spans="2:15">
      <c r="B5241" s="20">
        <v>45734</v>
      </c>
      <c r="C5241" s="59">
        <v>50142327</v>
      </c>
      <c r="D5241" s="55" t="s">
        <v>256</v>
      </c>
      <c r="G5241" s="65">
        <v>953.4</v>
      </c>
      <c r="H5241" s="56" t="s">
        <v>82</v>
      </c>
      <c r="I5241" s="54">
        <v>8694806120</v>
      </c>
      <c r="J5241" s="56" t="s">
        <v>2978</v>
      </c>
      <c r="K5241" s="56">
        <v>3193</v>
      </c>
      <c r="L5241" s="55" t="s">
        <v>2152</v>
      </c>
      <c r="M5241" s="55" t="s">
        <v>2824</v>
      </c>
      <c r="N5241" s="4" t="s">
        <v>1905</v>
      </c>
      <c r="O5241" s="55" t="s">
        <v>178</v>
      </c>
    </row>
    <row r="5242" spans="2:15">
      <c r="B5242" s="20">
        <v>45734</v>
      </c>
      <c r="C5242" s="59">
        <v>50142334</v>
      </c>
      <c r="D5242" s="55" t="s">
        <v>257</v>
      </c>
      <c r="G5242" s="65">
        <v>953.4</v>
      </c>
      <c r="H5242" s="56" t="s">
        <v>753</v>
      </c>
      <c r="I5242" s="54">
        <v>8694806120</v>
      </c>
      <c r="J5242" s="56" t="s">
        <v>2978</v>
      </c>
      <c r="K5242" s="56">
        <v>3193</v>
      </c>
      <c r="L5242" s="55" t="s">
        <v>2152</v>
      </c>
      <c r="M5242" s="55" t="s">
        <v>2824</v>
      </c>
      <c r="N5242" s="4" t="s">
        <v>1905</v>
      </c>
      <c r="O5242" s="55" t="s">
        <v>178</v>
      </c>
    </row>
    <row r="5243" spans="2:15">
      <c r="B5243" s="20">
        <v>45734</v>
      </c>
      <c r="C5243" s="59">
        <v>40014900</v>
      </c>
      <c r="D5243" s="55" t="s">
        <v>153</v>
      </c>
      <c r="F5243" s="67">
        <v>37.44</v>
      </c>
      <c r="G5243" s="65">
        <v>37.44</v>
      </c>
      <c r="H5243" s="56" t="s">
        <v>80</v>
      </c>
      <c r="I5243" s="54">
        <v>8694804662</v>
      </c>
      <c r="J5243" s="56" t="s">
        <v>2978</v>
      </c>
      <c r="K5243" s="56">
        <v>261</v>
      </c>
      <c r="L5243" s="55" t="s">
        <v>3024</v>
      </c>
      <c r="M5243" s="55" t="s">
        <v>2824</v>
      </c>
      <c r="O5243" s="55" t="s">
        <v>178</v>
      </c>
    </row>
    <row r="5244" spans="2:15">
      <c r="B5244" s="20">
        <v>45734</v>
      </c>
      <c r="C5244" s="59">
        <v>40014900</v>
      </c>
      <c r="D5244" s="55" t="s">
        <v>153</v>
      </c>
      <c r="F5244" s="67">
        <v>37.44</v>
      </c>
      <c r="G5244" s="65">
        <v>34.56</v>
      </c>
      <c r="H5244" s="56" t="s">
        <v>80</v>
      </c>
      <c r="I5244" s="54">
        <v>8694805040</v>
      </c>
      <c r="J5244" s="56" t="s">
        <v>2978</v>
      </c>
      <c r="K5244" s="56">
        <v>262</v>
      </c>
      <c r="L5244" s="55" t="s">
        <v>392</v>
      </c>
      <c r="M5244" s="55" t="s">
        <v>2824</v>
      </c>
      <c r="O5244" s="55" t="s">
        <v>178</v>
      </c>
    </row>
    <row r="5245" spans="2:15">
      <c r="B5245" s="20">
        <v>45734</v>
      </c>
      <c r="C5245" s="59">
        <v>40014900</v>
      </c>
      <c r="D5245" s="55" t="s">
        <v>153</v>
      </c>
      <c r="F5245" s="67">
        <v>37.44</v>
      </c>
      <c r="G5245" s="65">
        <v>37.44</v>
      </c>
      <c r="H5245" s="56" t="s">
        <v>80</v>
      </c>
      <c r="I5245" s="54">
        <v>8694805067</v>
      </c>
      <c r="J5245" s="56" t="s">
        <v>2978</v>
      </c>
      <c r="K5245" s="56">
        <v>263</v>
      </c>
      <c r="L5245" s="55" t="s">
        <v>3024</v>
      </c>
      <c r="M5245" s="55" t="s">
        <v>2824</v>
      </c>
      <c r="O5245" s="55" t="s">
        <v>178</v>
      </c>
    </row>
    <row r="5246" spans="2:15">
      <c r="B5246" s="20">
        <v>45734</v>
      </c>
      <c r="C5246" s="59">
        <v>40014900</v>
      </c>
      <c r="D5246" s="55" t="s">
        <v>153</v>
      </c>
      <c r="F5246" s="67">
        <v>37.44</v>
      </c>
      <c r="G5246" s="65">
        <v>37.44</v>
      </c>
      <c r="H5246" s="56" t="s">
        <v>80</v>
      </c>
      <c r="I5246" s="54">
        <v>8694805070</v>
      </c>
      <c r="J5246" s="56" t="s">
        <v>2978</v>
      </c>
      <c r="K5246" s="56">
        <v>264</v>
      </c>
      <c r="L5246" s="55" t="s">
        <v>3024</v>
      </c>
      <c r="M5246" s="55" t="s">
        <v>2824</v>
      </c>
      <c r="O5246" s="55" t="s">
        <v>178</v>
      </c>
    </row>
    <row r="5247" spans="2:15">
      <c r="B5247" s="20">
        <v>45734</v>
      </c>
      <c r="C5247" s="59">
        <v>40014900</v>
      </c>
      <c r="D5247" s="55" t="s">
        <v>153</v>
      </c>
      <c r="F5247" s="67">
        <v>37.44</v>
      </c>
      <c r="G5247" s="65">
        <v>31.68</v>
      </c>
      <c r="H5247" s="56" t="s">
        <v>80</v>
      </c>
      <c r="I5247" s="54">
        <v>8694805284</v>
      </c>
      <c r="J5247" s="56" t="s">
        <v>2978</v>
      </c>
      <c r="K5247" s="56">
        <v>265</v>
      </c>
      <c r="L5247" s="55" t="s">
        <v>176</v>
      </c>
      <c r="M5247" s="55" t="s">
        <v>2824</v>
      </c>
      <c r="O5247" s="55" t="s">
        <v>178</v>
      </c>
    </row>
    <row r="5248" spans="2:15">
      <c r="B5248" s="20">
        <v>45734</v>
      </c>
      <c r="C5248" s="59">
        <v>40014900</v>
      </c>
      <c r="D5248" s="55" t="s">
        <v>153</v>
      </c>
      <c r="F5248" s="67">
        <v>37.44</v>
      </c>
      <c r="G5248" s="65">
        <v>37.44</v>
      </c>
      <c r="H5248" s="56" t="s">
        <v>80</v>
      </c>
      <c r="I5248" s="54">
        <v>8694805287</v>
      </c>
      <c r="J5248" s="56" t="s">
        <v>2978</v>
      </c>
      <c r="K5248" s="56">
        <v>266</v>
      </c>
      <c r="L5248" s="55" t="s">
        <v>3024</v>
      </c>
      <c r="M5248" s="55" t="s">
        <v>2824</v>
      </c>
      <c r="O5248" s="55" t="s">
        <v>178</v>
      </c>
    </row>
    <row r="5249" spans="2:15">
      <c r="B5249" s="20">
        <v>45734</v>
      </c>
      <c r="C5249" s="59">
        <v>40014900</v>
      </c>
      <c r="D5249" s="55" t="s">
        <v>153</v>
      </c>
      <c r="F5249" s="67">
        <v>37.44</v>
      </c>
      <c r="G5249" s="65">
        <v>34.44</v>
      </c>
      <c r="H5249" s="56" t="s">
        <v>80</v>
      </c>
      <c r="I5249" s="54">
        <v>8694805290</v>
      </c>
      <c r="J5249" s="56" t="s">
        <v>2978</v>
      </c>
      <c r="K5249" s="56">
        <v>267</v>
      </c>
      <c r="L5249" s="55" t="s">
        <v>3024</v>
      </c>
      <c r="M5249" s="55" t="s">
        <v>2824</v>
      </c>
      <c r="O5249" s="55" t="s">
        <v>178</v>
      </c>
    </row>
    <row r="5250" spans="2:15">
      <c r="B5250" s="20">
        <v>45734</v>
      </c>
      <c r="C5250" s="59">
        <v>40014900</v>
      </c>
      <c r="D5250" s="55" t="s">
        <v>153</v>
      </c>
      <c r="G5250" s="65">
        <v>21.6</v>
      </c>
      <c r="H5250" s="56" t="s">
        <v>80</v>
      </c>
      <c r="I5250" s="54">
        <v>8694805292</v>
      </c>
      <c r="J5250" s="56" t="s">
        <v>2978</v>
      </c>
      <c r="K5250" s="56">
        <v>268</v>
      </c>
      <c r="L5250" s="55" t="s">
        <v>392</v>
      </c>
      <c r="M5250" s="55" t="s">
        <v>2824</v>
      </c>
      <c r="O5250" s="55" t="s">
        <v>178</v>
      </c>
    </row>
    <row r="5251" spans="2:15">
      <c r="B5251" s="20">
        <v>45734</v>
      </c>
      <c r="C5251" s="59">
        <v>40014675</v>
      </c>
      <c r="D5251" s="55" t="s">
        <v>44</v>
      </c>
      <c r="G5251" s="65">
        <v>12.96</v>
      </c>
      <c r="H5251" s="56" t="s">
        <v>80</v>
      </c>
      <c r="I5251" s="54">
        <v>8694805292</v>
      </c>
      <c r="J5251" s="56" t="s">
        <v>2978</v>
      </c>
      <c r="K5251" s="56">
        <v>268</v>
      </c>
      <c r="L5251" s="55" t="s">
        <v>392</v>
      </c>
      <c r="M5251" s="55" t="s">
        <v>2824</v>
      </c>
      <c r="O5251" s="55" t="s">
        <v>178</v>
      </c>
    </row>
    <row r="5252" spans="2:15">
      <c r="B5252" s="20">
        <v>45734</v>
      </c>
      <c r="C5252" s="59">
        <v>40014675</v>
      </c>
      <c r="D5252" s="55" t="s">
        <v>44</v>
      </c>
      <c r="G5252" s="65">
        <v>31.68</v>
      </c>
      <c r="H5252" s="56" t="s">
        <v>80</v>
      </c>
      <c r="I5252" s="54">
        <v>8694805293</v>
      </c>
      <c r="J5252" s="56" t="s">
        <v>2978</v>
      </c>
      <c r="K5252" s="56">
        <v>269</v>
      </c>
      <c r="L5252" s="55" t="s">
        <v>176</v>
      </c>
      <c r="M5252" s="55" t="s">
        <v>2824</v>
      </c>
      <c r="O5252" s="55" t="s">
        <v>178</v>
      </c>
    </row>
    <row r="5253" spans="2:15">
      <c r="B5253" s="20">
        <v>45734</v>
      </c>
      <c r="C5253" s="59">
        <v>40014675</v>
      </c>
      <c r="D5253" s="55" t="s">
        <v>44</v>
      </c>
      <c r="G5253" s="65">
        <v>37.44</v>
      </c>
      <c r="H5253" s="56" t="s">
        <v>80</v>
      </c>
      <c r="I5253" s="54">
        <v>8694805294</v>
      </c>
      <c r="J5253" s="56" t="s">
        <v>2978</v>
      </c>
      <c r="K5253" s="56">
        <v>270</v>
      </c>
      <c r="L5253" s="55" t="s">
        <v>3024</v>
      </c>
      <c r="M5253" s="55" t="s">
        <v>2824</v>
      </c>
      <c r="O5253" s="55" t="s">
        <v>178</v>
      </c>
    </row>
    <row r="5254" spans="2:15">
      <c r="B5254" s="20">
        <v>45735</v>
      </c>
      <c r="C5254" s="59">
        <v>50144376</v>
      </c>
      <c r="D5254" s="55" t="s">
        <v>19</v>
      </c>
      <c r="G5254" s="65">
        <v>4000</v>
      </c>
      <c r="H5254" s="56" t="s">
        <v>92</v>
      </c>
      <c r="I5254" s="54">
        <v>8695231785</v>
      </c>
      <c r="J5254" s="56" t="s">
        <v>2978</v>
      </c>
      <c r="K5254" s="56">
        <v>3195</v>
      </c>
      <c r="L5254" s="55" t="s">
        <v>2152</v>
      </c>
      <c r="M5254" s="55" t="s">
        <v>2824</v>
      </c>
      <c r="N5254" s="4" t="s">
        <v>1905</v>
      </c>
      <c r="O5254" s="55" t="s">
        <v>178</v>
      </c>
    </row>
    <row r="5255" spans="2:15">
      <c r="B5255" s="20">
        <v>45735</v>
      </c>
      <c r="C5255" s="59">
        <v>50272278</v>
      </c>
      <c r="D5255" s="55" t="s">
        <v>21</v>
      </c>
      <c r="G5255" s="65">
        <v>7000</v>
      </c>
      <c r="H5255" s="56" t="s">
        <v>92</v>
      </c>
      <c r="I5255" s="54">
        <v>8695231785</v>
      </c>
      <c r="J5255" s="56" t="s">
        <v>2978</v>
      </c>
      <c r="K5255" s="56">
        <v>3195</v>
      </c>
      <c r="L5255" s="55" t="s">
        <v>2152</v>
      </c>
      <c r="M5255" s="55" t="s">
        <v>2824</v>
      </c>
      <c r="N5255" s="4" t="s">
        <v>1905</v>
      </c>
      <c r="O5255" s="55" t="s">
        <v>178</v>
      </c>
    </row>
    <row r="5256" spans="2:15">
      <c r="B5256" s="20">
        <v>45735</v>
      </c>
      <c r="C5256" s="59">
        <v>50819321</v>
      </c>
      <c r="D5256" s="55" t="s">
        <v>1703</v>
      </c>
      <c r="G5256" s="65">
        <v>1499000</v>
      </c>
      <c r="H5256" s="56" t="s">
        <v>962</v>
      </c>
      <c r="I5256" s="54" t="s">
        <v>2874</v>
      </c>
      <c r="J5256" s="56" t="s">
        <v>2978</v>
      </c>
      <c r="K5256" s="56">
        <v>3196</v>
      </c>
      <c r="L5256" s="55" t="s">
        <v>2601</v>
      </c>
      <c r="M5256" s="55" t="s">
        <v>2824</v>
      </c>
      <c r="N5256" s="4" t="s">
        <v>1793</v>
      </c>
      <c r="O5256" s="55" t="s">
        <v>178</v>
      </c>
    </row>
    <row r="5257" spans="2:15">
      <c r="B5257" s="20">
        <v>45735</v>
      </c>
      <c r="C5257" s="59">
        <v>50819320</v>
      </c>
      <c r="D5257" s="55" t="s">
        <v>1701</v>
      </c>
      <c r="G5257" s="65">
        <v>1379000</v>
      </c>
      <c r="H5257" s="56" t="s">
        <v>962</v>
      </c>
      <c r="I5257" s="54" t="s">
        <v>2874</v>
      </c>
      <c r="J5257" s="56" t="s">
        <v>2978</v>
      </c>
      <c r="K5257" s="56">
        <v>3196</v>
      </c>
      <c r="L5257" s="55" t="s">
        <v>2601</v>
      </c>
      <c r="M5257" s="55" t="s">
        <v>2824</v>
      </c>
      <c r="N5257" s="4" t="s">
        <v>1793</v>
      </c>
      <c r="O5257" s="55" t="s">
        <v>178</v>
      </c>
    </row>
    <row r="5258" spans="2:15">
      <c r="B5258" s="20">
        <v>45736</v>
      </c>
      <c r="C5258" s="59">
        <v>50142631</v>
      </c>
      <c r="D5258" s="55" t="s">
        <v>566</v>
      </c>
      <c r="G5258" s="65">
        <v>1000</v>
      </c>
      <c r="H5258" s="56" t="s">
        <v>82</v>
      </c>
      <c r="I5258" s="54">
        <v>8695679853</v>
      </c>
      <c r="J5258" s="56" t="s">
        <v>2978</v>
      </c>
      <c r="K5258" s="56">
        <v>3197</v>
      </c>
      <c r="L5258" s="55" t="s">
        <v>2152</v>
      </c>
      <c r="M5258" s="55" t="s">
        <v>2824</v>
      </c>
      <c r="N5258" s="4" t="s">
        <v>1905</v>
      </c>
      <c r="O5258" s="55" t="s">
        <v>178</v>
      </c>
    </row>
    <row r="5259" spans="2:15">
      <c r="B5259" s="20">
        <v>45736</v>
      </c>
      <c r="C5259" s="59">
        <v>50010080</v>
      </c>
      <c r="D5259" s="55" t="s">
        <v>1657</v>
      </c>
      <c r="G5259" s="65">
        <v>4400</v>
      </c>
      <c r="H5259" s="56" t="s">
        <v>82</v>
      </c>
      <c r="I5259" s="54">
        <v>8695679853</v>
      </c>
      <c r="J5259" s="56" t="s">
        <v>2978</v>
      </c>
      <c r="K5259" s="56">
        <v>3197</v>
      </c>
      <c r="L5259" s="55" t="s">
        <v>2152</v>
      </c>
      <c r="M5259" s="55" t="s">
        <v>2824</v>
      </c>
      <c r="N5259" s="4" t="s">
        <v>1905</v>
      </c>
      <c r="O5259" s="55" t="s">
        <v>178</v>
      </c>
    </row>
    <row r="5260" spans="2:15">
      <c r="B5260" s="20">
        <v>45736</v>
      </c>
      <c r="C5260" s="59">
        <v>50804971</v>
      </c>
      <c r="D5260" s="55" t="s">
        <v>855</v>
      </c>
      <c r="G5260" s="65">
        <v>720000</v>
      </c>
      <c r="H5260" s="56" t="s">
        <v>92</v>
      </c>
      <c r="I5260" s="54">
        <v>8695679853</v>
      </c>
      <c r="J5260" s="56" t="s">
        <v>2978</v>
      </c>
      <c r="K5260" s="56">
        <v>3197</v>
      </c>
      <c r="L5260" s="55" t="s">
        <v>2152</v>
      </c>
      <c r="M5260" s="55" t="s">
        <v>2824</v>
      </c>
      <c r="N5260" s="4" t="s">
        <v>1905</v>
      </c>
      <c r="O5260" s="55" t="s">
        <v>178</v>
      </c>
    </row>
    <row r="5261" spans="2:15">
      <c r="B5261" s="20">
        <v>45736</v>
      </c>
      <c r="C5261" s="59">
        <v>40010087</v>
      </c>
      <c r="D5261" s="55" t="s">
        <v>387</v>
      </c>
      <c r="G5261" s="65">
        <v>4635</v>
      </c>
      <c r="H5261" s="56" t="s">
        <v>80</v>
      </c>
      <c r="I5261" s="54">
        <v>8695679853</v>
      </c>
      <c r="J5261" s="56" t="s">
        <v>2978</v>
      </c>
      <c r="K5261" s="56">
        <v>3197</v>
      </c>
      <c r="L5261" s="55" t="s">
        <v>2152</v>
      </c>
      <c r="M5261" s="55" t="s">
        <v>2824</v>
      </c>
      <c r="N5261" s="4" t="s">
        <v>1905</v>
      </c>
      <c r="O5261" s="55" t="s">
        <v>178</v>
      </c>
    </row>
    <row r="5262" spans="2:15">
      <c r="B5262" s="20">
        <v>45736</v>
      </c>
      <c r="C5262" s="59">
        <v>40011133</v>
      </c>
      <c r="D5262" s="55" t="s">
        <v>634</v>
      </c>
      <c r="G5262" s="65">
        <v>2574</v>
      </c>
      <c r="H5262" s="56" t="s">
        <v>80</v>
      </c>
      <c r="I5262" s="54">
        <v>8695679853</v>
      </c>
      <c r="J5262" s="56" t="s">
        <v>2978</v>
      </c>
      <c r="K5262" s="56">
        <v>3197</v>
      </c>
      <c r="L5262" s="55" t="s">
        <v>2152</v>
      </c>
      <c r="M5262" s="55" t="s">
        <v>2824</v>
      </c>
      <c r="N5262" s="4" t="s">
        <v>1905</v>
      </c>
      <c r="O5262" s="55" t="s">
        <v>178</v>
      </c>
    </row>
    <row r="5263" spans="2:15">
      <c r="B5263" s="20">
        <v>45736</v>
      </c>
      <c r="C5263" s="59">
        <v>50837284</v>
      </c>
      <c r="D5263" s="55" t="s">
        <v>28</v>
      </c>
      <c r="G5263" s="65">
        <v>1753.8</v>
      </c>
      <c r="H5263" s="56" t="s">
        <v>82</v>
      </c>
      <c r="I5263" s="54">
        <v>8695679853</v>
      </c>
      <c r="J5263" s="56" t="s">
        <v>2978</v>
      </c>
      <c r="K5263" s="56">
        <v>3197</v>
      </c>
      <c r="L5263" s="55" t="s">
        <v>2152</v>
      </c>
      <c r="M5263" s="55" t="s">
        <v>2824</v>
      </c>
      <c r="N5263" s="4" t="s">
        <v>1905</v>
      </c>
      <c r="O5263" s="55" t="s">
        <v>178</v>
      </c>
    </row>
    <row r="5264" spans="2:15">
      <c r="B5264" s="20">
        <v>45736</v>
      </c>
      <c r="C5264" s="59">
        <v>50145187</v>
      </c>
      <c r="D5264" s="55" t="s">
        <v>465</v>
      </c>
      <c r="G5264" s="65">
        <v>528000</v>
      </c>
      <c r="H5264" s="56" t="s">
        <v>92</v>
      </c>
      <c r="I5264" s="54">
        <v>8695679853</v>
      </c>
      <c r="J5264" s="56" t="s">
        <v>2978</v>
      </c>
      <c r="K5264" s="56">
        <v>3197</v>
      </c>
      <c r="L5264" s="55" t="s">
        <v>2152</v>
      </c>
      <c r="M5264" s="55" t="s">
        <v>2824</v>
      </c>
      <c r="N5264" s="4" t="s">
        <v>1905</v>
      </c>
      <c r="O5264" s="55" t="s">
        <v>178</v>
      </c>
    </row>
    <row r="5265" spans="2:15">
      <c r="B5265" s="20">
        <v>45736</v>
      </c>
      <c r="C5265" s="59">
        <v>50144376</v>
      </c>
      <c r="D5265" s="55" t="s">
        <v>19</v>
      </c>
      <c r="G5265" s="65">
        <v>3000</v>
      </c>
      <c r="H5265" s="56" t="s">
        <v>92</v>
      </c>
      <c r="I5265" s="54">
        <v>8695679948</v>
      </c>
      <c r="J5265" s="56" t="s">
        <v>2978</v>
      </c>
      <c r="K5265" s="56">
        <v>3198</v>
      </c>
      <c r="L5265" s="55" t="s">
        <v>2152</v>
      </c>
      <c r="M5265" s="55" t="s">
        <v>2824</v>
      </c>
      <c r="N5265" s="4" t="s">
        <v>1905</v>
      </c>
      <c r="O5265" s="55" t="s">
        <v>178</v>
      </c>
    </row>
    <row r="5266" spans="2:15">
      <c r="B5266" s="20">
        <v>45736</v>
      </c>
      <c r="C5266" s="59">
        <v>50470190</v>
      </c>
      <c r="D5266" s="55" t="s">
        <v>12</v>
      </c>
      <c r="G5266" s="65">
        <v>2318400</v>
      </c>
      <c r="H5266" s="56" t="s">
        <v>92</v>
      </c>
      <c r="I5266" s="54">
        <v>8695679948</v>
      </c>
      <c r="J5266" s="56" t="s">
        <v>2978</v>
      </c>
      <c r="K5266" s="56">
        <v>3198</v>
      </c>
      <c r="L5266" s="55" t="s">
        <v>2152</v>
      </c>
      <c r="M5266" s="55" t="s">
        <v>2824</v>
      </c>
      <c r="N5266" s="4" t="s">
        <v>1905</v>
      </c>
      <c r="O5266" s="55" t="s">
        <v>178</v>
      </c>
    </row>
    <row r="5267" spans="2:15">
      <c r="B5267" s="20">
        <v>45736</v>
      </c>
      <c r="C5267" s="59">
        <v>50142327</v>
      </c>
      <c r="D5267" s="55" t="s">
        <v>256</v>
      </c>
      <c r="G5267" s="65">
        <v>1293.9</v>
      </c>
      <c r="H5267" s="56" t="s">
        <v>82</v>
      </c>
      <c r="I5267" s="54">
        <v>8695679948</v>
      </c>
      <c r="J5267" s="56" t="s">
        <v>2978</v>
      </c>
      <c r="K5267" s="56">
        <v>3198</v>
      </c>
      <c r="L5267" s="55" t="s">
        <v>2152</v>
      </c>
      <c r="M5267" s="55" t="s">
        <v>2824</v>
      </c>
      <c r="N5267" s="4" t="s">
        <v>1905</v>
      </c>
      <c r="O5267" s="55" t="s">
        <v>178</v>
      </c>
    </row>
    <row r="5268" spans="2:15">
      <c r="B5268" s="20">
        <v>45736</v>
      </c>
      <c r="C5268" s="59">
        <v>50142334</v>
      </c>
      <c r="D5268" s="55" t="s">
        <v>257</v>
      </c>
      <c r="G5268" s="65">
        <v>1430.1</v>
      </c>
      <c r="H5268" s="56" t="s">
        <v>82</v>
      </c>
      <c r="I5268" s="54">
        <v>8695679948</v>
      </c>
      <c r="J5268" s="56" t="s">
        <v>2978</v>
      </c>
      <c r="K5268" s="56">
        <v>3198</v>
      </c>
      <c r="L5268" s="55" t="s">
        <v>2152</v>
      </c>
      <c r="M5268" s="55" t="s">
        <v>2824</v>
      </c>
      <c r="N5268" s="4" t="s">
        <v>1905</v>
      </c>
      <c r="O5268" s="55" t="s">
        <v>178</v>
      </c>
    </row>
    <row r="5269" spans="2:15">
      <c r="B5269" s="20">
        <v>45737</v>
      </c>
      <c r="C5269" s="59">
        <v>50840365</v>
      </c>
      <c r="D5269" s="55" t="s">
        <v>1886</v>
      </c>
      <c r="G5269" s="65">
        <v>1128.75</v>
      </c>
      <c r="H5269" s="56" t="s">
        <v>82</v>
      </c>
      <c r="I5269" s="54">
        <v>8696144959</v>
      </c>
      <c r="J5269" s="56" t="s">
        <v>2978</v>
      </c>
      <c r="K5269" s="56">
        <v>3199</v>
      </c>
      <c r="L5269" s="55" t="s">
        <v>2152</v>
      </c>
      <c r="M5269" s="55" t="s">
        <v>2824</v>
      </c>
      <c r="N5269" s="4" t="s">
        <v>1905</v>
      </c>
      <c r="O5269" s="55" t="s">
        <v>178</v>
      </c>
    </row>
    <row r="5270" spans="2:15">
      <c r="B5270" s="20">
        <v>45737</v>
      </c>
      <c r="C5270" s="59">
        <v>50144200</v>
      </c>
      <c r="D5270" s="55" t="s">
        <v>184</v>
      </c>
      <c r="G5270" s="65">
        <v>528000</v>
      </c>
      <c r="H5270" s="56" t="s">
        <v>92</v>
      </c>
      <c r="I5270" s="54">
        <v>8696144959</v>
      </c>
      <c r="J5270" s="56" t="s">
        <v>2978</v>
      </c>
      <c r="K5270" s="56">
        <v>3199</v>
      </c>
      <c r="L5270" s="55" t="s">
        <v>2152</v>
      </c>
      <c r="M5270" s="55" t="s">
        <v>2824</v>
      </c>
      <c r="N5270" s="4" t="s">
        <v>1905</v>
      </c>
      <c r="O5270" s="55" t="s">
        <v>178</v>
      </c>
    </row>
    <row r="5271" spans="2:15">
      <c r="B5271" s="20">
        <v>45737</v>
      </c>
      <c r="C5271" s="59">
        <v>50507916</v>
      </c>
      <c r="D5271" s="55" t="s">
        <v>406</v>
      </c>
      <c r="G5271" s="65">
        <v>407000</v>
      </c>
      <c r="H5271" s="56" t="s">
        <v>92</v>
      </c>
      <c r="I5271" s="54">
        <v>8696144959</v>
      </c>
      <c r="J5271" s="56" t="s">
        <v>2978</v>
      </c>
      <c r="K5271" s="56">
        <v>3199</v>
      </c>
      <c r="L5271" s="55" t="s">
        <v>2152</v>
      </c>
      <c r="M5271" s="55" t="s">
        <v>2824</v>
      </c>
      <c r="N5271" s="4" t="s">
        <v>1905</v>
      </c>
      <c r="O5271" s="55" t="s">
        <v>178</v>
      </c>
    </row>
    <row r="5272" spans="2:15">
      <c r="B5272" s="20">
        <v>45737</v>
      </c>
      <c r="C5272" s="59">
        <v>40009151</v>
      </c>
      <c r="D5272" s="55" t="s">
        <v>180</v>
      </c>
      <c r="G5272" s="65">
        <v>900</v>
      </c>
      <c r="H5272" s="56" t="s">
        <v>80</v>
      </c>
      <c r="I5272" s="54">
        <v>8696144959</v>
      </c>
      <c r="J5272" s="56" t="s">
        <v>2978</v>
      </c>
      <c r="K5272" s="56">
        <v>3199</v>
      </c>
      <c r="L5272" s="55" t="s">
        <v>2152</v>
      </c>
      <c r="M5272" s="55" t="s">
        <v>2824</v>
      </c>
      <c r="N5272" s="4" t="s">
        <v>1905</v>
      </c>
      <c r="O5272" s="55" t="s">
        <v>178</v>
      </c>
    </row>
    <row r="5273" spans="2:15">
      <c r="B5273" s="20">
        <v>45737</v>
      </c>
      <c r="C5273" s="59">
        <v>50470190</v>
      </c>
      <c r="D5273" s="55" t="s">
        <v>12</v>
      </c>
      <c r="G5273" s="65">
        <v>3477600</v>
      </c>
      <c r="H5273" s="56" t="s">
        <v>92</v>
      </c>
      <c r="I5273" s="54">
        <v>8698314627</v>
      </c>
      <c r="J5273" s="56" t="s">
        <v>2978</v>
      </c>
      <c r="K5273" s="56">
        <v>3199</v>
      </c>
      <c r="L5273" s="55" t="s">
        <v>2152</v>
      </c>
      <c r="M5273" s="55" t="s">
        <v>2824</v>
      </c>
      <c r="N5273" s="4" t="s">
        <v>1905</v>
      </c>
      <c r="O5273" s="55" t="s">
        <v>178</v>
      </c>
    </row>
    <row r="5274" spans="2:15">
      <c r="B5274" s="20">
        <v>45737</v>
      </c>
      <c r="C5274" s="120">
        <v>40007942</v>
      </c>
      <c r="D5274" s="55" t="s">
        <v>219</v>
      </c>
      <c r="G5274" s="65">
        <v>1415</v>
      </c>
      <c r="H5274" s="56" t="s">
        <v>80</v>
      </c>
      <c r="I5274" s="54" t="s">
        <v>2874</v>
      </c>
      <c r="J5274" s="56" t="s">
        <v>2978</v>
      </c>
      <c r="K5274" s="56">
        <v>3200</v>
      </c>
      <c r="L5274" s="55" t="s">
        <v>2152</v>
      </c>
      <c r="M5274" s="55" t="s">
        <v>2824</v>
      </c>
      <c r="N5274" s="4" t="s">
        <v>1905</v>
      </c>
      <c r="O5274" s="55" t="s">
        <v>178</v>
      </c>
    </row>
    <row r="5275" spans="2:15">
      <c r="B5275" s="20">
        <v>45737</v>
      </c>
      <c r="C5275" s="59">
        <v>50144376</v>
      </c>
      <c r="D5275" s="55" t="s">
        <v>19</v>
      </c>
      <c r="G5275" s="65">
        <v>5500</v>
      </c>
      <c r="H5275" s="56" t="s">
        <v>92</v>
      </c>
      <c r="I5275" s="54">
        <v>8696144962</v>
      </c>
      <c r="J5275" s="56" t="s">
        <v>2978</v>
      </c>
      <c r="K5275" s="56">
        <v>3200</v>
      </c>
      <c r="L5275" s="55" t="s">
        <v>2152</v>
      </c>
      <c r="M5275" s="55" t="s">
        <v>2824</v>
      </c>
      <c r="N5275" s="4" t="s">
        <v>1905</v>
      </c>
      <c r="O5275" s="55" t="s">
        <v>178</v>
      </c>
    </row>
    <row r="5276" spans="2:15">
      <c r="B5276" s="20">
        <v>45737</v>
      </c>
      <c r="C5276" s="59">
        <v>50272278</v>
      </c>
      <c r="D5276" s="55" t="s">
        <v>21</v>
      </c>
      <c r="G5276" s="65">
        <v>5000</v>
      </c>
      <c r="H5276" s="56" t="s">
        <v>92</v>
      </c>
      <c r="I5276" s="54">
        <v>8696144962</v>
      </c>
      <c r="J5276" s="56" t="s">
        <v>2978</v>
      </c>
      <c r="K5276" s="56">
        <v>3200</v>
      </c>
      <c r="L5276" s="55" t="s">
        <v>2152</v>
      </c>
      <c r="M5276" s="55" t="s">
        <v>2824</v>
      </c>
      <c r="N5276" s="4" t="s">
        <v>1905</v>
      </c>
      <c r="O5276" s="55" t="s">
        <v>178</v>
      </c>
    </row>
    <row r="5277" spans="2:15">
      <c r="B5277" s="20">
        <v>45737</v>
      </c>
      <c r="C5277" s="59">
        <v>50804971</v>
      </c>
      <c r="D5277" s="55" t="s">
        <v>855</v>
      </c>
      <c r="G5277" s="65">
        <v>840000</v>
      </c>
      <c r="H5277" s="56" t="s">
        <v>92</v>
      </c>
      <c r="I5277" s="54">
        <v>8696145610</v>
      </c>
      <c r="J5277" s="56" t="s">
        <v>2978</v>
      </c>
      <c r="K5277" s="56">
        <v>3201</v>
      </c>
      <c r="L5277" s="55" t="s">
        <v>2152</v>
      </c>
      <c r="M5277" s="55" t="s">
        <v>2824</v>
      </c>
      <c r="N5277" s="4" t="s">
        <v>1905</v>
      </c>
      <c r="O5277" s="55" t="s">
        <v>178</v>
      </c>
    </row>
    <row r="5278" spans="2:15">
      <c r="B5278" s="20">
        <v>45737</v>
      </c>
      <c r="C5278" s="59">
        <v>50804929</v>
      </c>
      <c r="D5278" s="55" t="s">
        <v>856</v>
      </c>
      <c r="G5278" s="65">
        <v>480000</v>
      </c>
      <c r="H5278" s="56" t="s">
        <v>92</v>
      </c>
      <c r="I5278" s="54">
        <v>8696145610</v>
      </c>
      <c r="J5278" s="56" t="s">
        <v>2978</v>
      </c>
      <c r="K5278" s="56">
        <v>3201</v>
      </c>
      <c r="L5278" s="55" t="s">
        <v>2152</v>
      </c>
      <c r="M5278" s="55" t="s">
        <v>2824</v>
      </c>
      <c r="N5278" s="4" t="s">
        <v>1905</v>
      </c>
      <c r="O5278" s="55" t="s">
        <v>178</v>
      </c>
    </row>
    <row r="5279" spans="2:15">
      <c r="B5279" s="20">
        <v>45737</v>
      </c>
      <c r="C5279" s="59">
        <v>50145187</v>
      </c>
      <c r="D5279" s="55" t="s">
        <v>465</v>
      </c>
      <c r="G5279" s="65">
        <v>528000</v>
      </c>
      <c r="H5279" s="56" t="s">
        <v>92</v>
      </c>
      <c r="I5279" s="54">
        <v>8696145610</v>
      </c>
      <c r="J5279" s="56" t="s">
        <v>2978</v>
      </c>
      <c r="K5279" s="56">
        <v>3201</v>
      </c>
      <c r="L5279" s="55" t="s">
        <v>2152</v>
      </c>
      <c r="M5279" s="55" t="s">
        <v>2824</v>
      </c>
      <c r="N5279" s="4" t="s">
        <v>1905</v>
      </c>
      <c r="O5279" s="55" t="s">
        <v>178</v>
      </c>
    </row>
    <row r="5280" spans="2:15">
      <c r="B5280" s="20">
        <v>45737</v>
      </c>
      <c r="C5280" s="59">
        <v>50144200</v>
      </c>
      <c r="D5280" s="55" t="s">
        <v>184</v>
      </c>
      <c r="G5280" s="65">
        <v>528000</v>
      </c>
      <c r="H5280" s="56" t="s">
        <v>92</v>
      </c>
      <c r="I5280" s="54">
        <v>8696145610</v>
      </c>
      <c r="J5280" s="56" t="s">
        <v>2978</v>
      </c>
      <c r="K5280" s="56">
        <v>3201</v>
      </c>
      <c r="L5280" s="55" t="s">
        <v>2152</v>
      </c>
      <c r="M5280" s="55" t="s">
        <v>2824</v>
      </c>
      <c r="N5280" s="4" t="s">
        <v>1905</v>
      </c>
      <c r="O5280" s="55" t="s">
        <v>178</v>
      </c>
    </row>
    <row r="5281" spans="2:15">
      <c r="B5281" s="20">
        <v>45737</v>
      </c>
      <c r="C5281" s="59">
        <v>50507916</v>
      </c>
      <c r="D5281" s="55" t="s">
        <v>406</v>
      </c>
      <c r="G5281" s="65">
        <v>1320000</v>
      </c>
      <c r="H5281" s="56" t="s">
        <v>92</v>
      </c>
      <c r="I5281" s="54">
        <v>8696145610</v>
      </c>
      <c r="J5281" s="56" t="s">
        <v>2978</v>
      </c>
      <c r="K5281" s="56">
        <v>3201</v>
      </c>
      <c r="L5281" s="55" t="s">
        <v>2152</v>
      </c>
      <c r="M5281" s="55" t="s">
        <v>2824</v>
      </c>
      <c r="N5281" s="4" t="s">
        <v>1905</v>
      </c>
      <c r="O5281" s="55" t="s">
        <v>178</v>
      </c>
    </row>
    <row r="5282" spans="2:15">
      <c r="B5282" s="20">
        <v>45737</v>
      </c>
      <c r="C5282" s="59">
        <v>50470190</v>
      </c>
      <c r="D5282" s="55" t="s">
        <v>12</v>
      </c>
      <c r="G5282" s="65">
        <v>2318400</v>
      </c>
      <c r="H5282" s="56" t="s">
        <v>92</v>
      </c>
      <c r="I5282" s="54">
        <v>8696145610</v>
      </c>
      <c r="J5282" s="56" t="s">
        <v>2978</v>
      </c>
      <c r="K5282" s="56">
        <v>3201</v>
      </c>
      <c r="L5282" s="55" t="s">
        <v>2152</v>
      </c>
      <c r="M5282" s="55" t="s">
        <v>2824</v>
      </c>
      <c r="N5282" s="4" t="s">
        <v>1905</v>
      </c>
      <c r="O5282" s="55" t="s">
        <v>178</v>
      </c>
    </row>
    <row r="5283" spans="2:15">
      <c r="B5283" s="20">
        <v>45740</v>
      </c>
      <c r="C5283" s="59">
        <v>50145028</v>
      </c>
      <c r="D5283" s="55" t="s">
        <v>23</v>
      </c>
      <c r="G5283" s="65">
        <v>576</v>
      </c>
      <c r="H5283" s="56" t="s">
        <v>92</v>
      </c>
      <c r="I5283" s="54" t="s">
        <v>2874</v>
      </c>
      <c r="J5283" s="56" t="s">
        <v>2978</v>
      </c>
      <c r="K5283" s="56">
        <v>3202</v>
      </c>
      <c r="L5283" s="55" t="s">
        <v>326</v>
      </c>
      <c r="M5283" s="55" t="s">
        <v>2918</v>
      </c>
      <c r="N5283" s="4" t="s">
        <v>327</v>
      </c>
      <c r="O5283" s="55" t="s">
        <v>178</v>
      </c>
    </row>
    <row r="5284" spans="2:15">
      <c r="B5284" s="20">
        <v>45740</v>
      </c>
      <c r="C5284" s="59">
        <v>50842183</v>
      </c>
      <c r="D5284" s="55" t="s">
        <v>2202</v>
      </c>
      <c r="G5284" s="65">
        <v>3477600</v>
      </c>
      <c r="H5284" s="56" t="s">
        <v>92</v>
      </c>
      <c r="I5284" s="54">
        <v>8698309257</v>
      </c>
      <c r="J5284" s="56" t="s">
        <v>2978</v>
      </c>
      <c r="K5284" s="56">
        <v>3203</v>
      </c>
      <c r="L5284" s="55" t="s">
        <v>2826</v>
      </c>
      <c r="M5284" s="55" t="s">
        <v>2824</v>
      </c>
      <c r="N5284" s="4" t="s">
        <v>1793</v>
      </c>
      <c r="O5284" s="55" t="s">
        <v>178</v>
      </c>
    </row>
    <row r="5285" spans="2:15">
      <c r="B5285" s="20">
        <v>45741</v>
      </c>
      <c r="C5285" s="59">
        <v>50272278</v>
      </c>
      <c r="D5285" s="55" t="s">
        <v>21</v>
      </c>
      <c r="G5285" s="65">
        <v>10000</v>
      </c>
      <c r="H5285" s="56" t="s">
        <v>92</v>
      </c>
      <c r="I5285" s="54">
        <v>8697444223</v>
      </c>
      <c r="J5285" s="56" t="s">
        <v>2978</v>
      </c>
      <c r="K5285" s="56">
        <v>3204</v>
      </c>
      <c r="L5285" s="55" t="s">
        <v>2152</v>
      </c>
      <c r="M5285" s="55" t="s">
        <v>2824</v>
      </c>
      <c r="N5285" s="4" t="s">
        <v>1905</v>
      </c>
      <c r="O5285" s="55" t="s">
        <v>178</v>
      </c>
    </row>
    <row r="5286" spans="2:15">
      <c r="B5286" s="20">
        <v>45741</v>
      </c>
      <c r="C5286" s="59">
        <v>50142327</v>
      </c>
      <c r="D5286" s="55" t="s">
        <v>256</v>
      </c>
      <c r="G5286" s="65">
        <v>953.4</v>
      </c>
      <c r="H5286" s="56" t="s">
        <v>82</v>
      </c>
      <c r="I5286" s="54">
        <v>8697444223</v>
      </c>
      <c r="J5286" s="56" t="s">
        <v>2978</v>
      </c>
      <c r="K5286" s="56">
        <v>3204</v>
      </c>
      <c r="L5286" s="55" t="s">
        <v>2152</v>
      </c>
      <c r="M5286" s="55" t="s">
        <v>2824</v>
      </c>
      <c r="N5286" s="4" t="s">
        <v>1905</v>
      </c>
      <c r="O5286" s="55" t="s">
        <v>178</v>
      </c>
    </row>
    <row r="5287" spans="2:15">
      <c r="B5287" s="20">
        <v>45741</v>
      </c>
      <c r="C5287" s="59">
        <v>50793278</v>
      </c>
      <c r="D5287" s="55" t="s">
        <v>1086</v>
      </c>
      <c r="G5287" s="65">
        <v>60</v>
      </c>
      <c r="H5287" s="56" t="s">
        <v>1087</v>
      </c>
      <c r="I5287" s="54">
        <v>8698314659</v>
      </c>
      <c r="J5287" s="56" t="s">
        <v>2978</v>
      </c>
      <c r="K5287" s="56">
        <v>3205</v>
      </c>
      <c r="L5287" s="55" t="s">
        <v>2152</v>
      </c>
      <c r="M5287" s="55" t="s">
        <v>2824</v>
      </c>
      <c r="N5287" s="4" t="s">
        <v>1905</v>
      </c>
      <c r="O5287" s="55" t="s">
        <v>178</v>
      </c>
    </row>
    <row r="5288" spans="2:15">
      <c r="B5288" s="20">
        <v>45741</v>
      </c>
      <c r="C5288" s="59">
        <v>50141533</v>
      </c>
      <c r="D5288" s="55" t="s">
        <v>494</v>
      </c>
      <c r="G5288" s="65">
        <v>1250</v>
      </c>
      <c r="H5288" s="56" t="s">
        <v>82</v>
      </c>
      <c r="I5288" s="54">
        <v>8697444425</v>
      </c>
      <c r="J5288" s="56" t="s">
        <v>2978</v>
      </c>
      <c r="K5288" s="56">
        <v>3205</v>
      </c>
      <c r="L5288" s="55" t="s">
        <v>2152</v>
      </c>
      <c r="M5288" s="55" t="s">
        <v>2824</v>
      </c>
      <c r="N5288" s="4" t="s">
        <v>1905</v>
      </c>
      <c r="O5288" s="55" t="s">
        <v>178</v>
      </c>
    </row>
    <row r="5289" spans="2:15">
      <c r="B5289" s="20">
        <v>45741</v>
      </c>
      <c r="C5289" s="59">
        <v>50145029</v>
      </c>
      <c r="D5289" s="55" t="s">
        <v>705</v>
      </c>
      <c r="G5289" s="65">
        <v>12</v>
      </c>
      <c r="H5289" s="56" t="s">
        <v>505</v>
      </c>
      <c r="I5289" s="54">
        <v>8697444425</v>
      </c>
      <c r="J5289" s="56" t="s">
        <v>2978</v>
      </c>
      <c r="K5289" s="56">
        <v>3205</v>
      </c>
      <c r="L5289" s="55" t="s">
        <v>2152</v>
      </c>
      <c r="M5289" s="55" t="s">
        <v>2824</v>
      </c>
      <c r="N5289" s="4" t="s">
        <v>1905</v>
      </c>
      <c r="O5289" s="55" t="s">
        <v>178</v>
      </c>
    </row>
    <row r="5290" spans="2:15">
      <c r="B5290" s="20">
        <v>45741</v>
      </c>
      <c r="C5290" s="59">
        <v>50392045</v>
      </c>
      <c r="D5290" s="55" t="s">
        <v>707</v>
      </c>
      <c r="G5290" s="65">
        <v>30</v>
      </c>
      <c r="H5290" s="56" t="s">
        <v>505</v>
      </c>
      <c r="I5290" s="54">
        <v>8697444425</v>
      </c>
      <c r="J5290" s="56" t="s">
        <v>2978</v>
      </c>
      <c r="K5290" s="56">
        <v>3205</v>
      </c>
      <c r="L5290" s="55" t="s">
        <v>2152</v>
      </c>
      <c r="M5290" s="55" t="s">
        <v>2824</v>
      </c>
      <c r="N5290" s="4" t="s">
        <v>1905</v>
      </c>
      <c r="O5290" s="55" t="s">
        <v>178</v>
      </c>
    </row>
    <row r="5291" spans="2:15">
      <c r="B5291" s="20">
        <v>45741</v>
      </c>
      <c r="C5291" s="59">
        <v>40011148</v>
      </c>
      <c r="D5291" s="55" t="s">
        <v>86</v>
      </c>
      <c r="G5291" s="65">
        <v>730</v>
      </c>
      <c r="H5291" s="56" t="s">
        <v>80</v>
      </c>
      <c r="I5291" s="54">
        <v>8701925913</v>
      </c>
      <c r="J5291" s="56" t="s">
        <v>2978</v>
      </c>
      <c r="K5291" s="56">
        <v>3205</v>
      </c>
      <c r="L5291" s="55" t="s">
        <v>2152</v>
      </c>
      <c r="M5291" s="55" t="s">
        <v>2824</v>
      </c>
      <c r="N5291" s="4" t="s">
        <v>1905</v>
      </c>
      <c r="O5291" s="55" t="s">
        <v>178</v>
      </c>
    </row>
    <row r="5292" spans="2:15">
      <c r="B5292" s="20">
        <v>45741</v>
      </c>
      <c r="C5292" s="59">
        <v>40011780</v>
      </c>
      <c r="D5292" s="55" t="s">
        <v>584</v>
      </c>
      <c r="G5292" s="65">
        <v>1350</v>
      </c>
      <c r="H5292" s="56" t="s">
        <v>80</v>
      </c>
      <c r="I5292" s="54">
        <v>8697444425</v>
      </c>
      <c r="J5292" s="56" t="s">
        <v>2978</v>
      </c>
      <c r="K5292" s="56">
        <v>3205</v>
      </c>
      <c r="L5292" s="55" t="s">
        <v>2152</v>
      </c>
      <c r="M5292" s="55" t="s">
        <v>2824</v>
      </c>
      <c r="N5292" s="4" t="s">
        <v>1905</v>
      </c>
      <c r="O5292" s="55" t="s">
        <v>178</v>
      </c>
    </row>
    <row r="5293" spans="2:15">
      <c r="B5293" s="20">
        <v>45741</v>
      </c>
      <c r="C5293" s="59">
        <v>50842177</v>
      </c>
      <c r="D5293" s="55" t="s">
        <v>2196</v>
      </c>
      <c r="G5293" s="65">
        <v>4125.5</v>
      </c>
      <c r="H5293" s="56" t="s">
        <v>82</v>
      </c>
      <c r="I5293" s="54">
        <v>8698314656</v>
      </c>
      <c r="J5293" s="56" t="s">
        <v>2978</v>
      </c>
      <c r="K5293" s="56">
        <v>3205</v>
      </c>
      <c r="L5293" s="55" t="s">
        <v>2152</v>
      </c>
      <c r="M5293" s="55" t="s">
        <v>2824</v>
      </c>
      <c r="N5293" s="4" t="s">
        <v>1905</v>
      </c>
      <c r="O5293" s="55" t="s">
        <v>178</v>
      </c>
    </row>
    <row r="5294" spans="2:15">
      <c r="B5294" s="20">
        <v>45741</v>
      </c>
      <c r="C5294" s="59">
        <v>50142137</v>
      </c>
      <c r="D5294" s="55" t="s">
        <v>840</v>
      </c>
      <c r="G5294" s="65">
        <v>2100</v>
      </c>
      <c r="H5294" s="56" t="s">
        <v>82</v>
      </c>
      <c r="I5294" s="54">
        <v>8697444425</v>
      </c>
      <c r="J5294" s="56" t="s">
        <v>2978</v>
      </c>
      <c r="K5294" s="56">
        <v>3205</v>
      </c>
      <c r="L5294" s="55" t="s">
        <v>2152</v>
      </c>
      <c r="M5294" s="55" t="s">
        <v>2824</v>
      </c>
      <c r="N5294" s="4" t="s">
        <v>1905</v>
      </c>
      <c r="O5294" s="55" t="s">
        <v>178</v>
      </c>
    </row>
    <row r="5295" spans="2:15">
      <c r="B5295" s="20">
        <v>45741</v>
      </c>
      <c r="C5295" s="59">
        <v>50793278</v>
      </c>
      <c r="D5295" s="55" t="s">
        <v>1086</v>
      </c>
      <c r="G5295" s="65">
        <v>60</v>
      </c>
      <c r="H5295" s="56" t="s">
        <v>1087</v>
      </c>
      <c r="I5295" s="54">
        <v>8698314662</v>
      </c>
      <c r="J5295" s="56" t="s">
        <v>2978</v>
      </c>
      <c r="K5295" s="56">
        <v>3206</v>
      </c>
      <c r="L5295" s="55" t="s">
        <v>2152</v>
      </c>
      <c r="M5295" s="55" t="s">
        <v>2824</v>
      </c>
      <c r="N5295" s="4" t="s">
        <v>1905</v>
      </c>
      <c r="O5295" s="55" t="s">
        <v>178</v>
      </c>
    </row>
    <row r="5296" spans="2:15">
      <c r="B5296" s="20">
        <v>45741</v>
      </c>
      <c r="C5296" s="59">
        <v>50141533</v>
      </c>
      <c r="D5296" s="55" t="s">
        <v>494</v>
      </c>
      <c r="G5296" s="65">
        <v>2500</v>
      </c>
      <c r="H5296" s="56" t="s">
        <v>82</v>
      </c>
      <c r="I5296" s="54">
        <v>8697444429</v>
      </c>
      <c r="J5296" s="56" t="s">
        <v>2978</v>
      </c>
      <c r="K5296" s="56">
        <v>3206</v>
      </c>
      <c r="L5296" s="55" t="s">
        <v>2152</v>
      </c>
      <c r="M5296" s="55" t="s">
        <v>2824</v>
      </c>
      <c r="N5296" s="4" t="s">
        <v>1905</v>
      </c>
      <c r="O5296" s="55" t="s">
        <v>178</v>
      </c>
    </row>
    <row r="5297" spans="2:15">
      <c r="B5297" s="20">
        <v>45741</v>
      </c>
      <c r="C5297" s="59">
        <v>50842177</v>
      </c>
      <c r="D5297" s="55" t="s">
        <v>2196</v>
      </c>
      <c r="G5297" s="65">
        <v>5180.8</v>
      </c>
      <c r="H5297" s="56" t="s">
        <v>82</v>
      </c>
      <c r="I5297" s="54">
        <v>8698314656</v>
      </c>
      <c r="J5297" s="56" t="s">
        <v>2978</v>
      </c>
      <c r="K5297" s="56">
        <v>3206</v>
      </c>
      <c r="L5297" s="55" t="s">
        <v>2152</v>
      </c>
      <c r="M5297" s="55" t="s">
        <v>2824</v>
      </c>
      <c r="N5297" s="4" t="s">
        <v>1905</v>
      </c>
      <c r="O5297" s="55" t="s">
        <v>178</v>
      </c>
    </row>
    <row r="5298" spans="2:15">
      <c r="B5298" s="20">
        <v>45741</v>
      </c>
      <c r="C5298" s="59">
        <v>50842183</v>
      </c>
      <c r="D5298" s="55" t="s">
        <v>2202</v>
      </c>
      <c r="G5298" s="65">
        <v>2898000</v>
      </c>
      <c r="H5298" s="56" t="s">
        <v>92</v>
      </c>
      <c r="I5298" s="54">
        <v>8698309262</v>
      </c>
      <c r="J5298" s="56" t="s">
        <v>2978</v>
      </c>
      <c r="K5298" s="56">
        <v>3206</v>
      </c>
      <c r="L5298" s="55" t="s">
        <v>2152</v>
      </c>
      <c r="M5298" s="55" t="s">
        <v>2824</v>
      </c>
      <c r="N5298" s="4" t="s">
        <v>1905</v>
      </c>
      <c r="O5298" s="55" t="s">
        <v>178</v>
      </c>
    </row>
    <row r="5299" spans="2:15">
      <c r="B5299" s="20">
        <v>45742</v>
      </c>
      <c r="C5299" s="59">
        <v>50809353</v>
      </c>
      <c r="D5299" s="55" t="s">
        <v>905</v>
      </c>
      <c r="G5299" s="65">
        <v>1600</v>
      </c>
      <c r="H5299" s="56" t="s">
        <v>82</v>
      </c>
      <c r="I5299" s="54">
        <v>8697872234</v>
      </c>
      <c r="J5299" s="56" t="s">
        <v>2978</v>
      </c>
      <c r="K5299" s="56">
        <v>3207</v>
      </c>
      <c r="L5299" s="55" t="s">
        <v>2152</v>
      </c>
      <c r="M5299" s="55" t="s">
        <v>2824</v>
      </c>
      <c r="N5299" s="4" t="s">
        <v>1905</v>
      </c>
      <c r="O5299" s="55" t="s">
        <v>178</v>
      </c>
    </row>
    <row r="5300" spans="2:15">
      <c r="B5300" s="20">
        <v>45742</v>
      </c>
      <c r="C5300" s="59">
        <v>50010080</v>
      </c>
      <c r="D5300" s="55" t="s">
        <v>1657</v>
      </c>
      <c r="G5300" s="65">
        <v>4400</v>
      </c>
      <c r="H5300" s="56" t="s">
        <v>82</v>
      </c>
      <c r="I5300" s="54">
        <v>8697872234</v>
      </c>
      <c r="J5300" s="56" t="s">
        <v>2978</v>
      </c>
      <c r="K5300" s="56">
        <v>3207</v>
      </c>
      <c r="L5300" s="55" t="s">
        <v>2152</v>
      </c>
      <c r="M5300" s="55" t="s">
        <v>2824</v>
      </c>
      <c r="N5300" s="4" t="s">
        <v>1905</v>
      </c>
      <c r="O5300" s="55" t="s">
        <v>178</v>
      </c>
    </row>
    <row r="5301" spans="2:15">
      <c r="B5301" s="20">
        <v>45742</v>
      </c>
      <c r="C5301" s="59">
        <v>50142328</v>
      </c>
      <c r="D5301" s="55" t="s">
        <v>1591</v>
      </c>
      <c r="G5301" s="65">
        <v>2000</v>
      </c>
      <c r="H5301" s="56" t="s">
        <v>82</v>
      </c>
      <c r="I5301" s="54">
        <v>8700725341</v>
      </c>
      <c r="J5301" s="56" t="s">
        <v>2978</v>
      </c>
      <c r="K5301" s="56">
        <v>3207</v>
      </c>
      <c r="L5301" s="55" t="s">
        <v>2152</v>
      </c>
      <c r="M5301" s="55" t="s">
        <v>2824</v>
      </c>
      <c r="N5301" s="4" t="s">
        <v>1905</v>
      </c>
      <c r="O5301" s="55" t="s">
        <v>178</v>
      </c>
    </row>
    <row r="5302" spans="2:15">
      <c r="B5302" s="20">
        <v>45742</v>
      </c>
      <c r="C5302" s="59">
        <v>50142330</v>
      </c>
      <c r="D5302" s="55" t="s">
        <v>195</v>
      </c>
      <c r="G5302" s="65">
        <v>1260</v>
      </c>
      <c r="H5302" s="56" t="s">
        <v>82</v>
      </c>
      <c r="I5302" s="54">
        <v>8698749229</v>
      </c>
      <c r="J5302" s="56" t="s">
        <v>2978</v>
      </c>
      <c r="K5302" s="56">
        <v>3207</v>
      </c>
      <c r="L5302" s="55" t="s">
        <v>2152</v>
      </c>
      <c r="M5302" s="55" t="s">
        <v>2824</v>
      </c>
      <c r="N5302" s="4" t="s">
        <v>1905</v>
      </c>
      <c r="O5302" s="55" t="s">
        <v>178</v>
      </c>
    </row>
    <row r="5303" spans="2:15">
      <c r="B5303" s="20">
        <v>45742</v>
      </c>
      <c r="C5303" s="59">
        <v>50142584</v>
      </c>
      <c r="D5303" s="55" t="s">
        <v>846</v>
      </c>
      <c r="G5303" s="65">
        <v>50</v>
      </c>
      <c r="H5303" s="56" t="s">
        <v>82</v>
      </c>
      <c r="I5303" s="54">
        <v>8697872234</v>
      </c>
      <c r="J5303" s="56" t="s">
        <v>2978</v>
      </c>
      <c r="K5303" s="56">
        <v>3207</v>
      </c>
      <c r="L5303" s="55" t="s">
        <v>2152</v>
      </c>
      <c r="M5303" s="55" t="s">
        <v>2824</v>
      </c>
      <c r="N5303" s="4" t="s">
        <v>1905</v>
      </c>
      <c r="O5303" s="55" t="s">
        <v>178</v>
      </c>
    </row>
    <row r="5304" spans="2:15">
      <c r="B5304" s="20">
        <v>45742</v>
      </c>
      <c r="C5304" s="59">
        <v>50141533</v>
      </c>
      <c r="D5304" s="55" t="s">
        <v>494</v>
      </c>
      <c r="G5304" s="65">
        <v>3750</v>
      </c>
      <c r="H5304" s="56" t="s">
        <v>82</v>
      </c>
      <c r="I5304" s="54">
        <v>8697872234</v>
      </c>
      <c r="J5304" s="56" t="s">
        <v>2978</v>
      </c>
      <c r="K5304" s="56">
        <v>3207</v>
      </c>
      <c r="L5304" s="55" t="s">
        <v>2152</v>
      </c>
      <c r="M5304" s="55" t="s">
        <v>2824</v>
      </c>
      <c r="N5304" s="4" t="s">
        <v>1905</v>
      </c>
      <c r="O5304" s="55" t="s">
        <v>178</v>
      </c>
    </row>
    <row r="5305" spans="2:15">
      <c r="B5305" s="20">
        <v>45742</v>
      </c>
      <c r="C5305" s="59">
        <v>40011780</v>
      </c>
      <c r="D5305" s="55" t="s">
        <v>584</v>
      </c>
      <c r="G5305" s="65">
        <v>900</v>
      </c>
      <c r="H5305" s="56" t="s">
        <v>80</v>
      </c>
      <c r="I5305" s="54">
        <v>8697872234</v>
      </c>
      <c r="J5305" s="56" t="s">
        <v>2978</v>
      </c>
      <c r="K5305" s="56">
        <v>3207</v>
      </c>
      <c r="L5305" s="55" t="s">
        <v>2152</v>
      </c>
      <c r="M5305" s="55" t="s">
        <v>2824</v>
      </c>
      <c r="N5305" s="4" t="s">
        <v>1905</v>
      </c>
      <c r="O5305" s="55" t="s">
        <v>178</v>
      </c>
    </row>
    <row r="5306" spans="2:15">
      <c r="B5306" s="20">
        <v>45742</v>
      </c>
      <c r="C5306" s="59">
        <v>50272278</v>
      </c>
      <c r="D5306" s="55" t="s">
        <v>21</v>
      </c>
      <c r="G5306" s="65">
        <v>10500</v>
      </c>
      <c r="H5306" s="56" t="s">
        <v>92</v>
      </c>
      <c r="I5306" s="54">
        <v>8697872320</v>
      </c>
      <c r="J5306" s="56" t="s">
        <v>2978</v>
      </c>
      <c r="K5306" s="56">
        <v>3208</v>
      </c>
      <c r="L5306" s="55" t="s">
        <v>2152</v>
      </c>
      <c r="M5306" s="55" t="s">
        <v>2824</v>
      </c>
      <c r="N5306" s="4" t="s">
        <v>1905</v>
      </c>
      <c r="O5306" s="55" t="s">
        <v>178</v>
      </c>
    </row>
    <row r="5307" spans="2:15">
      <c r="B5307" s="20">
        <v>45743</v>
      </c>
      <c r="C5307" s="59">
        <v>40010084</v>
      </c>
      <c r="D5307" s="55" t="s">
        <v>81</v>
      </c>
      <c r="G5307" s="65">
        <v>1536</v>
      </c>
      <c r="H5307" s="56" t="s">
        <v>80</v>
      </c>
      <c r="I5307" s="54">
        <v>869831447</v>
      </c>
      <c r="J5307" s="56" t="s">
        <v>2978</v>
      </c>
      <c r="K5307" s="56">
        <v>3210</v>
      </c>
      <c r="L5307" s="55" t="s">
        <v>2152</v>
      </c>
      <c r="M5307" s="55" t="s">
        <v>2824</v>
      </c>
      <c r="N5307" s="4" t="s">
        <v>1905</v>
      </c>
      <c r="O5307" s="55" t="s">
        <v>178</v>
      </c>
    </row>
    <row r="5308" spans="2:15">
      <c r="B5308" s="20">
        <v>45743</v>
      </c>
      <c r="C5308" s="59">
        <v>40010087</v>
      </c>
      <c r="D5308" s="55" t="s">
        <v>387</v>
      </c>
      <c r="G5308" s="65">
        <v>864</v>
      </c>
      <c r="H5308" s="56" t="s">
        <v>80</v>
      </c>
      <c r="I5308" s="54">
        <v>869831447</v>
      </c>
      <c r="J5308" s="56" t="s">
        <v>2978</v>
      </c>
      <c r="K5308" s="56">
        <v>3210</v>
      </c>
      <c r="L5308" s="55" t="s">
        <v>2152</v>
      </c>
      <c r="M5308" s="55" t="s">
        <v>2824</v>
      </c>
      <c r="N5308" s="4" t="s">
        <v>1905</v>
      </c>
      <c r="O5308" s="55" t="s">
        <v>178</v>
      </c>
    </row>
    <row r="5309" spans="2:15">
      <c r="B5309" s="20">
        <v>45743</v>
      </c>
      <c r="C5309" s="59">
        <v>50837239</v>
      </c>
      <c r="D5309" s="55" t="s">
        <v>27</v>
      </c>
      <c r="G5309" s="65">
        <v>2096.05</v>
      </c>
      <c r="H5309" s="56" t="s">
        <v>82</v>
      </c>
      <c r="I5309" s="54">
        <v>869831447</v>
      </c>
      <c r="J5309" s="56" t="s">
        <v>2978</v>
      </c>
      <c r="K5309" s="56">
        <v>3210</v>
      </c>
      <c r="L5309" s="55" t="s">
        <v>2152</v>
      </c>
      <c r="M5309" s="55" t="s">
        <v>2824</v>
      </c>
      <c r="N5309" s="4" t="s">
        <v>1905</v>
      </c>
      <c r="O5309" s="55" t="s">
        <v>178</v>
      </c>
    </row>
    <row r="5310" spans="2:15">
      <c r="B5310" s="20">
        <v>45743</v>
      </c>
      <c r="C5310" s="59">
        <v>40004808</v>
      </c>
      <c r="D5310" s="55" t="s">
        <v>91</v>
      </c>
      <c r="G5310" s="65">
        <v>540</v>
      </c>
      <c r="H5310" s="56" t="s">
        <v>1248</v>
      </c>
      <c r="I5310" s="54">
        <v>8699548359</v>
      </c>
      <c r="J5310" s="56" t="s">
        <v>2978</v>
      </c>
      <c r="K5310" s="56">
        <v>3210</v>
      </c>
      <c r="L5310" s="55" t="s">
        <v>2152</v>
      </c>
      <c r="M5310" s="55" t="s">
        <v>2824</v>
      </c>
      <c r="N5310" s="4" t="s">
        <v>1905</v>
      </c>
      <c r="O5310" s="55" t="s">
        <v>178</v>
      </c>
    </row>
    <row r="5311" spans="2:15">
      <c r="B5311" s="20">
        <v>45743</v>
      </c>
      <c r="C5311" s="59">
        <v>40010083</v>
      </c>
      <c r="D5311" s="55" t="s">
        <v>85</v>
      </c>
      <c r="G5311" s="65">
        <v>5376</v>
      </c>
      <c r="H5311" s="56" t="s">
        <v>80</v>
      </c>
      <c r="I5311" s="54">
        <v>869831447</v>
      </c>
      <c r="J5311" s="56" t="s">
        <v>2978</v>
      </c>
      <c r="K5311" s="56">
        <v>3210</v>
      </c>
      <c r="L5311" s="55" t="s">
        <v>2152</v>
      </c>
      <c r="M5311" s="55" t="s">
        <v>2824</v>
      </c>
      <c r="N5311" s="4" t="s">
        <v>1905</v>
      </c>
      <c r="O5311" s="55" t="s">
        <v>178</v>
      </c>
    </row>
    <row r="5312" spans="2:15">
      <c r="B5312" s="20">
        <v>45743</v>
      </c>
      <c r="C5312" s="59">
        <v>50507916</v>
      </c>
      <c r="D5312" s="55" t="s">
        <v>406</v>
      </c>
      <c r="G5312" s="65">
        <v>264000</v>
      </c>
      <c r="H5312" s="56" t="s">
        <v>92</v>
      </c>
      <c r="I5312" s="54">
        <v>869831447</v>
      </c>
      <c r="J5312" s="56" t="s">
        <v>2978</v>
      </c>
      <c r="K5312" s="56">
        <v>3210</v>
      </c>
      <c r="L5312" s="55" t="s">
        <v>2152</v>
      </c>
      <c r="M5312" s="55" t="s">
        <v>2824</v>
      </c>
      <c r="N5312" s="4" t="s">
        <v>1905</v>
      </c>
      <c r="O5312" s="55" t="s">
        <v>178</v>
      </c>
    </row>
    <row r="5313" spans="2:15">
      <c r="B5313" s="20">
        <v>45743</v>
      </c>
      <c r="C5313" s="59">
        <v>40011780</v>
      </c>
      <c r="D5313" s="55" t="s">
        <v>584</v>
      </c>
      <c r="G5313" s="65">
        <v>450</v>
      </c>
      <c r="H5313" s="56" t="s">
        <v>80</v>
      </c>
      <c r="I5313" s="54">
        <v>869831447</v>
      </c>
      <c r="J5313" s="56" t="s">
        <v>2978</v>
      </c>
      <c r="K5313" s="56">
        <v>3210</v>
      </c>
      <c r="L5313" s="55" t="s">
        <v>2152</v>
      </c>
      <c r="M5313" s="55" t="s">
        <v>2824</v>
      </c>
      <c r="N5313" s="4" t="s">
        <v>1905</v>
      </c>
      <c r="O5313" s="55" t="s">
        <v>178</v>
      </c>
    </row>
    <row r="5314" spans="2:15">
      <c r="B5314" s="20">
        <v>45743</v>
      </c>
      <c r="C5314" s="59">
        <v>50842183</v>
      </c>
      <c r="D5314" s="55" t="s">
        <v>2202</v>
      </c>
      <c r="G5314" s="65">
        <v>289800</v>
      </c>
      <c r="H5314" s="56" t="s">
        <v>92</v>
      </c>
      <c r="I5314" s="54">
        <v>8698309275</v>
      </c>
      <c r="J5314" s="56" t="s">
        <v>2978</v>
      </c>
      <c r="K5314" s="56">
        <v>3210</v>
      </c>
      <c r="L5314" s="55" t="s">
        <v>2152</v>
      </c>
      <c r="M5314" s="55" t="s">
        <v>2824</v>
      </c>
      <c r="N5314" s="4" t="s">
        <v>1905</v>
      </c>
      <c r="O5314" s="55" t="s">
        <v>178</v>
      </c>
    </row>
    <row r="5315" spans="2:15">
      <c r="B5315" s="20">
        <v>45743</v>
      </c>
      <c r="C5315" s="59">
        <v>50272278</v>
      </c>
      <c r="D5315" s="69" t="s">
        <v>21</v>
      </c>
      <c r="G5315" s="122">
        <v>8000</v>
      </c>
      <c r="H5315" s="56" t="s">
        <v>92</v>
      </c>
      <c r="I5315" s="54">
        <v>8698314496</v>
      </c>
      <c r="J5315" s="56" t="s">
        <v>2978</v>
      </c>
      <c r="K5315" s="56">
        <v>3212</v>
      </c>
      <c r="L5315" s="55" t="s">
        <v>2152</v>
      </c>
      <c r="M5315" s="55" t="s">
        <v>2824</v>
      </c>
      <c r="N5315" s="4" t="s">
        <v>1905</v>
      </c>
      <c r="O5315" s="55" t="s">
        <v>178</v>
      </c>
    </row>
    <row r="5316" spans="2:15">
      <c r="B5316" s="20">
        <v>45743</v>
      </c>
      <c r="C5316" s="59">
        <v>50142327</v>
      </c>
      <c r="D5316" s="69" t="s">
        <v>256</v>
      </c>
      <c r="G5316" s="122">
        <v>1430.1</v>
      </c>
      <c r="H5316" s="56" t="s">
        <v>82</v>
      </c>
      <c r="I5316" s="54">
        <v>8698314496</v>
      </c>
      <c r="J5316" s="56" t="s">
        <v>2978</v>
      </c>
      <c r="K5316" s="56">
        <v>3212</v>
      </c>
      <c r="L5316" s="55" t="s">
        <v>2152</v>
      </c>
      <c r="M5316" s="55" t="s">
        <v>2824</v>
      </c>
      <c r="N5316" s="4" t="s">
        <v>1905</v>
      </c>
      <c r="O5316" s="55" t="s">
        <v>178</v>
      </c>
    </row>
    <row r="5317" spans="2:15">
      <c r="B5317" s="20">
        <v>45743</v>
      </c>
      <c r="C5317" s="59">
        <v>50142334</v>
      </c>
      <c r="D5317" s="69" t="s">
        <v>257</v>
      </c>
      <c r="G5317" s="122">
        <v>1430.1</v>
      </c>
      <c r="H5317" s="56" t="s">
        <v>82</v>
      </c>
      <c r="I5317" s="54">
        <v>8698314496</v>
      </c>
      <c r="J5317" s="56" t="s">
        <v>2978</v>
      </c>
      <c r="K5317" s="56">
        <v>3212</v>
      </c>
      <c r="L5317" s="55" t="s">
        <v>2152</v>
      </c>
      <c r="M5317" s="55" t="s">
        <v>2824</v>
      </c>
      <c r="N5317" s="4" t="s">
        <v>1905</v>
      </c>
      <c r="O5317" s="55" t="s">
        <v>178</v>
      </c>
    </row>
    <row r="5318" spans="2:15">
      <c r="B5318" s="20">
        <v>45744</v>
      </c>
      <c r="C5318" s="59">
        <v>50837284</v>
      </c>
      <c r="D5318" s="55" t="s">
        <v>28</v>
      </c>
      <c r="G5318" s="65">
        <v>2691.65</v>
      </c>
      <c r="H5318" s="56" t="s">
        <v>82</v>
      </c>
      <c r="I5318" s="54">
        <v>8698753390</v>
      </c>
      <c r="J5318" s="56" t="s">
        <v>2978</v>
      </c>
      <c r="K5318" s="56">
        <v>3213</v>
      </c>
      <c r="L5318" s="55" t="s">
        <v>2152</v>
      </c>
      <c r="M5318" s="55" t="s">
        <v>2824</v>
      </c>
      <c r="N5318" s="4" t="s">
        <v>1905</v>
      </c>
      <c r="O5318" s="55" t="s">
        <v>178</v>
      </c>
    </row>
    <row r="5319" spans="2:15">
      <c r="B5319" s="20">
        <v>45744</v>
      </c>
      <c r="C5319" s="59">
        <v>50272278</v>
      </c>
      <c r="D5319" s="55" t="s">
        <v>21</v>
      </c>
      <c r="G5319" s="65">
        <v>5000</v>
      </c>
      <c r="H5319" s="56" t="s">
        <v>92</v>
      </c>
      <c r="I5319" s="54">
        <v>8698753390</v>
      </c>
      <c r="J5319" s="56" t="s">
        <v>2978</v>
      </c>
      <c r="K5319" s="56">
        <v>3213</v>
      </c>
      <c r="L5319" s="55" t="s">
        <v>2152</v>
      </c>
      <c r="M5319" s="55" t="s">
        <v>2824</v>
      </c>
      <c r="N5319" s="4" t="s">
        <v>1905</v>
      </c>
      <c r="O5319" s="55" t="s">
        <v>178</v>
      </c>
    </row>
    <row r="5320" spans="2:15">
      <c r="B5320" s="20">
        <v>45744</v>
      </c>
      <c r="C5320" s="59">
        <v>40004808</v>
      </c>
      <c r="D5320" s="55" t="s">
        <v>91</v>
      </c>
      <c r="G5320" s="65">
        <v>1080</v>
      </c>
      <c r="H5320" s="56" t="s">
        <v>1248</v>
      </c>
      <c r="I5320" s="54">
        <v>8699548376</v>
      </c>
      <c r="J5320" s="56" t="s">
        <v>2978</v>
      </c>
      <c r="K5320" s="56">
        <v>3213</v>
      </c>
      <c r="L5320" s="55" t="s">
        <v>2152</v>
      </c>
      <c r="M5320" s="55" t="s">
        <v>2824</v>
      </c>
      <c r="N5320" s="4" t="s">
        <v>1905</v>
      </c>
      <c r="O5320" s="55" t="s">
        <v>178</v>
      </c>
    </row>
    <row r="5321" spans="2:15">
      <c r="B5321" s="20">
        <v>45744</v>
      </c>
      <c r="C5321" s="59">
        <v>40004887</v>
      </c>
      <c r="D5321" s="55" t="s">
        <v>272</v>
      </c>
      <c r="G5321" s="65">
        <v>439</v>
      </c>
      <c r="H5321" s="56" t="s">
        <v>80</v>
      </c>
      <c r="I5321" s="54">
        <v>8698753390</v>
      </c>
      <c r="J5321" s="56" t="s">
        <v>2978</v>
      </c>
      <c r="K5321" s="56">
        <v>3213</v>
      </c>
      <c r="L5321" s="55" t="s">
        <v>2152</v>
      </c>
      <c r="M5321" s="55" t="s">
        <v>2824</v>
      </c>
      <c r="N5321" s="4" t="s">
        <v>1905</v>
      </c>
      <c r="O5321" s="55" t="s">
        <v>178</v>
      </c>
    </row>
    <row r="5322" spans="2:15">
      <c r="B5322" s="20">
        <v>45744</v>
      </c>
      <c r="C5322" s="59">
        <v>50842183</v>
      </c>
      <c r="D5322" s="55" t="s">
        <v>2202</v>
      </c>
      <c r="G5322" s="65">
        <v>1159200</v>
      </c>
      <c r="H5322" s="56" t="s">
        <v>92</v>
      </c>
      <c r="I5322" s="54">
        <v>8699547631</v>
      </c>
      <c r="J5322" s="56" t="s">
        <v>2978</v>
      </c>
      <c r="K5322" s="56">
        <v>3213</v>
      </c>
      <c r="L5322" s="55" t="s">
        <v>2152</v>
      </c>
      <c r="M5322" s="55" t="s">
        <v>2824</v>
      </c>
      <c r="N5322" s="4" t="s">
        <v>1905</v>
      </c>
      <c r="O5322" s="55" t="s">
        <v>178</v>
      </c>
    </row>
    <row r="5323" spans="2:15">
      <c r="B5323" s="20">
        <v>45747</v>
      </c>
      <c r="C5323" s="59">
        <v>50142330</v>
      </c>
      <c r="D5323" s="69" t="s">
        <v>195</v>
      </c>
      <c r="G5323" s="122">
        <v>360</v>
      </c>
      <c r="H5323" s="56" t="s">
        <v>82</v>
      </c>
      <c r="I5323" s="54">
        <v>8699549060</v>
      </c>
      <c r="J5323" s="56" t="s">
        <v>2978</v>
      </c>
      <c r="K5323" s="56">
        <v>3214</v>
      </c>
      <c r="L5323" s="55" t="s">
        <v>2152</v>
      </c>
      <c r="M5323" s="55" t="s">
        <v>2824</v>
      </c>
      <c r="N5323" s="4" t="s">
        <v>1905</v>
      </c>
      <c r="O5323" s="55" t="s">
        <v>178</v>
      </c>
    </row>
    <row r="5324" spans="2:15">
      <c r="B5324" s="20">
        <v>45747</v>
      </c>
      <c r="C5324" s="59">
        <v>40009546</v>
      </c>
      <c r="D5324" s="55" t="s">
        <v>174</v>
      </c>
      <c r="G5324" s="122">
        <v>1728</v>
      </c>
      <c r="H5324" s="56" t="s">
        <v>80</v>
      </c>
      <c r="I5324" s="54">
        <v>8699549060</v>
      </c>
      <c r="J5324" s="56" t="s">
        <v>2978</v>
      </c>
      <c r="K5324" s="56">
        <v>3215</v>
      </c>
      <c r="L5324" s="55" t="s">
        <v>2152</v>
      </c>
      <c r="M5324" s="55" t="s">
        <v>2824</v>
      </c>
      <c r="N5324" s="4" t="s">
        <v>1905</v>
      </c>
      <c r="O5324" s="55" t="s">
        <v>178</v>
      </c>
    </row>
    <row r="5325" spans="2:15">
      <c r="B5325" s="20">
        <v>45747</v>
      </c>
      <c r="C5325" s="59">
        <v>40004808</v>
      </c>
      <c r="D5325" s="55" t="s">
        <v>91</v>
      </c>
      <c r="G5325" s="65">
        <v>1620</v>
      </c>
      <c r="H5325" s="56" t="s">
        <v>1248</v>
      </c>
      <c r="I5325" s="54">
        <v>8699549060</v>
      </c>
      <c r="J5325" s="56" t="s">
        <v>2978</v>
      </c>
      <c r="K5325" s="56">
        <v>3215</v>
      </c>
      <c r="L5325" s="55" t="s">
        <v>2152</v>
      </c>
      <c r="M5325" s="55" t="s">
        <v>2824</v>
      </c>
      <c r="N5325" s="4" t="s">
        <v>1905</v>
      </c>
      <c r="O5325" s="55" t="s">
        <v>178</v>
      </c>
    </row>
    <row r="5326" spans="2:15">
      <c r="B5326" s="20">
        <v>45747</v>
      </c>
      <c r="C5326" s="59">
        <v>50507916</v>
      </c>
      <c r="D5326" s="55" t="s">
        <v>406</v>
      </c>
      <c r="G5326" s="122">
        <v>792000</v>
      </c>
      <c r="H5326" s="56" t="s">
        <v>92</v>
      </c>
      <c r="I5326" s="54">
        <v>8699549060</v>
      </c>
      <c r="J5326" s="56" t="s">
        <v>2978</v>
      </c>
      <c r="K5326" s="56">
        <v>3215</v>
      </c>
      <c r="L5326" s="55" t="s">
        <v>2152</v>
      </c>
      <c r="M5326" s="55" t="s">
        <v>2824</v>
      </c>
      <c r="N5326" s="4" t="s">
        <v>1905</v>
      </c>
      <c r="O5326" s="55" t="s">
        <v>178</v>
      </c>
    </row>
    <row r="5327" spans="2:15">
      <c r="B5327" s="20">
        <v>45747</v>
      </c>
      <c r="C5327" s="59">
        <v>50842183</v>
      </c>
      <c r="D5327" s="55" t="s">
        <v>2202</v>
      </c>
      <c r="G5327" s="122">
        <v>2898000</v>
      </c>
      <c r="H5327" s="56" t="s">
        <v>92</v>
      </c>
      <c r="I5327" s="54">
        <v>8699549060</v>
      </c>
      <c r="J5327" s="56" t="s">
        <v>2978</v>
      </c>
      <c r="K5327" s="56">
        <v>3215</v>
      </c>
      <c r="L5327" s="55" t="s">
        <v>2152</v>
      </c>
      <c r="M5327" s="55" t="s">
        <v>2824</v>
      </c>
      <c r="N5327" s="4" t="s">
        <v>1905</v>
      </c>
      <c r="O5327" s="55" t="s">
        <v>178</v>
      </c>
    </row>
    <row r="5328" spans="2:15">
      <c r="B5328" s="20">
        <v>45748</v>
      </c>
      <c r="C5328" s="59">
        <v>50272278</v>
      </c>
      <c r="D5328" s="55" t="s">
        <v>21</v>
      </c>
      <c r="G5328" s="65">
        <v>11000</v>
      </c>
      <c r="H5328" s="56" t="s">
        <v>92</v>
      </c>
      <c r="I5328" s="54">
        <v>8699950833</v>
      </c>
      <c r="J5328" s="56" t="s">
        <v>2978</v>
      </c>
      <c r="K5328" s="56">
        <v>3216</v>
      </c>
      <c r="L5328" s="55" t="s">
        <v>2152</v>
      </c>
      <c r="M5328" s="55" t="s">
        <v>2824</v>
      </c>
      <c r="N5328" s="4" t="s">
        <v>1905</v>
      </c>
      <c r="O5328" s="55" t="s">
        <v>178</v>
      </c>
    </row>
    <row r="5329" spans="2:15">
      <c r="B5329" s="20">
        <v>45748</v>
      </c>
      <c r="C5329" s="59">
        <v>50010080</v>
      </c>
      <c r="D5329" s="55" t="s">
        <v>1657</v>
      </c>
      <c r="G5329" s="65">
        <v>2200</v>
      </c>
      <c r="H5329" s="56" t="s">
        <v>82</v>
      </c>
      <c r="I5329" s="54">
        <v>8699950966</v>
      </c>
      <c r="J5329" s="56" t="s">
        <v>2978</v>
      </c>
      <c r="K5329" s="56">
        <v>3217</v>
      </c>
      <c r="L5329" s="55" t="s">
        <v>2152</v>
      </c>
      <c r="M5329" s="55" t="s">
        <v>2824</v>
      </c>
      <c r="N5329" s="4" t="s">
        <v>1905</v>
      </c>
      <c r="O5329" s="55" t="s">
        <v>178</v>
      </c>
    </row>
    <row r="5330" spans="2:15">
      <c r="B5330" s="20">
        <v>45748</v>
      </c>
      <c r="C5330" s="59">
        <v>40010086</v>
      </c>
      <c r="D5330" s="55" t="s">
        <v>79</v>
      </c>
      <c r="G5330" s="65">
        <v>6174</v>
      </c>
      <c r="H5330" s="56" t="s">
        <v>80</v>
      </c>
      <c r="I5330" s="54">
        <v>8699950966</v>
      </c>
      <c r="J5330" s="56" t="s">
        <v>2978</v>
      </c>
      <c r="K5330" s="56">
        <v>3217</v>
      </c>
      <c r="L5330" s="55" t="s">
        <v>2152</v>
      </c>
      <c r="M5330" s="55" t="s">
        <v>2824</v>
      </c>
      <c r="N5330" s="4" t="s">
        <v>1905</v>
      </c>
      <c r="O5330" s="55" t="s">
        <v>178</v>
      </c>
    </row>
    <row r="5331" spans="2:15">
      <c r="B5331" s="20">
        <v>45748</v>
      </c>
      <c r="C5331" s="59">
        <v>40009546</v>
      </c>
      <c r="D5331" s="55" t="s">
        <v>174</v>
      </c>
      <c r="G5331" s="65">
        <v>1730</v>
      </c>
      <c r="H5331" s="56" t="s">
        <v>80</v>
      </c>
      <c r="I5331" s="54">
        <v>8699950966</v>
      </c>
      <c r="J5331" s="56" t="s">
        <v>2978</v>
      </c>
      <c r="K5331" s="56">
        <v>3217</v>
      </c>
      <c r="L5331" s="55" t="s">
        <v>2152</v>
      </c>
      <c r="M5331" s="55" t="s">
        <v>2824</v>
      </c>
      <c r="N5331" s="4" t="s">
        <v>1905</v>
      </c>
      <c r="O5331" s="55" t="s">
        <v>178</v>
      </c>
    </row>
    <row r="5332" spans="2:15">
      <c r="B5332" s="20">
        <v>45748</v>
      </c>
      <c r="C5332" s="59">
        <v>50837267</v>
      </c>
      <c r="D5332" s="55" t="s">
        <v>26</v>
      </c>
      <c r="G5332" s="65">
        <v>1215.5</v>
      </c>
      <c r="H5332" s="56" t="s">
        <v>82</v>
      </c>
      <c r="I5332" s="54">
        <v>8703138559</v>
      </c>
      <c r="J5332" s="56" t="s">
        <v>2978</v>
      </c>
      <c r="K5332" s="56">
        <v>3217</v>
      </c>
      <c r="L5332" s="55" t="s">
        <v>2152</v>
      </c>
      <c r="M5332" s="55" t="s">
        <v>2824</v>
      </c>
      <c r="N5332" s="4" t="s">
        <v>1905</v>
      </c>
      <c r="O5332" s="55" t="s">
        <v>178</v>
      </c>
    </row>
    <row r="5333" spans="2:15">
      <c r="B5333" s="20">
        <v>45748</v>
      </c>
      <c r="C5333" s="59">
        <v>50507916</v>
      </c>
      <c r="D5333" s="55" t="s">
        <v>406</v>
      </c>
      <c r="G5333" s="65">
        <v>528000</v>
      </c>
      <c r="H5333" s="56" t="s">
        <v>92</v>
      </c>
      <c r="I5333" s="54">
        <v>8699950966</v>
      </c>
      <c r="J5333" s="56" t="s">
        <v>2978</v>
      </c>
      <c r="K5333" s="56">
        <v>3217</v>
      </c>
      <c r="L5333" s="55" t="s">
        <v>2152</v>
      </c>
      <c r="M5333" s="55" t="s">
        <v>2824</v>
      </c>
      <c r="N5333" s="4" t="s">
        <v>1905</v>
      </c>
      <c r="O5333" s="55" t="s">
        <v>178</v>
      </c>
    </row>
    <row r="5334" spans="2:15">
      <c r="B5334" s="20">
        <v>45748</v>
      </c>
      <c r="C5334" s="59">
        <v>50470190</v>
      </c>
      <c r="D5334" s="55" t="s">
        <v>12</v>
      </c>
      <c r="G5334" s="65">
        <v>579600</v>
      </c>
      <c r="H5334" s="56" t="s">
        <v>92</v>
      </c>
      <c r="I5334" s="54">
        <v>8699950966</v>
      </c>
      <c r="J5334" s="56" t="s">
        <v>2978</v>
      </c>
      <c r="K5334" s="56">
        <v>3217</v>
      </c>
      <c r="L5334" s="55" t="s">
        <v>2152</v>
      </c>
      <c r="M5334" s="55" t="s">
        <v>2824</v>
      </c>
      <c r="N5334" s="4" t="s">
        <v>1905</v>
      </c>
      <c r="O5334" s="55" t="s">
        <v>178</v>
      </c>
    </row>
    <row r="5335" spans="2:15">
      <c r="B5335" s="20">
        <v>45748</v>
      </c>
      <c r="C5335" s="59">
        <v>50842183</v>
      </c>
      <c r="D5335" s="55" t="s">
        <v>2202</v>
      </c>
      <c r="G5335" s="65">
        <v>1159200</v>
      </c>
      <c r="H5335" s="56" t="s">
        <v>92</v>
      </c>
      <c r="I5335" s="54">
        <v>8699950966</v>
      </c>
      <c r="J5335" s="56" t="s">
        <v>2978</v>
      </c>
      <c r="K5335" s="56">
        <v>3217</v>
      </c>
      <c r="L5335" s="55" t="s">
        <v>2152</v>
      </c>
      <c r="M5335" s="55" t="s">
        <v>2824</v>
      </c>
      <c r="N5335" s="4" t="s">
        <v>1905</v>
      </c>
      <c r="O5335" s="55" t="s">
        <v>178</v>
      </c>
    </row>
    <row r="5336" spans="2:15">
      <c r="B5336" s="20">
        <v>45748</v>
      </c>
      <c r="C5336" s="59">
        <v>50837509</v>
      </c>
      <c r="D5336" s="55" t="s">
        <v>14</v>
      </c>
      <c r="G5336" s="65">
        <v>869400</v>
      </c>
      <c r="H5336" s="56" t="s">
        <v>92</v>
      </c>
      <c r="I5336" s="54">
        <v>8699950966</v>
      </c>
      <c r="J5336" s="56" t="s">
        <v>2978</v>
      </c>
      <c r="K5336" s="56">
        <v>3217</v>
      </c>
      <c r="L5336" s="55" t="s">
        <v>2152</v>
      </c>
      <c r="M5336" s="55" t="s">
        <v>2824</v>
      </c>
      <c r="N5336" s="4" t="s">
        <v>1905</v>
      </c>
      <c r="O5336" s="55" t="s">
        <v>178</v>
      </c>
    </row>
    <row r="5337" spans="2:15">
      <c r="B5337" s="20">
        <v>45749</v>
      </c>
      <c r="C5337" s="59">
        <v>50837284</v>
      </c>
      <c r="D5337" s="55" t="s">
        <v>28</v>
      </c>
      <c r="G5337" s="65">
        <v>6076.7</v>
      </c>
      <c r="H5337" s="56" t="s">
        <v>82</v>
      </c>
      <c r="I5337" s="54">
        <v>8700326751</v>
      </c>
      <c r="J5337" s="56" t="s">
        <v>2978</v>
      </c>
      <c r="K5337" s="56">
        <v>3218</v>
      </c>
      <c r="L5337" s="55" t="s">
        <v>2152</v>
      </c>
      <c r="M5337" s="55" t="s">
        <v>2824</v>
      </c>
      <c r="N5337" s="4" t="s">
        <v>1905</v>
      </c>
      <c r="O5337" s="55" t="s">
        <v>178</v>
      </c>
    </row>
    <row r="5338" spans="2:15">
      <c r="B5338" s="20">
        <v>45749</v>
      </c>
      <c r="C5338" s="59">
        <v>20016059</v>
      </c>
      <c r="D5338" s="55" t="s">
        <v>1498</v>
      </c>
      <c r="G5338" s="65">
        <v>100</v>
      </c>
      <c r="H5338" s="56" t="s">
        <v>92</v>
      </c>
      <c r="I5338" s="54">
        <v>8700326751</v>
      </c>
      <c r="J5338" s="56" t="s">
        <v>2978</v>
      </c>
      <c r="K5338" s="56">
        <v>3218</v>
      </c>
      <c r="L5338" s="55" t="s">
        <v>2152</v>
      </c>
      <c r="M5338" s="55" t="s">
        <v>2824</v>
      </c>
      <c r="N5338" s="4" t="s">
        <v>1905</v>
      </c>
      <c r="O5338" s="55" t="s">
        <v>178</v>
      </c>
    </row>
    <row r="5339" spans="2:15">
      <c r="B5339" s="20">
        <v>45749</v>
      </c>
      <c r="C5339" s="59">
        <v>50842183</v>
      </c>
      <c r="D5339" s="55" t="s">
        <v>2202</v>
      </c>
      <c r="G5339" s="65">
        <v>1449000</v>
      </c>
      <c r="H5339" s="56" t="s">
        <v>92</v>
      </c>
      <c r="I5339" s="54">
        <v>8700326751</v>
      </c>
      <c r="J5339" s="56" t="s">
        <v>2978</v>
      </c>
      <c r="K5339" s="56">
        <v>3218</v>
      </c>
      <c r="L5339" s="55" t="s">
        <v>2152</v>
      </c>
      <c r="M5339" s="55" t="s">
        <v>2824</v>
      </c>
      <c r="N5339" s="4" t="s">
        <v>1905</v>
      </c>
      <c r="O5339" s="55" t="s">
        <v>178</v>
      </c>
    </row>
    <row r="5340" spans="2:15">
      <c r="B5340" s="20">
        <v>45749</v>
      </c>
      <c r="C5340" s="59">
        <v>50801001</v>
      </c>
      <c r="D5340" s="55" t="s">
        <v>2222</v>
      </c>
      <c r="G5340" s="65">
        <v>590.85</v>
      </c>
      <c r="H5340" s="56" t="s">
        <v>82</v>
      </c>
      <c r="I5340" s="54">
        <v>8706648492</v>
      </c>
      <c r="J5340" s="56" t="s">
        <v>2978</v>
      </c>
      <c r="K5340" s="56">
        <v>3218</v>
      </c>
      <c r="L5340" s="55" t="s">
        <v>2152</v>
      </c>
      <c r="M5340" s="55" t="s">
        <v>2824</v>
      </c>
      <c r="N5340" s="4" t="s">
        <v>1905</v>
      </c>
      <c r="O5340" s="55" t="s">
        <v>178</v>
      </c>
    </row>
    <row r="5341" spans="2:15">
      <c r="B5341" s="20">
        <v>45749</v>
      </c>
      <c r="C5341" s="59">
        <v>50272278</v>
      </c>
      <c r="D5341" s="55" t="s">
        <v>21</v>
      </c>
      <c r="G5341" s="65">
        <v>8000</v>
      </c>
      <c r="H5341" s="56" t="s">
        <v>92</v>
      </c>
      <c r="I5341" s="54">
        <v>8700326753</v>
      </c>
      <c r="J5341" s="56" t="s">
        <v>2978</v>
      </c>
      <c r="K5341" s="56">
        <v>3219</v>
      </c>
      <c r="L5341" s="55" t="s">
        <v>2152</v>
      </c>
      <c r="M5341" s="55" t="s">
        <v>2824</v>
      </c>
      <c r="N5341" s="4" t="s">
        <v>1905</v>
      </c>
      <c r="O5341" s="55" t="s">
        <v>178</v>
      </c>
    </row>
    <row r="5342" spans="2:15">
      <c r="B5342" s="20">
        <v>45749</v>
      </c>
      <c r="C5342" s="59">
        <v>50142327</v>
      </c>
      <c r="D5342" s="55" t="s">
        <v>256</v>
      </c>
      <c r="G5342" s="65">
        <v>1430.1</v>
      </c>
      <c r="H5342" s="56" t="s">
        <v>753</v>
      </c>
      <c r="I5342" s="54">
        <v>8700326753</v>
      </c>
      <c r="J5342" s="56" t="s">
        <v>2978</v>
      </c>
      <c r="K5342" s="56">
        <v>3219</v>
      </c>
      <c r="L5342" s="55" t="s">
        <v>2152</v>
      </c>
      <c r="M5342" s="55" t="s">
        <v>2824</v>
      </c>
      <c r="N5342" s="4" t="s">
        <v>1905</v>
      </c>
      <c r="O5342" s="55" t="s">
        <v>178</v>
      </c>
    </row>
    <row r="5343" spans="2:15">
      <c r="B5343" s="20">
        <v>45749</v>
      </c>
      <c r="C5343" s="59">
        <v>50142334</v>
      </c>
      <c r="D5343" s="55" t="s">
        <v>257</v>
      </c>
      <c r="G5343" s="65">
        <v>1430.1</v>
      </c>
      <c r="H5343" s="56" t="s">
        <v>753</v>
      </c>
      <c r="I5343" s="54">
        <v>8700326753</v>
      </c>
      <c r="J5343" s="56" t="s">
        <v>2978</v>
      </c>
      <c r="K5343" s="56">
        <v>3219</v>
      </c>
      <c r="L5343" s="55" t="s">
        <v>2152</v>
      </c>
      <c r="M5343" s="55" t="s">
        <v>2824</v>
      </c>
      <c r="N5343" s="4" t="s">
        <v>1905</v>
      </c>
      <c r="O5343" s="55" t="s">
        <v>178</v>
      </c>
    </row>
    <row r="5344" spans="2:15">
      <c r="B5344" s="20">
        <v>45749</v>
      </c>
      <c r="C5344" s="59">
        <v>50145028</v>
      </c>
      <c r="D5344" s="55" t="s">
        <v>23</v>
      </c>
      <c r="G5344" s="58">
        <v>960</v>
      </c>
      <c r="H5344" s="56" t="s">
        <v>92</v>
      </c>
      <c r="I5344" s="54" t="s">
        <v>2874</v>
      </c>
      <c r="J5344" s="56" t="s">
        <v>2978</v>
      </c>
      <c r="K5344" s="56">
        <v>3220</v>
      </c>
      <c r="L5344" s="55" t="s">
        <v>2004</v>
      </c>
      <c r="M5344" s="55" t="s">
        <v>392</v>
      </c>
      <c r="N5344" s="4" t="s">
        <v>2071</v>
      </c>
      <c r="O5344" s="55" t="s">
        <v>178</v>
      </c>
    </row>
    <row r="5345" spans="2:15">
      <c r="B5345" s="20">
        <v>45749</v>
      </c>
      <c r="C5345" s="59">
        <v>50799770</v>
      </c>
      <c r="D5345" s="55" t="s">
        <v>17</v>
      </c>
      <c r="G5345" s="122">
        <v>4250</v>
      </c>
      <c r="H5345" s="56" t="s">
        <v>92</v>
      </c>
      <c r="I5345" s="54" t="s">
        <v>2874</v>
      </c>
      <c r="J5345" s="56" t="s">
        <v>2978</v>
      </c>
      <c r="K5345" s="56">
        <v>3220</v>
      </c>
      <c r="L5345" s="55" t="s">
        <v>2004</v>
      </c>
      <c r="M5345" s="55" t="s">
        <v>392</v>
      </c>
      <c r="N5345" s="4" t="s">
        <v>2071</v>
      </c>
      <c r="O5345" s="55" t="s">
        <v>178</v>
      </c>
    </row>
    <row r="5346" spans="2:15">
      <c r="B5346" s="20">
        <v>45749</v>
      </c>
      <c r="C5346" s="59">
        <v>50142237</v>
      </c>
      <c r="D5346" s="55" t="s">
        <v>617</v>
      </c>
      <c r="G5346" s="122">
        <v>5000</v>
      </c>
      <c r="H5346" s="56" t="s">
        <v>92</v>
      </c>
      <c r="I5346" s="54" t="s">
        <v>2874</v>
      </c>
      <c r="J5346" s="56" t="s">
        <v>2978</v>
      </c>
      <c r="K5346" s="56">
        <v>3220</v>
      </c>
      <c r="L5346" s="55" t="s">
        <v>2004</v>
      </c>
      <c r="M5346" s="55" t="s">
        <v>392</v>
      </c>
      <c r="N5346" s="4" t="s">
        <v>2071</v>
      </c>
      <c r="O5346" s="55" t="s">
        <v>178</v>
      </c>
    </row>
    <row r="5347" spans="2:15">
      <c r="B5347" s="20">
        <v>45750</v>
      </c>
      <c r="C5347" s="59">
        <v>50842176</v>
      </c>
      <c r="D5347" s="55" t="s">
        <v>2207</v>
      </c>
      <c r="G5347" s="65">
        <v>1056.9</v>
      </c>
      <c r="H5347" s="56" t="s">
        <v>82</v>
      </c>
      <c r="I5347" s="54">
        <v>8700723355</v>
      </c>
      <c r="J5347" s="56" t="s">
        <v>2978</v>
      </c>
      <c r="K5347" s="56">
        <v>3221</v>
      </c>
      <c r="L5347" s="55" t="s">
        <v>2152</v>
      </c>
      <c r="M5347" s="55" t="s">
        <v>2824</v>
      </c>
      <c r="N5347" s="4" t="s">
        <v>1905</v>
      </c>
      <c r="O5347" s="55" t="s">
        <v>178</v>
      </c>
    </row>
    <row r="5348" spans="2:15">
      <c r="B5348" s="20">
        <v>45750</v>
      </c>
      <c r="C5348" s="59">
        <v>50144376</v>
      </c>
      <c r="D5348" s="55" t="s">
        <v>19</v>
      </c>
      <c r="G5348" s="65">
        <v>6000</v>
      </c>
      <c r="H5348" s="56" t="s">
        <v>92</v>
      </c>
      <c r="I5348" s="54">
        <v>8700723355</v>
      </c>
      <c r="J5348" s="56" t="s">
        <v>2978</v>
      </c>
      <c r="K5348" s="56">
        <v>3221</v>
      </c>
      <c r="L5348" s="55" t="s">
        <v>2152</v>
      </c>
      <c r="M5348" s="55" t="s">
        <v>2824</v>
      </c>
      <c r="N5348" s="4" t="s">
        <v>1905</v>
      </c>
      <c r="O5348" s="55" t="s">
        <v>178</v>
      </c>
    </row>
    <row r="5349" spans="2:15">
      <c r="B5349" s="20">
        <v>45750</v>
      </c>
      <c r="C5349" s="59">
        <v>50470190</v>
      </c>
      <c r="D5349" s="55" t="s">
        <v>12</v>
      </c>
      <c r="G5349" s="65">
        <v>2318400</v>
      </c>
      <c r="H5349" s="56" t="s">
        <v>92</v>
      </c>
      <c r="I5349" s="54">
        <v>8700723355</v>
      </c>
      <c r="J5349" s="56" t="s">
        <v>2978</v>
      </c>
      <c r="K5349" s="56">
        <v>3221</v>
      </c>
      <c r="L5349" s="55" t="s">
        <v>2152</v>
      </c>
      <c r="M5349" s="55" t="s">
        <v>2824</v>
      </c>
      <c r="N5349" s="4" t="s">
        <v>1905</v>
      </c>
      <c r="O5349" s="55" t="s">
        <v>178</v>
      </c>
    </row>
    <row r="5350" spans="2:15">
      <c r="B5350" s="20">
        <v>45750</v>
      </c>
      <c r="C5350" s="59">
        <v>50809353</v>
      </c>
      <c r="D5350" s="55" t="s">
        <v>905</v>
      </c>
      <c r="G5350" s="65">
        <v>4600</v>
      </c>
      <c r="H5350" s="56" t="s">
        <v>82</v>
      </c>
      <c r="I5350" s="54">
        <v>8706514846</v>
      </c>
      <c r="J5350" s="56" t="s">
        <v>2978</v>
      </c>
      <c r="K5350" s="56">
        <v>3222</v>
      </c>
      <c r="L5350" s="55" t="s">
        <v>2152</v>
      </c>
      <c r="M5350" s="55" t="s">
        <v>2824</v>
      </c>
      <c r="N5350" s="4" t="s">
        <v>1905</v>
      </c>
      <c r="O5350" s="55" t="s">
        <v>178</v>
      </c>
    </row>
    <row r="5351" spans="2:15">
      <c r="B5351" s="20">
        <v>45750</v>
      </c>
      <c r="C5351" s="59">
        <v>50837265</v>
      </c>
      <c r="D5351" s="55" t="s">
        <v>25</v>
      </c>
      <c r="G5351" s="65">
        <v>1088.4</v>
      </c>
      <c r="H5351" s="56" t="s">
        <v>82</v>
      </c>
      <c r="I5351" s="54">
        <v>8700725337</v>
      </c>
      <c r="J5351" s="56" t="s">
        <v>2978</v>
      </c>
      <c r="K5351" s="56">
        <v>3222</v>
      </c>
      <c r="L5351" s="55" t="s">
        <v>2152</v>
      </c>
      <c r="M5351" s="55" t="s">
        <v>2824</v>
      </c>
      <c r="N5351" s="4" t="s">
        <v>1905</v>
      </c>
      <c r="O5351" s="55" t="s">
        <v>178</v>
      </c>
    </row>
    <row r="5352" spans="2:15">
      <c r="B5352" s="20">
        <v>45750</v>
      </c>
      <c r="C5352" s="59">
        <v>50837267</v>
      </c>
      <c r="D5352" s="55" t="s">
        <v>26</v>
      </c>
      <c r="G5352" s="65">
        <v>3727.15</v>
      </c>
      <c r="H5352" s="56" t="s">
        <v>82</v>
      </c>
      <c r="I5352" s="54">
        <v>8703138563</v>
      </c>
      <c r="J5352" s="56" t="s">
        <v>2978</v>
      </c>
      <c r="K5352" s="56">
        <v>3222</v>
      </c>
      <c r="L5352" s="55" t="s">
        <v>2152</v>
      </c>
      <c r="M5352" s="55" t="s">
        <v>2824</v>
      </c>
      <c r="N5352" s="4" t="s">
        <v>1905</v>
      </c>
      <c r="O5352" s="55" t="s">
        <v>178</v>
      </c>
    </row>
    <row r="5353" spans="2:15">
      <c r="B5353" s="20">
        <v>45750</v>
      </c>
      <c r="C5353" s="59">
        <v>50142237</v>
      </c>
      <c r="D5353" s="55" t="s">
        <v>617</v>
      </c>
      <c r="G5353" s="65">
        <v>23000</v>
      </c>
      <c r="H5353" s="56" t="s">
        <v>92</v>
      </c>
      <c r="I5353" s="54">
        <v>8700725337</v>
      </c>
      <c r="J5353" s="56" t="s">
        <v>2978</v>
      </c>
      <c r="K5353" s="56">
        <v>3222</v>
      </c>
      <c r="L5353" s="55" t="s">
        <v>2152</v>
      </c>
      <c r="M5353" s="55" t="s">
        <v>2824</v>
      </c>
      <c r="N5353" s="4" t="s">
        <v>1905</v>
      </c>
      <c r="O5353" s="55" t="s">
        <v>178</v>
      </c>
    </row>
    <row r="5354" spans="2:15">
      <c r="B5354" s="20">
        <v>45750</v>
      </c>
      <c r="C5354" s="59">
        <v>40011148</v>
      </c>
      <c r="D5354" s="55" t="s">
        <v>86</v>
      </c>
      <c r="G5354" s="65">
        <v>900</v>
      </c>
      <c r="H5354" s="56" t="s">
        <v>80</v>
      </c>
      <c r="I5354" s="54">
        <v>8701925931</v>
      </c>
      <c r="J5354" s="56" t="s">
        <v>2978</v>
      </c>
      <c r="K5354" s="56">
        <v>3222</v>
      </c>
      <c r="L5354" s="55" t="s">
        <v>2152</v>
      </c>
      <c r="M5354" s="55" t="s">
        <v>2824</v>
      </c>
      <c r="N5354" s="4" t="s">
        <v>1905</v>
      </c>
      <c r="O5354" s="55" t="s">
        <v>178</v>
      </c>
    </row>
    <row r="5355" spans="2:15">
      <c r="B5355" s="20">
        <v>45750</v>
      </c>
      <c r="C5355" s="59">
        <v>40011780</v>
      </c>
      <c r="D5355" s="55" t="s">
        <v>584</v>
      </c>
      <c r="G5355" s="65">
        <v>530</v>
      </c>
      <c r="H5355" s="56" t="s">
        <v>80</v>
      </c>
      <c r="I5355" s="54">
        <v>8700725337</v>
      </c>
      <c r="J5355" s="56" t="s">
        <v>2978</v>
      </c>
      <c r="K5355" s="56">
        <v>3222</v>
      </c>
      <c r="L5355" s="55" t="s">
        <v>2152</v>
      </c>
      <c r="M5355" s="55" t="s">
        <v>2824</v>
      </c>
      <c r="N5355" s="4" t="s">
        <v>1905</v>
      </c>
      <c r="O5355" s="55" t="s">
        <v>178</v>
      </c>
    </row>
    <row r="5356" spans="2:15">
      <c r="B5356" s="20">
        <v>45751</v>
      </c>
      <c r="C5356" s="59">
        <v>50842176</v>
      </c>
      <c r="D5356" s="55" t="s">
        <v>2207</v>
      </c>
      <c r="G5356" s="65">
        <v>5283.15</v>
      </c>
      <c r="H5356" s="56" t="s">
        <v>82</v>
      </c>
      <c r="I5356" s="54">
        <v>8701151013</v>
      </c>
      <c r="J5356" s="56" t="s">
        <v>2978</v>
      </c>
      <c r="K5356" s="56">
        <v>3223</v>
      </c>
      <c r="L5356" s="55" t="s">
        <v>2152</v>
      </c>
      <c r="M5356" s="55" t="s">
        <v>2824</v>
      </c>
      <c r="N5356" s="4" t="s">
        <v>1905</v>
      </c>
      <c r="O5356" s="55" t="s">
        <v>178</v>
      </c>
    </row>
    <row r="5357" spans="2:15">
      <c r="B5357" s="20">
        <v>45751</v>
      </c>
      <c r="C5357" s="59">
        <v>50842183</v>
      </c>
      <c r="D5357" s="55" t="s">
        <v>2202</v>
      </c>
      <c r="G5357" s="65">
        <v>869400</v>
      </c>
      <c r="H5357" s="56" t="s">
        <v>92</v>
      </c>
      <c r="I5357" s="54">
        <v>8701151013</v>
      </c>
      <c r="J5357" s="56" t="s">
        <v>2978</v>
      </c>
      <c r="K5357" s="56">
        <v>3223</v>
      </c>
      <c r="L5357" s="55" t="s">
        <v>2152</v>
      </c>
      <c r="M5357" s="55" t="s">
        <v>2824</v>
      </c>
      <c r="N5357" s="4" t="s">
        <v>1905</v>
      </c>
      <c r="O5357" s="55" t="s">
        <v>178</v>
      </c>
    </row>
    <row r="5358" spans="2:15">
      <c r="B5358" s="20">
        <v>45751</v>
      </c>
      <c r="C5358" s="59">
        <v>50837509</v>
      </c>
      <c r="D5358" s="55" t="s">
        <v>14</v>
      </c>
      <c r="G5358" s="65">
        <v>2318400</v>
      </c>
      <c r="H5358" s="56" t="s">
        <v>92</v>
      </c>
      <c r="I5358" s="54">
        <v>8701151013</v>
      </c>
      <c r="J5358" s="56" t="s">
        <v>2978</v>
      </c>
      <c r="K5358" s="56">
        <v>3223</v>
      </c>
      <c r="L5358" s="55" t="s">
        <v>2152</v>
      </c>
      <c r="M5358" s="55" t="s">
        <v>2824</v>
      </c>
      <c r="N5358" s="4" t="s">
        <v>1905</v>
      </c>
      <c r="O5358" s="55" t="s">
        <v>178</v>
      </c>
    </row>
    <row r="5359" spans="2:15">
      <c r="B5359" s="20">
        <v>45751</v>
      </c>
      <c r="C5359" s="59">
        <v>50515034</v>
      </c>
      <c r="D5359" s="55" t="s">
        <v>41</v>
      </c>
      <c r="G5359" s="65">
        <v>183.6</v>
      </c>
      <c r="H5359" s="56" t="s">
        <v>80</v>
      </c>
      <c r="I5359" s="54" t="s">
        <v>2874</v>
      </c>
      <c r="J5359" s="56" t="s">
        <v>2978</v>
      </c>
      <c r="K5359" s="56">
        <v>3224</v>
      </c>
      <c r="L5359" s="55" t="s">
        <v>2152</v>
      </c>
      <c r="M5359" s="55" t="s">
        <v>392</v>
      </c>
      <c r="N5359" s="4" t="s">
        <v>1905</v>
      </c>
      <c r="O5359" s="55" t="s">
        <v>178</v>
      </c>
    </row>
    <row r="5360" spans="2:15">
      <c r="B5360" s="20">
        <v>45751</v>
      </c>
      <c r="C5360" s="59">
        <v>50144376</v>
      </c>
      <c r="D5360" s="55" t="s">
        <v>19</v>
      </c>
      <c r="G5360" s="65">
        <v>6350</v>
      </c>
      <c r="H5360" s="56" t="s">
        <v>92</v>
      </c>
      <c r="I5360" s="54" t="s">
        <v>2874</v>
      </c>
      <c r="J5360" s="56" t="s">
        <v>2978</v>
      </c>
      <c r="K5360" s="56">
        <v>3224</v>
      </c>
      <c r="L5360" s="55" t="s">
        <v>2152</v>
      </c>
      <c r="M5360" s="55" t="s">
        <v>392</v>
      </c>
      <c r="N5360" s="4" t="s">
        <v>1905</v>
      </c>
      <c r="O5360" s="55" t="s">
        <v>178</v>
      </c>
    </row>
    <row r="5361" spans="2:15">
      <c r="B5361" s="20">
        <v>45751</v>
      </c>
      <c r="C5361" s="59">
        <v>50799770</v>
      </c>
      <c r="D5361" s="55" t="s">
        <v>17</v>
      </c>
      <c r="G5361" s="65">
        <v>3000</v>
      </c>
      <c r="H5361" s="56" t="s">
        <v>92</v>
      </c>
      <c r="I5361" s="54">
        <v>8701151056</v>
      </c>
      <c r="J5361" s="56" t="s">
        <v>2978</v>
      </c>
      <c r="K5361" s="56">
        <v>3225</v>
      </c>
      <c r="L5361" s="55" t="s">
        <v>2152</v>
      </c>
      <c r="M5361" s="55" t="s">
        <v>2824</v>
      </c>
      <c r="N5361" s="4" t="s">
        <v>1905</v>
      </c>
      <c r="O5361" s="55" t="s">
        <v>178</v>
      </c>
    </row>
    <row r="5362" spans="2:15">
      <c r="B5362" s="20">
        <v>45751</v>
      </c>
      <c r="C5362" s="59">
        <v>50272278</v>
      </c>
      <c r="D5362" s="55" t="s">
        <v>21</v>
      </c>
      <c r="G5362" s="65">
        <v>5000</v>
      </c>
      <c r="H5362" s="56" t="s">
        <v>92</v>
      </c>
      <c r="I5362" s="54">
        <v>8701151056</v>
      </c>
      <c r="J5362" s="56" t="s">
        <v>2978</v>
      </c>
      <c r="K5362" s="56">
        <v>3225</v>
      </c>
      <c r="L5362" s="55" t="s">
        <v>2152</v>
      </c>
      <c r="M5362" s="55" t="s">
        <v>2824</v>
      </c>
      <c r="N5362" s="4" t="s">
        <v>1905</v>
      </c>
      <c r="O5362" s="55" t="s">
        <v>178</v>
      </c>
    </row>
    <row r="5363" spans="2:15">
      <c r="B5363" s="20">
        <v>45751</v>
      </c>
      <c r="C5363" s="59">
        <v>50145187</v>
      </c>
      <c r="D5363" s="55" t="s">
        <v>465</v>
      </c>
      <c r="G5363" s="65">
        <v>792000</v>
      </c>
      <c r="H5363" s="56" t="s">
        <v>92</v>
      </c>
      <c r="I5363" s="54">
        <v>8701151056</v>
      </c>
      <c r="J5363" s="56" t="s">
        <v>2978</v>
      </c>
      <c r="K5363" s="56">
        <v>3225</v>
      </c>
      <c r="L5363" s="55" t="s">
        <v>2152</v>
      </c>
      <c r="M5363" s="55" t="s">
        <v>2824</v>
      </c>
      <c r="N5363" s="4" t="s">
        <v>1905</v>
      </c>
      <c r="O5363" s="55" t="s">
        <v>178</v>
      </c>
    </row>
    <row r="5364" spans="2:15">
      <c r="B5364" s="20">
        <v>45751</v>
      </c>
      <c r="C5364" s="59">
        <v>50337814</v>
      </c>
      <c r="D5364" s="55" t="s">
        <v>669</v>
      </c>
      <c r="G5364" s="65">
        <v>264</v>
      </c>
      <c r="H5364" s="56" t="s">
        <v>80</v>
      </c>
      <c r="I5364" s="54">
        <v>8701151056</v>
      </c>
      <c r="J5364" s="56" t="s">
        <v>2978</v>
      </c>
      <c r="K5364" s="56">
        <v>3225</v>
      </c>
      <c r="L5364" s="55" t="s">
        <v>2152</v>
      </c>
      <c r="M5364" s="55" t="s">
        <v>2824</v>
      </c>
      <c r="N5364" s="4" t="s">
        <v>1905</v>
      </c>
      <c r="O5364" s="55" t="s">
        <v>178</v>
      </c>
    </row>
    <row r="5365" spans="2:15">
      <c r="B5365" s="20">
        <v>45751</v>
      </c>
      <c r="C5365" s="59">
        <v>40009151</v>
      </c>
      <c r="D5365" s="55" t="s">
        <v>180</v>
      </c>
      <c r="G5365" s="65">
        <v>250</v>
      </c>
      <c r="H5365" s="56" t="s">
        <v>80</v>
      </c>
      <c r="I5365" s="54">
        <v>8701151056</v>
      </c>
      <c r="J5365" s="56" t="s">
        <v>2978</v>
      </c>
      <c r="K5365" s="56">
        <v>3225</v>
      </c>
      <c r="L5365" s="55" t="s">
        <v>2152</v>
      </c>
      <c r="M5365" s="55" t="s">
        <v>2824</v>
      </c>
      <c r="N5365" s="4" t="s">
        <v>1905</v>
      </c>
      <c r="O5365" s="55" t="s">
        <v>178</v>
      </c>
    </row>
    <row r="5366" spans="2:15">
      <c r="B5366" s="20">
        <v>45752</v>
      </c>
      <c r="C5366" s="59">
        <v>50804970</v>
      </c>
      <c r="D5366" s="55" t="s">
        <v>857</v>
      </c>
      <c r="G5366" s="65">
        <v>9101500</v>
      </c>
      <c r="H5366" s="56" t="s">
        <v>92</v>
      </c>
      <c r="I5366" s="54">
        <v>8702298728</v>
      </c>
      <c r="J5366" s="56" t="s">
        <v>2978</v>
      </c>
      <c r="K5366" s="56">
        <v>3226</v>
      </c>
      <c r="L5366" s="55" t="s">
        <v>2601</v>
      </c>
      <c r="M5366" s="55" t="s">
        <v>2824</v>
      </c>
      <c r="N5366" s="4" t="s">
        <v>3025</v>
      </c>
      <c r="O5366" s="55" t="s">
        <v>178</v>
      </c>
    </row>
    <row r="5367" spans="2:15">
      <c r="B5367" s="20">
        <v>45752</v>
      </c>
      <c r="C5367" s="59">
        <v>50804971</v>
      </c>
      <c r="D5367" s="55" t="s">
        <v>855</v>
      </c>
      <c r="G5367" s="65">
        <v>144000</v>
      </c>
      <c r="H5367" s="56" t="s">
        <v>92</v>
      </c>
      <c r="I5367" s="54">
        <v>8702298728</v>
      </c>
      <c r="J5367" s="56" t="s">
        <v>2978</v>
      </c>
      <c r="K5367" s="56">
        <v>3226</v>
      </c>
      <c r="L5367" s="55" t="s">
        <v>2601</v>
      </c>
      <c r="M5367" s="55" t="s">
        <v>2824</v>
      </c>
      <c r="N5367" s="4" t="s">
        <v>3025</v>
      </c>
      <c r="O5367" s="55" t="s">
        <v>178</v>
      </c>
    </row>
    <row r="5368" spans="2:15">
      <c r="B5368" s="20">
        <v>45752</v>
      </c>
      <c r="C5368" s="59">
        <v>50804929</v>
      </c>
      <c r="D5368" s="55" t="s">
        <v>856</v>
      </c>
      <c r="G5368" s="65">
        <v>1200000</v>
      </c>
      <c r="H5368" s="56" t="s">
        <v>92</v>
      </c>
      <c r="I5368" s="54">
        <v>8702298728</v>
      </c>
      <c r="J5368" s="56" t="s">
        <v>2978</v>
      </c>
      <c r="K5368" s="56">
        <v>3226</v>
      </c>
      <c r="L5368" s="55" t="s">
        <v>2826</v>
      </c>
      <c r="M5368" s="55" t="s">
        <v>2824</v>
      </c>
      <c r="N5368" s="4" t="s">
        <v>3025</v>
      </c>
      <c r="O5368" s="55" t="s">
        <v>178</v>
      </c>
    </row>
    <row r="5369" spans="2:15">
      <c r="B5369" s="20">
        <v>45754</v>
      </c>
      <c r="C5369" s="59">
        <v>50470190</v>
      </c>
      <c r="D5369" s="55" t="s">
        <v>12</v>
      </c>
      <c r="G5369" s="65">
        <v>3477600</v>
      </c>
      <c r="H5369" s="56" t="s">
        <v>92</v>
      </c>
      <c r="I5369" s="54">
        <v>8702925351</v>
      </c>
      <c r="J5369" s="56" t="s">
        <v>2978</v>
      </c>
      <c r="K5369" s="56">
        <v>3227</v>
      </c>
      <c r="L5369" s="55" t="s">
        <v>2152</v>
      </c>
      <c r="M5369" s="55" t="s">
        <v>2824</v>
      </c>
      <c r="N5369" s="4" t="s">
        <v>1905</v>
      </c>
      <c r="O5369" s="55" t="s">
        <v>178</v>
      </c>
    </row>
    <row r="5370" spans="2:15">
      <c r="B5370" s="20">
        <v>45754</v>
      </c>
      <c r="C5370" s="59">
        <v>50842183</v>
      </c>
      <c r="D5370" s="55" t="s">
        <v>2202</v>
      </c>
      <c r="G5370" s="65">
        <v>1738800</v>
      </c>
      <c r="H5370" s="56" t="s">
        <v>92</v>
      </c>
      <c r="I5370" s="54">
        <v>8702925351</v>
      </c>
      <c r="J5370" s="56" t="s">
        <v>2978</v>
      </c>
      <c r="K5370" s="56">
        <v>3227</v>
      </c>
      <c r="L5370" s="55" t="s">
        <v>2152</v>
      </c>
      <c r="M5370" s="55" t="s">
        <v>2824</v>
      </c>
      <c r="N5370" s="4" t="s">
        <v>1905</v>
      </c>
      <c r="O5370" s="55" t="s">
        <v>178</v>
      </c>
    </row>
    <row r="5371" spans="2:15">
      <c r="B5371" s="20">
        <v>45754</v>
      </c>
      <c r="C5371" s="59">
        <v>50010080</v>
      </c>
      <c r="D5371" s="55" t="s">
        <v>1657</v>
      </c>
      <c r="G5371" s="65">
        <v>2200</v>
      </c>
      <c r="H5371" s="56" t="s">
        <v>82</v>
      </c>
      <c r="I5371" s="54">
        <v>8701925970</v>
      </c>
      <c r="J5371" s="56" t="s">
        <v>2978</v>
      </c>
      <c r="K5371" s="56">
        <v>3228</v>
      </c>
      <c r="L5371" s="55" t="s">
        <v>2152</v>
      </c>
      <c r="M5371" s="55" t="s">
        <v>2824</v>
      </c>
      <c r="N5371" s="4" t="s">
        <v>1905</v>
      </c>
      <c r="O5371" s="55" t="s">
        <v>178</v>
      </c>
    </row>
    <row r="5372" spans="2:15">
      <c r="B5372" s="20">
        <v>45754</v>
      </c>
      <c r="C5372" s="59">
        <v>50272278</v>
      </c>
      <c r="D5372" s="55" t="s">
        <v>21</v>
      </c>
      <c r="G5372" s="65">
        <v>8500</v>
      </c>
      <c r="H5372" s="56" t="s">
        <v>92</v>
      </c>
      <c r="I5372" s="54">
        <v>8701925970</v>
      </c>
      <c r="J5372" s="56" t="s">
        <v>2978</v>
      </c>
      <c r="K5372" s="56">
        <v>3228</v>
      </c>
      <c r="L5372" s="55" t="s">
        <v>2152</v>
      </c>
      <c r="M5372" s="55" t="s">
        <v>2824</v>
      </c>
      <c r="N5372" s="4" t="s">
        <v>1905</v>
      </c>
      <c r="O5372" s="55" t="s">
        <v>178</v>
      </c>
    </row>
    <row r="5373" spans="2:15">
      <c r="B5373" s="20">
        <v>45754</v>
      </c>
      <c r="C5373" s="59">
        <v>40004808</v>
      </c>
      <c r="D5373" s="55" t="s">
        <v>91</v>
      </c>
      <c r="G5373" s="65">
        <v>540</v>
      </c>
      <c r="H5373" s="56" t="s">
        <v>1248</v>
      </c>
      <c r="I5373" s="54">
        <v>8701925970</v>
      </c>
      <c r="J5373" s="56" t="s">
        <v>2978</v>
      </c>
      <c r="K5373" s="56">
        <v>3228</v>
      </c>
      <c r="L5373" s="55" t="s">
        <v>2152</v>
      </c>
      <c r="M5373" s="55" t="s">
        <v>2824</v>
      </c>
      <c r="N5373" s="4" t="s">
        <v>1905</v>
      </c>
      <c r="O5373" s="55" t="s">
        <v>178</v>
      </c>
    </row>
    <row r="5374" spans="2:15">
      <c r="B5374" s="20">
        <v>45754</v>
      </c>
      <c r="C5374" s="59">
        <v>50142327</v>
      </c>
      <c r="D5374" s="55" t="s">
        <v>256</v>
      </c>
      <c r="G5374" s="65">
        <v>476.7</v>
      </c>
      <c r="H5374" s="56" t="s">
        <v>82</v>
      </c>
      <c r="I5374" s="54">
        <v>8701925970</v>
      </c>
      <c r="J5374" s="56" t="s">
        <v>2978</v>
      </c>
      <c r="K5374" s="56">
        <v>3228</v>
      </c>
      <c r="L5374" s="55" t="s">
        <v>2152</v>
      </c>
      <c r="M5374" s="55" t="s">
        <v>2824</v>
      </c>
      <c r="N5374" s="4" t="s">
        <v>1905</v>
      </c>
      <c r="O5374" s="55" t="s">
        <v>178</v>
      </c>
    </row>
    <row r="5375" spans="2:15">
      <c r="B5375" s="20">
        <v>45754</v>
      </c>
      <c r="C5375" s="59">
        <v>50142334</v>
      </c>
      <c r="D5375" s="55" t="s">
        <v>257</v>
      </c>
      <c r="G5375" s="65">
        <v>476.7</v>
      </c>
      <c r="H5375" s="56" t="s">
        <v>82</v>
      </c>
      <c r="I5375" s="54">
        <v>8701925970</v>
      </c>
      <c r="J5375" s="56" t="s">
        <v>2978</v>
      </c>
      <c r="K5375" s="56">
        <v>3228</v>
      </c>
      <c r="L5375" s="55" t="s">
        <v>2152</v>
      </c>
      <c r="M5375" s="55" t="s">
        <v>2824</v>
      </c>
      <c r="N5375" s="4" t="s">
        <v>1905</v>
      </c>
      <c r="O5375" s="55" t="s">
        <v>178</v>
      </c>
    </row>
    <row r="5376" spans="2:15">
      <c r="B5376" s="20">
        <v>45755</v>
      </c>
      <c r="C5376" s="59">
        <v>50142330</v>
      </c>
      <c r="D5376" s="55" t="s">
        <v>195</v>
      </c>
      <c r="G5376" s="122">
        <v>360</v>
      </c>
      <c r="H5376" s="56" t="s">
        <v>82</v>
      </c>
      <c r="I5376" s="54">
        <v>8702298812</v>
      </c>
      <c r="J5376" s="56" t="s">
        <v>2978</v>
      </c>
      <c r="K5376" s="56">
        <v>3229</v>
      </c>
      <c r="L5376" s="55" t="s">
        <v>2152</v>
      </c>
      <c r="M5376" s="55" t="s">
        <v>2824</v>
      </c>
      <c r="N5376" s="4" t="s">
        <v>1905</v>
      </c>
      <c r="O5376" s="55" t="s">
        <v>178</v>
      </c>
    </row>
    <row r="5377" spans="2:15">
      <c r="B5377" s="20">
        <v>45755</v>
      </c>
      <c r="C5377" s="59">
        <v>50804929</v>
      </c>
      <c r="D5377" s="55" t="s">
        <v>856</v>
      </c>
      <c r="G5377" s="122">
        <v>880000</v>
      </c>
      <c r="H5377" s="56" t="s">
        <v>92</v>
      </c>
      <c r="I5377" s="54">
        <v>8702298812</v>
      </c>
      <c r="J5377" s="56" t="s">
        <v>2978</v>
      </c>
      <c r="K5377" s="56">
        <v>3229</v>
      </c>
      <c r="L5377" s="55" t="s">
        <v>2152</v>
      </c>
      <c r="M5377" s="55" t="s">
        <v>2824</v>
      </c>
      <c r="N5377" s="4" t="s">
        <v>1905</v>
      </c>
      <c r="O5377" s="55" t="s">
        <v>178</v>
      </c>
    </row>
    <row r="5378" spans="2:15">
      <c r="B5378" s="20">
        <v>45755</v>
      </c>
      <c r="C5378" s="59">
        <v>50272278</v>
      </c>
      <c r="D5378" s="55" t="s">
        <v>21</v>
      </c>
      <c r="G5378" s="122">
        <v>6000</v>
      </c>
      <c r="H5378" s="56" t="s">
        <v>92</v>
      </c>
      <c r="I5378" s="54">
        <v>8702298812</v>
      </c>
      <c r="J5378" s="56" t="s">
        <v>2978</v>
      </c>
      <c r="K5378" s="56">
        <v>3229</v>
      </c>
      <c r="L5378" s="55" t="s">
        <v>2152</v>
      </c>
      <c r="M5378" s="55" t="s">
        <v>2824</v>
      </c>
      <c r="N5378" s="4" t="s">
        <v>1905</v>
      </c>
      <c r="O5378" s="55" t="s">
        <v>178</v>
      </c>
    </row>
    <row r="5379" spans="2:15">
      <c r="B5379" s="20">
        <v>45755</v>
      </c>
      <c r="C5379" s="59">
        <v>50145187</v>
      </c>
      <c r="D5379" s="55" t="s">
        <v>465</v>
      </c>
      <c r="G5379" s="122">
        <v>1056000</v>
      </c>
      <c r="H5379" s="56" t="s">
        <v>92</v>
      </c>
      <c r="I5379" s="54">
        <v>8702298812</v>
      </c>
      <c r="J5379" s="56" t="s">
        <v>2978</v>
      </c>
      <c r="K5379" s="56">
        <v>3229</v>
      </c>
      <c r="L5379" s="55" t="s">
        <v>2152</v>
      </c>
      <c r="M5379" s="55" t="s">
        <v>2824</v>
      </c>
      <c r="N5379" s="4" t="s">
        <v>1905</v>
      </c>
      <c r="O5379" s="55" t="s">
        <v>178</v>
      </c>
    </row>
    <row r="5380" spans="2:15">
      <c r="B5380" s="20">
        <v>45755</v>
      </c>
      <c r="C5380" s="59">
        <v>50470190</v>
      </c>
      <c r="D5380" s="55" t="s">
        <v>12</v>
      </c>
      <c r="G5380" s="122">
        <v>289800</v>
      </c>
      <c r="H5380" s="123" t="s">
        <v>92</v>
      </c>
      <c r="I5380" s="54">
        <v>8702298812</v>
      </c>
      <c r="J5380" s="56" t="s">
        <v>2978</v>
      </c>
      <c r="K5380" s="56">
        <v>3229</v>
      </c>
      <c r="L5380" s="55" t="s">
        <v>2152</v>
      </c>
      <c r="M5380" s="55" t="s">
        <v>2824</v>
      </c>
      <c r="N5380" s="4" t="s">
        <v>1905</v>
      </c>
      <c r="O5380" s="55" t="s">
        <v>178</v>
      </c>
    </row>
    <row r="5381" spans="2:15">
      <c r="B5381" s="20">
        <v>45755</v>
      </c>
      <c r="C5381" s="59">
        <v>40014675</v>
      </c>
      <c r="D5381" s="55" t="s">
        <v>44</v>
      </c>
      <c r="G5381" s="65">
        <v>34.56</v>
      </c>
      <c r="H5381" s="56" t="s">
        <v>80</v>
      </c>
      <c r="I5381" s="54">
        <v>8702305024</v>
      </c>
      <c r="J5381" s="56" t="s">
        <v>2978</v>
      </c>
      <c r="K5381" s="56">
        <v>271</v>
      </c>
      <c r="L5381" s="55" t="s">
        <v>2004</v>
      </c>
      <c r="M5381" s="55" t="s">
        <v>2824</v>
      </c>
      <c r="N5381" s="4" t="s">
        <v>1275</v>
      </c>
      <c r="O5381" s="55" t="s">
        <v>178</v>
      </c>
    </row>
    <row r="5382" spans="2:15">
      <c r="B5382" s="20">
        <v>45755</v>
      </c>
      <c r="C5382" s="59">
        <v>40014675</v>
      </c>
      <c r="D5382" s="55" t="s">
        <v>44</v>
      </c>
      <c r="G5382" s="65">
        <v>34.56</v>
      </c>
      <c r="H5382" s="56" t="s">
        <v>80</v>
      </c>
      <c r="I5382" s="54">
        <v>8702305031</v>
      </c>
      <c r="J5382" s="56" t="s">
        <v>2978</v>
      </c>
      <c r="K5382" s="56">
        <v>272</v>
      </c>
      <c r="L5382" s="55" t="s">
        <v>2004</v>
      </c>
      <c r="M5382" s="55" t="s">
        <v>2824</v>
      </c>
      <c r="N5382" s="4" t="s">
        <v>2071</v>
      </c>
      <c r="O5382" s="55" t="s">
        <v>178</v>
      </c>
    </row>
    <row r="5383" spans="2:15">
      <c r="B5383" s="20">
        <v>45755</v>
      </c>
      <c r="C5383" s="59">
        <v>40014675</v>
      </c>
      <c r="D5383" s="55" t="s">
        <v>44</v>
      </c>
      <c r="G5383" s="65">
        <v>34.56</v>
      </c>
      <c r="H5383" s="56" t="s">
        <v>80</v>
      </c>
      <c r="I5383" s="54">
        <v>8702305055</v>
      </c>
      <c r="J5383" s="56" t="s">
        <v>2978</v>
      </c>
      <c r="K5383" s="56">
        <v>273</v>
      </c>
      <c r="L5383" s="55" t="s">
        <v>2004</v>
      </c>
      <c r="M5383" s="55" t="s">
        <v>2824</v>
      </c>
      <c r="N5383" s="4" t="s">
        <v>1275</v>
      </c>
      <c r="O5383" s="55" t="s">
        <v>178</v>
      </c>
    </row>
    <row r="5384" spans="2:15">
      <c r="B5384" s="20">
        <v>45756</v>
      </c>
      <c r="C5384" s="59">
        <v>40009546</v>
      </c>
      <c r="D5384" s="55" t="s">
        <v>174</v>
      </c>
      <c r="G5384" s="65">
        <v>949</v>
      </c>
      <c r="H5384" s="56" t="s">
        <v>80</v>
      </c>
      <c r="I5384" s="54">
        <v>8702711460</v>
      </c>
      <c r="J5384" s="56" t="s">
        <v>2978</v>
      </c>
      <c r="K5384" s="56">
        <v>3230</v>
      </c>
      <c r="L5384" s="55" t="s">
        <v>2152</v>
      </c>
      <c r="M5384" s="55" t="s">
        <v>2824</v>
      </c>
      <c r="N5384" s="4" t="s">
        <v>1905</v>
      </c>
      <c r="O5384" s="55" t="s">
        <v>178</v>
      </c>
    </row>
    <row r="5385" spans="2:15">
      <c r="B5385" s="20">
        <v>45756</v>
      </c>
      <c r="C5385" s="59">
        <v>50837284</v>
      </c>
      <c r="D5385" s="55" t="s">
        <v>28</v>
      </c>
      <c r="G5385" s="65">
        <v>4802.65</v>
      </c>
      <c r="H5385" s="56" t="s">
        <v>82</v>
      </c>
      <c r="I5385" s="54">
        <v>8702711460</v>
      </c>
      <c r="J5385" s="56" t="s">
        <v>2978</v>
      </c>
      <c r="K5385" s="56">
        <v>3230</v>
      </c>
      <c r="L5385" s="55" t="s">
        <v>2152</v>
      </c>
      <c r="M5385" s="55" t="s">
        <v>2824</v>
      </c>
      <c r="N5385" s="4" t="s">
        <v>1905</v>
      </c>
      <c r="O5385" s="55" t="s">
        <v>178</v>
      </c>
    </row>
    <row r="5386" spans="2:15">
      <c r="B5386" s="20">
        <v>45756</v>
      </c>
      <c r="C5386" s="59">
        <v>40004808</v>
      </c>
      <c r="D5386" s="55" t="s">
        <v>91</v>
      </c>
      <c r="G5386" s="65">
        <v>2160</v>
      </c>
      <c r="H5386" s="56" t="s">
        <v>1248</v>
      </c>
      <c r="I5386" s="54">
        <v>8702711460</v>
      </c>
      <c r="J5386" s="56" t="s">
        <v>2978</v>
      </c>
      <c r="K5386" s="56">
        <v>3230</v>
      </c>
      <c r="L5386" s="55" t="s">
        <v>2152</v>
      </c>
      <c r="M5386" s="55" t="s">
        <v>2824</v>
      </c>
      <c r="N5386" s="4" t="s">
        <v>1905</v>
      </c>
      <c r="O5386" s="55" t="s">
        <v>178</v>
      </c>
    </row>
    <row r="5387" spans="2:15">
      <c r="B5387" s="20">
        <v>45756</v>
      </c>
      <c r="C5387" s="59">
        <v>40011148</v>
      </c>
      <c r="D5387" s="55" t="s">
        <v>86</v>
      </c>
      <c r="G5387" s="65">
        <v>900</v>
      </c>
      <c r="H5387" s="56" t="s">
        <v>80</v>
      </c>
      <c r="I5387" s="54">
        <v>8702711460</v>
      </c>
      <c r="J5387" s="56" t="s">
        <v>2978</v>
      </c>
      <c r="K5387" s="56">
        <v>3230</v>
      </c>
      <c r="L5387" s="55" t="s">
        <v>2152</v>
      </c>
      <c r="M5387" s="55" t="s">
        <v>2824</v>
      </c>
      <c r="N5387" s="4" t="s">
        <v>1905</v>
      </c>
      <c r="O5387" s="55" t="s">
        <v>178</v>
      </c>
    </row>
    <row r="5388" spans="2:15">
      <c r="B5388" s="20">
        <v>45756</v>
      </c>
      <c r="C5388" s="59">
        <v>50470190</v>
      </c>
      <c r="D5388" s="55" t="s">
        <v>12</v>
      </c>
      <c r="G5388" s="65">
        <v>1159200</v>
      </c>
      <c r="H5388" s="56" t="s">
        <v>92</v>
      </c>
      <c r="I5388" s="54">
        <v>8702711460</v>
      </c>
      <c r="J5388" s="56" t="s">
        <v>2978</v>
      </c>
      <c r="K5388" s="56">
        <v>3230</v>
      </c>
      <c r="L5388" s="55" t="s">
        <v>2152</v>
      </c>
      <c r="M5388" s="55" t="s">
        <v>2824</v>
      </c>
      <c r="N5388" s="4" t="s">
        <v>1905</v>
      </c>
      <c r="O5388" s="55" t="s">
        <v>178</v>
      </c>
    </row>
    <row r="5389" spans="2:15">
      <c r="B5389" s="20">
        <v>45756</v>
      </c>
      <c r="C5389" s="59">
        <v>40014675</v>
      </c>
      <c r="D5389" s="55" t="s">
        <v>44</v>
      </c>
      <c r="G5389" s="65">
        <v>34.56</v>
      </c>
      <c r="H5389" s="56" t="s">
        <v>80</v>
      </c>
      <c r="I5389" s="54">
        <v>8702711496</v>
      </c>
      <c r="J5389" s="56" t="s">
        <v>2978</v>
      </c>
      <c r="K5389" s="56">
        <v>274</v>
      </c>
      <c r="L5389" s="55" t="s">
        <v>2004</v>
      </c>
      <c r="M5389" s="55" t="s">
        <v>2824</v>
      </c>
      <c r="N5389" s="4" t="s">
        <v>1275</v>
      </c>
      <c r="O5389" s="55" t="s">
        <v>178</v>
      </c>
    </row>
    <row r="5390" spans="2:15">
      <c r="B5390" s="20">
        <v>45756</v>
      </c>
      <c r="C5390" s="59">
        <v>40014675</v>
      </c>
      <c r="D5390" s="55" t="s">
        <v>44</v>
      </c>
      <c r="G5390" s="65">
        <v>34.56</v>
      </c>
      <c r="H5390" s="56" t="s">
        <v>80</v>
      </c>
      <c r="I5390" s="54">
        <v>8702711500</v>
      </c>
      <c r="J5390" s="56" t="s">
        <v>2978</v>
      </c>
      <c r="K5390" s="56">
        <v>275</v>
      </c>
      <c r="L5390" s="55" t="s">
        <v>2004</v>
      </c>
      <c r="M5390" s="55" t="s">
        <v>2824</v>
      </c>
      <c r="N5390" s="4" t="s">
        <v>1275</v>
      </c>
      <c r="O5390" s="55" t="s">
        <v>178</v>
      </c>
    </row>
    <row r="5391" spans="2:15">
      <c r="B5391" s="20">
        <v>45756</v>
      </c>
      <c r="C5391" s="59">
        <v>40014675</v>
      </c>
      <c r="D5391" s="55" t="s">
        <v>44</v>
      </c>
      <c r="G5391" s="65">
        <v>34.56</v>
      </c>
      <c r="H5391" s="56" t="s">
        <v>80</v>
      </c>
      <c r="I5391" s="54">
        <v>8702711566</v>
      </c>
      <c r="J5391" s="56" t="s">
        <v>2978</v>
      </c>
      <c r="K5391" s="56">
        <v>276</v>
      </c>
      <c r="L5391" s="55" t="s">
        <v>2004</v>
      </c>
      <c r="M5391" s="55" t="s">
        <v>2824</v>
      </c>
      <c r="N5391" s="4" t="s">
        <v>1275</v>
      </c>
      <c r="O5391" s="55" t="s">
        <v>178</v>
      </c>
    </row>
    <row r="5392" spans="2:15">
      <c r="B5392" s="20">
        <v>45756</v>
      </c>
      <c r="C5392" s="59">
        <v>40014675</v>
      </c>
      <c r="D5392" s="55" t="s">
        <v>44</v>
      </c>
      <c r="G5392" s="65">
        <v>34.56</v>
      </c>
      <c r="H5392" s="56" t="s">
        <v>80</v>
      </c>
      <c r="I5392" s="54">
        <v>8702711570</v>
      </c>
      <c r="J5392" s="56" t="s">
        <v>2978</v>
      </c>
      <c r="K5392" s="56">
        <v>277</v>
      </c>
      <c r="L5392" s="55" t="s">
        <v>2004</v>
      </c>
      <c r="M5392" s="55" t="s">
        <v>2824</v>
      </c>
      <c r="N5392" s="4" t="s">
        <v>1275</v>
      </c>
      <c r="O5392" s="55" t="s">
        <v>178</v>
      </c>
    </row>
    <row r="5393" spans="2:15">
      <c r="B5393" s="20">
        <v>45756</v>
      </c>
      <c r="C5393" s="59">
        <v>50142619</v>
      </c>
      <c r="D5393" s="55" t="s">
        <v>433</v>
      </c>
      <c r="G5393" s="65">
        <v>308</v>
      </c>
      <c r="H5393" s="56" t="s">
        <v>82</v>
      </c>
      <c r="I5393" s="54" t="s">
        <v>2874</v>
      </c>
      <c r="J5393" s="56" t="s">
        <v>2978</v>
      </c>
      <c r="K5393" s="56">
        <v>3231</v>
      </c>
      <c r="L5393" s="55" t="s">
        <v>2152</v>
      </c>
      <c r="M5393" s="55" t="s">
        <v>2824</v>
      </c>
      <c r="N5393" s="4" t="s">
        <v>1905</v>
      </c>
      <c r="O5393" s="55" t="s">
        <v>178</v>
      </c>
    </row>
    <row r="5394" spans="2:15">
      <c r="B5394" s="20">
        <v>45756</v>
      </c>
      <c r="C5394" s="59">
        <v>50142571</v>
      </c>
      <c r="D5394" s="55" t="s">
        <v>605</v>
      </c>
      <c r="G5394" s="65">
        <v>600</v>
      </c>
      <c r="H5394" s="56" t="s">
        <v>82</v>
      </c>
      <c r="I5394" s="54" t="s">
        <v>2874</v>
      </c>
      <c r="J5394" s="56" t="s">
        <v>2978</v>
      </c>
      <c r="K5394" s="56">
        <v>3231</v>
      </c>
      <c r="L5394" s="55" t="s">
        <v>2152</v>
      </c>
      <c r="M5394" s="55" t="s">
        <v>2824</v>
      </c>
      <c r="N5394" s="4" t="s">
        <v>1905</v>
      </c>
      <c r="O5394" s="55" t="s">
        <v>178</v>
      </c>
    </row>
    <row r="5395" spans="2:15">
      <c r="B5395" s="20">
        <v>45756</v>
      </c>
      <c r="C5395" s="59">
        <v>50470190</v>
      </c>
      <c r="D5395" s="55" t="s">
        <v>12</v>
      </c>
      <c r="G5395" s="65">
        <v>1159200</v>
      </c>
      <c r="H5395" s="123" t="s">
        <v>92</v>
      </c>
      <c r="I5395" s="54">
        <v>8702711462</v>
      </c>
      <c r="J5395" s="56" t="s">
        <v>2978</v>
      </c>
      <c r="K5395" s="56">
        <v>3231</v>
      </c>
      <c r="L5395" s="55" t="s">
        <v>2152</v>
      </c>
      <c r="M5395" s="55" t="s">
        <v>2824</v>
      </c>
      <c r="N5395" s="4" t="s">
        <v>1905</v>
      </c>
      <c r="O5395" s="55" t="s">
        <v>178</v>
      </c>
    </row>
    <row r="5396" spans="2:15">
      <c r="B5396" s="20">
        <v>45757</v>
      </c>
      <c r="C5396" s="59">
        <v>40014675</v>
      </c>
      <c r="D5396" s="55" t="s">
        <v>44</v>
      </c>
      <c r="G5396" s="65">
        <v>34.56</v>
      </c>
      <c r="H5396" s="56" t="s">
        <v>80</v>
      </c>
      <c r="I5396" s="54">
        <v>8703137148</v>
      </c>
      <c r="J5396" s="56" t="s">
        <v>2978</v>
      </c>
      <c r="K5396" s="56">
        <v>278</v>
      </c>
      <c r="L5396" s="55" t="s">
        <v>2004</v>
      </c>
      <c r="M5396" s="55" t="s">
        <v>2824</v>
      </c>
      <c r="N5396" s="4" t="s">
        <v>1275</v>
      </c>
      <c r="O5396" s="55" t="s">
        <v>178</v>
      </c>
    </row>
    <row r="5397" spans="2:15">
      <c r="B5397" s="20">
        <v>45757</v>
      </c>
      <c r="C5397" s="59">
        <v>40014675</v>
      </c>
      <c r="D5397" s="55" t="s">
        <v>44</v>
      </c>
      <c r="G5397" s="65">
        <v>34.56</v>
      </c>
      <c r="H5397" s="56" t="s">
        <v>80</v>
      </c>
      <c r="I5397" s="54">
        <v>8703137182</v>
      </c>
      <c r="J5397" s="56" t="s">
        <v>2978</v>
      </c>
      <c r="K5397" s="56">
        <v>279</v>
      </c>
      <c r="L5397" s="55" t="s">
        <v>2004</v>
      </c>
      <c r="M5397" s="55" t="s">
        <v>2824</v>
      </c>
      <c r="N5397" s="4" t="s">
        <v>1275</v>
      </c>
      <c r="O5397" s="55" t="s">
        <v>178</v>
      </c>
    </row>
    <row r="5398" spans="2:15">
      <c r="B5398" s="20">
        <v>45757</v>
      </c>
      <c r="C5398" s="59">
        <v>40014675</v>
      </c>
      <c r="D5398" s="55" t="s">
        <v>44</v>
      </c>
      <c r="G5398" s="65">
        <v>34.56</v>
      </c>
      <c r="H5398" s="56" t="s">
        <v>80</v>
      </c>
      <c r="I5398" s="54">
        <v>8701337200</v>
      </c>
      <c r="J5398" s="56" t="s">
        <v>2978</v>
      </c>
      <c r="K5398" s="56">
        <v>280</v>
      </c>
      <c r="L5398" s="55" t="s">
        <v>2004</v>
      </c>
      <c r="M5398" s="55" t="s">
        <v>2824</v>
      </c>
      <c r="N5398" s="4" t="s">
        <v>1275</v>
      </c>
      <c r="O5398" s="55" t="s">
        <v>178</v>
      </c>
    </row>
    <row r="5399" spans="2:15">
      <c r="B5399" s="20">
        <v>45757</v>
      </c>
      <c r="C5399" s="59">
        <v>40014675</v>
      </c>
      <c r="D5399" s="55" t="s">
        <v>44</v>
      </c>
      <c r="G5399" s="65">
        <v>34.56</v>
      </c>
      <c r="H5399" s="56" t="s">
        <v>80</v>
      </c>
      <c r="I5399" s="54">
        <v>8703137214</v>
      </c>
      <c r="J5399" s="56" t="s">
        <v>2978</v>
      </c>
      <c r="K5399" s="56">
        <v>281</v>
      </c>
      <c r="L5399" s="55" t="s">
        <v>2004</v>
      </c>
      <c r="M5399" s="55" t="s">
        <v>2824</v>
      </c>
      <c r="N5399" s="4" t="s">
        <v>1275</v>
      </c>
      <c r="O5399" s="55" t="s">
        <v>178</v>
      </c>
    </row>
    <row r="5400" spans="2:15">
      <c r="B5400" s="20">
        <v>45757</v>
      </c>
      <c r="C5400" s="59">
        <v>50272278</v>
      </c>
      <c r="D5400" s="69" t="s">
        <v>21</v>
      </c>
      <c r="G5400" s="65">
        <v>11000</v>
      </c>
      <c r="H5400" s="56" t="s">
        <v>92</v>
      </c>
      <c r="I5400" s="54">
        <v>8703135404</v>
      </c>
      <c r="J5400" s="56" t="s">
        <v>2978</v>
      </c>
      <c r="K5400" s="56">
        <v>3232</v>
      </c>
      <c r="L5400" s="55" t="s">
        <v>2152</v>
      </c>
      <c r="M5400" s="55" t="s">
        <v>2824</v>
      </c>
      <c r="N5400" s="4" t="s">
        <v>1905</v>
      </c>
      <c r="O5400" s="55" t="s">
        <v>178</v>
      </c>
    </row>
    <row r="5401" spans="2:15">
      <c r="B5401" s="20">
        <v>45757</v>
      </c>
      <c r="C5401" s="59">
        <v>50804929</v>
      </c>
      <c r="D5401" s="55" t="s">
        <v>856</v>
      </c>
      <c r="G5401" s="65">
        <v>1600000</v>
      </c>
      <c r="H5401" s="56" t="s">
        <v>92</v>
      </c>
      <c r="I5401" s="54">
        <v>8703137577</v>
      </c>
      <c r="J5401" s="56" t="s">
        <v>2978</v>
      </c>
      <c r="K5401" s="56">
        <v>3233</v>
      </c>
      <c r="L5401" s="55" t="s">
        <v>2152</v>
      </c>
      <c r="M5401" s="55" t="s">
        <v>2824</v>
      </c>
      <c r="N5401" s="4" t="s">
        <v>1905</v>
      </c>
      <c r="O5401" s="55" t="s">
        <v>178</v>
      </c>
    </row>
    <row r="5402" spans="2:15">
      <c r="B5402" s="20">
        <v>45757</v>
      </c>
      <c r="C5402" s="59">
        <v>50821962</v>
      </c>
      <c r="D5402" s="55" t="s">
        <v>2020</v>
      </c>
      <c r="G5402" s="65">
        <v>510.05</v>
      </c>
      <c r="H5402" s="56" t="s">
        <v>82</v>
      </c>
      <c r="I5402" s="54">
        <v>8703137577</v>
      </c>
      <c r="J5402" s="56" t="s">
        <v>2978</v>
      </c>
      <c r="K5402" s="56">
        <v>3233</v>
      </c>
      <c r="L5402" s="55" t="s">
        <v>2152</v>
      </c>
      <c r="M5402" s="55" t="s">
        <v>2824</v>
      </c>
      <c r="N5402" s="4" t="s">
        <v>1905</v>
      </c>
      <c r="O5402" s="55" t="s">
        <v>178</v>
      </c>
    </row>
    <row r="5403" spans="2:15">
      <c r="B5403" s="20">
        <v>45757</v>
      </c>
      <c r="C5403" s="59">
        <v>50145187</v>
      </c>
      <c r="D5403" s="55" t="s">
        <v>465</v>
      </c>
      <c r="G5403" s="65">
        <v>1056000</v>
      </c>
      <c r="H5403" s="56" t="s">
        <v>92</v>
      </c>
      <c r="I5403" s="54">
        <v>8703137577</v>
      </c>
      <c r="J5403" s="56" t="s">
        <v>2978</v>
      </c>
      <c r="K5403" s="56">
        <v>3233</v>
      </c>
      <c r="L5403" s="55" t="s">
        <v>2152</v>
      </c>
      <c r="M5403" s="55" t="s">
        <v>2824</v>
      </c>
      <c r="N5403" s="4" t="s">
        <v>1905</v>
      </c>
      <c r="O5403" s="55" t="s">
        <v>178</v>
      </c>
    </row>
    <row r="5404" spans="2:15">
      <c r="B5404" s="20">
        <v>45757</v>
      </c>
      <c r="C5404" s="59">
        <v>50470190</v>
      </c>
      <c r="D5404" s="55" t="s">
        <v>12</v>
      </c>
      <c r="G5404" s="65">
        <v>2318400</v>
      </c>
      <c r="H5404" s="56" t="s">
        <v>92</v>
      </c>
      <c r="I5404" s="54">
        <v>8703137577</v>
      </c>
      <c r="J5404" s="56" t="s">
        <v>2978</v>
      </c>
      <c r="K5404" s="56">
        <v>3233</v>
      </c>
      <c r="L5404" s="55" t="s">
        <v>2152</v>
      </c>
      <c r="M5404" s="55" t="s">
        <v>2824</v>
      </c>
      <c r="N5404" s="4" t="s">
        <v>1905</v>
      </c>
      <c r="O5404" s="55" t="s">
        <v>178</v>
      </c>
    </row>
    <row r="5405" spans="2:15">
      <c r="B5405" s="20">
        <v>45758</v>
      </c>
      <c r="C5405" s="59">
        <v>50272278</v>
      </c>
      <c r="D5405" s="55" t="s">
        <v>21</v>
      </c>
      <c r="G5405" s="65">
        <v>11000</v>
      </c>
      <c r="H5405" s="56" t="s">
        <v>92</v>
      </c>
      <c r="I5405" s="54">
        <v>8703556647</v>
      </c>
      <c r="J5405" s="56" t="s">
        <v>2978</v>
      </c>
      <c r="K5405" s="56">
        <v>3234</v>
      </c>
      <c r="L5405" s="55" t="s">
        <v>2152</v>
      </c>
      <c r="M5405" s="55" t="s">
        <v>2824</v>
      </c>
      <c r="N5405" s="4" t="s">
        <v>1905</v>
      </c>
      <c r="O5405" s="55" t="s">
        <v>178</v>
      </c>
    </row>
    <row r="5406" spans="2:15">
      <c r="B5406" s="20">
        <v>45758</v>
      </c>
      <c r="C5406" s="59">
        <v>50392046</v>
      </c>
      <c r="D5406" s="55" t="s">
        <v>509</v>
      </c>
      <c r="G5406" s="65">
        <v>18</v>
      </c>
      <c r="H5406" s="56" t="s">
        <v>92</v>
      </c>
      <c r="I5406" s="54">
        <v>8703556647</v>
      </c>
      <c r="J5406" s="56" t="s">
        <v>2978</v>
      </c>
      <c r="K5406" s="56">
        <v>3234</v>
      </c>
      <c r="L5406" s="55" t="s">
        <v>2152</v>
      </c>
      <c r="M5406" s="55" t="s">
        <v>2824</v>
      </c>
      <c r="N5406" s="4" t="s">
        <v>1905</v>
      </c>
      <c r="O5406" s="55" t="s">
        <v>178</v>
      </c>
    </row>
    <row r="5407" spans="2:15">
      <c r="B5407" s="20">
        <v>45758</v>
      </c>
      <c r="C5407" s="59">
        <v>40014675</v>
      </c>
      <c r="D5407" s="55" t="s">
        <v>44</v>
      </c>
      <c r="F5407" s="67">
        <v>34.56</v>
      </c>
      <c r="G5407" s="65">
        <v>34.56</v>
      </c>
      <c r="H5407" s="56" t="s">
        <v>80</v>
      </c>
      <c r="I5407" s="54">
        <v>8703556651</v>
      </c>
      <c r="J5407" s="56" t="s">
        <v>2978</v>
      </c>
      <c r="K5407" s="56">
        <v>282</v>
      </c>
      <c r="L5407" s="55" t="s">
        <v>2004</v>
      </c>
      <c r="M5407" s="55" t="s">
        <v>2824</v>
      </c>
      <c r="N5407" s="4" t="s">
        <v>1275</v>
      </c>
      <c r="O5407" s="55" t="s">
        <v>178</v>
      </c>
    </row>
    <row r="5408" spans="2:15">
      <c r="B5408" s="20">
        <v>45758</v>
      </c>
      <c r="C5408" s="59">
        <v>40014675</v>
      </c>
      <c r="D5408" s="55" t="s">
        <v>44</v>
      </c>
      <c r="F5408" s="67">
        <v>34.56</v>
      </c>
      <c r="G5408" s="65">
        <v>34.56</v>
      </c>
      <c r="H5408" s="56" t="s">
        <v>80</v>
      </c>
      <c r="I5408" s="54">
        <v>8703556705</v>
      </c>
      <c r="J5408" s="56" t="s">
        <v>2978</v>
      </c>
      <c r="K5408" s="56">
        <v>283</v>
      </c>
      <c r="L5408" s="55" t="s">
        <v>2004</v>
      </c>
      <c r="M5408" s="55" t="s">
        <v>2824</v>
      </c>
      <c r="N5408" s="4" t="s">
        <v>1275</v>
      </c>
      <c r="O5408" s="55" t="s">
        <v>178</v>
      </c>
    </row>
    <row r="5409" spans="2:15">
      <c r="B5409" s="20">
        <v>45758</v>
      </c>
      <c r="C5409" s="59">
        <v>40014675</v>
      </c>
      <c r="D5409" s="55" t="s">
        <v>44</v>
      </c>
      <c r="F5409" s="67">
        <v>34.56</v>
      </c>
      <c r="G5409" s="65">
        <v>34.56</v>
      </c>
      <c r="H5409" s="56" t="s">
        <v>80</v>
      </c>
      <c r="I5409" s="54">
        <v>8703556706</v>
      </c>
      <c r="J5409" s="56" t="s">
        <v>2978</v>
      </c>
      <c r="K5409" s="56">
        <v>284</v>
      </c>
      <c r="L5409" s="55" t="s">
        <v>2004</v>
      </c>
      <c r="M5409" s="55" t="s">
        <v>2824</v>
      </c>
      <c r="N5409" s="4" t="s">
        <v>1275</v>
      </c>
      <c r="O5409" s="55" t="s">
        <v>178</v>
      </c>
    </row>
    <row r="5410" spans="2:15">
      <c r="B5410" s="20">
        <v>45758</v>
      </c>
      <c r="C5410" s="59">
        <v>40014675</v>
      </c>
      <c r="D5410" s="55" t="s">
        <v>44</v>
      </c>
      <c r="F5410" s="67">
        <v>34.56</v>
      </c>
      <c r="G5410" s="65">
        <v>34.56</v>
      </c>
      <c r="H5410" s="56" t="s">
        <v>80</v>
      </c>
      <c r="I5410" s="54">
        <v>8703556840</v>
      </c>
      <c r="J5410" s="56" t="s">
        <v>2978</v>
      </c>
      <c r="K5410" s="56">
        <v>285</v>
      </c>
      <c r="L5410" s="55" t="s">
        <v>2004</v>
      </c>
      <c r="M5410" s="55" t="s">
        <v>2824</v>
      </c>
      <c r="N5410" s="4" t="s">
        <v>1275</v>
      </c>
      <c r="O5410" s="55" t="s">
        <v>178</v>
      </c>
    </row>
    <row r="5411" spans="2:15">
      <c r="B5411" s="20">
        <v>45759</v>
      </c>
      <c r="C5411" s="59">
        <v>50010080</v>
      </c>
      <c r="D5411" s="55" t="s">
        <v>1657</v>
      </c>
      <c r="G5411" s="65">
        <v>6600</v>
      </c>
      <c r="H5411" s="56" t="s">
        <v>82</v>
      </c>
      <c r="I5411" s="54">
        <v>8703973329</v>
      </c>
      <c r="J5411" s="56" t="s">
        <v>2978</v>
      </c>
      <c r="K5411" s="56">
        <v>3235</v>
      </c>
      <c r="L5411" s="55" t="s">
        <v>2152</v>
      </c>
      <c r="M5411" s="55" t="s">
        <v>2824</v>
      </c>
      <c r="N5411" s="4" t="s">
        <v>1905</v>
      </c>
      <c r="O5411" s="55" t="s">
        <v>178</v>
      </c>
    </row>
    <row r="5412" spans="2:15">
      <c r="B5412" s="20">
        <v>45759</v>
      </c>
      <c r="C5412" s="59">
        <v>50470190</v>
      </c>
      <c r="D5412" s="66" t="s">
        <v>12</v>
      </c>
      <c r="G5412" s="122">
        <v>4057200</v>
      </c>
      <c r="H5412" s="56" t="s">
        <v>92</v>
      </c>
      <c r="I5412" s="54">
        <v>8703973329</v>
      </c>
      <c r="J5412" s="56" t="s">
        <v>2978</v>
      </c>
      <c r="K5412" s="56">
        <v>3235</v>
      </c>
      <c r="L5412" s="55" t="s">
        <v>2152</v>
      </c>
      <c r="M5412" s="55" t="s">
        <v>2824</v>
      </c>
      <c r="N5412" s="4" t="s">
        <v>1905</v>
      </c>
      <c r="O5412" s="55" t="s">
        <v>178</v>
      </c>
    </row>
    <row r="5413" spans="2:15">
      <c r="B5413" s="20">
        <v>45759</v>
      </c>
      <c r="C5413" s="59">
        <v>40014675</v>
      </c>
      <c r="D5413" s="55" t="s">
        <v>44</v>
      </c>
      <c r="F5413" s="67">
        <v>34.56</v>
      </c>
      <c r="G5413" s="65">
        <v>34.56</v>
      </c>
      <c r="H5413" s="56" t="s">
        <v>80</v>
      </c>
      <c r="I5413" s="54">
        <v>8703923331</v>
      </c>
      <c r="J5413" s="56" t="s">
        <v>2978</v>
      </c>
      <c r="K5413" s="56">
        <v>286</v>
      </c>
      <c r="L5413" s="55" t="s">
        <v>2004</v>
      </c>
      <c r="M5413" s="55" t="s">
        <v>2824</v>
      </c>
      <c r="N5413" s="4" t="s">
        <v>1275</v>
      </c>
      <c r="O5413" s="55" t="s">
        <v>178</v>
      </c>
    </row>
    <row r="5414" spans="2:15">
      <c r="B5414" s="20">
        <v>45759</v>
      </c>
      <c r="C5414" s="59">
        <v>40014675</v>
      </c>
      <c r="D5414" s="55" t="s">
        <v>44</v>
      </c>
      <c r="F5414" s="67">
        <v>34.56</v>
      </c>
      <c r="G5414" s="65">
        <v>34.56</v>
      </c>
      <c r="H5414" s="56" t="s">
        <v>80</v>
      </c>
      <c r="I5414" s="54">
        <v>8703973332</v>
      </c>
      <c r="J5414" s="56" t="s">
        <v>2978</v>
      </c>
      <c r="K5414" s="56">
        <v>287</v>
      </c>
      <c r="L5414" s="55" t="s">
        <v>2004</v>
      </c>
      <c r="M5414" s="55" t="s">
        <v>2824</v>
      </c>
      <c r="N5414" s="4" t="s">
        <v>1275</v>
      </c>
      <c r="O5414" s="55" t="s">
        <v>178</v>
      </c>
    </row>
    <row r="5415" spans="2:15">
      <c r="B5415" s="20">
        <v>45759</v>
      </c>
      <c r="C5415" s="59">
        <v>40014675</v>
      </c>
      <c r="D5415" s="55" t="s">
        <v>44</v>
      </c>
      <c r="F5415" s="67">
        <v>34.56</v>
      </c>
      <c r="G5415" s="65">
        <v>34.56</v>
      </c>
      <c r="H5415" s="56" t="s">
        <v>80</v>
      </c>
      <c r="I5415" s="54">
        <v>8703973333</v>
      </c>
      <c r="J5415" s="56" t="s">
        <v>2978</v>
      </c>
      <c r="K5415" s="56">
        <v>288</v>
      </c>
      <c r="L5415" s="55" t="s">
        <v>2004</v>
      </c>
      <c r="M5415" s="55" t="s">
        <v>2824</v>
      </c>
      <c r="N5415" s="4" t="s">
        <v>1275</v>
      </c>
      <c r="O5415" s="55" t="s">
        <v>178</v>
      </c>
    </row>
    <row r="5416" spans="2:15">
      <c r="B5416" s="20">
        <v>45759</v>
      </c>
      <c r="C5416" s="59">
        <v>40014675</v>
      </c>
      <c r="D5416" s="55" t="s">
        <v>44</v>
      </c>
      <c r="F5416" s="67">
        <v>34.56</v>
      </c>
      <c r="G5416" s="65">
        <v>34.56</v>
      </c>
      <c r="H5416" s="56" t="s">
        <v>80</v>
      </c>
      <c r="I5416" s="54">
        <v>8703973347</v>
      </c>
      <c r="J5416" s="56" t="s">
        <v>2978</v>
      </c>
      <c r="K5416" s="56">
        <v>289</v>
      </c>
      <c r="L5416" s="55" t="s">
        <v>2004</v>
      </c>
      <c r="M5416" s="55" t="s">
        <v>2824</v>
      </c>
      <c r="N5416" s="4" t="s">
        <v>1275</v>
      </c>
      <c r="O5416" s="55" t="s">
        <v>178</v>
      </c>
    </row>
    <row r="5417" spans="2:15">
      <c r="B5417" s="20">
        <v>45702</v>
      </c>
      <c r="C5417" s="59">
        <v>50837237</v>
      </c>
      <c r="D5417" s="55" t="s">
        <v>1747</v>
      </c>
      <c r="G5417" s="65">
        <v>3003.85</v>
      </c>
      <c r="H5417" s="56" t="s">
        <v>82</v>
      </c>
      <c r="I5417" s="54">
        <v>8704355335</v>
      </c>
      <c r="J5417" s="56" t="s">
        <v>2978</v>
      </c>
      <c r="K5417" s="56">
        <v>3236</v>
      </c>
      <c r="L5417" s="55" t="s">
        <v>2152</v>
      </c>
      <c r="M5417" s="55" t="s">
        <v>2824</v>
      </c>
      <c r="N5417" s="4" t="s">
        <v>1905</v>
      </c>
      <c r="O5417" s="55" t="s">
        <v>178</v>
      </c>
    </row>
    <row r="5418" spans="2:15">
      <c r="B5418" s="20">
        <v>45702</v>
      </c>
      <c r="C5418" s="59">
        <v>50144376</v>
      </c>
      <c r="D5418" s="55" t="s">
        <v>19</v>
      </c>
      <c r="G5418" s="65">
        <v>4000</v>
      </c>
      <c r="H5418" s="56" t="s">
        <v>92</v>
      </c>
      <c r="I5418" s="54">
        <v>8704355335</v>
      </c>
      <c r="J5418" s="56" t="s">
        <v>2978</v>
      </c>
      <c r="K5418" s="56">
        <v>3236</v>
      </c>
      <c r="L5418" s="55" t="s">
        <v>2152</v>
      </c>
      <c r="M5418" s="55" t="s">
        <v>2824</v>
      </c>
      <c r="N5418" s="4" t="s">
        <v>1905</v>
      </c>
      <c r="O5418" s="55" t="s">
        <v>178</v>
      </c>
    </row>
    <row r="5419" spans="2:15">
      <c r="B5419" s="20">
        <v>45702</v>
      </c>
      <c r="C5419" s="59">
        <v>50272278</v>
      </c>
      <c r="D5419" s="55" t="s">
        <v>21</v>
      </c>
      <c r="G5419" s="65">
        <v>4000</v>
      </c>
      <c r="H5419" s="56" t="s">
        <v>92</v>
      </c>
      <c r="I5419" s="54">
        <v>8704355335</v>
      </c>
      <c r="J5419" s="56" t="s">
        <v>2978</v>
      </c>
      <c r="K5419" s="56">
        <v>3236</v>
      </c>
      <c r="L5419" s="55" t="s">
        <v>2152</v>
      </c>
      <c r="M5419" s="55" t="s">
        <v>2824</v>
      </c>
      <c r="N5419" s="4" t="s">
        <v>1905</v>
      </c>
      <c r="O5419" s="55" t="s">
        <v>178</v>
      </c>
    </row>
    <row r="5420" spans="2:15">
      <c r="B5420" s="20">
        <v>45702</v>
      </c>
      <c r="C5420" s="59">
        <v>50842176</v>
      </c>
      <c r="D5420" s="55" t="s">
        <v>2207</v>
      </c>
      <c r="G5420" s="65">
        <v>2959</v>
      </c>
      <c r="H5420" s="56" t="s">
        <v>82</v>
      </c>
      <c r="I5420" s="54" t="s">
        <v>2874</v>
      </c>
      <c r="J5420" s="56" t="s">
        <v>2978</v>
      </c>
      <c r="K5420" s="56">
        <v>3237</v>
      </c>
      <c r="L5420" s="55" t="s">
        <v>2152</v>
      </c>
      <c r="M5420" s="55" t="s">
        <v>2824</v>
      </c>
      <c r="N5420" s="4" t="s">
        <v>1905</v>
      </c>
      <c r="O5420" s="55" t="s">
        <v>178</v>
      </c>
    </row>
    <row r="5421" spans="2:15">
      <c r="B5421" s="20">
        <v>45702</v>
      </c>
      <c r="C5421" s="59">
        <v>50842183</v>
      </c>
      <c r="D5421" s="55" t="s">
        <v>2202</v>
      </c>
      <c r="G5421" s="65">
        <v>4057200</v>
      </c>
      <c r="H5421" s="56" t="s">
        <v>92</v>
      </c>
      <c r="I5421" s="54">
        <v>8706647920</v>
      </c>
      <c r="J5421" s="56" t="s">
        <v>2978</v>
      </c>
      <c r="K5421" s="56">
        <v>3237</v>
      </c>
      <c r="L5421" s="55" t="s">
        <v>2152</v>
      </c>
      <c r="M5421" s="55" t="s">
        <v>2824</v>
      </c>
      <c r="N5421" s="4" t="s">
        <v>1905</v>
      </c>
      <c r="O5421" s="55" t="s">
        <v>178</v>
      </c>
    </row>
    <row r="5422" spans="2:15">
      <c r="B5422" s="20">
        <v>45762</v>
      </c>
      <c r="C5422" s="59">
        <v>50272278</v>
      </c>
      <c r="D5422" s="55" t="s">
        <v>21</v>
      </c>
      <c r="G5422" s="65">
        <v>3500</v>
      </c>
      <c r="H5422" s="56" t="s">
        <v>92</v>
      </c>
      <c r="I5422" s="54">
        <v>870521463</v>
      </c>
      <c r="J5422" s="56" t="s">
        <v>2978</v>
      </c>
      <c r="K5422" s="56">
        <v>3238</v>
      </c>
      <c r="L5422" s="55" t="s">
        <v>2152</v>
      </c>
      <c r="M5422" s="55" t="s">
        <v>2824</v>
      </c>
      <c r="N5422" s="4" t="s">
        <v>1905</v>
      </c>
      <c r="O5422" s="55" t="s">
        <v>178</v>
      </c>
    </row>
    <row r="5423" spans="2:15">
      <c r="B5423" s="20">
        <v>45762</v>
      </c>
      <c r="C5423" s="59">
        <v>50470190</v>
      </c>
      <c r="D5423" s="55" t="s">
        <v>12</v>
      </c>
      <c r="G5423" s="65">
        <v>2318400</v>
      </c>
      <c r="H5423" s="56" t="s">
        <v>92</v>
      </c>
      <c r="I5423" s="54">
        <v>8704783019</v>
      </c>
      <c r="J5423" s="56" t="s">
        <v>2978</v>
      </c>
      <c r="K5423" s="56">
        <v>3238</v>
      </c>
      <c r="L5423" s="55" t="s">
        <v>2152</v>
      </c>
      <c r="M5423" s="55" t="s">
        <v>2824</v>
      </c>
      <c r="N5423" s="4" t="s">
        <v>1905</v>
      </c>
      <c r="O5423" s="55" t="s">
        <v>178</v>
      </c>
    </row>
    <row r="5424" spans="2:15">
      <c r="B5424" s="20">
        <v>45762</v>
      </c>
      <c r="C5424" s="59">
        <v>50142350</v>
      </c>
      <c r="D5424" s="55" t="s">
        <v>212</v>
      </c>
      <c r="G5424" s="65">
        <v>283.5</v>
      </c>
      <c r="H5424" s="56" t="s">
        <v>82</v>
      </c>
      <c r="I5424" s="54">
        <v>8704783019</v>
      </c>
      <c r="J5424" s="56" t="s">
        <v>2978</v>
      </c>
      <c r="K5424" s="56">
        <v>3238</v>
      </c>
      <c r="L5424" s="55" t="s">
        <v>2152</v>
      </c>
      <c r="M5424" s="55" t="s">
        <v>2824</v>
      </c>
      <c r="N5424" s="4" t="s">
        <v>1905</v>
      </c>
      <c r="O5424" s="55" t="s">
        <v>178</v>
      </c>
    </row>
    <row r="5425" spans="2:15">
      <c r="B5425" s="20">
        <v>45762</v>
      </c>
      <c r="C5425" s="59">
        <v>50142327</v>
      </c>
      <c r="D5425" s="55" t="s">
        <v>256</v>
      </c>
      <c r="G5425" s="65">
        <v>953.4</v>
      </c>
      <c r="H5425" s="56" t="s">
        <v>82</v>
      </c>
      <c r="I5425" s="54">
        <v>8704783019</v>
      </c>
      <c r="J5425" s="56" t="s">
        <v>2978</v>
      </c>
      <c r="K5425" s="56">
        <v>3238</v>
      </c>
      <c r="L5425" s="55" t="s">
        <v>2152</v>
      </c>
      <c r="M5425" s="55" t="s">
        <v>2824</v>
      </c>
      <c r="N5425" s="4" t="s">
        <v>1905</v>
      </c>
      <c r="O5425" s="55" t="s">
        <v>178</v>
      </c>
    </row>
    <row r="5426" spans="2:15">
      <c r="B5426" s="20">
        <v>45762</v>
      </c>
      <c r="C5426" s="59">
        <v>50142334</v>
      </c>
      <c r="D5426" s="55" t="s">
        <v>257</v>
      </c>
      <c r="G5426" s="65">
        <v>953.4</v>
      </c>
      <c r="H5426" s="56" t="s">
        <v>82</v>
      </c>
      <c r="I5426" s="54">
        <v>8704783019</v>
      </c>
      <c r="J5426" s="56" t="s">
        <v>2978</v>
      </c>
      <c r="K5426" s="56">
        <v>3238</v>
      </c>
      <c r="L5426" s="55" t="s">
        <v>2152</v>
      </c>
      <c r="M5426" s="55" t="s">
        <v>2824</v>
      </c>
      <c r="N5426" s="4" t="s">
        <v>1905</v>
      </c>
      <c r="O5426" s="55" t="s">
        <v>178</v>
      </c>
    </row>
    <row r="5427" spans="2:15">
      <c r="B5427" s="20">
        <v>45763</v>
      </c>
      <c r="C5427" s="59">
        <v>50144376</v>
      </c>
      <c r="D5427" s="55" t="s">
        <v>19</v>
      </c>
      <c r="G5427" s="65">
        <v>5500</v>
      </c>
      <c r="H5427" s="56" t="s">
        <v>92</v>
      </c>
      <c r="I5427" s="54">
        <v>8705212497</v>
      </c>
      <c r="J5427" s="56" t="s">
        <v>2978</v>
      </c>
      <c r="K5427" s="56">
        <v>3239</v>
      </c>
      <c r="L5427" s="55" t="s">
        <v>2152</v>
      </c>
      <c r="M5427" s="55" t="s">
        <v>2824</v>
      </c>
      <c r="N5427" s="4" t="s">
        <v>1905</v>
      </c>
      <c r="O5427" s="55" t="s">
        <v>178</v>
      </c>
    </row>
    <row r="5428" spans="2:15">
      <c r="B5428" s="20">
        <v>45763</v>
      </c>
      <c r="C5428" s="59">
        <v>50272278</v>
      </c>
      <c r="D5428" s="55" t="s">
        <v>21</v>
      </c>
      <c r="G5428" s="65">
        <v>5500</v>
      </c>
      <c r="H5428" s="56" t="s">
        <v>92</v>
      </c>
      <c r="I5428" s="54">
        <v>8705212497</v>
      </c>
      <c r="J5428" s="56" t="s">
        <v>2978</v>
      </c>
      <c r="K5428" s="56">
        <v>3239</v>
      </c>
      <c r="L5428" s="55" t="s">
        <v>2152</v>
      </c>
      <c r="M5428" s="55" t="s">
        <v>2824</v>
      </c>
      <c r="N5428" s="4" t="s">
        <v>1905</v>
      </c>
      <c r="O5428" s="55" t="s">
        <v>178</v>
      </c>
    </row>
    <row r="5429" spans="2:15">
      <c r="B5429" s="20">
        <v>45763</v>
      </c>
      <c r="C5429" s="59">
        <v>50142328</v>
      </c>
      <c r="D5429" s="55" t="s">
        <v>1591</v>
      </c>
      <c r="G5429" s="65">
        <v>2000</v>
      </c>
      <c r="H5429" s="56" t="s">
        <v>82</v>
      </c>
      <c r="I5429" s="54">
        <v>8705212591</v>
      </c>
      <c r="J5429" s="56" t="s">
        <v>2978</v>
      </c>
      <c r="K5429" s="56">
        <v>3240</v>
      </c>
      <c r="L5429" s="55" t="s">
        <v>2152</v>
      </c>
      <c r="M5429" s="55" t="s">
        <v>2824</v>
      </c>
      <c r="N5429" s="4" t="s">
        <v>1905</v>
      </c>
      <c r="O5429" s="55" t="s">
        <v>178</v>
      </c>
    </row>
    <row r="5430" spans="2:15">
      <c r="B5430" s="20">
        <v>45763</v>
      </c>
      <c r="C5430" s="59">
        <v>50143893</v>
      </c>
      <c r="D5430" s="55" t="s">
        <v>24</v>
      </c>
      <c r="G5430" s="65">
        <v>594</v>
      </c>
      <c r="H5430" s="56" t="s">
        <v>82</v>
      </c>
      <c r="I5430" s="54">
        <v>8705212591</v>
      </c>
      <c r="J5430" s="56" t="s">
        <v>2978</v>
      </c>
      <c r="K5430" s="56">
        <v>3240</v>
      </c>
      <c r="L5430" s="55" t="s">
        <v>2152</v>
      </c>
      <c r="M5430" s="55" t="s">
        <v>2824</v>
      </c>
      <c r="N5430" s="4" t="s">
        <v>1905</v>
      </c>
      <c r="O5430" s="55" t="s">
        <v>178</v>
      </c>
    </row>
    <row r="5431" spans="2:15">
      <c r="B5431" s="20">
        <v>45763</v>
      </c>
      <c r="C5431" s="59">
        <v>50144376</v>
      </c>
      <c r="D5431" s="55" t="s">
        <v>19</v>
      </c>
      <c r="G5431" s="65">
        <v>6500</v>
      </c>
      <c r="H5431" s="56" t="s">
        <v>92</v>
      </c>
      <c r="I5431" s="54">
        <v>8705212591</v>
      </c>
      <c r="J5431" s="56" t="s">
        <v>2978</v>
      </c>
      <c r="K5431" s="56">
        <v>3240</v>
      </c>
      <c r="L5431" s="55" t="s">
        <v>2152</v>
      </c>
      <c r="M5431" s="55" t="s">
        <v>2824</v>
      </c>
      <c r="N5431" s="4" t="s">
        <v>1905</v>
      </c>
      <c r="O5431" s="55" t="s">
        <v>178</v>
      </c>
    </row>
    <row r="5432" spans="2:15">
      <c r="B5432" s="20">
        <v>45763</v>
      </c>
      <c r="C5432" s="59">
        <v>20016059</v>
      </c>
      <c r="D5432" s="55" t="s">
        <v>1498</v>
      </c>
      <c r="G5432" s="65">
        <v>200</v>
      </c>
      <c r="H5432" s="56" t="s">
        <v>92</v>
      </c>
      <c r="I5432" s="54">
        <v>8705212591</v>
      </c>
      <c r="J5432" s="56" t="s">
        <v>2978</v>
      </c>
      <c r="K5432" s="56">
        <v>3240</v>
      </c>
      <c r="L5432" s="55" t="s">
        <v>2152</v>
      </c>
      <c r="M5432" s="55" t="s">
        <v>2824</v>
      </c>
      <c r="N5432" s="4" t="s">
        <v>1905</v>
      </c>
      <c r="O5432" s="55" t="s">
        <v>178</v>
      </c>
    </row>
    <row r="5433" spans="2:15">
      <c r="B5433" s="20">
        <v>45763</v>
      </c>
      <c r="C5433" s="59">
        <v>50470190</v>
      </c>
      <c r="D5433" s="55" t="s">
        <v>12</v>
      </c>
      <c r="G5433" s="65">
        <v>869400</v>
      </c>
      <c r="H5433" s="56" t="s">
        <v>92</v>
      </c>
      <c r="I5433" s="54">
        <v>8705212591</v>
      </c>
      <c r="J5433" s="56" t="s">
        <v>2978</v>
      </c>
      <c r="K5433" s="56">
        <v>3240</v>
      </c>
      <c r="L5433" s="55" t="s">
        <v>2152</v>
      </c>
      <c r="M5433" s="55" t="s">
        <v>2824</v>
      </c>
      <c r="N5433" s="4" t="s">
        <v>1905</v>
      </c>
      <c r="O5433" s="55" t="s">
        <v>178</v>
      </c>
    </row>
    <row r="5434" spans="2:15">
      <c r="B5434" s="20">
        <v>45763</v>
      </c>
      <c r="C5434" s="59">
        <v>50509889</v>
      </c>
      <c r="D5434" s="55" t="s">
        <v>671</v>
      </c>
      <c r="G5434" s="65">
        <v>528000</v>
      </c>
      <c r="H5434" s="56" t="s">
        <v>92</v>
      </c>
      <c r="I5434" s="54">
        <v>8706514845</v>
      </c>
      <c r="J5434" s="56" t="s">
        <v>2978</v>
      </c>
      <c r="K5434" s="56">
        <v>3240</v>
      </c>
      <c r="L5434" s="55" t="s">
        <v>2152</v>
      </c>
      <c r="M5434" s="55" t="s">
        <v>2824</v>
      </c>
      <c r="N5434" s="4" t="s">
        <v>1905</v>
      </c>
      <c r="O5434" s="55" t="s">
        <v>178</v>
      </c>
    </row>
    <row r="5435" spans="2:15">
      <c r="B5435" s="20">
        <v>45768</v>
      </c>
      <c r="C5435" s="59">
        <v>50551885</v>
      </c>
      <c r="D5435" s="55" t="s">
        <v>1251</v>
      </c>
      <c r="G5435" s="65">
        <v>410000</v>
      </c>
      <c r="H5435" s="56" t="s">
        <v>92</v>
      </c>
      <c r="I5435" s="54">
        <v>8706514643</v>
      </c>
      <c r="J5435" s="56" t="s">
        <v>2978</v>
      </c>
      <c r="K5435" s="56">
        <v>3241</v>
      </c>
      <c r="L5435" s="55" t="s">
        <v>2152</v>
      </c>
      <c r="M5435" s="55" t="s">
        <v>2824</v>
      </c>
      <c r="N5435" s="4" t="s">
        <v>1905</v>
      </c>
      <c r="O5435" s="55" t="s">
        <v>178</v>
      </c>
    </row>
    <row r="5436" spans="2:15">
      <c r="B5436" s="20">
        <v>45768</v>
      </c>
      <c r="C5436" s="59">
        <v>50799770</v>
      </c>
      <c r="D5436" s="55" t="s">
        <v>17</v>
      </c>
      <c r="G5436" s="65">
        <v>2000</v>
      </c>
      <c r="H5436" s="56" t="s">
        <v>92</v>
      </c>
      <c r="I5436" s="54">
        <v>8706514643</v>
      </c>
      <c r="J5436" s="56" t="s">
        <v>2978</v>
      </c>
      <c r="K5436" s="56">
        <v>3241</v>
      </c>
      <c r="L5436" s="55" t="s">
        <v>2152</v>
      </c>
      <c r="M5436" s="55" t="s">
        <v>2824</v>
      </c>
      <c r="N5436" s="4" t="s">
        <v>1905</v>
      </c>
      <c r="O5436" s="55" t="s">
        <v>178</v>
      </c>
    </row>
    <row r="5437" spans="2:15">
      <c r="B5437" s="20">
        <v>45768</v>
      </c>
      <c r="C5437" s="59">
        <v>50272278</v>
      </c>
      <c r="D5437" s="55" t="s">
        <v>21</v>
      </c>
      <c r="G5437" s="65">
        <v>8000</v>
      </c>
      <c r="H5437" s="56" t="s">
        <v>92</v>
      </c>
      <c r="I5437" s="54">
        <v>8706514643</v>
      </c>
      <c r="J5437" s="56" t="s">
        <v>2978</v>
      </c>
      <c r="K5437" s="56">
        <v>3241</v>
      </c>
      <c r="L5437" s="55" t="s">
        <v>2152</v>
      </c>
      <c r="M5437" s="55" t="s">
        <v>2824</v>
      </c>
      <c r="N5437" s="4" t="s">
        <v>1905</v>
      </c>
      <c r="O5437" s="55" t="s">
        <v>178</v>
      </c>
    </row>
    <row r="5438" spans="2:15">
      <c r="B5438" s="20">
        <v>45768</v>
      </c>
      <c r="C5438" s="59">
        <v>50804971</v>
      </c>
      <c r="D5438" s="55" t="s">
        <v>855</v>
      </c>
      <c r="G5438" s="65">
        <v>1440000</v>
      </c>
      <c r="H5438" s="56" t="s">
        <v>92</v>
      </c>
      <c r="I5438" s="54">
        <v>8706514642</v>
      </c>
      <c r="J5438" s="56" t="s">
        <v>2978</v>
      </c>
      <c r="K5438" s="56">
        <v>3242</v>
      </c>
      <c r="L5438" s="55" t="s">
        <v>2152</v>
      </c>
      <c r="M5438" s="55" t="s">
        <v>2824</v>
      </c>
      <c r="N5438" s="4" t="s">
        <v>1905</v>
      </c>
      <c r="O5438" s="55" t="s">
        <v>178</v>
      </c>
    </row>
    <row r="5439" spans="2:15">
      <c r="B5439" s="20">
        <v>45768</v>
      </c>
      <c r="C5439" s="59">
        <v>50804929</v>
      </c>
      <c r="D5439" s="55" t="s">
        <v>856</v>
      </c>
      <c r="G5439" s="65">
        <v>960000</v>
      </c>
      <c r="H5439" s="56" t="s">
        <v>92</v>
      </c>
      <c r="I5439" s="54">
        <v>8706514642</v>
      </c>
      <c r="J5439" s="56" t="s">
        <v>2978</v>
      </c>
      <c r="K5439" s="56">
        <v>3242</v>
      </c>
      <c r="L5439" s="55" t="s">
        <v>2152</v>
      </c>
      <c r="M5439" s="55" t="s">
        <v>2824</v>
      </c>
      <c r="N5439" s="4" t="s">
        <v>1905</v>
      </c>
      <c r="O5439" s="55" t="s">
        <v>178</v>
      </c>
    </row>
    <row r="5440" spans="2:15">
      <c r="B5440" s="20">
        <v>45768</v>
      </c>
      <c r="C5440" s="59">
        <v>40011133</v>
      </c>
      <c r="D5440" s="55" t="s">
        <v>634</v>
      </c>
      <c r="G5440" s="65">
        <v>1728</v>
      </c>
      <c r="H5440" s="56" t="s">
        <v>80</v>
      </c>
      <c r="I5440" s="54">
        <v>8706514642</v>
      </c>
      <c r="J5440" s="56" t="s">
        <v>2978</v>
      </c>
      <c r="K5440" s="56">
        <v>3242</v>
      </c>
      <c r="L5440" s="55" t="s">
        <v>2152</v>
      </c>
      <c r="M5440" s="55" t="s">
        <v>2824</v>
      </c>
      <c r="N5440" s="4" t="s">
        <v>1905</v>
      </c>
      <c r="O5440" s="55" t="s">
        <v>178</v>
      </c>
    </row>
    <row r="5441" spans="2:15">
      <c r="B5441" s="20">
        <v>45768</v>
      </c>
      <c r="C5441" s="59">
        <v>50143893</v>
      </c>
      <c r="D5441" s="55" t="s">
        <v>24</v>
      </c>
      <c r="G5441" s="65">
        <v>1980</v>
      </c>
      <c r="H5441" s="56" t="s">
        <v>82</v>
      </c>
      <c r="I5441" s="54">
        <v>8706514642</v>
      </c>
      <c r="J5441" s="56" t="s">
        <v>2978</v>
      </c>
      <c r="K5441" s="56">
        <v>3242</v>
      </c>
      <c r="L5441" s="55" t="s">
        <v>2152</v>
      </c>
      <c r="M5441" s="55" t="s">
        <v>2824</v>
      </c>
      <c r="N5441" s="4" t="s">
        <v>1905</v>
      </c>
      <c r="O5441" s="55" t="s">
        <v>178</v>
      </c>
    </row>
    <row r="5442" spans="2:15">
      <c r="B5442" s="20">
        <v>45768</v>
      </c>
      <c r="C5442" s="59">
        <v>50824293</v>
      </c>
      <c r="D5442" s="55" t="s">
        <v>861</v>
      </c>
      <c r="G5442" s="65">
        <v>1728000</v>
      </c>
      <c r="H5442" s="56" t="s">
        <v>92</v>
      </c>
      <c r="I5442" s="54">
        <v>8706514642</v>
      </c>
      <c r="J5442" s="56" t="s">
        <v>2978</v>
      </c>
      <c r="K5442" s="56">
        <v>3242</v>
      </c>
      <c r="L5442" s="55" t="s">
        <v>2152</v>
      </c>
      <c r="M5442" s="55" t="s">
        <v>2824</v>
      </c>
      <c r="N5442" s="4" t="s">
        <v>1905</v>
      </c>
      <c r="O5442" s="55" t="s">
        <v>178</v>
      </c>
    </row>
    <row r="5443" spans="2:15">
      <c r="B5443" s="20">
        <v>45768</v>
      </c>
      <c r="C5443" s="59">
        <v>40004808</v>
      </c>
      <c r="D5443" s="55" t="s">
        <v>91</v>
      </c>
      <c r="G5443" s="65">
        <v>1080</v>
      </c>
      <c r="H5443" s="56" t="s">
        <v>1248</v>
      </c>
      <c r="I5443" s="54">
        <v>8706514642</v>
      </c>
      <c r="J5443" s="56" t="s">
        <v>2978</v>
      </c>
      <c r="K5443" s="56">
        <v>3242</v>
      </c>
      <c r="L5443" s="55" t="s">
        <v>2152</v>
      </c>
      <c r="M5443" s="55" t="s">
        <v>2824</v>
      </c>
      <c r="N5443" s="4" t="s">
        <v>1905</v>
      </c>
      <c r="O5443" s="55" t="s">
        <v>178</v>
      </c>
    </row>
    <row r="5444" spans="2:15">
      <c r="B5444" s="20">
        <v>45768</v>
      </c>
      <c r="C5444" s="59">
        <v>50397884</v>
      </c>
      <c r="D5444" s="55" t="s">
        <v>1296</v>
      </c>
      <c r="G5444" s="65">
        <v>540</v>
      </c>
      <c r="H5444" s="56" t="s">
        <v>80</v>
      </c>
      <c r="I5444" s="54">
        <v>8706514642</v>
      </c>
      <c r="J5444" s="56" t="s">
        <v>2978</v>
      </c>
      <c r="K5444" s="56">
        <v>3242</v>
      </c>
      <c r="L5444" s="55" t="s">
        <v>2152</v>
      </c>
      <c r="M5444" s="55" t="s">
        <v>2824</v>
      </c>
      <c r="N5444" s="4" t="s">
        <v>1905</v>
      </c>
      <c r="O5444" s="55" t="s">
        <v>178</v>
      </c>
    </row>
    <row r="5445" spans="2:15">
      <c r="B5445" s="20">
        <v>45768</v>
      </c>
      <c r="C5445" s="59">
        <v>50472696</v>
      </c>
      <c r="D5445" s="55" t="s">
        <v>1308</v>
      </c>
      <c r="G5445" s="65">
        <v>1470</v>
      </c>
      <c r="H5445" s="56" t="s">
        <v>80</v>
      </c>
      <c r="I5445" s="54">
        <v>8706514642</v>
      </c>
      <c r="J5445" s="56" t="s">
        <v>2978</v>
      </c>
      <c r="K5445" s="56">
        <v>3242</v>
      </c>
      <c r="L5445" s="55" t="s">
        <v>2152</v>
      </c>
      <c r="M5445" s="55" t="s">
        <v>2824</v>
      </c>
      <c r="N5445" s="4" t="s">
        <v>1905</v>
      </c>
      <c r="O5445" s="55" t="s">
        <v>178</v>
      </c>
    </row>
    <row r="5446" spans="2:15">
      <c r="B5446" s="20">
        <v>45768</v>
      </c>
      <c r="C5446" s="59">
        <v>50472692</v>
      </c>
      <c r="D5446" s="55" t="s">
        <v>1304</v>
      </c>
      <c r="G5446" s="65">
        <v>1092</v>
      </c>
      <c r="H5446" s="56" t="s">
        <v>80</v>
      </c>
      <c r="I5446" s="54">
        <v>8706514642</v>
      </c>
      <c r="J5446" s="56" t="s">
        <v>2978</v>
      </c>
      <c r="K5446" s="56">
        <v>3242</v>
      </c>
      <c r="L5446" s="55" t="s">
        <v>2152</v>
      </c>
      <c r="M5446" s="55" t="s">
        <v>2824</v>
      </c>
      <c r="N5446" s="4" t="s">
        <v>1905</v>
      </c>
      <c r="O5446" s="55" t="s">
        <v>178</v>
      </c>
    </row>
    <row r="5447" spans="2:15">
      <c r="B5447" s="20">
        <v>45768</v>
      </c>
      <c r="C5447" s="59">
        <v>50145029</v>
      </c>
      <c r="D5447" s="55" t="s">
        <v>705</v>
      </c>
      <c r="G5447" s="65">
        <v>18</v>
      </c>
      <c r="H5447" s="56" t="s">
        <v>505</v>
      </c>
      <c r="I5447" s="54">
        <v>8706514642</v>
      </c>
      <c r="J5447" s="56" t="s">
        <v>2978</v>
      </c>
      <c r="K5447" s="56">
        <v>3242</v>
      </c>
      <c r="L5447" s="55" t="s">
        <v>2152</v>
      </c>
      <c r="M5447" s="55" t="s">
        <v>2824</v>
      </c>
      <c r="N5447" s="4" t="s">
        <v>1905</v>
      </c>
      <c r="O5447" s="55" t="s">
        <v>178</v>
      </c>
    </row>
    <row r="5448" spans="2:15">
      <c r="B5448" s="20">
        <v>45768</v>
      </c>
      <c r="C5448" s="59">
        <v>50509889</v>
      </c>
      <c r="D5448" s="55" t="s">
        <v>671</v>
      </c>
      <c r="G5448" s="65">
        <v>528000</v>
      </c>
      <c r="H5448" s="56" t="s">
        <v>92</v>
      </c>
      <c r="I5448" s="54">
        <v>8706514642</v>
      </c>
      <c r="J5448" s="56" t="s">
        <v>2978</v>
      </c>
      <c r="K5448" s="56">
        <v>3242</v>
      </c>
      <c r="L5448" s="55" t="s">
        <v>2152</v>
      </c>
      <c r="M5448" s="55" t="s">
        <v>2824</v>
      </c>
      <c r="N5448" s="4" t="s">
        <v>1905</v>
      </c>
      <c r="O5448" s="55" t="s">
        <v>178</v>
      </c>
    </row>
    <row r="5449" spans="2:15">
      <c r="B5449" s="20">
        <v>45768</v>
      </c>
      <c r="C5449" s="59">
        <v>50145012</v>
      </c>
      <c r="D5449" s="55" t="s">
        <v>504</v>
      </c>
      <c r="G5449" s="65">
        <v>12</v>
      </c>
      <c r="H5449" s="56" t="s">
        <v>505</v>
      </c>
      <c r="I5449" s="54">
        <v>8706514642</v>
      </c>
      <c r="J5449" s="56" t="s">
        <v>2978</v>
      </c>
      <c r="K5449" s="56">
        <v>3242</v>
      </c>
      <c r="L5449" s="55" t="s">
        <v>2152</v>
      </c>
      <c r="M5449" s="55" t="s">
        <v>2824</v>
      </c>
      <c r="N5449" s="4" t="s">
        <v>1905</v>
      </c>
      <c r="O5449" s="55" t="s">
        <v>178</v>
      </c>
    </row>
    <row r="5450" spans="2:15">
      <c r="B5450" s="20">
        <v>45768</v>
      </c>
      <c r="C5450" s="59">
        <v>50392046</v>
      </c>
      <c r="D5450" s="55" t="s">
        <v>509</v>
      </c>
      <c r="G5450" s="65">
        <v>12</v>
      </c>
      <c r="H5450" s="56" t="s">
        <v>505</v>
      </c>
      <c r="I5450" s="54">
        <v>8706514642</v>
      </c>
      <c r="J5450" s="56" t="s">
        <v>2978</v>
      </c>
      <c r="K5450" s="56">
        <v>3242</v>
      </c>
      <c r="L5450" s="55" t="s">
        <v>2152</v>
      </c>
      <c r="M5450" s="55" t="s">
        <v>2824</v>
      </c>
      <c r="N5450" s="4" t="s">
        <v>1905</v>
      </c>
      <c r="O5450" s="55" t="s">
        <v>178</v>
      </c>
    </row>
    <row r="5451" spans="2:15">
      <c r="B5451" s="20">
        <v>45768</v>
      </c>
      <c r="C5451" s="59">
        <v>50819323</v>
      </c>
      <c r="D5451" s="55" t="s">
        <v>40</v>
      </c>
      <c r="G5451" s="65">
        <v>258420</v>
      </c>
      <c r="H5451" s="56" t="s">
        <v>80</v>
      </c>
      <c r="I5451" s="54" t="s">
        <v>2874</v>
      </c>
      <c r="J5451" s="56" t="s">
        <v>2978</v>
      </c>
      <c r="K5451" s="56">
        <v>3243</v>
      </c>
      <c r="L5451" s="55" t="s">
        <v>326</v>
      </c>
      <c r="M5451" s="55" t="s">
        <v>392</v>
      </c>
      <c r="N5451" s="4" t="s">
        <v>239</v>
      </c>
      <c r="O5451" s="55" t="s">
        <v>178</v>
      </c>
    </row>
    <row r="5452" spans="2:15">
      <c r="B5452" s="20">
        <v>45768</v>
      </c>
      <c r="C5452" s="59">
        <v>50515034</v>
      </c>
      <c r="D5452" s="55" t="s">
        <v>41</v>
      </c>
      <c r="G5452" s="65">
        <v>144</v>
      </c>
      <c r="H5452" s="56" t="s">
        <v>80</v>
      </c>
      <c r="I5452" s="54" t="s">
        <v>2874</v>
      </c>
      <c r="J5452" s="56" t="s">
        <v>2978</v>
      </c>
      <c r="K5452" s="56">
        <v>3243</v>
      </c>
      <c r="L5452" s="55" t="s">
        <v>326</v>
      </c>
      <c r="M5452" s="55" t="s">
        <v>392</v>
      </c>
      <c r="N5452" s="4" t="s">
        <v>239</v>
      </c>
      <c r="O5452" s="55" t="s">
        <v>178</v>
      </c>
    </row>
    <row r="5453" spans="2:15">
      <c r="B5453" s="20">
        <v>45768</v>
      </c>
      <c r="C5453" s="59">
        <v>50145028</v>
      </c>
      <c r="D5453" s="55" t="s">
        <v>23</v>
      </c>
      <c r="G5453" s="65">
        <v>384</v>
      </c>
      <c r="H5453" s="56" t="s">
        <v>92</v>
      </c>
      <c r="I5453" s="54" t="s">
        <v>2874</v>
      </c>
      <c r="J5453" s="56" t="s">
        <v>2978</v>
      </c>
      <c r="K5453" s="56">
        <v>3243</v>
      </c>
      <c r="L5453" s="55" t="s">
        <v>326</v>
      </c>
      <c r="M5453" s="55" t="s">
        <v>392</v>
      </c>
      <c r="N5453" s="4" t="s">
        <v>239</v>
      </c>
      <c r="O5453" s="55" t="s">
        <v>178</v>
      </c>
    </row>
    <row r="5454" spans="2:15">
      <c r="B5454" s="20">
        <v>45768</v>
      </c>
      <c r="C5454" s="59">
        <v>40014675</v>
      </c>
      <c r="D5454" s="55" t="s">
        <v>44</v>
      </c>
      <c r="G5454" s="65">
        <v>37.44</v>
      </c>
      <c r="H5454" s="56" t="s">
        <v>80</v>
      </c>
      <c r="I5454" s="54">
        <v>8706514687</v>
      </c>
      <c r="J5454" s="56" t="s">
        <v>2978</v>
      </c>
      <c r="K5454" s="56">
        <v>290</v>
      </c>
      <c r="L5454" s="55" t="s">
        <v>3024</v>
      </c>
      <c r="M5454" s="55" t="s">
        <v>2824</v>
      </c>
      <c r="O5454" s="55" t="s">
        <v>178</v>
      </c>
    </row>
    <row r="5455" spans="2:15">
      <c r="B5455" s="20">
        <v>45768</v>
      </c>
      <c r="C5455" s="59">
        <v>40014675</v>
      </c>
      <c r="D5455" s="55" t="s">
        <v>44</v>
      </c>
      <c r="G5455" s="65">
        <v>37.44</v>
      </c>
      <c r="H5455" s="56" t="s">
        <v>80</v>
      </c>
      <c r="I5455" s="54">
        <v>8706514688</v>
      </c>
      <c r="J5455" s="56" t="s">
        <v>2978</v>
      </c>
      <c r="K5455" s="56">
        <v>291</v>
      </c>
      <c r="L5455" s="55" t="s">
        <v>3024</v>
      </c>
      <c r="M5455" s="55" t="s">
        <v>2824</v>
      </c>
      <c r="O5455" s="55" t="s">
        <v>178</v>
      </c>
    </row>
    <row r="5456" spans="2:15">
      <c r="B5456" s="20">
        <v>45768</v>
      </c>
      <c r="C5456" s="59">
        <v>40014675</v>
      </c>
      <c r="D5456" s="55" t="s">
        <v>44</v>
      </c>
      <c r="G5456" s="65">
        <v>34.56</v>
      </c>
      <c r="H5456" s="56" t="s">
        <v>80</v>
      </c>
      <c r="I5456" s="54">
        <v>8706514689</v>
      </c>
      <c r="J5456" s="56" t="s">
        <v>2978</v>
      </c>
      <c r="K5456" s="56">
        <v>292</v>
      </c>
      <c r="L5456" s="55" t="s">
        <v>2004</v>
      </c>
      <c r="M5456" s="55" t="s">
        <v>2824</v>
      </c>
      <c r="O5456" s="55" t="s">
        <v>178</v>
      </c>
    </row>
    <row r="5457" spans="2:15">
      <c r="B5457" s="20">
        <v>45768</v>
      </c>
      <c r="C5457" s="59">
        <v>40014675</v>
      </c>
      <c r="D5457" s="55" t="s">
        <v>44</v>
      </c>
      <c r="G5457" s="65">
        <v>37.44</v>
      </c>
      <c r="H5457" s="56" t="s">
        <v>80</v>
      </c>
      <c r="I5457" s="54">
        <v>8706514692</v>
      </c>
      <c r="J5457" s="56" t="s">
        <v>2978</v>
      </c>
      <c r="K5457" s="56">
        <v>293</v>
      </c>
      <c r="L5457" s="55" t="s">
        <v>3024</v>
      </c>
      <c r="M5457" s="55" t="s">
        <v>2824</v>
      </c>
      <c r="O5457" s="55" t="s">
        <v>178</v>
      </c>
    </row>
    <row r="5458" spans="2:15">
      <c r="B5458" s="20">
        <v>45768</v>
      </c>
      <c r="C5458" s="59">
        <v>40014675</v>
      </c>
      <c r="D5458" s="55" t="s">
        <v>44</v>
      </c>
      <c r="G5458" s="65">
        <v>37.44</v>
      </c>
      <c r="H5458" s="56" t="s">
        <v>80</v>
      </c>
      <c r="I5458" s="54">
        <v>8706514693</v>
      </c>
      <c r="J5458" s="56" t="s">
        <v>2978</v>
      </c>
      <c r="K5458" s="56">
        <v>294</v>
      </c>
      <c r="L5458" s="55" t="s">
        <v>3024</v>
      </c>
      <c r="M5458" s="55" t="s">
        <v>2824</v>
      </c>
      <c r="O5458" s="55" t="s">
        <v>178</v>
      </c>
    </row>
    <row r="5459" spans="2:15">
      <c r="B5459" s="20">
        <v>45768</v>
      </c>
      <c r="C5459" s="59">
        <v>40014675</v>
      </c>
      <c r="D5459" s="55" t="s">
        <v>44</v>
      </c>
      <c r="G5459" s="65">
        <v>34.56</v>
      </c>
      <c r="H5459" s="56" t="s">
        <v>80</v>
      </c>
      <c r="I5459" s="54">
        <v>8706514735</v>
      </c>
      <c r="J5459" s="56" t="s">
        <v>2978</v>
      </c>
      <c r="K5459" s="56">
        <v>295</v>
      </c>
      <c r="L5459" s="55" t="s">
        <v>2004</v>
      </c>
      <c r="M5459" s="55" t="s">
        <v>2824</v>
      </c>
      <c r="O5459" s="55" t="s">
        <v>178</v>
      </c>
    </row>
    <row r="5460" spans="2:15">
      <c r="B5460" s="20">
        <v>45768</v>
      </c>
      <c r="C5460" s="59">
        <v>40014675</v>
      </c>
      <c r="D5460" s="55" t="s">
        <v>44</v>
      </c>
      <c r="G5460" s="65">
        <v>34.56</v>
      </c>
      <c r="H5460" s="56" t="s">
        <v>80</v>
      </c>
      <c r="I5460" s="54">
        <v>8706514736</v>
      </c>
      <c r="J5460" s="56" t="s">
        <v>2978</v>
      </c>
      <c r="K5460" s="56">
        <v>296</v>
      </c>
      <c r="L5460" s="55" t="s">
        <v>2004</v>
      </c>
      <c r="M5460" s="55" t="s">
        <v>2824</v>
      </c>
      <c r="O5460" s="55" t="s">
        <v>178</v>
      </c>
    </row>
    <row r="5461" spans="2:15">
      <c r="B5461" s="20">
        <v>45769</v>
      </c>
      <c r="C5461" s="59">
        <v>50809353</v>
      </c>
      <c r="D5461" s="55" t="s">
        <v>905</v>
      </c>
      <c r="G5461" s="65">
        <v>5400</v>
      </c>
      <c r="H5461" s="56" t="s">
        <v>82</v>
      </c>
      <c r="I5461" s="54">
        <v>8706642261</v>
      </c>
      <c r="J5461" s="56" t="s">
        <v>2978</v>
      </c>
      <c r="K5461" s="56">
        <v>3244</v>
      </c>
      <c r="L5461" s="55" t="s">
        <v>2152</v>
      </c>
      <c r="M5461" s="55" t="s">
        <v>2824</v>
      </c>
      <c r="N5461" s="4" t="s">
        <v>1905</v>
      </c>
      <c r="O5461" s="55" t="s">
        <v>178</v>
      </c>
    </row>
    <row r="5462" spans="2:15">
      <c r="B5462" s="20">
        <v>45769</v>
      </c>
      <c r="C5462" s="59">
        <v>50141786</v>
      </c>
      <c r="D5462" s="55" t="s">
        <v>188</v>
      </c>
      <c r="G5462" s="65">
        <v>2240</v>
      </c>
      <c r="H5462" s="56" t="s">
        <v>82</v>
      </c>
      <c r="I5462" s="54">
        <v>8706642261</v>
      </c>
      <c r="J5462" s="56" t="s">
        <v>2978</v>
      </c>
      <c r="K5462" s="56">
        <v>3244</v>
      </c>
      <c r="L5462" s="55" t="s">
        <v>2152</v>
      </c>
      <c r="M5462" s="55" t="s">
        <v>2824</v>
      </c>
      <c r="N5462" s="4" t="s">
        <v>1905</v>
      </c>
      <c r="O5462" s="55" t="s">
        <v>178</v>
      </c>
    </row>
    <row r="5463" spans="2:15">
      <c r="B5463" s="20">
        <v>45769</v>
      </c>
      <c r="C5463" s="59">
        <v>50272278</v>
      </c>
      <c r="D5463" s="55" t="s">
        <v>21</v>
      </c>
      <c r="G5463" s="65">
        <v>4500</v>
      </c>
      <c r="H5463" s="56" t="s">
        <v>92</v>
      </c>
      <c r="I5463" s="54">
        <v>8706642261</v>
      </c>
      <c r="J5463" s="56" t="s">
        <v>2978</v>
      </c>
      <c r="K5463" s="56">
        <v>3244</v>
      </c>
      <c r="L5463" s="55" t="s">
        <v>2152</v>
      </c>
      <c r="M5463" s="55" t="s">
        <v>2824</v>
      </c>
      <c r="N5463" s="4" t="s">
        <v>1905</v>
      </c>
      <c r="O5463" s="55" t="s">
        <v>178</v>
      </c>
    </row>
    <row r="5464" spans="2:15">
      <c r="B5464" s="20">
        <v>45769</v>
      </c>
      <c r="C5464" s="59">
        <v>40014675</v>
      </c>
      <c r="D5464" s="55" t="s">
        <v>44</v>
      </c>
      <c r="F5464" s="67">
        <v>37.44</v>
      </c>
      <c r="G5464" s="65">
        <v>37.44</v>
      </c>
      <c r="H5464" s="56" t="s">
        <v>80</v>
      </c>
      <c r="I5464" s="54">
        <v>8706642405</v>
      </c>
      <c r="J5464" s="56" t="s">
        <v>2978</v>
      </c>
      <c r="K5464" s="56">
        <v>297</v>
      </c>
      <c r="L5464" s="55" t="s">
        <v>3024</v>
      </c>
      <c r="M5464" s="55" t="s">
        <v>2824</v>
      </c>
      <c r="O5464" s="55" t="s">
        <v>178</v>
      </c>
    </row>
    <row r="5465" spans="2:15">
      <c r="B5465" s="20">
        <v>45769</v>
      </c>
      <c r="C5465" s="59">
        <v>40014675</v>
      </c>
      <c r="D5465" s="55" t="s">
        <v>44</v>
      </c>
      <c r="F5465" s="67">
        <v>37.44</v>
      </c>
      <c r="G5465" s="65">
        <v>37.44</v>
      </c>
      <c r="H5465" s="56" t="s">
        <v>80</v>
      </c>
      <c r="I5465" s="54">
        <v>8706642407</v>
      </c>
      <c r="J5465" s="56" t="s">
        <v>2978</v>
      </c>
      <c r="K5465" s="56">
        <v>298</v>
      </c>
      <c r="L5465" s="55" t="s">
        <v>3024</v>
      </c>
      <c r="M5465" s="55" t="s">
        <v>2824</v>
      </c>
      <c r="O5465" s="55" t="s">
        <v>178</v>
      </c>
    </row>
    <row r="5466" spans="2:15">
      <c r="B5466" s="20">
        <v>45769</v>
      </c>
      <c r="C5466" s="59">
        <v>40014675</v>
      </c>
      <c r="D5466" s="55" t="s">
        <v>44</v>
      </c>
      <c r="F5466" s="67">
        <v>34.56</v>
      </c>
      <c r="G5466" s="65">
        <v>34.56</v>
      </c>
      <c r="H5466" s="56" t="s">
        <v>80</v>
      </c>
      <c r="I5466" s="54">
        <v>8706642408</v>
      </c>
      <c r="J5466" s="56" t="s">
        <v>2978</v>
      </c>
      <c r="K5466" s="56">
        <v>299</v>
      </c>
      <c r="L5466" s="55" t="s">
        <v>2004</v>
      </c>
      <c r="M5466" s="55" t="s">
        <v>2824</v>
      </c>
      <c r="O5466" s="55" t="s">
        <v>178</v>
      </c>
    </row>
    <row r="5467" spans="2:15">
      <c r="B5467" s="20">
        <v>45769</v>
      </c>
      <c r="C5467" s="59">
        <v>40014675</v>
      </c>
      <c r="D5467" s="55" t="s">
        <v>44</v>
      </c>
      <c r="F5467" s="67">
        <v>37.44</v>
      </c>
      <c r="G5467" s="65">
        <v>37.44</v>
      </c>
      <c r="H5467" s="56" t="s">
        <v>80</v>
      </c>
      <c r="I5467" s="54">
        <v>8706644249</v>
      </c>
      <c r="J5467" s="56" t="s">
        <v>2978</v>
      </c>
      <c r="K5467" s="56">
        <v>300</v>
      </c>
      <c r="L5467" s="55" t="s">
        <v>3024</v>
      </c>
      <c r="M5467" s="55" t="s">
        <v>2824</v>
      </c>
      <c r="O5467" s="55" t="s">
        <v>178</v>
      </c>
    </row>
    <row r="5468" spans="2:15">
      <c r="B5468" s="20">
        <v>45769</v>
      </c>
      <c r="C5468" s="59">
        <v>40014675</v>
      </c>
      <c r="D5468" s="55" t="s">
        <v>44</v>
      </c>
      <c r="F5468" s="67">
        <v>37.44</v>
      </c>
      <c r="G5468" s="65">
        <v>37.44</v>
      </c>
      <c r="H5468" s="56" t="s">
        <v>80</v>
      </c>
      <c r="I5468" s="54">
        <v>8706644328</v>
      </c>
      <c r="J5468" s="56" t="s">
        <v>2978</v>
      </c>
      <c r="K5468" s="56">
        <v>301</v>
      </c>
      <c r="L5468" s="55" t="s">
        <v>3024</v>
      </c>
      <c r="M5468" s="55" t="s">
        <v>2824</v>
      </c>
      <c r="O5468" s="55" t="s">
        <v>178</v>
      </c>
    </row>
    <row r="5469" spans="2:15">
      <c r="B5469" s="20">
        <v>45769</v>
      </c>
      <c r="C5469" s="59">
        <v>40014675</v>
      </c>
      <c r="D5469" s="55" t="s">
        <v>44</v>
      </c>
      <c r="F5469" s="67">
        <v>34.56</v>
      </c>
      <c r="G5469" s="65">
        <v>34.56</v>
      </c>
      <c r="H5469" s="56" t="s">
        <v>80</v>
      </c>
      <c r="I5469" s="54">
        <v>8706644332</v>
      </c>
      <c r="J5469" s="56" t="s">
        <v>2978</v>
      </c>
      <c r="K5469" s="56">
        <v>302</v>
      </c>
      <c r="L5469" s="55" t="s">
        <v>2004</v>
      </c>
      <c r="M5469" s="55" t="s">
        <v>2824</v>
      </c>
      <c r="O5469" s="55" t="s">
        <v>178</v>
      </c>
    </row>
    <row r="5470" spans="2:15">
      <c r="B5470" s="20">
        <v>45769</v>
      </c>
      <c r="C5470" s="59">
        <v>40014675</v>
      </c>
      <c r="D5470" s="55" t="s">
        <v>44</v>
      </c>
      <c r="F5470" s="67">
        <v>34.56</v>
      </c>
      <c r="G5470" s="65">
        <v>34.56</v>
      </c>
      <c r="H5470" s="56" t="s">
        <v>80</v>
      </c>
      <c r="I5470" s="54">
        <v>8706646687</v>
      </c>
      <c r="J5470" s="56" t="s">
        <v>2978</v>
      </c>
      <c r="K5470" s="56">
        <v>303</v>
      </c>
      <c r="L5470" s="55" t="s">
        <v>2004</v>
      </c>
      <c r="M5470" s="55" t="s">
        <v>2824</v>
      </c>
      <c r="O5470" s="55" t="s">
        <v>178</v>
      </c>
    </row>
    <row r="5471" spans="2:15">
      <c r="B5471" s="20">
        <v>45769</v>
      </c>
      <c r="C5471" s="59">
        <v>40014675</v>
      </c>
      <c r="D5471" s="55" t="s">
        <v>44</v>
      </c>
      <c r="G5471" s="65">
        <v>34.56</v>
      </c>
      <c r="H5471" s="56" t="s">
        <v>80</v>
      </c>
      <c r="I5471" s="54">
        <v>8706646792</v>
      </c>
      <c r="J5471" s="56" t="s">
        <v>2978</v>
      </c>
      <c r="K5471" s="56">
        <v>304</v>
      </c>
      <c r="L5471" s="55" t="s">
        <v>2004</v>
      </c>
      <c r="M5471" s="55" t="s">
        <v>2824</v>
      </c>
      <c r="O5471" s="55" t="s">
        <v>178</v>
      </c>
    </row>
    <row r="5472" spans="2:15">
      <c r="B5472" s="20">
        <v>45769</v>
      </c>
      <c r="C5472" s="59">
        <v>50802401</v>
      </c>
      <c r="D5472" s="55" t="s">
        <v>13</v>
      </c>
      <c r="G5472" s="65">
        <v>3477600</v>
      </c>
      <c r="H5472" s="56" t="s">
        <v>92</v>
      </c>
      <c r="I5472" s="54">
        <v>8706648898</v>
      </c>
      <c r="J5472" s="56" t="s">
        <v>2978</v>
      </c>
      <c r="K5472" s="56">
        <v>3245</v>
      </c>
      <c r="L5472" s="55" t="s">
        <v>2152</v>
      </c>
      <c r="M5472" s="55" t="s">
        <v>2824</v>
      </c>
      <c r="N5472" s="4" t="s">
        <v>1905</v>
      </c>
      <c r="O5472" s="55" t="s">
        <v>178</v>
      </c>
    </row>
    <row r="5473" spans="2:15">
      <c r="B5473" s="20">
        <v>45769</v>
      </c>
      <c r="C5473" s="59">
        <v>50142327</v>
      </c>
      <c r="D5473" s="55" t="s">
        <v>256</v>
      </c>
      <c r="G5473" s="65">
        <v>2383.5</v>
      </c>
      <c r="H5473" s="56" t="s">
        <v>82</v>
      </c>
      <c r="I5473" s="54">
        <v>8706648898</v>
      </c>
      <c r="J5473" s="56" t="s">
        <v>2978</v>
      </c>
      <c r="K5473" s="56">
        <v>3245</v>
      </c>
      <c r="L5473" s="55" t="s">
        <v>2152</v>
      </c>
      <c r="M5473" s="55" t="s">
        <v>2824</v>
      </c>
      <c r="N5473" s="4" t="s">
        <v>1905</v>
      </c>
      <c r="O5473" s="55" t="s">
        <v>178</v>
      </c>
    </row>
    <row r="5474" spans="2:15">
      <c r="B5474" s="20">
        <v>45769</v>
      </c>
      <c r="C5474" s="59">
        <v>50142334</v>
      </c>
      <c r="D5474" s="55" t="s">
        <v>257</v>
      </c>
      <c r="G5474" s="65">
        <v>1430.1</v>
      </c>
      <c r="H5474" s="56" t="s">
        <v>82</v>
      </c>
      <c r="I5474" s="54">
        <v>8706648898</v>
      </c>
      <c r="J5474" s="56" t="s">
        <v>2978</v>
      </c>
      <c r="K5474" s="56">
        <v>3245</v>
      </c>
      <c r="L5474" s="55" t="s">
        <v>2152</v>
      </c>
      <c r="M5474" s="55" t="s">
        <v>2824</v>
      </c>
      <c r="N5474" s="4" t="s">
        <v>1905</v>
      </c>
      <c r="O5474" s="55" t="s">
        <v>178</v>
      </c>
    </row>
    <row r="5475" spans="2:15">
      <c r="B5475" s="20">
        <v>45770</v>
      </c>
      <c r="C5475" s="59">
        <v>40014675</v>
      </c>
      <c r="D5475" s="55" t="s">
        <v>44</v>
      </c>
      <c r="G5475" s="65">
        <v>34.56</v>
      </c>
      <c r="H5475" s="56" t="s">
        <v>80</v>
      </c>
      <c r="I5475" s="54">
        <v>8707014723</v>
      </c>
      <c r="J5475" s="56" t="s">
        <v>2978</v>
      </c>
      <c r="K5475" s="56">
        <v>305</v>
      </c>
      <c r="L5475" s="55" t="s">
        <v>2004</v>
      </c>
      <c r="M5475" s="55" t="s">
        <v>2824</v>
      </c>
      <c r="O5475" s="55" t="s">
        <v>178</v>
      </c>
    </row>
    <row r="5476" spans="2:15">
      <c r="B5476" s="20">
        <v>45770</v>
      </c>
      <c r="C5476" s="59">
        <v>40014675</v>
      </c>
      <c r="D5476" s="55" t="s">
        <v>44</v>
      </c>
      <c r="G5476" s="65">
        <v>34.56</v>
      </c>
      <c r="H5476" s="56" t="s">
        <v>80</v>
      </c>
      <c r="I5476" s="54">
        <v>8707014915</v>
      </c>
      <c r="J5476" s="56" t="s">
        <v>2978</v>
      </c>
      <c r="K5476" s="56">
        <v>306</v>
      </c>
      <c r="L5476" s="55" t="s">
        <v>2004</v>
      </c>
      <c r="M5476" s="55" t="s">
        <v>2824</v>
      </c>
      <c r="O5476" s="55" t="s">
        <v>178</v>
      </c>
    </row>
    <row r="5477" spans="2:15">
      <c r="B5477" s="20">
        <v>45771</v>
      </c>
      <c r="C5477" s="59">
        <v>50142631</v>
      </c>
      <c r="D5477" s="55" t="s">
        <v>566</v>
      </c>
      <c r="G5477" s="65">
        <v>1000</v>
      </c>
      <c r="H5477" s="56" t="s">
        <v>82</v>
      </c>
      <c r="I5477" s="54">
        <v>8707444721</v>
      </c>
      <c r="J5477" s="56" t="s">
        <v>2978</v>
      </c>
      <c r="K5477" s="56">
        <v>3246</v>
      </c>
      <c r="L5477" s="55" t="s">
        <v>2152</v>
      </c>
      <c r="M5477" s="55" t="s">
        <v>2824</v>
      </c>
      <c r="N5477" s="4" t="s">
        <v>1905</v>
      </c>
      <c r="O5477" s="55" t="s">
        <v>178</v>
      </c>
    </row>
    <row r="5478" spans="2:15">
      <c r="B5478" s="20">
        <v>45771</v>
      </c>
      <c r="C5478" s="59">
        <v>50010080</v>
      </c>
      <c r="D5478" s="55" t="s">
        <v>1657</v>
      </c>
      <c r="G5478" s="65">
        <v>4600</v>
      </c>
      <c r="H5478" s="56" t="s">
        <v>82</v>
      </c>
      <c r="I5478" s="54">
        <v>8707444721</v>
      </c>
      <c r="J5478" s="56" t="s">
        <v>2978</v>
      </c>
      <c r="K5478" s="56">
        <v>3246</v>
      </c>
      <c r="L5478" s="55" t="s">
        <v>2152</v>
      </c>
      <c r="M5478" s="55" t="s">
        <v>2824</v>
      </c>
      <c r="N5478" s="4" t="s">
        <v>1905</v>
      </c>
      <c r="O5478" s="55" t="s">
        <v>178</v>
      </c>
    </row>
    <row r="5479" spans="2:15">
      <c r="B5479" s="20">
        <v>45771</v>
      </c>
      <c r="C5479" s="59">
        <v>40010087</v>
      </c>
      <c r="D5479" s="55" t="s">
        <v>387</v>
      </c>
      <c r="G5479" s="65">
        <v>864</v>
      </c>
      <c r="H5479" s="56" t="s">
        <v>80</v>
      </c>
      <c r="I5479" s="54">
        <v>8707444721</v>
      </c>
      <c r="J5479" s="56" t="s">
        <v>2978</v>
      </c>
      <c r="K5479" s="56">
        <v>3246</v>
      </c>
      <c r="L5479" s="55" t="s">
        <v>2152</v>
      </c>
      <c r="M5479" s="55" t="s">
        <v>2824</v>
      </c>
      <c r="N5479" s="4" t="s">
        <v>1905</v>
      </c>
      <c r="O5479" s="55" t="s">
        <v>178</v>
      </c>
    </row>
    <row r="5480" spans="2:15">
      <c r="B5480" s="20">
        <v>45771</v>
      </c>
      <c r="C5480" s="59">
        <v>50397884</v>
      </c>
      <c r="D5480" s="55" t="s">
        <v>1296</v>
      </c>
      <c r="G5480" s="65">
        <v>1080</v>
      </c>
      <c r="H5480" s="56" t="s">
        <v>80</v>
      </c>
      <c r="I5480" s="54">
        <v>8707444721</v>
      </c>
      <c r="J5480" s="56" t="s">
        <v>2978</v>
      </c>
      <c r="K5480" s="56">
        <v>3246</v>
      </c>
      <c r="L5480" s="55" t="s">
        <v>2152</v>
      </c>
      <c r="M5480" s="55" t="s">
        <v>2824</v>
      </c>
      <c r="N5480" s="4" t="s">
        <v>1905</v>
      </c>
      <c r="O5480" s="55" t="s">
        <v>178</v>
      </c>
    </row>
    <row r="5481" spans="2:15">
      <c r="B5481" s="20">
        <v>45771</v>
      </c>
      <c r="C5481" s="59">
        <v>50507916</v>
      </c>
      <c r="D5481" s="55" t="s">
        <v>406</v>
      </c>
      <c r="G5481" s="65">
        <v>264000</v>
      </c>
      <c r="H5481" s="56" t="s">
        <v>92</v>
      </c>
      <c r="I5481" s="54">
        <v>8707444721</v>
      </c>
      <c r="J5481" s="56" t="s">
        <v>2978</v>
      </c>
      <c r="K5481" s="56">
        <v>3246</v>
      </c>
      <c r="L5481" s="55" t="s">
        <v>2152</v>
      </c>
      <c r="M5481" s="55" t="s">
        <v>2824</v>
      </c>
      <c r="N5481" s="4" t="s">
        <v>1905</v>
      </c>
      <c r="O5481" s="55" t="s">
        <v>178</v>
      </c>
    </row>
    <row r="5482" spans="2:15">
      <c r="B5482" s="20">
        <v>45771</v>
      </c>
      <c r="C5482" s="59">
        <v>50470190</v>
      </c>
      <c r="D5482" s="55" t="s">
        <v>12</v>
      </c>
      <c r="G5482" s="65">
        <v>2608200</v>
      </c>
      <c r="H5482" s="56" t="s">
        <v>92</v>
      </c>
      <c r="I5482" s="54">
        <v>8707444721</v>
      </c>
      <c r="J5482" s="56" t="s">
        <v>2978</v>
      </c>
      <c r="K5482" s="56">
        <v>3246</v>
      </c>
      <c r="L5482" s="55" t="s">
        <v>2152</v>
      </c>
      <c r="M5482" s="55" t="s">
        <v>2824</v>
      </c>
      <c r="N5482" s="4" t="s">
        <v>1905</v>
      </c>
      <c r="O5482" s="55" t="s">
        <v>178</v>
      </c>
    </row>
    <row r="5483" spans="2:15">
      <c r="B5483" s="20">
        <v>45772</v>
      </c>
      <c r="C5483" s="59">
        <v>50142330</v>
      </c>
      <c r="D5483" s="55" t="s">
        <v>195</v>
      </c>
      <c r="G5483" s="65">
        <v>1080</v>
      </c>
      <c r="H5483" s="56" t="s">
        <v>82</v>
      </c>
      <c r="I5483" s="54">
        <v>8707909783</v>
      </c>
      <c r="J5483" s="56" t="s">
        <v>2978</v>
      </c>
      <c r="K5483" s="56">
        <v>3247</v>
      </c>
      <c r="L5483" s="55" t="s">
        <v>2152</v>
      </c>
      <c r="M5483" s="55" t="s">
        <v>2824</v>
      </c>
      <c r="N5483" s="4" t="s">
        <v>1905</v>
      </c>
      <c r="O5483" s="55" t="s">
        <v>178</v>
      </c>
    </row>
    <row r="5484" spans="2:15">
      <c r="B5484" s="20">
        <v>45772</v>
      </c>
      <c r="C5484" s="59">
        <v>40010087</v>
      </c>
      <c r="D5484" s="55" t="s">
        <v>387</v>
      </c>
      <c r="G5484" s="65">
        <v>864</v>
      </c>
      <c r="H5484" s="56" t="s">
        <v>80</v>
      </c>
      <c r="I5484" s="54">
        <v>8707909783</v>
      </c>
      <c r="J5484" s="56" t="s">
        <v>2978</v>
      </c>
      <c r="K5484" s="56">
        <v>3247</v>
      </c>
      <c r="L5484" s="55" t="s">
        <v>2152</v>
      </c>
      <c r="M5484" s="55" t="s">
        <v>2824</v>
      </c>
      <c r="N5484" s="4" t="s">
        <v>1905</v>
      </c>
      <c r="O5484" s="55" t="s">
        <v>178</v>
      </c>
    </row>
    <row r="5485" spans="2:15">
      <c r="B5485" s="20">
        <v>45772</v>
      </c>
      <c r="C5485" s="59">
        <v>50502050</v>
      </c>
      <c r="D5485" s="55" t="s">
        <v>1500</v>
      </c>
      <c r="G5485" s="65">
        <v>3500</v>
      </c>
      <c r="H5485" s="56" t="s">
        <v>82</v>
      </c>
      <c r="I5485" s="54">
        <v>8707909783</v>
      </c>
      <c r="J5485" s="56" t="s">
        <v>2978</v>
      </c>
      <c r="K5485" s="56">
        <v>3247</v>
      </c>
      <c r="L5485" s="55" t="s">
        <v>2152</v>
      </c>
      <c r="M5485" s="55" t="s">
        <v>2824</v>
      </c>
      <c r="N5485" s="4" t="s">
        <v>1905</v>
      </c>
      <c r="O5485" s="55" t="s">
        <v>178</v>
      </c>
    </row>
    <row r="5486" spans="2:15">
      <c r="B5486" s="20">
        <v>45772</v>
      </c>
      <c r="C5486" s="59">
        <v>40004808</v>
      </c>
      <c r="D5486" s="55" t="s">
        <v>91</v>
      </c>
      <c r="G5486" s="65">
        <v>540</v>
      </c>
      <c r="H5486" s="56" t="s">
        <v>1248</v>
      </c>
      <c r="I5486" s="54">
        <v>8707909783</v>
      </c>
      <c r="J5486" s="56" t="s">
        <v>2978</v>
      </c>
      <c r="K5486" s="56">
        <v>3247</v>
      </c>
      <c r="L5486" s="55" t="s">
        <v>2152</v>
      </c>
      <c r="M5486" s="55" t="s">
        <v>2824</v>
      </c>
      <c r="N5486" s="4" t="s">
        <v>1905</v>
      </c>
      <c r="O5486" s="55" t="s">
        <v>178</v>
      </c>
    </row>
    <row r="5487" spans="2:15">
      <c r="B5487" s="20">
        <v>45772</v>
      </c>
      <c r="C5487" s="59">
        <v>50397884</v>
      </c>
      <c r="D5487" s="55" t="s">
        <v>1296</v>
      </c>
      <c r="G5487" s="65">
        <v>675</v>
      </c>
      <c r="H5487" s="56" t="s">
        <v>80</v>
      </c>
      <c r="I5487" s="54">
        <v>8707909783</v>
      </c>
      <c r="J5487" s="56" t="s">
        <v>2978</v>
      </c>
      <c r="K5487" s="56">
        <v>3247</v>
      </c>
      <c r="L5487" s="55" t="s">
        <v>2152</v>
      </c>
      <c r="M5487" s="55" t="s">
        <v>2824</v>
      </c>
      <c r="N5487" s="4" t="s">
        <v>1905</v>
      </c>
      <c r="O5487" s="55" t="s">
        <v>178</v>
      </c>
    </row>
    <row r="5488" spans="2:15">
      <c r="B5488" s="20">
        <v>45772</v>
      </c>
      <c r="C5488" s="59">
        <v>40011588</v>
      </c>
      <c r="D5488" s="55" t="s">
        <v>585</v>
      </c>
      <c r="G5488" s="65">
        <v>2700</v>
      </c>
      <c r="H5488" s="56" t="s">
        <v>80</v>
      </c>
      <c r="I5488" s="54">
        <v>8707909783</v>
      </c>
      <c r="J5488" s="56" t="s">
        <v>2978</v>
      </c>
      <c r="K5488" s="56">
        <v>3247</v>
      </c>
      <c r="L5488" s="55" t="s">
        <v>2152</v>
      </c>
      <c r="M5488" s="55" t="s">
        <v>2824</v>
      </c>
      <c r="N5488" s="4" t="s">
        <v>1905</v>
      </c>
      <c r="O5488" s="55" t="s">
        <v>178</v>
      </c>
    </row>
    <row r="5489" spans="2:15">
      <c r="B5489" s="20">
        <v>45772</v>
      </c>
      <c r="C5489" s="59">
        <v>50145028</v>
      </c>
      <c r="D5489" s="55" t="s">
        <v>23</v>
      </c>
      <c r="G5489" s="65">
        <v>576</v>
      </c>
      <c r="H5489" s="56" t="s">
        <v>92</v>
      </c>
      <c r="I5489" s="54" t="s">
        <v>2874</v>
      </c>
      <c r="J5489" s="56" t="s">
        <v>2978</v>
      </c>
      <c r="K5489" s="56">
        <v>3248</v>
      </c>
      <c r="L5489" s="55" t="s">
        <v>326</v>
      </c>
      <c r="M5489" s="55" t="s">
        <v>2918</v>
      </c>
      <c r="N5489" s="4" t="s">
        <v>239</v>
      </c>
      <c r="O5489" s="55" t="s">
        <v>178</v>
      </c>
    </row>
    <row r="5490" spans="2:15">
      <c r="B5490" s="20">
        <v>45772</v>
      </c>
      <c r="C5490" s="59">
        <v>50144376</v>
      </c>
      <c r="D5490" s="55" t="s">
        <v>19</v>
      </c>
      <c r="G5490" s="65">
        <v>4000</v>
      </c>
      <c r="H5490" s="56" t="s">
        <v>92</v>
      </c>
      <c r="I5490" s="54" t="s">
        <v>2874</v>
      </c>
      <c r="J5490" s="56" t="s">
        <v>2978</v>
      </c>
      <c r="K5490" s="56">
        <v>3248</v>
      </c>
      <c r="L5490" s="55" t="s">
        <v>326</v>
      </c>
      <c r="M5490" s="55" t="s">
        <v>2918</v>
      </c>
      <c r="N5490" s="4" t="s">
        <v>239</v>
      </c>
      <c r="O5490" s="55" t="s">
        <v>178</v>
      </c>
    </row>
    <row r="5491" spans="2:15">
      <c r="B5491" s="20">
        <v>45776</v>
      </c>
      <c r="C5491" s="59">
        <v>40014675</v>
      </c>
      <c r="D5491" s="55" t="s">
        <v>44</v>
      </c>
      <c r="G5491" s="65">
        <v>31.68</v>
      </c>
      <c r="H5491" s="56" t="s">
        <v>80</v>
      </c>
      <c r="I5491" s="54">
        <v>8709207883</v>
      </c>
      <c r="J5491" s="56" t="s">
        <v>2978</v>
      </c>
      <c r="K5491" s="56">
        <v>307</v>
      </c>
      <c r="L5491" s="55" t="s">
        <v>2152</v>
      </c>
      <c r="M5491" s="55" t="s">
        <v>2824</v>
      </c>
      <c r="N5491" s="4" t="s">
        <v>1905</v>
      </c>
      <c r="O5491" s="55" t="s">
        <v>178</v>
      </c>
    </row>
    <row r="5492" spans="2:15">
      <c r="B5492" s="20">
        <v>45776</v>
      </c>
      <c r="C5492" s="59">
        <v>40014675</v>
      </c>
      <c r="D5492" s="55" t="s">
        <v>44</v>
      </c>
      <c r="G5492" s="65">
        <v>34.56</v>
      </c>
      <c r="H5492" s="56" t="s">
        <v>80</v>
      </c>
      <c r="I5492" s="54">
        <v>8709208008</v>
      </c>
      <c r="J5492" s="56" t="s">
        <v>2978</v>
      </c>
      <c r="K5492" s="56">
        <v>308</v>
      </c>
      <c r="L5492" s="55" t="s">
        <v>2004</v>
      </c>
      <c r="M5492" s="55" t="s">
        <v>2824</v>
      </c>
      <c r="N5492" s="4" t="s">
        <v>3026</v>
      </c>
      <c r="O5492" s="55" t="s">
        <v>178</v>
      </c>
    </row>
    <row r="5493" spans="2:15">
      <c r="B5493" s="20">
        <v>45779</v>
      </c>
      <c r="C5493" s="59">
        <v>40009544</v>
      </c>
      <c r="D5493" s="55" t="s">
        <v>179</v>
      </c>
      <c r="G5493" s="65">
        <v>10080</v>
      </c>
      <c r="H5493" s="56" t="s">
        <v>80</v>
      </c>
      <c r="I5493" s="54">
        <v>8710086602</v>
      </c>
      <c r="J5493" s="56" t="s">
        <v>2978</v>
      </c>
      <c r="K5493" s="56">
        <v>3249</v>
      </c>
      <c r="L5493" s="55" t="s">
        <v>2152</v>
      </c>
      <c r="M5493" s="55" t="s">
        <v>2824</v>
      </c>
      <c r="N5493" s="4" t="s">
        <v>1905</v>
      </c>
      <c r="O5493" s="55" t="s">
        <v>178</v>
      </c>
    </row>
    <row r="5494" spans="2:15">
      <c r="B5494" s="20">
        <v>45779</v>
      </c>
      <c r="C5494" s="59">
        <v>50272278</v>
      </c>
      <c r="D5494" s="55" t="s">
        <v>21</v>
      </c>
      <c r="G5494" s="65">
        <v>4000</v>
      </c>
      <c r="H5494" s="56" t="s">
        <v>92</v>
      </c>
      <c r="I5494" s="54">
        <v>8710086602</v>
      </c>
      <c r="J5494" s="56" t="s">
        <v>2978</v>
      </c>
      <c r="K5494" s="56">
        <v>3249</v>
      </c>
      <c r="L5494" s="55" t="s">
        <v>2152</v>
      </c>
      <c r="M5494" s="55" t="s">
        <v>2824</v>
      </c>
      <c r="N5494" s="4" t="s">
        <v>1905</v>
      </c>
      <c r="O5494" s="55" t="s">
        <v>178</v>
      </c>
    </row>
    <row r="5495" spans="2:15">
      <c r="B5495" s="20">
        <v>45779</v>
      </c>
      <c r="C5495" s="59">
        <v>40004808</v>
      </c>
      <c r="D5495" s="55" t="s">
        <v>91</v>
      </c>
      <c r="G5495" s="65">
        <v>1620</v>
      </c>
      <c r="H5495" s="56" t="s">
        <v>1248</v>
      </c>
      <c r="I5495" s="54">
        <v>8710086602</v>
      </c>
      <c r="J5495" s="56" t="s">
        <v>2978</v>
      </c>
      <c r="K5495" s="56">
        <v>3249</v>
      </c>
      <c r="L5495" s="55" t="s">
        <v>2152</v>
      </c>
      <c r="M5495" s="55" t="s">
        <v>2824</v>
      </c>
      <c r="N5495" s="4" t="s">
        <v>1905</v>
      </c>
      <c r="O5495" s="55" t="s">
        <v>178</v>
      </c>
    </row>
    <row r="5496" spans="2:15">
      <c r="B5496" s="20">
        <v>45779</v>
      </c>
      <c r="C5496" s="59">
        <v>50470190</v>
      </c>
      <c r="D5496" s="55" t="s">
        <v>12</v>
      </c>
      <c r="G5496" s="65">
        <v>2318400</v>
      </c>
      <c r="H5496" s="56" t="s">
        <v>962</v>
      </c>
      <c r="I5496" s="54">
        <v>8710086602</v>
      </c>
      <c r="J5496" s="56" t="s">
        <v>2978</v>
      </c>
      <c r="K5496" s="56">
        <v>3249</v>
      </c>
      <c r="L5496" s="55" t="s">
        <v>2152</v>
      </c>
      <c r="M5496" s="55" t="s">
        <v>2824</v>
      </c>
      <c r="N5496" s="4" t="s">
        <v>1905</v>
      </c>
      <c r="O5496" s="55" t="s">
        <v>178</v>
      </c>
    </row>
    <row r="5497" spans="2:15">
      <c r="B5497" s="20">
        <v>45779</v>
      </c>
      <c r="C5497" s="59">
        <v>50272278</v>
      </c>
      <c r="D5497" s="55" t="s">
        <v>21</v>
      </c>
      <c r="G5497" s="65">
        <v>11000</v>
      </c>
      <c r="H5497" s="56" t="s">
        <v>962</v>
      </c>
      <c r="I5497" s="54">
        <v>8710086644</v>
      </c>
      <c r="J5497" s="56" t="s">
        <v>2978</v>
      </c>
      <c r="K5497" s="56">
        <v>3250</v>
      </c>
      <c r="L5497" s="55" t="s">
        <v>2152</v>
      </c>
      <c r="M5497" s="55" t="s">
        <v>2824</v>
      </c>
      <c r="N5497" s="4" t="s">
        <v>1905</v>
      </c>
      <c r="O5497" s="55" t="s">
        <v>178</v>
      </c>
    </row>
    <row r="5498" spans="2:15">
      <c r="B5498" s="20">
        <v>45782</v>
      </c>
      <c r="C5498" s="59">
        <v>50804971</v>
      </c>
      <c r="D5498" s="55" t="s">
        <v>855</v>
      </c>
      <c r="G5498" s="65">
        <v>1752000</v>
      </c>
      <c r="H5498" s="56" t="s">
        <v>92</v>
      </c>
      <c r="I5498" s="54">
        <v>8710681147</v>
      </c>
      <c r="J5498" s="56" t="s">
        <v>2978</v>
      </c>
      <c r="K5498" s="56">
        <v>3251</v>
      </c>
      <c r="L5498" s="55" t="s">
        <v>2152</v>
      </c>
      <c r="M5498" s="55" t="s">
        <v>2824</v>
      </c>
      <c r="N5498" s="4" t="s">
        <v>1905</v>
      </c>
      <c r="O5498" s="55" t="s">
        <v>178</v>
      </c>
    </row>
    <row r="5499" spans="2:15">
      <c r="B5499" s="20">
        <v>45782</v>
      </c>
      <c r="C5499" s="59">
        <v>50804929</v>
      </c>
      <c r="D5499" s="55" t="s">
        <v>856</v>
      </c>
      <c r="G5499" s="65">
        <v>960000</v>
      </c>
      <c r="H5499" s="56" t="s">
        <v>92</v>
      </c>
      <c r="I5499" s="54">
        <v>8710681147</v>
      </c>
      <c r="J5499" s="56" t="s">
        <v>2978</v>
      </c>
      <c r="K5499" s="56">
        <v>3251</v>
      </c>
      <c r="L5499" s="55" t="s">
        <v>2152</v>
      </c>
      <c r="M5499" s="55" t="s">
        <v>2824</v>
      </c>
      <c r="N5499" s="4" t="s">
        <v>1905</v>
      </c>
      <c r="O5499" s="55" t="s">
        <v>178</v>
      </c>
    </row>
    <row r="5500" spans="2:15">
      <c r="B5500" s="20">
        <v>45782</v>
      </c>
      <c r="C5500" s="59">
        <v>40010087</v>
      </c>
      <c r="D5500" s="55" t="s">
        <v>387</v>
      </c>
      <c r="G5500" s="65">
        <v>864</v>
      </c>
      <c r="H5500" s="56" t="s">
        <v>80</v>
      </c>
      <c r="I5500" s="54">
        <v>8710681147</v>
      </c>
      <c r="J5500" s="56" t="s">
        <v>2978</v>
      </c>
      <c r="K5500" s="56">
        <v>3251</v>
      </c>
      <c r="L5500" s="55" t="s">
        <v>2152</v>
      </c>
      <c r="M5500" s="55" t="s">
        <v>2824</v>
      </c>
      <c r="N5500" s="4" t="s">
        <v>1905</v>
      </c>
      <c r="O5500" s="55" t="s">
        <v>178</v>
      </c>
    </row>
    <row r="5501" spans="2:15">
      <c r="B5501" s="20">
        <v>45782</v>
      </c>
      <c r="C5501" s="59">
        <v>40004808</v>
      </c>
      <c r="D5501" s="55" t="s">
        <v>91</v>
      </c>
      <c r="G5501" s="65">
        <v>1080</v>
      </c>
      <c r="H5501" s="56" t="s">
        <v>1248</v>
      </c>
      <c r="I5501" s="54">
        <v>8710681147</v>
      </c>
      <c r="J5501" s="56" t="s">
        <v>2978</v>
      </c>
      <c r="K5501" s="56">
        <v>3251</v>
      </c>
      <c r="L5501" s="55" t="s">
        <v>2152</v>
      </c>
      <c r="M5501" s="55" t="s">
        <v>2824</v>
      </c>
      <c r="N5501" s="4" t="s">
        <v>1905</v>
      </c>
      <c r="O5501" s="55" t="s">
        <v>178</v>
      </c>
    </row>
    <row r="5502" spans="2:15">
      <c r="B5502" s="20">
        <v>45782</v>
      </c>
      <c r="C5502" s="59">
        <v>40009543</v>
      </c>
      <c r="D5502" s="55" t="s">
        <v>473</v>
      </c>
      <c r="G5502" s="65">
        <v>1182</v>
      </c>
      <c r="H5502" s="56" t="s">
        <v>80</v>
      </c>
      <c r="I5502" s="54">
        <v>8710681147</v>
      </c>
      <c r="J5502" s="56" t="s">
        <v>2978</v>
      </c>
      <c r="K5502" s="56">
        <v>3251</v>
      </c>
      <c r="L5502" s="55" t="s">
        <v>2152</v>
      </c>
      <c r="M5502" s="55" t="s">
        <v>2824</v>
      </c>
      <c r="N5502" s="4" t="s">
        <v>1905</v>
      </c>
      <c r="O5502" s="55" t="s">
        <v>178</v>
      </c>
    </row>
    <row r="5503" spans="2:15">
      <c r="B5503" s="20">
        <v>45782</v>
      </c>
      <c r="C5503" s="59">
        <v>40010376</v>
      </c>
      <c r="D5503" s="55" t="s">
        <v>84</v>
      </c>
      <c r="G5503" s="65">
        <v>1536</v>
      </c>
      <c r="H5503" s="56" t="s">
        <v>80</v>
      </c>
      <c r="I5503" s="54">
        <v>8710681147</v>
      </c>
      <c r="J5503" s="56" t="s">
        <v>2978</v>
      </c>
      <c r="K5503" s="56">
        <v>3251</v>
      </c>
      <c r="L5503" s="55" t="s">
        <v>2152</v>
      </c>
      <c r="M5503" s="55" t="s">
        <v>2824</v>
      </c>
      <c r="N5503" s="4" t="s">
        <v>1905</v>
      </c>
      <c r="O5503" s="55" t="s">
        <v>178</v>
      </c>
    </row>
    <row r="5504" spans="2:15">
      <c r="B5504" s="20">
        <v>45782</v>
      </c>
      <c r="C5504" s="59">
        <v>50145187</v>
      </c>
      <c r="D5504" s="55" t="s">
        <v>465</v>
      </c>
      <c r="G5504" s="65">
        <v>726000</v>
      </c>
      <c r="H5504" s="56" t="s">
        <v>92</v>
      </c>
      <c r="I5504" s="54">
        <v>8710681147</v>
      </c>
      <c r="J5504" s="56" t="s">
        <v>2978</v>
      </c>
      <c r="K5504" s="56">
        <v>3251</v>
      </c>
      <c r="L5504" s="55" t="s">
        <v>2152</v>
      </c>
      <c r="M5504" s="55" t="s">
        <v>2824</v>
      </c>
      <c r="N5504" s="4" t="s">
        <v>1905</v>
      </c>
      <c r="O5504" s="55" t="s">
        <v>178</v>
      </c>
    </row>
    <row r="5505" spans="2:15">
      <c r="B5505" s="20">
        <v>45782</v>
      </c>
      <c r="C5505" s="59">
        <v>50337814</v>
      </c>
      <c r="D5505" s="55" t="s">
        <v>669</v>
      </c>
      <c r="G5505" s="65">
        <v>528</v>
      </c>
      <c r="H5505" s="56" t="s">
        <v>80</v>
      </c>
      <c r="I5505" s="54">
        <v>8710681147</v>
      </c>
      <c r="J5505" s="56" t="s">
        <v>2978</v>
      </c>
      <c r="K5505" s="56">
        <v>3251</v>
      </c>
      <c r="L5505" s="55" t="s">
        <v>2152</v>
      </c>
      <c r="M5505" s="55" t="s">
        <v>2824</v>
      </c>
      <c r="N5505" s="4" t="s">
        <v>1905</v>
      </c>
      <c r="O5505" s="55" t="s">
        <v>178</v>
      </c>
    </row>
    <row r="5506" spans="2:15">
      <c r="B5506" s="20">
        <v>45782</v>
      </c>
      <c r="C5506" s="59">
        <v>50470190</v>
      </c>
      <c r="D5506" s="55" t="s">
        <v>12</v>
      </c>
      <c r="G5506" s="65">
        <v>1449000</v>
      </c>
      <c r="H5506" s="56" t="s">
        <v>92</v>
      </c>
      <c r="I5506" s="54">
        <v>8710681147</v>
      </c>
      <c r="J5506" s="56" t="s">
        <v>2978</v>
      </c>
      <c r="K5506" s="56">
        <v>3251</v>
      </c>
      <c r="L5506" s="55" t="s">
        <v>2152</v>
      </c>
      <c r="M5506" s="55" t="s">
        <v>2824</v>
      </c>
      <c r="N5506" s="4" t="s">
        <v>1905</v>
      </c>
      <c r="O5506" s="55" t="s">
        <v>178</v>
      </c>
    </row>
    <row r="5507" spans="2:15">
      <c r="B5507" s="20">
        <v>45782</v>
      </c>
      <c r="C5507" s="59">
        <v>50272278</v>
      </c>
      <c r="D5507" s="69" t="s">
        <v>21</v>
      </c>
      <c r="G5507" s="65">
        <v>11000</v>
      </c>
      <c r="H5507" s="56" t="s">
        <v>962</v>
      </c>
      <c r="I5507" s="54">
        <v>8710681149</v>
      </c>
      <c r="J5507" s="56" t="s">
        <v>2978</v>
      </c>
      <c r="K5507" s="56">
        <v>3252</v>
      </c>
      <c r="L5507" s="55" t="s">
        <v>2152</v>
      </c>
      <c r="M5507" s="55" t="s">
        <v>2824</v>
      </c>
      <c r="N5507" s="4" t="s">
        <v>1905</v>
      </c>
      <c r="O5507" s="55" t="s">
        <v>178</v>
      </c>
    </row>
    <row r="5508" spans="2:15">
      <c r="B5508" s="20">
        <v>45783</v>
      </c>
      <c r="C5508" s="59">
        <v>50272278</v>
      </c>
      <c r="D5508" s="55" t="s">
        <v>21</v>
      </c>
      <c r="G5508" s="122">
        <v>5000</v>
      </c>
      <c r="H5508" s="56" t="s">
        <v>962</v>
      </c>
      <c r="I5508" s="54">
        <v>8711003924</v>
      </c>
      <c r="J5508" s="56" t="s">
        <v>2978</v>
      </c>
      <c r="K5508" s="56">
        <v>3253</v>
      </c>
      <c r="L5508" s="55" t="s">
        <v>2152</v>
      </c>
      <c r="M5508" s="55" t="s">
        <v>2824</v>
      </c>
      <c r="N5508" s="4" t="s">
        <v>1905</v>
      </c>
      <c r="O5508" s="55" t="s">
        <v>178</v>
      </c>
    </row>
    <row r="5509" spans="2:15">
      <c r="B5509" s="20">
        <v>45783</v>
      </c>
      <c r="C5509" s="59">
        <v>50470190</v>
      </c>
      <c r="D5509" s="55" t="s">
        <v>12</v>
      </c>
      <c r="G5509" s="122">
        <v>2898000</v>
      </c>
      <c r="H5509" s="56" t="s">
        <v>962</v>
      </c>
      <c r="I5509" s="54">
        <v>8711003924</v>
      </c>
      <c r="J5509" s="56" t="s">
        <v>2978</v>
      </c>
      <c r="K5509" s="56">
        <v>3253</v>
      </c>
      <c r="L5509" s="55" t="s">
        <v>2152</v>
      </c>
      <c r="M5509" s="55" t="s">
        <v>2824</v>
      </c>
      <c r="N5509" s="4" t="s">
        <v>1905</v>
      </c>
      <c r="O5509" s="55" t="s">
        <v>178</v>
      </c>
    </row>
    <row r="5510" spans="2:15">
      <c r="B5510" s="20">
        <v>45783</v>
      </c>
      <c r="C5510" s="59">
        <v>50145028</v>
      </c>
      <c r="D5510" s="55" t="s">
        <v>23</v>
      </c>
      <c r="G5510" s="65">
        <v>960</v>
      </c>
      <c r="H5510" s="56" t="s">
        <v>92</v>
      </c>
      <c r="I5510" s="54" t="s">
        <v>2874</v>
      </c>
      <c r="J5510" s="56" t="s">
        <v>2978</v>
      </c>
      <c r="K5510" s="56">
        <v>3254</v>
      </c>
      <c r="L5510" s="55" t="s">
        <v>326</v>
      </c>
      <c r="M5510" s="55" t="s">
        <v>2918</v>
      </c>
      <c r="N5510" s="4" t="s">
        <v>327</v>
      </c>
      <c r="O5510" s="55" t="s">
        <v>178</v>
      </c>
    </row>
    <row r="5511" spans="2:15">
      <c r="B5511" s="20">
        <v>45783</v>
      </c>
      <c r="C5511" s="59">
        <v>50843042</v>
      </c>
      <c r="D5511" s="55" t="s">
        <v>2282</v>
      </c>
      <c r="G5511" s="65">
        <v>300.6</v>
      </c>
      <c r="H5511" s="56" t="s">
        <v>82</v>
      </c>
      <c r="I5511" s="54" t="s">
        <v>2874</v>
      </c>
      <c r="J5511" s="56" t="s">
        <v>2978</v>
      </c>
      <c r="K5511" s="56">
        <v>3254</v>
      </c>
      <c r="L5511" s="55" t="s">
        <v>326</v>
      </c>
      <c r="M5511" s="55" t="s">
        <v>2918</v>
      </c>
      <c r="N5511" s="4" t="s">
        <v>327</v>
      </c>
      <c r="O5511" s="55" t="s">
        <v>178</v>
      </c>
    </row>
    <row r="5512" spans="2:15">
      <c r="B5512" s="20">
        <v>45784</v>
      </c>
      <c r="C5512" s="59">
        <v>50144376</v>
      </c>
      <c r="D5512" s="55" t="s">
        <v>19</v>
      </c>
      <c r="G5512" s="65">
        <v>3500</v>
      </c>
      <c r="H5512" s="56" t="s">
        <v>92</v>
      </c>
      <c r="I5512" s="54">
        <v>8711349335</v>
      </c>
      <c r="J5512" s="56" t="s">
        <v>2978</v>
      </c>
      <c r="K5512" s="56">
        <v>3255</v>
      </c>
      <c r="L5512" s="55" t="s">
        <v>2152</v>
      </c>
      <c r="M5512" s="55" t="s">
        <v>2824</v>
      </c>
      <c r="N5512" s="4" t="s">
        <v>1905</v>
      </c>
      <c r="O5512" s="55" t="s">
        <v>178</v>
      </c>
    </row>
    <row r="5513" spans="2:15">
      <c r="B5513" s="20">
        <v>45784</v>
      </c>
      <c r="C5513" s="59">
        <v>50272278</v>
      </c>
      <c r="D5513" s="55" t="s">
        <v>21</v>
      </c>
      <c r="G5513" s="65">
        <v>3000</v>
      </c>
      <c r="H5513" s="56" t="s">
        <v>92</v>
      </c>
      <c r="I5513" s="54">
        <v>8711349335</v>
      </c>
      <c r="J5513" s="56" t="s">
        <v>2978</v>
      </c>
      <c r="K5513" s="56">
        <v>3255</v>
      </c>
      <c r="L5513" s="55" t="s">
        <v>2152</v>
      </c>
      <c r="M5513" s="55" t="s">
        <v>2824</v>
      </c>
      <c r="N5513" s="4" t="s">
        <v>1905</v>
      </c>
      <c r="O5513" s="55" t="s">
        <v>178</v>
      </c>
    </row>
    <row r="5514" spans="2:15">
      <c r="B5514" s="20">
        <v>45784</v>
      </c>
      <c r="C5514" s="59">
        <v>50337816</v>
      </c>
      <c r="D5514" s="55" t="s">
        <v>245</v>
      </c>
      <c r="G5514" s="65">
        <v>390</v>
      </c>
      <c r="H5514" s="56" t="s">
        <v>80</v>
      </c>
      <c r="I5514" s="54">
        <v>8711349335</v>
      </c>
      <c r="J5514" s="56" t="s">
        <v>2978</v>
      </c>
      <c r="K5514" s="56">
        <v>3255</v>
      </c>
      <c r="L5514" s="55" t="s">
        <v>2152</v>
      </c>
      <c r="M5514" s="55" t="s">
        <v>2824</v>
      </c>
      <c r="N5514" s="4" t="s">
        <v>1905</v>
      </c>
      <c r="O5514" s="55" t="s">
        <v>178</v>
      </c>
    </row>
    <row r="5515" spans="2:15">
      <c r="B5515" s="20">
        <v>45784</v>
      </c>
      <c r="C5515" s="59">
        <v>50470190</v>
      </c>
      <c r="D5515" s="55" t="s">
        <v>12</v>
      </c>
      <c r="G5515" s="65">
        <v>869400</v>
      </c>
      <c r="H5515" s="56" t="s">
        <v>92</v>
      </c>
      <c r="I5515" s="54">
        <v>8711349335</v>
      </c>
      <c r="J5515" s="56" t="s">
        <v>2978</v>
      </c>
      <c r="K5515" s="56">
        <v>3255</v>
      </c>
      <c r="L5515" s="55" t="s">
        <v>2152</v>
      </c>
      <c r="M5515" s="55" t="s">
        <v>2824</v>
      </c>
      <c r="N5515" s="4" t="s">
        <v>1905</v>
      </c>
      <c r="O5515" s="55" t="s">
        <v>178</v>
      </c>
    </row>
    <row r="5516" spans="2:15">
      <c r="B5516" s="20">
        <v>45784</v>
      </c>
      <c r="C5516" s="59">
        <v>50142327</v>
      </c>
      <c r="D5516" s="55" t="s">
        <v>256</v>
      </c>
      <c r="G5516" s="65">
        <v>953.4</v>
      </c>
      <c r="H5516" s="56" t="s">
        <v>82</v>
      </c>
      <c r="I5516" s="54">
        <v>8711349335</v>
      </c>
      <c r="J5516" s="56" t="s">
        <v>2978</v>
      </c>
      <c r="K5516" s="56">
        <v>3255</v>
      </c>
      <c r="L5516" s="55" t="s">
        <v>2152</v>
      </c>
      <c r="M5516" s="55" t="s">
        <v>2824</v>
      </c>
      <c r="N5516" s="4" t="s">
        <v>1905</v>
      </c>
      <c r="O5516" s="55" t="s">
        <v>178</v>
      </c>
    </row>
    <row r="5517" spans="2:15">
      <c r="B5517" s="20">
        <v>45784</v>
      </c>
      <c r="C5517" s="59">
        <v>50142334</v>
      </c>
      <c r="D5517" s="55" t="s">
        <v>257</v>
      </c>
      <c r="G5517" s="65">
        <v>953.4</v>
      </c>
      <c r="H5517" s="56" t="s">
        <v>82</v>
      </c>
      <c r="I5517" s="54">
        <v>8711349335</v>
      </c>
      <c r="J5517" s="56" t="s">
        <v>2978</v>
      </c>
      <c r="K5517" s="56">
        <v>3255</v>
      </c>
      <c r="L5517" s="55" t="s">
        <v>2152</v>
      </c>
      <c r="M5517" s="55" t="s">
        <v>2824</v>
      </c>
      <c r="N5517" s="4" t="s">
        <v>1905</v>
      </c>
      <c r="O5517" s="55" t="s">
        <v>178</v>
      </c>
    </row>
    <row r="5518" spans="2:15">
      <c r="B5518" s="20">
        <v>45785</v>
      </c>
      <c r="C5518" s="59">
        <v>50010080</v>
      </c>
      <c r="D5518" s="55" t="s">
        <v>1657</v>
      </c>
      <c r="G5518" s="65">
        <v>3000</v>
      </c>
      <c r="H5518" s="56" t="s">
        <v>82</v>
      </c>
      <c r="I5518" s="54">
        <v>8711697852</v>
      </c>
      <c r="J5518" s="56" t="s">
        <v>2978</v>
      </c>
      <c r="K5518" s="56">
        <v>3256</v>
      </c>
      <c r="L5518" s="55" t="s">
        <v>2152</v>
      </c>
      <c r="M5518" s="55" t="s">
        <v>2824</v>
      </c>
      <c r="N5518" s="4" t="s">
        <v>1905</v>
      </c>
      <c r="O5518" s="55" t="s">
        <v>178</v>
      </c>
    </row>
    <row r="5519" spans="2:15">
      <c r="B5519" s="20">
        <v>45785</v>
      </c>
      <c r="C5519" s="59">
        <v>50804929</v>
      </c>
      <c r="D5519" s="55" t="s">
        <v>856</v>
      </c>
      <c r="G5519" s="65">
        <v>720000</v>
      </c>
      <c r="H5519" s="56" t="s">
        <v>92</v>
      </c>
      <c r="I5519" s="54">
        <v>8711697852</v>
      </c>
      <c r="J5519" s="56" t="s">
        <v>2978</v>
      </c>
      <c r="K5519" s="56">
        <v>3256</v>
      </c>
      <c r="L5519" s="55" t="s">
        <v>2152</v>
      </c>
      <c r="M5519" s="55" t="s">
        <v>2824</v>
      </c>
      <c r="N5519" s="4" t="s">
        <v>1905</v>
      </c>
      <c r="O5519" s="55" t="s">
        <v>178</v>
      </c>
    </row>
    <row r="5520" spans="2:15">
      <c r="B5520" s="20">
        <v>45785</v>
      </c>
      <c r="C5520" s="59">
        <v>50145187</v>
      </c>
      <c r="D5520" s="55" t="s">
        <v>465</v>
      </c>
      <c r="G5520" s="65">
        <v>528000</v>
      </c>
      <c r="H5520" s="56" t="s">
        <v>92</v>
      </c>
      <c r="I5520" s="54">
        <v>8711697852</v>
      </c>
      <c r="J5520" s="56" t="s">
        <v>2978</v>
      </c>
      <c r="K5520" s="56">
        <v>3256</v>
      </c>
      <c r="L5520" s="55" t="s">
        <v>2152</v>
      </c>
      <c r="M5520" s="55" t="s">
        <v>2824</v>
      </c>
      <c r="N5520" s="4" t="s">
        <v>1905</v>
      </c>
      <c r="O5520" s="55" t="s">
        <v>178</v>
      </c>
    </row>
    <row r="5521" spans="2:15">
      <c r="B5521" s="20">
        <v>45785</v>
      </c>
      <c r="C5521" s="59">
        <v>50470190</v>
      </c>
      <c r="D5521" s="55" t="s">
        <v>12</v>
      </c>
      <c r="G5521" s="65">
        <v>2028600</v>
      </c>
      <c r="H5521" s="56" t="s">
        <v>92</v>
      </c>
      <c r="I5521" s="54">
        <v>8711697852</v>
      </c>
      <c r="J5521" s="56" t="s">
        <v>2978</v>
      </c>
      <c r="K5521" s="56">
        <v>3256</v>
      </c>
      <c r="L5521" s="55" t="s">
        <v>2152</v>
      </c>
      <c r="M5521" s="55" t="s">
        <v>2824</v>
      </c>
      <c r="N5521" s="4" t="s">
        <v>1905</v>
      </c>
      <c r="O5521" s="55" t="s">
        <v>178</v>
      </c>
    </row>
    <row r="5522" spans="2:15">
      <c r="B5522" s="20">
        <v>45785</v>
      </c>
      <c r="C5522" s="59">
        <v>40011588</v>
      </c>
      <c r="D5522" s="55" t="s">
        <v>585</v>
      </c>
      <c r="G5522" s="65">
        <v>2250</v>
      </c>
      <c r="H5522" s="56" t="s">
        <v>80</v>
      </c>
      <c r="I5522" s="54">
        <v>8711697852</v>
      </c>
      <c r="J5522" s="56" t="s">
        <v>2978</v>
      </c>
      <c r="K5522" s="56">
        <v>3256</v>
      </c>
      <c r="L5522" s="55" t="s">
        <v>2152</v>
      </c>
      <c r="M5522" s="55" t="s">
        <v>2824</v>
      </c>
      <c r="N5522" s="4" t="s">
        <v>1905</v>
      </c>
      <c r="O5522" s="55" t="s">
        <v>178</v>
      </c>
    </row>
    <row r="5523" spans="2:15">
      <c r="B5523" s="20">
        <v>45786</v>
      </c>
      <c r="C5523" s="59">
        <v>50144376</v>
      </c>
      <c r="D5523" s="55" t="s">
        <v>19</v>
      </c>
      <c r="G5523" s="65">
        <v>2500</v>
      </c>
      <c r="H5523" s="56" t="s">
        <v>92</v>
      </c>
      <c r="I5523" s="54">
        <v>8712055531</v>
      </c>
      <c r="J5523" s="56" t="s">
        <v>2978</v>
      </c>
      <c r="K5523" s="56">
        <v>3257</v>
      </c>
      <c r="L5523" s="55" t="s">
        <v>2152</v>
      </c>
      <c r="M5523" s="55" t="s">
        <v>2824</v>
      </c>
      <c r="N5523" s="4" t="s">
        <v>1905</v>
      </c>
      <c r="O5523" s="55" t="s">
        <v>178</v>
      </c>
    </row>
    <row r="5524" spans="2:15">
      <c r="B5524" s="20">
        <v>45786</v>
      </c>
      <c r="C5524" s="59">
        <v>50272278</v>
      </c>
      <c r="D5524" s="55" t="s">
        <v>21</v>
      </c>
      <c r="G5524" s="65">
        <v>6500</v>
      </c>
      <c r="H5524" s="56" t="s">
        <v>92</v>
      </c>
      <c r="I5524" s="54">
        <v>8712055531</v>
      </c>
      <c r="J5524" s="56" t="s">
        <v>2978</v>
      </c>
      <c r="K5524" s="56">
        <v>3257</v>
      </c>
      <c r="L5524" s="55" t="s">
        <v>2152</v>
      </c>
      <c r="M5524" s="55" t="s">
        <v>2824</v>
      </c>
      <c r="N5524" s="4" t="s">
        <v>1905</v>
      </c>
      <c r="O5524" s="55" t="s">
        <v>178</v>
      </c>
    </row>
    <row r="5525" spans="2:15">
      <c r="B5525" s="20">
        <v>45786</v>
      </c>
      <c r="C5525" s="59">
        <v>50837509</v>
      </c>
      <c r="D5525" s="55" t="s">
        <v>14</v>
      </c>
      <c r="G5525" s="65">
        <v>1159200</v>
      </c>
      <c r="H5525" s="56" t="s">
        <v>92</v>
      </c>
      <c r="I5525" s="54">
        <v>8712055531</v>
      </c>
      <c r="J5525" s="56" t="s">
        <v>2978</v>
      </c>
      <c r="K5525" s="56">
        <v>3257</v>
      </c>
      <c r="L5525" s="55" t="s">
        <v>2152</v>
      </c>
      <c r="M5525" s="55" t="s">
        <v>2824</v>
      </c>
      <c r="N5525" s="4" t="s">
        <v>1905</v>
      </c>
      <c r="O5525" s="55" t="s">
        <v>178</v>
      </c>
    </row>
    <row r="5526" spans="2:15">
      <c r="B5526" s="20">
        <v>45786</v>
      </c>
      <c r="C5526" s="59">
        <v>40014675</v>
      </c>
      <c r="D5526" s="55" t="s">
        <v>44</v>
      </c>
      <c r="G5526" s="65">
        <v>34.56</v>
      </c>
      <c r="H5526" s="56" t="s">
        <v>80</v>
      </c>
      <c r="I5526" s="54">
        <v>8712055723</v>
      </c>
      <c r="J5526" s="56" t="s">
        <v>2978</v>
      </c>
      <c r="K5526" s="56">
        <v>309</v>
      </c>
      <c r="L5526" s="55" t="s">
        <v>2004</v>
      </c>
      <c r="M5526" s="55" t="s">
        <v>2824</v>
      </c>
      <c r="N5526" s="4" t="s">
        <v>1275</v>
      </c>
      <c r="O5526" s="55" t="s">
        <v>178</v>
      </c>
    </row>
    <row r="5527" spans="2:15">
      <c r="B5527" s="20">
        <v>45786</v>
      </c>
      <c r="C5527" s="59">
        <v>40014675</v>
      </c>
      <c r="D5527" s="55" t="s">
        <v>44</v>
      </c>
      <c r="G5527" s="65">
        <v>34.56</v>
      </c>
      <c r="H5527" s="56" t="s">
        <v>80</v>
      </c>
      <c r="I5527" s="54">
        <v>8712055875</v>
      </c>
      <c r="J5527" s="56" t="s">
        <v>2978</v>
      </c>
      <c r="K5527" s="56">
        <v>310</v>
      </c>
      <c r="L5527" s="55" t="s">
        <v>2004</v>
      </c>
      <c r="M5527" s="55" t="s">
        <v>2824</v>
      </c>
      <c r="N5527" s="4" t="s">
        <v>1275</v>
      </c>
      <c r="O5527" s="55" t="s">
        <v>178</v>
      </c>
    </row>
    <row r="5528" spans="2:15">
      <c r="B5528" s="20">
        <v>45786</v>
      </c>
      <c r="C5528" s="59">
        <v>40014675</v>
      </c>
      <c r="D5528" s="55" t="s">
        <v>44</v>
      </c>
      <c r="G5528" s="65">
        <v>34.56</v>
      </c>
      <c r="H5528" s="56" t="s">
        <v>80</v>
      </c>
      <c r="I5528" s="54">
        <v>8712055877</v>
      </c>
      <c r="J5528" s="56" t="s">
        <v>2978</v>
      </c>
      <c r="K5528" s="56">
        <v>311</v>
      </c>
      <c r="L5528" s="55" t="s">
        <v>2004</v>
      </c>
      <c r="M5528" s="55" t="s">
        <v>2824</v>
      </c>
      <c r="N5528" s="4" t="s">
        <v>1275</v>
      </c>
      <c r="O5528" s="55" t="s">
        <v>178</v>
      </c>
    </row>
    <row r="5529" spans="2:15">
      <c r="B5529" s="20">
        <v>45786</v>
      </c>
      <c r="C5529" s="59">
        <v>40014675</v>
      </c>
      <c r="D5529" s="55" t="s">
        <v>44</v>
      </c>
      <c r="G5529" s="65">
        <v>34.56</v>
      </c>
      <c r="H5529" s="56" t="s">
        <v>80</v>
      </c>
      <c r="I5529" s="54">
        <v>8712055946</v>
      </c>
      <c r="J5529" s="56" t="s">
        <v>2978</v>
      </c>
      <c r="K5529" s="56">
        <v>312</v>
      </c>
      <c r="L5529" s="55" t="s">
        <v>2004</v>
      </c>
      <c r="M5529" s="55" t="s">
        <v>2824</v>
      </c>
      <c r="N5529" s="4" t="s">
        <v>1275</v>
      </c>
      <c r="O5529" s="55" t="s">
        <v>178</v>
      </c>
    </row>
    <row r="5530" spans="2:15">
      <c r="B5530" s="20">
        <v>45787</v>
      </c>
      <c r="C5530" s="59">
        <v>40014675</v>
      </c>
      <c r="D5530" s="55" t="s">
        <v>44</v>
      </c>
      <c r="G5530" s="65">
        <v>34.56</v>
      </c>
      <c r="H5530" s="56" t="s">
        <v>80</v>
      </c>
      <c r="I5530" s="54">
        <v>8712419383</v>
      </c>
      <c r="J5530" s="56" t="s">
        <v>2978</v>
      </c>
      <c r="K5530" s="56">
        <v>313</v>
      </c>
      <c r="L5530" s="55" t="s">
        <v>2004</v>
      </c>
      <c r="M5530" s="55" t="s">
        <v>2824</v>
      </c>
      <c r="N5530" s="4" t="s">
        <v>1275</v>
      </c>
      <c r="O5530" s="55" t="s">
        <v>178</v>
      </c>
    </row>
    <row r="5531" spans="2:15">
      <c r="B5531" s="20">
        <v>45787</v>
      </c>
      <c r="C5531" s="59">
        <v>40014675</v>
      </c>
      <c r="D5531" s="55" t="s">
        <v>44</v>
      </c>
      <c r="G5531" s="65">
        <v>34.56</v>
      </c>
      <c r="H5531" s="56" t="s">
        <v>80</v>
      </c>
      <c r="I5531" s="54">
        <v>8712419424</v>
      </c>
      <c r="J5531" s="56" t="s">
        <v>2978</v>
      </c>
      <c r="K5531" s="56">
        <v>314</v>
      </c>
      <c r="L5531" s="55" t="s">
        <v>2004</v>
      </c>
      <c r="M5531" s="55" t="s">
        <v>2824</v>
      </c>
      <c r="N5531" s="4" t="s">
        <v>1275</v>
      </c>
      <c r="O5531" s="55" t="s">
        <v>178</v>
      </c>
    </row>
    <row r="5532" spans="2:15">
      <c r="B5532" s="20">
        <v>45787</v>
      </c>
      <c r="C5532" s="59">
        <v>40014675</v>
      </c>
      <c r="D5532" s="55" t="s">
        <v>44</v>
      </c>
      <c r="G5532" s="65">
        <v>34.56</v>
      </c>
      <c r="H5532" s="56" t="s">
        <v>80</v>
      </c>
      <c r="I5532" s="54">
        <v>8712419426</v>
      </c>
      <c r="J5532" s="56" t="s">
        <v>2978</v>
      </c>
      <c r="K5532" s="56">
        <v>315</v>
      </c>
      <c r="L5532" s="55" t="s">
        <v>2004</v>
      </c>
      <c r="M5532" s="55" t="s">
        <v>2824</v>
      </c>
      <c r="N5532" s="4" t="s">
        <v>1275</v>
      </c>
      <c r="O5532" s="55" t="s">
        <v>178</v>
      </c>
    </row>
    <row r="5533" spans="2:15">
      <c r="B5533" s="20">
        <v>45787</v>
      </c>
      <c r="C5533" s="59">
        <v>40014675</v>
      </c>
      <c r="D5533" s="55" t="s">
        <v>44</v>
      </c>
      <c r="G5533" s="65">
        <v>34.56</v>
      </c>
      <c r="H5533" s="56" t="s">
        <v>80</v>
      </c>
      <c r="I5533" s="54">
        <v>8712419663</v>
      </c>
      <c r="J5533" s="56" t="s">
        <v>2978</v>
      </c>
      <c r="K5533" s="56">
        <v>316</v>
      </c>
      <c r="L5533" s="55" t="s">
        <v>2004</v>
      </c>
      <c r="M5533" s="55" t="s">
        <v>2824</v>
      </c>
      <c r="N5533" s="4" t="s">
        <v>1275</v>
      </c>
      <c r="O5533" s="55" t="s">
        <v>178</v>
      </c>
    </row>
    <row r="5534" spans="2:15">
      <c r="B5534" s="20">
        <v>45787</v>
      </c>
      <c r="C5534" s="59">
        <v>40014675</v>
      </c>
      <c r="D5534" s="55" t="s">
        <v>44</v>
      </c>
      <c r="G5534" s="65">
        <v>34.56</v>
      </c>
      <c r="H5534" s="56" t="s">
        <v>80</v>
      </c>
      <c r="I5534" s="54">
        <v>8712419666</v>
      </c>
      <c r="J5534" s="56" t="s">
        <v>2978</v>
      </c>
      <c r="K5534" s="56">
        <v>317</v>
      </c>
      <c r="L5534" s="55" t="s">
        <v>2004</v>
      </c>
      <c r="M5534" s="55" t="s">
        <v>2824</v>
      </c>
      <c r="N5534" s="4" t="s">
        <v>1275</v>
      </c>
      <c r="O5534" s="55" t="s">
        <v>178</v>
      </c>
    </row>
    <row r="5535" spans="2:15">
      <c r="B5535" s="20">
        <v>45789</v>
      </c>
      <c r="C5535" s="59">
        <v>40010084</v>
      </c>
      <c r="D5535" s="55" t="s">
        <v>81</v>
      </c>
      <c r="G5535" s="65">
        <v>4608</v>
      </c>
      <c r="H5535" s="56" t="s">
        <v>80</v>
      </c>
      <c r="I5535" s="54">
        <v>8712751203</v>
      </c>
      <c r="J5535" s="56" t="s">
        <v>2978</v>
      </c>
      <c r="K5535" s="56">
        <v>3258</v>
      </c>
      <c r="L5535" s="55" t="s">
        <v>2152</v>
      </c>
      <c r="M5535" s="55" t="s">
        <v>2824</v>
      </c>
      <c r="N5535" s="4" t="s">
        <v>1905</v>
      </c>
      <c r="O5535" s="55" t="s">
        <v>178</v>
      </c>
    </row>
    <row r="5536" spans="2:15">
      <c r="B5536" s="20">
        <v>45789</v>
      </c>
      <c r="C5536" s="59">
        <v>40011780</v>
      </c>
      <c r="D5536" s="55" t="s">
        <v>584</v>
      </c>
      <c r="G5536" s="65">
        <v>1980</v>
      </c>
      <c r="H5536" s="56" t="s">
        <v>80</v>
      </c>
      <c r="I5536" s="54">
        <v>8714064786</v>
      </c>
      <c r="J5536" s="56" t="s">
        <v>2978</v>
      </c>
      <c r="K5536" s="56">
        <v>3258</v>
      </c>
      <c r="L5536" s="55" t="s">
        <v>2152</v>
      </c>
      <c r="M5536" s="55" t="s">
        <v>2824</v>
      </c>
      <c r="N5536" s="4" t="s">
        <v>1905</v>
      </c>
      <c r="O5536" s="55" t="s">
        <v>178</v>
      </c>
    </row>
    <row r="5537" spans="2:15">
      <c r="B5537" s="20">
        <v>45789</v>
      </c>
      <c r="C5537" s="59">
        <v>50842183</v>
      </c>
      <c r="D5537" s="55" t="s">
        <v>2202</v>
      </c>
      <c r="G5537" s="65">
        <v>3477600</v>
      </c>
      <c r="H5537" s="56" t="s">
        <v>92</v>
      </c>
      <c r="I5537" s="54">
        <v>8712751203</v>
      </c>
      <c r="J5537" s="56" t="s">
        <v>2978</v>
      </c>
      <c r="K5537" s="56">
        <v>3258</v>
      </c>
      <c r="L5537" s="55" t="s">
        <v>2152</v>
      </c>
      <c r="M5537" s="55" t="s">
        <v>2824</v>
      </c>
      <c r="N5537" s="4" t="s">
        <v>1905</v>
      </c>
      <c r="O5537" s="55" t="s">
        <v>178</v>
      </c>
    </row>
    <row r="5538" spans="2:15">
      <c r="B5538" s="20">
        <v>45789</v>
      </c>
      <c r="C5538" s="59">
        <v>50142328</v>
      </c>
      <c r="D5538" s="55" t="s">
        <v>1591</v>
      </c>
      <c r="G5538" s="65">
        <v>4000</v>
      </c>
      <c r="H5538" s="56" t="s">
        <v>82</v>
      </c>
      <c r="I5538" s="54" t="s">
        <v>2874</v>
      </c>
      <c r="J5538" s="56" t="s">
        <v>2978</v>
      </c>
      <c r="K5538" s="56">
        <v>3259</v>
      </c>
      <c r="L5538" s="55" t="s">
        <v>2152</v>
      </c>
      <c r="M5538" s="55" t="s">
        <v>2824</v>
      </c>
      <c r="N5538" s="4" t="s">
        <v>1905</v>
      </c>
      <c r="O5538" s="55" t="s">
        <v>178</v>
      </c>
    </row>
    <row r="5539" spans="2:15">
      <c r="B5539" s="20">
        <v>45789</v>
      </c>
      <c r="C5539" s="59">
        <v>50272278</v>
      </c>
      <c r="D5539" s="55" t="s">
        <v>21</v>
      </c>
      <c r="G5539" s="65">
        <v>5000</v>
      </c>
      <c r="H5539" s="56" t="s">
        <v>92</v>
      </c>
      <c r="I5539" s="54">
        <v>8712751272</v>
      </c>
      <c r="J5539" s="56" t="s">
        <v>2978</v>
      </c>
      <c r="K5539" s="56">
        <v>3259</v>
      </c>
      <c r="L5539" s="55" t="s">
        <v>2152</v>
      </c>
      <c r="M5539" s="55" t="s">
        <v>2824</v>
      </c>
      <c r="N5539" s="4" t="s">
        <v>1905</v>
      </c>
      <c r="O5539" s="55" t="s">
        <v>178</v>
      </c>
    </row>
    <row r="5540" spans="2:15">
      <c r="B5540" s="20">
        <v>45789</v>
      </c>
      <c r="C5540" s="59">
        <v>40011780</v>
      </c>
      <c r="D5540" s="55" t="s">
        <v>584</v>
      </c>
      <c r="G5540" s="65">
        <v>1800</v>
      </c>
      <c r="H5540" s="56" t="s">
        <v>80</v>
      </c>
      <c r="I5540" s="54">
        <v>8714064785</v>
      </c>
      <c r="J5540" s="56" t="s">
        <v>2978</v>
      </c>
      <c r="K5540" s="56">
        <v>3259</v>
      </c>
      <c r="L5540" s="55" t="s">
        <v>2152</v>
      </c>
      <c r="M5540" s="55" t="s">
        <v>2824</v>
      </c>
      <c r="N5540" s="4" t="s">
        <v>1905</v>
      </c>
      <c r="O5540" s="55" t="s">
        <v>178</v>
      </c>
    </row>
    <row r="5541" spans="2:15">
      <c r="B5541" s="20">
        <v>45789</v>
      </c>
      <c r="C5541" s="59">
        <v>40014675</v>
      </c>
      <c r="D5541" s="55" t="s">
        <v>44</v>
      </c>
      <c r="G5541" s="65">
        <v>34.56</v>
      </c>
      <c r="H5541" s="56" t="s">
        <v>80</v>
      </c>
      <c r="I5541" s="54">
        <v>8712751336</v>
      </c>
      <c r="J5541" s="56" t="s">
        <v>2978</v>
      </c>
      <c r="K5541" s="56">
        <v>318</v>
      </c>
      <c r="L5541" s="55" t="s">
        <v>2004</v>
      </c>
      <c r="M5541" s="55" t="s">
        <v>2824</v>
      </c>
      <c r="N5541" s="4" t="s">
        <v>1275</v>
      </c>
      <c r="O5541" s="55" t="s">
        <v>178</v>
      </c>
    </row>
    <row r="5542" spans="2:15">
      <c r="B5542" s="20">
        <v>45789</v>
      </c>
      <c r="C5542" s="59">
        <v>40014675</v>
      </c>
      <c r="D5542" s="55" t="s">
        <v>44</v>
      </c>
      <c r="G5542" s="65">
        <v>34.56</v>
      </c>
      <c r="H5542" s="56" t="s">
        <v>80</v>
      </c>
      <c r="I5542" s="54">
        <v>8712751336</v>
      </c>
      <c r="J5542" s="56" t="s">
        <v>2978</v>
      </c>
      <c r="K5542" s="56">
        <v>319</v>
      </c>
      <c r="L5542" s="55" t="s">
        <v>2004</v>
      </c>
      <c r="M5542" s="55" t="s">
        <v>2824</v>
      </c>
      <c r="N5542" s="4" t="s">
        <v>1275</v>
      </c>
      <c r="O5542" s="55" t="s">
        <v>178</v>
      </c>
    </row>
    <row r="5543" spans="2:15">
      <c r="B5543" s="20">
        <v>45789</v>
      </c>
      <c r="C5543" s="59">
        <v>50515034</v>
      </c>
      <c r="D5543" s="55" t="s">
        <v>41</v>
      </c>
      <c r="G5543" s="65">
        <v>230.4</v>
      </c>
      <c r="H5543" s="56" t="s">
        <v>1248</v>
      </c>
      <c r="I5543" s="54" t="s">
        <v>2874</v>
      </c>
      <c r="J5543" s="56" t="s">
        <v>2978</v>
      </c>
      <c r="K5543" s="56">
        <v>3260</v>
      </c>
      <c r="L5543" s="55" t="s">
        <v>2004</v>
      </c>
      <c r="M5543" s="55" t="s">
        <v>392</v>
      </c>
      <c r="N5543" s="4" t="s">
        <v>2851</v>
      </c>
      <c r="O5543" s="55" t="s">
        <v>178</v>
      </c>
    </row>
    <row r="5544" spans="2:15">
      <c r="B5544" s="20">
        <v>45789</v>
      </c>
      <c r="C5544" s="59">
        <v>40014675</v>
      </c>
      <c r="D5544" s="55" t="s">
        <v>44</v>
      </c>
      <c r="G5544" s="65">
        <v>34.56</v>
      </c>
      <c r="H5544" s="56" t="s">
        <v>80</v>
      </c>
      <c r="I5544" s="54">
        <v>8713061213</v>
      </c>
      <c r="J5544" s="56" t="s">
        <v>2978</v>
      </c>
      <c r="K5544" s="56">
        <v>320</v>
      </c>
      <c r="L5544" s="55" t="s">
        <v>2004</v>
      </c>
      <c r="M5544" s="55" t="s">
        <v>2824</v>
      </c>
      <c r="N5544" s="4" t="s">
        <v>1275</v>
      </c>
      <c r="O5544" s="55" t="s">
        <v>178</v>
      </c>
    </row>
    <row r="5545" spans="2:15">
      <c r="B5545" s="20">
        <v>45789</v>
      </c>
      <c r="C5545" s="59">
        <v>40014675</v>
      </c>
      <c r="D5545" s="55" t="s">
        <v>44</v>
      </c>
      <c r="G5545" s="65">
        <v>34.56</v>
      </c>
      <c r="H5545" s="56" t="s">
        <v>80</v>
      </c>
      <c r="I5545" s="54">
        <v>8713061256</v>
      </c>
      <c r="J5545" s="56" t="s">
        <v>2978</v>
      </c>
      <c r="K5545" s="56">
        <v>321</v>
      </c>
      <c r="L5545" s="55" t="s">
        <v>2004</v>
      </c>
      <c r="M5545" s="55" t="s">
        <v>2824</v>
      </c>
      <c r="N5545" s="4" t="s">
        <v>1275</v>
      </c>
      <c r="O5545" s="55" t="s">
        <v>178</v>
      </c>
    </row>
    <row r="5546" spans="2:15">
      <c r="B5546" s="20">
        <v>45790</v>
      </c>
      <c r="C5546" s="59">
        <v>50010080</v>
      </c>
      <c r="D5546" s="55" t="s">
        <v>1657</v>
      </c>
      <c r="G5546" s="65">
        <v>2000</v>
      </c>
      <c r="H5546" s="56" t="s">
        <v>82</v>
      </c>
      <c r="I5546" s="54">
        <v>8713061410</v>
      </c>
      <c r="J5546" s="56" t="s">
        <v>2978</v>
      </c>
      <c r="K5546" s="56">
        <v>3261</v>
      </c>
      <c r="L5546" s="55" t="s">
        <v>2152</v>
      </c>
      <c r="M5546" s="55" t="s">
        <v>2824</v>
      </c>
      <c r="N5546" s="4" t="s">
        <v>1905</v>
      </c>
      <c r="O5546" s="55" t="s">
        <v>178</v>
      </c>
    </row>
    <row r="5547" spans="2:15">
      <c r="B5547" s="20">
        <v>45790</v>
      </c>
      <c r="C5547" s="59">
        <v>50842177</v>
      </c>
      <c r="D5547" s="55" t="s">
        <v>2196</v>
      </c>
      <c r="G5547" s="65">
        <v>4576.85</v>
      </c>
      <c r="H5547" s="56" t="s">
        <v>82</v>
      </c>
      <c r="I5547" s="54">
        <v>8713061410</v>
      </c>
      <c r="J5547" s="56" t="s">
        <v>2978</v>
      </c>
      <c r="K5547" s="56">
        <v>3261</v>
      </c>
      <c r="L5547" s="55" t="s">
        <v>2152</v>
      </c>
      <c r="M5547" s="55" t="s">
        <v>2824</v>
      </c>
      <c r="N5547" s="4" t="s">
        <v>1905</v>
      </c>
      <c r="O5547" s="55" t="s">
        <v>178</v>
      </c>
    </row>
    <row r="5548" spans="2:15">
      <c r="B5548" s="20">
        <v>45790</v>
      </c>
      <c r="C5548" s="59">
        <v>50837237</v>
      </c>
      <c r="D5548" s="55" t="s">
        <v>1747</v>
      </c>
      <c r="G5548" s="65">
        <v>1981.9</v>
      </c>
      <c r="H5548" s="56" t="s">
        <v>82</v>
      </c>
      <c r="I5548" s="54">
        <v>8713061410</v>
      </c>
      <c r="J5548" s="56" t="s">
        <v>2978</v>
      </c>
      <c r="K5548" s="56">
        <v>3261</v>
      </c>
      <c r="L5548" s="55" t="s">
        <v>2152</v>
      </c>
      <c r="M5548" s="55" t="s">
        <v>2824</v>
      </c>
      <c r="N5548" s="4" t="s">
        <v>1905</v>
      </c>
      <c r="O5548" s="55" t="s">
        <v>178</v>
      </c>
    </row>
    <row r="5549" spans="2:15">
      <c r="B5549" s="20">
        <v>45790</v>
      </c>
      <c r="C5549" s="59">
        <v>50837236</v>
      </c>
      <c r="D5549" s="55" t="s">
        <v>1992</v>
      </c>
      <c r="G5549" s="65">
        <v>3024.2</v>
      </c>
      <c r="H5549" s="56" t="s">
        <v>82</v>
      </c>
      <c r="I5549" s="54">
        <v>8713061410</v>
      </c>
      <c r="J5549" s="56" t="s">
        <v>2978</v>
      </c>
      <c r="K5549" s="56">
        <v>3261</v>
      </c>
      <c r="L5549" s="55" t="s">
        <v>2152</v>
      </c>
      <c r="M5549" s="55" t="s">
        <v>2824</v>
      </c>
      <c r="N5549" s="4" t="s">
        <v>1905</v>
      </c>
      <c r="O5549" s="55" t="s">
        <v>178</v>
      </c>
    </row>
    <row r="5550" spans="2:15">
      <c r="B5550" s="20">
        <v>45790</v>
      </c>
      <c r="C5550" s="59">
        <v>50145187</v>
      </c>
      <c r="D5550" s="55" t="s">
        <v>465</v>
      </c>
      <c r="G5550" s="65">
        <v>201000</v>
      </c>
      <c r="H5550" s="56" t="s">
        <v>92</v>
      </c>
      <c r="I5550" s="54">
        <v>8713061410</v>
      </c>
      <c r="J5550" s="56" t="s">
        <v>2978</v>
      </c>
      <c r="K5550" s="56">
        <v>3261</v>
      </c>
      <c r="L5550" s="55" t="s">
        <v>2152</v>
      </c>
      <c r="M5550" s="55" t="s">
        <v>2824</v>
      </c>
      <c r="N5550" s="4" t="s">
        <v>1905</v>
      </c>
      <c r="O5550" s="55" t="s">
        <v>178</v>
      </c>
    </row>
    <row r="5551" spans="2:15">
      <c r="B5551" s="20">
        <v>45790</v>
      </c>
      <c r="C5551" s="59">
        <v>50272278</v>
      </c>
      <c r="D5551" s="55" t="s">
        <v>21</v>
      </c>
      <c r="G5551" s="65">
        <v>5000</v>
      </c>
      <c r="H5551" s="56" t="s">
        <v>92</v>
      </c>
      <c r="I5551" s="54">
        <v>8714064784</v>
      </c>
      <c r="J5551" s="56" t="s">
        <v>2978</v>
      </c>
      <c r="K5551" s="56">
        <v>3262</v>
      </c>
      <c r="L5551" s="55" t="s">
        <v>2152</v>
      </c>
      <c r="M5551" s="55" t="s">
        <v>2824</v>
      </c>
      <c r="N5551" s="4" t="s">
        <v>1905</v>
      </c>
      <c r="O5551" s="55" t="s">
        <v>178</v>
      </c>
    </row>
    <row r="5552" spans="2:15">
      <c r="B5552" s="20">
        <v>45790</v>
      </c>
      <c r="C5552" s="59">
        <v>40011780</v>
      </c>
      <c r="D5552" s="55" t="s">
        <v>584</v>
      </c>
      <c r="G5552" s="65">
        <v>900</v>
      </c>
      <c r="H5552" s="56" t="s">
        <v>80</v>
      </c>
      <c r="I5552" s="54">
        <v>8713061486</v>
      </c>
      <c r="J5552" s="56" t="s">
        <v>2978</v>
      </c>
      <c r="K5552" s="56">
        <v>3262</v>
      </c>
      <c r="L5552" s="55" t="s">
        <v>2152</v>
      </c>
      <c r="M5552" s="55" t="s">
        <v>2824</v>
      </c>
      <c r="N5552" s="4" t="s">
        <v>1905</v>
      </c>
      <c r="O5552" s="55" t="s">
        <v>178</v>
      </c>
    </row>
    <row r="5553" spans="2:15">
      <c r="B5553" s="20">
        <v>45790</v>
      </c>
      <c r="C5553" s="59">
        <v>50142327</v>
      </c>
      <c r="D5553" s="55" t="s">
        <v>256</v>
      </c>
      <c r="G5553" s="65">
        <v>1906.8</v>
      </c>
      <c r="H5553" s="56" t="s">
        <v>82</v>
      </c>
      <c r="I5553" s="54">
        <v>8713061486</v>
      </c>
      <c r="J5553" s="56" t="s">
        <v>2978</v>
      </c>
      <c r="K5553" s="56">
        <v>3262</v>
      </c>
      <c r="L5553" s="55" t="s">
        <v>2152</v>
      </c>
      <c r="M5553" s="55" t="s">
        <v>2824</v>
      </c>
      <c r="N5553" s="4" t="s">
        <v>1905</v>
      </c>
      <c r="O5553" s="55" t="s">
        <v>178</v>
      </c>
    </row>
    <row r="5554" spans="2:15">
      <c r="B5554" s="20">
        <v>45790</v>
      </c>
      <c r="C5554" s="59">
        <v>50142334</v>
      </c>
      <c r="D5554" s="55" t="s">
        <v>257</v>
      </c>
      <c r="G5554" s="65">
        <v>1906.8</v>
      </c>
      <c r="H5554" s="56" t="s">
        <v>82</v>
      </c>
      <c r="I5554" s="54">
        <v>8713061486</v>
      </c>
      <c r="J5554" s="56" t="s">
        <v>2978</v>
      </c>
      <c r="K5554" s="56">
        <v>3262</v>
      </c>
      <c r="L5554" s="55" t="s">
        <v>2152</v>
      </c>
      <c r="M5554" s="55" t="s">
        <v>2824</v>
      </c>
      <c r="N5554" s="4" t="s">
        <v>1905</v>
      </c>
      <c r="O5554" s="55" t="s">
        <v>178</v>
      </c>
    </row>
    <row r="5555" spans="2:15">
      <c r="B5555" s="20">
        <v>45790</v>
      </c>
      <c r="C5555" s="59">
        <v>40014675</v>
      </c>
      <c r="D5555" s="55" t="s">
        <v>44</v>
      </c>
      <c r="G5555" s="65">
        <v>34.56</v>
      </c>
      <c r="H5555" s="56" t="s">
        <v>80</v>
      </c>
      <c r="I5555" s="54">
        <v>8713061278</v>
      </c>
      <c r="J5555" s="56" t="s">
        <v>2978</v>
      </c>
      <c r="K5555" s="56">
        <v>322</v>
      </c>
      <c r="L5555" s="55" t="s">
        <v>2004</v>
      </c>
      <c r="M5555" s="55" t="s">
        <v>2824</v>
      </c>
      <c r="N5555" s="4" t="s">
        <v>1275</v>
      </c>
      <c r="O5555" s="55" t="s">
        <v>178</v>
      </c>
    </row>
    <row r="5556" spans="2:15">
      <c r="B5556" s="20">
        <v>45790</v>
      </c>
      <c r="C5556" s="59">
        <v>40014675</v>
      </c>
      <c r="D5556" s="55" t="s">
        <v>44</v>
      </c>
      <c r="G5556" s="65">
        <f>1440*22/1000</f>
        <v>31.68</v>
      </c>
      <c r="H5556" s="56" t="s">
        <v>80</v>
      </c>
      <c r="I5556" s="54">
        <v>873387500</v>
      </c>
      <c r="J5556" s="56" t="s">
        <v>2978</v>
      </c>
      <c r="K5556" s="56">
        <v>323</v>
      </c>
      <c r="L5556" s="55" t="s">
        <v>2152</v>
      </c>
      <c r="M5556" s="55" t="s">
        <v>2824</v>
      </c>
      <c r="N5556" s="4" t="s">
        <v>1905</v>
      </c>
      <c r="O5556" s="55" t="s">
        <v>178</v>
      </c>
    </row>
    <row r="5557" spans="2:15">
      <c r="B5557" s="20">
        <v>45791</v>
      </c>
      <c r="C5557" s="59">
        <v>40014675</v>
      </c>
      <c r="D5557" s="55" t="s">
        <v>44</v>
      </c>
      <c r="G5557" s="65">
        <f>1440*22/1000</f>
        <v>31.68</v>
      </c>
      <c r="H5557" s="56" t="s">
        <v>80</v>
      </c>
      <c r="I5557" s="54">
        <v>8713387501</v>
      </c>
      <c r="J5557" s="56" t="s">
        <v>2978</v>
      </c>
      <c r="K5557" s="56">
        <v>324</v>
      </c>
      <c r="L5557" s="55" t="s">
        <v>2152</v>
      </c>
      <c r="M5557" s="55" t="s">
        <v>2824</v>
      </c>
      <c r="N5557" s="4" t="s">
        <v>1905</v>
      </c>
      <c r="O5557" s="55" t="s">
        <v>178</v>
      </c>
    </row>
    <row r="5558" spans="2:15">
      <c r="B5558" s="20">
        <v>45791</v>
      </c>
      <c r="C5558" s="59">
        <v>40014675</v>
      </c>
      <c r="D5558" s="55" t="s">
        <v>44</v>
      </c>
      <c r="G5558" s="65">
        <v>34.56</v>
      </c>
      <c r="H5558" s="56" t="s">
        <v>80</v>
      </c>
      <c r="I5558" s="54">
        <v>8713387503</v>
      </c>
      <c r="J5558" s="56" t="s">
        <v>2978</v>
      </c>
      <c r="K5558" s="56">
        <v>325</v>
      </c>
      <c r="L5558" s="55" t="s">
        <v>2004</v>
      </c>
      <c r="M5558" s="55" t="s">
        <v>2824</v>
      </c>
      <c r="N5558" s="4" t="s">
        <v>1275</v>
      </c>
      <c r="O5558" s="55" t="s">
        <v>178</v>
      </c>
    </row>
    <row r="5559" spans="2:15">
      <c r="B5559" s="20">
        <v>45791</v>
      </c>
      <c r="C5559" s="59">
        <v>40014675</v>
      </c>
      <c r="D5559" s="55" t="s">
        <v>44</v>
      </c>
      <c r="G5559" s="65">
        <f>1440*22/1000</f>
        <v>31.68</v>
      </c>
      <c r="H5559" s="56" t="s">
        <v>80</v>
      </c>
      <c r="I5559" s="54">
        <v>8713387636</v>
      </c>
      <c r="J5559" s="56" t="s">
        <v>2978</v>
      </c>
      <c r="K5559" s="56">
        <v>326</v>
      </c>
      <c r="L5559" s="55" t="s">
        <v>2152</v>
      </c>
      <c r="M5559" s="55" t="s">
        <v>2824</v>
      </c>
      <c r="N5559" s="4" t="s">
        <v>1905</v>
      </c>
      <c r="O5559" s="55" t="s">
        <v>178</v>
      </c>
    </row>
    <row r="5560" spans="2:15">
      <c r="B5560" s="20">
        <v>45791</v>
      </c>
      <c r="C5560" s="59">
        <v>40014675</v>
      </c>
      <c r="D5560" s="55" t="s">
        <v>44</v>
      </c>
      <c r="G5560" s="65">
        <v>34.56</v>
      </c>
      <c r="H5560" s="56" t="s">
        <v>80</v>
      </c>
      <c r="I5560" s="54">
        <v>8713387637</v>
      </c>
      <c r="J5560" s="56" t="s">
        <v>2978</v>
      </c>
      <c r="K5560" s="56">
        <v>327</v>
      </c>
      <c r="L5560" s="55" t="s">
        <v>2004</v>
      </c>
      <c r="M5560" s="55" t="s">
        <v>2824</v>
      </c>
      <c r="N5560" s="4" t="s">
        <v>1275</v>
      </c>
      <c r="O5560" s="55" t="s">
        <v>178</v>
      </c>
    </row>
    <row r="5561" spans="2:15">
      <c r="B5561" s="20">
        <v>45791</v>
      </c>
      <c r="C5561" s="59">
        <v>40014675</v>
      </c>
      <c r="D5561" s="55" t="s">
        <v>44</v>
      </c>
      <c r="G5561" s="65">
        <f>1440*22/1000</f>
        <v>31.68</v>
      </c>
      <c r="H5561" s="56" t="s">
        <v>80</v>
      </c>
      <c r="I5561" s="54">
        <v>8713387639</v>
      </c>
      <c r="J5561" s="56" t="s">
        <v>2978</v>
      </c>
      <c r="K5561" s="56">
        <v>328</v>
      </c>
      <c r="L5561" s="55" t="s">
        <v>2152</v>
      </c>
      <c r="M5561" s="55" t="s">
        <v>2824</v>
      </c>
      <c r="N5561" s="4" t="s">
        <v>1905</v>
      </c>
      <c r="O5561" s="55" t="s">
        <v>178</v>
      </c>
    </row>
    <row r="5562" spans="2:15">
      <c r="B5562" s="20">
        <v>45791</v>
      </c>
      <c r="C5562" s="59">
        <v>40014675</v>
      </c>
      <c r="D5562" s="55" t="s">
        <v>44</v>
      </c>
      <c r="G5562" s="65">
        <v>34.56</v>
      </c>
      <c r="H5562" s="56" t="s">
        <v>80</v>
      </c>
      <c r="I5562" s="54">
        <v>8713387642</v>
      </c>
      <c r="J5562" s="56" t="s">
        <v>2978</v>
      </c>
      <c r="K5562" s="56">
        <v>329</v>
      </c>
      <c r="L5562" s="55" t="s">
        <v>2004</v>
      </c>
      <c r="M5562" s="55" t="s">
        <v>2824</v>
      </c>
      <c r="N5562" s="4" t="s">
        <v>1275</v>
      </c>
      <c r="O5562" s="55" t="s">
        <v>178</v>
      </c>
    </row>
    <row r="5563" spans="2:15">
      <c r="B5563" s="20">
        <v>45793</v>
      </c>
      <c r="C5563" s="59">
        <v>50470190</v>
      </c>
      <c r="D5563" s="55" t="s">
        <v>12</v>
      </c>
      <c r="G5563" s="65">
        <v>3477600</v>
      </c>
      <c r="H5563" s="123" t="s">
        <v>92</v>
      </c>
      <c r="I5563" s="54">
        <v>8714064727</v>
      </c>
      <c r="J5563" s="56" t="s">
        <v>2978</v>
      </c>
      <c r="K5563" s="56">
        <v>3263</v>
      </c>
      <c r="L5563" s="55" t="s">
        <v>2152</v>
      </c>
      <c r="M5563" s="55" t="s">
        <v>2824</v>
      </c>
      <c r="N5563" s="4" t="s">
        <v>1905</v>
      </c>
      <c r="O5563" s="55" t="s">
        <v>178</v>
      </c>
    </row>
    <row r="5564" spans="2:15">
      <c r="B5564" s="20">
        <v>45793</v>
      </c>
      <c r="C5564" s="59">
        <v>40011588</v>
      </c>
      <c r="D5564" s="55" t="s">
        <v>585</v>
      </c>
      <c r="G5564" s="65">
        <v>1350</v>
      </c>
      <c r="H5564" s="56" t="s">
        <v>80</v>
      </c>
      <c r="I5564" s="54">
        <v>8714064727</v>
      </c>
      <c r="J5564" s="56" t="s">
        <v>2978</v>
      </c>
      <c r="K5564" s="56">
        <v>3263</v>
      </c>
      <c r="L5564" s="55" t="s">
        <v>2152</v>
      </c>
      <c r="M5564" s="55" t="s">
        <v>2824</v>
      </c>
      <c r="N5564" s="4" t="s">
        <v>1905</v>
      </c>
      <c r="O5564" s="55" t="s">
        <v>178</v>
      </c>
    </row>
    <row r="5565" spans="2:15">
      <c r="B5565" s="20">
        <v>45793</v>
      </c>
      <c r="C5565" s="59">
        <v>50509889</v>
      </c>
      <c r="D5565" s="55" t="s">
        <v>671</v>
      </c>
      <c r="G5565" s="65">
        <v>1320000</v>
      </c>
      <c r="H5565" s="56" t="s">
        <v>92</v>
      </c>
      <c r="I5565" s="54">
        <v>8714064727</v>
      </c>
      <c r="J5565" s="56" t="s">
        <v>2978</v>
      </c>
      <c r="K5565" s="56">
        <v>3263</v>
      </c>
      <c r="L5565" s="55" t="s">
        <v>2152</v>
      </c>
      <c r="M5565" s="55" t="s">
        <v>2824</v>
      </c>
      <c r="N5565" s="4" t="s">
        <v>1905</v>
      </c>
      <c r="O5565" s="55" t="s">
        <v>178</v>
      </c>
    </row>
    <row r="5566" spans="2:15">
      <c r="B5566" s="20">
        <v>45793</v>
      </c>
      <c r="C5566" s="59">
        <v>50272278</v>
      </c>
      <c r="D5566" s="55" t="s">
        <v>21</v>
      </c>
      <c r="G5566" s="65">
        <v>11000</v>
      </c>
      <c r="H5566" s="56" t="s">
        <v>92</v>
      </c>
      <c r="I5566" s="54">
        <v>8714064728</v>
      </c>
      <c r="J5566" s="56" t="s">
        <v>2978</v>
      </c>
      <c r="K5566" s="56">
        <v>3264</v>
      </c>
      <c r="L5566" s="55" t="s">
        <v>2152</v>
      </c>
      <c r="M5566" s="55" t="s">
        <v>2824</v>
      </c>
      <c r="N5566" s="4" t="s">
        <v>1905</v>
      </c>
      <c r="O5566" s="55" t="s">
        <v>178</v>
      </c>
    </row>
    <row r="5567" spans="2:15">
      <c r="B5567" s="20">
        <v>45793</v>
      </c>
      <c r="C5567" s="59">
        <v>40014675</v>
      </c>
      <c r="D5567" s="55" t="s">
        <v>44</v>
      </c>
      <c r="G5567" s="65">
        <v>34.56</v>
      </c>
      <c r="H5567" s="56" t="s">
        <v>80</v>
      </c>
      <c r="I5567" s="54">
        <v>8714064729</v>
      </c>
      <c r="J5567" s="56" t="s">
        <v>2978</v>
      </c>
      <c r="K5567" s="56">
        <v>330</v>
      </c>
      <c r="L5567" s="55" t="s">
        <v>2004</v>
      </c>
      <c r="M5567" s="55" t="s">
        <v>2824</v>
      </c>
      <c r="N5567" s="4" t="s">
        <v>1275</v>
      </c>
      <c r="O5567" s="55" t="s">
        <v>178</v>
      </c>
    </row>
    <row r="5568" spans="2:15">
      <c r="B5568" s="20">
        <v>45793</v>
      </c>
      <c r="C5568" s="59">
        <v>40014675</v>
      </c>
      <c r="D5568" s="55" t="s">
        <v>44</v>
      </c>
      <c r="G5568" s="65">
        <v>34.56</v>
      </c>
      <c r="H5568" s="56" t="s">
        <v>80</v>
      </c>
      <c r="I5568" s="54">
        <v>8714064730</v>
      </c>
      <c r="J5568" s="56" t="s">
        <v>2978</v>
      </c>
      <c r="K5568" s="56">
        <v>331</v>
      </c>
      <c r="L5568" s="55" t="s">
        <v>2004</v>
      </c>
      <c r="M5568" s="55" t="s">
        <v>2824</v>
      </c>
      <c r="N5568" s="4" t="s">
        <v>1275</v>
      </c>
      <c r="O5568" s="55" t="s">
        <v>178</v>
      </c>
    </row>
    <row r="5569" spans="2:15">
      <c r="B5569" s="20">
        <v>45793</v>
      </c>
      <c r="C5569" s="59">
        <v>40014675</v>
      </c>
      <c r="D5569" s="55" t="s">
        <v>44</v>
      </c>
      <c r="G5569" s="65">
        <v>34.56</v>
      </c>
      <c r="H5569" s="56" t="s">
        <v>80</v>
      </c>
      <c r="I5569" s="54">
        <v>8714064731</v>
      </c>
      <c r="J5569" s="56" t="s">
        <v>2978</v>
      </c>
      <c r="K5569" s="56">
        <v>332</v>
      </c>
      <c r="L5569" s="55" t="s">
        <v>2004</v>
      </c>
      <c r="M5569" s="55" t="s">
        <v>2824</v>
      </c>
      <c r="N5569" s="4" t="s">
        <v>1275</v>
      </c>
      <c r="O5569" s="55" t="s">
        <v>178</v>
      </c>
    </row>
    <row r="5570" spans="2:15">
      <c r="B5570" s="20">
        <v>45793</v>
      </c>
      <c r="C5570" s="59">
        <v>40014675</v>
      </c>
      <c r="D5570" s="55" t="s">
        <v>44</v>
      </c>
      <c r="G5570" s="65">
        <v>34.56</v>
      </c>
      <c r="H5570" s="56" t="s">
        <v>80</v>
      </c>
      <c r="I5570" s="54">
        <v>8714664732</v>
      </c>
      <c r="J5570" s="56" t="s">
        <v>2978</v>
      </c>
      <c r="K5570" s="56">
        <v>333</v>
      </c>
      <c r="L5570" s="55" t="s">
        <v>2004</v>
      </c>
      <c r="M5570" s="55" t="s">
        <v>2824</v>
      </c>
      <c r="N5570" s="4" t="s">
        <v>1275</v>
      </c>
      <c r="O5570" s="55" t="s">
        <v>178</v>
      </c>
    </row>
    <row r="5571" spans="2:15">
      <c r="B5571" s="20">
        <v>45794</v>
      </c>
      <c r="C5571" s="59">
        <v>40014675</v>
      </c>
      <c r="D5571" s="55" t="s">
        <v>44</v>
      </c>
      <c r="F5571" s="67">
        <v>34.56</v>
      </c>
      <c r="G5571" s="65">
        <v>34.56</v>
      </c>
      <c r="H5571" s="56" t="s">
        <v>80</v>
      </c>
      <c r="I5571" s="54">
        <v>8714371666</v>
      </c>
      <c r="J5571" s="56" t="s">
        <v>2978</v>
      </c>
      <c r="K5571" s="56">
        <v>334</v>
      </c>
      <c r="L5571" s="55" t="s">
        <v>2004</v>
      </c>
      <c r="M5571" s="55" t="s">
        <v>2824</v>
      </c>
      <c r="N5571" s="4" t="s">
        <v>1275</v>
      </c>
      <c r="O5571" s="55" t="s">
        <v>178</v>
      </c>
    </row>
    <row r="5572" spans="2:15">
      <c r="B5572" s="20">
        <v>45794</v>
      </c>
      <c r="C5572" s="59">
        <v>40014675</v>
      </c>
      <c r="D5572" s="55" t="s">
        <v>44</v>
      </c>
      <c r="F5572" s="67">
        <v>34.56</v>
      </c>
      <c r="G5572" s="65">
        <v>34.56</v>
      </c>
      <c r="H5572" s="56" t="s">
        <v>80</v>
      </c>
      <c r="I5572" s="54">
        <v>8714371668</v>
      </c>
      <c r="J5572" s="56" t="s">
        <v>2978</v>
      </c>
      <c r="K5572" s="56">
        <v>335</v>
      </c>
      <c r="L5572" s="55" t="s">
        <v>2004</v>
      </c>
      <c r="M5572" s="55" t="s">
        <v>2824</v>
      </c>
      <c r="N5572" s="4" t="s">
        <v>1275</v>
      </c>
      <c r="O5572" s="55" t="s">
        <v>178</v>
      </c>
    </row>
    <row r="5573" spans="2:15">
      <c r="B5573" s="20">
        <v>45794</v>
      </c>
      <c r="C5573" s="59">
        <v>40014675</v>
      </c>
      <c r="D5573" s="55" t="s">
        <v>44</v>
      </c>
      <c r="F5573" s="67">
        <v>34.56</v>
      </c>
      <c r="G5573" s="65">
        <v>34.56</v>
      </c>
      <c r="H5573" s="56" t="s">
        <v>80</v>
      </c>
      <c r="I5573" s="54">
        <v>8714371672</v>
      </c>
      <c r="J5573" s="56" t="s">
        <v>2978</v>
      </c>
      <c r="K5573" s="56">
        <v>336</v>
      </c>
      <c r="L5573" s="55" t="s">
        <v>2004</v>
      </c>
      <c r="M5573" s="55" t="s">
        <v>2824</v>
      </c>
      <c r="N5573" s="4" t="s">
        <v>1275</v>
      </c>
      <c r="O5573" s="55" t="s">
        <v>178</v>
      </c>
    </row>
    <row r="5574" spans="2:15">
      <c r="B5574" s="20">
        <v>45794</v>
      </c>
      <c r="C5574" s="59">
        <v>40014675</v>
      </c>
      <c r="D5574" s="55" t="s">
        <v>44</v>
      </c>
      <c r="F5574" s="67">
        <v>34.56</v>
      </c>
      <c r="G5574" s="65">
        <f>1440*22/1000</f>
        <v>31.68</v>
      </c>
      <c r="H5574" s="56" t="s">
        <v>80</v>
      </c>
      <c r="I5574" s="54">
        <v>8714371675</v>
      </c>
      <c r="J5574" s="56" t="s">
        <v>2978</v>
      </c>
      <c r="K5574" s="56">
        <v>337</v>
      </c>
      <c r="L5574" s="55" t="s">
        <v>2152</v>
      </c>
      <c r="M5574" s="55" t="s">
        <v>2824</v>
      </c>
      <c r="N5574" s="4" t="s">
        <v>1905</v>
      </c>
      <c r="O5574" s="55" t="s">
        <v>178</v>
      </c>
    </row>
    <row r="5575" spans="2:15">
      <c r="B5575" s="20">
        <v>45794</v>
      </c>
      <c r="C5575" s="59">
        <v>40014675</v>
      </c>
      <c r="D5575" s="55" t="s">
        <v>44</v>
      </c>
      <c r="F5575" s="67">
        <v>34.56</v>
      </c>
      <c r="G5575" s="65">
        <v>34.56</v>
      </c>
      <c r="H5575" s="56" t="s">
        <v>80</v>
      </c>
      <c r="I5575" s="54">
        <v>8714371678</v>
      </c>
      <c r="J5575" s="56" t="s">
        <v>2978</v>
      </c>
      <c r="K5575" s="56">
        <v>338</v>
      </c>
      <c r="L5575" s="55" t="s">
        <v>2004</v>
      </c>
      <c r="M5575" s="55" t="s">
        <v>2824</v>
      </c>
      <c r="N5575" s="4" t="s">
        <v>1275</v>
      </c>
      <c r="O5575" s="55" t="s">
        <v>178</v>
      </c>
    </row>
    <row r="5576" spans="2:15">
      <c r="B5576" s="20">
        <v>45794</v>
      </c>
      <c r="C5576" s="59">
        <v>40014675</v>
      </c>
      <c r="D5576" s="55" t="s">
        <v>44</v>
      </c>
      <c r="F5576" s="67">
        <v>34.56</v>
      </c>
      <c r="G5576" s="65">
        <v>34.56</v>
      </c>
      <c r="H5576" s="56" t="s">
        <v>80</v>
      </c>
      <c r="I5576" s="54">
        <v>8714371682</v>
      </c>
      <c r="J5576" s="56" t="s">
        <v>2978</v>
      </c>
      <c r="K5576" s="56">
        <v>339</v>
      </c>
      <c r="L5576" s="55" t="s">
        <v>2004</v>
      </c>
      <c r="M5576" s="55" t="s">
        <v>2824</v>
      </c>
      <c r="N5576" s="4" t="s">
        <v>1275</v>
      </c>
      <c r="O5576" s="55" t="s">
        <v>178</v>
      </c>
    </row>
    <row r="5577" spans="2:15">
      <c r="B5577" s="20">
        <v>45794</v>
      </c>
      <c r="C5577" s="59">
        <v>40014675</v>
      </c>
      <c r="D5577" s="55" t="s">
        <v>44</v>
      </c>
      <c r="F5577" s="67">
        <v>31.68</v>
      </c>
      <c r="G5577" s="65">
        <f>1440*22/1000</f>
        <v>31.68</v>
      </c>
      <c r="H5577" s="56" t="s">
        <v>80</v>
      </c>
      <c r="I5577" s="54">
        <v>8714632705</v>
      </c>
      <c r="J5577" s="56" t="s">
        <v>2978</v>
      </c>
      <c r="K5577" s="56">
        <v>340</v>
      </c>
      <c r="L5577" s="55" t="s">
        <v>2152</v>
      </c>
      <c r="M5577" s="55" t="s">
        <v>2824</v>
      </c>
      <c r="N5577" s="4" t="s">
        <v>1905</v>
      </c>
      <c r="O5577" s="55" t="s">
        <v>178</v>
      </c>
    </row>
    <row r="5578" spans="2:15">
      <c r="B5578" s="20">
        <v>45794</v>
      </c>
      <c r="C5578" s="59">
        <v>40014675</v>
      </c>
      <c r="D5578" s="55" t="s">
        <v>44</v>
      </c>
      <c r="G5578" s="65">
        <v>34.56</v>
      </c>
      <c r="H5578" s="56" t="s">
        <v>80</v>
      </c>
      <c r="I5578" s="54">
        <v>8714632708</v>
      </c>
      <c r="J5578" s="56" t="s">
        <v>2978</v>
      </c>
      <c r="K5578" s="56">
        <v>341</v>
      </c>
      <c r="L5578" s="55" t="s">
        <v>2004</v>
      </c>
      <c r="M5578" s="55" t="s">
        <v>2824</v>
      </c>
      <c r="N5578" s="4" t="s">
        <v>1275</v>
      </c>
      <c r="O5578" s="55" t="s">
        <v>178</v>
      </c>
    </row>
    <row r="5579" spans="2:15">
      <c r="B5579" s="20">
        <v>45796</v>
      </c>
      <c r="C5579" s="59">
        <v>40014675</v>
      </c>
      <c r="D5579" s="55" t="s">
        <v>44</v>
      </c>
      <c r="G5579" s="65">
        <v>34.56</v>
      </c>
      <c r="H5579" s="56" t="s">
        <v>80</v>
      </c>
      <c r="I5579" s="54">
        <v>8714632761</v>
      </c>
      <c r="J5579" s="56" t="s">
        <v>2978</v>
      </c>
      <c r="K5579" s="56">
        <v>342</v>
      </c>
      <c r="L5579" s="55" t="s">
        <v>2004</v>
      </c>
      <c r="M5579" s="55" t="s">
        <v>2824</v>
      </c>
      <c r="N5579" s="4" t="s">
        <v>1275</v>
      </c>
      <c r="O5579" s="55" t="s">
        <v>178</v>
      </c>
    </row>
    <row r="5580" spans="2:15">
      <c r="B5580" s="20">
        <v>45796</v>
      </c>
      <c r="C5580" s="59">
        <v>40014675</v>
      </c>
      <c r="D5580" s="55" t="s">
        <v>44</v>
      </c>
      <c r="G5580" s="65">
        <v>34.56</v>
      </c>
      <c r="H5580" s="56" t="s">
        <v>80</v>
      </c>
      <c r="I5580" s="54">
        <v>8714632865</v>
      </c>
      <c r="J5580" s="56" t="s">
        <v>2978</v>
      </c>
      <c r="K5580" s="56">
        <v>343</v>
      </c>
      <c r="L5580" s="55" t="s">
        <v>2004</v>
      </c>
      <c r="M5580" s="55" t="s">
        <v>2824</v>
      </c>
      <c r="N5580" s="4" t="s">
        <v>1275</v>
      </c>
      <c r="O5580" s="55" t="s">
        <v>178</v>
      </c>
    </row>
    <row r="5581" spans="2:15">
      <c r="B5581" s="20">
        <v>45796</v>
      </c>
      <c r="C5581" s="59">
        <v>40014675</v>
      </c>
      <c r="D5581" s="55" t="s">
        <v>44</v>
      </c>
      <c r="G5581" s="65">
        <v>34.56</v>
      </c>
      <c r="H5581" s="56" t="s">
        <v>80</v>
      </c>
      <c r="I5581" s="54">
        <v>8714632870</v>
      </c>
      <c r="J5581" s="56" t="s">
        <v>2978</v>
      </c>
      <c r="K5581" s="56">
        <v>344</v>
      </c>
      <c r="L5581" s="55" t="s">
        <v>2004</v>
      </c>
      <c r="M5581" s="55" t="s">
        <v>2824</v>
      </c>
      <c r="N5581" s="4" t="s">
        <v>1275</v>
      </c>
      <c r="O5581" s="55" t="s">
        <v>178</v>
      </c>
    </row>
    <row r="5582" spans="2:15">
      <c r="B5582" s="20">
        <v>45796</v>
      </c>
      <c r="C5582" s="59">
        <v>40014675</v>
      </c>
      <c r="D5582" s="55" t="s">
        <v>44</v>
      </c>
      <c r="G5582" s="65">
        <v>34.56</v>
      </c>
      <c r="H5582" s="56" t="s">
        <v>80</v>
      </c>
      <c r="I5582" s="54">
        <v>8714635005</v>
      </c>
      <c r="J5582" s="56" t="s">
        <v>2978</v>
      </c>
      <c r="K5582" s="56">
        <v>345</v>
      </c>
      <c r="L5582" s="55" t="s">
        <v>2004</v>
      </c>
      <c r="M5582" s="55" t="s">
        <v>2824</v>
      </c>
      <c r="N5582" s="4" t="s">
        <v>1275</v>
      </c>
      <c r="O5582" s="55" t="s">
        <v>178</v>
      </c>
    </row>
    <row r="5583" spans="2:15">
      <c r="B5583" s="20">
        <v>45796</v>
      </c>
      <c r="C5583" s="59">
        <v>40014675</v>
      </c>
      <c r="D5583" s="55" t="s">
        <v>44</v>
      </c>
      <c r="G5583" s="65">
        <v>34.56</v>
      </c>
      <c r="H5583" s="56" t="s">
        <v>80</v>
      </c>
      <c r="I5583" s="54">
        <v>8714635007</v>
      </c>
      <c r="J5583" s="56" t="s">
        <v>2978</v>
      </c>
      <c r="K5583" s="56">
        <v>346</v>
      </c>
      <c r="L5583" s="55" t="s">
        <v>2004</v>
      </c>
      <c r="M5583" s="55" t="s">
        <v>2824</v>
      </c>
      <c r="N5583" s="4" t="s">
        <v>1275</v>
      </c>
      <c r="O5583" s="55" t="s">
        <v>178</v>
      </c>
    </row>
    <row r="5584" spans="2:15">
      <c r="B5584" s="20">
        <v>45796</v>
      </c>
      <c r="C5584" s="59">
        <v>50142571</v>
      </c>
      <c r="D5584" s="55" t="s">
        <v>605</v>
      </c>
      <c r="G5584" s="65">
        <v>360</v>
      </c>
      <c r="H5584" s="56" t="s">
        <v>82</v>
      </c>
      <c r="I5584" s="54" t="s">
        <v>2874</v>
      </c>
      <c r="J5584" s="56" t="s">
        <v>2978</v>
      </c>
      <c r="K5584" s="56">
        <v>3265</v>
      </c>
      <c r="L5584" s="55" t="s">
        <v>2152</v>
      </c>
      <c r="M5584" s="55" t="s">
        <v>2824</v>
      </c>
      <c r="N5584" s="4" t="s">
        <v>1905</v>
      </c>
      <c r="O5584" s="55" t="s">
        <v>178</v>
      </c>
    </row>
    <row r="5585" spans="2:15">
      <c r="B5585" s="20">
        <v>45796</v>
      </c>
      <c r="C5585" s="59">
        <v>40010080</v>
      </c>
      <c r="D5585" s="55" t="s">
        <v>2297</v>
      </c>
      <c r="G5585" s="65">
        <v>865</v>
      </c>
      <c r="H5585" s="56" t="s">
        <v>92</v>
      </c>
      <c r="I5585" s="54">
        <v>8716456449</v>
      </c>
      <c r="J5585" s="56" t="s">
        <v>2978</v>
      </c>
      <c r="K5585" s="56">
        <v>3265</v>
      </c>
      <c r="L5585" s="55" t="s">
        <v>2152</v>
      </c>
      <c r="M5585" s="55" t="s">
        <v>2824</v>
      </c>
      <c r="N5585" s="4" t="s">
        <v>1905</v>
      </c>
      <c r="O5585" s="55" t="s">
        <v>178</v>
      </c>
    </row>
    <row r="5586" spans="2:15">
      <c r="B5586" s="20">
        <v>45796</v>
      </c>
      <c r="C5586" s="59">
        <v>50141951</v>
      </c>
      <c r="D5586" s="55" t="s">
        <v>1386</v>
      </c>
      <c r="G5586" s="65">
        <v>800</v>
      </c>
      <c r="H5586" s="56" t="s">
        <v>82</v>
      </c>
      <c r="I5586" s="54">
        <v>8714635049</v>
      </c>
      <c r="J5586" s="56" t="s">
        <v>2978</v>
      </c>
      <c r="K5586" s="56">
        <v>3265</v>
      </c>
      <c r="L5586" s="55" t="s">
        <v>2152</v>
      </c>
      <c r="M5586" s="55" t="s">
        <v>2824</v>
      </c>
      <c r="N5586" s="4" t="s">
        <v>1905</v>
      </c>
      <c r="O5586" s="55" t="s">
        <v>178</v>
      </c>
    </row>
    <row r="5587" spans="2:15">
      <c r="B5587" s="20">
        <v>45796</v>
      </c>
      <c r="C5587" s="59">
        <v>50392045</v>
      </c>
      <c r="D5587" s="55" t="s">
        <v>707</v>
      </c>
      <c r="G5587" s="65">
        <v>36</v>
      </c>
      <c r="H5587" s="56" t="s">
        <v>505</v>
      </c>
      <c r="I5587" s="54">
        <v>8714909277</v>
      </c>
      <c r="J5587" s="56" t="s">
        <v>2978</v>
      </c>
      <c r="K5587" s="56">
        <v>3265</v>
      </c>
      <c r="L5587" s="55" t="s">
        <v>2152</v>
      </c>
      <c r="M5587" s="55" t="s">
        <v>2824</v>
      </c>
      <c r="N5587" s="4" t="s">
        <v>1905</v>
      </c>
      <c r="O5587" s="55" t="s">
        <v>178</v>
      </c>
    </row>
    <row r="5588" spans="2:15">
      <c r="B5588" s="20">
        <v>45796</v>
      </c>
      <c r="C5588" s="59">
        <v>50470190</v>
      </c>
      <c r="D5588" s="55" t="s">
        <v>12</v>
      </c>
      <c r="G5588" s="65">
        <v>3477600</v>
      </c>
      <c r="H5588" s="56" t="s">
        <v>92</v>
      </c>
      <c r="I5588" s="54">
        <v>8714635049</v>
      </c>
      <c r="J5588" s="56" t="s">
        <v>2978</v>
      </c>
      <c r="K5588" s="56">
        <v>3265</v>
      </c>
      <c r="L5588" s="55" t="s">
        <v>2152</v>
      </c>
      <c r="M5588" s="55" t="s">
        <v>2824</v>
      </c>
      <c r="N5588" s="4" t="s">
        <v>1905</v>
      </c>
      <c r="O5588" s="55" t="s">
        <v>178</v>
      </c>
    </row>
    <row r="5589" spans="2:15">
      <c r="B5589" s="20">
        <v>45796</v>
      </c>
      <c r="C5589" s="59">
        <v>50144376</v>
      </c>
      <c r="D5589" s="55" t="s">
        <v>19</v>
      </c>
      <c r="G5589" s="65">
        <v>5500</v>
      </c>
      <c r="H5589" s="56" t="s">
        <v>92</v>
      </c>
      <c r="I5589" s="54">
        <v>8714636360</v>
      </c>
      <c r="J5589" s="56" t="s">
        <v>2978</v>
      </c>
      <c r="K5589" s="56">
        <v>3266</v>
      </c>
      <c r="L5589" s="55" t="s">
        <v>2152</v>
      </c>
      <c r="M5589" s="55" t="s">
        <v>2824</v>
      </c>
      <c r="N5589" s="4" t="s">
        <v>1905</v>
      </c>
      <c r="O5589" s="55" t="s">
        <v>178</v>
      </c>
    </row>
    <row r="5590" spans="2:15">
      <c r="B5590" s="20">
        <v>45796</v>
      </c>
      <c r="C5590" s="59">
        <v>50272278</v>
      </c>
      <c r="D5590" s="55" t="s">
        <v>21</v>
      </c>
      <c r="G5590" s="65">
        <v>5500</v>
      </c>
      <c r="H5590" s="56" t="s">
        <v>92</v>
      </c>
      <c r="I5590" s="54">
        <v>8714636360</v>
      </c>
      <c r="J5590" s="56" t="s">
        <v>2978</v>
      </c>
      <c r="K5590" s="56">
        <v>3266</v>
      </c>
      <c r="L5590" s="55" t="s">
        <v>2152</v>
      </c>
      <c r="M5590" s="55" t="s">
        <v>2824</v>
      </c>
      <c r="N5590" s="4" t="s">
        <v>1905</v>
      </c>
      <c r="O5590" s="55" t="s">
        <v>178</v>
      </c>
    </row>
    <row r="5591" spans="2:15">
      <c r="B5591" s="20">
        <v>45796</v>
      </c>
      <c r="C5591" s="59">
        <v>50145028</v>
      </c>
      <c r="D5591" s="55" t="s">
        <v>23</v>
      </c>
      <c r="G5591" s="65">
        <v>560</v>
      </c>
      <c r="H5591" s="56" t="s">
        <v>92</v>
      </c>
      <c r="I5591" s="54" t="s">
        <v>2874</v>
      </c>
      <c r="J5591" s="56" t="s">
        <v>2978</v>
      </c>
      <c r="K5591" s="56">
        <v>3267</v>
      </c>
      <c r="L5591" s="55" t="s">
        <v>2004</v>
      </c>
      <c r="M5591" s="55" t="s">
        <v>392</v>
      </c>
      <c r="N5591" s="4" t="s">
        <v>3027</v>
      </c>
      <c r="O5591" s="55" t="s">
        <v>178</v>
      </c>
    </row>
    <row r="5592" spans="2:15">
      <c r="B5592" s="20">
        <v>45796</v>
      </c>
      <c r="C5592" s="59">
        <v>50799770</v>
      </c>
      <c r="D5592" s="55" t="s">
        <v>17</v>
      </c>
      <c r="G5592" s="65">
        <v>750</v>
      </c>
      <c r="H5592" s="56" t="s">
        <v>92</v>
      </c>
      <c r="I5592" s="54" t="s">
        <v>2874</v>
      </c>
      <c r="J5592" s="56" t="s">
        <v>2978</v>
      </c>
      <c r="K5592" s="56">
        <v>3267</v>
      </c>
      <c r="L5592" s="55" t="s">
        <v>2004</v>
      </c>
      <c r="M5592" s="55" t="s">
        <v>392</v>
      </c>
      <c r="N5592" s="4" t="s">
        <v>3027</v>
      </c>
      <c r="O5592" s="55" t="s">
        <v>178</v>
      </c>
    </row>
    <row r="5593" spans="2:15">
      <c r="B5593" s="20">
        <v>45796</v>
      </c>
      <c r="C5593" s="59">
        <v>50144376</v>
      </c>
      <c r="D5593" s="55" t="s">
        <v>19</v>
      </c>
      <c r="G5593" s="65">
        <v>5800</v>
      </c>
      <c r="H5593" s="56" t="s">
        <v>92</v>
      </c>
      <c r="I5593" s="54" t="s">
        <v>2874</v>
      </c>
      <c r="J5593" s="56" t="s">
        <v>2978</v>
      </c>
      <c r="K5593" s="56">
        <v>3267</v>
      </c>
      <c r="L5593" s="55" t="s">
        <v>2004</v>
      </c>
      <c r="M5593" s="55" t="s">
        <v>392</v>
      </c>
      <c r="N5593" s="4" t="s">
        <v>3027</v>
      </c>
      <c r="O5593" s="55" t="s">
        <v>178</v>
      </c>
    </row>
    <row r="5594" spans="2:15">
      <c r="B5594" s="20">
        <v>45796</v>
      </c>
      <c r="C5594" s="59">
        <v>50272278</v>
      </c>
      <c r="D5594" s="55" t="s">
        <v>21</v>
      </c>
      <c r="G5594" s="65">
        <v>8650</v>
      </c>
      <c r="H5594" s="56" t="s">
        <v>92</v>
      </c>
      <c r="I5594" s="54" t="s">
        <v>2874</v>
      </c>
      <c r="J5594" s="56" t="s">
        <v>2978</v>
      </c>
      <c r="K5594" s="56">
        <v>3267</v>
      </c>
      <c r="L5594" s="55" t="s">
        <v>2004</v>
      </c>
      <c r="M5594" s="55" t="s">
        <v>392</v>
      </c>
      <c r="N5594" s="4" t="s">
        <v>3027</v>
      </c>
      <c r="O5594" s="55" t="s">
        <v>178</v>
      </c>
    </row>
    <row r="5595" spans="2:15">
      <c r="B5595" s="20">
        <v>45796</v>
      </c>
      <c r="C5595" s="59">
        <v>50142237</v>
      </c>
      <c r="D5595" s="55" t="s">
        <v>617</v>
      </c>
      <c r="G5595" s="65">
        <v>6000</v>
      </c>
      <c r="H5595" s="56" t="s">
        <v>92</v>
      </c>
      <c r="I5595" s="54" t="s">
        <v>2874</v>
      </c>
      <c r="J5595" s="56" t="s">
        <v>2978</v>
      </c>
      <c r="K5595" s="56">
        <v>3267</v>
      </c>
      <c r="L5595" s="55" t="s">
        <v>2004</v>
      </c>
      <c r="M5595" s="55" t="s">
        <v>392</v>
      </c>
      <c r="N5595" s="4" t="s">
        <v>3027</v>
      </c>
      <c r="O5595" s="55" t="s">
        <v>178</v>
      </c>
    </row>
    <row r="5596" spans="2:15">
      <c r="B5596" s="20">
        <v>45797</v>
      </c>
      <c r="C5596" s="59">
        <v>50272278</v>
      </c>
      <c r="D5596" s="55" t="s">
        <v>21</v>
      </c>
      <c r="G5596" s="65">
        <v>5000</v>
      </c>
      <c r="H5596" s="56" t="s">
        <v>92</v>
      </c>
      <c r="I5596" s="54">
        <v>8714909716</v>
      </c>
      <c r="J5596" s="56" t="s">
        <v>2978</v>
      </c>
      <c r="K5596" s="56">
        <v>3268</v>
      </c>
      <c r="L5596" s="55" t="s">
        <v>2152</v>
      </c>
      <c r="M5596" s="55" t="s">
        <v>2824</v>
      </c>
      <c r="N5596" s="4" t="s">
        <v>1905</v>
      </c>
      <c r="O5596" s="55" t="s">
        <v>178</v>
      </c>
    </row>
    <row r="5597" spans="2:15">
      <c r="B5597" s="20">
        <v>45797</v>
      </c>
      <c r="C5597" s="59">
        <v>50397884</v>
      </c>
      <c r="D5597" s="55" t="s">
        <v>1296</v>
      </c>
      <c r="G5597" s="65">
        <v>810</v>
      </c>
      <c r="H5597" s="56" t="s">
        <v>80</v>
      </c>
      <c r="I5597" s="54">
        <v>8714909716</v>
      </c>
      <c r="J5597" s="56" t="s">
        <v>2978</v>
      </c>
      <c r="K5597" s="56">
        <v>3268</v>
      </c>
      <c r="L5597" s="55" t="s">
        <v>2152</v>
      </c>
      <c r="M5597" s="55" t="s">
        <v>2824</v>
      </c>
      <c r="N5597" s="4" t="s">
        <v>1905</v>
      </c>
      <c r="O5597" s="55" t="s">
        <v>178</v>
      </c>
    </row>
    <row r="5598" spans="2:15">
      <c r="B5598" s="20">
        <v>45797</v>
      </c>
      <c r="C5598" s="59">
        <v>50472692</v>
      </c>
      <c r="D5598" s="55" t="s">
        <v>1304</v>
      </c>
      <c r="G5598" s="65">
        <v>1092</v>
      </c>
      <c r="H5598" s="56" t="s">
        <v>80</v>
      </c>
      <c r="I5598" s="54">
        <v>8714909716</v>
      </c>
      <c r="J5598" s="56" t="s">
        <v>2978</v>
      </c>
      <c r="K5598" s="56">
        <v>3268</v>
      </c>
      <c r="L5598" s="55" t="s">
        <v>2152</v>
      </c>
      <c r="M5598" s="55" t="s">
        <v>2824</v>
      </c>
      <c r="N5598" s="4" t="s">
        <v>1905</v>
      </c>
      <c r="O5598" s="55" t="s">
        <v>178</v>
      </c>
    </row>
    <row r="5599" spans="2:15">
      <c r="B5599" s="20">
        <v>45797</v>
      </c>
      <c r="C5599" s="59">
        <v>40011588</v>
      </c>
      <c r="D5599" s="55" t="s">
        <v>585</v>
      </c>
      <c r="G5599" s="65">
        <v>900</v>
      </c>
      <c r="H5599" s="56" t="s">
        <v>80</v>
      </c>
      <c r="I5599" s="54">
        <v>8714909716</v>
      </c>
      <c r="J5599" s="56" t="s">
        <v>2978</v>
      </c>
      <c r="K5599" s="56">
        <v>3268</v>
      </c>
      <c r="L5599" s="55" t="s">
        <v>2152</v>
      </c>
      <c r="M5599" s="55" t="s">
        <v>2824</v>
      </c>
      <c r="N5599" s="4" t="s">
        <v>1905</v>
      </c>
      <c r="O5599" s="55" t="s">
        <v>178</v>
      </c>
    </row>
    <row r="5600" spans="2:15">
      <c r="B5600" s="20">
        <v>45797</v>
      </c>
      <c r="C5600" s="59">
        <v>50142327</v>
      </c>
      <c r="D5600" s="55" t="s">
        <v>256</v>
      </c>
      <c r="G5600" s="65">
        <v>953.4</v>
      </c>
      <c r="H5600" s="56" t="s">
        <v>82</v>
      </c>
      <c r="I5600" s="54">
        <v>8714909716</v>
      </c>
      <c r="J5600" s="56" t="s">
        <v>2978</v>
      </c>
      <c r="K5600" s="56">
        <v>3268</v>
      </c>
      <c r="L5600" s="55" t="s">
        <v>2152</v>
      </c>
      <c r="M5600" s="55" t="s">
        <v>2824</v>
      </c>
      <c r="N5600" s="4" t="s">
        <v>1905</v>
      </c>
      <c r="O5600" s="55" t="s">
        <v>178</v>
      </c>
    </row>
    <row r="5601" spans="2:15">
      <c r="B5601" s="20">
        <v>45797</v>
      </c>
      <c r="C5601" s="59">
        <v>50142334</v>
      </c>
      <c r="D5601" s="55" t="s">
        <v>257</v>
      </c>
      <c r="G5601" s="65">
        <v>1430.1</v>
      </c>
      <c r="H5601" s="56" t="s">
        <v>82</v>
      </c>
      <c r="I5601" s="54">
        <v>8714909716</v>
      </c>
      <c r="J5601" s="56" t="s">
        <v>2978</v>
      </c>
      <c r="K5601" s="56">
        <v>3268</v>
      </c>
      <c r="L5601" s="55" t="s">
        <v>2152</v>
      </c>
      <c r="M5601" s="55" t="s">
        <v>2824</v>
      </c>
      <c r="N5601" s="4" t="s">
        <v>1905</v>
      </c>
      <c r="O5601" s="55" t="s">
        <v>178</v>
      </c>
    </row>
    <row r="5602" spans="2:15">
      <c r="B5602" s="20">
        <v>45797</v>
      </c>
      <c r="C5602" s="59">
        <v>40014675</v>
      </c>
      <c r="D5602" s="55" t="s">
        <v>44</v>
      </c>
      <c r="G5602" s="65">
        <v>34.56</v>
      </c>
      <c r="H5602" s="56" t="s">
        <v>80</v>
      </c>
      <c r="I5602" s="54">
        <v>8714909735</v>
      </c>
      <c r="J5602" s="56" t="s">
        <v>2978</v>
      </c>
      <c r="K5602" s="56">
        <v>347</v>
      </c>
      <c r="L5602" s="55" t="s">
        <v>2004</v>
      </c>
      <c r="M5602" s="55" t="s">
        <v>392</v>
      </c>
      <c r="N5602" s="4" t="s">
        <v>3027</v>
      </c>
      <c r="O5602" s="55" t="s">
        <v>178</v>
      </c>
    </row>
    <row r="5603" spans="2:15">
      <c r="B5603" s="20">
        <v>45797</v>
      </c>
      <c r="C5603" s="59">
        <v>40014675</v>
      </c>
      <c r="D5603" s="55" t="s">
        <v>44</v>
      </c>
      <c r="G5603" s="65">
        <v>34.56</v>
      </c>
      <c r="H5603" s="56" t="s">
        <v>80</v>
      </c>
      <c r="I5603" s="54">
        <v>8714909737</v>
      </c>
      <c r="J5603" s="56" t="s">
        <v>2978</v>
      </c>
      <c r="K5603" s="56">
        <v>348</v>
      </c>
      <c r="L5603" s="55" t="s">
        <v>2004</v>
      </c>
      <c r="M5603" s="55" t="s">
        <v>392</v>
      </c>
      <c r="N5603" s="4" t="s">
        <v>3027</v>
      </c>
      <c r="O5603" s="55" t="s">
        <v>178</v>
      </c>
    </row>
    <row r="5604" spans="2:15">
      <c r="B5604" s="20">
        <v>45797</v>
      </c>
      <c r="C5604" s="59">
        <v>40014675</v>
      </c>
      <c r="D5604" s="55" t="s">
        <v>44</v>
      </c>
      <c r="G5604" s="65">
        <v>34.56</v>
      </c>
      <c r="H5604" s="56" t="s">
        <v>80</v>
      </c>
      <c r="I5604" s="54">
        <v>8714909740</v>
      </c>
      <c r="J5604" s="56" t="s">
        <v>2978</v>
      </c>
      <c r="K5604" s="56">
        <v>349</v>
      </c>
      <c r="L5604" s="55" t="s">
        <v>2004</v>
      </c>
      <c r="M5604" s="55" t="s">
        <v>392</v>
      </c>
      <c r="N5604" s="4" t="s">
        <v>3027</v>
      </c>
      <c r="O5604" s="55" t="s">
        <v>178</v>
      </c>
    </row>
    <row r="5605" spans="2:15">
      <c r="B5605" s="20">
        <v>45797</v>
      </c>
      <c r="C5605" s="59">
        <v>40014900</v>
      </c>
      <c r="D5605" s="55" t="s">
        <v>153</v>
      </c>
      <c r="G5605" s="65">
        <v>34.56</v>
      </c>
      <c r="H5605" s="56" t="s">
        <v>80</v>
      </c>
      <c r="I5605" s="54">
        <v>8714909754</v>
      </c>
      <c r="J5605" s="56" t="s">
        <v>2978</v>
      </c>
      <c r="K5605" s="56">
        <v>350</v>
      </c>
      <c r="L5605" s="55" t="s">
        <v>2004</v>
      </c>
      <c r="M5605" s="55" t="s">
        <v>392</v>
      </c>
      <c r="N5605" s="4" t="s">
        <v>3027</v>
      </c>
      <c r="O5605" s="55" t="s">
        <v>178</v>
      </c>
    </row>
    <row r="5606" spans="2:15">
      <c r="B5606" s="20">
        <v>45797</v>
      </c>
      <c r="C5606" s="59">
        <v>40014900</v>
      </c>
      <c r="D5606" s="55" t="s">
        <v>153</v>
      </c>
      <c r="G5606" s="65">
        <v>34.56</v>
      </c>
      <c r="H5606" s="56" t="s">
        <v>80</v>
      </c>
      <c r="I5606" s="54">
        <v>8714910531</v>
      </c>
      <c r="J5606" s="56" t="s">
        <v>2978</v>
      </c>
      <c r="K5606" s="56">
        <v>351</v>
      </c>
      <c r="L5606" s="55" t="s">
        <v>2004</v>
      </c>
      <c r="M5606" s="55" t="s">
        <v>392</v>
      </c>
      <c r="N5606" s="4" t="s">
        <v>3027</v>
      </c>
      <c r="O5606" s="55" t="s">
        <v>178</v>
      </c>
    </row>
    <row r="5607" spans="2:15">
      <c r="B5607" s="20">
        <v>45797</v>
      </c>
      <c r="C5607" s="59">
        <v>40014900</v>
      </c>
      <c r="D5607" s="55" t="s">
        <v>153</v>
      </c>
      <c r="G5607" s="65">
        <v>34.56</v>
      </c>
      <c r="H5607" s="56" t="s">
        <v>80</v>
      </c>
      <c r="I5607" s="54">
        <v>8714910532</v>
      </c>
      <c r="J5607" s="56" t="s">
        <v>2978</v>
      </c>
      <c r="K5607" s="56">
        <v>352</v>
      </c>
      <c r="L5607" s="55" t="s">
        <v>2004</v>
      </c>
      <c r="M5607" s="55" t="s">
        <v>392</v>
      </c>
      <c r="N5607" s="4" t="s">
        <v>3027</v>
      </c>
      <c r="O5607" s="55" t="s">
        <v>178</v>
      </c>
    </row>
    <row r="5608" spans="2:15">
      <c r="B5608" s="20">
        <v>45798</v>
      </c>
      <c r="C5608" s="59">
        <v>40014900</v>
      </c>
      <c r="D5608" s="55" t="s">
        <v>153</v>
      </c>
      <c r="G5608" s="65">
        <v>34.56</v>
      </c>
      <c r="H5608" s="56" t="s">
        <v>80</v>
      </c>
      <c r="I5608" s="54">
        <v>8715213155</v>
      </c>
      <c r="J5608" s="56" t="s">
        <v>2978</v>
      </c>
      <c r="K5608" s="56">
        <v>353</v>
      </c>
      <c r="L5608" s="55" t="s">
        <v>2004</v>
      </c>
      <c r="M5608" s="55" t="s">
        <v>392</v>
      </c>
      <c r="N5608" s="4" t="s">
        <v>3027</v>
      </c>
      <c r="O5608" s="55" t="s">
        <v>178</v>
      </c>
    </row>
    <row r="5609" spans="2:15">
      <c r="B5609" s="20">
        <v>45798</v>
      </c>
      <c r="C5609" s="59">
        <v>40014900</v>
      </c>
      <c r="D5609" s="55" t="s">
        <v>153</v>
      </c>
      <c r="G5609" s="65">
        <v>34.56</v>
      </c>
      <c r="H5609" s="56" t="s">
        <v>80</v>
      </c>
      <c r="I5609" s="54">
        <v>8715213159</v>
      </c>
      <c r="J5609" s="56" t="s">
        <v>2978</v>
      </c>
      <c r="K5609" s="56">
        <v>354</v>
      </c>
      <c r="L5609" s="55" t="s">
        <v>2004</v>
      </c>
      <c r="M5609" s="55" t="s">
        <v>392</v>
      </c>
      <c r="N5609" s="4" t="s">
        <v>3027</v>
      </c>
      <c r="O5609" s="55" t="s">
        <v>178</v>
      </c>
    </row>
    <row r="5610" spans="2:15">
      <c r="B5610" s="20">
        <v>45798</v>
      </c>
      <c r="C5610" s="59">
        <v>40014900</v>
      </c>
      <c r="D5610" s="55" t="s">
        <v>153</v>
      </c>
      <c r="G5610" s="65">
        <v>34.56</v>
      </c>
      <c r="H5610" s="56" t="s">
        <v>80</v>
      </c>
      <c r="I5610" s="54">
        <v>8715213165</v>
      </c>
      <c r="J5610" s="56" t="s">
        <v>2978</v>
      </c>
      <c r="K5610" s="56">
        <v>355</v>
      </c>
      <c r="L5610" s="55" t="s">
        <v>2004</v>
      </c>
      <c r="M5610" s="55" t="s">
        <v>392</v>
      </c>
      <c r="N5610" s="4" t="s">
        <v>3027</v>
      </c>
      <c r="O5610" s="55" t="s">
        <v>178</v>
      </c>
    </row>
    <row r="5611" spans="2:15">
      <c r="B5611" s="20">
        <v>45798</v>
      </c>
      <c r="C5611" s="59">
        <v>40014900</v>
      </c>
      <c r="D5611" s="55" t="s">
        <v>153</v>
      </c>
      <c r="G5611" s="65">
        <v>34.56</v>
      </c>
      <c r="H5611" s="56" t="s">
        <v>80</v>
      </c>
      <c r="I5611" s="54">
        <v>8715213171</v>
      </c>
      <c r="J5611" s="56" t="s">
        <v>2978</v>
      </c>
      <c r="K5611" s="56">
        <v>356</v>
      </c>
      <c r="L5611" s="55" t="s">
        <v>2004</v>
      </c>
      <c r="M5611" s="55" t="s">
        <v>392</v>
      </c>
      <c r="N5611" s="4" t="s">
        <v>3027</v>
      </c>
      <c r="O5611" s="55" t="s">
        <v>178</v>
      </c>
    </row>
    <row r="5612" spans="2:15">
      <c r="B5612" s="20">
        <v>45798</v>
      </c>
      <c r="C5612" s="59">
        <v>40009546</v>
      </c>
      <c r="D5612" s="55" t="s">
        <v>174</v>
      </c>
      <c r="G5612" s="65">
        <v>2959</v>
      </c>
      <c r="H5612" s="56" t="s">
        <v>80</v>
      </c>
      <c r="I5612" s="54">
        <v>8717687388</v>
      </c>
      <c r="J5612" s="56" t="s">
        <v>2978</v>
      </c>
      <c r="K5612" s="56">
        <v>3269</v>
      </c>
      <c r="L5612" s="55" t="s">
        <v>2152</v>
      </c>
      <c r="M5612" s="55" t="s">
        <v>2824</v>
      </c>
      <c r="N5612" s="4" t="s">
        <v>1905</v>
      </c>
      <c r="O5612" s="55" t="s">
        <v>178</v>
      </c>
    </row>
    <row r="5613" spans="2:15">
      <c r="B5613" s="20">
        <v>45798</v>
      </c>
      <c r="C5613" s="59">
        <v>40010087</v>
      </c>
      <c r="D5613" s="55" t="s">
        <v>387</v>
      </c>
      <c r="G5613" s="65">
        <v>1728</v>
      </c>
      <c r="H5613" s="56" t="s">
        <v>80</v>
      </c>
      <c r="I5613" s="54">
        <v>8715213052</v>
      </c>
      <c r="J5613" s="56" t="s">
        <v>2978</v>
      </c>
      <c r="K5613" s="56">
        <v>3269</v>
      </c>
      <c r="L5613" s="55" t="s">
        <v>2152</v>
      </c>
      <c r="M5613" s="55" t="s">
        <v>2824</v>
      </c>
      <c r="N5613" s="4" t="s">
        <v>1905</v>
      </c>
      <c r="O5613" s="55" t="s">
        <v>178</v>
      </c>
    </row>
    <row r="5614" spans="2:15">
      <c r="B5614" s="20">
        <v>45798</v>
      </c>
      <c r="C5614" s="59">
        <v>50144376</v>
      </c>
      <c r="D5614" s="55" t="s">
        <v>19</v>
      </c>
      <c r="G5614" s="65">
        <v>5000</v>
      </c>
      <c r="H5614" s="56" t="s">
        <v>92</v>
      </c>
      <c r="I5614" s="54">
        <v>8715213052</v>
      </c>
      <c r="J5614" s="56" t="s">
        <v>2978</v>
      </c>
      <c r="K5614" s="56">
        <v>3269</v>
      </c>
      <c r="L5614" s="55" t="s">
        <v>2152</v>
      </c>
      <c r="M5614" s="55" t="s">
        <v>2824</v>
      </c>
      <c r="N5614" s="4" t="s">
        <v>1905</v>
      </c>
      <c r="O5614" s="55" t="s">
        <v>178</v>
      </c>
    </row>
    <row r="5615" spans="2:15">
      <c r="B5615" s="20">
        <v>45798</v>
      </c>
      <c r="C5615" s="59">
        <v>50470190</v>
      </c>
      <c r="D5615" s="55" t="s">
        <v>12</v>
      </c>
      <c r="G5615" s="65">
        <v>1738800</v>
      </c>
      <c r="H5615" s="56" t="s">
        <v>92</v>
      </c>
      <c r="I5615" s="54">
        <v>8715213052</v>
      </c>
      <c r="J5615" s="56" t="s">
        <v>2978</v>
      </c>
      <c r="K5615" s="56">
        <v>3269</v>
      </c>
      <c r="L5615" s="55" t="s">
        <v>2152</v>
      </c>
      <c r="M5615" s="55" t="s">
        <v>2824</v>
      </c>
      <c r="N5615" s="4" t="s">
        <v>1905</v>
      </c>
      <c r="O5615" s="55" t="s">
        <v>178</v>
      </c>
    </row>
    <row r="5616" spans="2:15">
      <c r="B5616" s="20">
        <v>45799</v>
      </c>
      <c r="C5616" s="59">
        <v>50515034</v>
      </c>
      <c r="D5616" s="55" t="s">
        <v>41</v>
      </c>
      <c r="G5616" s="65">
        <v>118.8</v>
      </c>
      <c r="H5616" s="56" t="s">
        <v>80</v>
      </c>
      <c r="I5616" s="54" t="s">
        <v>2874</v>
      </c>
      <c r="J5616" s="56" t="s">
        <v>2978</v>
      </c>
      <c r="K5616" s="56">
        <v>3270</v>
      </c>
      <c r="L5616" s="55" t="s">
        <v>326</v>
      </c>
      <c r="M5616" s="55" t="s">
        <v>392</v>
      </c>
      <c r="N5616" s="4" t="s">
        <v>239</v>
      </c>
      <c r="O5616" s="55" t="s">
        <v>178</v>
      </c>
    </row>
    <row r="5617" spans="2:15">
      <c r="B5617" s="20">
        <v>45799</v>
      </c>
      <c r="C5617" s="59">
        <v>50145028</v>
      </c>
      <c r="D5617" s="55" t="s">
        <v>23</v>
      </c>
      <c r="G5617" s="65">
        <v>128</v>
      </c>
      <c r="H5617" s="56" t="s">
        <v>92</v>
      </c>
      <c r="I5617" s="54" t="s">
        <v>2874</v>
      </c>
      <c r="J5617" s="56" t="s">
        <v>2978</v>
      </c>
      <c r="K5617" s="56">
        <v>3270</v>
      </c>
      <c r="L5617" s="55" t="s">
        <v>326</v>
      </c>
      <c r="M5617" s="55" t="s">
        <v>392</v>
      </c>
      <c r="N5617" s="4" t="s">
        <v>239</v>
      </c>
      <c r="O5617" s="55" t="s">
        <v>178</v>
      </c>
    </row>
    <row r="5618" spans="2:15">
      <c r="B5618" s="20">
        <v>45799</v>
      </c>
      <c r="C5618" s="59">
        <v>50799770</v>
      </c>
      <c r="D5618" s="55" t="s">
        <v>17</v>
      </c>
      <c r="G5618" s="65">
        <v>2500</v>
      </c>
      <c r="H5618" s="56" t="s">
        <v>92</v>
      </c>
      <c r="I5618" s="54" t="s">
        <v>2874</v>
      </c>
      <c r="J5618" s="56" t="s">
        <v>2978</v>
      </c>
      <c r="K5618" s="56">
        <v>3270</v>
      </c>
      <c r="L5618" s="55" t="s">
        <v>326</v>
      </c>
      <c r="M5618" s="55" t="s">
        <v>392</v>
      </c>
      <c r="N5618" s="4" t="s">
        <v>239</v>
      </c>
      <c r="O5618" s="55" t="s">
        <v>178</v>
      </c>
    </row>
    <row r="5619" spans="2:15">
      <c r="B5619" s="20">
        <v>45799</v>
      </c>
      <c r="C5619" s="59">
        <v>50272278</v>
      </c>
      <c r="D5619" s="55" t="s">
        <v>21</v>
      </c>
      <c r="G5619" s="65">
        <v>1300</v>
      </c>
      <c r="H5619" s="56" t="s">
        <v>92</v>
      </c>
      <c r="I5619" s="54" t="s">
        <v>2874</v>
      </c>
      <c r="J5619" s="56" t="s">
        <v>2978</v>
      </c>
      <c r="K5619" s="56">
        <v>3270</v>
      </c>
      <c r="L5619" s="55" t="s">
        <v>326</v>
      </c>
      <c r="M5619" s="55" t="s">
        <v>392</v>
      </c>
      <c r="N5619" s="4" t="s">
        <v>239</v>
      </c>
      <c r="O5619" s="55" t="s">
        <v>178</v>
      </c>
    </row>
    <row r="5620" spans="2:15">
      <c r="B5620" s="20">
        <v>45799</v>
      </c>
      <c r="C5620" s="59">
        <v>50142237</v>
      </c>
      <c r="D5620" s="55" t="s">
        <v>617</v>
      </c>
      <c r="G5620" s="65">
        <v>10000</v>
      </c>
      <c r="H5620" s="56" t="s">
        <v>92</v>
      </c>
      <c r="I5620" s="54" t="s">
        <v>2874</v>
      </c>
      <c r="J5620" s="56" t="s">
        <v>2978</v>
      </c>
      <c r="K5620" s="56">
        <v>3270</v>
      </c>
      <c r="L5620" s="55" t="s">
        <v>326</v>
      </c>
      <c r="M5620" s="55" t="s">
        <v>392</v>
      </c>
      <c r="N5620" s="4" t="s">
        <v>239</v>
      </c>
      <c r="O5620" s="55" t="s">
        <v>178</v>
      </c>
    </row>
    <row r="5621" spans="2:15">
      <c r="B5621" s="20">
        <v>45799</v>
      </c>
      <c r="C5621" s="59">
        <v>50472696</v>
      </c>
      <c r="D5621" s="55" t="s">
        <v>1308</v>
      </c>
      <c r="G5621" s="65">
        <v>17.5</v>
      </c>
      <c r="H5621" s="56" t="s">
        <v>80</v>
      </c>
      <c r="I5621" s="54" t="s">
        <v>2874</v>
      </c>
      <c r="J5621" s="56" t="s">
        <v>2978</v>
      </c>
      <c r="K5621" s="56">
        <v>3270</v>
      </c>
      <c r="L5621" s="55" t="s">
        <v>326</v>
      </c>
      <c r="M5621" s="55" t="s">
        <v>392</v>
      </c>
      <c r="N5621" s="4" t="s">
        <v>239</v>
      </c>
      <c r="O5621" s="55" t="s">
        <v>178</v>
      </c>
    </row>
    <row r="5622" spans="2:15">
      <c r="B5622" s="20">
        <v>45799</v>
      </c>
      <c r="C5622" s="59">
        <v>50472692</v>
      </c>
      <c r="D5622" s="55" t="s">
        <v>1304</v>
      </c>
      <c r="G5622" s="65">
        <v>13</v>
      </c>
      <c r="H5622" s="56" t="s">
        <v>80</v>
      </c>
      <c r="I5622" s="54" t="s">
        <v>2874</v>
      </c>
      <c r="J5622" s="56" t="s">
        <v>2978</v>
      </c>
      <c r="K5622" s="56">
        <v>3270</v>
      </c>
      <c r="L5622" s="55" t="s">
        <v>326</v>
      </c>
      <c r="M5622" s="55" t="s">
        <v>392</v>
      </c>
      <c r="N5622" s="4" t="s">
        <v>239</v>
      </c>
      <c r="O5622" s="55" t="s">
        <v>178</v>
      </c>
    </row>
    <row r="5623" spans="2:15">
      <c r="B5623" s="20">
        <v>45799</v>
      </c>
      <c r="C5623" s="59">
        <v>40014900</v>
      </c>
      <c r="D5623" s="55" t="s">
        <v>153</v>
      </c>
      <c r="G5623" s="65">
        <v>34.56</v>
      </c>
      <c r="H5623" s="56" t="s">
        <v>80</v>
      </c>
      <c r="I5623" s="54">
        <v>8715551446</v>
      </c>
      <c r="J5623" s="56" t="s">
        <v>2978</v>
      </c>
      <c r="K5623" s="56">
        <v>357</v>
      </c>
      <c r="L5623" s="55" t="s">
        <v>2004</v>
      </c>
      <c r="M5623" s="55" t="s">
        <v>2824</v>
      </c>
      <c r="N5623" s="4" t="s">
        <v>1275</v>
      </c>
      <c r="O5623" s="55" t="s">
        <v>178</v>
      </c>
    </row>
    <row r="5624" spans="2:15">
      <c r="B5624" s="20">
        <v>45799</v>
      </c>
      <c r="C5624" s="59">
        <v>40014900</v>
      </c>
      <c r="D5624" s="55" t="s">
        <v>153</v>
      </c>
      <c r="G5624" s="65">
        <v>34.56</v>
      </c>
      <c r="H5624" s="56" t="s">
        <v>80</v>
      </c>
      <c r="I5624" s="54">
        <v>8715551448</v>
      </c>
      <c r="J5624" s="56" t="s">
        <v>2978</v>
      </c>
      <c r="K5624" s="56">
        <v>358</v>
      </c>
      <c r="L5624" s="55" t="s">
        <v>2004</v>
      </c>
      <c r="M5624" s="55" t="s">
        <v>2824</v>
      </c>
      <c r="N5624" s="4" t="s">
        <v>1275</v>
      </c>
      <c r="O5624" s="55" t="s">
        <v>178</v>
      </c>
    </row>
    <row r="5625" spans="2:15">
      <c r="B5625" s="20">
        <v>45799</v>
      </c>
      <c r="C5625" s="59">
        <v>40014900</v>
      </c>
      <c r="D5625" s="55" t="s">
        <v>153</v>
      </c>
      <c r="G5625" s="65">
        <v>34.56</v>
      </c>
      <c r="H5625" s="56" t="s">
        <v>80</v>
      </c>
      <c r="I5625" s="54">
        <v>8715551449</v>
      </c>
      <c r="J5625" s="56" t="s">
        <v>2978</v>
      </c>
      <c r="K5625" s="56">
        <v>359</v>
      </c>
      <c r="L5625" s="55" t="s">
        <v>2004</v>
      </c>
      <c r="M5625" s="55" t="s">
        <v>2824</v>
      </c>
      <c r="N5625" s="4" t="s">
        <v>1275</v>
      </c>
      <c r="O5625" s="55" t="s">
        <v>178</v>
      </c>
    </row>
    <row r="5626" spans="2:15">
      <c r="B5626" s="20">
        <v>45799</v>
      </c>
      <c r="C5626" s="59">
        <v>40014900</v>
      </c>
      <c r="D5626" s="55" t="s">
        <v>153</v>
      </c>
      <c r="G5626" s="65">
        <v>34.56</v>
      </c>
      <c r="H5626" s="56" t="s">
        <v>80</v>
      </c>
      <c r="I5626" s="54">
        <v>8715551474</v>
      </c>
      <c r="J5626" s="56" t="s">
        <v>2978</v>
      </c>
      <c r="K5626" s="56">
        <v>360</v>
      </c>
      <c r="L5626" s="55" t="s">
        <v>2004</v>
      </c>
      <c r="M5626" s="55" t="s">
        <v>2824</v>
      </c>
      <c r="N5626" s="4" t="s">
        <v>1275</v>
      </c>
      <c r="O5626" s="55" t="s">
        <v>178</v>
      </c>
    </row>
    <row r="5627" spans="2:15">
      <c r="B5627" s="20">
        <v>45800</v>
      </c>
      <c r="C5627" s="59">
        <v>50272278</v>
      </c>
      <c r="D5627" s="55" t="s">
        <v>21</v>
      </c>
      <c r="G5627" s="65">
        <v>6000</v>
      </c>
      <c r="H5627" s="56" t="s">
        <v>92</v>
      </c>
      <c r="I5627" s="54">
        <v>8715878306</v>
      </c>
      <c r="J5627" s="56" t="s">
        <v>2978</v>
      </c>
      <c r="K5627" s="56">
        <v>3271</v>
      </c>
      <c r="L5627" s="55" t="s">
        <v>2152</v>
      </c>
      <c r="M5627" s="55" t="s">
        <v>2824</v>
      </c>
      <c r="N5627" s="4" t="s">
        <v>1905</v>
      </c>
      <c r="O5627" s="55" t="s">
        <v>178</v>
      </c>
    </row>
    <row r="5628" spans="2:15">
      <c r="B5628" s="20">
        <v>45800</v>
      </c>
      <c r="C5628" s="59">
        <v>50472692</v>
      </c>
      <c r="D5628" s="55" t="s">
        <v>1304</v>
      </c>
      <c r="G5628" s="65">
        <v>1092</v>
      </c>
      <c r="H5628" s="56" t="s">
        <v>80</v>
      </c>
      <c r="I5628" s="54">
        <v>8715878306</v>
      </c>
      <c r="J5628" s="56" t="s">
        <v>2978</v>
      </c>
      <c r="K5628" s="56">
        <v>3271</v>
      </c>
      <c r="L5628" s="55" t="s">
        <v>2152</v>
      </c>
      <c r="M5628" s="55" t="s">
        <v>2824</v>
      </c>
      <c r="N5628" s="4" t="s">
        <v>1905</v>
      </c>
      <c r="O5628" s="55" t="s">
        <v>178</v>
      </c>
    </row>
    <row r="5629" spans="2:15">
      <c r="B5629" s="20">
        <v>45800</v>
      </c>
      <c r="C5629" s="59">
        <v>50470190</v>
      </c>
      <c r="D5629" s="55" t="s">
        <v>12</v>
      </c>
      <c r="G5629" s="65">
        <v>2318400</v>
      </c>
      <c r="H5629" s="56" t="s">
        <v>92</v>
      </c>
      <c r="I5629" s="54">
        <v>8715878306</v>
      </c>
      <c r="J5629" s="56" t="s">
        <v>2978</v>
      </c>
      <c r="K5629" s="56">
        <v>3271</v>
      </c>
      <c r="L5629" s="55" t="s">
        <v>2152</v>
      </c>
      <c r="M5629" s="55" t="s">
        <v>2824</v>
      </c>
      <c r="N5629" s="4" t="s">
        <v>1905</v>
      </c>
      <c r="O5629" s="55" t="s">
        <v>178</v>
      </c>
    </row>
    <row r="5630" spans="2:15">
      <c r="B5630" s="20">
        <v>45800</v>
      </c>
      <c r="C5630" s="59">
        <v>40014900</v>
      </c>
      <c r="D5630" s="55" t="s">
        <v>153</v>
      </c>
      <c r="G5630" s="65">
        <v>34.56</v>
      </c>
      <c r="H5630" s="56" t="s">
        <v>80</v>
      </c>
      <c r="I5630" s="54">
        <v>8715878768</v>
      </c>
      <c r="J5630" s="56" t="s">
        <v>2978</v>
      </c>
      <c r="K5630" s="56">
        <v>361</v>
      </c>
      <c r="L5630" s="55" t="s">
        <v>2004</v>
      </c>
      <c r="M5630" s="55" t="s">
        <v>2824</v>
      </c>
      <c r="N5630" s="4" t="s">
        <v>1275</v>
      </c>
      <c r="O5630" s="55" t="s">
        <v>178</v>
      </c>
    </row>
    <row r="5631" spans="2:15">
      <c r="B5631" s="20">
        <v>45800</v>
      </c>
      <c r="C5631" s="59">
        <v>40014900</v>
      </c>
      <c r="D5631" s="55" t="s">
        <v>153</v>
      </c>
      <c r="G5631" s="65">
        <v>34.56</v>
      </c>
      <c r="H5631" s="56" t="s">
        <v>80</v>
      </c>
      <c r="I5631" s="54">
        <v>8715878770</v>
      </c>
      <c r="J5631" s="56" t="s">
        <v>2978</v>
      </c>
      <c r="K5631" s="56">
        <v>362</v>
      </c>
      <c r="L5631" s="55" t="s">
        <v>2004</v>
      </c>
      <c r="M5631" s="55" t="s">
        <v>2824</v>
      </c>
      <c r="N5631" s="4" t="s">
        <v>1275</v>
      </c>
      <c r="O5631" s="55" t="s">
        <v>178</v>
      </c>
    </row>
    <row r="5632" spans="2:15">
      <c r="B5632" s="20">
        <v>45800</v>
      </c>
      <c r="C5632" s="59">
        <v>40014675</v>
      </c>
      <c r="D5632" s="55" t="s">
        <v>44</v>
      </c>
      <c r="G5632" s="65">
        <v>34.56</v>
      </c>
      <c r="H5632" s="56" t="s">
        <v>80</v>
      </c>
      <c r="I5632" s="54">
        <v>8715879004</v>
      </c>
      <c r="J5632" s="56" t="s">
        <v>2978</v>
      </c>
      <c r="K5632" s="56">
        <v>363</v>
      </c>
      <c r="L5632" s="55" t="s">
        <v>2004</v>
      </c>
      <c r="M5632" s="55" t="s">
        <v>2824</v>
      </c>
      <c r="N5632" s="4" t="s">
        <v>1275</v>
      </c>
      <c r="O5632" s="55" t="s">
        <v>178</v>
      </c>
    </row>
    <row r="5633" spans="2:15">
      <c r="B5633" s="20">
        <v>45803</v>
      </c>
      <c r="C5633" s="59">
        <v>50142055</v>
      </c>
      <c r="D5633" s="55" t="s">
        <v>206</v>
      </c>
      <c r="G5633" s="65">
        <v>6000</v>
      </c>
      <c r="H5633" s="56" t="s">
        <v>82</v>
      </c>
      <c r="I5633" s="54">
        <v>8716746844</v>
      </c>
      <c r="J5633" s="56" t="s">
        <v>2978</v>
      </c>
      <c r="K5633" s="56">
        <v>3272</v>
      </c>
      <c r="L5633" s="55" t="s">
        <v>2152</v>
      </c>
      <c r="M5633" s="55" t="s">
        <v>2824</v>
      </c>
      <c r="N5633" s="4" t="s">
        <v>1905</v>
      </c>
      <c r="O5633" s="55" t="s">
        <v>178</v>
      </c>
    </row>
    <row r="5634" spans="2:15">
      <c r="B5634" s="20">
        <v>45803</v>
      </c>
      <c r="C5634" s="59">
        <v>50793278</v>
      </c>
      <c r="D5634" s="55" t="s">
        <v>1086</v>
      </c>
      <c r="G5634" s="65">
        <v>100</v>
      </c>
      <c r="H5634" s="56" t="s">
        <v>1087</v>
      </c>
      <c r="I5634" s="54" t="s">
        <v>2874</v>
      </c>
      <c r="J5634" s="56" t="s">
        <v>2978</v>
      </c>
      <c r="K5634" s="56">
        <v>3272</v>
      </c>
      <c r="L5634" s="55" t="s">
        <v>2152</v>
      </c>
      <c r="M5634" s="55" t="s">
        <v>2824</v>
      </c>
      <c r="N5634" s="4" t="s">
        <v>1905</v>
      </c>
      <c r="O5634" s="55" t="s">
        <v>178</v>
      </c>
    </row>
    <row r="5635" spans="2:15">
      <c r="B5635" s="20">
        <v>45803</v>
      </c>
      <c r="C5635" s="59">
        <v>50470190</v>
      </c>
      <c r="D5635" s="55" t="s">
        <v>12</v>
      </c>
      <c r="G5635" s="65">
        <v>579600</v>
      </c>
      <c r="H5635" s="56" t="s">
        <v>92</v>
      </c>
      <c r="I5635" s="54">
        <v>8716746844</v>
      </c>
      <c r="J5635" s="56" t="s">
        <v>2978</v>
      </c>
      <c r="K5635" s="56">
        <v>3272</v>
      </c>
      <c r="L5635" s="55" t="s">
        <v>2152</v>
      </c>
      <c r="M5635" s="55" t="s">
        <v>2824</v>
      </c>
      <c r="N5635" s="4" t="s">
        <v>1905</v>
      </c>
      <c r="O5635" s="55" t="s">
        <v>178</v>
      </c>
    </row>
    <row r="5636" spans="2:15">
      <c r="B5636" s="20">
        <v>45804</v>
      </c>
      <c r="C5636" s="59">
        <v>50271649</v>
      </c>
      <c r="D5636" s="55" t="s">
        <v>1435</v>
      </c>
      <c r="G5636" s="65">
        <v>7140</v>
      </c>
      <c r="H5636" s="56" t="s">
        <v>962</v>
      </c>
      <c r="I5636" s="54" t="s">
        <v>2874</v>
      </c>
      <c r="J5636" s="56" t="s">
        <v>2978</v>
      </c>
      <c r="K5636" s="56">
        <v>3273</v>
      </c>
      <c r="L5636" s="55" t="s">
        <v>2004</v>
      </c>
      <c r="M5636" s="55" t="s">
        <v>392</v>
      </c>
      <c r="N5636" s="4" t="s">
        <v>1275</v>
      </c>
      <c r="O5636" s="55" t="s">
        <v>178</v>
      </c>
    </row>
    <row r="5637" spans="2:15">
      <c r="B5637" s="20">
        <v>45805</v>
      </c>
      <c r="C5637" s="59">
        <v>50271649</v>
      </c>
      <c r="D5637" s="55" t="s">
        <v>1435</v>
      </c>
      <c r="G5637" s="65">
        <v>39984</v>
      </c>
      <c r="H5637" s="56" t="s">
        <v>92</v>
      </c>
      <c r="I5637" s="54" t="s">
        <v>2874</v>
      </c>
      <c r="J5637" s="56" t="s">
        <v>2978</v>
      </c>
      <c r="K5637" s="56">
        <v>3274</v>
      </c>
      <c r="L5637" s="55" t="s">
        <v>2152</v>
      </c>
      <c r="M5637" s="55" t="s">
        <v>392</v>
      </c>
      <c r="N5637" s="4" t="s">
        <v>1905</v>
      </c>
      <c r="O5637" s="55" t="s">
        <v>178</v>
      </c>
    </row>
    <row r="5638" spans="2:15">
      <c r="B5638" s="20">
        <v>45806</v>
      </c>
      <c r="C5638" s="59">
        <v>50010080</v>
      </c>
      <c r="D5638" s="55" t="s">
        <v>1657</v>
      </c>
      <c r="G5638" s="65">
        <v>4000</v>
      </c>
      <c r="H5638" s="56" t="s">
        <v>82</v>
      </c>
      <c r="I5638" s="54">
        <v>8717368719</v>
      </c>
      <c r="J5638" s="56" t="s">
        <v>2978</v>
      </c>
      <c r="K5638" s="56">
        <v>3275</v>
      </c>
      <c r="L5638" s="55" t="s">
        <v>2152</v>
      </c>
      <c r="M5638" s="55" t="s">
        <v>2824</v>
      </c>
      <c r="N5638" s="4" t="s">
        <v>1905</v>
      </c>
      <c r="O5638" s="55" t="s">
        <v>178</v>
      </c>
    </row>
    <row r="5639" spans="2:15">
      <c r="B5639" s="20">
        <v>45806</v>
      </c>
      <c r="C5639" s="59">
        <v>50142519</v>
      </c>
      <c r="D5639" s="55" t="s">
        <v>1575</v>
      </c>
      <c r="G5639" s="65">
        <v>5000</v>
      </c>
      <c r="H5639" s="56" t="s">
        <v>92</v>
      </c>
      <c r="I5639" s="54">
        <v>8717368719</v>
      </c>
      <c r="J5639" s="56" t="s">
        <v>2978</v>
      </c>
      <c r="K5639" s="56">
        <v>3275</v>
      </c>
      <c r="L5639" s="55" t="s">
        <v>2152</v>
      </c>
      <c r="M5639" s="55" t="s">
        <v>2824</v>
      </c>
      <c r="N5639" s="4" t="s">
        <v>1905</v>
      </c>
      <c r="O5639" s="55" t="s">
        <v>178</v>
      </c>
    </row>
    <row r="5640" spans="2:15">
      <c r="B5640" s="20">
        <v>45806</v>
      </c>
      <c r="C5640" s="59">
        <v>50142571</v>
      </c>
      <c r="D5640" s="55" t="s">
        <v>605</v>
      </c>
      <c r="G5640" s="65">
        <v>312</v>
      </c>
      <c r="H5640" s="56" t="s">
        <v>82</v>
      </c>
      <c r="I5640" s="54">
        <v>8717368719</v>
      </c>
      <c r="J5640" s="56" t="s">
        <v>2978</v>
      </c>
      <c r="K5640" s="56">
        <v>3275</v>
      </c>
      <c r="L5640" s="55" t="s">
        <v>2152</v>
      </c>
      <c r="M5640" s="55" t="s">
        <v>2824</v>
      </c>
      <c r="N5640" s="4" t="s">
        <v>1905</v>
      </c>
      <c r="O5640" s="55" t="s">
        <v>178</v>
      </c>
    </row>
    <row r="5641" spans="2:15">
      <c r="B5641" s="20">
        <v>45806</v>
      </c>
      <c r="C5641" s="59">
        <v>40011133</v>
      </c>
      <c r="D5641" s="55" t="s">
        <v>634</v>
      </c>
      <c r="G5641" s="65">
        <v>864</v>
      </c>
      <c r="H5641" s="56" t="s">
        <v>80</v>
      </c>
      <c r="I5641" s="54">
        <v>8717368719</v>
      </c>
      <c r="J5641" s="56" t="s">
        <v>2978</v>
      </c>
      <c r="K5641" s="56">
        <v>3275</v>
      </c>
      <c r="L5641" s="55" t="s">
        <v>2152</v>
      </c>
      <c r="M5641" s="55" t="s">
        <v>2824</v>
      </c>
      <c r="N5641" s="4" t="s">
        <v>1905</v>
      </c>
      <c r="O5641" s="55" t="s">
        <v>178</v>
      </c>
    </row>
    <row r="5642" spans="2:15">
      <c r="B5642" s="20">
        <v>45806</v>
      </c>
      <c r="C5642" s="59">
        <v>50142455</v>
      </c>
      <c r="D5642" s="55" t="s">
        <v>560</v>
      </c>
      <c r="G5642" s="65">
        <v>450</v>
      </c>
      <c r="H5642" s="56" t="s">
        <v>92</v>
      </c>
      <c r="I5642" s="54">
        <v>8717368719</v>
      </c>
      <c r="J5642" s="56" t="s">
        <v>2978</v>
      </c>
      <c r="K5642" s="56">
        <v>3275</v>
      </c>
      <c r="L5642" s="55" t="s">
        <v>2152</v>
      </c>
      <c r="M5642" s="55" t="s">
        <v>2824</v>
      </c>
      <c r="N5642" s="4" t="s">
        <v>1905</v>
      </c>
      <c r="O5642" s="55" t="s">
        <v>178</v>
      </c>
    </row>
    <row r="5643" spans="2:15">
      <c r="B5643" s="20">
        <v>45806</v>
      </c>
      <c r="C5643" s="59">
        <v>50142237</v>
      </c>
      <c r="D5643" s="55" t="s">
        <v>617</v>
      </c>
      <c r="G5643" s="65">
        <v>20000</v>
      </c>
      <c r="H5643" s="56" t="s">
        <v>92</v>
      </c>
      <c r="I5643" s="54">
        <v>8717368719</v>
      </c>
      <c r="J5643" s="56" t="s">
        <v>2978</v>
      </c>
      <c r="K5643" s="56">
        <v>3275</v>
      </c>
      <c r="L5643" s="55" t="s">
        <v>2152</v>
      </c>
      <c r="M5643" s="55" t="s">
        <v>2824</v>
      </c>
      <c r="N5643" s="4" t="s">
        <v>1905</v>
      </c>
      <c r="O5643" s="55" t="s">
        <v>178</v>
      </c>
    </row>
    <row r="5644" spans="2:15">
      <c r="B5644" s="20">
        <v>45806</v>
      </c>
      <c r="C5644" s="59">
        <v>40007941</v>
      </c>
      <c r="D5644" s="55" t="s">
        <v>211</v>
      </c>
      <c r="G5644" s="65">
        <v>1728</v>
      </c>
      <c r="H5644" s="56" t="s">
        <v>80</v>
      </c>
      <c r="I5644" s="54">
        <v>8717368719</v>
      </c>
      <c r="J5644" s="56" t="s">
        <v>2978</v>
      </c>
      <c r="K5644" s="56">
        <v>3275</v>
      </c>
      <c r="L5644" s="55" t="s">
        <v>2152</v>
      </c>
      <c r="M5644" s="55" t="s">
        <v>2824</v>
      </c>
      <c r="N5644" s="4" t="s">
        <v>1905</v>
      </c>
      <c r="O5644" s="55" t="s">
        <v>178</v>
      </c>
    </row>
    <row r="5645" spans="2:15">
      <c r="B5645" s="20">
        <v>45806</v>
      </c>
      <c r="C5645" s="59">
        <v>40011588</v>
      </c>
      <c r="D5645" s="55" t="s">
        <v>585</v>
      </c>
      <c r="G5645" s="65">
        <v>900</v>
      </c>
      <c r="H5645" s="56" t="s">
        <v>80</v>
      </c>
      <c r="I5645" s="54">
        <v>8717368719</v>
      </c>
      <c r="J5645" s="56" t="s">
        <v>2978</v>
      </c>
      <c r="K5645" s="56">
        <v>3275</v>
      </c>
      <c r="L5645" s="55" t="s">
        <v>2152</v>
      </c>
      <c r="M5645" s="55" t="s">
        <v>2824</v>
      </c>
      <c r="N5645" s="4" t="s">
        <v>1905</v>
      </c>
      <c r="O5645" s="55" t="s">
        <v>178</v>
      </c>
    </row>
    <row r="5646" spans="2:15">
      <c r="B5646" s="20">
        <v>45806</v>
      </c>
      <c r="C5646" s="59">
        <v>50509889</v>
      </c>
      <c r="D5646" s="55" t="s">
        <v>671</v>
      </c>
      <c r="G5646" s="65">
        <v>528000</v>
      </c>
      <c r="H5646" s="56" t="s">
        <v>92</v>
      </c>
      <c r="I5646" s="54">
        <v>8717368719</v>
      </c>
      <c r="J5646" s="56" t="s">
        <v>2978</v>
      </c>
      <c r="K5646" s="56">
        <v>3275</v>
      </c>
      <c r="L5646" s="55" t="s">
        <v>2152</v>
      </c>
      <c r="M5646" s="55" t="s">
        <v>2824</v>
      </c>
      <c r="N5646" s="4" t="s">
        <v>1905</v>
      </c>
      <c r="O5646" s="55" t="s">
        <v>178</v>
      </c>
    </row>
    <row r="5647" spans="2:15">
      <c r="B5647" s="20">
        <v>45806</v>
      </c>
      <c r="C5647" s="59">
        <v>50142350</v>
      </c>
      <c r="D5647" s="55" t="s">
        <v>212</v>
      </c>
      <c r="G5647" s="65">
        <v>791</v>
      </c>
      <c r="H5647" s="56" t="s">
        <v>82</v>
      </c>
      <c r="I5647" s="54">
        <v>8717368719</v>
      </c>
      <c r="J5647" s="56" t="s">
        <v>2978</v>
      </c>
      <c r="K5647" s="56">
        <v>3275</v>
      </c>
      <c r="L5647" s="55" t="s">
        <v>2152</v>
      </c>
      <c r="M5647" s="55" t="s">
        <v>2824</v>
      </c>
      <c r="N5647" s="4" t="s">
        <v>1905</v>
      </c>
      <c r="O5647" s="55" t="s">
        <v>178</v>
      </c>
    </row>
    <row r="5648" spans="2:15">
      <c r="B5648" s="20">
        <v>45806</v>
      </c>
      <c r="C5648" s="59">
        <v>50142327</v>
      </c>
      <c r="D5648" s="55" t="s">
        <v>256</v>
      </c>
      <c r="G5648" s="65">
        <v>953.4</v>
      </c>
      <c r="H5648" s="56" t="s">
        <v>82</v>
      </c>
      <c r="I5648" s="54">
        <v>8717368719</v>
      </c>
      <c r="J5648" s="56" t="s">
        <v>2978</v>
      </c>
      <c r="K5648" s="56">
        <v>3275</v>
      </c>
      <c r="L5648" s="55" t="s">
        <v>2152</v>
      </c>
      <c r="M5648" s="55" t="s">
        <v>2824</v>
      </c>
      <c r="N5648" s="4" t="s">
        <v>1905</v>
      </c>
      <c r="O5648" s="55" t="s">
        <v>178</v>
      </c>
    </row>
    <row r="5649" spans="2:15">
      <c r="B5649" s="20">
        <v>45806</v>
      </c>
      <c r="C5649" s="59">
        <v>50142334</v>
      </c>
      <c r="D5649" s="55" t="s">
        <v>257</v>
      </c>
      <c r="G5649" s="65">
        <v>953.4</v>
      </c>
      <c r="H5649" s="56" t="s">
        <v>82</v>
      </c>
      <c r="I5649" s="54">
        <v>8717368719</v>
      </c>
      <c r="J5649" s="56" t="s">
        <v>2978</v>
      </c>
      <c r="K5649" s="56">
        <v>3275</v>
      </c>
      <c r="L5649" s="55" t="s">
        <v>2152</v>
      </c>
      <c r="M5649" s="55" t="s">
        <v>2824</v>
      </c>
      <c r="N5649" s="4" t="s">
        <v>1905</v>
      </c>
      <c r="O5649" s="55" t="s">
        <v>178</v>
      </c>
    </row>
    <row r="5650" spans="2:15">
      <c r="B5650" s="20">
        <v>45806</v>
      </c>
      <c r="C5650" s="59">
        <v>50337814</v>
      </c>
      <c r="D5650" s="55" t="s">
        <v>669</v>
      </c>
      <c r="G5650" s="122">
        <v>264</v>
      </c>
      <c r="H5650" s="56" t="s">
        <v>80</v>
      </c>
      <c r="I5650" s="54">
        <v>8717368719</v>
      </c>
      <c r="J5650" s="56" t="s">
        <v>2978</v>
      </c>
      <c r="K5650" s="56">
        <v>3275</v>
      </c>
      <c r="L5650" s="55" t="s">
        <v>2152</v>
      </c>
      <c r="M5650" s="55" t="s">
        <v>2824</v>
      </c>
      <c r="N5650" s="4" t="s">
        <v>1905</v>
      </c>
      <c r="O5650" s="55" t="s">
        <v>178</v>
      </c>
    </row>
    <row r="5651" spans="2:15">
      <c r="B5651" s="20">
        <v>45806</v>
      </c>
      <c r="C5651" s="59">
        <v>50271649</v>
      </c>
      <c r="D5651" s="55" t="s">
        <v>1435</v>
      </c>
      <c r="G5651" s="65">
        <f>22*70*12</f>
        <v>18480</v>
      </c>
      <c r="H5651" s="56" t="s">
        <v>92</v>
      </c>
      <c r="I5651" s="54">
        <v>8718666332</v>
      </c>
      <c r="J5651" s="56" t="s">
        <v>2978</v>
      </c>
      <c r="K5651" s="56">
        <v>364</v>
      </c>
      <c r="L5651" s="55" t="s">
        <v>2152</v>
      </c>
      <c r="M5651" s="55" t="s">
        <v>2824</v>
      </c>
      <c r="N5651" s="4" t="s">
        <v>1905</v>
      </c>
      <c r="O5651" s="55" t="s">
        <v>178</v>
      </c>
    </row>
    <row r="5652" spans="2:15">
      <c r="B5652" s="20">
        <v>45806</v>
      </c>
      <c r="C5652" s="59">
        <v>50271649</v>
      </c>
      <c r="D5652" s="55" t="s">
        <v>1435</v>
      </c>
      <c r="G5652" s="65">
        <f>17*12*70</f>
        <v>14280</v>
      </c>
      <c r="H5652" s="56" t="s">
        <v>92</v>
      </c>
      <c r="I5652" s="54">
        <v>8718666333</v>
      </c>
      <c r="J5652" s="56" t="s">
        <v>2978</v>
      </c>
      <c r="K5652" s="56">
        <v>365</v>
      </c>
      <c r="L5652" s="55" t="s">
        <v>2004</v>
      </c>
      <c r="M5652" s="55" t="s">
        <v>2824</v>
      </c>
      <c r="N5652" s="4" t="s">
        <v>1275</v>
      </c>
      <c r="O5652" s="55" t="s">
        <v>178</v>
      </c>
    </row>
    <row r="5653" spans="2:15">
      <c r="B5653" s="20">
        <v>45806</v>
      </c>
      <c r="C5653" s="59">
        <v>50271649</v>
      </c>
      <c r="D5653" s="55" t="s">
        <v>1435</v>
      </c>
      <c r="G5653" s="65">
        <f>28*1428</f>
        <v>39984</v>
      </c>
      <c r="H5653" s="56" t="s">
        <v>92</v>
      </c>
      <c r="I5653" s="54" t="s">
        <v>2874</v>
      </c>
      <c r="J5653" s="56" t="s">
        <v>2978</v>
      </c>
      <c r="K5653" s="56">
        <v>3276</v>
      </c>
      <c r="L5653" s="55" t="s">
        <v>2004</v>
      </c>
      <c r="M5653" s="55" t="s">
        <v>392</v>
      </c>
      <c r="N5653" s="4" t="s">
        <v>1275</v>
      </c>
      <c r="O5653" s="55" t="s">
        <v>178</v>
      </c>
    </row>
    <row r="5654" spans="2:15">
      <c r="B5654" s="20">
        <v>45806</v>
      </c>
      <c r="C5654" s="59">
        <v>50271649</v>
      </c>
      <c r="D5654" s="55" t="s">
        <v>1435</v>
      </c>
      <c r="G5654" s="65">
        <f>28*1428</f>
        <v>39984</v>
      </c>
      <c r="H5654" s="56" t="s">
        <v>92</v>
      </c>
      <c r="I5654" s="54" t="s">
        <v>2874</v>
      </c>
      <c r="J5654" s="56" t="s">
        <v>2978</v>
      </c>
      <c r="K5654" s="56">
        <v>3277</v>
      </c>
      <c r="L5654" s="55" t="s">
        <v>2004</v>
      </c>
      <c r="M5654" s="55" t="s">
        <v>392</v>
      </c>
      <c r="N5654" s="4" t="s">
        <v>1275</v>
      </c>
      <c r="O5654" s="55" t="s">
        <v>178</v>
      </c>
    </row>
    <row r="5655" spans="2:15">
      <c r="B5655" s="20">
        <v>45807</v>
      </c>
      <c r="C5655" s="59">
        <v>50271649</v>
      </c>
      <c r="D5655" s="55" t="s">
        <v>1435</v>
      </c>
      <c r="G5655" s="65">
        <f>8*1428</f>
        <v>11424</v>
      </c>
      <c r="H5655" s="56" t="s">
        <v>92</v>
      </c>
      <c r="I5655" s="54" t="s">
        <v>2874</v>
      </c>
      <c r="J5655" s="56" t="s">
        <v>2978</v>
      </c>
      <c r="K5655" s="56">
        <v>3278</v>
      </c>
      <c r="L5655" s="55" t="s">
        <v>2004</v>
      </c>
      <c r="M5655" s="55" t="s">
        <v>392</v>
      </c>
      <c r="N5655" s="4" t="s">
        <v>1275</v>
      </c>
      <c r="O5655" s="55" t="s">
        <v>178</v>
      </c>
    </row>
    <row r="5656" spans="2:15">
      <c r="B5656" s="20">
        <v>45810</v>
      </c>
      <c r="C5656" s="59">
        <v>50272278</v>
      </c>
      <c r="D5656" s="55" t="s">
        <v>21</v>
      </c>
      <c r="E5656" s="67">
        <f>G5656/250</f>
        <v>16</v>
      </c>
      <c r="G5656" s="65">
        <v>4000</v>
      </c>
      <c r="H5656" s="56" t="s">
        <v>92</v>
      </c>
      <c r="I5656" s="54">
        <v>8718235338</v>
      </c>
      <c r="J5656" s="56" t="s">
        <v>2978</v>
      </c>
      <c r="K5656" s="56">
        <v>3279</v>
      </c>
      <c r="L5656" s="55" t="s">
        <v>2152</v>
      </c>
      <c r="M5656" s="55" t="s">
        <v>2824</v>
      </c>
      <c r="N5656" s="4" t="s">
        <v>1905</v>
      </c>
      <c r="O5656" s="55" t="s">
        <v>178</v>
      </c>
    </row>
    <row r="5657" spans="2:15">
      <c r="B5657" s="20">
        <v>45810</v>
      </c>
      <c r="C5657" s="59">
        <v>50802401</v>
      </c>
      <c r="D5657" s="55" t="s">
        <v>13</v>
      </c>
      <c r="G5657" s="65">
        <v>3477600</v>
      </c>
      <c r="H5657" s="56" t="s">
        <v>92</v>
      </c>
      <c r="I5657" s="54">
        <v>8718235338</v>
      </c>
      <c r="J5657" s="56" t="s">
        <v>2978</v>
      </c>
      <c r="K5657" s="56">
        <v>3279</v>
      </c>
      <c r="L5657" s="55" t="s">
        <v>2152</v>
      </c>
      <c r="M5657" s="55" t="s">
        <v>2824</v>
      </c>
      <c r="N5657" s="4" t="s">
        <v>1905</v>
      </c>
      <c r="O5657" s="55" t="s">
        <v>178</v>
      </c>
    </row>
    <row r="5658" spans="2:15">
      <c r="B5658" s="20">
        <v>45811</v>
      </c>
      <c r="C5658" s="59">
        <v>50837239</v>
      </c>
      <c r="D5658" s="55" t="s">
        <v>27</v>
      </c>
      <c r="G5658" s="65">
        <v>1961.55</v>
      </c>
      <c r="H5658" s="56" t="s">
        <v>82</v>
      </c>
      <c r="I5658" s="54">
        <v>8718420315</v>
      </c>
      <c r="J5658" s="56" t="s">
        <v>2978</v>
      </c>
      <c r="K5658" s="56">
        <v>3280</v>
      </c>
      <c r="L5658" s="55" t="s">
        <v>2152</v>
      </c>
      <c r="M5658" s="55" t="s">
        <v>2824</v>
      </c>
      <c r="N5658" s="4" t="s">
        <v>1905</v>
      </c>
      <c r="O5658" s="55" t="s">
        <v>178</v>
      </c>
    </row>
    <row r="5659" spans="2:15">
      <c r="B5659" s="20">
        <v>45811</v>
      </c>
      <c r="C5659" s="59">
        <v>50837284</v>
      </c>
      <c r="D5659" s="69" t="s">
        <v>28</v>
      </c>
      <c r="G5659" s="65">
        <v>1041.85</v>
      </c>
      <c r="H5659" s="56" t="s">
        <v>82</v>
      </c>
      <c r="I5659" s="54">
        <v>8718928273</v>
      </c>
      <c r="J5659" s="56" t="s">
        <v>2978</v>
      </c>
      <c r="K5659" s="56">
        <v>3280</v>
      </c>
      <c r="L5659" s="55" t="s">
        <v>2152</v>
      </c>
      <c r="M5659" s="55" t="s">
        <v>2824</v>
      </c>
      <c r="N5659" s="4" t="s">
        <v>1905</v>
      </c>
      <c r="O5659" s="55" t="s">
        <v>178</v>
      </c>
    </row>
    <row r="5660" spans="2:15">
      <c r="B5660" s="20">
        <v>45811</v>
      </c>
      <c r="C5660" s="59">
        <v>50272278</v>
      </c>
      <c r="D5660" s="55" t="s">
        <v>21</v>
      </c>
      <c r="E5660" s="67">
        <f>G5660/250</f>
        <v>28</v>
      </c>
      <c r="G5660" s="65">
        <v>7000</v>
      </c>
      <c r="H5660" s="56" t="s">
        <v>92</v>
      </c>
      <c r="I5660" s="54">
        <v>8718420315</v>
      </c>
      <c r="J5660" s="56" t="s">
        <v>2978</v>
      </c>
      <c r="K5660" s="56">
        <v>3280</v>
      </c>
      <c r="L5660" s="55" t="s">
        <v>2152</v>
      </c>
      <c r="M5660" s="55" t="s">
        <v>2824</v>
      </c>
      <c r="N5660" s="4" t="s">
        <v>1905</v>
      </c>
      <c r="O5660" s="55" t="s">
        <v>178</v>
      </c>
    </row>
    <row r="5661" spans="2:15">
      <c r="B5661" s="20">
        <v>45811</v>
      </c>
      <c r="C5661" s="59">
        <v>40011780</v>
      </c>
      <c r="D5661" s="55" t="s">
        <v>584</v>
      </c>
      <c r="G5661" s="65">
        <v>900</v>
      </c>
      <c r="H5661" s="56" t="s">
        <v>80</v>
      </c>
      <c r="I5661" s="54">
        <v>8718420315</v>
      </c>
      <c r="J5661" s="56" t="s">
        <v>2978</v>
      </c>
      <c r="K5661" s="56">
        <v>3280</v>
      </c>
      <c r="L5661" s="55" t="s">
        <v>2152</v>
      </c>
      <c r="M5661" s="55" t="s">
        <v>2824</v>
      </c>
      <c r="N5661" s="4" t="s">
        <v>1905</v>
      </c>
      <c r="O5661" s="55" t="s">
        <v>178</v>
      </c>
    </row>
    <row r="5662" spans="2:15">
      <c r="B5662" s="20">
        <v>45811</v>
      </c>
      <c r="C5662" s="59">
        <v>50843042</v>
      </c>
      <c r="D5662" s="55" t="s">
        <v>2282</v>
      </c>
      <c r="G5662" s="65">
        <v>611.15</v>
      </c>
      <c r="H5662" s="56" t="s">
        <v>82</v>
      </c>
      <c r="I5662" s="54" t="s">
        <v>2874</v>
      </c>
      <c r="J5662" s="56" t="s">
        <v>2978</v>
      </c>
      <c r="K5662" s="56">
        <v>3281</v>
      </c>
      <c r="L5662" s="55" t="s">
        <v>326</v>
      </c>
      <c r="M5662" s="55" t="s">
        <v>2918</v>
      </c>
      <c r="N5662" s="4" t="s">
        <v>1613</v>
      </c>
      <c r="O5662" s="55" t="s">
        <v>178</v>
      </c>
    </row>
    <row r="5663" spans="2:15">
      <c r="B5663" s="20">
        <v>45811</v>
      </c>
      <c r="C5663" s="59">
        <v>50144376</v>
      </c>
      <c r="D5663" s="55" t="s">
        <v>19</v>
      </c>
      <c r="G5663" s="65">
        <v>4000</v>
      </c>
      <c r="H5663" s="56" t="s">
        <v>92</v>
      </c>
      <c r="I5663" s="54" t="s">
        <v>2874</v>
      </c>
      <c r="J5663" s="56" t="s">
        <v>2978</v>
      </c>
      <c r="K5663" s="56">
        <v>3281</v>
      </c>
      <c r="L5663" s="55" t="s">
        <v>326</v>
      </c>
      <c r="M5663" s="55" t="s">
        <v>2918</v>
      </c>
      <c r="N5663" s="4" t="s">
        <v>1613</v>
      </c>
      <c r="O5663" s="55" t="s">
        <v>178</v>
      </c>
    </row>
    <row r="5664" spans="2:15">
      <c r="B5664" s="20">
        <v>45811</v>
      </c>
      <c r="C5664" s="59">
        <v>50272278</v>
      </c>
      <c r="D5664" s="55" t="s">
        <v>21</v>
      </c>
      <c r="G5664" s="65">
        <v>4000</v>
      </c>
      <c r="H5664" s="56" t="s">
        <v>92</v>
      </c>
      <c r="I5664" s="54" t="s">
        <v>2874</v>
      </c>
      <c r="J5664" s="56" t="s">
        <v>2978</v>
      </c>
      <c r="K5664" s="56">
        <v>3281</v>
      </c>
      <c r="L5664" s="55" t="s">
        <v>326</v>
      </c>
      <c r="M5664" s="55" t="s">
        <v>2918</v>
      </c>
      <c r="N5664" s="4" t="s">
        <v>1613</v>
      </c>
      <c r="O5664" s="55" t="s">
        <v>178</v>
      </c>
    </row>
    <row r="5665" spans="2:15">
      <c r="B5665" s="20">
        <v>45812</v>
      </c>
      <c r="C5665" s="59">
        <v>50142551</v>
      </c>
      <c r="D5665" s="69" t="s">
        <v>215</v>
      </c>
      <c r="G5665" s="65">
        <v>175</v>
      </c>
      <c r="H5665" s="56" t="s">
        <v>92</v>
      </c>
      <c r="I5665" s="54">
        <v>8720512517</v>
      </c>
      <c r="J5665" s="56" t="s">
        <v>2978</v>
      </c>
      <c r="K5665" s="56">
        <v>3282</v>
      </c>
      <c r="L5665" s="55" t="s">
        <v>2152</v>
      </c>
      <c r="M5665" s="55" t="s">
        <v>2824</v>
      </c>
      <c r="N5665" s="4" t="s">
        <v>1905</v>
      </c>
      <c r="O5665" s="55" t="s">
        <v>178</v>
      </c>
    </row>
    <row r="5666" spans="2:15">
      <c r="B5666" s="20">
        <v>45812</v>
      </c>
      <c r="C5666" s="59">
        <v>50272278</v>
      </c>
      <c r="D5666" s="55" t="s">
        <v>21</v>
      </c>
      <c r="E5666" s="67">
        <f>G5666/250</f>
        <v>24</v>
      </c>
      <c r="G5666" s="65">
        <v>6000</v>
      </c>
      <c r="H5666" s="56" t="s">
        <v>92</v>
      </c>
      <c r="I5666" s="54">
        <v>8718666371</v>
      </c>
      <c r="J5666" s="56" t="s">
        <v>2978</v>
      </c>
      <c r="K5666" s="56">
        <v>3282</v>
      </c>
      <c r="L5666" s="55" t="s">
        <v>2152</v>
      </c>
      <c r="M5666" s="55" t="s">
        <v>2824</v>
      </c>
      <c r="N5666" s="4" t="s">
        <v>1905</v>
      </c>
      <c r="O5666" s="55" t="s">
        <v>178</v>
      </c>
    </row>
    <row r="5667" spans="2:15">
      <c r="B5667" s="20">
        <v>45812</v>
      </c>
      <c r="C5667" s="59">
        <v>40011149</v>
      </c>
      <c r="D5667" s="55" t="s">
        <v>37</v>
      </c>
      <c r="G5667" s="65">
        <v>1800</v>
      </c>
      <c r="H5667" s="56" t="s">
        <v>80</v>
      </c>
      <c r="I5667" s="54">
        <v>8719203627</v>
      </c>
      <c r="J5667" s="56" t="s">
        <v>2978</v>
      </c>
      <c r="K5667" s="56">
        <v>3282</v>
      </c>
      <c r="L5667" s="55" t="s">
        <v>2152</v>
      </c>
      <c r="M5667" s="55" t="s">
        <v>2824</v>
      </c>
      <c r="N5667" s="4" t="s">
        <v>1905</v>
      </c>
      <c r="O5667" s="55" t="s">
        <v>178</v>
      </c>
    </row>
    <row r="5668" spans="2:15">
      <c r="B5668" s="20">
        <v>45812</v>
      </c>
      <c r="C5668" s="59">
        <v>40011780</v>
      </c>
      <c r="D5668" s="55" t="s">
        <v>584</v>
      </c>
      <c r="G5668" s="65">
        <v>450</v>
      </c>
      <c r="H5668" s="56" t="s">
        <v>80</v>
      </c>
      <c r="I5668" s="54">
        <v>8718666371</v>
      </c>
      <c r="J5668" s="56" t="s">
        <v>2978</v>
      </c>
      <c r="K5668" s="56">
        <v>3282</v>
      </c>
      <c r="L5668" s="55" t="s">
        <v>2152</v>
      </c>
      <c r="M5668" s="55" t="s">
        <v>2824</v>
      </c>
      <c r="N5668" s="4" t="s">
        <v>1905</v>
      </c>
      <c r="O5668" s="55" t="s">
        <v>178</v>
      </c>
    </row>
    <row r="5669" spans="2:15">
      <c r="B5669" s="20">
        <v>45812</v>
      </c>
      <c r="C5669" s="59">
        <v>50802401</v>
      </c>
      <c r="D5669" s="55" t="s">
        <v>13</v>
      </c>
      <c r="G5669" s="65">
        <v>579600</v>
      </c>
      <c r="H5669" s="56" t="s">
        <v>92</v>
      </c>
      <c r="I5669" s="54">
        <v>8718666371</v>
      </c>
      <c r="J5669" s="56" t="s">
        <v>2978</v>
      </c>
      <c r="K5669" s="56">
        <v>3282</v>
      </c>
      <c r="L5669" s="55" t="s">
        <v>2152</v>
      </c>
      <c r="M5669" s="55" t="s">
        <v>2824</v>
      </c>
      <c r="N5669" s="4" t="s">
        <v>1905</v>
      </c>
      <c r="O5669" s="55" t="s">
        <v>178</v>
      </c>
    </row>
    <row r="5670" spans="2:15">
      <c r="B5670" s="20">
        <v>45814</v>
      </c>
      <c r="C5670" s="59">
        <v>40010087</v>
      </c>
      <c r="D5670" s="55" t="s">
        <v>387</v>
      </c>
      <c r="G5670" s="65">
        <v>864</v>
      </c>
      <c r="H5670" s="56" t="s">
        <v>80</v>
      </c>
      <c r="I5670" s="54">
        <v>8719203529</v>
      </c>
      <c r="J5670" s="56" t="s">
        <v>2978</v>
      </c>
      <c r="K5670" s="56">
        <v>3283</v>
      </c>
      <c r="L5670" s="55" t="s">
        <v>2152</v>
      </c>
      <c r="M5670" s="55" t="s">
        <v>2824</v>
      </c>
      <c r="N5670" s="4" t="s">
        <v>177</v>
      </c>
      <c r="O5670" s="55" t="s">
        <v>178</v>
      </c>
    </row>
    <row r="5671" spans="2:15">
      <c r="B5671" s="20">
        <v>45814</v>
      </c>
      <c r="C5671" s="59">
        <v>50272278</v>
      </c>
      <c r="D5671" s="55" t="s">
        <v>21</v>
      </c>
      <c r="E5671" s="67">
        <f>G5671/250</f>
        <v>28</v>
      </c>
      <c r="G5671" s="65">
        <v>7000</v>
      </c>
      <c r="H5671" s="56" t="s">
        <v>92</v>
      </c>
      <c r="I5671" s="54">
        <v>8719203529</v>
      </c>
      <c r="J5671" s="56" t="s">
        <v>2978</v>
      </c>
      <c r="K5671" s="56">
        <v>3283</v>
      </c>
      <c r="L5671" s="55" t="s">
        <v>2152</v>
      </c>
      <c r="M5671" s="55" t="s">
        <v>2824</v>
      </c>
      <c r="N5671" s="4" t="s">
        <v>177</v>
      </c>
      <c r="O5671" s="55" t="s">
        <v>178</v>
      </c>
    </row>
    <row r="5672" spans="2:15">
      <c r="B5672" s="20">
        <v>45814</v>
      </c>
      <c r="C5672" s="59">
        <v>40011588</v>
      </c>
      <c r="D5672" s="55" t="s">
        <v>585</v>
      </c>
      <c r="G5672" s="65">
        <v>900</v>
      </c>
      <c r="H5672" s="56" t="s">
        <v>80</v>
      </c>
      <c r="I5672" s="54">
        <v>8719203529</v>
      </c>
      <c r="J5672" s="56" t="s">
        <v>2978</v>
      </c>
      <c r="K5672" s="56">
        <v>3283</v>
      </c>
      <c r="L5672" s="55" t="s">
        <v>2152</v>
      </c>
      <c r="M5672" s="55" t="s">
        <v>2824</v>
      </c>
      <c r="N5672" s="4" t="s">
        <v>177</v>
      </c>
      <c r="O5672" s="55" t="s">
        <v>178</v>
      </c>
    </row>
    <row r="5673" spans="2:15">
      <c r="B5673" s="20">
        <v>45814</v>
      </c>
      <c r="C5673" s="59">
        <v>40011659</v>
      </c>
      <c r="D5673" s="55" t="s">
        <v>89</v>
      </c>
      <c r="G5673" s="65">
        <v>720</v>
      </c>
      <c r="H5673" s="56" t="s">
        <v>80</v>
      </c>
      <c r="I5673" s="54">
        <v>8720512523</v>
      </c>
      <c r="J5673" s="56" t="s">
        <v>2978</v>
      </c>
      <c r="K5673" s="56">
        <v>3283</v>
      </c>
      <c r="L5673" s="55" t="s">
        <v>2152</v>
      </c>
      <c r="M5673" s="55" t="s">
        <v>2824</v>
      </c>
      <c r="N5673" s="4" t="s">
        <v>177</v>
      </c>
      <c r="O5673" s="55" t="s">
        <v>178</v>
      </c>
    </row>
    <row r="5674" spans="2:15">
      <c r="B5674" s="20">
        <v>45814</v>
      </c>
      <c r="C5674" s="59">
        <v>50851033</v>
      </c>
      <c r="D5674" s="55" t="s">
        <v>29</v>
      </c>
      <c r="G5674" s="65">
        <v>2987.95</v>
      </c>
      <c r="H5674" s="56" t="s">
        <v>82</v>
      </c>
      <c r="I5674" s="54">
        <v>8719696812</v>
      </c>
      <c r="J5674" s="56" t="s">
        <v>2978</v>
      </c>
      <c r="K5674" s="56">
        <v>3283</v>
      </c>
      <c r="L5674" s="55" t="s">
        <v>2152</v>
      </c>
      <c r="M5674" s="55" t="s">
        <v>2824</v>
      </c>
      <c r="N5674" s="4" t="s">
        <v>177</v>
      </c>
      <c r="O5674" s="55" t="s">
        <v>178</v>
      </c>
    </row>
    <row r="5675" spans="2:15">
      <c r="B5675" s="20">
        <v>45814</v>
      </c>
      <c r="C5675" s="59">
        <v>50145028</v>
      </c>
      <c r="D5675" s="55" t="s">
        <v>23</v>
      </c>
      <c r="G5675" s="65">
        <v>100</v>
      </c>
      <c r="H5675" s="56" t="s">
        <v>92</v>
      </c>
      <c r="I5675" s="54" t="s">
        <v>2874</v>
      </c>
      <c r="J5675" s="56" t="s">
        <v>2978</v>
      </c>
      <c r="K5675" s="56">
        <v>3284</v>
      </c>
      <c r="L5675" s="55" t="s">
        <v>326</v>
      </c>
      <c r="M5675" s="55" t="s">
        <v>326</v>
      </c>
      <c r="N5675" s="4" t="s">
        <v>1613</v>
      </c>
      <c r="O5675" s="55" t="s">
        <v>178</v>
      </c>
    </row>
    <row r="5676" spans="2:15">
      <c r="B5676" s="20">
        <v>45817</v>
      </c>
      <c r="C5676" s="59">
        <v>50144376</v>
      </c>
      <c r="D5676" s="55" t="s">
        <v>19</v>
      </c>
      <c r="E5676" s="67">
        <f>G5676/250</f>
        <v>14</v>
      </c>
      <c r="G5676" s="65">
        <v>3500</v>
      </c>
      <c r="H5676" s="56" t="s">
        <v>92</v>
      </c>
      <c r="I5676" s="54">
        <v>8719696867</v>
      </c>
      <c r="J5676" s="56" t="s">
        <v>2978</v>
      </c>
      <c r="K5676" s="56">
        <v>3285</v>
      </c>
      <c r="L5676" s="55" t="s">
        <v>2152</v>
      </c>
      <c r="M5676" s="55" t="s">
        <v>2824</v>
      </c>
      <c r="N5676" s="4" t="s">
        <v>177</v>
      </c>
      <c r="O5676" s="55" t="s">
        <v>178</v>
      </c>
    </row>
    <row r="5677" spans="2:15">
      <c r="B5677" s="20">
        <v>45817</v>
      </c>
      <c r="C5677" s="59">
        <v>50470190</v>
      </c>
      <c r="D5677" s="55" t="s">
        <v>12</v>
      </c>
      <c r="G5677" s="65">
        <v>1159200</v>
      </c>
      <c r="H5677" s="56" t="s">
        <v>92</v>
      </c>
      <c r="I5677" s="54">
        <v>8719696867</v>
      </c>
      <c r="J5677" s="56" t="s">
        <v>2978</v>
      </c>
      <c r="K5677" s="56">
        <v>3285</v>
      </c>
      <c r="L5677" s="55" t="s">
        <v>2152</v>
      </c>
      <c r="M5677" s="55" t="s">
        <v>2824</v>
      </c>
      <c r="N5677" s="4" t="s">
        <v>177</v>
      </c>
      <c r="O5677" s="55" t="s">
        <v>178</v>
      </c>
    </row>
    <row r="5678" spans="2:15">
      <c r="B5678" s="20">
        <v>45817</v>
      </c>
      <c r="C5678" s="59">
        <v>50837509</v>
      </c>
      <c r="D5678" s="55" t="s">
        <v>14</v>
      </c>
      <c r="G5678" s="65">
        <v>2318400</v>
      </c>
      <c r="H5678" s="56" t="s">
        <v>92</v>
      </c>
      <c r="I5678" s="54">
        <v>8719696867</v>
      </c>
      <c r="J5678" s="56" t="s">
        <v>2978</v>
      </c>
      <c r="K5678" s="56">
        <v>3285</v>
      </c>
      <c r="L5678" s="55" t="s">
        <v>2152</v>
      </c>
      <c r="M5678" s="55" t="s">
        <v>2824</v>
      </c>
      <c r="N5678" s="4" t="s">
        <v>177</v>
      </c>
      <c r="O5678" s="55" t="s">
        <v>178</v>
      </c>
    </row>
    <row r="5679" spans="2:15">
      <c r="B5679" s="20">
        <v>45817</v>
      </c>
      <c r="C5679" s="59">
        <v>50851033</v>
      </c>
      <c r="D5679" s="55" t="s">
        <v>29</v>
      </c>
      <c r="G5679" s="65">
        <v>2043.35</v>
      </c>
      <c r="H5679" s="56" t="s">
        <v>82</v>
      </c>
      <c r="I5679" s="54">
        <v>8719696867</v>
      </c>
      <c r="J5679" s="56" t="s">
        <v>2978</v>
      </c>
      <c r="K5679" s="56">
        <v>3285</v>
      </c>
      <c r="L5679" s="55" t="s">
        <v>2152</v>
      </c>
      <c r="M5679" s="55" t="s">
        <v>2824</v>
      </c>
      <c r="N5679" s="4" t="s">
        <v>177</v>
      </c>
      <c r="O5679" s="55" t="s">
        <v>178</v>
      </c>
    </row>
    <row r="5680" spans="2:15">
      <c r="B5680" s="20">
        <v>45817</v>
      </c>
      <c r="C5680" s="59">
        <v>40010086</v>
      </c>
      <c r="D5680" s="55" t="s">
        <v>79</v>
      </c>
      <c r="G5680" s="65">
        <v>5544</v>
      </c>
      <c r="H5680" s="56" t="s">
        <v>80</v>
      </c>
      <c r="I5680" s="54">
        <v>8719696899</v>
      </c>
      <c r="J5680" s="56" t="s">
        <v>2978</v>
      </c>
      <c r="K5680" s="56">
        <v>3286</v>
      </c>
      <c r="L5680" s="55" t="s">
        <v>2152</v>
      </c>
      <c r="M5680" s="55" t="s">
        <v>2824</v>
      </c>
      <c r="N5680" s="4" t="s">
        <v>177</v>
      </c>
      <c r="O5680" s="55" t="s">
        <v>178</v>
      </c>
    </row>
    <row r="5681" spans="2:15">
      <c r="B5681" s="20">
        <v>45817</v>
      </c>
      <c r="C5681" s="59">
        <v>40009544</v>
      </c>
      <c r="D5681" s="55" t="s">
        <v>179</v>
      </c>
      <c r="G5681" s="65">
        <v>5040</v>
      </c>
      <c r="H5681" s="56" t="s">
        <v>80</v>
      </c>
      <c r="I5681" s="54">
        <v>8719696899</v>
      </c>
      <c r="J5681" s="56" t="s">
        <v>2978</v>
      </c>
      <c r="K5681" s="56">
        <v>3286</v>
      </c>
      <c r="L5681" s="55" t="s">
        <v>2152</v>
      </c>
      <c r="M5681" s="55" t="s">
        <v>2824</v>
      </c>
      <c r="N5681" s="4" t="s">
        <v>177</v>
      </c>
      <c r="O5681" s="55" t="s">
        <v>178</v>
      </c>
    </row>
    <row r="5682" spans="2:15">
      <c r="B5682" s="20">
        <v>45817</v>
      </c>
      <c r="C5682" s="59">
        <v>40009546</v>
      </c>
      <c r="D5682" s="55" t="s">
        <v>174</v>
      </c>
      <c r="G5682" s="65">
        <v>2592</v>
      </c>
      <c r="H5682" s="56" t="s">
        <v>80</v>
      </c>
      <c r="I5682" s="54">
        <v>8719696899</v>
      </c>
      <c r="J5682" s="56" t="s">
        <v>2978</v>
      </c>
      <c r="K5682" s="56">
        <v>3286</v>
      </c>
      <c r="L5682" s="55" t="s">
        <v>2152</v>
      </c>
      <c r="M5682" s="55" t="s">
        <v>2824</v>
      </c>
      <c r="N5682" s="4" t="s">
        <v>177</v>
      </c>
      <c r="O5682" s="55" t="s">
        <v>178</v>
      </c>
    </row>
    <row r="5683" spans="2:15">
      <c r="B5683" s="20">
        <v>45817</v>
      </c>
      <c r="C5683" s="59">
        <v>40010087</v>
      </c>
      <c r="D5683" s="55" t="s">
        <v>387</v>
      </c>
      <c r="G5683" s="65">
        <v>864</v>
      </c>
      <c r="H5683" s="56" t="s">
        <v>80</v>
      </c>
      <c r="I5683" s="54">
        <v>8719696899</v>
      </c>
      <c r="J5683" s="56" t="s">
        <v>2978</v>
      </c>
      <c r="K5683" s="56">
        <v>3286</v>
      </c>
      <c r="L5683" s="55" t="s">
        <v>2152</v>
      </c>
      <c r="M5683" s="55" t="s">
        <v>2824</v>
      </c>
      <c r="N5683" s="4" t="s">
        <v>177</v>
      </c>
      <c r="O5683" s="55" t="s">
        <v>178</v>
      </c>
    </row>
    <row r="5684" spans="2:15">
      <c r="B5684" s="20">
        <v>45817</v>
      </c>
      <c r="C5684" s="59">
        <v>50144376</v>
      </c>
      <c r="D5684" s="55" t="s">
        <v>19</v>
      </c>
      <c r="E5684" s="67">
        <f>G5684/250</f>
        <v>14</v>
      </c>
      <c r="G5684" s="65">
        <v>3500</v>
      </c>
      <c r="H5684" s="56" t="s">
        <v>92</v>
      </c>
      <c r="I5684" s="54">
        <v>8719696899</v>
      </c>
      <c r="J5684" s="56" t="s">
        <v>2978</v>
      </c>
      <c r="K5684" s="56">
        <v>3286</v>
      </c>
      <c r="L5684" s="55" t="s">
        <v>2152</v>
      </c>
      <c r="M5684" s="55" t="s">
        <v>2824</v>
      </c>
      <c r="N5684" s="4" t="s">
        <v>177</v>
      </c>
      <c r="O5684" s="55" t="s">
        <v>178</v>
      </c>
    </row>
    <row r="5685" spans="2:15">
      <c r="B5685" s="20">
        <v>45817</v>
      </c>
      <c r="C5685" s="59">
        <v>40004808</v>
      </c>
      <c r="D5685" s="55" t="s">
        <v>91</v>
      </c>
      <c r="G5685" s="65">
        <v>150</v>
      </c>
      <c r="H5685" s="56" t="s">
        <v>1248</v>
      </c>
      <c r="I5685" s="54">
        <v>8719696899</v>
      </c>
      <c r="J5685" s="56" t="s">
        <v>2978</v>
      </c>
      <c r="K5685" s="56">
        <v>3286</v>
      </c>
      <c r="L5685" s="55" t="s">
        <v>2152</v>
      </c>
      <c r="M5685" s="55" t="s">
        <v>2824</v>
      </c>
      <c r="N5685" s="4" t="s">
        <v>177</v>
      </c>
      <c r="O5685" s="55" t="s">
        <v>178</v>
      </c>
    </row>
    <row r="5686" spans="2:15">
      <c r="B5686" s="20">
        <v>45817</v>
      </c>
      <c r="C5686" s="59">
        <v>40007941</v>
      </c>
      <c r="D5686" s="55" t="s">
        <v>211</v>
      </c>
      <c r="G5686" s="65">
        <v>1835</v>
      </c>
      <c r="H5686" s="56" t="s">
        <v>80</v>
      </c>
      <c r="I5686" s="54">
        <v>8719696899</v>
      </c>
      <c r="J5686" s="56" t="s">
        <v>2978</v>
      </c>
      <c r="K5686" s="56">
        <v>3286</v>
      </c>
      <c r="L5686" s="55" t="s">
        <v>2152</v>
      </c>
      <c r="M5686" s="55" t="s">
        <v>2824</v>
      </c>
      <c r="N5686" s="4" t="s">
        <v>177</v>
      </c>
      <c r="O5686" s="55" t="s">
        <v>178</v>
      </c>
    </row>
    <row r="5687" spans="2:15">
      <c r="B5687" s="20">
        <v>45817</v>
      </c>
      <c r="C5687" s="59">
        <v>40011659</v>
      </c>
      <c r="D5687" s="55" t="s">
        <v>89</v>
      </c>
      <c r="G5687" s="65">
        <v>360</v>
      </c>
      <c r="H5687" s="56" t="s">
        <v>80</v>
      </c>
      <c r="I5687" s="54">
        <v>8720512562</v>
      </c>
      <c r="J5687" s="56" t="s">
        <v>2978</v>
      </c>
      <c r="K5687" s="56">
        <v>3286</v>
      </c>
      <c r="L5687" s="55" t="s">
        <v>2152</v>
      </c>
      <c r="M5687" s="55" t="s">
        <v>2824</v>
      </c>
      <c r="N5687" s="4" t="s">
        <v>177</v>
      </c>
      <c r="O5687" s="55" t="s">
        <v>178</v>
      </c>
    </row>
    <row r="5688" spans="2:15">
      <c r="B5688" s="20">
        <v>45818</v>
      </c>
      <c r="C5688" s="59">
        <v>50144376</v>
      </c>
      <c r="D5688" s="55" t="s">
        <v>19</v>
      </c>
      <c r="E5688" s="67">
        <f>G5688/250</f>
        <v>22</v>
      </c>
      <c r="G5688" s="65">
        <v>5500</v>
      </c>
      <c r="H5688" s="56" t="s">
        <v>92</v>
      </c>
      <c r="I5688" s="54">
        <v>8719934780</v>
      </c>
      <c r="J5688" s="56" t="s">
        <v>2978</v>
      </c>
      <c r="K5688" s="56">
        <v>3287</v>
      </c>
      <c r="L5688" s="55" t="s">
        <v>2152</v>
      </c>
      <c r="M5688" s="55" t="s">
        <v>2824</v>
      </c>
      <c r="N5688" s="4" t="s">
        <v>1905</v>
      </c>
      <c r="O5688" s="55" t="s">
        <v>178</v>
      </c>
    </row>
    <row r="5689" spans="2:15">
      <c r="B5689" s="20">
        <v>45818</v>
      </c>
      <c r="C5689" s="59">
        <v>50272278</v>
      </c>
      <c r="D5689" s="55" t="s">
        <v>21</v>
      </c>
      <c r="E5689" s="67">
        <f>G5689/250</f>
        <v>22</v>
      </c>
      <c r="G5689" s="65">
        <v>5500</v>
      </c>
      <c r="H5689" s="56" t="s">
        <v>92</v>
      </c>
      <c r="I5689" s="54">
        <v>8719934780</v>
      </c>
      <c r="J5689" s="56" t="s">
        <v>2978</v>
      </c>
      <c r="K5689" s="56">
        <v>3287</v>
      </c>
      <c r="L5689" s="55" t="s">
        <v>2152</v>
      </c>
      <c r="M5689" s="55" t="s">
        <v>2824</v>
      </c>
      <c r="N5689" s="4" t="s">
        <v>1905</v>
      </c>
      <c r="O5689" s="55" t="s">
        <v>178</v>
      </c>
    </row>
    <row r="5690" spans="2:15">
      <c r="B5690" s="20">
        <v>45818</v>
      </c>
      <c r="C5690" s="59">
        <v>50142631</v>
      </c>
      <c r="D5690" s="55" t="s">
        <v>566</v>
      </c>
      <c r="G5690" s="65">
        <v>1000</v>
      </c>
      <c r="H5690" s="56" t="s">
        <v>82</v>
      </c>
      <c r="I5690" s="54">
        <v>8719934804</v>
      </c>
      <c r="J5690" s="56" t="s">
        <v>2978</v>
      </c>
      <c r="K5690" s="56">
        <v>3288</v>
      </c>
      <c r="L5690" s="55" t="s">
        <v>2152</v>
      </c>
      <c r="M5690" s="55" t="s">
        <v>2824</v>
      </c>
      <c r="N5690" s="4" t="s">
        <v>1905</v>
      </c>
      <c r="O5690" s="55" t="s">
        <v>178</v>
      </c>
    </row>
    <row r="5691" spans="2:15">
      <c r="B5691" s="20">
        <v>45818</v>
      </c>
      <c r="C5691" s="59">
        <v>50328488</v>
      </c>
      <c r="D5691" s="55" t="s">
        <v>1853</v>
      </c>
      <c r="G5691" s="65">
        <v>200</v>
      </c>
      <c r="H5691" s="56" t="s">
        <v>82</v>
      </c>
      <c r="I5691" s="54">
        <v>8719934804</v>
      </c>
      <c r="J5691" s="56" t="s">
        <v>2978</v>
      </c>
      <c r="K5691" s="56">
        <v>3288</v>
      </c>
      <c r="L5691" s="55" t="s">
        <v>2152</v>
      </c>
      <c r="M5691" s="55" t="s">
        <v>2824</v>
      </c>
      <c r="N5691" s="4" t="s">
        <v>1905</v>
      </c>
      <c r="O5691" s="55" t="s">
        <v>178</v>
      </c>
    </row>
    <row r="5692" spans="2:15">
      <c r="B5692" s="20">
        <v>45818</v>
      </c>
      <c r="C5692" s="59">
        <v>50837237</v>
      </c>
      <c r="D5692" s="55" t="s">
        <v>1747</v>
      </c>
      <c r="G5692" s="65">
        <v>2101.6</v>
      </c>
      <c r="H5692" s="56" t="s">
        <v>82</v>
      </c>
      <c r="I5692" s="54">
        <v>8720512565</v>
      </c>
      <c r="J5692" s="56" t="s">
        <v>2978</v>
      </c>
      <c r="K5692" s="56">
        <v>3288</v>
      </c>
      <c r="L5692" s="55" t="s">
        <v>2152</v>
      </c>
      <c r="M5692" s="55" t="s">
        <v>2824</v>
      </c>
      <c r="N5692" s="4" t="s">
        <v>1905</v>
      </c>
      <c r="O5692" s="55" t="s">
        <v>178</v>
      </c>
    </row>
    <row r="5693" spans="2:15">
      <c r="B5693" s="20">
        <v>45818</v>
      </c>
      <c r="C5693" s="59">
        <v>50824293</v>
      </c>
      <c r="D5693" s="55" t="s">
        <v>861</v>
      </c>
      <c r="G5693" s="65">
        <v>1728000</v>
      </c>
      <c r="H5693" s="56" t="s">
        <v>92</v>
      </c>
      <c r="I5693" s="54">
        <v>8719934804</v>
      </c>
      <c r="J5693" s="56" t="s">
        <v>2978</v>
      </c>
      <c r="K5693" s="56">
        <v>3288</v>
      </c>
      <c r="L5693" s="55" t="s">
        <v>2152</v>
      </c>
      <c r="M5693" s="55" t="s">
        <v>2824</v>
      </c>
      <c r="N5693" s="4" t="s">
        <v>1905</v>
      </c>
      <c r="O5693" s="55" t="s">
        <v>178</v>
      </c>
    </row>
    <row r="5694" spans="2:15">
      <c r="B5694" s="20">
        <v>45818</v>
      </c>
      <c r="C5694" s="59">
        <v>50328897</v>
      </c>
      <c r="D5694" s="55" t="s">
        <v>1850</v>
      </c>
      <c r="G5694" s="65">
        <v>176</v>
      </c>
      <c r="H5694" s="56" t="s">
        <v>82</v>
      </c>
      <c r="I5694" s="54">
        <v>8719934804</v>
      </c>
      <c r="J5694" s="56" t="s">
        <v>2978</v>
      </c>
      <c r="K5694" s="56">
        <v>3288</v>
      </c>
      <c r="L5694" s="55" t="s">
        <v>2152</v>
      </c>
      <c r="M5694" s="55" t="s">
        <v>2824</v>
      </c>
      <c r="N5694" s="4" t="s">
        <v>1905</v>
      </c>
      <c r="O5694" s="55" t="s">
        <v>178</v>
      </c>
    </row>
    <row r="5695" spans="2:15">
      <c r="B5695" s="20">
        <v>45818</v>
      </c>
      <c r="C5695" s="59">
        <v>50470190</v>
      </c>
      <c r="D5695" s="55" t="s">
        <v>12</v>
      </c>
      <c r="G5695" s="65">
        <f>8*289800</f>
        <v>2318400</v>
      </c>
      <c r="H5695" s="56" t="s">
        <v>92</v>
      </c>
      <c r="I5695" s="54">
        <v>8719934804</v>
      </c>
      <c r="J5695" s="56" t="s">
        <v>2978</v>
      </c>
      <c r="K5695" s="56">
        <v>3288</v>
      </c>
      <c r="L5695" s="55" t="s">
        <v>2152</v>
      </c>
      <c r="M5695" s="55" t="s">
        <v>2824</v>
      </c>
      <c r="N5695" s="4" t="s">
        <v>1905</v>
      </c>
      <c r="O5695" s="55" t="s">
        <v>178</v>
      </c>
    </row>
    <row r="5696" spans="2:15">
      <c r="B5696" s="20">
        <v>45818</v>
      </c>
      <c r="C5696" s="59">
        <v>50802401</v>
      </c>
      <c r="D5696" s="55" t="s">
        <v>13</v>
      </c>
      <c r="G5696" s="65">
        <v>1159200</v>
      </c>
      <c r="H5696" s="56" t="s">
        <v>92</v>
      </c>
      <c r="I5696" s="54">
        <v>8719934804</v>
      </c>
      <c r="J5696" s="56" t="s">
        <v>2978</v>
      </c>
      <c r="K5696" s="56">
        <v>3288</v>
      </c>
      <c r="L5696" s="55" t="s">
        <v>2152</v>
      </c>
      <c r="M5696" s="55" t="s">
        <v>2824</v>
      </c>
      <c r="N5696" s="4" t="s">
        <v>1905</v>
      </c>
      <c r="O5696" s="55" t="s">
        <v>178</v>
      </c>
    </row>
    <row r="5697" spans="2:15">
      <c r="B5697" s="20">
        <v>45819</v>
      </c>
      <c r="C5697" s="59">
        <v>50837238</v>
      </c>
      <c r="D5697" s="55" t="s">
        <v>1976</v>
      </c>
      <c r="G5697" s="65">
        <v>2016.7</v>
      </c>
      <c r="H5697" s="56" t="s">
        <v>82</v>
      </c>
      <c r="I5697" s="54">
        <v>8720206207</v>
      </c>
      <c r="J5697" s="56" t="s">
        <v>2978</v>
      </c>
      <c r="K5697" s="56">
        <v>3289</v>
      </c>
      <c r="L5697" s="55" t="s">
        <v>2152</v>
      </c>
      <c r="M5697" s="55" t="s">
        <v>2824</v>
      </c>
      <c r="N5697" s="4" t="s">
        <v>1905</v>
      </c>
      <c r="O5697" s="55" t="s">
        <v>178</v>
      </c>
    </row>
    <row r="5698" spans="2:15">
      <c r="B5698" s="20">
        <v>45819</v>
      </c>
      <c r="C5698" s="59">
        <v>50837284</v>
      </c>
      <c r="D5698" s="55" t="s">
        <v>28</v>
      </c>
      <c r="G5698" s="65">
        <v>2105.8</v>
      </c>
      <c r="H5698" s="56" t="s">
        <v>82</v>
      </c>
      <c r="I5698" s="54">
        <v>8720206207</v>
      </c>
      <c r="J5698" s="56" t="s">
        <v>2978</v>
      </c>
      <c r="K5698" s="56">
        <v>3289</v>
      </c>
      <c r="L5698" s="55" t="s">
        <v>2152</v>
      </c>
      <c r="M5698" s="55" t="s">
        <v>2824</v>
      </c>
      <c r="N5698" s="4" t="s">
        <v>1905</v>
      </c>
      <c r="O5698" s="55" t="s">
        <v>178</v>
      </c>
    </row>
    <row r="5699" spans="2:15">
      <c r="B5699" s="20">
        <v>45819</v>
      </c>
      <c r="C5699" s="59">
        <v>50272278</v>
      </c>
      <c r="D5699" s="55" t="s">
        <v>21</v>
      </c>
      <c r="E5699" s="67">
        <f>G5699/250</f>
        <v>28</v>
      </c>
      <c r="G5699" s="65">
        <v>7000</v>
      </c>
      <c r="H5699" s="56" t="s">
        <v>92</v>
      </c>
      <c r="I5699" s="54">
        <v>8720206207</v>
      </c>
      <c r="J5699" s="56" t="s">
        <v>2978</v>
      </c>
      <c r="K5699" s="56">
        <v>3289</v>
      </c>
      <c r="L5699" s="55" t="s">
        <v>2152</v>
      </c>
      <c r="M5699" s="55" t="s">
        <v>2824</v>
      </c>
      <c r="N5699" s="4" t="s">
        <v>1905</v>
      </c>
      <c r="O5699" s="55" t="s">
        <v>178</v>
      </c>
    </row>
    <row r="5700" spans="2:15">
      <c r="B5700" s="20">
        <v>45819</v>
      </c>
      <c r="C5700" s="59">
        <v>50837237</v>
      </c>
      <c r="D5700" s="55" t="s">
        <v>1747</v>
      </c>
      <c r="G5700" s="65">
        <v>4969</v>
      </c>
      <c r="H5700" s="56" t="s">
        <v>82</v>
      </c>
      <c r="I5700" s="54" t="s">
        <v>2874</v>
      </c>
      <c r="J5700" s="56" t="s">
        <v>2978</v>
      </c>
      <c r="K5700" s="56">
        <v>3290</v>
      </c>
      <c r="L5700" s="55" t="s">
        <v>2152</v>
      </c>
      <c r="M5700" s="55" t="s">
        <v>2824</v>
      </c>
      <c r="N5700" s="4" t="s">
        <v>1905</v>
      </c>
      <c r="O5700" s="55" t="s">
        <v>178</v>
      </c>
    </row>
    <row r="5701" spans="2:15">
      <c r="B5701" s="20">
        <v>45819</v>
      </c>
      <c r="C5701" s="59">
        <v>50837284</v>
      </c>
      <c r="D5701" s="55" t="s">
        <v>28</v>
      </c>
      <c r="G5701" s="65">
        <v>5487.5</v>
      </c>
      <c r="H5701" s="56" t="s">
        <v>82</v>
      </c>
      <c r="I5701" s="54">
        <v>8720512652</v>
      </c>
      <c r="J5701" s="56" t="s">
        <v>2978</v>
      </c>
      <c r="K5701" s="56">
        <v>3290</v>
      </c>
      <c r="L5701" s="55" t="s">
        <v>2152</v>
      </c>
      <c r="M5701" s="55" t="s">
        <v>2824</v>
      </c>
      <c r="N5701" s="4" t="s">
        <v>1905</v>
      </c>
      <c r="O5701" s="55" t="s">
        <v>178</v>
      </c>
    </row>
    <row r="5702" spans="2:15">
      <c r="B5702" s="20">
        <v>45819</v>
      </c>
      <c r="C5702" s="59">
        <v>50142631</v>
      </c>
      <c r="D5702" s="55" t="s">
        <v>566</v>
      </c>
      <c r="G5702" s="65">
        <v>1000</v>
      </c>
      <c r="H5702" s="56" t="s">
        <v>82</v>
      </c>
      <c r="I5702" s="54">
        <v>8720206307</v>
      </c>
      <c r="J5702" s="56" t="s">
        <v>2978</v>
      </c>
      <c r="K5702" s="56">
        <v>3291</v>
      </c>
      <c r="L5702" s="55" t="s">
        <v>2152</v>
      </c>
      <c r="M5702" s="55" t="s">
        <v>2824</v>
      </c>
      <c r="N5702" s="4" t="s">
        <v>1905</v>
      </c>
      <c r="O5702" s="55" t="s">
        <v>178</v>
      </c>
    </row>
    <row r="5703" spans="2:15">
      <c r="B5703" s="20">
        <v>45819</v>
      </c>
      <c r="C5703" s="59">
        <v>50809353</v>
      </c>
      <c r="D5703" s="55" t="s">
        <v>905</v>
      </c>
      <c r="G5703" s="65">
        <v>6000</v>
      </c>
      <c r="H5703" s="56" t="s">
        <v>82</v>
      </c>
      <c r="I5703" s="54">
        <v>8720206307</v>
      </c>
      <c r="J5703" s="56" t="s">
        <v>2978</v>
      </c>
      <c r="K5703" s="56">
        <v>3291</v>
      </c>
      <c r="L5703" s="55" t="s">
        <v>2152</v>
      </c>
      <c r="M5703" s="55" t="s">
        <v>2824</v>
      </c>
      <c r="N5703" s="4" t="s">
        <v>1905</v>
      </c>
      <c r="O5703" s="55" t="s">
        <v>178</v>
      </c>
    </row>
    <row r="5704" spans="2:15">
      <c r="B5704" s="20">
        <v>45819</v>
      </c>
      <c r="C5704" s="59">
        <v>50142328</v>
      </c>
      <c r="D5704" s="55" t="s">
        <v>1591</v>
      </c>
      <c r="G5704" s="65">
        <v>2000</v>
      </c>
      <c r="H5704" s="56" t="s">
        <v>82</v>
      </c>
      <c r="I5704" s="54">
        <v>8720206307</v>
      </c>
      <c r="J5704" s="56" t="s">
        <v>2978</v>
      </c>
      <c r="K5704" s="56">
        <v>3291</v>
      </c>
      <c r="L5704" s="55" t="s">
        <v>2152</v>
      </c>
      <c r="M5704" s="55" t="s">
        <v>2824</v>
      </c>
      <c r="N5704" s="4" t="s">
        <v>1905</v>
      </c>
      <c r="O5704" s="55" t="s">
        <v>178</v>
      </c>
    </row>
    <row r="5705" spans="2:15">
      <c r="B5705" s="20">
        <v>45819</v>
      </c>
      <c r="C5705" s="59">
        <v>50837284</v>
      </c>
      <c r="D5705" s="55" t="s">
        <v>28</v>
      </c>
      <c r="G5705" s="65">
        <v>1522.6</v>
      </c>
      <c r="H5705" s="56" t="s">
        <v>82</v>
      </c>
      <c r="I5705" s="54">
        <v>8720512675</v>
      </c>
      <c r="J5705" s="56" t="s">
        <v>2978</v>
      </c>
      <c r="K5705" s="56">
        <v>3291</v>
      </c>
      <c r="L5705" s="55" t="s">
        <v>2152</v>
      </c>
      <c r="M5705" s="55" t="s">
        <v>2824</v>
      </c>
      <c r="N5705" s="4" t="s">
        <v>1905</v>
      </c>
      <c r="O5705" s="55" t="s">
        <v>178</v>
      </c>
    </row>
    <row r="5706" spans="2:15">
      <c r="B5706" s="20">
        <v>45819</v>
      </c>
      <c r="C5706" s="59">
        <v>50142397</v>
      </c>
      <c r="D5706" s="55" t="s">
        <v>557</v>
      </c>
      <c r="G5706" s="65">
        <v>75</v>
      </c>
      <c r="H5706" s="56" t="s">
        <v>80</v>
      </c>
      <c r="I5706" s="54">
        <v>8720512751</v>
      </c>
      <c r="J5706" s="56" t="s">
        <v>2978</v>
      </c>
      <c r="K5706" s="56">
        <v>3291</v>
      </c>
      <c r="L5706" s="55" t="s">
        <v>2152</v>
      </c>
      <c r="M5706" s="55" t="s">
        <v>2824</v>
      </c>
      <c r="N5706" s="4" t="s">
        <v>1905</v>
      </c>
      <c r="O5706" s="55" t="s">
        <v>178</v>
      </c>
    </row>
    <row r="5707" spans="2:15">
      <c r="B5707" s="20">
        <v>45819</v>
      </c>
      <c r="C5707" s="59">
        <v>50509889</v>
      </c>
      <c r="D5707" s="55" t="s">
        <v>671</v>
      </c>
      <c r="G5707" s="65">
        <v>1584000</v>
      </c>
      <c r="H5707" s="56" t="s">
        <v>92</v>
      </c>
      <c r="I5707" s="54">
        <v>8720206307</v>
      </c>
      <c r="J5707" s="56" t="s">
        <v>2978</v>
      </c>
      <c r="K5707" s="56">
        <v>3291</v>
      </c>
      <c r="L5707" s="55" t="s">
        <v>2152</v>
      </c>
      <c r="M5707" s="55" t="s">
        <v>2824</v>
      </c>
      <c r="N5707" s="4" t="s">
        <v>1905</v>
      </c>
      <c r="O5707" s="55" t="s">
        <v>178</v>
      </c>
    </row>
    <row r="5708" spans="2:15">
      <c r="B5708" s="20">
        <v>45821</v>
      </c>
      <c r="C5708" s="59">
        <v>50272278</v>
      </c>
      <c r="D5708" s="69" t="s">
        <v>21</v>
      </c>
      <c r="E5708" s="67">
        <f>G5708/250</f>
        <v>44</v>
      </c>
      <c r="G5708" s="65">
        <v>11000</v>
      </c>
      <c r="H5708" s="56" t="s">
        <v>92</v>
      </c>
      <c r="I5708" s="54">
        <v>8720808978</v>
      </c>
      <c r="J5708" s="56" t="s">
        <v>2978</v>
      </c>
      <c r="K5708" s="56">
        <v>3292</v>
      </c>
      <c r="L5708" s="55" t="s">
        <v>2152</v>
      </c>
      <c r="M5708" s="55" t="s">
        <v>2824</v>
      </c>
      <c r="N5708" s="4" t="s">
        <v>1905</v>
      </c>
      <c r="O5708" s="55" t="s">
        <v>178</v>
      </c>
    </row>
    <row r="5709" spans="2:15">
      <c r="B5709" s="20">
        <v>45821</v>
      </c>
      <c r="C5709" s="59">
        <v>50010080</v>
      </c>
      <c r="D5709" s="55" t="s">
        <v>1657</v>
      </c>
      <c r="G5709" s="65">
        <v>2000</v>
      </c>
      <c r="H5709" s="56" t="s">
        <v>82</v>
      </c>
      <c r="I5709" s="54">
        <v>8720809424</v>
      </c>
      <c r="J5709" s="56" t="s">
        <v>2978</v>
      </c>
      <c r="K5709" s="56">
        <v>3293</v>
      </c>
      <c r="L5709" s="55" t="s">
        <v>2152</v>
      </c>
      <c r="M5709" s="55" t="s">
        <v>2824</v>
      </c>
      <c r="N5709" s="4" t="s">
        <v>1905</v>
      </c>
      <c r="O5709" s="55" t="s">
        <v>178</v>
      </c>
    </row>
    <row r="5710" spans="2:15">
      <c r="B5710" s="20">
        <v>45821</v>
      </c>
      <c r="C5710" s="59">
        <v>50804929</v>
      </c>
      <c r="D5710" s="55" t="s">
        <v>856</v>
      </c>
      <c r="G5710" s="65">
        <v>1200000</v>
      </c>
      <c r="H5710" s="56" t="s">
        <v>92</v>
      </c>
      <c r="I5710" s="54">
        <v>8720809424</v>
      </c>
      <c r="J5710" s="56" t="s">
        <v>2978</v>
      </c>
      <c r="K5710" s="56">
        <v>3293</v>
      </c>
      <c r="L5710" s="55" t="s">
        <v>2152</v>
      </c>
      <c r="M5710" s="55" t="s">
        <v>2824</v>
      </c>
      <c r="N5710" s="4" t="s">
        <v>1905</v>
      </c>
      <c r="O5710" s="55" t="s">
        <v>178</v>
      </c>
    </row>
    <row r="5711" spans="2:15">
      <c r="B5711" s="20">
        <v>45821</v>
      </c>
      <c r="C5711" s="59">
        <v>50802401</v>
      </c>
      <c r="D5711" s="55" t="s">
        <v>13</v>
      </c>
      <c r="G5711" s="65">
        <v>3767400</v>
      </c>
      <c r="H5711" s="56" t="s">
        <v>92</v>
      </c>
      <c r="I5711" s="54">
        <v>8720809424</v>
      </c>
      <c r="J5711" s="56" t="s">
        <v>2978</v>
      </c>
      <c r="K5711" s="56">
        <v>3293</v>
      </c>
      <c r="L5711" s="55" t="s">
        <v>2152</v>
      </c>
      <c r="M5711" s="55" t="s">
        <v>2824</v>
      </c>
      <c r="N5711" s="4" t="s">
        <v>1905</v>
      </c>
      <c r="O5711" s="55" t="s">
        <v>178</v>
      </c>
    </row>
    <row r="5712" spans="2:15">
      <c r="B5712" s="20">
        <v>45821</v>
      </c>
      <c r="C5712" s="59">
        <v>50145028</v>
      </c>
      <c r="D5712" s="55" t="s">
        <v>23</v>
      </c>
      <c r="G5712" s="65">
        <v>576</v>
      </c>
      <c r="H5712" s="56" t="s">
        <v>92</v>
      </c>
      <c r="I5712" s="54" t="s">
        <v>2874</v>
      </c>
      <c r="J5712" s="56" t="s">
        <v>2978</v>
      </c>
      <c r="K5712" s="56">
        <v>3294</v>
      </c>
      <c r="L5712" s="55" t="s">
        <v>326</v>
      </c>
      <c r="M5712" s="55" t="s">
        <v>2918</v>
      </c>
      <c r="O5712" s="55" t="s">
        <v>178</v>
      </c>
    </row>
    <row r="5713" spans="2:15">
      <c r="B5713" s="20">
        <v>45825</v>
      </c>
      <c r="C5713" s="59">
        <v>50837237</v>
      </c>
      <c r="D5713" s="55" t="s">
        <v>1747</v>
      </c>
      <c r="G5713" s="65">
        <v>3041.5</v>
      </c>
      <c r="H5713" s="56" t="s">
        <v>82</v>
      </c>
      <c r="I5713" s="54" t="s">
        <v>2874</v>
      </c>
      <c r="J5713" s="56" t="s">
        <v>2978</v>
      </c>
      <c r="K5713" s="56">
        <v>3295</v>
      </c>
      <c r="L5713" s="55" t="s">
        <v>2152</v>
      </c>
      <c r="M5713" s="55" t="s">
        <v>2824</v>
      </c>
      <c r="N5713" s="4" t="s">
        <v>1905</v>
      </c>
      <c r="O5713" s="55" t="s">
        <v>178</v>
      </c>
    </row>
    <row r="5714" spans="2:15">
      <c r="B5714" s="20">
        <v>45825</v>
      </c>
      <c r="C5714" s="59">
        <v>50272278</v>
      </c>
      <c r="D5714" s="55" t="s">
        <v>21</v>
      </c>
      <c r="E5714" s="67">
        <f>G5714/250</f>
        <v>32</v>
      </c>
      <c r="G5714" s="65">
        <v>8000</v>
      </c>
      <c r="H5714" s="56" t="s">
        <v>92</v>
      </c>
      <c r="I5714" s="54">
        <v>8721479741</v>
      </c>
      <c r="J5714" s="56" t="s">
        <v>2978</v>
      </c>
      <c r="K5714" s="56">
        <v>3295</v>
      </c>
      <c r="L5714" s="55" t="s">
        <v>2152</v>
      </c>
      <c r="M5714" s="55" t="s">
        <v>2824</v>
      </c>
      <c r="N5714" s="4" t="s">
        <v>1905</v>
      </c>
      <c r="O5714" s="55" t="s">
        <v>178</v>
      </c>
    </row>
    <row r="5715" spans="2:15">
      <c r="B5715" s="20">
        <v>45825</v>
      </c>
      <c r="C5715" s="59">
        <v>50272278</v>
      </c>
      <c r="D5715" s="55" t="s">
        <v>21</v>
      </c>
      <c r="E5715" s="67">
        <f>G5715/250</f>
        <v>4</v>
      </c>
      <c r="G5715" s="65">
        <v>1000</v>
      </c>
      <c r="H5715" s="56" t="s">
        <v>92</v>
      </c>
      <c r="I5715" s="54">
        <v>8721479775</v>
      </c>
      <c r="J5715" s="56" t="s">
        <v>2978</v>
      </c>
      <c r="K5715" s="56">
        <v>3296</v>
      </c>
      <c r="L5715" s="55" t="s">
        <v>2152</v>
      </c>
      <c r="M5715" s="55" t="s">
        <v>2824</v>
      </c>
      <c r="N5715" s="4" t="s">
        <v>1905</v>
      </c>
      <c r="O5715" s="55" t="s">
        <v>178</v>
      </c>
    </row>
    <row r="5716" spans="2:15">
      <c r="B5716" s="20">
        <v>45825</v>
      </c>
      <c r="C5716" s="59">
        <v>40011588</v>
      </c>
      <c r="D5716" s="55" t="s">
        <v>585</v>
      </c>
      <c r="G5716" s="65">
        <v>1800</v>
      </c>
      <c r="H5716" s="56" t="s">
        <v>80</v>
      </c>
      <c r="I5716" s="54">
        <v>8721479775</v>
      </c>
      <c r="J5716" s="56" t="s">
        <v>2978</v>
      </c>
      <c r="K5716" s="56">
        <v>3296</v>
      </c>
      <c r="L5716" s="55" t="s">
        <v>2152</v>
      </c>
      <c r="M5716" s="55" t="s">
        <v>2824</v>
      </c>
      <c r="N5716" s="4" t="s">
        <v>1905</v>
      </c>
      <c r="O5716" s="55" t="s">
        <v>178</v>
      </c>
    </row>
    <row r="5717" spans="2:15">
      <c r="B5717" s="20">
        <v>45825</v>
      </c>
      <c r="C5717" s="59">
        <v>50802401</v>
      </c>
      <c r="D5717" s="55" t="s">
        <v>13</v>
      </c>
      <c r="G5717" s="65">
        <v>1738800</v>
      </c>
      <c r="H5717" s="56" t="s">
        <v>92</v>
      </c>
      <c r="I5717" s="54">
        <v>8721479775</v>
      </c>
      <c r="J5717" s="56" t="s">
        <v>2978</v>
      </c>
      <c r="K5717" s="56">
        <v>3296</v>
      </c>
      <c r="L5717" s="55" t="s">
        <v>2152</v>
      </c>
      <c r="M5717" s="55" t="s">
        <v>2824</v>
      </c>
      <c r="N5717" s="4" t="s">
        <v>1905</v>
      </c>
      <c r="O5717" s="55" t="s">
        <v>178</v>
      </c>
    </row>
    <row r="5718" spans="2:15">
      <c r="B5718" s="20">
        <v>45825</v>
      </c>
      <c r="C5718" s="59">
        <v>50142327</v>
      </c>
      <c r="D5718" s="55" t="s">
        <v>256</v>
      </c>
      <c r="G5718" s="65">
        <v>1906.8</v>
      </c>
      <c r="H5718" s="56" t="s">
        <v>82</v>
      </c>
      <c r="I5718" s="54">
        <v>8721479775</v>
      </c>
      <c r="J5718" s="56" t="s">
        <v>2978</v>
      </c>
      <c r="K5718" s="56">
        <v>3296</v>
      </c>
      <c r="L5718" s="55" t="s">
        <v>2152</v>
      </c>
      <c r="M5718" s="55" t="s">
        <v>2824</v>
      </c>
      <c r="N5718" s="4" t="s">
        <v>1905</v>
      </c>
      <c r="O5718" s="55" t="s">
        <v>178</v>
      </c>
    </row>
    <row r="5719" spans="2:15">
      <c r="B5719" s="20">
        <v>45825</v>
      </c>
      <c r="C5719" s="59">
        <v>50142334</v>
      </c>
      <c r="D5719" s="55" t="s">
        <v>257</v>
      </c>
      <c r="G5719" s="65">
        <v>1906.8</v>
      </c>
      <c r="H5719" s="56" t="s">
        <v>82</v>
      </c>
      <c r="I5719" s="54">
        <v>8721479775</v>
      </c>
      <c r="J5719" s="56" t="s">
        <v>2978</v>
      </c>
      <c r="K5719" s="56">
        <v>3296</v>
      </c>
      <c r="L5719" s="55" t="s">
        <v>2152</v>
      </c>
      <c r="M5719" s="55" t="s">
        <v>2824</v>
      </c>
      <c r="N5719" s="4" t="s">
        <v>1905</v>
      </c>
      <c r="O5719" s="55" t="s">
        <v>178</v>
      </c>
    </row>
    <row r="5720" spans="2:15">
      <c r="B5720" s="20">
        <v>45826</v>
      </c>
      <c r="C5720" s="59">
        <v>40010087</v>
      </c>
      <c r="D5720" s="55" t="s">
        <v>387</v>
      </c>
      <c r="G5720" s="65">
        <v>5063</v>
      </c>
      <c r="H5720" s="56" t="s">
        <v>80</v>
      </c>
      <c r="I5720" s="54">
        <v>8721760820</v>
      </c>
      <c r="J5720" s="56" t="s">
        <v>2978</v>
      </c>
      <c r="K5720" s="56">
        <v>3297</v>
      </c>
      <c r="L5720" s="55" t="s">
        <v>2152</v>
      </c>
      <c r="M5720" s="55" t="s">
        <v>2824</v>
      </c>
      <c r="N5720" s="4" t="s">
        <v>1905</v>
      </c>
      <c r="O5720" s="55" t="s">
        <v>178</v>
      </c>
    </row>
    <row r="5721" spans="2:15">
      <c r="B5721" s="20">
        <v>45826</v>
      </c>
      <c r="C5721" s="59">
        <v>40004808</v>
      </c>
      <c r="D5721" s="55" t="s">
        <v>91</v>
      </c>
      <c r="G5721" s="65">
        <v>1800</v>
      </c>
      <c r="H5721" s="56" t="s">
        <v>1248</v>
      </c>
      <c r="I5721" s="54">
        <v>8721760820</v>
      </c>
      <c r="J5721" s="56" t="s">
        <v>2978</v>
      </c>
      <c r="K5721" s="56">
        <v>3297</v>
      </c>
      <c r="L5721" s="55" t="s">
        <v>2152</v>
      </c>
      <c r="M5721" s="55" t="s">
        <v>2824</v>
      </c>
      <c r="N5721" s="4" t="s">
        <v>1905</v>
      </c>
      <c r="O5721" s="55" t="s">
        <v>178</v>
      </c>
    </row>
    <row r="5722" spans="2:15">
      <c r="B5722" s="20">
        <v>45826</v>
      </c>
      <c r="C5722" s="59">
        <v>50470190</v>
      </c>
      <c r="D5722" s="55" t="s">
        <v>12</v>
      </c>
      <c r="G5722" s="65">
        <v>2028600</v>
      </c>
      <c r="H5722" s="56" t="s">
        <v>92</v>
      </c>
      <c r="I5722" s="54">
        <v>8721760820</v>
      </c>
      <c r="J5722" s="56" t="s">
        <v>2978</v>
      </c>
      <c r="K5722" s="56">
        <v>3297</v>
      </c>
      <c r="L5722" s="55" t="s">
        <v>2152</v>
      </c>
      <c r="M5722" s="55" t="s">
        <v>2824</v>
      </c>
      <c r="N5722" s="4" t="s">
        <v>1905</v>
      </c>
      <c r="O5722" s="55" t="s">
        <v>178</v>
      </c>
    </row>
    <row r="5723" spans="2:15">
      <c r="B5723" s="20">
        <v>45826</v>
      </c>
      <c r="C5723" s="59">
        <v>40011588</v>
      </c>
      <c r="D5723" s="55" t="s">
        <v>585</v>
      </c>
      <c r="G5723" s="65">
        <v>420</v>
      </c>
      <c r="H5723" s="56" t="s">
        <v>80</v>
      </c>
      <c r="I5723" s="54">
        <v>8721760820</v>
      </c>
      <c r="J5723" s="56" t="s">
        <v>2978</v>
      </c>
      <c r="K5723" s="56">
        <v>3297</v>
      </c>
      <c r="L5723" s="55" t="s">
        <v>2152</v>
      </c>
      <c r="M5723" s="55" t="s">
        <v>2824</v>
      </c>
      <c r="N5723" s="4" t="s">
        <v>1905</v>
      </c>
      <c r="O5723" s="55" t="s">
        <v>178</v>
      </c>
    </row>
    <row r="5724" spans="2:15">
      <c r="B5724" s="20">
        <v>45826</v>
      </c>
      <c r="C5724" s="59">
        <v>40011659</v>
      </c>
      <c r="D5724" s="55" t="s">
        <v>89</v>
      </c>
      <c r="G5724" s="65">
        <v>720</v>
      </c>
      <c r="H5724" s="56" t="s">
        <v>80</v>
      </c>
      <c r="I5724" s="54">
        <v>8721760820</v>
      </c>
      <c r="J5724" s="56" t="s">
        <v>2978</v>
      </c>
      <c r="K5724" s="56">
        <v>3297</v>
      </c>
      <c r="L5724" s="55" t="s">
        <v>2152</v>
      </c>
      <c r="M5724" s="55" t="s">
        <v>2824</v>
      </c>
      <c r="N5724" s="4" t="s">
        <v>1905</v>
      </c>
      <c r="O5724" s="55" t="s">
        <v>178</v>
      </c>
    </row>
    <row r="5725" spans="2:15">
      <c r="B5725" s="20">
        <v>45826</v>
      </c>
      <c r="C5725" s="59">
        <v>50010080</v>
      </c>
      <c r="D5725" s="55" t="s">
        <v>1657</v>
      </c>
      <c r="G5725" s="65">
        <v>4000</v>
      </c>
      <c r="H5725" s="56" t="s">
        <v>82</v>
      </c>
      <c r="I5725" s="54">
        <v>8721761113</v>
      </c>
      <c r="J5725" s="56" t="s">
        <v>2978</v>
      </c>
      <c r="K5725" s="56">
        <v>3298</v>
      </c>
      <c r="L5725" s="55" t="s">
        <v>2152</v>
      </c>
      <c r="M5725" s="55" t="s">
        <v>2824</v>
      </c>
      <c r="N5725" s="4" t="s">
        <v>1905</v>
      </c>
      <c r="O5725" s="55" t="s">
        <v>178</v>
      </c>
    </row>
    <row r="5726" spans="2:15">
      <c r="B5726" s="20">
        <v>45826</v>
      </c>
      <c r="C5726" s="59">
        <v>50272278</v>
      </c>
      <c r="D5726" s="55" t="s">
        <v>21</v>
      </c>
      <c r="E5726" s="67">
        <f>G5726/250</f>
        <v>32</v>
      </c>
      <c r="G5726" s="65">
        <v>8000</v>
      </c>
      <c r="H5726" s="56" t="s">
        <v>92</v>
      </c>
      <c r="I5726" s="54">
        <v>8721761113</v>
      </c>
      <c r="J5726" s="56" t="s">
        <v>2978</v>
      </c>
      <c r="K5726" s="56">
        <v>3298</v>
      </c>
      <c r="L5726" s="55" t="s">
        <v>2152</v>
      </c>
      <c r="M5726" s="55" t="s">
        <v>2824</v>
      </c>
      <c r="N5726" s="4" t="s">
        <v>1905</v>
      </c>
      <c r="O5726" s="55" t="s">
        <v>178</v>
      </c>
    </row>
    <row r="5727" spans="2:15">
      <c r="B5727" s="20">
        <v>45826</v>
      </c>
      <c r="C5727" s="59">
        <v>50837509</v>
      </c>
      <c r="D5727" s="55" t="s">
        <v>14</v>
      </c>
      <c r="G5727" s="65">
        <v>597600</v>
      </c>
      <c r="H5727" s="56" t="s">
        <v>92</v>
      </c>
      <c r="I5727" s="54">
        <v>8721761113</v>
      </c>
      <c r="J5727" s="56" t="s">
        <v>2978</v>
      </c>
      <c r="K5727" s="56">
        <v>3298</v>
      </c>
      <c r="L5727" s="55" t="s">
        <v>2152</v>
      </c>
      <c r="M5727" s="55" t="s">
        <v>2824</v>
      </c>
      <c r="N5727" s="4" t="s">
        <v>1905</v>
      </c>
      <c r="O5727" s="55" t="s">
        <v>178</v>
      </c>
    </row>
    <row r="5728" spans="2:15">
      <c r="B5728" s="20">
        <v>45828</v>
      </c>
      <c r="C5728" s="59">
        <v>50144376</v>
      </c>
      <c r="D5728" s="55" t="s">
        <v>19</v>
      </c>
      <c r="E5728" s="67">
        <f>G5728/250</f>
        <v>24</v>
      </c>
      <c r="G5728" s="65">
        <v>6000</v>
      </c>
      <c r="H5728" s="56" t="s">
        <v>92</v>
      </c>
      <c r="J5728" s="56" t="s">
        <v>2978</v>
      </c>
      <c r="K5728" s="56">
        <v>3299</v>
      </c>
      <c r="L5728" s="55" t="s">
        <v>2152</v>
      </c>
      <c r="M5728" s="55" t="s">
        <v>2824</v>
      </c>
      <c r="N5728" s="4" t="s">
        <v>177</v>
      </c>
      <c r="O5728" s="55" t="s">
        <v>178</v>
      </c>
    </row>
    <row r="5729" spans="2:15">
      <c r="B5729" s="20">
        <v>45828</v>
      </c>
      <c r="C5729" s="59">
        <v>50272278</v>
      </c>
      <c r="D5729" s="55" t="s">
        <v>21</v>
      </c>
      <c r="E5729" s="67">
        <f>G5729/250</f>
        <v>24</v>
      </c>
      <c r="G5729" s="65">
        <v>6000</v>
      </c>
      <c r="H5729" s="56" t="s">
        <v>92</v>
      </c>
      <c r="J5729" s="56" t="s">
        <v>2978</v>
      </c>
      <c r="K5729" s="56">
        <v>3299</v>
      </c>
      <c r="L5729" s="55" t="s">
        <v>2152</v>
      </c>
      <c r="M5729" s="55" t="s">
        <v>2824</v>
      </c>
      <c r="N5729" s="4" t="s">
        <v>177</v>
      </c>
      <c r="O5729" s="55" t="s">
        <v>178</v>
      </c>
    </row>
    <row r="5730" spans="2:15">
      <c r="B5730" s="20">
        <v>45828</v>
      </c>
      <c r="C5730" s="59">
        <v>50515034</v>
      </c>
      <c r="D5730" s="55" t="s">
        <v>41</v>
      </c>
      <c r="G5730" s="65">
        <v>172.8</v>
      </c>
      <c r="H5730" s="56" t="s">
        <v>80</v>
      </c>
      <c r="I5730" s="54" t="s">
        <v>2874</v>
      </c>
      <c r="J5730" s="56" t="s">
        <v>2978</v>
      </c>
      <c r="K5730" s="56">
        <v>3300</v>
      </c>
      <c r="L5730" s="55" t="s">
        <v>326</v>
      </c>
      <c r="M5730" s="55" t="s">
        <v>392</v>
      </c>
      <c r="N5730" s="4" t="s">
        <v>2454</v>
      </c>
      <c r="O5730" s="55" t="s">
        <v>178</v>
      </c>
    </row>
    <row r="5731" spans="2:15">
      <c r="B5731" s="20">
        <v>45828</v>
      </c>
      <c r="C5731" s="59">
        <v>50145028</v>
      </c>
      <c r="D5731" s="55" t="s">
        <v>23</v>
      </c>
      <c r="G5731" s="65">
        <v>576</v>
      </c>
      <c r="H5731" s="56" t="s">
        <v>92</v>
      </c>
      <c r="I5731" s="54" t="s">
        <v>2874</v>
      </c>
      <c r="J5731" s="56" t="s">
        <v>2978</v>
      </c>
      <c r="K5731" s="56">
        <v>3300</v>
      </c>
      <c r="L5731" s="55" t="s">
        <v>326</v>
      </c>
      <c r="M5731" s="55" t="s">
        <v>392</v>
      </c>
      <c r="N5731" s="4" t="s">
        <v>2454</v>
      </c>
      <c r="O5731" s="55" t="s">
        <v>178</v>
      </c>
    </row>
    <row r="5732" spans="2:15">
      <c r="B5732" s="20">
        <v>45828</v>
      </c>
      <c r="C5732" s="59">
        <v>50834329</v>
      </c>
      <c r="D5732" s="55" t="s">
        <v>1475</v>
      </c>
      <c r="G5732" s="65">
        <v>790.9</v>
      </c>
      <c r="H5732" s="56" t="s">
        <v>82</v>
      </c>
      <c r="I5732" s="54" t="s">
        <v>2874</v>
      </c>
      <c r="J5732" s="56" t="s">
        <v>2978</v>
      </c>
      <c r="K5732" s="56">
        <v>3300</v>
      </c>
      <c r="L5732" s="55" t="s">
        <v>326</v>
      </c>
      <c r="M5732" s="55" t="s">
        <v>392</v>
      </c>
      <c r="N5732" s="4" t="s">
        <v>2454</v>
      </c>
      <c r="O5732" s="55" t="s">
        <v>178</v>
      </c>
    </row>
    <row r="5733" spans="2:15">
      <c r="B5733" s="20">
        <v>45828</v>
      </c>
      <c r="C5733" s="59">
        <v>50010080</v>
      </c>
      <c r="D5733" s="55" t="s">
        <v>1657</v>
      </c>
      <c r="G5733" s="65">
        <v>3000</v>
      </c>
      <c r="H5733" s="56" t="s">
        <v>82</v>
      </c>
      <c r="I5733" s="54">
        <v>8722571535</v>
      </c>
      <c r="J5733" s="56" t="s">
        <v>2978</v>
      </c>
      <c r="K5733" s="56">
        <v>3301</v>
      </c>
      <c r="L5733" s="55" t="s">
        <v>2152</v>
      </c>
      <c r="M5733" s="55" t="s">
        <v>2824</v>
      </c>
      <c r="N5733" s="4" t="s">
        <v>177</v>
      </c>
      <c r="O5733" s="55" t="s">
        <v>178</v>
      </c>
    </row>
    <row r="5734" spans="2:15">
      <c r="B5734" s="20">
        <v>45828</v>
      </c>
      <c r="C5734" s="59">
        <v>40009546</v>
      </c>
      <c r="D5734" s="55" t="s">
        <v>174</v>
      </c>
      <c r="G5734" s="65">
        <v>3456</v>
      </c>
      <c r="H5734" s="56" t="s">
        <v>80</v>
      </c>
      <c r="I5734" s="54">
        <v>8722571535</v>
      </c>
      <c r="J5734" s="56" t="s">
        <v>2978</v>
      </c>
      <c r="K5734" s="56">
        <v>3301</v>
      </c>
      <c r="L5734" s="55" t="s">
        <v>2152</v>
      </c>
      <c r="M5734" s="55" t="s">
        <v>2824</v>
      </c>
      <c r="N5734" s="4" t="s">
        <v>177</v>
      </c>
      <c r="O5734" s="55" t="s">
        <v>178</v>
      </c>
    </row>
    <row r="5735" spans="2:15">
      <c r="B5735" s="20">
        <v>45828</v>
      </c>
      <c r="C5735" s="59">
        <v>40010087</v>
      </c>
      <c r="D5735" s="55" t="s">
        <v>387</v>
      </c>
      <c r="G5735" s="65">
        <v>2592</v>
      </c>
      <c r="H5735" s="56" t="s">
        <v>80</v>
      </c>
      <c r="I5735" s="54">
        <v>8722571535</v>
      </c>
      <c r="J5735" s="56" t="s">
        <v>2978</v>
      </c>
      <c r="K5735" s="56">
        <v>3301</v>
      </c>
      <c r="L5735" s="55" t="s">
        <v>2152</v>
      </c>
      <c r="M5735" s="55" t="s">
        <v>2824</v>
      </c>
      <c r="N5735" s="4" t="s">
        <v>177</v>
      </c>
      <c r="O5735" s="55" t="s">
        <v>178</v>
      </c>
    </row>
    <row r="5736" spans="2:15">
      <c r="B5736" s="20">
        <v>45828</v>
      </c>
      <c r="C5736" s="59">
        <v>40004808</v>
      </c>
      <c r="D5736" s="55" t="s">
        <v>91</v>
      </c>
      <c r="G5736" s="65">
        <v>90</v>
      </c>
      <c r="H5736" s="56" t="s">
        <v>1248</v>
      </c>
      <c r="I5736" s="54">
        <v>8722571535</v>
      </c>
      <c r="J5736" s="56" t="s">
        <v>2978</v>
      </c>
      <c r="K5736" s="56">
        <v>3301</v>
      </c>
      <c r="L5736" s="55" t="s">
        <v>2152</v>
      </c>
      <c r="M5736" s="55" t="s">
        <v>2824</v>
      </c>
      <c r="N5736" s="4" t="s">
        <v>177</v>
      </c>
      <c r="O5736" s="55" t="s">
        <v>178</v>
      </c>
    </row>
    <row r="5737" spans="2:15">
      <c r="B5737" s="20">
        <v>45828</v>
      </c>
      <c r="C5737" s="59">
        <v>50145029</v>
      </c>
      <c r="D5737" s="55" t="s">
        <v>705</v>
      </c>
      <c r="G5737" s="65">
        <v>12</v>
      </c>
      <c r="H5737" s="56" t="s">
        <v>505</v>
      </c>
      <c r="I5737" s="54">
        <v>8722571535</v>
      </c>
      <c r="J5737" s="56" t="s">
        <v>2978</v>
      </c>
      <c r="K5737" s="56">
        <v>3301</v>
      </c>
      <c r="L5737" s="55" t="s">
        <v>2152</v>
      </c>
      <c r="M5737" s="55" t="s">
        <v>2824</v>
      </c>
      <c r="N5737" s="4" t="s">
        <v>177</v>
      </c>
      <c r="O5737" s="55" t="s">
        <v>178</v>
      </c>
    </row>
    <row r="5738" spans="2:15">
      <c r="B5738" s="20">
        <v>45828</v>
      </c>
      <c r="C5738" s="59">
        <v>50470190</v>
      </c>
      <c r="D5738" s="55" t="s">
        <v>12</v>
      </c>
      <c r="G5738" s="65">
        <v>2898000</v>
      </c>
      <c r="H5738" s="56" t="s">
        <v>92</v>
      </c>
      <c r="I5738" s="54">
        <v>8722571535</v>
      </c>
      <c r="J5738" s="56" t="s">
        <v>2978</v>
      </c>
      <c r="K5738" s="56">
        <v>3301</v>
      </c>
      <c r="L5738" s="55" t="s">
        <v>2152</v>
      </c>
      <c r="M5738" s="55" t="s">
        <v>2824</v>
      </c>
      <c r="N5738" s="4" t="s">
        <v>177</v>
      </c>
      <c r="O5738" s="55" t="s">
        <v>178</v>
      </c>
    </row>
    <row r="5739" spans="2:15">
      <c r="B5739" s="20">
        <v>45828</v>
      </c>
      <c r="C5739" s="59">
        <v>50145012</v>
      </c>
      <c r="D5739" s="55" t="s">
        <v>504</v>
      </c>
      <c r="G5739" s="65">
        <v>24</v>
      </c>
      <c r="H5739" s="56" t="s">
        <v>505</v>
      </c>
      <c r="I5739" s="54">
        <v>8722571535</v>
      </c>
      <c r="J5739" s="56" t="s">
        <v>2978</v>
      </c>
      <c r="K5739" s="56">
        <v>3301</v>
      </c>
      <c r="L5739" s="55" t="s">
        <v>2152</v>
      </c>
      <c r="M5739" s="55" t="s">
        <v>2824</v>
      </c>
      <c r="N5739" s="4" t="s">
        <v>177</v>
      </c>
      <c r="O5739" s="55" t="s">
        <v>178</v>
      </c>
    </row>
    <row r="5740" spans="2:15">
      <c r="B5740" s="20">
        <v>45828</v>
      </c>
      <c r="C5740" s="59">
        <v>50392046</v>
      </c>
      <c r="D5740" s="55" t="s">
        <v>509</v>
      </c>
      <c r="G5740" s="65">
        <v>18</v>
      </c>
      <c r="H5740" s="56" t="s">
        <v>505</v>
      </c>
      <c r="I5740" s="54">
        <v>8722571535</v>
      </c>
      <c r="J5740" s="56" t="s">
        <v>2978</v>
      </c>
      <c r="K5740" s="56">
        <v>3301</v>
      </c>
      <c r="L5740" s="55" t="s">
        <v>2152</v>
      </c>
      <c r="M5740" s="55" t="s">
        <v>2824</v>
      </c>
      <c r="N5740" s="4" t="s">
        <v>177</v>
      </c>
      <c r="O5740" s="55" t="s">
        <v>178</v>
      </c>
    </row>
    <row r="5741" spans="2:15">
      <c r="B5741" s="20">
        <v>45829</v>
      </c>
      <c r="C5741" s="59">
        <v>40014675</v>
      </c>
      <c r="D5741" s="55" t="s">
        <v>44</v>
      </c>
      <c r="G5741" s="65">
        <v>31.68</v>
      </c>
      <c r="H5741" s="56" t="s">
        <v>80</v>
      </c>
      <c r="I5741" s="54">
        <v>8722571542</v>
      </c>
      <c r="J5741" s="56" t="s">
        <v>2978</v>
      </c>
      <c r="K5741" s="56">
        <v>367</v>
      </c>
      <c r="L5741" s="55" t="s">
        <v>2152</v>
      </c>
      <c r="M5741" s="55" t="s">
        <v>2824</v>
      </c>
      <c r="N5741" s="4" t="s">
        <v>1905</v>
      </c>
      <c r="O5741" s="55" t="s">
        <v>178</v>
      </c>
    </row>
    <row r="5742" spans="2:15">
      <c r="B5742" s="20">
        <v>45829</v>
      </c>
      <c r="C5742" s="59">
        <v>40014675</v>
      </c>
      <c r="D5742" s="55" t="s">
        <v>44</v>
      </c>
      <c r="G5742" s="65">
        <v>34.56</v>
      </c>
      <c r="H5742" s="56" t="s">
        <v>80</v>
      </c>
      <c r="I5742" s="54">
        <v>8722571543</v>
      </c>
      <c r="J5742" s="56" t="s">
        <v>2978</v>
      </c>
      <c r="K5742" s="56">
        <v>368</v>
      </c>
      <c r="L5742" s="55" t="s">
        <v>2152</v>
      </c>
      <c r="M5742" s="55" t="s">
        <v>2824</v>
      </c>
      <c r="N5742" s="4" t="s">
        <v>177</v>
      </c>
      <c r="O5742" s="55" t="s">
        <v>178</v>
      </c>
    </row>
    <row r="5743" spans="2:15">
      <c r="B5743" s="20">
        <v>45829</v>
      </c>
      <c r="C5743" s="59">
        <v>40014675</v>
      </c>
      <c r="D5743" s="55" t="s">
        <v>44</v>
      </c>
      <c r="G5743" s="65">
        <v>31.68</v>
      </c>
      <c r="H5743" s="56" t="s">
        <v>80</v>
      </c>
      <c r="I5743" s="54">
        <v>8722571575</v>
      </c>
      <c r="J5743" s="56" t="s">
        <v>2978</v>
      </c>
      <c r="K5743" s="56">
        <v>369</v>
      </c>
      <c r="L5743" s="55" t="s">
        <v>2152</v>
      </c>
      <c r="M5743" s="55" t="s">
        <v>2824</v>
      </c>
      <c r="N5743" s="4" t="s">
        <v>1905</v>
      </c>
      <c r="O5743" s="55" t="s">
        <v>178</v>
      </c>
    </row>
    <row r="5744" spans="2:15">
      <c r="B5744" s="20">
        <v>45829</v>
      </c>
      <c r="C5744" s="59">
        <v>40014675</v>
      </c>
      <c r="D5744" s="55" t="s">
        <v>44</v>
      </c>
      <c r="G5744" s="65">
        <v>34.56</v>
      </c>
      <c r="H5744" s="56" t="s">
        <v>80</v>
      </c>
      <c r="I5744" s="54">
        <v>8722571579</v>
      </c>
      <c r="J5744" s="56" t="s">
        <v>2978</v>
      </c>
      <c r="K5744" s="56">
        <v>370</v>
      </c>
      <c r="L5744" s="55" t="s">
        <v>2152</v>
      </c>
      <c r="M5744" s="55" t="s">
        <v>2824</v>
      </c>
      <c r="N5744" s="4" t="s">
        <v>177</v>
      </c>
      <c r="O5744" s="55" t="s">
        <v>178</v>
      </c>
    </row>
    <row r="5745" spans="2:15">
      <c r="B5745" s="20">
        <v>45829</v>
      </c>
      <c r="C5745" s="59">
        <v>40014675</v>
      </c>
      <c r="D5745" s="55" t="s">
        <v>44</v>
      </c>
      <c r="G5745" s="65">
        <v>31.68</v>
      </c>
      <c r="H5745" s="56" t="s">
        <v>80</v>
      </c>
      <c r="I5745" s="54">
        <v>8722571580</v>
      </c>
      <c r="J5745" s="56" t="s">
        <v>2978</v>
      </c>
      <c r="K5745" s="56">
        <v>371</v>
      </c>
      <c r="L5745" s="55" t="s">
        <v>2152</v>
      </c>
      <c r="M5745" s="55" t="s">
        <v>2824</v>
      </c>
      <c r="N5745" s="4" t="s">
        <v>1905</v>
      </c>
      <c r="O5745" s="55" t="s">
        <v>178</v>
      </c>
    </row>
    <row r="5746" spans="2:15">
      <c r="B5746" s="20">
        <v>45829</v>
      </c>
      <c r="C5746" s="59">
        <v>40014675</v>
      </c>
      <c r="D5746" s="55" t="s">
        <v>44</v>
      </c>
      <c r="G5746" s="65">
        <v>34.56</v>
      </c>
      <c r="H5746" s="56" t="s">
        <v>80</v>
      </c>
      <c r="I5746" s="54">
        <v>8722582576</v>
      </c>
      <c r="J5746" s="56" t="s">
        <v>2978</v>
      </c>
      <c r="K5746" s="56">
        <v>372</v>
      </c>
      <c r="L5746" s="55" t="s">
        <v>2152</v>
      </c>
      <c r="M5746" s="55" t="s">
        <v>2824</v>
      </c>
      <c r="N5746" s="4" t="s">
        <v>177</v>
      </c>
      <c r="O5746" s="55" t="s">
        <v>178</v>
      </c>
    </row>
    <row r="5747" spans="2:15">
      <c r="B5747" s="20">
        <v>45831</v>
      </c>
      <c r="C5747" s="59">
        <v>50272278</v>
      </c>
      <c r="D5747" s="55" t="s">
        <v>21</v>
      </c>
      <c r="E5747" s="67">
        <f>G5747/250</f>
        <v>44</v>
      </c>
      <c r="G5747" s="65">
        <v>11000</v>
      </c>
      <c r="H5747" s="56" t="s">
        <v>92</v>
      </c>
      <c r="I5747" s="54">
        <v>8722582442</v>
      </c>
      <c r="J5747" s="56" t="s">
        <v>2978</v>
      </c>
      <c r="K5747" s="56">
        <v>3302</v>
      </c>
      <c r="L5747" s="55" t="s">
        <v>2152</v>
      </c>
      <c r="M5747" s="55" t="s">
        <v>2824</v>
      </c>
      <c r="N5747" s="4" t="s">
        <v>1905</v>
      </c>
      <c r="O5747" s="55" t="s">
        <v>178</v>
      </c>
    </row>
    <row r="5748" spans="2:15">
      <c r="B5748" s="20">
        <v>45831</v>
      </c>
      <c r="C5748" s="59">
        <v>50145028</v>
      </c>
      <c r="D5748" s="55" t="s">
        <v>23</v>
      </c>
      <c r="G5748" s="65">
        <v>1152</v>
      </c>
      <c r="H5748" s="56" t="s">
        <v>92</v>
      </c>
      <c r="I5748" s="54" t="s">
        <v>2874</v>
      </c>
      <c r="J5748" s="56" t="s">
        <v>2978</v>
      </c>
      <c r="K5748" s="56">
        <v>3303</v>
      </c>
      <c r="L5748" s="55" t="s">
        <v>392</v>
      </c>
      <c r="M5748" s="55" t="s">
        <v>392</v>
      </c>
      <c r="N5748" s="4" t="s">
        <v>3028</v>
      </c>
      <c r="O5748" s="55" t="s">
        <v>178</v>
      </c>
    </row>
    <row r="5749" spans="2:15">
      <c r="B5749" s="20">
        <v>45831</v>
      </c>
      <c r="C5749" s="59">
        <v>50142237</v>
      </c>
      <c r="D5749" s="55" t="s">
        <v>617</v>
      </c>
      <c r="G5749" s="65">
        <v>6000</v>
      </c>
      <c r="H5749" s="56" t="s">
        <v>92</v>
      </c>
      <c r="I5749" s="54" t="s">
        <v>2874</v>
      </c>
      <c r="J5749" s="56" t="s">
        <v>2978</v>
      </c>
      <c r="K5749" s="56">
        <v>3303</v>
      </c>
      <c r="L5749" s="55" t="s">
        <v>392</v>
      </c>
      <c r="M5749" s="55" t="s">
        <v>392</v>
      </c>
      <c r="N5749" s="4" t="s">
        <v>3028</v>
      </c>
      <c r="O5749" s="55" t="s">
        <v>178</v>
      </c>
    </row>
    <row r="5750" spans="2:15">
      <c r="B5750" s="20">
        <v>45831</v>
      </c>
      <c r="C5750" s="59">
        <v>50470190</v>
      </c>
      <c r="D5750" s="55" t="s">
        <v>12</v>
      </c>
      <c r="G5750" s="65">
        <v>3477600</v>
      </c>
      <c r="H5750" s="56" t="s">
        <v>92</v>
      </c>
      <c r="I5750" s="54">
        <v>8722582533</v>
      </c>
      <c r="J5750" s="56" t="s">
        <v>2978</v>
      </c>
      <c r="K5750" s="56">
        <v>3304</v>
      </c>
      <c r="L5750" s="55" t="s">
        <v>2152</v>
      </c>
      <c r="M5750" s="55" t="s">
        <v>2824</v>
      </c>
      <c r="N5750" s="4" t="s">
        <v>1905</v>
      </c>
      <c r="O5750" s="55" t="s">
        <v>178</v>
      </c>
    </row>
    <row r="5751" spans="2:15">
      <c r="B5751" s="20">
        <v>45831</v>
      </c>
      <c r="C5751" s="59">
        <v>50837509</v>
      </c>
      <c r="D5751" s="55" t="s">
        <v>14</v>
      </c>
      <c r="G5751" s="65">
        <v>1738800</v>
      </c>
      <c r="H5751" s="56" t="s">
        <v>92</v>
      </c>
      <c r="I5751" s="54">
        <v>8722582533</v>
      </c>
      <c r="J5751" s="56" t="s">
        <v>2978</v>
      </c>
      <c r="K5751" s="56">
        <v>3304</v>
      </c>
      <c r="L5751" s="55" t="s">
        <v>2152</v>
      </c>
      <c r="M5751" s="55" t="s">
        <v>2824</v>
      </c>
      <c r="N5751" s="4" t="s">
        <v>1905</v>
      </c>
      <c r="O5751" s="55" t="s">
        <v>178</v>
      </c>
    </row>
    <row r="5752" spans="2:15">
      <c r="B5752" s="20">
        <v>45831</v>
      </c>
      <c r="C5752" s="59">
        <v>40014675</v>
      </c>
      <c r="D5752" s="55" t="s">
        <v>44</v>
      </c>
      <c r="F5752" s="67">
        <v>34.56</v>
      </c>
      <c r="G5752" s="65">
        <v>34.56</v>
      </c>
      <c r="H5752" s="56" t="s">
        <v>80</v>
      </c>
      <c r="I5752" s="54">
        <v>8722582579</v>
      </c>
      <c r="J5752" s="56" t="s">
        <v>2978</v>
      </c>
      <c r="K5752" s="56">
        <v>373</v>
      </c>
      <c r="L5752" s="55" t="s">
        <v>2152</v>
      </c>
      <c r="M5752" s="55" t="s">
        <v>2824</v>
      </c>
      <c r="N5752" s="4" t="s">
        <v>177</v>
      </c>
      <c r="O5752" s="55" t="s">
        <v>178</v>
      </c>
    </row>
    <row r="5753" spans="2:15">
      <c r="B5753" s="20">
        <v>45831</v>
      </c>
      <c r="C5753" s="59">
        <v>40014675</v>
      </c>
      <c r="D5753" s="55" t="s">
        <v>44</v>
      </c>
      <c r="F5753" s="67">
        <v>34.56</v>
      </c>
      <c r="G5753" s="65">
        <v>34.56</v>
      </c>
      <c r="H5753" s="56" t="s">
        <v>80</v>
      </c>
      <c r="I5753" s="54">
        <v>8722582722</v>
      </c>
      <c r="J5753" s="56" t="s">
        <v>2978</v>
      </c>
      <c r="K5753" s="56">
        <v>374</v>
      </c>
      <c r="L5753" s="55" t="s">
        <v>392</v>
      </c>
      <c r="M5753" s="55" t="s">
        <v>2824</v>
      </c>
    </row>
    <row r="5754" spans="2:15">
      <c r="B5754" s="20">
        <v>45831</v>
      </c>
      <c r="C5754" s="59">
        <v>40014675</v>
      </c>
      <c r="D5754" s="55" t="s">
        <v>44</v>
      </c>
      <c r="F5754" s="67">
        <v>31.68</v>
      </c>
      <c r="G5754" s="65">
        <v>31.68</v>
      </c>
      <c r="H5754" s="56" t="s">
        <v>80</v>
      </c>
      <c r="I5754" s="54">
        <v>8722583204</v>
      </c>
      <c r="J5754" s="56" t="s">
        <v>2978</v>
      </c>
      <c r="K5754" s="56">
        <v>375</v>
      </c>
      <c r="L5754" s="55" t="s">
        <v>2152</v>
      </c>
      <c r="M5754" s="55" t="s">
        <v>2824</v>
      </c>
      <c r="N5754" s="4" t="s">
        <v>1905</v>
      </c>
      <c r="O5754" s="55" t="s">
        <v>178</v>
      </c>
    </row>
    <row r="5755" spans="2:15">
      <c r="B5755" s="20">
        <v>45831</v>
      </c>
      <c r="C5755" s="59">
        <v>40014675</v>
      </c>
      <c r="D5755" s="55" t="s">
        <v>44</v>
      </c>
      <c r="G5755" s="65">
        <v>34.56</v>
      </c>
      <c r="H5755" s="56" t="s">
        <v>80</v>
      </c>
      <c r="I5755" s="54">
        <v>8722583212</v>
      </c>
      <c r="J5755" s="56" t="s">
        <v>2978</v>
      </c>
      <c r="K5755" s="56">
        <v>376</v>
      </c>
      <c r="L5755" s="55" t="s">
        <v>2152</v>
      </c>
      <c r="M5755" s="55" t="s">
        <v>2824</v>
      </c>
      <c r="N5755" s="4" t="s">
        <v>177</v>
      </c>
      <c r="O5755" s="55" t="s">
        <v>178</v>
      </c>
    </row>
    <row r="5756" spans="2:15">
      <c r="B5756" s="20">
        <v>45832</v>
      </c>
      <c r="C5756" s="59">
        <v>40010080</v>
      </c>
      <c r="D5756" s="55" t="s">
        <v>2297</v>
      </c>
      <c r="G5756" s="65">
        <v>1920</v>
      </c>
      <c r="H5756" s="56" t="s">
        <v>80</v>
      </c>
      <c r="I5756" s="54">
        <v>8722832297</v>
      </c>
      <c r="J5756" s="56" t="s">
        <v>2978</v>
      </c>
      <c r="K5756" s="56">
        <v>3306</v>
      </c>
      <c r="L5756" s="55" t="s">
        <v>2152</v>
      </c>
      <c r="M5756" s="55" t="s">
        <v>2824</v>
      </c>
      <c r="N5756" s="4" t="s">
        <v>1905</v>
      </c>
      <c r="O5756" s="55" t="s">
        <v>178</v>
      </c>
    </row>
    <row r="5757" spans="2:15">
      <c r="B5757" s="20">
        <v>45832</v>
      </c>
      <c r="C5757" s="59">
        <v>50824293</v>
      </c>
      <c r="D5757" s="55" t="s">
        <v>861</v>
      </c>
      <c r="G5757" s="65">
        <v>816000</v>
      </c>
      <c r="H5757" s="56" t="s">
        <v>92</v>
      </c>
      <c r="I5757" s="54">
        <v>8722832297</v>
      </c>
      <c r="J5757" s="56" t="s">
        <v>2978</v>
      </c>
      <c r="K5757" s="56">
        <v>3306</v>
      </c>
      <c r="L5757" s="55" t="s">
        <v>2152</v>
      </c>
      <c r="M5757" s="55" t="s">
        <v>2824</v>
      </c>
      <c r="N5757" s="4" t="s">
        <v>1905</v>
      </c>
      <c r="O5757" s="55" t="s">
        <v>178</v>
      </c>
    </row>
    <row r="5758" spans="2:15">
      <c r="B5758" s="20">
        <v>45832</v>
      </c>
      <c r="C5758" s="59">
        <v>50272278</v>
      </c>
      <c r="D5758" s="55" t="s">
        <v>21</v>
      </c>
      <c r="E5758" s="67">
        <f>G5758/250</f>
        <v>26</v>
      </c>
      <c r="G5758" s="65">
        <v>6500</v>
      </c>
      <c r="H5758" s="56" t="s">
        <v>92</v>
      </c>
      <c r="I5758" s="54">
        <v>8722832297</v>
      </c>
      <c r="J5758" s="56" t="s">
        <v>2978</v>
      </c>
      <c r="K5758" s="56">
        <v>3306</v>
      </c>
      <c r="L5758" s="55" t="s">
        <v>2152</v>
      </c>
      <c r="M5758" s="55" t="s">
        <v>2824</v>
      </c>
      <c r="N5758" s="4" t="s">
        <v>1905</v>
      </c>
      <c r="O5758" s="55" t="s">
        <v>178</v>
      </c>
    </row>
    <row r="5759" spans="2:15">
      <c r="B5759" s="20">
        <v>45832</v>
      </c>
      <c r="C5759" s="59">
        <v>40011148</v>
      </c>
      <c r="D5759" s="55" t="s">
        <v>86</v>
      </c>
      <c r="G5759" s="65">
        <v>50</v>
      </c>
      <c r="H5759" s="56" t="s">
        <v>80</v>
      </c>
      <c r="I5759" s="54">
        <v>8722832297</v>
      </c>
      <c r="J5759" s="56" t="s">
        <v>2978</v>
      </c>
      <c r="K5759" s="56">
        <v>3306</v>
      </c>
      <c r="L5759" s="55" t="s">
        <v>2152</v>
      </c>
      <c r="M5759" s="55" t="s">
        <v>2824</v>
      </c>
      <c r="N5759" s="4" t="s">
        <v>1905</v>
      </c>
      <c r="O5759" s="55" t="s">
        <v>178</v>
      </c>
    </row>
    <row r="5760" spans="2:15">
      <c r="B5760" s="20">
        <v>45832</v>
      </c>
      <c r="C5760" s="59">
        <v>40011780</v>
      </c>
      <c r="D5760" s="55" t="s">
        <v>584</v>
      </c>
      <c r="G5760" s="65">
        <v>450</v>
      </c>
      <c r="H5760" s="56" t="s">
        <v>80</v>
      </c>
      <c r="I5760" s="54">
        <v>8722832297</v>
      </c>
      <c r="J5760" s="56" t="s">
        <v>2978</v>
      </c>
      <c r="K5760" s="56">
        <v>3306</v>
      </c>
      <c r="L5760" s="55" t="s">
        <v>2152</v>
      </c>
      <c r="M5760" s="55" t="s">
        <v>2824</v>
      </c>
      <c r="N5760" s="4" t="s">
        <v>1905</v>
      </c>
      <c r="O5760" s="55" t="s">
        <v>178</v>
      </c>
    </row>
    <row r="5761" spans="2:15">
      <c r="B5761" s="20">
        <v>45832</v>
      </c>
      <c r="C5761" s="59">
        <v>40011588</v>
      </c>
      <c r="D5761" s="55" t="s">
        <v>585</v>
      </c>
      <c r="G5761" s="65">
        <v>980</v>
      </c>
      <c r="H5761" s="56" t="s">
        <v>80</v>
      </c>
      <c r="I5761" s="54">
        <v>8722832297</v>
      </c>
      <c r="J5761" s="56" t="s">
        <v>2978</v>
      </c>
      <c r="K5761" s="56">
        <v>3306</v>
      </c>
      <c r="L5761" s="55" t="s">
        <v>2152</v>
      </c>
      <c r="M5761" s="55" t="s">
        <v>2824</v>
      </c>
      <c r="N5761" s="4" t="s">
        <v>1905</v>
      </c>
      <c r="O5761" s="55" t="s">
        <v>178</v>
      </c>
    </row>
    <row r="5762" spans="2:15">
      <c r="B5762" s="20">
        <v>45832</v>
      </c>
      <c r="C5762" s="59">
        <v>50509889</v>
      </c>
      <c r="D5762" s="55" t="s">
        <v>671</v>
      </c>
      <c r="G5762" s="65">
        <v>528000</v>
      </c>
      <c r="H5762" s="56" t="s">
        <v>92</v>
      </c>
      <c r="I5762" s="54">
        <v>8722832297</v>
      </c>
      <c r="J5762" s="56" t="s">
        <v>2978</v>
      </c>
      <c r="K5762" s="56">
        <v>3306</v>
      </c>
      <c r="L5762" s="55" t="s">
        <v>2152</v>
      </c>
      <c r="M5762" s="55" t="s">
        <v>2824</v>
      </c>
      <c r="N5762" s="4" t="s">
        <v>1905</v>
      </c>
      <c r="O5762" s="55" t="s">
        <v>178</v>
      </c>
    </row>
    <row r="5763" spans="2:15">
      <c r="B5763" s="20">
        <v>45832</v>
      </c>
      <c r="C5763" s="59">
        <v>40014675</v>
      </c>
      <c r="D5763" s="55" t="s">
        <v>44</v>
      </c>
      <c r="G5763" s="65">
        <v>34.56</v>
      </c>
      <c r="H5763" s="56" t="s">
        <v>80</v>
      </c>
      <c r="I5763" s="54">
        <v>8722832334</v>
      </c>
      <c r="J5763" s="56" t="s">
        <v>2978</v>
      </c>
      <c r="K5763" s="56">
        <v>377</v>
      </c>
      <c r="L5763" s="55" t="s">
        <v>2152</v>
      </c>
      <c r="M5763" s="55" t="s">
        <v>2824</v>
      </c>
      <c r="N5763" s="4" t="s">
        <v>177</v>
      </c>
      <c r="O5763" s="55" t="s">
        <v>178</v>
      </c>
    </row>
    <row r="5764" spans="2:15">
      <c r="B5764" s="20">
        <v>45832</v>
      </c>
      <c r="C5764" s="59">
        <v>40014675</v>
      </c>
      <c r="D5764" s="55" t="s">
        <v>44</v>
      </c>
      <c r="G5764" s="65">
        <v>34.56</v>
      </c>
      <c r="H5764" s="56" t="s">
        <v>80</v>
      </c>
      <c r="I5764" s="54">
        <v>8722832335</v>
      </c>
      <c r="J5764" s="56" t="s">
        <v>2978</v>
      </c>
      <c r="K5764" s="56">
        <v>378</v>
      </c>
      <c r="L5764" s="55" t="s">
        <v>2152</v>
      </c>
      <c r="M5764" s="55" t="s">
        <v>2824</v>
      </c>
      <c r="N5764" s="4" t="s">
        <v>177</v>
      </c>
      <c r="O5764" s="55" t="s">
        <v>178</v>
      </c>
    </row>
    <row r="5765" spans="2:15">
      <c r="B5765" s="20">
        <v>45832</v>
      </c>
      <c r="C5765" s="59">
        <v>40014675</v>
      </c>
      <c r="D5765" s="55" t="s">
        <v>44</v>
      </c>
      <c r="G5765" s="65">
        <v>31.68</v>
      </c>
      <c r="H5765" s="56" t="s">
        <v>80</v>
      </c>
      <c r="I5765" s="54">
        <v>8722832339</v>
      </c>
      <c r="J5765" s="56" t="s">
        <v>2978</v>
      </c>
      <c r="K5765" s="56">
        <v>379</v>
      </c>
      <c r="L5765" s="55" t="s">
        <v>2152</v>
      </c>
      <c r="M5765" s="55" t="s">
        <v>2824</v>
      </c>
      <c r="N5765" s="4" t="s">
        <v>1905</v>
      </c>
      <c r="O5765" s="55" t="s">
        <v>178</v>
      </c>
    </row>
    <row r="5766" spans="2:15">
      <c r="B5766" s="20">
        <v>45832</v>
      </c>
      <c r="C5766" s="59">
        <v>40014675</v>
      </c>
      <c r="D5766" s="55" t="s">
        <v>44</v>
      </c>
      <c r="G5766" s="65">
        <v>34.56</v>
      </c>
      <c r="H5766" s="56" t="s">
        <v>80</v>
      </c>
      <c r="I5766" s="54">
        <v>8722832340</v>
      </c>
      <c r="J5766" s="56" t="s">
        <v>2978</v>
      </c>
      <c r="K5766" s="56">
        <v>380</v>
      </c>
      <c r="L5766" s="55" t="s">
        <v>392</v>
      </c>
      <c r="M5766" s="55" t="s">
        <v>2824</v>
      </c>
      <c r="N5766" s="4" t="s">
        <v>2071</v>
      </c>
      <c r="O5766" s="55" t="s">
        <v>178</v>
      </c>
    </row>
    <row r="5767" spans="2:15">
      <c r="B5767" s="20">
        <v>45832</v>
      </c>
      <c r="C5767" s="59">
        <v>40014675</v>
      </c>
      <c r="D5767" s="55" t="s">
        <v>44</v>
      </c>
      <c r="G5767" s="65">
        <v>34.56</v>
      </c>
      <c r="H5767" s="56" t="s">
        <v>80</v>
      </c>
      <c r="I5767" s="54">
        <v>8722832619</v>
      </c>
      <c r="J5767" s="56" t="s">
        <v>2978</v>
      </c>
      <c r="K5767" s="56">
        <v>381</v>
      </c>
      <c r="L5767" s="55" t="s">
        <v>2152</v>
      </c>
      <c r="M5767" s="55" t="s">
        <v>2824</v>
      </c>
      <c r="N5767" s="4" t="s">
        <v>177</v>
      </c>
      <c r="O5767" s="55" t="s">
        <v>178</v>
      </c>
    </row>
    <row r="5768" spans="2:15">
      <c r="B5768" s="20">
        <v>45832</v>
      </c>
      <c r="C5768" s="59">
        <v>40014675</v>
      </c>
      <c r="D5768" s="55" t="s">
        <v>44</v>
      </c>
      <c r="G5768" s="65">
        <v>34.56</v>
      </c>
      <c r="H5768" s="56" t="s">
        <v>80</v>
      </c>
      <c r="I5768" s="54">
        <v>8722832621</v>
      </c>
      <c r="J5768" s="56" t="s">
        <v>2978</v>
      </c>
      <c r="K5768" s="56">
        <v>382</v>
      </c>
      <c r="L5768" s="55" t="s">
        <v>392</v>
      </c>
      <c r="M5768" s="55" t="s">
        <v>2824</v>
      </c>
      <c r="N5768" s="4" t="s">
        <v>2071</v>
      </c>
      <c r="O5768" s="55" t="s">
        <v>178</v>
      </c>
    </row>
    <row r="5769" spans="2:15">
      <c r="B5769" s="20">
        <v>45833</v>
      </c>
      <c r="C5769" s="59">
        <v>50272278</v>
      </c>
      <c r="D5769" s="55" t="s">
        <v>21</v>
      </c>
      <c r="E5769" s="67">
        <f>G5769/250</f>
        <v>40</v>
      </c>
      <c r="G5769" s="65">
        <v>10000</v>
      </c>
      <c r="H5769" s="56" t="s">
        <v>92</v>
      </c>
      <c r="I5769" s="54">
        <v>8723043581</v>
      </c>
      <c r="J5769" s="56" t="s">
        <v>2978</v>
      </c>
      <c r="K5769" s="56">
        <v>3307</v>
      </c>
      <c r="L5769" s="55" t="s">
        <v>2152</v>
      </c>
      <c r="M5769" s="55" t="s">
        <v>2824</v>
      </c>
      <c r="N5769" s="4" t="s">
        <v>1905</v>
      </c>
      <c r="O5769" s="55" t="s">
        <v>178</v>
      </c>
    </row>
    <row r="5770" spans="2:15">
      <c r="B5770" s="20">
        <v>45833</v>
      </c>
      <c r="C5770" s="59">
        <v>50470190</v>
      </c>
      <c r="D5770" s="55" t="s">
        <v>12</v>
      </c>
      <c r="G5770" s="65">
        <v>579600</v>
      </c>
      <c r="H5770" s="56" t="s">
        <v>92</v>
      </c>
      <c r="I5770" s="54">
        <v>8723043581</v>
      </c>
      <c r="J5770" s="56" t="s">
        <v>2978</v>
      </c>
      <c r="K5770" s="56">
        <v>3307</v>
      </c>
      <c r="L5770" s="55" t="s">
        <v>2152</v>
      </c>
      <c r="M5770" s="55" t="s">
        <v>2824</v>
      </c>
      <c r="N5770" s="4" t="s">
        <v>1905</v>
      </c>
      <c r="O5770" s="55" t="s">
        <v>178</v>
      </c>
    </row>
    <row r="5771" spans="2:15">
      <c r="B5771" s="20">
        <v>45834</v>
      </c>
      <c r="C5771" s="59">
        <v>50470190</v>
      </c>
      <c r="D5771" s="66" t="s">
        <v>12</v>
      </c>
      <c r="G5771" s="122">
        <f>289800*18</f>
        <v>5216400</v>
      </c>
      <c r="H5771" s="56" t="s">
        <v>92</v>
      </c>
      <c r="I5771" s="54">
        <v>8723565501</v>
      </c>
      <c r="J5771" s="56" t="s">
        <v>2978</v>
      </c>
      <c r="K5771" s="56">
        <v>3308</v>
      </c>
      <c r="L5771" s="55" t="s">
        <v>2152</v>
      </c>
      <c r="M5771" s="55" t="s">
        <v>2824</v>
      </c>
      <c r="N5771" s="4" t="s">
        <v>1905</v>
      </c>
      <c r="O5771" s="55" t="s">
        <v>178</v>
      </c>
    </row>
    <row r="5772" spans="2:15">
      <c r="B5772" s="20">
        <v>45834</v>
      </c>
      <c r="C5772" s="59">
        <v>40014675</v>
      </c>
      <c r="D5772" s="55" t="s">
        <v>44</v>
      </c>
      <c r="F5772" s="67">
        <v>34.56</v>
      </c>
      <c r="G5772" s="65">
        <v>34.56</v>
      </c>
      <c r="H5772" s="56" t="s">
        <v>80</v>
      </c>
      <c r="I5772" s="54">
        <v>8723565505</v>
      </c>
      <c r="J5772" s="56" t="s">
        <v>2978</v>
      </c>
      <c r="K5772" s="56">
        <v>383</v>
      </c>
      <c r="L5772" s="55" t="s">
        <v>2152</v>
      </c>
      <c r="M5772" s="55" t="s">
        <v>2824</v>
      </c>
      <c r="N5772" s="4" t="s">
        <v>177</v>
      </c>
      <c r="O5772" s="55" t="s">
        <v>178</v>
      </c>
    </row>
    <row r="5773" spans="2:15">
      <c r="B5773" s="20">
        <v>45834</v>
      </c>
      <c r="C5773" s="59">
        <v>40014675</v>
      </c>
      <c r="D5773" s="55" t="s">
        <v>44</v>
      </c>
      <c r="F5773" s="67">
        <v>34.56</v>
      </c>
      <c r="G5773" s="65">
        <v>34.56</v>
      </c>
      <c r="H5773" s="56" t="s">
        <v>80</v>
      </c>
      <c r="I5773" s="54">
        <v>8723565511</v>
      </c>
      <c r="J5773" s="56" t="s">
        <v>2978</v>
      </c>
      <c r="K5773" s="56">
        <v>384</v>
      </c>
      <c r="L5773" s="55" t="s">
        <v>392</v>
      </c>
      <c r="M5773" s="55" t="s">
        <v>2824</v>
      </c>
      <c r="N5773" s="4" t="s">
        <v>2071</v>
      </c>
      <c r="O5773" s="55" t="s">
        <v>178</v>
      </c>
    </row>
    <row r="5774" spans="2:15">
      <c r="B5774" s="20">
        <v>45834</v>
      </c>
      <c r="C5774" s="59">
        <v>40014675</v>
      </c>
      <c r="D5774" s="55" t="s">
        <v>44</v>
      </c>
      <c r="F5774" s="67">
        <v>34.56</v>
      </c>
      <c r="G5774" s="65">
        <v>34.56</v>
      </c>
      <c r="H5774" s="56" t="s">
        <v>80</v>
      </c>
      <c r="I5774" s="54">
        <v>8723565534</v>
      </c>
      <c r="J5774" s="56" t="s">
        <v>2978</v>
      </c>
      <c r="K5774" s="56">
        <v>385</v>
      </c>
      <c r="L5774" s="55" t="s">
        <v>2152</v>
      </c>
      <c r="M5774" s="55" t="s">
        <v>2824</v>
      </c>
      <c r="N5774" s="4" t="s">
        <v>177</v>
      </c>
      <c r="O5774" s="55" t="s">
        <v>178</v>
      </c>
    </row>
    <row r="5775" spans="2:15">
      <c r="B5775" s="20">
        <v>45834</v>
      </c>
      <c r="C5775" s="59">
        <v>40014675</v>
      </c>
      <c r="D5775" s="55" t="s">
        <v>44</v>
      </c>
      <c r="F5775" s="67">
        <v>34.56</v>
      </c>
      <c r="G5775" s="65">
        <v>34.56</v>
      </c>
      <c r="H5775" s="56" t="s">
        <v>80</v>
      </c>
      <c r="I5775" s="54">
        <v>8723565536</v>
      </c>
      <c r="J5775" s="56" t="s">
        <v>2978</v>
      </c>
      <c r="K5775" s="56">
        <v>386</v>
      </c>
      <c r="L5775" s="55" t="s">
        <v>392</v>
      </c>
      <c r="M5775" s="55" t="s">
        <v>2824</v>
      </c>
      <c r="N5775" s="4" t="s">
        <v>2071</v>
      </c>
      <c r="O5775" s="55" t="s">
        <v>178</v>
      </c>
    </row>
    <row r="5776" spans="2:15">
      <c r="B5776" s="20">
        <v>45835</v>
      </c>
      <c r="C5776" s="59">
        <v>40014675</v>
      </c>
      <c r="D5776" s="55" t="s">
        <v>44</v>
      </c>
      <c r="G5776" s="65">
        <v>34.56</v>
      </c>
      <c r="H5776" s="56" t="s">
        <v>80</v>
      </c>
      <c r="I5776" s="54">
        <v>8723824992</v>
      </c>
      <c r="J5776" s="56" t="s">
        <v>2978</v>
      </c>
      <c r="K5776" s="56">
        <v>387</v>
      </c>
      <c r="L5776" s="55" t="s">
        <v>2152</v>
      </c>
      <c r="M5776" s="55" t="s">
        <v>2824</v>
      </c>
      <c r="N5776" s="4" t="s">
        <v>177</v>
      </c>
      <c r="O5776" s="55" t="s">
        <v>178</v>
      </c>
    </row>
    <row r="5777" spans="2:16">
      <c r="B5777" s="20">
        <v>45835</v>
      </c>
      <c r="C5777" s="59">
        <v>40014675</v>
      </c>
      <c r="D5777" s="55" t="s">
        <v>44</v>
      </c>
      <c r="G5777" s="65">
        <v>31.68</v>
      </c>
      <c r="H5777" s="56" t="s">
        <v>80</v>
      </c>
      <c r="I5777" s="54">
        <v>8723824997</v>
      </c>
      <c r="J5777" s="56" t="s">
        <v>2978</v>
      </c>
      <c r="K5777" s="56">
        <v>388</v>
      </c>
      <c r="L5777" s="55" t="s">
        <v>2152</v>
      </c>
      <c r="M5777" s="55" t="s">
        <v>2824</v>
      </c>
      <c r="N5777" s="4" t="s">
        <v>1905</v>
      </c>
      <c r="O5777" s="55" t="s">
        <v>178</v>
      </c>
    </row>
    <row r="5778" spans="2:16">
      <c r="B5778" s="20">
        <v>45835</v>
      </c>
      <c r="C5778" s="59">
        <v>40014675</v>
      </c>
      <c r="D5778" s="55" t="s">
        <v>44</v>
      </c>
      <c r="G5778" s="65">
        <v>34.56</v>
      </c>
      <c r="H5778" s="56" t="s">
        <v>80</v>
      </c>
      <c r="I5778" s="54">
        <v>8723824999</v>
      </c>
      <c r="J5778" s="56" t="s">
        <v>2978</v>
      </c>
      <c r="K5778" s="56">
        <v>389</v>
      </c>
      <c r="L5778" s="55" t="s">
        <v>2152</v>
      </c>
      <c r="M5778" s="55" t="s">
        <v>2824</v>
      </c>
      <c r="N5778" s="4" t="s">
        <v>177</v>
      </c>
      <c r="O5778" s="55" t="s">
        <v>178</v>
      </c>
    </row>
    <row r="5779" spans="2:16">
      <c r="B5779" s="20">
        <v>45835</v>
      </c>
      <c r="C5779" s="59">
        <v>40014675</v>
      </c>
      <c r="D5779" s="55" t="s">
        <v>44</v>
      </c>
      <c r="G5779" s="65">
        <v>31.68</v>
      </c>
      <c r="H5779" s="56" t="s">
        <v>80</v>
      </c>
      <c r="I5779" s="54">
        <v>8723825000</v>
      </c>
      <c r="J5779" s="56" t="s">
        <v>2978</v>
      </c>
      <c r="K5779" s="56">
        <v>390</v>
      </c>
      <c r="L5779" s="55" t="s">
        <v>2152</v>
      </c>
      <c r="M5779" s="55" t="s">
        <v>2824</v>
      </c>
      <c r="N5779" s="4" t="s">
        <v>1905</v>
      </c>
      <c r="O5779" s="55" t="s">
        <v>178</v>
      </c>
    </row>
    <row r="5780" spans="2:16">
      <c r="B5780" s="20">
        <v>45836</v>
      </c>
      <c r="C5780" s="59">
        <v>40014675</v>
      </c>
      <c r="D5780" s="55" t="s">
        <v>44</v>
      </c>
      <c r="G5780" s="65">
        <v>34.56</v>
      </c>
      <c r="H5780" s="56" t="s">
        <v>80</v>
      </c>
      <c r="I5780" s="54">
        <v>8723825001</v>
      </c>
      <c r="J5780" s="56" t="s">
        <v>2978</v>
      </c>
      <c r="K5780" s="56">
        <v>391</v>
      </c>
      <c r="L5780" s="55" t="s">
        <v>392</v>
      </c>
      <c r="M5780" s="55" t="s">
        <v>2824</v>
      </c>
      <c r="N5780" s="4" t="s">
        <v>2071</v>
      </c>
      <c r="O5780" s="55" t="s">
        <v>178</v>
      </c>
    </row>
    <row r="5781" spans="2:16">
      <c r="B5781" s="20">
        <v>45836</v>
      </c>
      <c r="C5781" s="59">
        <v>40014675</v>
      </c>
      <c r="D5781" s="55" t="s">
        <v>44</v>
      </c>
      <c r="G5781" s="65">
        <v>31.68</v>
      </c>
      <c r="H5781" s="56" t="s">
        <v>80</v>
      </c>
      <c r="I5781" s="54">
        <v>8723825024</v>
      </c>
      <c r="J5781" s="56" t="s">
        <v>2978</v>
      </c>
      <c r="K5781" s="56">
        <v>392</v>
      </c>
      <c r="L5781" s="55" t="s">
        <v>2152</v>
      </c>
      <c r="M5781" s="55" t="s">
        <v>2824</v>
      </c>
      <c r="N5781" s="4" t="s">
        <v>177</v>
      </c>
      <c r="O5781" s="55" t="s">
        <v>178</v>
      </c>
    </row>
    <row r="5782" spans="2:16">
      <c r="B5782" s="20">
        <v>45836</v>
      </c>
      <c r="C5782" s="59">
        <v>40014675</v>
      </c>
      <c r="D5782" s="55" t="s">
        <v>44</v>
      </c>
      <c r="G5782" s="65">
        <v>34.56</v>
      </c>
      <c r="H5782" s="56" t="s">
        <v>80</v>
      </c>
      <c r="I5782" s="54">
        <v>8723825051</v>
      </c>
      <c r="J5782" s="56" t="s">
        <v>2978</v>
      </c>
      <c r="K5782" s="56">
        <v>393</v>
      </c>
      <c r="L5782" s="55" t="s">
        <v>392</v>
      </c>
      <c r="M5782" s="55" t="s">
        <v>2824</v>
      </c>
      <c r="N5782" s="4" t="s">
        <v>2071</v>
      </c>
      <c r="O5782" s="55" t="s">
        <v>178</v>
      </c>
    </row>
    <row r="5783" spans="2:16">
      <c r="B5783" s="20">
        <v>45838</v>
      </c>
      <c r="C5783" s="59">
        <v>50143646</v>
      </c>
      <c r="D5783" s="55" t="s">
        <v>191</v>
      </c>
      <c r="G5783" s="65">
        <v>5280</v>
      </c>
      <c r="H5783" s="56" t="s">
        <v>82</v>
      </c>
      <c r="I5783" s="54" t="s">
        <v>2874</v>
      </c>
      <c r="J5783" s="56" t="s">
        <v>2978</v>
      </c>
      <c r="K5783" s="56">
        <v>3309</v>
      </c>
      <c r="L5783" s="55" t="s">
        <v>2152</v>
      </c>
      <c r="M5783" s="55" t="s">
        <v>2824</v>
      </c>
      <c r="N5783" s="4" t="s">
        <v>177</v>
      </c>
      <c r="O5783" s="55" t="s">
        <v>178</v>
      </c>
      <c r="P5783" s="4" t="s">
        <v>3029</v>
      </c>
    </row>
    <row r="5784" spans="2:16">
      <c r="B5784" s="20">
        <v>45838</v>
      </c>
      <c r="C5784" s="59">
        <v>40009546</v>
      </c>
      <c r="D5784" s="55" t="s">
        <v>174</v>
      </c>
      <c r="G5784" s="65">
        <v>1728</v>
      </c>
      <c r="H5784" s="56" t="s">
        <v>80</v>
      </c>
      <c r="I5784" s="54">
        <v>8724043251</v>
      </c>
      <c r="J5784" s="56" t="s">
        <v>2978</v>
      </c>
      <c r="K5784" s="56">
        <v>3309</v>
      </c>
      <c r="L5784" s="55" t="s">
        <v>2152</v>
      </c>
      <c r="M5784" s="55" t="s">
        <v>2824</v>
      </c>
      <c r="N5784" s="4" t="s">
        <v>177</v>
      </c>
      <c r="O5784" s="55" t="s">
        <v>178</v>
      </c>
    </row>
    <row r="5785" spans="2:16">
      <c r="B5785" s="20">
        <v>45838</v>
      </c>
      <c r="C5785" s="59">
        <v>40004808</v>
      </c>
      <c r="D5785" s="55" t="s">
        <v>91</v>
      </c>
      <c r="G5785" s="65">
        <v>900</v>
      </c>
      <c r="H5785" s="56" t="s">
        <v>1248</v>
      </c>
      <c r="I5785" s="54">
        <v>8724888557</v>
      </c>
      <c r="J5785" s="56" t="s">
        <v>2978</v>
      </c>
      <c r="K5785" s="56">
        <v>3309</v>
      </c>
      <c r="L5785" s="55" t="s">
        <v>2152</v>
      </c>
      <c r="M5785" s="55" t="s">
        <v>2824</v>
      </c>
      <c r="N5785" s="4" t="s">
        <v>177</v>
      </c>
      <c r="O5785" s="55" t="s">
        <v>178</v>
      </c>
    </row>
    <row r="5786" spans="2:16">
      <c r="B5786" s="20">
        <v>45838</v>
      </c>
      <c r="C5786" s="59">
        <v>40011588</v>
      </c>
      <c r="D5786" s="55" t="s">
        <v>585</v>
      </c>
      <c r="G5786" s="65">
        <v>1350</v>
      </c>
      <c r="H5786" s="56" t="s">
        <v>80</v>
      </c>
      <c r="I5786" s="54">
        <v>8724043251</v>
      </c>
      <c r="J5786" s="56" t="s">
        <v>2978</v>
      </c>
      <c r="K5786" s="56">
        <v>3309</v>
      </c>
      <c r="L5786" s="55" t="s">
        <v>2152</v>
      </c>
      <c r="M5786" s="55" t="s">
        <v>2824</v>
      </c>
      <c r="N5786" s="4" t="s">
        <v>177</v>
      </c>
      <c r="O5786" s="55" t="s">
        <v>178</v>
      </c>
    </row>
    <row r="5787" spans="2:16">
      <c r="B5787" s="20">
        <v>45838</v>
      </c>
      <c r="C5787" s="59">
        <v>50837283</v>
      </c>
      <c r="D5787" s="55" t="s">
        <v>30</v>
      </c>
      <c r="G5787" s="65">
        <v>2342.5</v>
      </c>
      <c r="H5787" s="56" t="s">
        <v>82</v>
      </c>
      <c r="I5787" s="54" t="s">
        <v>2874</v>
      </c>
      <c r="J5787" s="56" t="s">
        <v>2978</v>
      </c>
      <c r="K5787" s="56">
        <v>3309</v>
      </c>
      <c r="L5787" s="55" t="s">
        <v>2152</v>
      </c>
      <c r="M5787" s="55" t="s">
        <v>2824</v>
      </c>
      <c r="N5787" s="4" t="s">
        <v>177</v>
      </c>
      <c r="O5787" s="55" t="s">
        <v>178</v>
      </c>
    </row>
    <row r="5788" spans="2:16">
      <c r="B5788" s="20">
        <v>45838</v>
      </c>
      <c r="C5788" s="59">
        <v>40014675</v>
      </c>
      <c r="D5788" s="55" t="s">
        <v>44</v>
      </c>
      <c r="G5788" s="65">
        <v>34.56</v>
      </c>
      <c r="H5788" s="56" t="s">
        <v>80</v>
      </c>
      <c r="I5788" s="54">
        <v>8724043327</v>
      </c>
      <c r="J5788" s="56" t="s">
        <v>2978</v>
      </c>
      <c r="K5788" s="56">
        <v>394</v>
      </c>
      <c r="L5788" s="55" t="s">
        <v>392</v>
      </c>
      <c r="M5788" s="55" t="s">
        <v>2824</v>
      </c>
      <c r="N5788" s="4" t="s">
        <v>3027</v>
      </c>
      <c r="O5788" s="55" t="s">
        <v>178</v>
      </c>
    </row>
    <row r="5789" spans="2:16">
      <c r="B5789" s="20">
        <v>45838</v>
      </c>
      <c r="C5789" s="59">
        <v>40014675</v>
      </c>
      <c r="D5789" s="55" t="s">
        <v>44</v>
      </c>
      <c r="G5789" s="65">
        <v>34.56</v>
      </c>
      <c r="H5789" s="56" t="s">
        <v>80</v>
      </c>
      <c r="I5789" s="54">
        <v>8724043344</v>
      </c>
      <c r="J5789" s="56" t="s">
        <v>2978</v>
      </c>
      <c r="K5789" s="56">
        <v>395</v>
      </c>
      <c r="L5789" s="55" t="s">
        <v>392</v>
      </c>
      <c r="M5789" s="55" t="s">
        <v>2824</v>
      </c>
      <c r="N5789" s="4" t="s">
        <v>3027</v>
      </c>
      <c r="O5789" s="55" t="s">
        <v>178</v>
      </c>
    </row>
    <row r="5790" spans="2:16">
      <c r="B5790" s="20">
        <v>45838</v>
      </c>
      <c r="C5790" s="59">
        <v>40014675</v>
      </c>
      <c r="D5790" s="55" t="s">
        <v>44</v>
      </c>
      <c r="G5790" s="65">
        <v>34.56</v>
      </c>
      <c r="H5790" s="56" t="s">
        <v>80</v>
      </c>
      <c r="I5790" s="54">
        <v>8724043345</v>
      </c>
      <c r="J5790" s="56" t="s">
        <v>2978</v>
      </c>
      <c r="K5790" s="56">
        <v>396</v>
      </c>
      <c r="L5790" s="55" t="s">
        <v>392</v>
      </c>
      <c r="M5790" s="55" t="s">
        <v>2824</v>
      </c>
      <c r="N5790" s="4" t="s">
        <v>3027</v>
      </c>
      <c r="O5790" s="55" t="s">
        <v>178</v>
      </c>
    </row>
    <row r="5791" spans="2:16">
      <c r="B5791" s="20">
        <v>45839</v>
      </c>
      <c r="C5791" s="59">
        <v>50804971</v>
      </c>
      <c r="D5791" s="55" t="s">
        <v>855</v>
      </c>
      <c r="G5791" s="65">
        <v>720000</v>
      </c>
      <c r="H5791" s="56" t="s">
        <v>92</v>
      </c>
      <c r="I5791" s="54">
        <v>8724291246</v>
      </c>
      <c r="J5791" s="56" t="s">
        <v>2978</v>
      </c>
      <c r="K5791" s="56">
        <v>3310</v>
      </c>
      <c r="L5791" s="55" t="s">
        <v>2152</v>
      </c>
      <c r="M5791" s="55" t="s">
        <v>2824</v>
      </c>
      <c r="N5791" s="4" t="s">
        <v>177</v>
      </c>
      <c r="O5791" s="55" t="s">
        <v>178</v>
      </c>
    </row>
    <row r="5792" spans="2:16">
      <c r="B5792" s="20">
        <v>45839</v>
      </c>
      <c r="C5792" s="59">
        <v>50804929</v>
      </c>
      <c r="D5792" s="55" t="s">
        <v>856</v>
      </c>
      <c r="G5792" s="65">
        <v>960000</v>
      </c>
      <c r="H5792" s="56" t="s">
        <v>92</v>
      </c>
      <c r="I5792" s="54">
        <v>8724291246</v>
      </c>
      <c r="J5792" s="56" t="s">
        <v>2978</v>
      </c>
      <c r="K5792" s="56">
        <v>3310</v>
      </c>
      <c r="L5792" s="55" t="s">
        <v>2152</v>
      </c>
      <c r="M5792" s="55" t="s">
        <v>2824</v>
      </c>
      <c r="N5792" s="4" t="s">
        <v>177</v>
      </c>
      <c r="O5792" s="55" t="s">
        <v>178</v>
      </c>
    </row>
    <row r="5793" spans="2:15">
      <c r="B5793" s="20">
        <v>45839</v>
      </c>
      <c r="C5793" s="59">
        <v>50272278</v>
      </c>
      <c r="D5793" s="55" t="s">
        <v>21</v>
      </c>
      <c r="E5793" s="67">
        <f>G5793/250</f>
        <v>8</v>
      </c>
      <c r="G5793" s="65">
        <v>2000</v>
      </c>
      <c r="H5793" s="56" t="s">
        <v>92</v>
      </c>
      <c r="I5793" s="54">
        <v>8724291246</v>
      </c>
      <c r="J5793" s="56" t="s">
        <v>2978</v>
      </c>
      <c r="K5793" s="56">
        <v>3310</v>
      </c>
      <c r="L5793" s="55" t="s">
        <v>2152</v>
      </c>
      <c r="M5793" s="55" t="s">
        <v>2824</v>
      </c>
      <c r="N5793" s="4" t="s">
        <v>177</v>
      </c>
      <c r="O5793" s="55" t="s">
        <v>178</v>
      </c>
    </row>
    <row r="5794" spans="2:15">
      <c r="B5794" s="20">
        <v>45839</v>
      </c>
      <c r="C5794" s="59">
        <v>40011149</v>
      </c>
      <c r="D5794" s="55" t="s">
        <v>37</v>
      </c>
      <c r="G5794" s="65">
        <v>1640</v>
      </c>
      <c r="H5794" s="56" t="s">
        <v>80</v>
      </c>
      <c r="I5794" s="54">
        <v>8724291246</v>
      </c>
      <c r="J5794" s="56" t="s">
        <v>2978</v>
      </c>
      <c r="K5794" s="56">
        <v>3310</v>
      </c>
      <c r="L5794" s="55" t="s">
        <v>2152</v>
      </c>
      <c r="M5794" s="55" t="s">
        <v>2824</v>
      </c>
      <c r="N5794" s="4" t="s">
        <v>177</v>
      </c>
      <c r="O5794" s="55" t="s">
        <v>178</v>
      </c>
    </row>
    <row r="5795" spans="2:15">
      <c r="B5795" s="20">
        <v>45839</v>
      </c>
      <c r="C5795" s="59">
        <v>50142327</v>
      </c>
      <c r="D5795" s="55" t="s">
        <v>256</v>
      </c>
      <c r="G5795" s="65">
        <v>1906.8</v>
      </c>
      <c r="H5795" s="56" t="s">
        <v>82</v>
      </c>
      <c r="I5795" s="54">
        <v>8724291246</v>
      </c>
      <c r="J5795" s="56" t="s">
        <v>2978</v>
      </c>
      <c r="K5795" s="56">
        <v>3310</v>
      </c>
      <c r="L5795" s="55" t="s">
        <v>2152</v>
      </c>
      <c r="M5795" s="55" t="s">
        <v>2824</v>
      </c>
      <c r="N5795" s="4" t="s">
        <v>177</v>
      </c>
      <c r="O5795" s="55" t="s">
        <v>178</v>
      </c>
    </row>
    <row r="5796" spans="2:15">
      <c r="B5796" s="20">
        <v>45839</v>
      </c>
      <c r="C5796" s="59">
        <v>50142334</v>
      </c>
      <c r="D5796" s="55" t="s">
        <v>257</v>
      </c>
      <c r="G5796" s="65">
        <v>1430.1</v>
      </c>
      <c r="H5796" s="56" t="s">
        <v>82</v>
      </c>
      <c r="I5796" s="54">
        <v>8724291246</v>
      </c>
      <c r="J5796" s="56" t="s">
        <v>2978</v>
      </c>
      <c r="K5796" s="56">
        <v>3310</v>
      </c>
      <c r="L5796" s="55" t="s">
        <v>2152</v>
      </c>
      <c r="M5796" s="55" t="s">
        <v>2824</v>
      </c>
      <c r="N5796" s="4" t="s">
        <v>177</v>
      </c>
      <c r="O5796" s="55" t="s">
        <v>178</v>
      </c>
    </row>
    <row r="5797" spans="2:15">
      <c r="B5797" s="20">
        <v>45839</v>
      </c>
      <c r="C5797" s="59">
        <v>40014675</v>
      </c>
      <c r="D5797" s="55" t="s">
        <v>44</v>
      </c>
      <c r="G5797" s="65">
        <v>37.44</v>
      </c>
      <c r="H5797" s="56" t="s">
        <v>80</v>
      </c>
      <c r="I5797" s="54">
        <v>8724291802</v>
      </c>
      <c r="J5797" s="56" t="s">
        <v>2978</v>
      </c>
      <c r="K5797" s="56">
        <v>397</v>
      </c>
      <c r="L5797" s="55" t="s">
        <v>2876</v>
      </c>
      <c r="M5797" s="55" t="s">
        <v>2824</v>
      </c>
      <c r="O5797" s="55" t="s">
        <v>178</v>
      </c>
    </row>
    <row r="5798" spans="2:15">
      <c r="B5798" s="20">
        <v>45839</v>
      </c>
      <c r="C5798" s="59">
        <v>40014675</v>
      </c>
      <c r="D5798" s="55" t="s">
        <v>44</v>
      </c>
      <c r="G5798" s="65">
        <v>37.44</v>
      </c>
      <c r="H5798" s="56" t="s">
        <v>80</v>
      </c>
      <c r="I5798" s="54">
        <v>8724291854</v>
      </c>
      <c r="J5798" s="56" t="s">
        <v>2978</v>
      </c>
      <c r="K5798" s="56">
        <v>398</v>
      </c>
      <c r="L5798" s="55" t="s">
        <v>2876</v>
      </c>
      <c r="M5798" s="55" t="s">
        <v>2824</v>
      </c>
      <c r="O5798" s="55" t="s">
        <v>178</v>
      </c>
    </row>
    <row r="5799" spans="2:15">
      <c r="B5799" s="20">
        <v>45839</v>
      </c>
      <c r="C5799" s="59">
        <v>40014675</v>
      </c>
      <c r="D5799" s="55" t="s">
        <v>44</v>
      </c>
      <c r="G5799" s="65">
        <v>37.44</v>
      </c>
      <c r="H5799" s="56" t="s">
        <v>80</v>
      </c>
      <c r="I5799" s="54">
        <v>8724291863</v>
      </c>
      <c r="J5799" s="56" t="s">
        <v>2978</v>
      </c>
      <c r="K5799" s="56">
        <v>399</v>
      </c>
      <c r="L5799" s="55" t="s">
        <v>2876</v>
      </c>
      <c r="M5799" s="55" t="s">
        <v>2824</v>
      </c>
      <c r="O5799" s="55" t="s">
        <v>178</v>
      </c>
    </row>
    <row r="5800" spans="2:15">
      <c r="B5800" s="20">
        <v>45839</v>
      </c>
      <c r="C5800" s="59">
        <v>40014675</v>
      </c>
      <c r="D5800" s="55" t="s">
        <v>44</v>
      </c>
      <c r="G5800" s="65">
        <v>37.44</v>
      </c>
      <c r="H5800" s="56" t="s">
        <v>80</v>
      </c>
      <c r="I5800" s="54">
        <v>8724291904</v>
      </c>
      <c r="J5800" s="56" t="s">
        <v>2978</v>
      </c>
      <c r="K5800" s="56">
        <v>400</v>
      </c>
      <c r="L5800" s="55" t="s">
        <v>2876</v>
      </c>
      <c r="M5800" s="55" t="s">
        <v>2824</v>
      </c>
      <c r="O5800" s="55" t="s">
        <v>178</v>
      </c>
    </row>
    <row r="5801" spans="2:15">
      <c r="B5801" s="20">
        <v>45839</v>
      </c>
      <c r="C5801" s="59">
        <v>40014675</v>
      </c>
      <c r="D5801" s="55" t="s">
        <v>44</v>
      </c>
      <c r="G5801" s="65">
        <v>37.44</v>
      </c>
      <c r="H5801" s="56" t="s">
        <v>80</v>
      </c>
      <c r="I5801" s="54">
        <v>8724291905</v>
      </c>
      <c r="J5801" s="56" t="s">
        <v>2978</v>
      </c>
      <c r="K5801" s="56">
        <v>401</v>
      </c>
      <c r="L5801" s="55" t="s">
        <v>2876</v>
      </c>
      <c r="M5801" s="55" t="s">
        <v>2824</v>
      </c>
      <c r="O5801" s="55" t="s">
        <v>178</v>
      </c>
    </row>
    <row r="5802" spans="2:15">
      <c r="B5802" s="20">
        <v>45839</v>
      </c>
      <c r="C5802" s="59">
        <v>40014675</v>
      </c>
      <c r="D5802" s="55" t="s">
        <v>44</v>
      </c>
      <c r="G5802" s="65">
        <v>37.44</v>
      </c>
      <c r="H5802" s="56" t="s">
        <v>80</v>
      </c>
      <c r="I5802" s="54">
        <v>8724291906</v>
      </c>
      <c r="J5802" s="56" t="s">
        <v>2978</v>
      </c>
      <c r="K5802" s="56">
        <v>402</v>
      </c>
      <c r="L5802" s="55" t="s">
        <v>2876</v>
      </c>
      <c r="M5802" s="55" t="s">
        <v>2824</v>
      </c>
      <c r="O5802" s="55" t="s">
        <v>178</v>
      </c>
    </row>
    <row r="5803" spans="2:15">
      <c r="B5803" s="20">
        <v>45839</v>
      </c>
      <c r="C5803" s="59">
        <v>50145028</v>
      </c>
      <c r="D5803" s="55" t="s">
        <v>23</v>
      </c>
      <c r="G5803" s="65">
        <v>192</v>
      </c>
      <c r="H5803" s="56" t="s">
        <v>92</v>
      </c>
      <c r="I5803" s="54" t="s">
        <v>2874</v>
      </c>
      <c r="J5803" s="56" t="s">
        <v>2978</v>
      </c>
      <c r="K5803" s="56">
        <v>3311</v>
      </c>
      <c r="L5803" s="55" t="s">
        <v>326</v>
      </c>
      <c r="M5803" s="55" t="s">
        <v>2918</v>
      </c>
      <c r="O5803" s="55" t="s">
        <v>178</v>
      </c>
    </row>
    <row r="5804" spans="2:15">
      <c r="B5804" s="20">
        <v>45840</v>
      </c>
      <c r="C5804" s="59">
        <v>50144376</v>
      </c>
      <c r="D5804" s="55" t="s">
        <v>19</v>
      </c>
      <c r="E5804" s="67">
        <f>G5804/250</f>
        <v>22</v>
      </c>
      <c r="G5804" s="65">
        <v>5500</v>
      </c>
      <c r="H5804" s="56" t="s">
        <v>92</v>
      </c>
      <c r="I5804" s="54">
        <v>8724406327</v>
      </c>
      <c r="J5804" s="56" t="s">
        <v>2978</v>
      </c>
      <c r="K5804" s="56">
        <v>3312</v>
      </c>
      <c r="L5804" s="55" t="s">
        <v>2152</v>
      </c>
      <c r="M5804" s="55" t="s">
        <v>2824</v>
      </c>
      <c r="N5804" s="4" t="s">
        <v>1905</v>
      </c>
      <c r="O5804" s="55" t="s">
        <v>178</v>
      </c>
    </row>
    <row r="5805" spans="2:15">
      <c r="B5805" s="20">
        <v>45840</v>
      </c>
      <c r="C5805" s="59">
        <v>50272278</v>
      </c>
      <c r="D5805" s="55" t="s">
        <v>21</v>
      </c>
      <c r="E5805" s="67">
        <f>G5805/250</f>
        <v>22</v>
      </c>
      <c r="G5805" s="65">
        <v>5500</v>
      </c>
      <c r="H5805" s="56" t="s">
        <v>92</v>
      </c>
      <c r="I5805" s="54">
        <v>8724406327</v>
      </c>
      <c r="J5805" s="56" t="s">
        <v>2978</v>
      </c>
      <c r="K5805" s="56">
        <v>3312</v>
      </c>
      <c r="L5805" s="55" t="s">
        <v>2152</v>
      </c>
      <c r="M5805" s="55" t="s">
        <v>2824</v>
      </c>
      <c r="N5805" s="4" t="s">
        <v>1905</v>
      </c>
      <c r="O5805" s="55" t="s">
        <v>178</v>
      </c>
    </row>
    <row r="5806" spans="2:15">
      <c r="B5806" s="20">
        <v>45840</v>
      </c>
      <c r="C5806" s="59">
        <v>50470190</v>
      </c>
      <c r="D5806" s="55" t="s">
        <v>12</v>
      </c>
      <c r="G5806" s="65">
        <v>5216400</v>
      </c>
      <c r="H5806" s="56" t="s">
        <v>92</v>
      </c>
      <c r="I5806" s="54">
        <v>8724406329</v>
      </c>
      <c r="J5806" s="56" t="s">
        <v>2978</v>
      </c>
      <c r="K5806" s="56">
        <v>3313</v>
      </c>
      <c r="L5806" s="55" t="s">
        <v>2152</v>
      </c>
      <c r="M5806" s="55" t="s">
        <v>2824</v>
      </c>
      <c r="N5806" s="4" t="s">
        <v>1905</v>
      </c>
      <c r="O5806" s="55" t="s">
        <v>178</v>
      </c>
    </row>
    <row r="5807" spans="2:15">
      <c r="B5807" s="20">
        <v>45840</v>
      </c>
      <c r="C5807" s="59">
        <v>40014675</v>
      </c>
      <c r="D5807" s="55" t="s">
        <v>44</v>
      </c>
      <c r="G5807" s="65">
        <v>34.56</v>
      </c>
      <c r="H5807" s="56" t="s">
        <v>80</v>
      </c>
      <c r="I5807" s="54">
        <v>8724406330</v>
      </c>
      <c r="J5807" s="56" t="s">
        <v>2978</v>
      </c>
      <c r="K5807" s="56">
        <v>403</v>
      </c>
      <c r="L5807" s="55" t="s">
        <v>392</v>
      </c>
      <c r="M5807" s="55" t="s">
        <v>2824</v>
      </c>
      <c r="N5807" s="4" t="s">
        <v>3027</v>
      </c>
      <c r="O5807" s="55" t="s">
        <v>178</v>
      </c>
    </row>
    <row r="5808" spans="2:15">
      <c r="B5808" s="20">
        <v>45840</v>
      </c>
      <c r="C5808" s="59">
        <v>40014675</v>
      </c>
      <c r="D5808" s="55" t="s">
        <v>44</v>
      </c>
      <c r="G5808" s="65">
        <v>34.56</v>
      </c>
      <c r="H5808" s="56" t="s">
        <v>80</v>
      </c>
      <c r="I5808" s="54">
        <v>8724406331</v>
      </c>
      <c r="J5808" s="56" t="s">
        <v>2978</v>
      </c>
      <c r="K5808" s="56">
        <v>404</v>
      </c>
      <c r="L5808" s="55" t="s">
        <v>2152</v>
      </c>
      <c r="M5808" s="55" t="s">
        <v>2824</v>
      </c>
      <c r="N5808" s="4" t="s">
        <v>177</v>
      </c>
      <c r="O5808" s="55" t="s">
        <v>178</v>
      </c>
    </row>
    <row r="5809" spans="2:15">
      <c r="B5809" s="20">
        <v>45840</v>
      </c>
      <c r="C5809" s="59">
        <v>40014675</v>
      </c>
      <c r="D5809" s="55" t="s">
        <v>44</v>
      </c>
      <c r="G5809" s="65">
        <v>34.56</v>
      </c>
      <c r="H5809" s="56" t="s">
        <v>80</v>
      </c>
      <c r="I5809" s="54">
        <v>8724406332</v>
      </c>
      <c r="J5809" s="56" t="s">
        <v>2978</v>
      </c>
      <c r="K5809" s="56">
        <v>405</v>
      </c>
      <c r="L5809" s="55" t="s">
        <v>392</v>
      </c>
      <c r="M5809" s="55" t="s">
        <v>2824</v>
      </c>
      <c r="N5809" s="4" t="s">
        <v>3027</v>
      </c>
      <c r="O5809" s="55" t="s">
        <v>178</v>
      </c>
    </row>
    <row r="5810" spans="2:15">
      <c r="B5810" s="20">
        <v>45840</v>
      </c>
      <c r="C5810" s="59">
        <v>40014675</v>
      </c>
      <c r="D5810" s="55" t="s">
        <v>44</v>
      </c>
      <c r="G5810" s="65">
        <v>34.56</v>
      </c>
      <c r="H5810" s="56" t="s">
        <v>80</v>
      </c>
      <c r="I5810" s="54">
        <v>8724406333</v>
      </c>
      <c r="J5810" s="56" t="s">
        <v>2978</v>
      </c>
      <c r="K5810" s="56">
        <v>406</v>
      </c>
      <c r="L5810" s="55" t="s">
        <v>2152</v>
      </c>
      <c r="M5810" s="55" t="s">
        <v>2824</v>
      </c>
      <c r="N5810" s="4" t="s">
        <v>177</v>
      </c>
      <c r="O5810" s="55" t="s">
        <v>178</v>
      </c>
    </row>
    <row r="5811" spans="2:15">
      <c r="B5811" s="20">
        <v>45840</v>
      </c>
      <c r="C5811" s="59">
        <v>40014675</v>
      </c>
      <c r="D5811" s="55" t="s">
        <v>44</v>
      </c>
      <c r="G5811" s="65">
        <v>34.56</v>
      </c>
      <c r="H5811" s="56" t="s">
        <v>80</v>
      </c>
      <c r="I5811" s="54">
        <v>8724406364</v>
      </c>
      <c r="J5811" s="56" t="s">
        <v>2978</v>
      </c>
      <c r="K5811" s="56">
        <v>407</v>
      </c>
      <c r="L5811" s="55" t="s">
        <v>392</v>
      </c>
      <c r="M5811" s="55" t="s">
        <v>2824</v>
      </c>
      <c r="N5811" s="4" t="s">
        <v>3027</v>
      </c>
      <c r="O5811" s="55" t="s">
        <v>178</v>
      </c>
    </row>
    <row r="5812" spans="2:15">
      <c r="B5812" s="20">
        <v>45841</v>
      </c>
      <c r="C5812" s="59">
        <v>50142328</v>
      </c>
      <c r="D5812" s="55" t="s">
        <v>1591</v>
      </c>
      <c r="G5812" s="65">
        <v>3000</v>
      </c>
      <c r="H5812" s="56" t="s">
        <v>82</v>
      </c>
      <c r="I5812" s="54">
        <v>8724511007</v>
      </c>
      <c r="J5812" s="56" t="s">
        <v>2978</v>
      </c>
      <c r="K5812" s="56">
        <v>3315</v>
      </c>
      <c r="L5812" s="55" t="s">
        <v>2152</v>
      </c>
      <c r="M5812" s="55" t="s">
        <v>2824</v>
      </c>
      <c r="N5812" s="4" t="s">
        <v>1905</v>
      </c>
      <c r="O5812" s="55" t="s">
        <v>178</v>
      </c>
    </row>
    <row r="5813" spans="2:15">
      <c r="B5813" s="20">
        <v>45841</v>
      </c>
      <c r="C5813" s="59">
        <v>50142262</v>
      </c>
      <c r="D5813" s="55" t="s">
        <v>779</v>
      </c>
      <c r="G5813" s="65">
        <v>183</v>
      </c>
      <c r="H5813" s="56" t="s">
        <v>82</v>
      </c>
      <c r="I5813" s="54">
        <v>8725418922</v>
      </c>
      <c r="J5813" s="56" t="s">
        <v>2978</v>
      </c>
      <c r="K5813" s="56">
        <v>3315</v>
      </c>
      <c r="L5813" s="55" t="s">
        <v>2152</v>
      </c>
      <c r="M5813" s="55" t="s">
        <v>2824</v>
      </c>
      <c r="N5813" s="4" t="s">
        <v>1905</v>
      </c>
      <c r="O5813" s="55" t="s">
        <v>178</v>
      </c>
    </row>
    <row r="5814" spans="2:15">
      <c r="B5814" s="20">
        <v>45841</v>
      </c>
      <c r="C5814" s="59">
        <v>50144376</v>
      </c>
      <c r="D5814" s="55" t="s">
        <v>19</v>
      </c>
      <c r="E5814" s="67">
        <f>G5814/250</f>
        <v>34</v>
      </c>
      <c r="G5814" s="65">
        <v>8500</v>
      </c>
      <c r="H5814" s="56" t="s">
        <v>92</v>
      </c>
      <c r="I5814" s="54">
        <v>8724511007</v>
      </c>
      <c r="J5814" s="56" t="s">
        <v>2978</v>
      </c>
      <c r="K5814" s="56">
        <v>3315</v>
      </c>
      <c r="L5814" s="55" t="s">
        <v>2152</v>
      </c>
      <c r="M5814" s="55" t="s">
        <v>2824</v>
      </c>
      <c r="N5814" s="4" t="s">
        <v>1905</v>
      </c>
      <c r="O5814" s="55" t="s">
        <v>178</v>
      </c>
    </row>
    <row r="5815" spans="2:15">
      <c r="B5815" s="20">
        <v>45841</v>
      </c>
      <c r="C5815" s="59">
        <v>40011659</v>
      </c>
      <c r="D5815" s="55" t="s">
        <v>89</v>
      </c>
      <c r="G5815" s="65">
        <v>360</v>
      </c>
      <c r="H5815" s="56" t="s">
        <v>80</v>
      </c>
      <c r="I5815" s="54">
        <v>8724511007</v>
      </c>
      <c r="J5815" s="56" t="s">
        <v>2978</v>
      </c>
      <c r="K5815" s="56">
        <v>3315</v>
      </c>
      <c r="L5815" s="55" t="s">
        <v>2152</v>
      </c>
      <c r="M5815" s="55" t="s">
        <v>2824</v>
      </c>
      <c r="N5815" s="4" t="s">
        <v>1905</v>
      </c>
      <c r="O5815" s="55" t="s">
        <v>178</v>
      </c>
    </row>
    <row r="5816" spans="2:15">
      <c r="B5816" s="20">
        <v>45841</v>
      </c>
      <c r="C5816" s="59">
        <v>50145028</v>
      </c>
      <c r="D5816" s="55" t="s">
        <v>23</v>
      </c>
      <c r="G5816" s="65">
        <v>192</v>
      </c>
      <c r="H5816" s="56" t="s">
        <v>92</v>
      </c>
      <c r="I5816" s="54" t="s">
        <v>2874</v>
      </c>
      <c r="J5816" s="56" t="s">
        <v>2978</v>
      </c>
      <c r="K5816" s="56">
        <v>3316</v>
      </c>
      <c r="L5816" s="55" t="s">
        <v>392</v>
      </c>
      <c r="M5816" s="55" t="s">
        <v>392</v>
      </c>
      <c r="O5816" s="55" t="s">
        <v>178</v>
      </c>
    </row>
    <row r="5817" spans="2:15">
      <c r="B5817" s="20">
        <v>45841</v>
      </c>
      <c r="C5817" s="59">
        <v>40014675</v>
      </c>
      <c r="D5817" s="55" t="s">
        <v>44</v>
      </c>
      <c r="G5817" s="65">
        <v>37.44</v>
      </c>
      <c r="H5817" s="56" t="s">
        <v>80</v>
      </c>
      <c r="I5817" s="54">
        <v>8724511009</v>
      </c>
      <c r="J5817" s="56" t="s">
        <v>2978</v>
      </c>
      <c r="K5817" s="56">
        <v>408</v>
      </c>
      <c r="L5817" s="55" t="s">
        <v>2876</v>
      </c>
      <c r="M5817" s="55" t="s">
        <v>2824</v>
      </c>
      <c r="O5817" s="55" t="s">
        <v>178</v>
      </c>
    </row>
    <row r="5818" spans="2:15">
      <c r="B5818" s="20">
        <v>45841</v>
      </c>
      <c r="C5818" s="59">
        <v>40014675</v>
      </c>
      <c r="D5818" s="55" t="s">
        <v>44</v>
      </c>
      <c r="G5818" s="65">
        <v>37.44</v>
      </c>
      <c r="H5818" s="56" t="s">
        <v>80</v>
      </c>
      <c r="I5818" s="54">
        <v>8724511034</v>
      </c>
      <c r="J5818" s="56" t="s">
        <v>2978</v>
      </c>
      <c r="K5818" s="56">
        <v>409</v>
      </c>
      <c r="L5818" s="55" t="s">
        <v>2876</v>
      </c>
      <c r="M5818" s="55" t="s">
        <v>2824</v>
      </c>
      <c r="O5818" s="55" t="s">
        <v>178</v>
      </c>
    </row>
    <row r="5819" spans="2:15">
      <c r="B5819" s="20">
        <v>45841</v>
      </c>
      <c r="C5819" s="59">
        <v>40014675</v>
      </c>
      <c r="D5819" s="55" t="s">
        <v>44</v>
      </c>
      <c r="G5819" s="65">
        <v>37.44</v>
      </c>
      <c r="H5819" s="56" t="s">
        <v>80</v>
      </c>
      <c r="I5819" s="54">
        <v>8724511040</v>
      </c>
      <c r="J5819" s="56" t="s">
        <v>2978</v>
      </c>
      <c r="K5819" s="56">
        <v>410</v>
      </c>
      <c r="L5819" s="55" t="s">
        <v>2876</v>
      </c>
      <c r="M5819" s="55" t="s">
        <v>2824</v>
      </c>
      <c r="O5819" s="55" t="s">
        <v>178</v>
      </c>
    </row>
    <row r="5820" spans="2:15">
      <c r="B5820" s="20">
        <v>45841</v>
      </c>
      <c r="C5820" s="59">
        <v>40014675</v>
      </c>
      <c r="D5820" s="55" t="s">
        <v>44</v>
      </c>
      <c r="G5820" s="65">
        <v>37.44</v>
      </c>
      <c r="H5820" s="56" t="s">
        <v>80</v>
      </c>
      <c r="I5820" s="54">
        <v>8724511074</v>
      </c>
      <c r="J5820" s="56" t="s">
        <v>2978</v>
      </c>
      <c r="K5820" s="56">
        <v>411</v>
      </c>
      <c r="L5820" s="55" t="s">
        <v>2876</v>
      </c>
      <c r="M5820" s="55" t="s">
        <v>2824</v>
      </c>
      <c r="O5820" s="55" t="s">
        <v>178</v>
      </c>
    </row>
    <row r="5821" spans="2:15">
      <c r="B5821" s="20">
        <v>45841</v>
      </c>
      <c r="C5821" s="59">
        <v>40014675</v>
      </c>
      <c r="D5821" s="55" t="s">
        <v>44</v>
      </c>
      <c r="G5821" s="65">
        <v>37.44</v>
      </c>
      <c r="H5821" s="56" t="s">
        <v>80</v>
      </c>
      <c r="I5821" s="54">
        <v>8724511076</v>
      </c>
      <c r="J5821" s="56" t="s">
        <v>2978</v>
      </c>
      <c r="K5821" s="56">
        <v>412</v>
      </c>
      <c r="L5821" s="55" t="s">
        <v>2876</v>
      </c>
      <c r="M5821" s="55" t="s">
        <v>2824</v>
      </c>
      <c r="O5821" s="55" t="s">
        <v>178</v>
      </c>
    </row>
    <row r="5822" spans="2:15">
      <c r="B5822" s="20">
        <v>45841</v>
      </c>
      <c r="C5822" s="59">
        <v>40014675</v>
      </c>
      <c r="D5822" s="55" t="s">
        <v>44</v>
      </c>
      <c r="G5822" s="65">
        <v>37.44</v>
      </c>
      <c r="H5822" s="56" t="s">
        <v>80</v>
      </c>
      <c r="I5822" s="54">
        <v>8724511132</v>
      </c>
      <c r="J5822" s="56" t="s">
        <v>2978</v>
      </c>
      <c r="K5822" s="56">
        <v>413</v>
      </c>
      <c r="L5822" s="55" t="s">
        <v>2876</v>
      </c>
      <c r="M5822" s="55" t="s">
        <v>2824</v>
      </c>
      <c r="O5822" s="55" t="s">
        <v>178</v>
      </c>
    </row>
    <row r="5823" spans="2:15">
      <c r="B5823" s="20">
        <v>45842</v>
      </c>
      <c r="C5823" s="59">
        <v>50272278</v>
      </c>
      <c r="D5823" s="55" t="s">
        <v>21</v>
      </c>
      <c r="E5823" s="67">
        <f>G5823/250</f>
        <v>16</v>
      </c>
      <c r="G5823" s="65">
        <v>4000</v>
      </c>
      <c r="H5823" s="56" t="s">
        <v>92</v>
      </c>
      <c r="I5823" s="54">
        <v>8724889102</v>
      </c>
      <c r="J5823" s="56" t="s">
        <v>2978</v>
      </c>
      <c r="K5823" s="56">
        <v>3317</v>
      </c>
      <c r="L5823" s="55" t="s">
        <v>2152</v>
      </c>
      <c r="M5823" s="55" t="s">
        <v>2824</v>
      </c>
      <c r="N5823" s="4" t="s">
        <v>1905</v>
      </c>
      <c r="O5823" s="55" t="s">
        <v>178</v>
      </c>
    </row>
    <row r="5824" spans="2:15">
      <c r="B5824" s="20">
        <v>45842</v>
      </c>
      <c r="C5824" s="59">
        <v>50793278</v>
      </c>
      <c r="D5824" s="55" t="s">
        <v>1086</v>
      </c>
      <c r="G5824" s="65">
        <v>100</v>
      </c>
      <c r="H5824" s="56" t="s">
        <v>1087</v>
      </c>
      <c r="I5824" s="54">
        <v>8725273892</v>
      </c>
      <c r="J5824" s="56" t="s">
        <v>2978</v>
      </c>
      <c r="K5824" s="56">
        <v>3317</v>
      </c>
      <c r="L5824" s="55" t="s">
        <v>2152</v>
      </c>
      <c r="M5824" s="55" t="s">
        <v>2824</v>
      </c>
      <c r="N5824" s="4" t="s">
        <v>1905</v>
      </c>
      <c r="O5824" s="55" t="s">
        <v>178</v>
      </c>
    </row>
    <row r="5825" spans="2:15">
      <c r="B5825" s="20">
        <v>45842</v>
      </c>
      <c r="C5825" s="59">
        <v>50470190</v>
      </c>
      <c r="D5825" s="55" t="s">
        <v>12</v>
      </c>
      <c r="G5825" s="65">
        <v>1159200</v>
      </c>
      <c r="H5825" s="56" t="s">
        <v>92</v>
      </c>
      <c r="I5825" s="54">
        <v>8724645415</v>
      </c>
      <c r="J5825" s="56" t="s">
        <v>2978</v>
      </c>
      <c r="K5825" s="56">
        <v>3317</v>
      </c>
      <c r="L5825" s="55" t="s">
        <v>2152</v>
      </c>
      <c r="M5825" s="55" t="s">
        <v>2824</v>
      </c>
      <c r="N5825" s="4" t="s">
        <v>1905</v>
      </c>
      <c r="O5825" s="55" t="s">
        <v>178</v>
      </c>
    </row>
    <row r="5826" spans="2:15">
      <c r="B5826" s="20">
        <v>45842</v>
      </c>
      <c r="C5826" s="59">
        <v>40014675</v>
      </c>
      <c r="D5826" s="55" t="s">
        <v>44</v>
      </c>
      <c r="G5826" s="65">
        <v>34.56</v>
      </c>
      <c r="H5826" s="56" t="s">
        <v>80</v>
      </c>
      <c r="I5826" s="54">
        <v>8724886365</v>
      </c>
      <c r="J5826" s="56" t="s">
        <v>2978</v>
      </c>
      <c r="K5826" s="56">
        <v>414</v>
      </c>
      <c r="L5826" s="55" t="s">
        <v>2152</v>
      </c>
      <c r="M5826" s="55" t="s">
        <v>2824</v>
      </c>
      <c r="N5826" s="4" t="s">
        <v>177</v>
      </c>
      <c r="O5826" s="55" t="s">
        <v>178</v>
      </c>
    </row>
    <row r="5827" spans="2:15">
      <c r="B5827" s="20">
        <v>45842</v>
      </c>
      <c r="C5827" s="59">
        <v>40014675</v>
      </c>
      <c r="D5827" s="55" t="s">
        <v>44</v>
      </c>
      <c r="G5827" s="65">
        <v>37.44</v>
      </c>
      <c r="H5827" s="56" t="s">
        <v>80</v>
      </c>
      <c r="I5827" s="54">
        <v>8724886368</v>
      </c>
      <c r="J5827" s="56" t="s">
        <v>2978</v>
      </c>
      <c r="K5827" s="56">
        <v>415</v>
      </c>
      <c r="L5827" s="55" t="s">
        <v>2876</v>
      </c>
      <c r="M5827" s="55" t="s">
        <v>2824</v>
      </c>
      <c r="O5827" s="55" t="s">
        <v>178</v>
      </c>
    </row>
    <row r="5828" spans="2:15">
      <c r="B5828" s="20">
        <v>45842</v>
      </c>
      <c r="C5828" s="59">
        <v>40014675</v>
      </c>
      <c r="D5828" s="55" t="s">
        <v>44</v>
      </c>
      <c r="G5828" s="65">
        <v>37.44</v>
      </c>
      <c r="H5828" s="56" t="s">
        <v>80</v>
      </c>
      <c r="I5828" s="54">
        <v>8724886371</v>
      </c>
      <c r="J5828" s="56" t="s">
        <v>2978</v>
      </c>
      <c r="K5828" s="56">
        <v>416</v>
      </c>
      <c r="L5828" s="55" t="s">
        <v>2876</v>
      </c>
      <c r="M5828" s="55" t="s">
        <v>2824</v>
      </c>
      <c r="O5828" s="55" t="s">
        <v>178</v>
      </c>
    </row>
    <row r="5829" spans="2:15">
      <c r="B5829" s="20">
        <v>45842</v>
      </c>
      <c r="C5829" s="59">
        <v>40014675</v>
      </c>
      <c r="D5829" s="55" t="s">
        <v>44</v>
      </c>
      <c r="G5829" s="65">
        <v>37.44</v>
      </c>
      <c r="H5829" s="56" t="s">
        <v>80</v>
      </c>
      <c r="I5829" s="54">
        <v>8724886372</v>
      </c>
      <c r="J5829" s="56" t="s">
        <v>2978</v>
      </c>
      <c r="K5829" s="56">
        <v>417</v>
      </c>
      <c r="L5829" s="55" t="s">
        <v>2876</v>
      </c>
      <c r="M5829" s="55" t="s">
        <v>2824</v>
      </c>
      <c r="O5829" s="55" t="s">
        <v>178</v>
      </c>
    </row>
    <row r="5830" spans="2:15">
      <c r="B5830" s="20">
        <v>45842</v>
      </c>
      <c r="C5830" s="59">
        <v>40014675</v>
      </c>
      <c r="D5830" s="55" t="s">
        <v>44</v>
      </c>
      <c r="G5830" s="65">
        <v>34.56</v>
      </c>
      <c r="H5830" s="56" t="s">
        <v>80</v>
      </c>
      <c r="I5830" s="54">
        <v>8724886566</v>
      </c>
      <c r="J5830" s="56" t="s">
        <v>2978</v>
      </c>
      <c r="K5830" s="56">
        <v>418</v>
      </c>
      <c r="L5830" s="55" t="s">
        <v>2152</v>
      </c>
      <c r="M5830" s="55" t="s">
        <v>2824</v>
      </c>
      <c r="N5830" s="4" t="s">
        <v>177</v>
      </c>
      <c r="O5830" s="55" t="s">
        <v>178</v>
      </c>
    </row>
    <row r="5831" spans="2:15">
      <c r="B5831" s="20">
        <v>45842</v>
      </c>
      <c r="C5831" s="59">
        <v>40014675</v>
      </c>
      <c r="D5831" s="55" t="s">
        <v>44</v>
      </c>
      <c r="G5831" s="65">
        <v>34.56</v>
      </c>
      <c r="H5831" s="56" t="s">
        <v>80</v>
      </c>
      <c r="I5831" s="54">
        <v>8724886568</v>
      </c>
      <c r="J5831" s="56" t="s">
        <v>2978</v>
      </c>
      <c r="K5831" s="56">
        <v>419</v>
      </c>
      <c r="L5831" s="55" t="s">
        <v>392</v>
      </c>
      <c r="M5831" s="55" t="s">
        <v>2824</v>
      </c>
      <c r="N5831" s="4" t="s">
        <v>3027</v>
      </c>
      <c r="O5831" s="55" t="s">
        <v>178</v>
      </c>
    </row>
    <row r="5832" spans="2:15">
      <c r="B5832" s="20">
        <v>45842</v>
      </c>
      <c r="C5832" s="59">
        <v>40014675</v>
      </c>
      <c r="D5832" s="55" t="s">
        <v>44</v>
      </c>
      <c r="F5832" s="67">
        <v>34.56</v>
      </c>
      <c r="G5832" s="65">
        <v>34.56</v>
      </c>
      <c r="H5832" s="56" t="s">
        <v>80</v>
      </c>
      <c r="I5832" s="54">
        <v>8724886569</v>
      </c>
      <c r="J5832" s="56" t="s">
        <v>2978</v>
      </c>
      <c r="K5832" s="56">
        <v>420</v>
      </c>
      <c r="L5832" s="55" t="s">
        <v>392</v>
      </c>
      <c r="M5832" s="55" t="s">
        <v>2824</v>
      </c>
      <c r="N5832" s="4" t="s">
        <v>3027</v>
      </c>
      <c r="O5832" s="55" t="s">
        <v>178</v>
      </c>
    </row>
    <row r="5833" spans="2:15">
      <c r="B5833" s="20">
        <v>45842</v>
      </c>
      <c r="C5833" s="59">
        <v>40014675</v>
      </c>
      <c r="D5833" s="55" t="s">
        <v>44</v>
      </c>
      <c r="F5833" s="67">
        <v>34.56</v>
      </c>
      <c r="G5833" s="65">
        <v>34.56</v>
      </c>
      <c r="H5833" s="56" t="s">
        <v>80</v>
      </c>
      <c r="I5833" s="54">
        <v>8724886570</v>
      </c>
      <c r="J5833" s="56" t="s">
        <v>2978</v>
      </c>
      <c r="K5833" s="56">
        <v>421</v>
      </c>
      <c r="L5833" s="55" t="s">
        <v>392</v>
      </c>
      <c r="M5833" s="55" t="s">
        <v>2824</v>
      </c>
      <c r="N5833" s="4" t="s">
        <v>3027</v>
      </c>
      <c r="O5833" s="55" t="s">
        <v>178</v>
      </c>
    </row>
    <row r="5834" spans="2:15">
      <c r="B5834" s="20">
        <v>45843</v>
      </c>
      <c r="C5834" s="59">
        <v>40014675</v>
      </c>
      <c r="D5834" s="55" t="s">
        <v>44</v>
      </c>
      <c r="G5834" s="65">
        <v>37.44</v>
      </c>
      <c r="H5834" s="56" t="s">
        <v>80</v>
      </c>
      <c r="I5834" s="54">
        <v>8724886571</v>
      </c>
      <c r="J5834" s="56" t="s">
        <v>2978</v>
      </c>
      <c r="K5834" s="56">
        <v>422</v>
      </c>
      <c r="L5834" s="55" t="s">
        <v>2876</v>
      </c>
      <c r="M5834" s="55" t="s">
        <v>2824</v>
      </c>
      <c r="O5834" s="55" t="s">
        <v>178</v>
      </c>
    </row>
    <row r="5835" spans="2:15">
      <c r="B5835" s="20">
        <v>45843</v>
      </c>
      <c r="C5835" s="59">
        <v>40014675</v>
      </c>
      <c r="D5835" s="55" t="s">
        <v>44</v>
      </c>
      <c r="G5835" s="65">
        <v>37.44</v>
      </c>
      <c r="H5835" s="56" t="s">
        <v>80</v>
      </c>
      <c r="I5835" s="54">
        <v>8724886572</v>
      </c>
      <c r="J5835" s="56" t="s">
        <v>2978</v>
      </c>
      <c r="K5835" s="56">
        <v>423</v>
      </c>
      <c r="L5835" s="55" t="s">
        <v>2876</v>
      </c>
      <c r="M5835" s="55" t="s">
        <v>2824</v>
      </c>
      <c r="O5835" s="55" t="s">
        <v>178</v>
      </c>
    </row>
    <row r="5836" spans="2:15">
      <c r="B5836" s="20">
        <v>45843</v>
      </c>
      <c r="C5836" s="59">
        <v>40014675</v>
      </c>
      <c r="D5836" s="55" t="s">
        <v>44</v>
      </c>
      <c r="G5836" s="65">
        <v>37.44</v>
      </c>
      <c r="H5836" s="56" t="s">
        <v>80</v>
      </c>
      <c r="I5836" s="54">
        <v>8724886573</v>
      </c>
      <c r="J5836" s="56" t="s">
        <v>2978</v>
      </c>
      <c r="K5836" s="56">
        <v>424</v>
      </c>
      <c r="L5836" s="55" t="s">
        <v>2876</v>
      </c>
      <c r="M5836" s="55" t="s">
        <v>2824</v>
      </c>
      <c r="O5836" s="55" t="s">
        <v>178</v>
      </c>
    </row>
    <row r="5837" spans="2:15">
      <c r="B5837" s="20">
        <v>45843</v>
      </c>
      <c r="C5837" s="59">
        <v>40014675</v>
      </c>
      <c r="D5837" s="55" t="s">
        <v>44</v>
      </c>
      <c r="G5837" s="65">
        <v>37.44</v>
      </c>
      <c r="H5837" s="56" t="s">
        <v>80</v>
      </c>
      <c r="I5837" s="54">
        <v>8724886604</v>
      </c>
      <c r="J5837" s="56" t="s">
        <v>2978</v>
      </c>
      <c r="K5837" s="56">
        <v>425</v>
      </c>
      <c r="L5837" s="55" t="s">
        <v>2876</v>
      </c>
      <c r="M5837" s="55" t="s">
        <v>2824</v>
      </c>
      <c r="O5837" s="55" t="s">
        <v>178</v>
      </c>
    </row>
    <row r="5838" spans="2:15">
      <c r="B5838" s="20">
        <v>45843</v>
      </c>
      <c r="C5838" s="59">
        <v>40014675</v>
      </c>
      <c r="D5838" s="55" t="s">
        <v>44</v>
      </c>
      <c r="G5838" s="65">
        <v>37.44</v>
      </c>
      <c r="H5838" s="56" t="s">
        <v>80</v>
      </c>
      <c r="I5838" s="54">
        <v>8724886605</v>
      </c>
      <c r="J5838" s="56" t="s">
        <v>2978</v>
      </c>
      <c r="K5838" s="56">
        <v>426</v>
      </c>
      <c r="L5838" s="55" t="s">
        <v>2876</v>
      </c>
      <c r="M5838" s="55" t="s">
        <v>2824</v>
      </c>
      <c r="O5838" s="55" t="s">
        <v>178</v>
      </c>
    </row>
    <row r="5839" spans="2:15">
      <c r="B5839" s="20">
        <v>45843</v>
      </c>
      <c r="C5839" s="59">
        <v>40014675</v>
      </c>
      <c r="D5839" s="55" t="s">
        <v>44</v>
      </c>
      <c r="G5839" s="65">
        <v>37.44</v>
      </c>
      <c r="H5839" s="56" t="s">
        <v>80</v>
      </c>
      <c r="I5839" s="54">
        <v>8724886606</v>
      </c>
      <c r="J5839" s="56" t="s">
        <v>2978</v>
      </c>
      <c r="K5839" s="56">
        <v>427</v>
      </c>
      <c r="L5839" s="55" t="s">
        <v>2876</v>
      </c>
      <c r="M5839" s="55" t="s">
        <v>2824</v>
      </c>
      <c r="O5839" s="55" t="s">
        <v>178</v>
      </c>
    </row>
    <row r="5840" spans="2:15">
      <c r="B5840" s="20">
        <v>45845</v>
      </c>
      <c r="C5840" s="59">
        <v>50397884</v>
      </c>
      <c r="D5840" s="55" t="s">
        <v>1296</v>
      </c>
      <c r="G5840" s="65">
        <v>540</v>
      </c>
      <c r="H5840" s="56" t="s">
        <v>80</v>
      </c>
      <c r="I5840" s="54">
        <v>8724888523</v>
      </c>
      <c r="J5840" s="56" t="s">
        <v>2978</v>
      </c>
      <c r="K5840" s="56">
        <v>3318</v>
      </c>
      <c r="L5840" s="55" t="s">
        <v>2152</v>
      </c>
      <c r="M5840" s="55" t="s">
        <v>2824</v>
      </c>
      <c r="N5840" s="4" t="s">
        <v>1905</v>
      </c>
      <c r="O5840" s="55" t="s">
        <v>178</v>
      </c>
    </row>
    <row r="5841" spans="2:15">
      <c r="B5841" s="20">
        <v>45845</v>
      </c>
      <c r="C5841" s="59">
        <v>50472696</v>
      </c>
      <c r="D5841" s="55" t="s">
        <v>1308</v>
      </c>
      <c r="G5841" s="65">
        <v>1452</v>
      </c>
      <c r="H5841" s="56" t="s">
        <v>80</v>
      </c>
      <c r="I5841" s="54">
        <v>8724888523</v>
      </c>
      <c r="J5841" s="56" t="s">
        <v>2978</v>
      </c>
      <c r="K5841" s="56">
        <v>3318</v>
      </c>
      <c r="L5841" s="55" t="s">
        <v>2152</v>
      </c>
      <c r="M5841" s="55" t="s">
        <v>2824</v>
      </c>
      <c r="N5841" s="4" t="s">
        <v>1905</v>
      </c>
      <c r="O5841" s="55" t="s">
        <v>178</v>
      </c>
    </row>
    <row r="5842" spans="2:15">
      <c r="B5842" s="20">
        <v>45845</v>
      </c>
      <c r="C5842" s="59">
        <v>40007941</v>
      </c>
      <c r="D5842" s="55" t="s">
        <v>211</v>
      </c>
      <c r="G5842" s="65">
        <v>2592</v>
      </c>
      <c r="H5842" s="56" t="s">
        <v>80</v>
      </c>
      <c r="I5842" s="54">
        <v>8724888523</v>
      </c>
      <c r="J5842" s="56" t="s">
        <v>2978</v>
      </c>
      <c r="K5842" s="56">
        <v>3318</v>
      </c>
      <c r="L5842" s="55" t="s">
        <v>2152</v>
      </c>
      <c r="M5842" s="55" t="s">
        <v>2824</v>
      </c>
      <c r="N5842" s="4" t="s">
        <v>1905</v>
      </c>
      <c r="O5842" s="55" t="s">
        <v>178</v>
      </c>
    </row>
    <row r="5843" spans="2:15">
      <c r="B5843" s="20">
        <v>45845</v>
      </c>
      <c r="C5843" s="59">
        <v>50472692</v>
      </c>
      <c r="D5843" s="55" t="s">
        <v>1304</v>
      </c>
      <c r="G5843" s="65">
        <v>1079</v>
      </c>
      <c r="H5843" s="56" t="s">
        <v>80</v>
      </c>
      <c r="I5843" s="54">
        <v>8724888523</v>
      </c>
      <c r="J5843" s="56" t="s">
        <v>2978</v>
      </c>
      <c r="K5843" s="56">
        <v>3318</v>
      </c>
      <c r="L5843" s="55" t="s">
        <v>2152</v>
      </c>
      <c r="M5843" s="55" t="s">
        <v>2824</v>
      </c>
      <c r="N5843" s="4" t="s">
        <v>1905</v>
      </c>
      <c r="O5843" s="55" t="s">
        <v>178</v>
      </c>
    </row>
    <row r="5844" spans="2:15">
      <c r="B5844" s="20">
        <v>45845</v>
      </c>
      <c r="C5844" s="59">
        <v>40011149</v>
      </c>
      <c r="D5844" s="55" t="s">
        <v>37</v>
      </c>
      <c r="G5844" s="65">
        <v>720</v>
      </c>
      <c r="H5844" s="56" t="s">
        <v>80</v>
      </c>
      <c r="I5844" s="54">
        <v>8724888523</v>
      </c>
      <c r="J5844" s="56" t="s">
        <v>2978</v>
      </c>
      <c r="K5844" s="56">
        <v>3318</v>
      </c>
      <c r="L5844" s="55" t="s">
        <v>2152</v>
      </c>
      <c r="M5844" s="55" t="s">
        <v>2824</v>
      </c>
      <c r="N5844" s="4" t="s">
        <v>1905</v>
      </c>
      <c r="O5844" s="55" t="s">
        <v>178</v>
      </c>
    </row>
    <row r="5845" spans="2:15">
      <c r="B5845" s="20">
        <v>45845</v>
      </c>
      <c r="C5845" s="59">
        <v>50337814</v>
      </c>
      <c r="D5845" s="55" t="s">
        <v>669</v>
      </c>
      <c r="G5845" s="65">
        <v>450</v>
      </c>
      <c r="H5845" s="56" t="s">
        <v>80</v>
      </c>
      <c r="I5845" s="54">
        <v>8724888523</v>
      </c>
      <c r="J5845" s="56" t="s">
        <v>2978</v>
      </c>
      <c r="K5845" s="56">
        <v>3318</v>
      </c>
      <c r="L5845" s="55" t="s">
        <v>2152</v>
      </c>
      <c r="M5845" s="55" t="s">
        <v>2824</v>
      </c>
      <c r="N5845" s="4" t="s">
        <v>1905</v>
      </c>
      <c r="O5845" s="55" t="s">
        <v>178</v>
      </c>
    </row>
    <row r="5846" spans="2:15">
      <c r="B5846" s="20">
        <v>45845</v>
      </c>
      <c r="C5846" s="59">
        <v>50470190</v>
      </c>
      <c r="D5846" s="55" t="s">
        <v>12</v>
      </c>
      <c r="G5846" s="65">
        <v>1449000</v>
      </c>
      <c r="H5846" s="56" t="s">
        <v>92</v>
      </c>
      <c r="I5846" s="54">
        <v>8724888523</v>
      </c>
      <c r="J5846" s="56" t="s">
        <v>2978</v>
      </c>
      <c r="K5846" s="56">
        <v>3318</v>
      </c>
      <c r="L5846" s="55" t="s">
        <v>2152</v>
      </c>
      <c r="M5846" s="55" t="s">
        <v>2824</v>
      </c>
      <c r="N5846" s="4" t="s">
        <v>1905</v>
      </c>
      <c r="O5846" s="55" t="s">
        <v>178</v>
      </c>
    </row>
    <row r="5847" spans="2:15">
      <c r="B5847" s="20">
        <v>45845</v>
      </c>
      <c r="C5847" s="59">
        <v>40011659</v>
      </c>
      <c r="D5847" s="55" t="s">
        <v>89</v>
      </c>
      <c r="G5847" s="65">
        <v>180</v>
      </c>
      <c r="H5847" s="56" t="s">
        <v>80</v>
      </c>
      <c r="I5847" s="54">
        <v>8724888523</v>
      </c>
      <c r="J5847" s="56" t="s">
        <v>2978</v>
      </c>
      <c r="K5847" s="56">
        <v>3318</v>
      </c>
      <c r="L5847" s="55" t="s">
        <v>2152</v>
      </c>
      <c r="M5847" s="55" t="s">
        <v>2824</v>
      </c>
      <c r="N5847" s="4" t="s">
        <v>1905</v>
      </c>
      <c r="O5847" s="55" t="s">
        <v>178</v>
      </c>
    </row>
    <row r="5848" spans="2:15">
      <c r="B5848" s="20">
        <v>45845</v>
      </c>
      <c r="C5848" s="59">
        <v>50010080</v>
      </c>
      <c r="D5848" s="55" t="s">
        <v>1657</v>
      </c>
      <c r="G5848" s="65">
        <v>3000</v>
      </c>
      <c r="H5848" s="56" t="s">
        <v>82</v>
      </c>
      <c r="I5848" s="54" t="s">
        <v>2874</v>
      </c>
      <c r="J5848" s="56" t="s">
        <v>2978</v>
      </c>
      <c r="K5848" s="56">
        <v>3319</v>
      </c>
      <c r="L5848" s="55" t="s">
        <v>2152</v>
      </c>
      <c r="M5848" s="55" t="s">
        <v>2824</v>
      </c>
      <c r="N5848" s="4" t="s">
        <v>1905</v>
      </c>
      <c r="O5848" s="55" t="s">
        <v>178</v>
      </c>
    </row>
    <row r="5849" spans="2:15">
      <c r="B5849" s="20">
        <v>45845</v>
      </c>
      <c r="C5849" s="59">
        <v>50272278</v>
      </c>
      <c r="D5849" s="55" t="s">
        <v>21</v>
      </c>
      <c r="G5849" s="65">
        <v>1500</v>
      </c>
      <c r="H5849" s="56" t="s">
        <v>92</v>
      </c>
      <c r="I5849" s="54">
        <v>8724889099</v>
      </c>
      <c r="J5849" s="56" t="s">
        <v>2978</v>
      </c>
      <c r="K5849" s="56">
        <v>3319</v>
      </c>
      <c r="L5849" s="55" t="s">
        <v>2152</v>
      </c>
      <c r="M5849" s="55" t="s">
        <v>2824</v>
      </c>
      <c r="N5849" s="4" t="s">
        <v>1905</v>
      </c>
      <c r="O5849" s="55" t="s">
        <v>178</v>
      </c>
    </row>
    <row r="5850" spans="2:15">
      <c r="B5850" s="20">
        <v>45845</v>
      </c>
      <c r="C5850" s="59">
        <v>50337814</v>
      </c>
      <c r="D5850" s="55" t="s">
        <v>669</v>
      </c>
      <c r="G5850" s="65">
        <v>1090</v>
      </c>
      <c r="H5850" s="56" t="s">
        <v>80</v>
      </c>
      <c r="I5850" s="54">
        <v>8724889099</v>
      </c>
      <c r="J5850" s="56" t="s">
        <v>2978</v>
      </c>
      <c r="K5850" s="56">
        <v>3319</v>
      </c>
      <c r="L5850" s="55" t="s">
        <v>2152</v>
      </c>
      <c r="M5850" s="55" t="s">
        <v>2824</v>
      </c>
      <c r="N5850" s="4" t="s">
        <v>1905</v>
      </c>
      <c r="O5850" s="55" t="s">
        <v>178</v>
      </c>
    </row>
    <row r="5851" spans="2:15">
      <c r="B5851" s="20">
        <v>45845</v>
      </c>
      <c r="C5851" s="59">
        <v>50837509</v>
      </c>
      <c r="D5851" s="55" t="s">
        <v>14</v>
      </c>
      <c r="G5851" s="65">
        <v>1738800</v>
      </c>
      <c r="H5851" s="56" t="s">
        <v>92</v>
      </c>
      <c r="I5851" s="54">
        <v>8724889099</v>
      </c>
      <c r="J5851" s="56" t="s">
        <v>2978</v>
      </c>
      <c r="K5851" s="56">
        <v>3319</v>
      </c>
      <c r="L5851" s="55" t="s">
        <v>2152</v>
      </c>
      <c r="M5851" s="55" t="s">
        <v>2824</v>
      </c>
      <c r="N5851" s="4" t="s">
        <v>1905</v>
      </c>
      <c r="O5851" s="55" t="s">
        <v>178</v>
      </c>
    </row>
    <row r="5852" spans="2:15">
      <c r="B5852" s="20">
        <v>45845</v>
      </c>
      <c r="C5852" s="59">
        <v>50142327</v>
      </c>
      <c r="D5852" s="55" t="s">
        <v>256</v>
      </c>
      <c r="G5852" s="65">
        <v>1430.1</v>
      </c>
      <c r="H5852" s="56" t="s">
        <v>82</v>
      </c>
      <c r="I5852" s="54">
        <v>8724889099</v>
      </c>
      <c r="J5852" s="56" t="s">
        <v>2978</v>
      </c>
      <c r="K5852" s="56">
        <v>3319</v>
      </c>
      <c r="L5852" s="55" t="s">
        <v>2152</v>
      </c>
      <c r="M5852" s="55" t="s">
        <v>2824</v>
      </c>
      <c r="N5852" s="4" t="s">
        <v>1905</v>
      </c>
      <c r="O5852" s="55" t="s">
        <v>178</v>
      </c>
    </row>
    <row r="5853" spans="2:15">
      <c r="B5853" s="20">
        <v>45845</v>
      </c>
      <c r="C5853" s="59">
        <v>50142334</v>
      </c>
      <c r="D5853" s="55" t="s">
        <v>257</v>
      </c>
      <c r="G5853" s="65">
        <v>1430.1</v>
      </c>
      <c r="H5853" s="56" t="s">
        <v>82</v>
      </c>
      <c r="I5853" s="54">
        <v>8724889099</v>
      </c>
      <c r="J5853" s="56" t="s">
        <v>2978</v>
      </c>
      <c r="K5853" s="56">
        <v>3319</v>
      </c>
      <c r="L5853" s="55" t="s">
        <v>2152</v>
      </c>
      <c r="M5853" s="55" t="s">
        <v>2824</v>
      </c>
      <c r="N5853" s="4" t="s">
        <v>1905</v>
      </c>
      <c r="O5853" s="55" t="s">
        <v>178</v>
      </c>
    </row>
    <row r="5854" spans="2:15">
      <c r="B5854" s="20">
        <v>45846</v>
      </c>
      <c r="C5854" s="59">
        <v>40009543</v>
      </c>
      <c r="D5854" s="55" t="s">
        <v>473</v>
      </c>
      <c r="G5854" s="122">
        <v>2944</v>
      </c>
      <c r="H5854" s="56" t="s">
        <v>80</v>
      </c>
      <c r="I5854" s="54">
        <v>8725779732</v>
      </c>
      <c r="J5854" s="56" t="s">
        <v>2978</v>
      </c>
      <c r="K5854" s="56">
        <v>3320</v>
      </c>
      <c r="L5854" s="55" t="s">
        <v>2152</v>
      </c>
      <c r="M5854" s="55" t="s">
        <v>2824</v>
      </c>
      <c r="N5854" s="4" t="s">
        <v>1905</v>
      </c>
      <c r="O5854" s="55" t="s">
        <v>178</v>
      </c>
    </row>
    <row r="5855" spans="2:15">
      <c r="B5855" s="20">
        <v>45846</v>
      </c>
      <c r="C5855" s="59">
        <v>40007939</v>
      </c>
      <c r="D5855" s="55" t="s">
        <v>476</v>
      </c>
      <c r="G5855" s="122">
        <v>702</v>
      </c>
      <c r="H5855" s="56" t="s">
        <v>80</v>
      </c>
      <c r="I5855" s="54">
        <v>8725779732</v>
      </c>
      <c r="J5855" s="56" t="s">
        <v>2978</v>
      </c>
      <c r="K5855" s="56">
        <v>3320</v>
      </c>
      <c r="L5855" s="55" t="s">
        <v>2152</v>
      </c>
      <c r="M5855" s="55" t="s">
        <v>2824</v>
      </c>
      <c r="N5855" s="4" t="s">
        <v>1905</v>
      </c>
      <c r="O5855" s="55" t="s">
        <v>178</v>
      </c>
    </row>
    <row r="5856" spans="2:15">
      <c r="B5856" s="20">
        <v>45846</v>
      </c>
      <c r="C5856" s="59">
        <v>40010376</v>
      </c>
      <c r="D5856" s="55" t="s">
        <v>84</v>
      </c>
      <c r="G5856" s="122">
        <v>4348</v>
      </c>
      <c r="H5856" s="56" t="s">
        <v>80</v>
      </c>
      <c r="I5856" s="54">
        <v>8725779732</v>
      </c>
      <c r="J5856" s="56" t="s">
        <v>2978</v>
      </c>
      <c r="K5856" s="56">
        <v>3320</v>
      </c>
      <c r="L5856" s="55" t="s">
        <v>2152</v>
      </c>
      <c r="M5856" s="55" t="s">
        <v>2824</v>
      </c>
      <c r="N5856" s="4" t="s">
        <v>1905</v>
      </c>
      <c r="O5856" s="55" t="s">
        <v>178</v>
      </c>
    </row>
    <row r="5857" spans="2:15">
      <c r="B5857" s="20">
        <v>45846</v>
      </c>
      <c r="C5857" s="59">
        <v>40009541</v>
      </c>
      <c r="D5857" s="55" t="s">
        <v>685</v>
      </c>
      <c r="G5857" s="122">
        <v>3830</v>
      </c>
      <c r="H5857" s="56" t="s">
        <v>80</v>
      </c>
      <c r="I5857" s="54">
        <v>8725779732</v>
      </c>
      <c r="J5857" s="56" t="s">
        <v>2978</v>
      </c>
      <c r="K5857" s="56">
        <v>3320</v>
      </c>
      <c r="L5857" s="55" t="s">
        <v>2152</v>
      </c>
      <c r="M5857" s="55" t="s">
        <v>2824</v>
      </c>
      <c r="N5857" s="4" t="s">
        <v>1905</v>
      </c>
      <c r="O5857" s="55" t="s">
        <v>178</v>
      </c>
    </row>
    <row r="5858" spans="2:15">
      <c r="B5858" s="20">
        <v>45846</v>
      </c>
      <c r="C5858" s="59">
        <v>40007940</v>
      </c>
      <c r="D5858" s="55" t="s">
        <v>477</v>
      </c>
      <c r="G5858" s="122">
        <v>392</v>
      </c>
      <c r="H5858" s="56" t="s">
        <v>80</v>
      </c>
      <c r="I5858" s="54">
        <v>8725779732</v>
      </c>
      <c r="J5858" s="56" t="s">
        <v>2978</v>
      </c>
      <c r="K5858" s="56">
        <v>3320</v>
      </c>
      <c r="L5858" s="55" t="s">
        <v>2152</v>
      </c>
      <c r="M5858" s="55" t="s">
        <v>2824</v>
      </c>
      <c r="N5858" s="4" t="s">
        <v>1905</v>
      </c>
      <c r="O5858" s="55" t="s">
        <v>178</v>
      </c>
    </row>
    <row r="5859" spans="2:15">
      <c r="B5859" s="20">
        <v>45846</v>
      </c>
      <c r="C5859" s="59">
        <v>50397884</v>
      </c>
      <c r="D5859" s="55" t="s">
        <v>1296</v>
      </c>
      <c r="G5859" s="65">
        <v>540</v>
      </c>
      <c r="H5859" s="56" t="s">
        <v>80</v>
      </c>
      <c r="I5859" s="54">
        <v>8725138997</v>
      </c>
      <c r="J5859" s="56" t="s">
        <v>2978</v>
      </c>
      <c r="K5859" s="56">
        <v>3320</v>
      </c>
      <c r="L5859" s="55" t="s">
        <v>2152</v>
      </c>
      <c r="M5859" s="55" t="s">
        <v>2824</v>
      </c>
      <c r="N5859" s="4" t="s">
        <v>1905</v>
      </c>
      <c r="O5859" s="55" t="s">
        <v>178</v>
      </c>
    </row>
    <row r="5860" spans="2:15">
      <c r="B5860" s="20">
        <v>45846</v>
      </c>
      <c r="C5860" s="59">
        <v>50272278</v>
      </c>
      <c r="D5860" s="55" t="s">
        <v>21</v>
      </c>
      <c r="G5860" s="122">
        <v>4500</v>
      </c>
      <c r="H5860" s="56" t="s">
        <v>92</v>
      </c>
      <c r="I5860" s="54">
        <v>8725011307</v>
      </c>
      <c r="J5860" s="56" t="s">
        <v>2978</v>
      </c>
      <c r="K5860" s="56">
        <v>3321</v>
      </c>
      <c r="L5860" s="55" t="s">
        <v>2152</v>
      </c>
      <c r="M5860" s="55" t="s">
        <v>2824</v>
      </c>
      <c r="N5860" s="4" t="s">
        <v>1905</v>
      </c>
      <c r="O5860" s="55" t="s">
        <v>178</v>
      </c>
    </row>
    <row r="5861" spans="2:15">
      <c r="B5861" s="20">
        <v>45846</v>
      </c>
      <c r="C5861" s="59">
        <v>50397884</v>
      </c>
      <c r="D5861" s="55" t="s">
        <v>1296</v>
      </c>
      <c r="G5861" s="122">
        <v>1800</v>
      </c>
      <c r="H5861" s="56" t="s">
        <v>80</v>
      </c>
      <c r="I5861" s="54">
        <v>8725011307</v>
      </c>
      <c r="J5861" s="56" t="s">
        <v>2978</v>
      </c>
      <c r="K5861" s="56">
        <v>3321</v>
      </c>
      <c r="L5861" s="55" t="s">
        <v>2152</v>
      </c>
      <c r="M5861" s="55" t="s">
        <v>2824</v>
      </c>
      <c r="N5861" s="4" t="s">
        <v>1905</v>
      </c>
      <c r="O5861" s="55" t="s">
        <v>178</v>
      </c>
    </row>
    <row r="5862" spans="2:15">
      <c r="B5862" s="20">
        <v>45846</v>
      </c>
      <c r="C5862" s="59">
        <v>50470190</v>
      </c>
      <c r="D5862" s="55" t="s">
        <v>12</v>
      </c>
      <c r="G5862" s="122">
        <v>1738800</v>
      </c>
      <c r="H5862" s="56" t="s">
        <v>92</v>
      </c>
      <c r="I5862" s="54">
        <v>8725011307</v>
      </c>
      <c r="J5862" s="56" t="s">
        <v>2978</v>
      </c>
      <c r="K5862" s="56">
        <v>3321</v>
      </c>
      <c r="L5862" s="55" t="s">
        <v>2152</v>
      </c>
      <c r="M5862" s="55" t="s">
        <v>2824</v>
      </c>
      <c r="N5862" s="4" t="s">
        <v>1905</v>
      </c>
      <c r="O5862" s="55" t="s">
        <v>178</v>
      </c>
    </row>
    <row r="5863" spans="2:15">
      <c r="B5863" s="20">
        <v>45846</v>
      </c>
      <c r="C5863" s="59">
        <v>50145028</v>
      </c>
      <c r="D5863" s="55" t="s">
        <v>23</v>
      </c>
      <c r="G5863" s="65">
        <v>576</v>
      </c>
      <c r="H5863" s="56" t="s">
        <v>92</v>
      </c>
      <c r="I5863" s="54" t="s">
        <v>2874</v>
      </c>
      <c r="J5863" s="56" t="s">
        <v>2978</v>
      </c>
      <c r="K5863" s="56">
        <v>3322</v>
      </c>
      <c r="L5863" s="55" t="s">
        <v>326</v>
      </c>
      <c r="M5863" s="55" t="s">
        <v>2918</v>
      </c>
      <c r="N5863" s="4" t="s">
        <v>2454</v>
      </c>
      <c r="O5863" s="55" t="s">
        <v>178</v>
      </c>
    </row>
    <row r="5864" spans="2:15">
      <c r="B5864" s="20">
        <v>45846</v>
      </c>
      <c r="C5864" s="59">
        <v>40014900</v>
      </c>
      <c r="D5864" s="55" t="s">
        <v>153</v>
      </c>
      <c r="G5864" s="65">
        <v>34.56</v>
      </c>
      <c r="H5864" s="56" t="s">
        <v>80</v>
      </c>
      <c r="I5864" s="54">
        <v>8725012161</v>
      </c>
      <c r="J5864" s="56" t="s">
        <v>2978</v>
      </c>
      <c r="K5864" s="56">
        <v>428</v>
      </c>
      <c r="L5864" s="55" t="s">
        <v>2152</v>
      </c>
      <c r="M5864" s="55" t="s">
        <v>2824</v>
      </c>
      <c r="N5864" s="4" t="s">
        <v>177</v>
      </c>
      <c r="O5864" s="55" t="s">
        <v>178</v>
      </c>
    </row>
    <row r="5865" spans="2:15">
      <c r="B5865" s="20">
        <v>45846</v>
      </c>
      <c r="C5865" s="59">
        <v>40014900</v>
      </c>
      <c r="D5865" s="55" t="s">
        <v>153</v>
      </c>
      <c r="G5865" s="65">
        <v>34.56</v>
      </c>
      <c r="H5865" s="56" t="s">
        <v>80</v>
      </c>
      <c r="I5865" s="54">
        <v>8725012163</v>
      </c>
      <c r="J5865" s="56" t="s">
        <v>2978</v>
      </c>
      <c r="K5865" s="56">
        <v>429</v>
      </c>
      <c r="L5865" s="55" t="s">
        <v>2152</v>
      </c>
      <c r="M5865" s="55" t="s">
        <v>2824</v>
      </c>
      <c r="N5865" s="4" t="s">
        <v>177</v>
      </c>
      <c r="O5865" s="55" t="s">
        <v>178</v>
      </c>
    </row>
    <row r="5866" spans="2:15">
      <c r="B5866" s="20">
        <v>45846</v>
      </c>
      <c r="C5866" s="59">
        <v>40014900</v>
      </c>
      <c r="D5866" s="55" t="s">
        <v>153</v>
      </c>
      <c r="G5866" s="65">
        <v>34.56</v>
      </c>
      <c r="H5866" s="56" t="s">
        <v>80</v>
      </c>
      <c r="I5866" s="54">
        <v>8725012165</v>
      </c>
      <c r="J5866" s="56" t="s">
        <v>2978</v>
      </c>
      <c r="K5866" s="56">
        <v>430</v>
      </c>
      <c r="L5866" s="55" t="s">
        <v>392</v>
      </c>
      <c r="M5866" s="55" t="s">
        <v>2824</v>
      </c>
      <c r="N5866" s="4" t="s">
        <v>3027</v>
      </c>
      <c r="O5866" s="55" t="s">
        <v>178</v>
      </c>
    </row>
    <row r="5867" spans="2:15">
      <c r="B5867" s="20">
        <v>45846</v>
      </c>
      <c r="C5867" s="59">
        <v>40014900</v>
      </c>
      <c r="D5867" s="55" t="s">
        <v>153</v>
      </c>
      <c r="G5867" s="65">
        <v>34.56</v>
      </c>
      <c r="H5867" s="56" t="s">
        <v>80</v>
      </c>
      <c r="I5867" s="54">
        <v>8725012641</v>
      </c>
      <c r="J5867" s="56" t="s">
        <v>2978</v>
      </c>
      <c r="K5867" s="56">
        <v>431</v>
      </c>
      <c r="L5867" s="55" t="s">
        <v>2152</v>
      </c>
      <c r="M5867" s="55" t="s">
        <v>2824</v>
      </c>
      <c r="N5867" s="4" t="s">
        <v>177</v>
      </c>
      <c r="O5867" s="55" t="s">
        <v>178</v>
      </c>
    </row>
    <row r="5868" spans="2:15">
      <c r="B5868" s="20">
        <v>45847</v>
      </c>
      <c r="C5868" s="59">
        <v>50272278</v>
      </c>
      <c r="D5868" s="55" t="s">
        <v>21</v>
      </c>
      <c r="G5868" s="65">
        <v>6500</v>
      </c>
      <c r="H5868" s="56" t="s">
        <v>92</v>
      </c>
      <c r="I5868" s="54">
        <v>8725139382</v>
      </c>
      <c r="J5868" s="56" t="s">
        <v>2978</v>
      </c>
      <c r="K5868" s="56">
        <v>3323</v>
      </c>
      <c r="L5868" s="55" t="s">
        <v>2152</v>
      </c>
      <c r="M5868" s="55" t="s">
        <v>2824</v>
      </c>
      <c r="N5868" s="4" t="s">
        <v>1905</v>
      </c>
      <c r="O5868" s="55" t="s">
        <v>178</v>
      </c>
    </row>
    <row r="5869" spans="2:15">
      <c r="B5869" s="20">
        <v>45847</v>
      </c>
      <c r="C5869" s="59">
        <v>20016059</v>
      </c>
      <c r="D5869" s="55" t="s">
        <v>1498</v>
      </c>
      <c r="G5869" s="65">
        <v>200</v>
      </c>
      <c r="H5869" s="56" t="s">
        <v>92</v>
      </c>
      <c r="I5869" s="54">
        <v>8725139382</v>
      </c>
      <c r="J5869" s="56" t="s">
        <v>2978</v>
      </c>
      <c r="K5869" s="56">
        <v>3323</v>
      </c>
      <c r="L5869" s="55" t="s">
        <v>2152</v>
      </c>
      <c r="M5869" s="55" t="s">
        <v>2824</v>
      </c>
      <c r="N5869" s="4" t="s">
        <v>1905</v>
      </c>
      <c r="O5869" s="55" t="s">
        <v>178</v>
      </c>
    </row>
    <row r="5870" spans="2:15">
      <c r="B5870" s="20">
        <v>45847</v>
      </c>
      <c r="C5870" s="59">
        <v>50397884</v>
      </c>
      <c r="D5870" s="55" t="s">
        <v>1296</v>
      </c>
      <c r="G5870" s="65">
        <v>1080</v>
      </c>
      <c r="H5870" s="56" t="s">
        <v>80</v>
      </c>
      <c r="I5870" s="54">
        <v>8725804283</v>
      </c>
      <c r="J5870" s="56" t="s">
        <v>2978</v>
      </c>
      <c r="K5870" s="56">
        <v>3323</v>
      </c>
      <c r="L5870" s="55" t="s">
        <v>2152</v>
      </c>
      <c r="M5870" s="55" t="s">
        <v>2824</v>
      </c>
      <c r="N5870" s="4" t="s">
        <v>1905</v>
      </c>
      <c r="O5870" s="55" t="s">
        <v>178</v>
      </c>
    </row>
    <row r="5871" spans="2:15">
      <c r="B5871" s="20">
        <v>45847</v>
      </c>
      <c r="C5871" s="59">
        <v>50470190</v>
      </c>
      <c r="D5871" s="55" t="s">
        <v>12</v>
      </c>
      <c r="G5871" s="65">
        <v>1159200</v>
      </c>
      <c r="H5871" s="56" t="s">
        <v>92</v>
      </c>
      <c r="I5871" s="54">
        <v>8725139382</v>
      </c>
      <c r="J5871" s="56" t="s">
        <v>2978</v>
      </c>
      <c r="K5871" s="56">
        <v>3323</v>
      </c>
      <c r="L5871" s="55" t="s">
        <v>2152</v>
      </c>
      <c r="M5871" s="55" t="s">
        <v>2824</v>
      </c>
      <c r="N5871" s="4" t="s">
        <v>1905</v>
      </c>
      <c r="O5871" s="55" t="s">
        <v>178</v>
      </c>
    </row>
    <row r="5872" spans="2:15">
      <c r="B5872" s="20">
        <v>45847</v>
      </c>
      <c r="C5872" s="59">
        <v>40014900</v>
      </c>
      <c r="D5872" s="55" t="s">
        <v>153</v>
      </c>
      <c r="G5872" s="65">
        <v>34.56</v>
      </c>
      <c r="H5872" s="56" t="s">
        <v>80</v>
      </c>
      <c r="I5872" s="54">
        <v>8725139395</v>
      </c>
      <c r="J5872" s="56" t="s">
        <v>2978</v>
      </c>
      <c r="K5872" s="56">
        <v>432</v>
      </c>
      <c r="L5872" s="55" t="s">
        <v>2152</v>
      </c>
      <c r="M5872" s="55" t="s">
        <v>2824</v>
      </c>
      <c r="N5872" s="4" t="s">
        <v>177</v>
      </c>
      <c r="O5872" s="55" t="s">
        <v>178</v>
      </c>
    </row>
    <row r="5873" spans="2:15">
      <c r="B5873" s="20">
        <v>45847</v>
      </c>
      <c r="C5873" s="59">
        <v>40014900</v>
      </c>
      <c r="D5873" s="55" t="s">
        <v>153</v>
      </c>
      <c r="G5873" s="65">
        <v>31.68</v>
      </c>
      <c r="H5873" s="56" t="s">
        <v>80</v>
      </c>
      <c r="I5873" s="54">
        <v>8725139397</v>
      </c>
      <c r="J5873" s="56" t="s">
        <v>2978</v>
      </c>
      <c r="K5873" s="56">
        <v>433</v>
      </c>
      <c r="L5873" s="55" t="s">
        <v>2152</v>
      </c>
      <c r="M5873" s="55" t="s">
        <v>2824</v>
      </c>
      <c r="N5873" s="4" t="s">
        <v>1905</v>
      </c>
      <c r="O5873" s="55" t="s">
        <v>178</v>
      </c>
    </row>
    <row r="5874" spans="2:15">
      <c r="B5874" s="20">
        <v>45847</v>
      </c>
      <c r="C5874" s="59">
        <v>40014900</v>
      </c>
      <c r="D5874" s="55" t="s">
        <v>153</v>
      </c>
      <c r="G5874" s="65">
        <v>34.56</v>
      </c>
      <c r="H5874" s="56" t="s">
        <v>80</v>
      </c>
      <c r="I5874" s="54">
        <v>8725139399</v>
      </c>
      <c r="J5874" s="56" t="s">
        <v>2978</v>
      </c>
      <c r="K5874" s="56">
        <v>434</v>
      </c>
      <c r="L5874" s="55" t="s">
        <v>2152</v>
      </c>
      <c r="M5874" s="55" t="s">
        <v>2824</v>
      </c>
      <c r="N5874" s="4" t="s">
        <v>177</v>
      </c>
      <c r="O5874" s="55" t="s">
        <v>178</v>
      </c>
    </row>
    <row r="5875" spans="2:15">
      <c r="B5875" s="20">
        <v>45847</v>
      </c>
      <c r="C5875" s="59">
        <v>40014900</v>
      </c>
      <c r="D5875" s="55" t="s">
        <v>153</v>
      </c>
      <c r="G5875" s="65">
        <v>34.56</v>
      </c>
      <c r="H5875" s="56" t="s">
        <v>80</v>
      </c>
      <c r="I5875" s="54">
        <v>8725139411</v>
      </c>
      <c r="J5875" s="56" t="s">
        <v>2978</v>
      </c>
      <c r="K5875" s="56">
        <v>435</v>
      </c>
      <c r="L5875" s="55" t="s">
        <v>2152</v>
      </c>
      <c r="M5875" s="55" t="s">
        <v>2824</v>
      </c>
      <c r="N5875" s="4" t="s">
        <v>177</v>
      </c>
      <c r="O5875" s="55" t="s">
        <v>178</v>
      </c>
    </row>
    <row r="5876" spans="2:15">
      <c r="B5876" s="20">
        <v>45848</v>
      </c>
      <c r="C5876" s="59">
        <v>50144376</v>
      </c>
      <c r="D5876" s="55" t="s">
        <v>19</v>
      </c>
      <c r="G5876" s="65">
        <v>10500</v>
      </c>
      <c r="H5876" s="56" t="s">
        <v>92</v>
      </c>
      <c r="I5876" s="54">
        <v>8725273928</v>
      </c>
      <c r="J5876" s="56" t="s">
        <v>2978</v>
      </c>
      <c r="K5876" s="56">
        <v>3324</v>
      </c>
      <c r="L5876" s="55" t="s">
        <v>2152</v>
      </c>
      <c r="M5876" s="55" t="s">
        <v>2824</v>
      </c>
      <c r="N5876" s="4" t="s">
        <v>1905</v>
      </c>
      <c r="O5876" s="55" t="s">
        <v>178</v>
      </c>
    </row>
    <row r="5877" spans="2:15">
      <c r="B5877" s="20">
        <v>45848</v>
      </c>
      <c r="C5877" s="59">
        <v>50142619</v>
      </c>
      <c r="D5877" s="55" t="s">
        <v>433</v>
      </c>
      <c r="G5877" s="65">
        <v>616</v>
      </c>
      <c r="H5877" s="56" t="s">
        <v>82</v>
      </c>
      <c r="I5877" s="54" t="s">
        <v>2874</v>
      </c>
      <c r="J5877" s="56" t="s">
        <v>2978</v>
      </c>
      <c r="K5877" s="56">
        <v>3324</v>
      </c>
      <c r="L5877" s="55" t="s">
        <v>2152</v>
      </c>
      <c r="M5877" s="55" t="s">
        <v>2824</v>
      </c>
      <c r="N5877" s="4" t="s">
        <v>1905</v>
      </c>
      <c r="O5877" s="55" t="s">
        <v>178</v>
      </c>
    </row>
    <row r="5878" spans="2:15">
      <c r="B5878" s="20">
        <v>45848</v>
      </c>
      <c r="C5878" s="59">
        <v>50272278</v>
      </c>
      <c r="D5878" s="69" t="s">
        <v>21</v>
      </c>
      <c r="G5878" s="65">
        <f>16*250</f>
        <v>4000</v>
      </c>
      <c r="H5878" s="56" t="s">
        <v>92</v>
      </c>
      <c r="I5878" s="54">
        <v>8725273933</v>
      </c>
      <c r="J5878" s="56" t="s">
        <v>2978</v>
      </c>
      <c r="K5878" s="56">
        <v>3325</v>
      </c>
      <c r="L5878" s="55" t="s">
        <v>2152</v>
      </c>
      <c r="M5878" s="55" t="s">
        <v>2824</v>
      </c>
      <c r="N5878" s="4" t="s">
        <v>1905</v>
      </c>
      <c r="O5878" s="55" t="s">
        <v>178</v>
      </c>
    </row>
    <row r="5879" spans="2:15">
      <c r="B5879" s="20">
        <v>45848</v>
      </c>
      <c r="C5879" s="59">
        <v>50470190</v>
      </c>
      <c r="D5879" s="66" t="s">
        <v>12</v>
      </c>
      <c r="G5879" s="65">
        <f>12*289800</f>
        <v>3477600</v>
      </c>
      <c r="H5879" s="56" t="s">
        <v>92</v>
      </c>
      <c r="I5879" s="54">
        <v>8725273933</v>
      </c>
      <c r="J5879" s="56" t="s">
        <v>2978</v>
      </c>
      <c r="K5879" s="56">
        <v>3325</v>
      </c>
      <c r="L5879" s="55" t="s">
        <v>2152</v>
      </c>
      <c r="M5879" s="55" t="s">
        <v>2824</v>
      </c>
      <c r="N5879" s="4" t="s">
        <v>1905</v>
      </c>
      <c r="O5879" s="55" t="s">
        <v>178</v>
      </c>
    </row>
    <row r="5880" spans="2:15">
      <c r="B5880" s="20">
        <v>45848</v>
      </c>
      <c r="C5880" s="59">
        <v>40014900</v>
      </c>
      <c r="D5880" s="55" t="s">
        <v>153</v>
      </c>
      <c r="G5880" s="65">
        <v>34.56</v>
      </c>
      <c r="H5880" s="56" t="s">
        <v>80</v>
      </c>
      <c r="I5880" s="54">
        <v>8725273956</v>
      </c>
      <c r="J5880" s="56" t="s">
        <v>2978</v>
      </c>
      <c r="K5880" s="56">
        <v>436</v>
      </c>
      <c r="L5880" s="55" t="s">
        <v>2152</v>
      </c>
      <c r="M5880" s="55" t="s">
        <v>2824</v>
      </c>
      <c r="N5880" s="4" t="s">
        <v>177</v>
      </c>
      <c r="O5880" s="55" t="s">
        <v>178</v>
      </c>
    </row>
    <row r="5881" spans="2:15">
      <c r="B5881" s="20">
        <v>45848</v>
      </c>
      <c r="C5881" s="59">
        <v>40014900</v>
      </c>
      <c r="D5881" s="55" t="s">
        <v>153</v>
      </c>
      <c r="G5881" s="65">
        <v>34.56</v>
      </c>
      <c r="H5881" s="56" t="s">
        <v>80</v>
      </c>
      <c r="I5881" s="54">
        <v>8725273958</v>
      </c>
      <c r="J5881" s="56" t="s">
        <v>2978</v>
      </c>
      <c r="K5881" s="56">
        <v>437</v>
      </c>
      <c r="L5881" s="55" t="s">
        <v>2152</v>
      </c>
      <c r="M5881" s="55" t="s">
        <v>2824</v>
      </c>
      <c r="N5881" s="4" t="s">
        <v>177</v>
      </c>
      <c r="O5881" s="55" t="s">
        <v>178</v>
      </c>
    </row>
    <row r="5882" spans="2:15">
      <c r="B5882" s="20">
        <v>45848</v>
      </c>
      <c r="C5882" s="59">
        <v>40014900</v>
      </c>
      <c r="D5882" s="55" t="s">
        <v>153</v>
      </c>
      <c r="G5882" s="65">
        <v>34.56</v>
      </c>
      <c r="H5882" s="56" t="s">
        <v>80</v>
      </c>
      <c r="I5882" s="54">
        <v>8725274220</v>
      </c>
      <c r="J5882" s="56" t="s">
        <v>2978</v>
      </c>
      <c r="K5882" s="56">
        <v>438</v>
      </c>
      <c r="L5882" s="55" t="s">
        <v>2152</v>
      </c>
      <c r="M5882" s="55" t="s">
        <v>2824</v>
      </c>
      <c r="N5882" s="4" t="s">
        <v>177</v>
      </c>
      <c r="O5882" s="55" t="s">
        <v>178</v>
      </c>
    </row>
    <row r="5883" spans="2:15">
      <c r="B5883" s="20">
        <v>45848</v>
      </c>
      <c r="C5883" s="59">
        <v>40014900</v>
      </c>
      <c r="D5883" s="55" t="s">
        <v>153</v>
      </c>
      <c r="G5883" s="65">
        <f>22*60*24/1000</f>
        <v>31.68</v>
      </c>
      <c r="H5883" s="56" t="s">
        <v>80</v>
      </c>
      <c r="I5883" s="54">
        <v>8725274221</v>
      </c>
      <c r="J5883" s="56" t="s">
        <v>2978</v>
      </c>
      <c r="K5883" s="56">
        <v>439</v>
      </c>
      <c r="L5883" s="55" t="s">
        <v>2152</v>
      </c>
      <c r="M5883" s="55" t="s">
        <v>2824</v>
      </c>
      <c r="N5883" s="4" t="s">
        <v>1905</v>
      </c>
      <c r="O5883" s="55" t="s">
        <v>178</v>
      </c>
    </row>
    <row r="5884" spans="2:15">
      <c r="B5884" s="20">
        <v>45849</v>
      </c>
      <c r="C5884" s="59">
        <v>50470190</v>
      </c>
      <c r="D5884" s="55" t="s">
        <v>12</v>
      </c>
      <c r="G5884" s="65">
        <v>2898000</v>
      </c>
      <c r="H5884" s="56" t="s">
        <v>92</v>
      </c>
      <c r="I5884" s="54">
        <v>8725418374</v>
      </c>
      <c r="J5884" s="56" t="s">
        <v>2978</v>
      </c>
      <c r="K5884" s="56">
        <v>3326</v>
      </c>
      <c r="L5884" s="55" t="s">
        <v>2152</v>
      </c>
      <c r="M5884" s="55" t="s">
        <v>2824</v>
      </c>
      <c r="N5884" s="4" t="s">
        <v>1905</v>
      </c>
      <c r="O5884" s="55" t="s">
        <v>178</v>
      </c>
    </row>
    <row r="5885" spans="2:15">
      <c r="B5885" s="20">
        <v>45849</v>
      </c>
      <c r="C5885" s="59">
        <v>50802401</v>
      </c>
      <c r="D5885" s="55" t="s">
        <v>13</v>
      </c>
      <c r="G5885" s="65">
        <v>2318400</v>
      </c>
      <c r="H5885" s="56" t="s">
        <v>92</v>
      </c>
      <c r="I5885" s="54">
        <v>8725418374</v>
      </c>
      <c r="J5885" s="56" t="s">
        <v>2978</v>
      </c>
      <c r="K5885" s="56">
        <v>3326</v>
      </c>
      <c r="L5885" s="55" t="s">
        <v>2152</v>
      </c>
      <c r="M5885" s="55" t="s">
        <v>2824</v>
      </c>
      <c r="N5885" s="4" t="s">
        <v>1905</v>
      </c>
      <c r="O5885" s="55" t="s">
        <v>178</v>
      </c>
    </row>
    <row r="5886" spans="2:15">
      <c r="B5886" s="20">
        <v>45849</v>
      </c>
      <c r="C5886" s="59">
        <v>50144376</v>
      </c>
      <c r="D5886" s="55" t="s">
        <v>19</v>
      </c>
      <c r="G5886" s="65">
        <v>8000</v>
      </c>
      <c r="H5886" s="56" t="s">
        <v>92</v>
      </c>
      <c r="I5886" s="54">
        <v>8725418378</v>
      </c>
      <c r="J5886" s="56" t="s">
        <v>2978</v>
      </c>
      <c r="K5886" s="56">
        <v>3327</v>
      </c>
      <c r="L5886" s="55" t="s">
        <v>2152</v>
      </c>
      <c r="M5886" s="55" t="s">
        <v>2824</v>
      </c>
      <c r="N5886" s="4" t="s">
        <v>1905</v>
      </c>
      <c r="O5886" s="55" t="s">
        <v>178</v>
      </c>
    </row>
    <row r="5887" spans="2:15">
      <c r="B5887" s="20">
        <v>45849</v>
      </c>
      <c r="C5887" s="59">
        <v>50272278</v>
      </c>
      <c r="D5887" s="55" t="s">
        <v>21</v>
      </c>
      <c r="G5887" s="65">
        <v>3000</v>
      </c>
      <c r="H5887" s="56" t="s">
        <v>92</v>
      </c>
      <c r="I5887" s="54">
        <v>8725418378</v>
      </c>
      <c r="J5887" s="56" t="s">
        <v>2978</v>
      </c>
      <c r="K5887" s="56">
        <v>3327</v>
      </c>
      <c r="L5887" s="55" t="s">
        <v>2152</v>
      </c>
      <c r="M5887" s="55" t="s">
        <v>2824</v>
      </c>
      <c r="N5887" s="4" t="s">
        <v>1905</v>
      </c>
      <c r="O5887" s="55" t="s">
        <v>178</v>
      </c>
    </row>
    <row r="5888" spans="2:15">
      <c r="B5888" s="20">
        <v>45852</v>
      </c>
      <c r="C5888" s="59">
        <v>50272278</v>
      </c>
      <c r="D5888" s="55" t="s">
        <v>21</v>
      </c>
      <c r="G5888" s="65">
        <v>11000</v>
      </c>
      <c r="H5888" s="56" t="s">
        <v>92</v>
      </c>
      <c r="I5888" s="54">
        <v>8725779304</v>
      </c>
      <c r="J5888" s="56" t="s">
        <v>2978</v>
      </c>
      <c r="K5888" s="56">
        <v>3328</v>
      </c>
      <c r="L5888" s="55" t="s">
        <v>2152</v>
      </c>
      <c r="M5888" s="55" t="s">
        <v>2824</v>
      </c>
      <c r="N5888" s="4" t="s">
        <v>1905</v>
      </c>
      <c r="O5888" s="55" t="s">
        <v>178</v>
      </c>
    </row>
    <row r="5889" spans="2:16">
      <c r="B5889" s="20">
        <v>45853</v>
      </c>
      <c r="C5889" s="59">
        <v>50809353</v>
      </c>
      <c r="D5889" s="55" t="s">
        <v>905</v>
      </c>
      <c r="G5889" s="65">
        <v>2400</v>
      </c>
      <c r="H5889" s="56" t="s">
        <v>82</v>
      </c>
      <c r="I5889" s="54">
        <v>8725804274</v>
      </c>
      <c r="J5889" s="56" t="s">
        <v>2978</v>
      </c>
      <c r="K5889" s="56">
        <v>3329</v>
      </c>
      <c r="L5889" s="55" t="s">
        <v>2152</v>
      </c>
      <c r="M5889" s="55" t="s">
        <v>2824</v>
      </c>
      <c r="N5889" s="4" t="s">
        <v>1905</v>
      </c>
      <c r="O5889" s="55" t="s">
        <v>178</v>
      </c>
    </row>
    <row r="5890" spans="2:16">
      <c r="B5890" s="20">
        <v>45853</v>
      </c>
      <c r="C5890" s="59">
        <v>50142424</v>
      </c>
      <c r="D5890" s="55" t="s">
        <v>33</v>
      </c>
      <c r="G5890" s="65">
        <v>1000</v>
      </c>
      <c r="H5890" s="56" t="s">
        <v>82</v>
      </c>
      <c r="I5890" s="54">
        <v>8725804274</v>
      </c>
      <c r="J5890" s="56" t="s">
        <v>2978</v>
      </c>
      <c r="K5890" s="56">
        <v>3329</v>
      </c>
      <c r="L5890" s="55" t="s">
        <v>2152</v>
      </c>
      <c r="M5890" s="55" t="s">
        <v>2824</v>
      </c>
      <c r="N5890" s="4" t="s">
        <v>1905</v>
      </c>
      <c r="O5890" s="55" t="s">
        <v>178</v>
      </c>
    </row>
    <row r="5891" spans="2:16">
      <c r="B5891" s="20">
        <v>45853</v>
      </c>
      <c r="C5891" s="59">
        <v>50804970</v>
      </c>
      <c r="D5891" s="55" t="s">
        <v>857</v>
      </c>
      <c r="G5891" s="65">
        <v>1920000</v>
      </c>
      <c r="H5891" s="56" t="s">
        <v>92</v>
      </c>
      <c r="I5891" s="54">
        <v>8725804274</v>
      </c>
      <c r="J5891" s="56" t="s">
        <v>2978</v>
      </c>
      <c r="K5891" s="56">
        <v>3329</v>
      </c>
      <c r="L5891" s="55" t="s">
        <v>2152</v>
      </c>
      <c r="M5891" s="55" t="s">
        <v>2824</v>
      </c>
      <c r="N5891" s="4" t="s">
        <v>1905</v>
      </c>
      <c r="O5891" s="55" t="s">
        <v>178</v>
      </c>
    </row>
    <row r="5892" spans="2:16">
      <c r="B5892" s="20">
        <v>45853</v>
      </c>
      <c r="C5892" s="59">
        <v>50804971</v>
      </c>
      <c r="D5892" s="55" t="s">
        <v>855</v>
      </c>
      <c r="G5892" s="65">
        <v>2160000</v>
      </c>
      <c r="H5892" s="56" t="s">
        <v>92</v>
      </c>
      <c r="I5892" s="54">
        <v>8725804274</v>
      </c>
      <c r="J5892" s="56" t="s">
        <v>2978</v>
      </c>
      <c r="K5892" s="56">
        <v>3329</v>
      </c>
      <c r="L5892" s="55" t="s">
        <v>2152</v>
      </c>
      <c r="M5892" s="55" t="s">
        <v>2824</v>
      </c>
      <c r="N5892" s="4" t="s">
        <v>1905</v>
      </c>
      <c r="O5892" s="55" t="s">
        <v>178</v>
      </c>
    </row>
    <row r="5893" spans="2:16">
      <c r="B5893" s="20">
        <v>45853</v>
      </c>
      <c r="C5893" s="59">
        <v>50804929</v>
      </c>
      <c r="D5893" s="55" t="s">
        <v>856</v>
      </c>
      <c r="G5893" s="65">
        <v>720000</v>
      </c>
      <c r="H5893" s="56" t="s">
        <v>92</v>
      </c>
      <c r="I5893" s="54">
        <v>8725926789</v>
      </c>
      <c r="J5893" s="56" t="s">
        <v>2978</v>
      </c>
      <c r="K5893" s="56">
        <v>3329</v>
      </c>
      <c r="L5893" s="55" t="s">
        <v>2152</v>
      </c>
      <c r="M5893" s="55" t="s">
        <v>2824</v>
      </c>
      <c r="N5893" s="4" t="s">
        <v>1905</v>
      </c>
      <c r="O5893" s="55" t="s">
        <v>178</v>
      </c>
    </row>
    <row r="5894" spans="2:16">
      <c r="B5894" s="20">
        <v>45853</v>
      </c>
      <c r="C5894" s="59">
        <v>50142237</v>
      </c>
      <c r="D5894" s="55" t="s">
        <v>617</v>
      </c>
      <c r="G5894" s="65">
        <v>20000</v>
      </c>
      <c r="H5894" s="56" t="s">
        <v>92</v>
      </c>
      <c r="I5894" s="54">
        <v>8725804274</v>
      </c>
      <c r="J5894" s="56" t="s">
        <v>2978</v>
      </c>
      <c r="K5894" s="56">
        <v>3329</v>
      </c>
      <c r="L5894" s="55" t="s">
        <v>2152</v>
      </c>
      <c r="M5894" s="55" t="s">
        <v>2824</v>
      </c>
      <c r="N5894" s="4" t="s">
        <v>1905</v>
      </c>
      <c r="O5894" s="55" t="s">
        <v>178</v>
      </c>
    </row>
    <row r="5895" spans="2:16">
      <c r="B5895" s="20">
        <v>45853</v>
      </c>
      <c r="C5895" s="59">
        <v>40004808</v>
      </c>
      <c r="D5895" s="55" t="s">
        <v>91</v>
      </c>
      <c r="G5895" s="65">
        <v>1350</v>
      </c>
      <c r="H5895" s="56" t="s">
        <v>1248</v>
      </c>
      <c r="I5895" s="54">
        <v>8725804274</v>
      </c>
      <c r="J5895" s="56" t="s">
        <v>2978</v>
      </c>
      <c r="K5895" s="56">
        <v>3329</v>
      </c>
      <c r="L5895" s="55" t="s">
        <v>2152</v>
      </c>
      <c r="M5895" s="55" t="s">
        <v>2824</v>
      </c>
      <c r="N5895" s="4" t="s">
        <v>1905</v>
      </c>
      <c r="O5895" s="55" t="s">
        <v>178</v>
      </c>
    </row>
    <row r="5896" spans="2:16">
      <c r="B5896" s="20">
        <v>45853</v>
      </c>
      <c r="C5896" s="59">
        <v>40011149</v>
      </c>
      <c r="D5896" s="55" t="s">
        <v>37</v>
      </c>
      <c r="G5896" s="65">
        <v>1080</v>
      </c>
      <c r="H5896" s="56" t="s">
        <v>80</v>
      </c>
      <c r="I5896" s="54">
        <v>8725804274</v>
      </c>
      <c r="J5896" s="56" t="s">
        <v>2978</v>
      </c>
      <c r="K5896" s="56">
        <v>3329</v>
      </c>
      <c r="L5896" s="55" t="s">
        <v>2152</v>
      </c>
      <c r="M5896" s="55" t="s">
        <v>2824</v>
      </c>
      <c r="N5896" s="4" t="s">
        <v>1905</v>
      </c>
      <c r="O5896" s="55" t="s">
        <v>178</v>
      </c>
    </row>
    <row r="5897" spans="2:16">
      <c r="B5897" s="20">
        <v>45853</v>
      </c>
      <c r="C5897" s="59">
        <v>40011588</v>
      </c>
      <c r="D5897" s="55" t="s">
        <v>585</v>
      </c>
      <c r="G5897" s="65">
        <v>1350</v>
      </c>
      <c r="H5897" s="56" t="s">
        <v>80</v>
      </c>
      <c r="I5897" s="54">
        <v>8725804274</v>
      </c>
      <c r="J5897" s="56" t="s">
        <v>2978</v>
      </c>
      <c r="K5897" s="56">
        <v>3329</v>
      </c>
      <c r="L5897" s="55" t="s">
        <v>2152</v>
      </c>
      <c r="M5897" s="55" t="s">
        <v>2824</v>
      </c>
      <c r="N5897" s="4" t="s">
        <v>1905</v>
      </c>
      <c r="O5897" s="55" t="s">
        <v>178</v>
      </c>
    </row>
    <row r="5898" spans="2:16">
      <c r="B5898" s="20">
        <v>45854</v>
      </c>
      <c r="C5898" s="59">
        <v>50837238</v>
      </c>
      <c r="D5898" s="55" t="s">
        <v>1976</v>
      </c>
      <c r="G5898" s="65">
        <v>1040.51</v>
      </c>
      <c r="H5898" s="56" t="s">
        <v>82</v>
      </c>
      <c r="I5898" s="54">
        <v>8725925856</v>
      </c>
      <c r="J5898" s="56" t="s">
        <v>2978</v>
      </c>
      <c r="K5898" s="56">
        <v>3330</v>
      </c>
      <c r="L5898" s="55" t="s">
        <v>2152</v>
      </c>
      <c r="M5898" s="55" t="s">
        <v>2824</v>
      </c>
      <c r="N5898" s="4" t="s">
        <v>1905</v>
      </c>
      <c r="O5898" s="55" t="s">
        <v>178</v>
      </c>
    </row>
    <row r="5899" spans="2:16">
      <c r="B5899" s="20">
        <v>45854</v>
      </c>
      <c r="C5899" s="59">
        <v>50272278</v>
      </c>
      <c r="D5899" s="55" t="s">
        <v>21</v>
      </c>
      <c r="G5899" s="65">
        <v>9500</v>
      </c>
      <c r="H5899" s="56" t="s">
        <v>92</v>
      </c>
      <c r="I5899" s="54">
        <v>8725925856</v>
      </c>
      <c r="J5899" s="56" t="s">
        <v>2978</v>
      </c>
      <c r="K5899" s="56">
        <v>3330</v>
      </c>
      <c r="L5899" s="55" t="s">
        <v>2152</v>
      </c>
      <c r="M5899" s="55" t="s">
        <v>2824</v>
      </c>
      <c r="N5899" s="4" t="s">
        <v>1905</v>
      </c>
      <c r="O5899" s="55" t="s">
        <v>178</v>
      </c>
    </row>
    <row r="5900" spans="2:16">
      <c r="B5900" s="20">
        <v>45854</v>
      </c>
      <c r="C5900" s="59">
        <v>50802401</v>
      </c>
      <c r="D5900" s="55" t="s">
        <v>13</v>
      </c>
      <c r="G5900" s="65">
        <v>1159200</v>
      </c>
      <c r="H5900" s="56" t="s">
        <v>92</v>
      </c>
      <c r="I5900" s="54">
        <v>8725925856</v>
      </c>
      <c r="J5900" s="56" t="s">
        <v>2978</v>
      </c>
      <c r="K5900" s="56">
        <v>3330</v>
      </c>
      <c r="L5900" s="55" t="s">
        <v>2152</v>
      </c>
      <c r="M5900" s="55" t="s">
        <v>2824</v>
      </c>
      <c r="N5900" s="4" t="s">
        <v>1905</v>
      </c>
      <c r="O5900" s="55" t="s">
        <v>178</v>
      </c>
    </row>
    <row r="5901" spans="2:16">
      <c r="B5901" s="20">
        <v>45854</v>
      </c>
      <c r="C5901" s="59">
        <v>50141786</v>
      </c>
      <c r="D5901" s="55" t="s">
        <v>188</v>
      </c>
      <c r="G5901" s="65">
        <v>9135</v>
      </c>
      <c r="H5901" s="56" t="s">
        <v>82</v>
      </c>
      <c r="I5901" s="54">
        <v>5017426493</v>
      </c>
      <c r="J5901" s="56" t="s">
        <v>2978</v>
      </c>
      <c r="K5901" s="56">
        <v>3331</v>
      </c>
      <c r="L5901" s="55" t="s">
        <v>2152</v>
      </c>
      <c r="M5901" s="55" t="s">
        <v>2824</v>
      </c>
      <c r="N5901" s="4" t="s">
        <v>1905</v>
      </c>
      <c r="O5901" s="55" t="s">
        <v>178</v>
      </c>
      <c r="P5901" s="4" t="s">
        <v>3030</v>
      </c>
    </row>
    <row r="5902" spans="2:16">
      <c r="B5902" s="20">
        <v>45854</v>
      </c>
      <c r="C5902" s="59">
        <v>50837284</v>
      </c>
      <c r="D5902" s="55" t="s">
        <v>28</v>
      </c>
      <c r="G5902" s="65">
        <v>3536.7</v>
      </c>
      <c r="H5902" s="56" t="s">
        <v>82</v>
      </c>
      <c r="I5902" s="54">
        <v>8725925873</v>
      </c>
      <c r="J5902" s="56" t="s">
        <v>2978</v>
      </c>
      <c r="K5902" s="56">
        <v>3331</v>
      </c>
      <c r="L5902" s="55" t="s">
        <v>2152</v>
      </c>
      <c r="M5902" s="55" t="s">
        <v>2824</v>
      </c>
      <c r="N5902" s="4" t="s">
        <v>1905</v>
      </c>
      <c r="O5902" s="55" t="s">
        <v>178</v>
      </c>
    </row>
    <row r="5903" spans="2:16">
      <c r="B5903" s="20">
        <v>45854</v>
      </c>
      <c r="C5903" s="59">
        <v>50272278</v>
      </c>
      <c r="D5903" s="55" t="s">
        <v>21</v>
      </c>
      <c r="G5903" s="65">
        <v>9600</v>
      </c>
      <c r="H5903" s="56" t="s">
        <v>92</v>
      </c>
      <c r="I5903" s="54">
        <v>8725926637</v>
      </c>
      <c r="J5903" s="56" t="s">
        <v>2978</v>
      </c>
      <c r="K5903" s="56">
        <v>3332</v>
      </c>
      <c r="L5903" s="55" t="s">
        <v>2152</v>
      </c>
      <c r="M5903" s="55" t="s">
        <v>2824</v>
      </c>
      <c r="N5903" s="4" t="s">
        <v>1905</v>
      </c>
      <c r="O5903" s="55" t="s">
        <v>178</v>
      </c>
    </row>
    <row r="5904" spans="2:16">
      <c r="B5904" s="20">
        <v>45854</v>
      </c>
      <c r="C5904" s="59">
        <v>50470190</v>
      </c>
      <c r="D5904" s="55" t="s">
        <v>12</v>
      </c>
      <c r="G5904" s="65">
        <v>1738800</v>
      </c>
      <c r="H5904" s="56" t="s">
        <v>92</v>
      </c>
      <c r="I5904" s="54">
        <v>8725926637</v>
      </c>
      <c r="J5904" s="56" t="s">
        <v>2978</v>
      </c>
      <c r="K5904" s="56">
        <v>3332</v>
      </c>
      <c r="L5904" s="55" t="s">
        <v>2152</v>
      </c>
      <c r="M5904" s="55" t="s">
        <v>2824</v>
      </c>
      <c r="N5904" s="4" t="s">
        <v>1905</v>
      </c>
      <c r="O5904" s="55" t="s">
        <v>178</v>
      </c>
    </row>
    <row r="5905" spans="2:15">
      <c r="B5905" s="20">
        <v>45855</v>
      </c>
      <c r="C5905" s="59">
        <v>50804929</v>
      </c>
      <c r="D5905" s="55" t="s">
        <v>856</v>
      </c>
      <c r="G5905" s="65">
        <v>960000</v>
      </c>
      <c r="H5905" s="56" t="s">
        <v>92</v>
      </c>
      <c r="I5905" s="54">
        <v>8726050388</v>
      </c>
      <c r="J5905" s="56" t="s">
        <v>2978</v>
      </c>
      <c r="K5905" s="56">
        <v>3333</v>
      </c>
      <c r="L5905" s="55" t="s">
        <v>2152</v>
      </c>
      <c r="M5905" s="55" t="s">
        <v>2824</v>
      </c>
      <c r="N5905" s="4" t="s">
        <v>1905</v>
      </c>
      <c r="O5905" s="55" t="s">
        <v>178</v>
      </c>
    </row>
    <row r="5906" spans="2:15">
      <c r="B5906" s="20">
        <v>45855</v>
      </c>
      <c r="C5906" s="59">
        <v>50272278</v>
      </c>
      <c r="D5906" s="55" t="s">
        <v>21</v>
      </c>
      <c r="G5906" s="65">
        <v>8400</v>
      </c>
      <c r="H5906" s="56" t="s">
        <v>92</v>
      </c>
      <c r="I5906" s="54">
        <v>8726050388</v>
      </c>
      <c r="J5906" s="56" t="s">
        <v>2978</v>
      </c>
      <c r="K5906" s="56">
        <v>3333</v>
      </c>
      <c r="L5906" s="55" t="s">
        <v>2152</v>
      </c>
      <c r="M5906" s="55" t="s">
        <v>2824</v>
      </c>
      <c r="N5906" s="4" t="s">
        <v>1905</v>
      </c>
      <c r="O5906" s="55" t="s">
        <v>178</v>
      </c>
    </row>
    <row r="5907" spans="2:15">
      <c r="B5907" s="20">
        <v>45855</v>
      </c>
      <c r="C5907" s="59">
        <v>50142327</v>
      </c>
      <c r="D5907" s="55" t="s">
        <v>256</v>
      </c>
      <c r="G5907" s="65">
        <v>953.4</v>
      </c>
      <c r="H5907" s="56" t="s">
        <v>82</v>
      </c>
      <c r="I5907" s="54">
        <v>8726050388</v>
      </c>
      <c r="J5907" s="56" t="s">
        <v>2978</v>
      </c>
      <c r="K5907" s="56">
        <v>3333</v>
      </c>
      <c r="L5907" s="55" t="s">
        <v>2152</v>
      </c>
      <c r="M5907" s="55" t="s">
        <v>2824</v>
      </c>
      <c r="N5907" s="4" t="s">
        <v>1905</v>
      </c>
      <c r="O5907" s="55" t="s">
        <v>178</v>
      </c>
    </row>
    <row r="5908" spans="2:15">
      <c r="B5908" s="20">
        <v>45855</v>
      </c>
      <c r="C5908" s="59">
        <v>50142334</v>
      </c>
      <c r="D5908" s="55" t="s">
        <v>257</v>
      </c>
      <c r="G5908" s="65">
        <v>953.4</v>
      </c>
      <c r="H5908" s="56" t="s">
        <v>82</v>
      </c>
      <c r="I5908" s="54">
        <v>8726050388</v>
      </c>
      <c r="J5908" s="56" t="s">
        <v>2978</v>
      </c>
      <c r="K5908" s="56">
        <v>3333</v>
      </c>
      <c r="L5908" s="55" t="s">
        <v>2152</v>
      </c>
      <c r="M5908" s="55" t="s">
        <v>2824</v>
      </c>
      <c r="N5908" s="4" t="s">
        <v>1905</v>
      </c>
      <c r="O5908" s="55" t="s">
        <v>178</v>
      </c>
    </row>
    <row r="5909" spans="2:15">
      <c r="B5909" s="20">
        <v>45856</v>
      </c>
      <c r="C5909" s="59">
        <v>50010080</v>
      </c>
      <c r="D5909" s="55" t="s">
        <v>1657</v>
      </c>
      <c r="G5909" s="121">
        <v>2000</v>
      </c>
      <c r="H5909" s="56" t="s">
        <v>82</v>
      </c>
      <c r="I5909" s="54">
        <v>8726172471</v>
      </c>
      <c r="J5909" s="56" t="s">
        <v>2978</v>
      </c>
      <c r="K5909" s="56">
        <v>3334</v>
      </c>
      <c r="L5909" s="55" t="s">
        <v>2152</v>
      </c>
      <c r="M5909" s="55" t="s">
        <v>2824</v>
      </c>
      <c r="N5909" s="4" t="s">
        <v>1905</v>
      </c>
      <c r="O5909" s="55" t="s">
        <v>178</v>
      </c>
    </row>
    <row r="5910" spans="2:15">
      <c r="B5910" s="20">
        <v>45856</v>
      </c>
      <c r="C5910" s="59">
        <v>40011148</v>
      </c>
      <c r="D5910" s="55" t="s">
        <v>86</v>
      </c>
      <c r="G5910" s="122">
        <v>900</v>
      </c>
      <c r="H5910" s="56" t="s">
        <v>80</v>
      </c>
      <c r="I5910" s="54">
        <v>8727249128</v>
      </c>
      <c r="J5910" s="56" t="s">
        <v>2978</v>
      </c>
      <c r="K5910" s="56">
        <v>3334</v>
      </c>
      <c r="L5910" s="55" t="s">
        <v>2152</v>
      </c>
      <c r="M5910" s="55" t="s">
        <v>2824</v>
      </c>
      <c r="N5910" s="4" t="s">
        <v>1905</v>
      </c>
      <c r="O5910" s="55" t="s">
        <v>178</v>
      </c>
    </row>
    <row r="5911" spans="2:15">
      <c r="B5911" s="20">
        <v>45856</v>
      </c>
      <c r="C5911" s="59">
        <v>40011149</v>
      </c>
      <c r="D5911" s="55" t="s">
        <v>37</v>
      </c>
      <c r="G5911" s="122">
        <v>720</v>
      </c>
      <c r="H5911" s="56" t="s">
        <v>80</v>
      </c>
      <c r="I5911" s="54">
        <v>8726172471</v>
      </c>
      <c r="J5911" s="56" t="s">
        <v>2978</v>
      </c>
      <c r="K5911" s="56">
        <v>3334</v>
      </c>
      <c r="L5911" s="55" t="s">
        <v>2152</v>
      </c>
      <c r="M5911" s="55" t="s">
        <v>2824</v>
      </c>
      <c r="N5911" s="4" t="s">
        <v>1905</v>
      </c>
      <c r="O5911" s="55" t="s">
        <v>178</v>
      </c>
    </row>
    <row r="5912" spans="2:15">
      <c r="B5912" s="20">
        <v>45856</v>
      </c>
      <c r="C5912" s="59">
        <v>50470190</v>
      </c>
      <c r="D5912" s="55" t="s">
        <v>12</v>
      </c>
      <c r="G5912" s="122">
        <v>1449000</v>
      </c>
      <c r="H5912" s="56" t="s">
        <v>92</v>
      </c>
      <c r="I5912" s="54">
        <v>8726172471</v>
      </c>
      <c r="J5912" s="56" t="s">
        <v>2978</v>
      </c>
      <c r="K5912" s="56">
        <v>3334</v>
      </c>
      <c r="L5912" s="55" t="s">
        <v>2152</v>
      </c>
      <c r="M5912" s="55" t="s">
        <v>2824</v>
      </c>
      <c r="N5912" s="4" t="s">
        <v>1905</v>
      </c>
      <c r="O5912" s="55" t="s">
        <v>178</v>
      </c>
    </row>
    <row r="5913" spans="2:15">
      <c r="B5913" s="20">
        <v>45856</v>
      </c>
      <c r="C5913" s="59">
        <v>50837509</v>
      </c>
      <c r="D5913" s="55" t="s">
        <v>14</v>
      </c>
      <c r="G5913" s="122">
        <v>869400</v>
      </c>
      <c r="H5913" s="56" t="s">
        <v>92</v>
      </c>
      <c r="I5913" s="54">
        <v>8726172471</v>
      </c>
      <c r="J5913" s="56" t="s">
        <v>2978</v>
      </c>
      <c r="K5913" s="56">
        <v>3334</v>
      </c>
      <c r="L5913" s="55" t="s">
        <v>2152</v>
      </c>
      <c r="M5913" s="55" t="s">
        <v>2824</v>
      </c>
      <c r="N5913" s="4" t="s">
        <v>1905</v>
      </c>
      <c r="O5913" s="55" t="s">
        <v>178</v>
      </c>
    </row>
    <row r="5914" spans="2:15">
      <c r="B5914" s="20">
        <v>45856</v>
      </c>
      <c r="C5914" s="59">
        <v>50837268</v>
      </c>
      <c r="D5914" s="55" t="s">
        <v>2401</v>
      </c>
      <c r="G5914" s="122">
        <v>1340</v>
      </c>
      <c r="H5914" s="56" t="s">
        <v>82</v>
      </c>
      <c r="I5914" s="54">
        <v>8726172471</v>
      </c>
      <c r="J5914" s="56" t="s">
        <v>2978</v>
      </c>
      <c r="K5914" s="56">
        <v>3334</v>
      </c>
      <c r="L5914" s="55" t="s">
        <v>2152</v>
      </c>
      <c r="M5914" s="55" t="s">
        <v>2824</v>
      </c>
      <c r="N5914" s="4" t="s">
        <v>1905</v>
      </c>
      <c r="O5914" s="55" t="s">
        <v>178</v>
      </c>
    </row>
    <row r="5915" spans="2:15">
      <c r="B5915" s="20">
        <v>45859</v>
      </c>
      <c r="C5915" s="59">
        <v>50837284</v>
      </c>
      <c r="D5915" s="55" t="s">
        <v>28</v>
      </c>
      <c r="G5915" s="122">
        <v>2887.85</v>
      </c>
      <c r="H5915" s="56" t="s">
        <v>82</v>
      </c>
      <c r="I5915" s="54">
        <v>8727135550</v>
      </c>
      <c r="J5915" s="56" t="s">
        <v>2978</v>
      </c>
      <c r="K5915" s="56">
        <v>3335</v>
      </c>
      <c r="L5915" s="55" t="s">
        <v>2152</v>
      </c>
      <c r="M5915" s="55" t="s">
        <v>2824</v>
      </c>
      <c r="N5915" s="4" t="s">
        <v>1905</v>
      </c>
      <c r="O5915" s="55" t="s">
        <v>178</v>
      </c>
    </row>
    <row r="5916" spans="2:15">
      <c r="B5916" s="20">
        <v>45859</v>
      </c>
      <c r="C5916" s="59">
        <v>50272278</v>
      </c>
      <c r="D5916" s="55" t="s">
        <v>21</v>
      </c>
      <c r="G5916" s="122">
        <v>4800</v>
      </c>
      <c r="H5916" s="56" t="s">
        <v>92</v>
      </c>
      <c r="I5916" s="54">
        <v>8726386527</v>
      </c>
      <c r="J5916" s="56" t="s">
        <v>2978</v>
      </c>
      <c r="K5916" s="56">
        <v>3335</v>
      </c>
      <c r="L5916" s="55" t="s">
        <v>2152</v>
      </c>
      <c r="M5916" s="55" t="s">
        <v>2824</v>
      </c>
      <c r="N5916" s="4" t="s">
        <v>1905</v>
      </c>
      <c r="O5916" s="55" t="s">
        <v>178</v>
      </c>
    </row>
    <row r="5917" spans="2:15">
      <c r="B5917" s="20">
        <v>45859</v>
      </c>
      <c r="C5917" s="59">
        <v>40004808</v>
      </c>
      <c r="D5917" s="55" t="s">
        <v>91</v>
      </c>
      <c r="G5917" s="122">
        <v>900</v>
      </c>
      <c r="H5917" s="56" t="s">
        <v>1248</v>
      </c>
      <c r="I5917" s="54">
        <v>8726386527</v>
      </c>
      <c r="J5917" s="56" t="s">
        <v>2978</v>
      </c>
      <c r="K5917" s="56">
        <v>3335</v>
      </c>
      <c r="L5917" s="55" t="s">
        <v>2152</v>
      </c>
      <c r="M5917" s="55" t="s">
        <v>2824</v>
      </c>
      <c r="N5917" s="4" t="s">
        <v>1905</v>
      </c>
      <c r="O5917" s="55" t="s">
        <v>178</v>
      </c>
    </row>
    <row r="5918" spans="2:15">
      <c r="B5918" s="20">
        <v>45859</v>
      </c>
      <c r="C5918" s="59">
        <v>50470190</v>
      </c>
      <c r="D5918" s="55" t="s">
        <v>12</v>
      </c>
      <c r="G5918" s="122">
        <v>1738800</v>
      </c>
      <c r="H5918" s="123" t="s">
        <v>92</v>
      </c>
      <c r="I5918" s="54">
        <v>8726386527</v>
      </c>
      <c r="J5918" s="56" t="s">
        <v>2978</v>
      </c>
      <c r="K5918" s="56">
        <v>3335</v>
      </c>
      <c r="L5918" s="55" t="s">
        <v>2152</v>
      </c>
      <c r="M5918" s="55" t="s">
        <v>2824</v>
      </c>
      <c r="N5918" s="4" t="s">
        <v>1905</v>
      </c>
      <c r="O5918" s="55" t="s">
        <v>178</v>
      </c>
    </row>
    <row r="5919" spans="2:15">
      <c r="B5919" s="20">
        <v>45859</v>
      </c>
      <c r="C5919" s="59">
        <v>40014675</v>
      </c>
      <c r="D5919" s="55" t="s">
        <v>44</v>
      </c>
      <c r="G5919" s="65">
        <v>37.44</v>
      </c>
      <c r="H5919" s="56" t="s">
        <v>1248</v>
      </c>
      <c r="I5919" s="54">
        <v>8726386853</v>
      </c>
      <c r="J5919" s="56" t="s">
        <v>2978</v>
      </c>
      <c r="K5919" s="56">
        <v>440</v>
      </c>
      <c r="L5919" s="55" t="s">
        <v>2876</v>
      </c>
      <c r="M5919" s="55" t="s">
        <v>2824</v>
      </c>
      <c r="O5919" s="55" t="s">
        <v>178</v>
      </c>
    </row>
    <row r="5920" spans="2:15">
      <c r="B5920" s="20">
        <v>45859</v>
      </c>
      <c r="C5920" s="59">
        <v>40014675</v>
      </c>
      <c r="D5920" s="55" t="s">
        <v>44</v>
      </c>
      <c r="G5920" s="65">
        <v>37.44</v>
      </c>
      <c r="H5920" s="56" t="s">
        <v>1248</v>
      </c>
      <c r="I5920" s="54">
        <v>8726386905</v>
      </c>
      <c r="J5920" s="56" t="s">
        <v>2978</v>
      </c>
      <c r="K5920" s="56">
        <v>441</v>
      </c>
      <c r="L5920" s="55" t="s">
        <v>2876</v>
      </c>
      <c r="M5920" s="55" t="s">
        <v>2824</v>
      </c>
      <c r="O5920" s="55" t="s">
        <v>178</v>
      </c>
    </row>
    <row r="5921" spans="2:15">
      <c r="B5921" s="20">
        <v>45859</v>
      </c>
      <c r="C5921" s="59">
        <v>40014675</v>
      </c>
      <c r="D5921" s="55" t="s">
        <v>44</v>
      </c>
      <c r="G5921" s="65">
        <v>37.44</v>
      </c>
      <c r="H5921" s="56" t="s">
        <v>1248</v>
      </c>
      <c r="I5921" s="54">
        <v>8726386907</v>
      </c>
      <c r="J5921" s="56" t="s">
        <v>2978</v>
      </c>
      <c r="K5921" s="56">
        <v>442</v>
      </c>
      <c r="L5921" s="55" t="s">
        <v>2876</v>
      </c>
      <c r="M5921" s="55" t="s">
        <v>2824</v>
      </c>
      <c r="O5921" s="55" t="s">
        <v>178</v>
      </c>
    </row>
    <row r="5922" spans="2:15">
      <c r="B5922" s="20">
        <v>45859</v>
      </c>
      <c r="C5922" s="59">
        <v>40014675</v>
      </c>
      <c r="D5922" s="55" t="s">
        <v>44</v>
      </c>
      <c r="G5922" s="65">
        <v>37.44</v>
      </c>
      <c r="H5922" s="56" t="s">
        <v>1248</v>
      </c>
      <c r="I5922" s="54">
        <v>8726386912</v>
      </c>
      <c r="J5922" s="56" t="s">
        <v>2978</v>
      </c>
      <c r="K5922" s="56">
        <v>443</v>
      </c>
      <c r="L5922" s="55" t="s">
        <v>2876</v>
      </c>
      <c r="M5922" s="55" t="s">
        <v>2824</v>
      </c>
      <c r="O5922" s="55" t="s">
        <v>178</v>
      </c>
    </row>
    <row r="5923" spans="2:15">
      <c r="B5923" s="20">
        <v>45859</v>
      </c>
      <c r="C5923" s="59">
        <v>40014675</v>
      </c>
      <c r="D5923" s="55" t="s">
        <v>44</v>
      </c>
      <c r="G5923" s="65">
        <v>37.44</v>
      </c>
      <c r="H5923" s="56" t="s">
        <v>1248</v>
      </c>
      <c r="I5923" s="54">
        <v>8726386924</v>
      </c>
      <c r="J5923" s="56" t="s">
        <v>2978</v>
      </c>
      <c r="K5923" s="56">
        <v>444</v>
      </c>
      <c r="L5923" s="55" t="s">
        <v>2876</v>
      </c>
      <c r="M5923" s="55" t="s">
        <v>2824</v>
      </c>
      <c r="O5923" s="55" t="s">
        <v>178</v>
      </c>
    </row>
    <row r="5924" spans="2:15">
      <c r="B5924" s="20">
        <v>45859</v>
      </c>
      <c r="C5924" s="59">
        <v>40014675</v>
      </c>
      <c r="D5924" s="55" t="s">
        <v>44</v>
      </c>
      <c r="G5924" s="65">
        <v>37.44</v>
      </c>
      <c r="H5924" s="56" t="s">
        <v>1248</v>
      </c>
      <c r="I5924" s="54">
        <v>8726386926</v>
      </c>
      <c r="J5924" s="56" t="s">
        <v>2978</v>
      </c>
      <c r="K5924" s="56">
        <v>445</v>
      </c>
      <c r="L5924" s="55" t="s">
        <v>2876</v>
      </c>
      <c r="M5924" s="55" t="s">
        <v>2824</v>
      </c>
      <c r="O5924" s="55" t="s">
        <v>178</v>
      </c>
    </row>
    <row r="5925" spans="2:15">
      <c r="B5925" s="20">
        <v>45859</v>
      </c>
      <c r="C5925" s="59">
        <v>40014675</v>
      </c>
      <c r="D5925" s="55" t="s">
        <v>44</v>
      </c>
      <c r="G5925" s="65">
        <v>37.44</v>
      </c>
      <c r="H5925" s="56" t="s">
        <v>1248</v>
      </c>
      <c r="I5925" s="54">
        <v>8726386927</v>
      </c>
      <c r="J5925" s="56" t="s">
        <v>2978</v>
      </c>
      <c r="K5925" s="56">
        <v>446</v>
      </c>
      <c r="L5925" s="55" t="s">
        <v>2876</v>
      </c>
      <c r="M5925" s="55" t="s">
        <v>2824</v>
      </c>
      <c r="O5925" s="55" t="s">
        <v>178</v>
      </c>
    </row>
    <row r="5926" spans="2:15">
      <c r="B5926" s="20">
        <v>45860</v>
      </c>
      <c r="C5926" s="59">
        <v>50272278</v>
      </c>
      <c r="D5926" s="69" t="s">
        <v>21</v>
      </c>
      <c r="G5926" s="65">
        <v>6000</v>
      </c>
      <c r="H5926" s="56" t="s">
        <v>92</v>
      </c>
      <c r="I5926" s="54">
        <v>8726503829</v>
      </c>
      <c r="J5926" s="56" t="s">
        <v>2978</v>
      </c>
      <c r="K5926" s="56">
        <v>3336</v>
      </c>
      <c r="L5926" s="55" t="s">
        <v>2152</v>
      </c>
      <c r="M5926" s="55" t="s">
        <v>2824</v>
      </c>
      <c r="N5926" s="4" t="s">
        <v>177</v>
      </c>
      <c r="O5926" s="55" t="s">
        <v>178</v>
      </c>
    </row>
    <row r="5927" spans="2:15">
      <c r="B5927" s="20">
        <v>45860</v>
      </c>
      <c r="C5927" s="59">
        <v>50470190</v>
      </c>
      <c r="D5927" s="66" t="s">
        <v>12</v>
      </c>
      <c r="G5927" s="65">
        <v>2898000</v>
      </c>
      <c r="H5927" s="56" t="s">
        <v>92</v>
      </c>
      <c r="I5927" s="54">
        <v>8726503829</v>
      </c>
      <c r="J5927" s="56" t="s">
        <v>2978</v>
      </c>
      <c r="K5927" s="56">
        <v>3336</v>
      </c>
      <c r="L5927" s="55" t="s">
        <v>2152</v>
      </c>
      <c r="M5927" s="55" t="s">
        <v>2824</v>
      </c>
      <c r="N5927" s="4" t="s">
        <v>177</v>
      </c>
      <c r="O5927" s="55" t="s">
        <v>178</v>
      </c>
    </row>
    <row r="5928" spans="2:15">
      <c r="B5928" s="20">
        <v>45860</v>
      </c>
      <c r="C5928" s="59">
        <v>40014675</v>
      </c>
      <c r="D5928" s="55" t="s">
        <v>44</v>
      </c>
      <c r="G5928" s="65">
        <v>37.44</v>
      </c>
      <c r="H5928" s="56" t="s">
        <v>1248</v>
      </c>
      <c r="I5928" s="54">
        <v>8726504105</v>
      </c>
      <c r="J5928" s="56" t="s">
        <v>2978</v>
      </c>
      <c r="K5928" s="56">
        <v>447</v>
      </c>
      <c r="L5928" s="55" t="s">
        <v>2876</v>
      </c>
      <c r="M5928" s="55" t="s">
        <v>2824</v>
      </c>
      <c r="O5928" s="55" t="s">
        <v>178</v>
      </c>
    </row>
    <row r="5929" spans="2:15">
      <c r="B5929" s="20">
        <v>45860</v>
      </c>
      <c r="C5929" s="59">
        <v>40014675</v>
      </c>
      <c r="D5929" s="55" t="s">
        <v>44</v>
      </c>
      <c r="G5929" s="65">
        <v>37.44</v>
      </c>
      <c r="H5929" s="56" t="s">
        <v>1248</v>
      </c>
      <c r="I5929" s="54">
        <v>8726504112</v>
      </c>
      <c r="J5929" s="56" t="s">
        <v>2978</v>
      </c>
      <c r="K5929" s="56">
        <v>448</v>
      </c>
      <c r="L5929" s="55" t="s">
        <v>2876</v>
      </c>
      <c r="M5929" s="55" t="s">
        <v>2824</v>
      </c>
      <c r="O5929" s="55" t="s">
        <v>178</v>
      </c>
    </row>
    <row r="5930" spans="2:15">
      <c r="B5930" s="20">
        <v>45860</v>
      </c>
      <c r="C5930" s="59">
        <v>40014675</v>
      </c>
      <c r="D5930" s="55" t="s">
        <v>44</v>
      </c>
      <c r="G5930" s="65">
        <v>37.44</v>
      </c>
      <c r="H5930" s="56" t="s">
        <v>1248</v>
      </c>
      <c r="I5930" s="54">
        <v>8726504245</v>
      </c>
      <c r="J5930" s="56" t="s">
        <v>2978</v>
      </c>
      <c r="K5930" s="56">
        <v>449</v>
      </c>
      <c r="L5930" s="55" t="s">
        <v>2876</v>
      </c>
      <c r="M5930" s="55" t="s">
        <v>2824</v>
      </c>
      <c r="O5930" s="55" t="s">
        <v>178</v>
      </c>
    </row>
    <row r="5931" spans="2:15">
      <c r="B5931" s="20">
        <v>45860</v>
      </c>
      <c r="C5931" s="59">
        <v>40014675</v>
      </c>
      <c r="D5931" s="55" t="s">
        <v>44</v>
      </c>
      <c r="G5931" s="65">
        <v>37.44</v>
      </c>
      <c r="H5931" s="56" t="s">
        <v>1248</v>
      </c>
      <c r="I5931" s="54">
        <v>8726504250</v>
      </c>
      <c r="J5931" s="56" t="s">
        <v>2978</v>
      </c>
      <c r="K5931" s="56">
        <v>450</v>
      </c>
      <c r="L5931" s="55" t="s">
        <v>2876</v>
      </c>
      <c r="M5931" s="55" t="s">
        <v>2824</v>
      </c>
      <c r="O5931" s="55" t="s">
        <v>178</v>
      </c>
    </row>
    <row r="5932" spans="2:15">
      <c r="B5932" s="20">
        <v>45860</v>
      </c>
      <c r="C5932" s="59">
        <v>40014675</v>
      </c>
      <c r="D5932" s="55" t="s">
        <v>44</v>
      </c>
      <c r="G5932" s="65">
        <v>37.44</v>
      </c>
      <c r="H5932" s="56" t="s">
        <v>1248</v>
      </c>
      <c r="I5932" s="54">
        <v>8726504252</v>
      </c>
      <c r="J5932" s="56" t="s">
        <v>2978</v>
      </c>
      <c r="K5932" s="56">
        <v>451</v>
      </c>
      <c r="L5932" s="55" t="s">
        <v>2876</v>
      </c>
      <c r="M5932" s="55" t="s">
        <v>2824</v>
      </c>
      <c r="O5932" s="55" t="s">
        <v>178</v>
      </c>
    </row>
    <row r="5933" spans="2:15">
      <c r="B5933" s="20">
        <v>45860</v>
      </c>
      <c r="C5933" s="59">
        <v>40014675</v>
      </c>
      <c r="D5933" s="55" t="s">
        <v>44</v>
      </c>
      <c r="G5933" s="65">
        <v>37.44</v>
      </c>
      <c r="H5933" s="56" t="s">
        <v>1248</v>
      </c>
      <c r="I5933" s="54">
        <v>8726504345</v>
      </c>
      <c r="J5933" s="56" t="s">
        <v>2978</v>
      </c>
      <c r="K5933" s="56">
        <v>452</v>
      </c>
      <c r="L5933" s="55" t="s">
        <v>2876</v>
      </c>
      <c r="M5933" s="55" t="s">
        <v>2824</v>
      </c>
      <c r="O5933" s="55" t="s">
        <v>178</v>
      </c>
    </row>
    <row r="5934" spans="2:15">
      <c r="B5934" s="20">
        <v>45861</v>
      </c>
      <c r="C5934" s="59">
        <v>50010080</v>
      </c>
      <c r="D5934" s="55" t="s">
        <v>1657</v>
      </c>
      <c r="G5934" s="65">
        <v>2000</v>
      </c>
      <c r="H5934" s="56" t="s">
        <v>82</v>
      </c>
      <c r="I5934" s="54">
        <v>8726623672</v>
      </c>
      <c r="J5934" s="56" t="s">
        <v>2978</v>
      </c>
      <c r="K5934" s="56">
        <v>3337</v>
      </c>
      <c r="L5934" s="55" t="s">
        <v>2876</v>
      </c>
      <c r="M5934" s="55" t="s">
        <v>2824</v>
      </c>
      <c r="O5934" s="55" t="s">
        <v>178</v>
      </c>
    </row>
    <row r="5935" spans="2:15">
      <c r="B5935" s="20">
        <v>45861</v>
      </c>
      <c r="C5935" s="59">
        <v>40004808</v>
      </c>
      <c r="D5935" s="55" t="s">
        <v>91</v>
      </c>
      <c r="G5935" s="65">
        <v>2250</v>
      </c>
      <c r="H5935" s="56" t="s">
        <v>1248</v>
      </c>
      <c r="I5935" s="54">
        <v>8726623672</v>
      </c>
      <c r="J5935" s="56" t="s">
        <v>2978</v>
      </c>
      <c r="K5935" s="56">
        <v>3337</v>
      </c>
      <c r="L5935" s="55" t="s">
        <v>2876</v>
      </c>
      <c r="M5935" s="55" t="s">
        <v>2824</v>
      </c>
      <c r="O5935" s="55" t="s">
        <v>178</v>
      </c>
    </row>
    <row r="5936" spans="2:15">
      <c r="B5936" s="20">
        <v>45861</v>
      </c>
      <c r="C5936" s="59">
        <v>50470190</v>
      </c>
      <c r="D5936" s="55" t="s">
        <v>12</v>
      </c>
      <c r="G5936" s="65">
        <v>1159200</v>
      </c>
      <c r="H5936" s="56" t="s">
        <v>92</v>
      </c>
      <c r="I5936" s="54">
        <v>8726623672</v>
      </c>
      <c r="J5936" s="56" t="s">
        <v>2978</v>
      </c>
      <c r="K5936" s="56">
        <v>3337</v>
      </c>
      <c r="L5936" s="55" t="s">
        <v>2876</v>
      </c>
      <c r="M5936" s="55" t="s">
        <v>2824</v>
      </c>
      <c r="O5936" s="55" t="s">
        <v>178</v>
      </c>
    </row>
    <row r="5937" spans="2:15">
      <c r="B5937" s="20">
        <v>45861</v>
      </c>
      <c r="C5937" s="59">
        <v>40011588</v>
      </c>
      <c r="D5937" s="55" t="s">
        <v>585</v>
      </c>
      <c r="G5937" s="65">
        <v>1350</v>
      </c>
      <c r="H5937" s="56" t="s">
        <v>80</v>
      </c>
      <c r="I5937" s="54">
        <v>8726623672</v>
      </c>
      <c r="J5937" s="56" t="s">
        <v>2978</v>
      </c>
      <c r="K5937" s="56">
        <v>3337</v>
      </c>
      <c r="L5937" s="55" t="s">
        <v>2876</v>
      </c>
      <c r="M5937" s="55" t="s">
        <v>2824</v>
      </c>
      <c r="O5937" s="55" t="s">
        <v>178</v>
      </c>
    </row>
    <row r="5938" spans="2:15">
      <c r="B5938" s="20">
        <v>45861</v>
      </c>
      <c r="C5938" s="59">
        <v>40011659</v>
      </c>
      <c r="D5938" s="55" t="s">
        <v>89</v>
      </c>
      <c r="G5938" s="65">
        <v>560</v>
      </c>
      <c r="H5938" s="56" t="s">
        <v>80</v>
      </c>
      <c r="I5938" s="54">
        <v>8726623672</v>
      </c>
      <c r="J5938" s="56" t="s">
        <v>2978</v>
      </c>
      <c r="K5938" s="56">
        <v>3337</v>
      </c>
      <c r="L5938" s="55" t="s">
        <v>2876</v>
      </c>
      <c r="M5938" s="55" t="s">
        <v>2824</v>
      </c>
      <c r="O5938" s="55" t="s">
        <v>178</v>
      </c>
    </row>
    <row r="5939" spans="2:15">
      <c r="B5939" s="20">
        <v>45861</v>
      </c>
      <c r="C5939" s="59">
        <v>50837268</v>
      </c>
      <c r="D5939" s="55" t="s">
        <v>2401</v>
      </c>
      <c r="G5939" s="65">
        <v>3097.65</v>
      </c>
      <c r="H5939" s="56" t="s">
        <v>82</v>
      </c>
      <c r="I5939" s="54">
        <v>8726623672</v>
      </c>
      <c r="J5939" s="56" t="s">
        <v>2978</v>
      </c>
      <c r="K5939" s="56">
        <v>3337</v>
      </c>
      <c r="L5939" s="55" t="s">
        <v>2152</v>
      </c>
      <c r="M5939" s="55" t="s">
        <v>2824</v>
      </c>
      <c r="O5939" s="55" t="s">
        <v>178</v>
      </c>
    </row>
    <row r="5940" spans="2:15">
      <c r="B5940" s="20">
        <v>45862</v>
      </c>
      <c r="C5940" s="59">
        <v>50470190</v>
      </c>
      <c r="D5940" s="66" t="s">
        <v>12</v>
      </c>
      <c r="G5940" s="65">
        <f>289800*20</f>
        <v>5796000</v>
      </c>
      <c r="H5940" s="56" t="s">
        <v>92</v>
      </c>
      <c r="I5940" s="54">
        <v>8726772545</v>
      </c>
      <c r="J5940" s="56" t="s">
        <v>2978</v>
      </c>
      <c r="K5940" s="56">
        <v>3338</v>
      </c>
      <c r="L5940" s="55" t="s">
        <v>2152</v>
      </c>
      <c r="M5940" s="55" t="s">
        <v>2824</v>
      </c>
      <c r="N5940" s="4" t="s">
        <v>177</v>
      </c>
      <c r="O5940" s="55" t="s">
        <v>178</v>
      </c>
    </row>
    <row r="5941" spans="2:15">
      <c r="B5941" s="20">
        <v>45862</v>
      </c>
      <c r="C5941" s="59">
        <v>50837239</v>
      </c>
      <c r="D5941" s="55" t="s">
        <v>27</v>
      </c>
      <c r="G5941" s="65">
        <v>2628.65</v>
      </c>
      <c r="H5941" s="56" t="s">
        <v>82</v>
      </c>
      <c r="I5941" s="54">
        <v>8726772547</v>
      </c>
      <c r="J5941" s="56" t="s">
        <v>2978</v>
      </c>
      <c r="K5941" s="56">
        <v>3339</v>
      </c>
      <c r="L5941" s="55" t="s">
        <v>2152</v>
      </c>
      <c r="M5941" s="55" t="s">
        <v>2824</v>
      </c>
      <c r="N5941" s="4" t="s">
        <v>177</v>
      </c>
      <c r="O5941" s="55" t="s">
        <v>178</v>
      </c>
    </row>
    <row r="5942" spans="2:15">
      <c r="B5942" s="20">
        <v>45862</v>
      </c>
      <c r="C5942" s="59">
        <v>50272278</v>
      </c>
      <c r="D5942" s="55" t="s">
        <v>21</v>
      </c>
      <c r="G5942" s="65">
        <v>5400</v>
      </c>
      <c r="H5942" s="56" t="s">
        <v>92</v>
      </c>
      <c r="I5942" s="54">
        <v>8726772547</v>
      </c>
      <c r="J5942" s="56" t="s">
        <v>2978</v>
      </c>
      <c r="K5942" s="56">
        <v>3339</v>
      </c>
      <c r="L5942" s="55" t="s">
        <v>2152</v>
      </c>
      <c r="M5942" s="55" t="s">
        <v>2824</v>
      </c>
      <c r="N5942" s="4" t="s">
        <v>177</v>
      </c>
      <c r="O5942" s="55" t="s">
        <v>178</v>
      </c>
    </row>
    <row r="5943" spans="2:15">
      <c r="B5943" s="20">
        <v>45862</v>
      </c>
      <c r="C5943" s="59">
        <v>50802401</v>
      </c>
      <c r="D5943" s="55" t="s">
        <v>13</v>
      </c>
      <c r="G5943" s="65">
        <v>2318400</v>
      </c>
      <c r="H5943" s="56" t="s">
        <v>92</v>
      </c>
      <c r="I5943" s="54">
        <v>8726772547</v>
      </c>
      <c r="J5943" s="56" t="s">
        <v>2978</v>
      </c>
      <c r="K5943" s="56">
        <v>3339</v>
      </c>
      <c r="L5943" s="55" t="s">
        <v>2152</v>
      </c>
      <c r="M5943" s="55" t="s">
        <v>2824</v>
      </c>
      <c r="N5943" s="4" t="s">
        <v>177</v>
      </c>
      <c r="O5943" s="55" t="s">
        <v>178</v>
      </c>
    </row>
    <row r="5944" spans="2:15">
      <c r="B5944" s="20">
        <v>45863</v>
      </c>
      <c r="C5944" s="59">
        <v>40014900</v>
      </c>
      <c r="D5944" s="55" t="s">
        <v>153</v>
      </c>
      <c r="G5944" s="65">
        <v>34.56</v>
      </c>
      <c r="H5944" s="56" t="s">
        <v>80</v>
      </c>
      <c r="I5944" s="54">
        <v>8726902727</v>
      </c>
      <c r="J5944" s="56" t="s">
        <v>2978</v>
      </c>
      <c r="K5944" s="56">
        <v>453</v>
      </c>
      <c r="L5944" s="55" t="s">
        <v>392</v>
      </c>
      <c r="M5944" s="55" t="s">
        <v>2824</v>
      </c>
      <c r="O5944" s="55" t="s">
        <v>178</v>
      </c>
    </row>
    <row r="5945" spans="2:15">
      <c r="B5945" s="20">
        <v>45863</v>
      </c>
      <c r="C5945" s="59">
        <v>40014900</v>
      </c>
      <c r="D5945" s="55" t="s">
        <v>153</v>
      </c>
      <c r="G5945" s="65">
        <v>34.56</v>
      </c>
      <c r="H5945" s="56" t="s">
        <v>80</v>
      </c>
      <c r="I5945" s="54">
        <v>8726902729</v>
      </c>
      <c r="J5945" s="56" t="s">
        <v>2978</v>
      </c>
      <c r="K5945" s="56">
        <v>454</v>
      </c>
      <c r="L5945" s="55" t="s">
        <v>392</v>
      </c>
      <c r="M5945" s="55" t="s">
        <v>2824</v>
      </c>
      <c r="O5945" s="55" t="s">
        <v>178</v>
      </c>
    </row>
    <row r="5946" spans="2:15">
      <c r="B5946" s="20">
        <v>45863</v>
      </c>
      <c r="C5946" s="59">
        <v>40014900</v>
      </c>
      <c r="D5946" s="55" t="s">
        <v>153</v>
      </c>
      <c r="G5946" s="65">
        <v>34.56</v>
      </c>
      <c r="H5946" s="56" t="s">
        <v>80</v>
      </c>
      <c r="I5946" s="54">
        <v>8726902730</v>
      </c>
      <c r="J5946" s="56" t="s">
        <v>2978</v>
      </c>
      <c r="K5946" s="56">
        <v>455</v>
      </c>
      <c r="L5946" s="55" t="s">
        <v>392</v>
      </c>
      <c r="M5946" s="55" t="s">
        <v>2824</v>
      </c>
      <c r="O5946" s="55" t="s">
        <v>178</v>
      </c>
    </row>
    <row r="5947" spans="2:15">
      <c r="B5947" s="20">
        <v>45863</v>
      </c>
      <c r="C5947" s="59">
        <v>40014900</v>
      </c>
      <c r="D5947" s="55" t="s">
        <v>153</v>
      </c>
      <c r="G5947" s="65">
        <v>34.56</v>
      </c>
      <c r="H5947" s="56" t="s">
        <v>80</v>
      </c>
      <c r="I5947" s="54">
        <v>8726902894</v>
      </c>
      <c r="J5947" s="56" t="s">
        <v>2978</v>
      </c>
      <c r="K5947" s="56">
        <v>456</v>
      </c>
      <c r="L5947" s="55" t="s">
        <v>392</v>
      </c>
      <c r="M5947" s="55" t="s">
        <v>2824</v>
      </c>
      <c r="O5947" s="55" t="s">
        <v>178</v>
      </c>
    </row>
    <row r="5948" spans="2:15">
      <c r="B5948" s="20">
        <v>45863</v>
      </c>
      <c r="C5948" s="59">
        <v>50272278</v>
      </c>
      <c r="D5948" s="69" t="s">
        <v>21</v>
      </c>
      <c r="G5948" s="65">
        <f>48*300</f>
        <v>14400</v>
      </c>
      <c r="H5948" s="56" t="s">
        <v>92</v>
      </c>
      <c r="I5948" s="54">
        <v>8726902713</v>
      </c>
      <c r="J5948" s="56" t="s">
        <v>2978</v>
      </c>
      <c r="K5948" s="56">
        <v>33340</v>
      </c>
      <c r="L5948" s="55" t="s">
        <v>2152</v>
      </c>
      <c r="M5948" s="55" t="s">
        <v>2824</v>
      </c>
      <c r="N5948" s="4" t="s">
        <v>177</v>
      </c>
      <c r="O5948" s="55" t="s">
        <v>178</v>
      </c>
    </row>
    <row r="5949" spans="2:15">
      <c r="B5949" s="20">
        <v>45863</v>
      </c>
      <c r="C5949" s="59">
        <v>50515034</v>
      </c>
      <c r="D5949" s="55" t="s">
        <v>41</v>
      </c>
      <c r="G5949" s="65">
        <v>131.35</v>
      </c>
      <c r="H5949" s="56" t="s">
        <v>80</v>
      </c>
      <c r="I5949" s="54">
        <v>8727497475</v>
      </c>
      <c r="J5949" s="56" t="s">
        <v>2978</v>
      </c>
      <c r="K5949" s="56">
        <v>33341</v>
      </c>
      <c r="L5949" s="55" t="s">
        <v>326</v>
      </c>
      <c r="M5949" s="55" t="s">
        <v>392</v>
      </c>
      <c r="O5949" s="55" t="s">
        <v>178</v>
      </c>
    </row>
    <row r="5950" spans="2:15">
      <c r="B5950" s="20">
        <v>45863</v>
      </c>
      <c r="C5950" s="59">
        <v>50145028</v>
      </c>
      <c r="D5950" s="55" t="s">
        <v>23</v>
      </c>
      <c r="G5950" s="65">
        <v>360</v>
      </c>
      <c r="H5950" s="56" t="s">
        <v>92</v>
      </c>
      <c r="I5950" s="54">
        <v>8727497475</v>
      </c>
      <c r="J5950" s="56" t="s">
        <v>2978</v>
      </c>
      <c r="K5950" s="56">
        <v>33341</v>
      </c>
      <c r="L5950" s="55" t="s">
        <v>326</v>
      </c>
      <c r="M5950" s="55" t="s">
        <v>392</v>
      </c>
      <c r="O5950" s="55" t="s">
        <v>178</v>
      </c>
    </row>
    <row r="5951" spans="2:15">
      <c r="B5951" s="20">
        <v>45863</v>
      </c>
      <c r="C5951" s="59">
        <v>50143893</v>
      </c>
      <c r="D5951" s="55" t="s">
        <v>24</v>
      </c>
      <c r="G5951" s="65">
        <v>2095.5</v>
      </c>
      <c r="H5951" s="56" t="s">
        <v>82</v>
      </c>
      <c r="I5951" s="54">
        <v>8727497475</v>
      </c>
      <c r="J5951" s="56" t="s">
        <v>2978</v>
      </c>
      <c r="K5951" s="56">
        <v>33341</v>
      </c>
      <c r="L5951" s="55" t="s">
        <v>326</v>
      </c>
      <c r="M5951" s="55" t="s">
        <v>392</v>
      </c>
      <c r="O5951" s="55" t="s">
        <v>178</v>
      </c>
    </row>
    <row r="5952" spans="2:15">
      <c r="B5952" s="20">
        <v>45863</v>
      </c>
      <c r="C5952" s="59">
        <v>50809353</v>
      </c>
      <c r="D5952" s="55" t="s">
        <v>905</v>
      </c>
      <c r="G5952" s="65">
        <v>1600</v>
      </c>
      <c r="H5952" s="56" t="s">
        <v>82</v>
      </c>
      <c r="I5952" s="54">
        <v>8727132903</v>
      </c>
      <c r="J5952" s="56" t="s">
        <v>2978</v>
      </c>
      <c r="K5952" s="56">
        <v>33342</v>
      </c>
      <c r="L5952" s="55" t="s">
        <v>2152</v>
      </c>
      <c r="M5952" s="55" t="s">
        <v>2824</v>
      </c>
      <c r="N5952" s="4" t="s">
        <v>177</v>
      </c>
      <c r="O5952" s="55" t="s">
        <v>178</v>
      </c>
    </row>
    <row r="5953" spans="2:15">
      <c r="B5953" s="20">
        <v>45863</v>
      </c>
      <c r="C5953" s="59">
        <v>50142328</v>
      </c>
      <c r="D5953" s="55" t="s">
        <v>1591</v>
      </c>
      <c r="G5953" s="65">
        <v>3000</v>
      </c>
      <c r="H5953" s="56" t="s">
        <v>82</v>
      </c>
      <c r="I5953" s="54">
        <v>8727132903</v>
      </c>
      <c r="J5953" s="56" t="s">
        <v>2978</v>
      </c>
      <c r="K5953" s="56">
        <v>33342</v>
      </c>
      <c r="L5953" s="55" t="s">
        <v>2152</v>
      </c>
      <c r="M5953" s="55" t="s">
        <v>2824</v>
      </c>
      <c r="N5953" s="4" t="s">
        <v>177</v>
      </c>
      <c r="O5953" s="55" t="s">
        <v>178</v>
      </c>
    </row>
    <row r="5954" spans="2:15">
      <c r="B5954" s="20">
        <v>45863</v>
      </c>
      <c r="C5954" s="59">
        <v>50837238</v>
      </c>
      <c r="D5954" s="55" t="s">
        <v>1976</v>
      </c>
      <c r="G5954" s="65">
        <v>2086</v>
      </c>
      <c r="H5954" s="56" t="s">
        <v>82</v>
      </c>
      <c r="I5954" s="54">
        <v>8727132903</v>
      </c>
      <c r="J5954" s="56" t="s">
        <v>2978</v>
      </c>
      <c r="K5954" s="56">
        <v>33342</v>
      </c>
      <c r="L5954" s="55" t="s">
        <v>2152</v>
      </c>
      <c r="M5954" s="55" t="s">
        <v>2824</v>
      </c>
      <c r="N5954" s="4" t="s">
        <v>177</v>
      </c>
      <c r="O5954" s="55" t="s">
        <v>178</v>
      </c>
    </row>
    <row r="5955" spans="2:15">
      <c r="B5955" s="20">
        <v>45863</v>
      </c>
      <c r="C5955" s="59">
        <v>40010083</v>
      </c>
      <c r="D5955" s="55" t="s">
        <v>85</v>
      </c>
      <c r="G5955" s="65">
        <v>3024</v>
      </c>
      <c r="H5955" s="56" t="s">
        <v>80</v>
      </c>
      <c r="I5955" s="54">
        <v>8727132903</v>
      </c>
      <c r="J5955" s="56" t="s">
        <v>2978</v>
      </c>
      <c r="K5955" s="56">
        <v>33342</v>
      </c>
      <c r="L5955" s="55" t="s">
        <v>2152</v>
      </c>
      <c r="M5955" s="55" t="s">
        <v>2824</v>
      </c>
      <c r="N5955" s="4" t="s">
        <v>177</v>
      </c>
      <c r="O5955" s="55" t="s">
        <v>178</v>
      </c>
    </row>
    <row r="5956" spans="2:15">
      <c r="B5956" s="20">
        <v>45863</v>
      </c>
      <c r="C5956" s="59">
        <v>50802401</v>
      </c>
      <c r="D5956" s="55" t="s">
        <v>13</v>
      </c>
      <c r="G5956" s="65">
        <v>869400</v>
      </c>
      <c r="H5956" s="56" t="s">
        <v>92</v>
      </c>
      <c r="I5956" s="54">
        <v>8727132903</v>
      </c>
      <c r="J5956" s="56" t="s">
        <v>2978</v>
      </c>
      <c r="K5956" s="56">
        <v>33342</v>
      </c>
      <c r="L5956" s="55" t="s">
        <v>2152</v>
      </c>
      <c r="M5956" s="55" t="s">
        <v>2824</v>
      </c>
      <c r="N5956" s="4" t="s">
        <v>177</v>
      </c>
      <c r="O5956" s="55" t="s">
        <v>178</v>
      </c>
    </row>
    <row r="5957" spans="2:15">
      <c r="B5957" s="20">
        <v>45863</v>
      </c>
      <c r="C5957" s="59">
        <v>50142327</v>
      </c>
      <c r="D5957" s="55" t="s">
        <v>256</v>
      </c>
      <c r="G5957" s="65">
        <v>1906.8</v>
      </c>
      <c r="H5957" s="56" t="s">
        <v>82</v>
      </c>
      <c r="I5957" s="54">
        <v>8727132903</v>
      </c>
      <c r="J5957" s="56" t="s">
        <v>2978</v>
      </c>
      <c r="K5957" s="56">
        <v>33342</v>
      </c>
      <c r="L5957" s="55" t="s">
        <v>2152</v>
      </c>
      <c r="M5957" s="55" t="s">
        <v>2824</v>
      </c>
      <c r="N5957" s="4" t="s">
        <v>177</v>
      </c>
      <c r="O5957" s="55" t="s">
        <v>178</v>
      </c>
    </row>
    <row r="5958" spans="2:15">
      <c r="B5958" s="20">
        <v>45863</v>
      </c>
      <c r="C5958" s="59">
        <v>50142334</v>
      </c>
      <c r="D5958" s="55" t="s">
        <v>257</v>
      </c>
      <c r="G5958" s="65">
        <v>1430.1</v>
      </c>
      <c r="H5958" s="56" t="s">
        <v>82</v>
      </c>
      <c r="I5958" s="54">
        <v>8727132903</v>
      </c>
      <c r="J5958" s="56" t="s">
        <v>2978</v>
      </c>
      <c r="K5958" s="56">
        <v>33342</v>
      </c>
      <c r="L5958" s="55" t="s">
        <v>2152</v>
      </c>
      <c r="M5958" s="55" t="s">
        <v>2824</v>
      </c>
      <c r="N5958" s="4" t="s">
        <v>177</v>
      </c>
      <c r="O5958" s="55" t="s">
        <v>178</v>
      </c>
    </row>
    <row r="5959" spans="2:15">
      <c r="B5959" s="20">
        <v>45864</v>
      </c>
      <c r="C5959" s="59">
        <v>40014900</v>
      </c>
      <c r="D5959" s="55" t="s">
        <v>153</v>
      </c>
      <c r="G5959" s="65">
        <v>34.56</v>
      </c>
      <c r="H5959" s="56" t="s">
        <v>80</v>
      </c>
      <c r="I5959" s="54">
        <v>8727132223</v>
      </c>
      <c r="J5959" s="56" t="s">
        <v>2978</v>
      </c>
      <c r="K5959" s="56">
        <v>457</v>
      </c>
      <c r="L5959" s="55" t="s">
        <v>392</v>
      </c>
      <c r="M5959" s="55" t="s">
        <v>2824</v>
      </c>
      <c r="O5959" s="55" t="s">
        <v>178</v>
      </c>
    </row>
    <row r="5960" spans="2:15">
      <c r="B5960" s="20">
        <v>45864</v>
      </c>
      <c r="C5960" s="59">
        <v>40014900</v>
      </c>
      <c r="D5960" s="55" t="s">
        <v>153</v>
      </c>
      <c r="G5960" s="65">
        <v>34.56</v>
      </c>
      <c r="H5960" s="56" t="s">
        <v>80</v>
      </c>
      <c r="I5960" s="54">
        <v>8727132231</v>
      </c>
      <c r="J5960" s="56" t="s">
        <v>2978</v>
      </c>
      <c r="K5960" s="56">
        <v>458</v>
      </c>
      <c r="L5960" s="55" t="s">
        <v>392</v>
      </c>
      <c r="M5960" s="55" t="s">
        <v>2824</v>
      </c>
      <c r="O5960" s="55" t="s">
        <v>178</v>
      </c>
    </row>
    <row r="5961" spans="2:15">
      <c r="B5961" s="20">
        <v>45864</v>
      </c>
      <c r="C5961" s="59">
        <v>40014900</v>
      </c>
      <c r="D5961" s="55" t="s">
        <v>153</v>
      </c>
      <c r="G5961" s="65">
        <v>34.56</v>
      </c>
      <c r="H5961" s="56" t="s">
        <v>80</v>
      </c>
      <c r="I5961" s="54">
        <v>8727703150</v>
      </c>
      <c r="J5961" s="56" t="s">
        <v>2978</v>
      </c>
      <c r="K5961" s="56">
        <v>459</v>
      </c>
      <c r="L5961" s="55" t="s">
        <v>392</v>
      </c>
      <c r="M5961" s="55" t="s">
        <v>2824</v>
      </c>
      <c r="O5961" s="55" t="s">
        <v>178</v>
      </c>
    </row>
    <row r="5962" spans="2:15">
      <c r="B5962" s="20">
        <v>45864</v>
      </c>
      <c r="C5962" s="59">
        <v>40014900</v>
      </c>
      <c r="D5962" s="55" t="s">
        <v>153</v>
      </c>
      <c r="G5962" s="65">
        <v>34.56</v>
      </c>
      <c r="H5962" s="56" t="s">
        <v>80</v>
      </c>
      <c r="I5962" s="54">
        <v>8727132294</v>
      </c>
      <c r="J5962" s="56" t="s">
        <v>2978</v>
      </c>
      <c r="K5962" s="56">
        <v>460</v>
      </c>
      <c r="L5962" s="55" t="s">
        <v>392</v>
      </c>
      <c r="M5962" s="55" t="s">
        <v>2824</v>
      </c>
      <c r="O5962" s="55" t="s">
        <v>178</v>
      </c>
    </row>
    <row r="5963" spans="2:15">
      <c r="B5963" s="20">
        <v>45866</v>
      </c>
      <c r="C5963" s="59">
        <v>50837284</v>
      </c>
      <c r="D5963" s="55" t="s">
        <v>28</v>
      </c>
      <c r="G5963" s="65">
        <v>4230.75</v>
      </c>
      <c r="H5963" s="56" t="s">
        <v>82</v>
      </c>
      <c r="I5963" s="54">
        <v>8727135565</v>
      </c>
      <c r="J5963" s="56" t="s">
        <v>2978</v>
      </c>
      <c r="K5963" s="56">
        <v>3343</v>
      </c>
      <c r="L5963" s="55" t="s">
        <v>2152</v>
      </c>
      <c r="M5963" s="55" t="s">
        <v>2824</v>
      </c>
      <c r="N5963" s="4" t="s">
        <v>1905</v>
      </c>
      <c r="O5963" s="55" t="s">
        <v>178</v>
      </c>
    </row>
    <row r="5964" spans="2:15">
      <c r="B5964" s="20">
        <v>45866</v>
      </c>
      <c r="C5964" s="59">
        <v>50272278</v>
      </c>
      <c r="D5964" s="55" t="s">
        <v>21</v>
      </c>
      <c r="G5964" s="65">
        <v>7200</v>
      </c>
      <c r="H5964" s="56" t="s">
        <v>92</v>
      </c>
      <c r="I5964" s="54">
        <v>8727135565</v>
      </c>
      <c r="J5964" s="56" t="s">
        <v>2978</v>
      </c>
      <c r="K5964" s="56">
        <v>3343</v>
      </c>
      <c r="L5964" s="55" t="s">
        <v>2152</v>
      </c>
      <c r="M5964" s="55" t="s">
        <v>2824</v>
      </c>
      <c r="N5964" s="4" t="s">
        <v>1905</v>
      </c>
      <c r="O5964" s="55" t="s">
        <v>178</v>
      </c>
    </row>
    <row r="5965" spans="2:15">
      <c r="B5965" s="20">
        <v>45866</v>
      </c>
      <c r="C5965" s="59">
        <v>50851661</v>
      </c>
      <c r="D5965" s="55" t="s">
        <v>2455</v>
      </c>
      <c r="G5965" s="65">
        <v>1120000</v>
      </c>
      <c r="H5965" s="56" t="s">
        <v>92</v>
      </c>
      <c r="I5965" s="54">
        <v>8727748137</v>
      </c>
      <c r="J5965" s="56" t="s">
        <v>2978</v>
      </c>
      <c r="K5965" s="56">
        <v>3343</v>
      </c>
      <c r="L5965" s="55" t="s">
        <v>2152</v>
      </c>
      <c r="M5965" s="55" t="s">
        <v>2824</v>
      </c>
      <c r="N5965" s="4" t="s">
        <v>1905</v>
      </c>
      <c r="O5965" s="55" t="s">
        <v>178</v>
      </c>
    </row>
    <row r="5966" spans="2:15">
      <c r="B5966" s="20">
        <v>45866</v>
      </c>
      <c r="C5966" s="59">
        <v>50851662</v>
      </c>
      <c r="D5966" s="55" t="s">
        <v>2457</v>
      </c>
      <c r="G5966" s="65">
        <v>1120000</v>
      </c>
      <c r="H5966" s="56" t="s">
        <v>92</v>
      </c>
      <c r="I5966" s="54">
        <v>8727748137</v>
      </c>
      <c r="J5966" s="56" t="s">
        <v>2978</v>
      </c>
      <c r="K5966" s="56">
        <v>3343</v>
      </c>
      <c r="L5966" s="55" t="s">
        <v>2152</v>
      </c>
      <c r="M5966" s="55" t="s">
        <v>2824</v>
      </c>
      <c r="N5966" s="4" t="s">
        <v>1905</v>
      </c>
      <c r="O5966" s="55" t="s">
        <v>178</v>
      </c>
    </row>
    <row r="5967" spans="2:15">
      <c r="B5967" s="20">
        <v>45867</v>
      </c>
      <c r="C5967" s="59">
        <v>40014900</v>
      </c>
      <c r="D5967" s="55" t="s">
        <v>153</v>
      </c>
      <c r="G5967" s="65">
        <v>34.56</v>
      </c>
      <c r="H5967" s="56" t="s">
        <v>80</v>
      </c>
      <c r="I5967" s="54">
        <v>8727703153</v>
      </c>
      <c r="J5967" s="56" t="s">
        <v>2978</v>
      </c>
      <c r="K5967" s="56">
        <v>461</v>
      </c>
      <c r="L5967" s="55" t="s">
        <v>2152</v>
      </c>
      <c r="M5967" s="55" t="s">
        <v>2824</v>
      </c>
      <c r="N5967" s="4" t="s">
        <v>177</v>
      </c>
      <c r="O5967" s="55" t="s">
        <v>178</v>
      </c>
    </row>
    <row r="5968" spans="2:15">
      <c r="B5968" s="20">
        <v>45867</v>
      </c>
      <c r="C5968" s="59">
        <v>40014900</v>
      </c>
      <c r="D5968" s="55" t="s">
        <v>153</v>
      </c>
      <c r="G5968" s="65">
        <v>34.56</v>
      </c>
      <c r="H5968" s="56" t="s">
        <v>80</v>
      </c>
      <c r="I5968" s="54">
        <v>8727703168</v>
      </c>
      <c r="J5968" s="56" t="s">
        <v>2978</v>
      </c>
      <c r="K5968" s="56">
        <v>462</v>
      </c>
      <c r="L5968" s="55" t="s">
        <v>392</v>
      </c>
      <c r="M5968" s="55" t="s">
        <v>2824</v>
      </c>
      <c r="O5968" s="55" t="s">
        <v>178</v>
      </c>
    </row>
    <row r="5969" spans="2:15">
      <c r="B5969" s="20">
        <v>45867</v>
      </c>
      <c r="C5969" s="59">
        <v>40014900</v>
      </c>
      <c r="D5969" s="55" t="s">
        <v>153</v>
      </c>
      <c r="G5969" s="65">
        <v>34.56</v>
      </c>
      <c r="H5969" s="56" t="s">
        <v>80</v>
      </c>
      <c r="I5969" s="54">
        <v>8727703195</v>
      </c>
      <c r="J5969" s="56" t="s">
        <v>2978</v>
      </c>
      <c r="K5969" s="56">
        <v>463</v>
      </c>
      <c r="L5969" s="55" t="s">
        <v>2152</v>
      </c>
      <c r="M5969" s="55" t="s">
        <v>2824</v>
      </c>
      <c r="N5969" s="4" t="s">
        <v>177</v>
      </c>
      <c r="O5969" s="55" t="s">
        <v>178</v>
      </c>
    </row>
    <row r="5970" spans="2:15">
      <c r="B5970" s="20">
        <v>45867</v>
      </c>
      <c r="C5970" s="59">
        <v>40014900</v>
      </c>
      <c r="D5970" s="55" t="s">
        <v>153</v>
      </c>
      <c r="G5970" s="65">
        <v>34.56</v>
      </c>
      <c r="H5970" s="56" t="s">
        <v>80</v>
      </c>
      <c r="I5970" s="54">
        <v>8727703198</v>
      </c>
      <c r="J5970" s="56" t="s">
        <v>2978</v>
      </c>
      <c r="K5970" s="56">
        <v>464</v>
      </c>
      <c r="L5970" s="55" t="s">
        <v>392</v>
      </c>
      <c r="M5970" s="55" t="s">
        <v>2824</v>
      </c>
      <c r="O5970" s="55" t="s">
        <v>178</v>
      </c>
    </row>
    <row r="5971" spans="2:15">
      <c r="B5971" s="20">
        <v>45867</v>
      </c>
      <c r="C5971" s="59">
        <v>40014900</v>
      </c>
      <c r="D5971" s="55" t="s">
        <v>153</v>
      </c>
      <c r="G5971" s="65">
        <v>34.56</v>
      </c>
      <c r="H5971" s="56" t="s">
        <v>80</v>
      </c>
      <c r="I5971" s="54">
        <v>8727703200</v>
      </c>
      <c r="J5971" s="56" t="s">
        <v>2978</v>
      </c>
      <c r="K5971" s="56">
        <v>465</v>
      </c>
      <c r="L5971" s="55" t="s">
        <v>2152</v>
      </c>
      <c r="M5971" s="55" t="s">
        <v>2824</v>
      </c>
      <c r="N5971" s="4" t="s">
        <v>177</v>
      </c>
      <c r="O5971" s="55" t="s">
        <v>178</v>
      </c>
    </row>
    <row r="5972" spans="2:15">
      <c r="B5972" s="20">
        <v>45867</v>
      </c>
      <c r="C5972" s="59">
        <v>40014900</v>
      </c>
      <c r="D5972" s="55" t="s">
        <v>153</v>
      </c>
      <c r="G5972" s="65">
        <v>34.56</v>
      </c>
      <c r="H5972" s="56" t="s">
        <v>80</v>
      </c>
      <c r="I5972" s="54">
        <v>8727703201</v>
      </c>
      <c r="J5972" s="56" t="s">
        <v>2978</v>
      </c>
      <c r="K5972" s="56">
        <v>466</v>
      </c>
      <c r="L5972" s="55" t="s">
        <v>392</v>
      </c>
      <c r="M5972" s="55" t="s">
        <v>2824</v>
      </c>
      <c r="O5972" s="55" t="s">
        <v>178</v>
      </c>
    </row>
    <row r="5973" spans="2:15">
      <c r="B5973" s="20">
        <v>45867</v>
      </c>
      <c r="C5973" s="59">
        <v>40010086</v>
      </c>
      <c r="D5973" s="55" t="s">
        <v>79</v>
      </c>
      <c r="G5973" s="65">
        <v>4704</v>
      </c>
      <c r="H5973" s="56" t="s">
        <v>80</v>
      </c>
      <c r="I5973" s="54">
        <v>8727249057</v>
      </c>
      <c r="J5973" s="56" t="s">
        <v>2978</v>
      </c>
      <c r="K5973" s="56">
        <v>3347</v>
      </c>
      <c r="L5973" s="55" t="s">
        <v>2152</v>
      </c>
      <c r="M5973" s="55" t="s">
        <v>2824</v>
      </c>
      <c r="N5973" s="4" t="s">
        <v>1905</v>
      </c>
      <c r="O5973" s="55" t="s">
        <v>178</v>
      </c>
    </row>
    <row r="5974" spans="2:15">
      <c r="B5974" s="20">
        <v>45867</v>
      </c>
      <c r="C5974" s="59">
        <v>50751654</v>
      </c>
      <c r="D5974" s="55" t="s">
        <v>874</v>
      </c>
      <c r="G5974" s="65">
        <v>5376</v>
      </c>
      <c r="H5974" s="56" t="s">
        <v>82</v>
      </c>
      <c r="I5974" s="54">
        <v>8727249057</v>
      </c>
      <c r="J5974" s="56" t="s">
        <v>2978</v>
      </c>
      <c r="K5974" s="56">
        <v>3347</v>
      </c>
      <c r="L5974" s="55" t="s">
        <v>2152</v>
      </c>
      <c r="M5974" s="55" t="s">
        <v>2824</v>
      </c>
      <c r="N5974" s="4" t="s">
        <v>1905</v>
      </c>
      <c r="O5974" s="55" t="s">
        <v>178</v>
      </c>
    </row>
    <row r="5975" spans="2:15">
      <c r="B5975" s="20">
        <v>45867</v>
      </c>
      <c r="C5975" s="59">
        <v>40010084</v>
      </c>
      <c r="D5975" s="55" t="s">
        <v>81</v>
      </c>
      <c r="G5975" s="65">
        <v>1536</v>
      </c>
      <c r="H5975" s="56" t="s">
        <v>80</v>
      </c>
      <c r="I5975" s="54">
        <v>8727249057</v>
      </c>
      <c r="J5975" s="56" t="s">
        <v>2978</v>
      </c>
      <c r="K5975" s="56">
        <v>3347</v>
      </c>
      <c r="L5975" s="55" t="s">
        <v>2152</v>
      </c>
      <c r="M5975" s="55" t="s">
        <v>2824</v>
      </c>
      <c r="N5975" s="4" t="s">
        <v>1905</v>
      </c>
      <c r="O5975" s="55" t="s">
        <v>178</v>
      </c>
    </row>
    <row r="5976" spans="2:15">
      <c r="B5976" s="20">
        <v>45867</v>
      </c>
      <c r="C5976" s="59">
        <v>40004808</v>
      </c>
      <c r="D5976" s="55" t="s">
        <v>91</v>
      </c>
      <c r="G5976" s="65">
        <v>1350</v>
      </c>
      <c r="H5976" s="56" t="s">
        <v>1248</v>
      </c>
      <c r="I5976" s="54">
        <v>8727249057</v>
      </c>
      <c r="J5976" s="56" t="s">
        <v>2978</v>
      </c>
      <c r="K5976" s="56">
        <v>3347</v>
      </c>
      <c r="L5976" s="55" t="s">
        <v>2152</v>
      </c>
      <c r="M5976" s="55" t="s">
        <v>2824</v>
      </c>
      <c r="N5976" s="4" t="s">
        <v>1905</v>
      </c>
      <c r="O5976" s="55" t="s">
        <v>178</v>
      </c>
    </row>
    <row r="5977" spans="2:15">
      <c r="B5977" s="20">
        <v>45867</v>
      </c>
      <c r="C5977" s="59">
        <v>40011148</v>
      </c>
      <c r="D5977" s="55" t="s">
        <v>86</v>
      </c>
      <c r="G5977" s="65">
        <v>360</v>
      </c>
      <c r="H5977" s="56" t="s">
        <v>80</v>
      </c>
      <c r="I5977" s="54">
        <v>8727249057</v>
      </c>
      <c r="J5977" s="56" t="s">
        <v>2978</v>
      </c>
      <c r="K5977" s="56">
        <v>3347</v>
      </c>
      <c r="L5977" s="55" t="s">
        <v>2152</v>
      </c>
      <c r="M5977" s="55" t="s">
        <v>2824</v>
      </c>
      <c r="N5977" s="4" t="s">
        <v>1905</v>
      </c>
      <c r="O5977" s="55" t="s">
        <v>178</v>
      </c>
    </row>
    <row r="5978" spans="2:15">
      <c r="B5978" s="20">
        <v>45867</v>
      </c>
      <c r="C5978" s="59">
        <v>50337814</v>
      </c>
      <c r="D5978" s="55" t="s">
        <v>669</v>
      </c>
      <c r="G5978" s="65">
        <v>320</v>
      </c>
      <c r="H5978" s="56" t="s">
        <v>80</v>
      </c>
      <c r="I5978" s="54">
        <v>8727249057</v>
      </c>
      <c r="J5978" s="56" t="s">
        <v>2978</v>
      </c>
      <c r="K5978" s="56">
        <v>3347</v>
      </c>
      <c r="L5978" s="55" t="s">
        <v>2152</v>
      </c>
      <c r="M5978" s="55" t="s">
        <v>2824</v>
      </c>
      <c r="N5978" s="4" t="s">
        <v>1905</v>
      </c>
      <c r="O5978" s="55" t="s">
        <v>178</v>
      </c>
    </row>
    <row r="5979" spans="2:15">
      <c r="B5979" s="20">
        <v>45867</v>
      </c>
      <c r="C5979" s="59">
        <v>50470190</v>
      </c>
      <c r="D5979" s="55" t="s">
        <v>12</v>
      </c>
      <c r="G5979" s="65">
        <v>579600</v>
      </c>
      <c r="H5979" s="56" t="s">
        <v>92</v>
      </c>
      <c r="I5979" s="54">
        <v>8727249057</v>
      </c>
      <c r="J5979" s="56" t="s">
        <v>2978</v>
      </c>
      <c r="K5979" s="56">
        <v>3347</v>
      </c>
      <c r="L5979" s="55" t="s">
        <v>2152</v>
      </c>
      <c r="M5979" s="55" t="s">
        <v>2824</v>
      </c>
      <c r="N5979" s="4" t="s">
        <v>1905</v>
      </c>
      <c r="O5979" s="55" t="s">
        <v>178</v>
      </c>
    </row>
    <row r="5980" spans="2:15">
      <c r="B5980" s="20">
        <v>45867</v>
      </c>
      <c r="C5980" s="59">
        <v>40011780</v>
      </c>
      <c r="D5980" s="55" t="s">
        <v>584</v>
      </c>
      <c r="G5980" s="65">
        <v>1350</v>
      </c>
      <c r="H5980" s="56" t="s">
        <v>80</v>
      </c>
      <c r="I5980" s="54">
        <v>8727249057</v>
      </c>
      <c r="J5980" s="56" t="s">
        <v>2978</v>
      </c>
      <c r="K5980" s="56">
        <v>3347</v>
      </c>
      <c r="L5980" s="55" t="s">
        <v>2152</v>
      </c>
      <c r="M5980" s="55" t="s">
        <v>2824</v>
      </c>
      <c r="N5980" s="4" t="s">
        <v>1905</v>
      </c>
      <c r="O5980" s="55" t="s">
        <v>178</v>
      </c>
    </row>
    <row r="5981" spans="2:15">
      <c r="B5981" s="20">
        <v>45867</v>
      </c>
      <c r="C5981" s="59">
        <v>40011588</v>
      </c>
      <c r="D5981" s="55" t="s">
        <v>585</v>
      </c>
      <c r="G5981" s="65">
        <v>1350</v>
      </c>
      <c r="H5981" s="56" t="s">
        <v>80</v>
      </c>
      <c r="I5981" s="54">
        <v>8727249057</v>
      </c>
      <c r="J5981" s="56" t="s">
        <v>2978</v>
      </c>
      <c r="K5981" s="56">
        <v>3347</v>
      </c>
      <c r="L5981" s="55" t="s">
        <v>2152</v>
      </c>
      <c r="M5981" s="55" t="s">
        <v>2824</v>
      </c>
      <c r="N5981" s="4" t="s">
        <v>1905</v>
      </c>
      <c r="O5981" s="55" t="s">
        <v>178</v>
      </c>
    </row>
    <row r="5982" spans="2:15">
      <c r="B5982" s="20">
        <v>45867</v>
      </c>
      <c r="C5982" s="59">
        <v>50144376</v>
      </c>
      <c r="D5982" s="55" t="s">
        <v>19</v>
      </c>
      <c r="G5982" s="65">
        <v>500</v>
      </c>
      <c r="H5982" s="56" t="s">
        <v>92</v>
      </c>
      <c r="I5982" s="54">
        <v>8727497479</v>
      </c>
      <c r="J5982" s="56" t="s">
        <v>2978</v>
      </c>
      <c r="K5982" s="56">
        <v>3346</v>
      </c>
      <c r="L5982" s="55" t="s">
        <v>326</v>
      </c>
    </row>
    <row r="5983" spans="2:15">
      <c r="B5983" s="20">
        <v>45868</v>
      </c>
      <c r="C5983" s="59">
        <v>50144376</v>
      </c>
      <c r="D5983" s="55" t="s">
        <v>19</v>
      </c>
      <c r="G5983" s="65">
        <v>6600</v>
      </c>
      <c r="H5983" s="56" t="s">
        <v>92</v>
      </c>
      <c r="I5983" s="54">
        <v>8727370936</v>
      </c>
      <c r="J5983" s="56" t="s">
        <v>2978</v>
      </c>
      <c r="K5983" s="56">
        <v>3348</v>
      </c>
      <c r="L5983" s="55" t="s">
        <v>2152</v>
      </c>
      <c r="M5983" s="55" t="s">
        <v>2824</v>
      </c>
      <c r="N5983" s="4" t="s">
        <v>1905</v>
      </c>
      <c r="O5983" s="55" t="s">
        <v>178</v>
      </c>
    </row>
    <row r="5984" spans="2:15">
      <c r="B5984" s="20">
        <v>45868</v>
      </c>
      <c r="C5984" s="59">
        <v>50272278</v>
      </c>
      <c r="D5984" s="55" t="s">
        <v>21</v>
      </c>
      <c r="G5984" s="65">
        <v>6600</v>
      </c>
      <c r="H5984" s="56" t="s">
        <v>92</v>
      </c>
      <c r="I5984" s="54">
        <v>8727370936</v>
      </c>
      <c r="J5984" s="56" t="s">
        <v>2978</v>
      </c>
      <c r="K5984" s="56">
        <v>3348</v>
      </c>
      <c r="L5984" s="55" t="s">
        <v>2152</v>
      </c>
      <c r="M5984" s="55" t="s">
        <v>2824</v>
      </c>
      <c r="N5984" s="4" t="s">
        <v>1905</v>
      </c>
      <c r="O5984" s="55" t="s">
        <v>178</v>
      </c>
    </row>
    <row r="5985" spans="2:15">
      <c r="B5985" s="20">
        <v>45868</v>
      </c>
      <c r="C5985" s="59">
        <v>40014900</v>
      </c>
      <c r="D5985" s="55" t="s">
        <v>153</v>
      </c>
      <c r="G5985" s="65">
        <v>34.56</v>
      </c>
      <c r="H5985" s="56" t="s">
        <v>80</v>
      </c>
      <c r="I5985" s="54">
        <v>8727703203</v>
      </c>
      <c r="J5985" s="56" t="s">
        <v>2978</v>
      </c>
      <c r="K5985" s="56">
        <v>467</v>
      </c>
      <c r="L5985" s="55" t="s">
        <v>392</v>
      </c>
      <c r="M5985" s="55" t="s">
        <v>2824</v>
      </c>
      <c r="O5985" s="55" t="s">
        <v>178</v>
      </c>
    </row>
    <row r="5986" spans="2:15">
      <c r="B5986" s="20">
        <v>45868</v>
      </c>
      <c r="C5986" s="59">
        <v>40014675</v>
      </c>
      <c r="D5986" s="55" t="s">
        <v>44</v>
      </c>
      <c r="G5986" s="65">
        <v>34.56</v>
      </c>
      <c r="H5986" s="56" t="s">
        <v>80</v>
      </c>
      <c r="I5986" s="54">
        <v>8727627579</v>
      </c>
      <c r="J5986" s="56" t="s">
        <v>2978</v>
      </c>
      <c r="K5986" s="56">
        <v>468</v>
      </c>
      <c r="L5986" s="55" t="s">
        <v>2152</v>
      </c>
      <c r="M5986" s="55" t="s">
        <v>2824</v>
      </c>
      <c r="N5986" s="4" t="s">
        <v>177</v>
      </c>
      <c r="O5986" s="55" t="s">
        <v>178</v>
      </c>
    </row>
    <row r="5987" spans="2:15">
      <c r="B5987" s="20">
        <v>45868</v>
      </c>
      <c r="C5987" s="59">
        <v>40014675</v>
      </c>
      <c r="D5987" s="55" t="s">
        <v>44</v>
      </c>
      <c r="G5987" s="65">
        <v>34.56</v>
      </c>
      <c r="H5987" s="56" t="s">
        <v>80</v>
      </c>
      <c r="I5987" s="54">
        <v>8727627581</v>
      </c>
      <c r="J5987" s="56" t="s">
        <v>2978</v>
      </c>
      <c r="K5987" s="56">
        <v>469</v>
      </c>
      <c r="L5987" s="55" t="s">
        <v>392</v>
      </c>
      <c r="M5987" s="55" t="s">
        <v>2824</v>
      </c>
      <c r="O5987" s="55" t="s">
        <v>178</v>
      </c>
    </row>
    <row r="5988" spans="2:15">
      <c r="B5988" s="20">
        <v>45868</v>
      </c>
      <c r="C5988" s="59">
        <v>40014675</v>
      </c>
      <c r="D5988" s="55" t="s">
        <v>44</v>
      </c>
      <c r="G5988" s="65">
        <v>34.56</v>
      </c>
      <c r="H5988" s="56" t="s">
        <v>80</v>
      </c>
      <c r="I5988" s="54">
        <v>8727627582</v>
      </c>
      <c r="J5988" s="56" t="s">
        <v>2978</v>
      </c>
      <c r="K5988" s="56">
        <v>471</v>
      </c>
      <c r="L5988" s="55" t="s">
        <v>2152</v>
      </c>
      <c r="M5988" s="55" t="s">
        <v>2824</v>
      </c>
      <c r="N5988" s="4" t="s">
        <v>177</v>
      </c>
      <c r="O5988" s="55" t="s">
        <v>178</v>
      </c>
    </row>
    <row r="5989" spans="2:15">
      <c r="B5989" s="20">
        <v>45868</v>
      </c>
      <c r="C5989" s="59">
        <v>40014675</v>
      </c>
      <c r="D5989" s="55" t="s">
        <v>44</v>
      </c>
      <c r="G5989" s="65">
        <v>34.56</v>
      </c>
      <c r="H5989" s="56" t="s">
        <v>80</v>
      </c>
      <c r="I5989" s="54">
        <v>8727627765</v>
      </c>
      <c r="J5989" s="56" t="s">
        <v>2978</v>
      </c>
      <c r="K5989" s="56">
        <v>472</v>
      </c>
      <c r="L5989" s="55" t="s">
        <v>392</v>
      </c>
      <c r="M5989" s="55" t="s">
        <v>2824</v>
      </c>
      <c r="O5989" s="55" t="s">
        <v>178</v>
      </c>
    </row>
    <row r="5990" spans="2:15">
      <c r="B5990" s="20">
        <v>45868</v>
      </c>
      <c r="C5990" s="59">
        <v>40014675</v>
      </c>
      <c r="D5990" s="55" t="s">
        <v>44</v>
      </c>
      <c r="G5990" s="65">
        <v>34.56</v>
      </c>
      <c r="H5990" s="56" t="s">
        <v>80</v>
      </c>
      <c r="I5990" s="54">
        <v>8727627766</v>
      </c>
      <c r="J5990" s="56" t="s">
        <v>2978</v>
      </c>
      <c r="K5990" s="56">
        <v>473</v>
      </c>
      <c r="L5990" s="55" t="s">
        <v>2152</v>
      </c>
      <c r="M5990" s="55" t="s">
        <v>2824</v>
      </c>
      <c r="N5990" s="4" t="s">
        <v>177</v>
      </c>
      <c r="O5990" s="55" t="s">
        <v>178</v>
      </c>
    </row>
    <row r="5991" spans="2:15">
      <c r="B5991" s="20">
        <v>45869</v>
      </c>
      <c r="C5991" s="59">
        <v>50272278</v>
      </c>
      <c r="D5991" s="55" t="s">
        <v>21</v>
      </c>
      <c r="G5991" s="65">
        <v>6000</v>
      </c>
      <c r="H5991" s="56" t="s">
        <v>92</v>
      </c>
      <c r="I5991" s="54">
        <v>8727499557</v>
      </c>
      <c r="J5991" s="56" t="s">
        <v>2978</v>
      </c>
      <c r="K5991" s="56">
        <v>3349</v>
      </c>
      <c r="L5991" s="55" t="s">
        <v>2152</v>
      </c>
      <c r="M5991" s="55" t="s">
        <v>2824</v>
      </c>
      <c r="N5991" s="4" t="s">
        <v>1905</v>
      </c>
      <c r="O5991" s="55" t="s">
        <v>178</v>
      </c>
    </row>
    <row r="5992" spans="2:15">
      <c r="B5992" s="20">
        <v>45869</v>
      </c>
      <c r="C5992" s="59">
        <v>50470190</v>
      </c>
      <c r="D5992" s="55" t="s">
        <v>12</v>
      </c>
      <c r="G5992" s="65">
        <f>8*289800</f>
        <v>2318400</v>
      </c>
      <c r="H5992" s="56" t="s">
        <v>92</v>
      </c>
      <c r="I5992" s="54">
        <v>8727499557</v>
      </c>
      <c r="J5992" s="56" t="s">
        <v>2978</v>
      </c>
      <c r="K5992" s="56">
        <v>3349</v>
      </c>
      <c r="L5992" s="55" t="s">
        <v>2152</v>
      </c>
      <c r="M5992" s="55" t="s">
        <v>2824</v>
      </c>
      <c r="N5992" s="4" t="s">
        <v>1905</v>
      </c>
      <c r="O5992" s="55" t="s">
        <v>178</v>
      </c>
    </row>
    <row r="5993" spans="2:15">
      <c r="B5993" s="20">
        <v>45869</v>
      </c>
      <c r="C5993" s="59">
        <v>40011588</v>
      </c>
      <c r="D5993" s="55" t="s">
        <v>585</v>
      </c>
      <c r="G5993" s="65">
        <v>900</v>
      </c>
      <c r="H5993" s="56" t="s">
        <v>1248</v>
      </c>
      <c r="I5993" s="54">
        <v>8727499557</v>
      </c>
      <c r="J5993" s="56" t="s">
        <v>2978</v>
      </c>
      <c r="K5993" s="56">
        <v>3349</v>
      </c>
      <c r="L5993" s="55" t="s">
        <v>2152</v>
      </c>
      <c r="M5993" s="55" t="s">
        <v>2824</v>
      </c>
      <c r="N5993" s="4" t="s">
        <v>1905</v>
      </c>
      <c r="O5993" s="55" t="s">
        <v>178</v>
      </c>
    </row>
    <row r="5994" spans="2:15">
      <c r="B5994" s="20">
        <v>45869</v>
      </c>
      <c r="C5994" s="59">
        <v>40014675</v>
      </c>
      <c r="D5994" s="55" t="s">
        <v>44</v>
      </c>
      <c r="G5994" s="65">
        <v>31.68</v>
      </c>
      <c r="H5994" s="56" t="s">
        <v>80</v>
      </c>
      <c r="I5994" s="54">
        <v>8727627769</v>
      </c>
      <c r="J5994" s="56" t="s">
        <v>2978</v>
      </c>
      <c r="K5994" s="56">
        <v>474</v>
      </c>
      <c r="L5994" s="55" t="s">
        <v>2152</v>
      </c>
      <c r="M5994" s="55" t="s">
        <v>2824</v>
      </c>
      <c r="N5994" s="4" t="s">
        <v>177</v>
      </c>
      <c r="O5994" s="55" t="s">
        <v>178</v>
      </c>
    </row>
    <row r="5995" spans="2:15">
      <c r="B5995" s="20">
        <v>45869</v>
      </c>
      <c r="C5995" s="59">
        <v>40014675</v>
      </c>
      <c r="D5995" s="55" t="s">
        <v>44</v>
      </c>
      <c r="G5995" s="65">
        <v>34.56</v>
      </c>
      <c r="H5995" s="56" t="s">
        <v>80</v>
      </c>
      <c r="I5995" s="54">
        <v>8727627770</v>
      </c>
      <c r="J5995" s="56" t="s">
        <v>2978</v>
      </c>
      <c r="K5995" s="56">
        <v>475</v>
      </c>
      <c r="L5995" s="55" t="s">
        <v>392</v>
      </c>
      <c r="M5995" s="55" t="s">
        <v>2824</v>
      </c>
      <c r="O5995" s="55" t="s">
        <v>178</v>
      </c>
    </row>
    <row r="5996" spans="2:15">
      <c r="B5996" s="20">
        <v>45869</v>
      </c>
      <c r="C5996" s="59">
        <v>40014675</v>
      </c>
      <c r="D5996" s="55" t="s">
        <v>44</v>
      </c>
      <c r="G5996" s="65">
        <v>34.56</v>
      </c>
      <c r="H5996" s="56" t="s">
        <v>80</v>
      </c>
      <c r="I5996" s="54">
        <v>8727627771</v>
      </c>
      <c r="J5996" s="56" t="s">
        <v>2978</v>
      </c>
      <c r="K5996" s="56">
        <v>476</v>
      </c>
      <c r="L5996" s="55" t="s">
        <v>392</v>
      </c>
      <c r="M5996" s="55" t="s">
        <v>2824</v>
      </c>
      <c r="O5996" s="55" t="s">
        <v>178</v>
      </c>
    </row>
    <row r="5997" spans="2:15">
      <c r="B5997" s="20">
        <v>45869</v>
      </c>
      <c r="C5997" s="59">
        <v>40014675</v>
      </c>
      <c r="D5997" s="55" t="s">
        <v>44</v>
      </c>
      <c r="G5997" s="65">
        <v>34.56</v>
      </c>
      <c r="H5997" s="56" t="s">
        <v>80</v>
      </c>
      <c r="I5997" s="54">
        <v>8727627772</v>
      </c>
      <c r="J5997" s="56" t="s">
        <v>2978</v>
      </c>
      <c r="K5997" s="56">
        <v>477</v>
      </c>
      <c r="L5997" s="55" t="s">
        <v>392</v>
      </c>
      <c r="M5997" s="55" t="s">
        <v>2824</v>
      </c>
      <c r="O5997" s="55" t="s">
        <v>178</v>
      </c>
    </row>
    <row r="5998" spans="2:15">
      <c r="B5998" s="20">
        <v>45869</v>
      </c>
      <c r="C5998" s="59">
        <v>50145028</v>
      </c>
      <c r="D5998" s="55" t="s">
        <v>23</v>
      </c>
      <c r="G5998" s="58">
        <v>780</v>
      </c>
      <c r="H5998" s="56" t="s">
        <v>92</v>
      </c>
      <c r="I5998" s="54">
        <v>8727499561</v>
      </c>
      <c r="J5998" s="56" t="s">
        <v>2978</v>
      </c>
      <c r="K5998" s="56">
        <v>3350</v>
      </c>
      <c r="L5998" s="55" t="s">
        <v>326</v>
      </c>
      <c r="M5998" s="55" t="s">
        <v>326</v>
      </c>
      <c r="N5998" s="4" t="s">
        <v>239</v>
      </c>
      <c r="O5998" s="55" t="s">
        <v>178</v>
      </c>
    </row>
    <row r="5999" spans="2:15">
      <c r="B5999" s="20">
        <v>45869</v>
      </c>
      <c r="C5999" s="59">
        <v>50144334</v>
      </c>
      <c r="D5999" s="55" t="s">
        <v>426</v>
      </c>
      <c r="G5999" s="122">
        <v>600</v>
      </c>
      <c r="H5999" s="56" t="s">
        <v>82</v>
      </c>
      <c r="I5999" s="54">
        <v>8727499561</v>
      </c>
      <c r="J5999" s="56" t="s">
        <v>2978</v>
      </c>
      <c r="K5999" s="56">
        <v>3350</v>
      </c>
      <c r="L5999" s="55" t="s">
        <v>326</v>
      </c>
      <c r="M5999" s="55" t="s">
        <v>326</v>
      </c>
      <c r="N5999" s="4" t="s">
        <v>239</v>
      </c>
      <c r="O5999" s="55" t="s">
        <v>178</v>
      </c>
    </row>
    <row r="6000" spans="2:15">
      <c r="B6000" s="20">
        <v>45869</v>
      </c>
      <c r="C6000" s="59">
        <v>50799770</v>
      </c>
      <c r="D6000" s="55" t="s">
        <v>17</v>
      </c>
      <c r="G6000" s="122">
        <v>1000</v>
      </c>
      <c r="H6000" s="56" t="s">
        <v>92</v>
      </c>
      <c r="I6000" s="54">
        <v>8727499561</v>
      </c>
      <c r="J6000" s="56" t="s">
        <v>2978</v>
      </c>
      <c r="K6000" s="56">
        <v>3350</v>
      </c>
      <c r="L6000" s="55" t="s">
        <v>326</v>
      </c>
      <c r="M6000" s="55" t="s">
        <v>326</v>
      </c>
      <c r="N6000" s="4" t="s">
        <v>239</v>
      </c>
      <c r="O6000" s="55" t="s">
        <v>178</v>
      </c>
    </row>
    <row r="6001" spans="2:15">
      <c r="B6001" s="20">
        <v>45869</v>
      </c>
      <c r="C6001" s="59">
        <v>50144376</v>
      </c>
      <c r="D6001" s="55" t="s">
        <v>19</v>
      </c>
      <c r="G6001" s="122">
        <v>1000</v>
      </c>
      <c r="H6001" s="56" t="s">
        <v>92</v>
      </c>
      <c r="I6001" s="54">
        <v>8727499561</v>
      </c>
      <c r="J6001" s="56" t="s">
        <v>2978</v>
      </c>
      <c r="K6001" s="56">
        <v>3350</v>
      </c>
      <c r="L6001" s="55" t="s">
        <v>326</v>
      </c>
      <c r="M6001" s="55" t="s">
        <v>326</v>
      </c>
      <c r="N6001" s="4" t="s">
        <v>239</v>
      </c>
      <c r="O6001" s="55" t="s">
        <v>178</v>
      </c>
    </row>
    <row r="6002" spans="2:15">
      <c r="B6002" s="20">
        <v>45870</v>
      </c>
      <c r="C6002" s="59">
        <v>40014675</v>
      </c>
      <c r="D6002" s="55" t="s">
        <v>44</v>
      </c>
      <c r="G6002" s="65">
        <v>34.56</v>
      </c>
      <c r="H6002" s="56" t="s">
        <v>80</v>
      </c>
      <c r="I6002" s="54">
        <v>8727627807</v>
      </c>
      <c r="J6002" s="56" t="s">
        <v>2978</v>
      </c>
      <c r="K6002" s="56">
        <v>478</v>
      </c>
      <c r="L6002" s="55" t="s">
        <v>2152</v>
      </c>
      <c r="M6002" s="55" t="s">
        <v>2824</v>
      </c>
      <c r="N6002" s="4" t="s">
        <v>177</v>
      </c>
      <c r="O6002" s="55" t="s">
        <v>178</v>
      </c>
    </row>
    <row r="6003" spans="2:15">
      <c r="B6003" s="20">
        <v>45870</v>
      </c>
      <c r="C6003" s="59">
        <v>40014675</v>
      </c>
      <c r="D6003" s="55" t="s">
        <v>44</v>
      </c>
      <c r="G6003" s="65">
        <v>34.56</v>
      </c>
      <c r="H6003" s="56" t="s">
        <v>80</v>
      </c>
      <c r="I6003" s="54">
        <v>8727627813</v>
      </c>
      <c r="J6003" s="56" t="s">
        <v>2978</v>
      </c>
      <c r="K6003" s="56">
        <v>479</v>
      </c>
      <c r="L6003" s="55" t="s">
        <v>392</v>
      </c>
      <c r="M6003" s="55" t="s">
        <v>2824</v>
      </c>
      <c r="O6003" s="55" t="s">
        <v>178</v>
      </c>
    </row>
    <row r="6004" spans="2:15">
      <c r="B6004" s="20">
        <v>45870</v>
      </c>
      <c r="C6004" s="59">
        <v>50142424</v>
      </c>
      <c r="D6004" s="55" t="s">
        <v>33</v>
      </c>
      <c r="G6004" s="65">
        <v>1000</v>
      </c>
      <c r="H6004" s="56" t="s">
        <v>82</v>
      </c>
      <c r="I6004" s="54">
        <v>8727629591</v>
      </c>
      <c r="J6004" s="56" t="s">
        <v>2978</v>
      </c>
      <c r="K6004" s="56">
        <v>3351</v>
      </c>
      <c r="L6004" s="55" t="s">
        <v>2152</v>
      </c>
      <c r="M6004" s="55" t="s">
        <v>2824</v>
      </c>
      <c r="N6004" s="4" t="s">
        <v>1905</v>
      </c>
      <c r="O6004" s="55" t="s">
        <v>178</v>
      </c>
    </row>
    <row r="6005" spans="2:15">
      <c r="B6005" s="20">
        <v>45870</v>
      </c>
      <c r="C6005" s="59">
        <v>50837267</v>
      </c>
      <c r="D6005" s="55" t="s">
        <v>26</v>
      </c>
      <c r="G6005" s="65">
        <v>1003.91</v>
      </c>
      <c r="H6005" s="56" t="s">
        <v>82</v>
      </c>
      <c r="I6005" s="54">
        <v>8727629591</v>
      </c>
      <c r="J6005" s="56" t="s">
        <v>2978</v>
      </c>
      <c r="K6005" s="56">
        <v>3351</v>
      </c>
      <c r="L6005" s="55" t="s">
        <v>2152</v>
      </c>
      <c r="M6005" s="55" t="s">
        <v>2824</v>
      </c>
      <c r="N6005" s="4" t="s">
        <v>1905</v>
      </c>
      <c r="O6005" s="55" t="s">
        <v>178</v>
      </c>
    </row>
    <row r="6006" spans="2:15">
      <c r="B6006" s="20">
        <v>45870</v>
      </c>
      <c r="C6006" s="59">
        <v>50142551</v>
      </c>
      <c r="D6006" s="55" t="s">
        <v>215</v>
      </c>
      <c r="G6006" s="65">
        <v>200</v>
      </c>
      <c r="H6006" s="56" t="s">
        <v>92</v>
      </c>
      <c r="I6006" s="54">
        <v>8727748192</v>
      </c>
      <c r="J6006" s="56" t="s">
        <v>2978</v>
      </c>
      <c r="K6006" s="56">
        <v>3351</v>
      </c>
      <c r="L6006" s="55" t="s">
        <v>2152</v>
      </c>
      <c r="M6006" s="55" t="s">
        <v>2824</v>
      </c>
      <c r="N6006" s="4" t="s">
        <v>1905</v>
      </c>
      <c r="O6006" s="55" t="s">
        <v>178</v>
      </c>
    </row>
    <row r="6007" spans="2:15">
      <c r="B6007" s="20">
        <v>45870</v>
      </c>
      <c r="C6007" s="59">
        <v>50142397</v>
      </c>
      <c r="D6007" s="55" t="s">
        <v>557</v>
      </c>
      <c r="G6007" s="65">
        <v>200</v>
      </c>
      <c r="H6007" s="56" t="s">
        <v>80</v>
      </c>
      <c r="I6007" s="54">
        <v>8727748192</v>
      </c>
      <c r="J6007" s="56" t="s">
        <v>2978</v>
      </c>
      <c r="K6007" s="56">
        <v>3351</v>
      </c>
      <c r="L6007" s="55" t="s">
        <v>2152</v>
      </c>
      <c r="M6007" s="55" t="s">
        <v>2824</v>
      </c>
      <c r="N6007" s="4" t="s">
        <v>1905</v>
      </c>
      <c r="O6007" s="55" t="s">
        <v>178</v>
      </c>
    </row>
    <row r="6008" spans="2:15">
      <c r="B6008" s="20">
        <v>45870</v>
      </c>
      <c r="C6008" s="59">
        <v>50144376</v>
      </c>
      <c r="D6008" s="55" t="s">
        <v>19</v>
      </c>
      <c r="G6008" s="65">
        <v>3000</v>
      </c>
      <c r="H6008" s="56" t="s">
        <v>92</v>
      </c>
      <c r="I6008" s="54">
        <v>8727629591</v>
      </c>
      <c r="J6008" s="56" t="s">
        <v>2978</v>
      </c>
      <c r="K6008" s="56">
        <v>3351</v>
      </c>
      <c r="L6008" s="55" t="s">
        <v>2152</v>
      </c>
      <c r="M6008" s="55" t="s">
        <v>2824</v>
      </c>
      <c r="N6008" s="4" t="s">
        <v>1905</v>
      </c>
      <c r="O6008" s="55" t="s">
        <v>178</v>
      </c>
    </row>
    <row r="6009" spans="2:15">
      <c r="B6009" s="20">
        <v>45870</v>
      </c>
      <c r="C6009" s="59">
        <v>50837509</v>
      </c>
      <c r="D6009" s="55" t="s">
        <v>14</v>
      </c>
      <c r="G6009" s="65">
        <v>869400</v>
      </c>
      <c r="H6009" s="56" t="s">
        <v>92</v>
      </c>
      <c r="I6009" s="54">
        <v>8727629591</v>
      </c>
      <c r="J6009" s="56" t="s">
        <v>2978</v>
      </c>
      <c r="K6009" s="56">
        <v>3351</v>
      </c>
      <c r="L6009" s="55" t="s">
        <v>2152</v>
      </c>
      <c r="M6009" s="55" t="s">
        <v>2824</v>
      </c>
      <c r="N6009" s="4" t="s">
        <v>1905</v>
      </c>
      <c r="O6009" s="55" t="s">
        <v>178</v>
      </c>
    </row>
    <row r="6010" spans="2:15">
      <c r="B6010" s="20">
        <v>45870</v>
      </c>
      <c r="C6010" s="59">
        <v>50142327</v>
      </c>
      <c r="D6010" s="55" t="s">
        <v>256</v>
      </c>
      <c r="G6010" s="65">
        <v>1906.8</v>
      </c>
      <c r="H6010" s="56" t="s">
        <v>82</v>
      </c>
      <c r="I6010" s="54">
        <v>8727629591</v>
      </c>
      <c r="J6010" s="56" t="s">
        <v>2978</v>
      </c>
      <c r="K6010" s="56">
        <v>3351</v>
      </c>
      <c r="L6010" s="55" t="s">
        <v>2152</v>
      </c>
      <c r="M6010" s="55" t="s">
        <v>2824</v>
      </c>
      <c r="N6010" s="4" t="s">
        <v>1905</v>
      </c>
      <c r="O6010" s="55" t="s">
        <v>178</v>
      </c>
    </row>
    <row r="6011" spans="2:15">
      <c r="B6011" s="20">
        <v>45870</v>
      </c>
      <c r="C6011" s="59">
        <v>50142334</v>
      </c>
      <c r="D6011" s="55" t="s">
        <v>257</v>
      </c>
      <c r="G6011" s="65">
        <v>1430.1</v>
      </c>
      <c r="H6011" s="56" t="s">
        <v>82</v>
      </c>
      <c r="I6011" s="54">
        <v>8727629591</v>
      </c>
      <c r="J6011" s="56" t="s">
        <v>2978</v>
      </c>
      <c r="K6011" s="56">
        <v>3351</v>
      </c>
      <c r="L6011" s="55" t="s">
        <v>2152</v>
      </c>
      <c r="M6011" s="55" t="s">
        <v>2824</v>
      </c>
      <c r="N6011" s="4" t="s">
        <v>1905</v>
      </c>
      <c r="O6011" s="55" t="s">
        <v>178</v>
      </c>
    </row>
    <row r="6012" spans="2:15">
      <c r="B6012" s="20">
        <v>45870</v>
      </c>
      <c r="C6012" s="59">
        <v>40014675</v>
      </c>
      <c r="D6012" s="55" t="s">
        <v>44</v>
      </c>
      <c r="G6012" s="65">
        <v>34.56</v>
      </c>
      <c r="H6012" s="56" t="s">
        <v>80</v>
      </c>
      <c r="I6012" s="54">
        <v>8727642980</v>
      </c>
      <c r="J6012" s="56" t="s">
        <v>2978</v>
      </c>
      <c r="K6012" s="56">
        <v>480</v>
      </c>
      <c r="L6012" s="55" t="s">
        <v>392</v>
      </c>
      <c r="M6012" s="55" t="s">
        <v>2824</v>
      </c>
      <c r="O6012" s="55" t="s">
        <v>178</v>
      </c>
    </row>
    <row r="6013" spans="2:15">
      <c r="B6013" s="20">
        <v>45870</v>
      </c>
      <c r="C6013" s="59">
        <v>40014675</v>
      </c>
      <c r="D6013" s="55" t="s">
        <v>44</v>
      </c>
      <c r="G6013" s="65">
        <v>34.56</v>
      </c>
      <c r="H6013" s="56" t="s">
        <v>80</v>
      </c>
      <c r="I6013" s="54">
        <v>8727642981</v>
      </c>
      <c r="J6013" s="56" t="s">
        <v>2978</v>
      </c>
      <c r="K6013" s="56">
        <v>481</v>
      </c>
      <c r="L6013" s="55" t="s">
        <v>2152</v>
      </c>
      <c r="M6013" s="55" t="s">
        <v>2824</v>
      </c>
      <c r="N6013" s="4" t="s">
        <v>177</v>
      </c>
      <c r="O6013" s="55" t="s">
        <v>178</v>
      </c>
    </row>
    <row r="6014" spans="2:15">
      <c r="B6014" s="20">
        <v>45870</v>
      </c>
      <c r="C6014" s="59">
        <v>40014675</v>
      </c>
      <c r="D6014" s="55" t="s">
        <v>44</v>
      </c>
      <c r="G6014" s="65">
        <v>31.68</v>
      </c>
      <c r="H6014" s="56" t="s">
        <v>1248</v>
      </c>
      <c r="I6014" s="54">
        <v>8727642982</v>
      </c>
      <c r="J6014" s="56" t="s">
        <v>2978</v>
      </c>
      <c r="K6014" s="56">
        <v>482</v>
      </c>
      <c r="L6014" s="55" t="s">
        <v>392</v>
      </c>
      <c r="M6014" s="55" t="s">
        <v>2824</v>
      </c>
      <c r="O6014" s="55" t="s">
        <v>178</v>
      </c>
    </row>
    <row r="6015" spans="2:15">
      <c r="B6015" s="20">
        <v>45870</v>
      </c>
      <c r="C6015" s="59">
        <v>50843627</v>
      </c>
      <c r="D6015" s="55" t="s">
        <v>2472</v>
      </c>
      <c r="G6015" s="65">
        <v>5760</v>
      </c>
      <c r="H6015" s="56" t="s">
        <v>92</v>
      </c>
      <c r="I6015" s="54">
        <v>8727687828</v>
      </c>
      <c r="J6015" s="56" t="s">
        <v>2978</v>
      </c>
      <c r="K6015" s="56">
        <v>3352</v>
      </c>
      <c r="L6015" s="55" t="s">
        <v>2152</v>
      </c>
      <c r="M6015" s="55" t="s">
        <v>2824</v>
      </c>
      <c r="N6015" s="4" t="s">
        <v>177</v>
      </c>
      <c r="O6015" s="55" t="s">
        <v>178</v>
      </c>
    </row>
    <row r="6016" spans="2:15">
      <c r="B6016" s="20">
        <v>45871</v>
      </c>
      <c r="C6016" s="59">
        <v>40014675</v>
      </c>
      <c r="D6016" s="55" t="s">
        <v>44</v>
      </c>
      <c r="G6016" s="65">
        <v>34.56</v>
      </c>
      <c r="H6016" s="56" t="s">
        <v>1248</v>
      </c>
      <c r="I6016" s="54">
        <v>8727642983</v>
      </c>
      <c r="J6016" s="56" t="s">
        <v>2978</v>
      </c>
      <c r="K6016" s="56">
        <v>484</v>
      </c>
      <c r="L6016" s="55" t="s">
        <v>2152</v>
      </c>
      <c r="M6016" s="55" t="s">
        <v>2824</v>
      </c>
      <c r="N6016" s="4" t="s">
        <v>177</v>
      </c>
      <c r="O6016" s="55" t="s">
        <v>178</v>
      </c>
    </row>
    <row r="6017" spans="2:15">
      <c r="B6017" s="20">
        <v>45871</v>
      </c>
      <c r="C6017" s="59">
        <v>40014675</v>
      </c>
      <c r="D6017" s="55" t="s">
        <v>44</v>
      </c>
      <c r="G6017" s="65">
        <v>34.56</v>
      </c>
      <c r="H6017" s="56" t="s">
        <v>1248</v>
      </c>
      <c r="I6017" s="54">
        <v>8727642984</v>
      </c>
      <c r="J6017" s="56" t="s">
        <v>2978</v>
      </c>
      <c r="K6017" s="56">
        <v>485</v>
      </c>
      <c r="L6017" s="55" t="s">
        <v>392</v>
      </c>
      <c r="M6017" s="55" t="s">
        <v>2824</v>
      </c>
      <c r="O6017" s="55" t="s">
        <v>178</v>
      </c>
    </row>
    <row r="6018" spans="2:15">
      <c r="B6018" s="20">
        <v>45871</v>
      </c>
      <c r="C6018" s="59">
        <v>40014675</v>
      </c>
      <c r="D6018" s="55" t="s">
        <v>44</v>
      </c>
      <c r="G6018" s="65">
        <v>34.56</v>
      </c>
      <c r="H6018" s="56" t="s">
        <v>1248</v>
      </c>
      <c r="I6018" s="54">
        <v>8727642985</v>
      </c>
      <c r="J6018" s="56" t="s">
        <v>2978</v>
      </c>
      <c r="K6018" s="56">
        <v>486</v>
      </c>
      <c r="L6018" s="55" t="s">
        <v>392</v>
      </c>
      <c r="M6018" s="55" t="s">
        <v>2824</v>
      </c>
      <c r="O6018" s="55" t="s">
        <v>178</v>
      </c>
    </row>
    <row r="6019" spans="2:15">
      <c r="B6019" s="20">
        <v>45871</v>
      </c>
      <c r="C6019" s="59">
        <v>40014675</v>
      </c>
      <c r="D6019" s="55" t="s">
        <v>44</v>
      </c>
      <c r="G6019" s="65">
        <v>34.56</v>
      </c>
      <c r="H6019" s="56" t="s">
        <v>1248</v>
      </c>
      <c r="I6019" s="54">
        <v>8727642987</v>
      </c>
      <c r="J6019" s="56" t="s">
        <v>2978</v>
      </c>
      <c r="K6019" s="56">
        <v>487</v>
      </c>
      <c r="L6019" s="55" t="s">
        <v>392</v>
      </c>
      <c r="M6019" s="55" t="s">
        <v>2824</v>
      </c>
      <c r="O6019" s="55" t="s">
        <v>178</v>
      </c>
    </row>
    <row r="6020" spans="2:15">
      <c r="B6020" s="20">
        <v>45871</v>
      </c>
      <c r="C6020" s="59">
        <v>40014675</v>
      </c>
      <c r="D6020" s="55" t="s">
        <v>44</v>
      </c>
      <c r="G6020" s="65">
        <v>34.56</v>
      </c>
      <c r="H6020" s="56" t="s">
        <v>1248</v>
      </c>
      <c r="I6020" s="54">
        <v>8727642989</v>
      </c>
      <c r="J6020" s="56" t="s">
        <v>2978</v>
      </c>
      <c r="K6020" s="56">
        <v>488</v>
      </c>
      <c r="L6020" s="55" t="s">
        <v>2152</v>
      </c>
      <c r="M6020" s="55" t="s">
        <v>2824</v>
      </c>
      <c r="N6020" s="4" t="s">
        <v>177</v>
      </c>
      <c r="O6020" s="55" t="s">
        <v>178</v>
      </c>
    </row>
    <row r="6021" spans="2:15">
      <c r="B6021" s="20">
        <v>45873</v>
      </c>
      <c r="C6021" s="59">
        <v>40010086</v>
      </c>
      <c r="D6021" s="55" t="s">
        <v>79</v>
      </c>
      <c r="G6021" s="65">
        <v>9408</v>
      </c>
      <c r="H6021" s="56" t="s">
        <v>80</v>
      </c>
      <c r="I6021" s="54">
        <v>8727656235</v>
      </c>
      <c r="J6021" s="56" t="s">
        <v>2978</v>
      </c>
      <c r="K6021" s="56">
        <v>3353</v>
      </c>
      <c r="L6021" s="55" t="s">
        <v>2152</v>
      </c>
      <c r="M6021" s="55" t="s">
        <v>2824</v>
      </c>
      <c r="N6021" s="4" t="s">
        <v>1905</v>
      </c>
      <c r="O6021" s="55" t="s">
        <v>178</v>
      </c>
    </row>
    <row r="6022" spans="2:15">
      <c r="B6022" s="20">
        <v>45873</v>
      </c>
      <c r="C6022" s="59">
        <v>40010087</v>
      </c>
      <c r="D6022" s="55" t="s">
        <v>387</v>
      </c>
      <c r="G6022" s="65">
        <v>5184</v>
      </c>
      <c r="H6022" s="56" t="s">
        <v>80</v>
      </c>
      <c r="I6022" s="54">
        <v>8727656235</v>
      </c>
      <c r="J6022" s="56" t="s">
        <v>2978</v>
      </c>
      <c r="K6022" s="56">
        <v>3353</v>
      </c>
      <c r="L6022" s="55" t="s">
        <v>2152</v>
      </c>
      <c r="M6022" s="55" t="s">
        <v>2824</v>
      </c>
      <c r="N6022" s="4" t="s">
        <v>1905</v>
      </c>
      <c r="O6022" s="55" t="s">
        <v>178</v>
      </c>
    </row>
    <row r="6023" spans="2:15">
      <c r="B6023" s="20">
        <v>45873</v>
      </c>
      <c r="C6023" s="59">
        <v>50472696</v>
      </c>
      <c r="D6023" s="55" t="s">
        <v>1308</v>
      </c>
      <c r="G6023" s="65">
        <v>2205</v>
      </c>
      <c r="H6023" s="56" t="s">
        <v>80</v>
      </c>
      <c r="I6023" s="54">
        <v>8727656235</v>
      </c>
      <c r="J6023" s="56" t="s">
        <v>2978</v>
      </c>
      <c r="K6023" s="56">
        <v>3353</v>
      </c>
      <c r="L6023" s="55" t="s">
        <v>2152</v>
      </c>
      <c r="M6023" s="55" t="s">
        <v>2824</v>
      </c>
      <c r="N6023" s="4" t="s">
        <v>1905</v>
      </c>
      <c r="O6023" s="55" t="s">
        <v>178</v>
      </c>
    </row>
    <row r="6024" spans="2:15">
      <c r="B6024" s="20">
        <v>45873</v>
      </c>
      <c r="C6024" s="59">
        <v>50472692</v>
      </c>
      <c r="D6024" s="55" t="s">
        <v>1304</v>
      </c>
      <c r="G6024" s="65">
        <v>1638</v>
      </c>
      <c r="H6024" s="56" t="s">
        <v>80</v>
      </c>
      <c r="I6024" s="54">
        <v>8727656235</v>
      </c>
      <c r="J6024" s="56" t="s">
        <v>2978</v>
      </c>
      <c r="K6024" s="56">
        <v>3353</v>
      </c>
      <c r="L6024" s="55" t="s">
        <v>2152</v>
      </c>
      <c r="M6024" s="55" t="s">
        <v>2824</v>
      </c>
      <c r="N6024" s="4" t="s">
        <v>1905</v>
      </c>
      <c r="O6024" s="55" t="s">
        <v>178</v>
      </c>
    </row>
    <row r="6025" spans="2:15">
      <c r="B6025" s="20">
        <v>45873</v>
      </c>
      <c r="C6025" s="59">
        <v>40011588</v>
      </c>
      <c r="D6025" s="55" t="s">
        <v>585</v>
      </c>
      <c r="G6025" s="65">
        <v>1800</v>
      </c>
      <c r="H6025" s="56" t="s">
        <v>80</v>
      </c>
      <c r="I6025" s="54">
        <v>8727656235</v>
      </c>
      <c r="J6025" s="56" t="s">
        <v>2978</v>
      </c>
      <c r="K6025" s="56">
        <v>3353</v>
      </c>
      <c r="L6025" s="55" t="s">
        <v>2152</v>
      </c>
      <c r="M6025" s="55" t="s">
        <v>2824</v>
      </c>
      <c r="N6025" s="4" t="s">
        <v>1905</v>
      </c>
      <c r="O6025" s="55" t="s">
        <v>178</v>
      </c>
    </row>
    <row r="6026" spans="2:15">
      <c r="B6026" s="20">
        <v>45873</v>
      </c>
      <c r="C6026" s="59">
        <v>50802401</v>
      </c>
      <c r="D6026" s="55" t="s">
        <v>13</v>
      </c>
      <c r="G6026" s="65">
        <v>1159200</v>
      </c>
      <c r="H6026" s="56" t="s">
        <v>92</v>
      </c>
      <c r="I6026" s="54">
        <v>8727656235</v>
      </c>
      <c r="J6026" s="56" t="s">
        <v>2978</v>
      </c>
      <c r="K6026" s="56">
        <v>3353</v>
      </c>
      <c r="L6026" s="55" t="s">
        <v>2152</v>
      </c>
      <c r="M6026" s="55" t="s">
        <v>2824</v>
      </c>
      <c r="N6026" s="4" t="s">
        <v>1905</v>
      </c>
      <c r="O6026" s="55" t="s">
        <v>178</v>
      </c>
    </row>
    <row r="6027" spans="2:15">
      <c r="B6027" s="20">
        <v>45873</v>
      </c>
      <c r="C6027" s="59">
        <v>40014675</v>
      </c>
      <c r="D6027" s="55" t="s">
        <v>44</v>
      </c>
      <c r="G6027" s="65">
        <v>34.56</v>
      </c>
      <c r="H6027" s="56" t="s">
        <v>1248</v>
      </c>
      <c r="I6027" s="54">
        <v>8727671369</v>
      </c>
      <c r="J6027" s="56" t="s">
        <v>2978</v>
      </c>
      <c r="K6027" s="56">
        <v>489</v>
      </c>
      <c r="L6027" s="55" t="s">
        <v>2152</v>
      </c>
      <c r="M6027" s="55" t="s">
        <v>2824</v>
      </c>
      <c r="N6027" s="4" t="s">
        <v>177</v>
      </c>
      <c r="O6027" s="55" t="s">
        <v>178</v>
      </c>
    </row>
    <row r="6028" spans="2:15">
      <c r="B6028" s="20">
        <v>45873</v>
      </c>
      <c r="C6028" s="59">
        <v>40014675</v>
      </c>
      <c r="D6028" s="55" t="s">
        <v>44</v>
      </c>
      <c r="G6028" s="65">
        <v>31.68</v>
      </c>
      <c r="H6028" s="56" t="s">
        <v>1248</v>
      </c>
      <c r="I6028" s="54">
        <v>8727671370</v>
      </c>
      <c r="J6028" s="56" t="s">
        <v>2978</v>
      </c>
      <c r="K6028" s="56">
        <v>490</v>
      </c>
      <c r="L6028" s="55" t="s">
        <v>2152</v>
      </c>
      <c r="M6028" s="55" t="s">
        <v>2824</v>
      </c>
      <c r="N6028" s="4" t="s">
        <v>1905</v>
      </c>
      <c r="O6028" s="55" t="s">
        <v>178</v>
      </c>
    </row>
    <row r="6029" spans="2:15">
      <c r="B6029" s="20">
        <v>45873</v>
      </c>
      <c r="C6029" s="59">
        <v>40014675</v>
      </c>
      <c r="D6029" s="55" t="s">
        <v>44</v>
      </c>
      <c r="G6029" s="65">
        <v>34.56</v>
      </c>
      <c r="H6029" s="56" t="s">
        <v>1248</v>
      </c>
      <c r="I6029" s="54">
        <v>8727671395</v>
      </c>
      <c r="J6029" s="56" t="s">
        <v>2978</v>
      </c>
      <c r="K6029" s="56">
        <v>491</v>
      </c>
      <c r="L6029" s="55" t="s">
        <v>392</v>
      </c>
      <c r="M6029" s="55" t="s">
        <v>2824</v>
      </c>
      <c r="O6029" s="55" t="s">
        <v>178</v>
      </c>
    </row>
    <row r="6030" spans="2:15">
      <c r="B6030" s="20">
        <v>45873</v>
      </c>
      <c r="C6030" s="59">
        <v>40014675</v>
      </c>
      <c r="D6030" s="55" t="s">
        <v>44</v>
      </c>
      <c r="G6030" s="65">
        <v>34.56</v>
      </c>
      <c r="H6030" s="56" t="s">
        <v>1248</v>
      </c>
      <c r="I6030" s="54">
        <v>8727671397</v>
      </c>
      <c r="J6030" s="56" t="s">
        <v>2978</v>
      </c>
      <c r="K6030" s="56">
        <v>492</v>
      </c>
      <c r="L6030" s="55" t="s">
        <v>2152</v>
      </c>
      <c r="M6030" s="55" t="s">
        <v>2824</v>
      </c>
      <c r="N6030" s="4" t="s">
        <v>177</v>
      </c>
      <c r="O6030" s="55" t="s">
        <v>178</v>
      </c>
    </row>
    <row r="6031" spans="2:15">
      <c r="B6031" s="20">
        <v>45874</v>
      </c>
      <c r="C6031" s="59">
        <v>40014675</v>
      </c>
      <c r="D6031" s="55" t="s">
        <v>44</v>
      </c>
      <c r="G6031" s="65">
        <v>34.56</v>
      </c>
      <c r="H6031" s="56" t="s">
        <v>1248</v>
      </c>
      <c r="I6031" s="54">
        <v>8727671399</v>
      </c>
      <c r="J6031" s="56" t="s">
        <v>2978</v>
      </c>
      <c r="K6031" s="56">
        <v>493</v>
      </c>
      <c r="L6031" s="55" t="s">
        <v>392</v>
      </c>
      <c r="M6031" s="55" t="s">
        <v>2824</v>
      </c>
      <c r="O6031" s="55" t="s">
        <v>178</v>
      </c>
    </row>
    <row r="6032" spans="2:15">
      <c r="B6032" s="20">
        <v>45874</v>
      </c>
      <c r="C6032" s="59">
        <v>40014675</v>
      </c>
      <c r="D6032" s="55" t="s">
        <v>44</v>
      </c>
      <c r="G6032" s="65">
        <v>34.56</v>
      </c>
      <c r="H6032" s="56" t="s">
        <v>1248</v>
      </c>
      <c r="I6032" s="54">
        <v>8727671401</v>
      </c>
      <c r="J6032" s="56" t="s">
        <v>2978</v>
      </c>
      <c r="K6032" s="56">
        <v>494</v>
      </c>
      <c r="L6032" s="55" t="s">
        <v>2152</v>
      </c>
      <c r="M6032" s="55" t="s">
        <v>2824</v>
      </c>
      <c r="N6032" s="4" t="s">
        <v>177</v>
      </c>
      <c r="O6032" s="55" t="s">
        <v>178</v>
      </c>
    </row>
    <row r="6033" spans="2:15">
      <c r="B6033" s="20">
        <v>45874</v>
      </c>
      <c r="C6033" s="59">
        <v>40014675</v>
      </c>
      <c r="D6033" s="55" t="s">
        <v>44</v>
      </c>
      <c r="G6033" s="65">
        <v>31.68</v>
      </c>
      <c r="H6033" s="56" t="s">
        <v>1248</v>
      </c>
      <c r="I6033" s="54">
        <v>8727671404</v>
      </c>
      <c r="J6033" s="56" t="s">
        <v>2978</v>
      </c>
      <c r="K6033" s="56">
        <v>495</v>
      </c>
      <c r="L6033" s="55" t="s">
        <v>2152</v>
      </c>
      <c r="M6033" s="55" t="s">
        <v>2824</v>
      </c>
      <c r="N6033" s="4" t="s">
        <v>1905</v>
      </c>
      <c r="O6033" s="55" t="s">
        <v>178</v>
      </c>
    </row>
    <row r="6034" spans="2:15">
      <c r="B6034" s="20">
        <v>45874</v>
      </c>
      <c r="C6034" s="59">
        <v>40014675</v>
      </c>
      <c r="D6034" s="55" t="s">
        <v>44</v>
      </c>
      <c r="G6034" s="65">
        <v>34.56</v>
      </c>
      <c r="H6034" s="56" t="s">
        <v>1248</v>
      </c>
      <c r="I6034" s="54">
        <v>8727671405</v>
      </c>
      <c r="J6034" s="56" t="s">
        <v>2978</v>
      </c>
      <c r="K6034" s="56">
        <v>496</v>
      </c>
      <c r="L6034" s="55" t="s">
        <v>2152</v>
      </c>
      <c r="M6034" s="55" t="s">
        <v>2824</v>
      </c>
      <c r="N6034" s="4" t="s">
        <v>177</v>
      </c>
      <c r="O6034" s="55" t="s">
        <v>178</v>
      </c>
    </row>
    <row r="6035" spans="2:15">
      <c r="B6035" s="20">
        <v>45874</v>
      </c>
      <c r="C6035" s="59">
        <v>50142298</v>
      </c>
      <c r="D6035" s="55" t="s">
        <v>2159</v>
      </c>
      <c r="G6035" s="65">
        <v>1685</v>
      </c>
      <c r="H6035" s="56" t="s">
        <v>198</v>
      </c>
      <c r="I6035" s="54" t="s">
        <v>2874</v>
      </c>
      <c r="J6035" s="56" t="s">
        <v>2978</v>
      </c>
      <c r="K6035" s="56">
        <v>3354</v>
      </c>
      <c r="L6035" s="55" t="s">
        <v>2152</v>
      </c>
      <c r="M6035" s="55" t="s">
        <v>2824</v>
      </c>
      <c r="N6035" s="4" t="s">
        <v>1905</v>
      </c>
      <c r="O6035" s="55" t="s">
        <v>178</v>
      </c>
    </row>
    <row r="6036" spans="2:15">
      <c r="B6036" s="20">
        <v>45874</v>
      </c>
      <c r="C6036" s="59">
        <v>50272278</v>
      </c>
      <c r="D6036" s="55" t="s">
        <v>21</v>
      </c>
      <c r="G6036" s="65">
        <v>6000</v>
      </c>
      <c r="H6036" s="56" t="s">
        <v>92</v>
      </c>
      <c r="I6036" s="54">
        <v>8727672372</v>
      </c>
      <c r="J6036" s="56" t="s">
        <v>2978</v>
      </c>
      <c r="K6036" s="56">
        <v>3354</v>
      </c>
      <c r="L6036" s="55" t="s">
        <v>2152</v>
      </c>
      <c r="M6036" s="55" t="s">
        <v>2824</v>
      </c>
      <c r="N6036" s="4" t="s">
        <v>1905</v>
      </c>
      <c r="O6036" s="55" t="s">
        <v>178</v>
      </c>
    </row>
    <row r="6037" spans="2:15">
      <c r="B6037" s="20">
        <v>45874</v>
      </c>
      <c r="C6037" s="59">
        <v>50802401</v>
      </c>
      <c r="D6037" s="55" t="s">
        <v>13</v>
      </c>
      <c r="G6037" s="65">
        <v>289800</v>
      </c>
      <c r="H6037" s="56" t="s">
        <v>92</v>
      </c>
      <c r="I6037" s="54">
        <v>8727672372</v>
      </c>
      <c r="J6037" s="56" t="s">
        <v>2978</v>
      </c>
      <c r="K6037" s="56">
        <v>3354</v>
      </c>
      <c r="L6037" s="55" t="s">
        <v>2152</v>
      </c>
      <c r="M6037" s="55" t="s">
        <v>2824</v>
      </c>
      <c r="N6037" s="4" t="s">
        <v>1905</v>
      </c>
      <c r="O6037" s="55" t="s">
        <v>178</v>
      </c>
    </row>
    <row r="6038" spans="2:15">
      <c r="B6038" s="20">
        <v>45874</v>
      </c>
      <c r="C6038" s="59">
        <v>50760042</v>
      </c>
      <c r="D6038" s="55" t="s">
        <v>2460</v>
      </c>
      <c r="G6038" s="65">
        <v>400</v>
      </c>
      <c r="H6038" s="56" t="s">
        <v>987</v>
      </c>
      <c r="I6038" s="54">
        <v>8727672372</v>
      </c>
      <c r="J6038" s="56" t="s">
        <v>2978</v>
      </c>
      <c r="K6038" s="56">
        <v>3354</v>
      </c>
      <c r="L6038" s="55" t="s">
        <v>2152</v>
      </c>
      <c r="M6038" s="55" t="s">
        <v>2824</v>
      </c>
      <c r="N6038" s="4" t="s">
        <v>1905</v>
      </c>
      <c r="O6038" s="55" t="s">
        <v>178</v>
      </c>
    </row>
    <row r="6039" spans="2:15">
      <c r="B6039" s="20">
        <v>45874</v>
      </c>
      <c r="C6039" s="59">
        <v>50843627</v>
      </c>
      <c r="D6039" s="55" t="s">
        <v>2472</v>
      </c>
      <c r="G6039" s="65">
        <v>11520</v>
      </c>
      <c r="H6039" s="56" t="s">
        <v>962</v>
      </c>
      <c r="I6039" s="54">
        <v>8727687829</v>
      </c>
      <c r="J6039" s="56" t="s">
        <v>2978</v>
      </c>
      <c r="K6039" s="56">
        <v>3354</v>
      </c>
      <c r="L6039" s="55" t="s">
        <v>2152</v>
      </c>
      <c r="M6039" s="55" t="s">
        <v>2824</v>
      </c>
      <c r="N6039" s="4" t="s">
        <v>1905</v>
      </c>
      <c r="O6039" s="55" t="s">
        <v>178</v>
      </c>
    </row>
    <row r="6040" spans="2:15">
      <c r="B6040" s="20">
        <v>45875</v>
      </c>
      <c r="C6040" s="59">
        <v>50142328</v>
      </c>
      <c r="D6040" s="55" t="s">
        <v>1591</v>
      </c>
      <c r="G6040" s="122">
        <v>3000</v>
      </c>
      <c r="H6040" s="56" t="s">
        <v>82</v>
      </c>
      <c r="I6040" s="54">
        <v>8727746101</v>
      </c>
      <c r="J6040" s="56" t="s">
        <v>2978</v>
      </c>
      <c r="K6040" s="56">
        <v>3355</v>
      </c>
      <c r="L6040" s="55" t="s">
        <v>2152</v>
      </c>
      <c r="M6040" s="55" t="s">
        <v>2824</v>
      </c>
      <c r="N6040" s="4" t="s">
        <v>1905</v>
      </c>
      <c r="O6040" s="55" t="s">
        <v>178</v>
      </c>
    </row>
    <row r="6041" spans="2:15">
      <c r="B6041" s="20">
        <v>45875</v>
      </c>
      <c r="C6041" s="59">
        <v>40009546</v>
      </c>
      <c r="D6041" s="55" t="s">
        <v>174</v>
      </c>
      <c r="G6041" s="122">
        <v>4320</v>
      </c>
      <c r="H6041" s="56" t="s">
        <v>80</v>
      </c>
      <c r="I6041" s="54">
        <v>8727783186</v>
      </c>
      <c r="J6041" s="56" t="s">
        <v>2978</v>
      </c>
      <c r="K6041" s="56">
        <v>3355</v>
      </c>
      <c r="L6041" s="55" t="s">
        <v>2152</v>
      </c>
      <c r="M6041" s="55" t="s">
        <v>2824</v>
      </c>
      <c r="N6041" s="4" t="s">
        <v>1905</v>
      </c>
      <c r="O6041" s="55" t="s">
        <v>178</v>
      </c>
    </row>
    <row r="6042" spans="2:15">
      <c r="B6042" s="20">
        <v>45875</v>
      </c>
      <c r="C6042" s="59">
        <v>50824293</v>
      </c>
      <c r="D6042" s="55" t="s">
        <v>861</v>
      </c>
      <c r="G6042" s="122">
        <v>952000</v>
      </c>
      <c r="H6042" s="56" t="s">
        <v>92</v>
      </c>
      <c r="I6042" s="54">
        <v>8727688922</v>
      </c>
      <c r="J6042" s="56" t="s">
        <v>2978</v>
      </c>
      <c r="K6042" s="56">
        <v>3355</v>
      </c>
      <c r="L6042" s="55" t="s">
        <v>2152</v>
      </c>
      <c r="M6042" s="55" t="s">
        <v>2824</v>
      </c>
      <c r="N6042" s="4" t="s">
        <v>1905</v>
      </c>
      <c r="O6042" s="55" t="s">
        <v>178</v>
      </c>
    </row>
    <row r="6043" spans="2:15">
      <c r="B6043" s="20">
        <v>45875</v>
      </c>
      <c r="C6043" s="59">
        <v>50272278</v>
      </c>
      <c r="D6043" s="55" t="s">
        <v>21</v>
      </c>
      <c r="G6043" s="122">
        <v>3000</v>
      </c>
      <c r="H6043" s="56" t="s">
        <v>92</v>
      </c>
      <c r="I6043" s="54">
        <v>8727688922</v>
      </c>
      <c r="J6043" s="56" t="s">
        <v>2978</v>
      </c>
      <c r="K6043" s="56">
        <v>3355</v>
      </c>
      <c r="L6043" s="55" t="s">
        <v>2152</v>
      </c>
      <c r="M6043" s="55" t="s">
        <v>2824</v>
      </c>
      <c r="N6043" s="4" t="s">
        <v>1905</v>
      </c>
      <c r="O6043" s="55" t="s">
        <v>178</v>
      </c>
    </row>
    <row r="6044" spans="2:15">
      <c r="B6044" s="20">
        <v>45875</v>
      </c>
      <c r="C6044" s="59">
        <v>50802401</v>
      </c>
      <c r="D6044" s="55" t="s">
        <v>13</v>
      </c>
      <c r="G6044" s="122">
        <v>579600</v>
      </c>
      <c r="H6044" s="56" t="s">
        <v>92</v>
      </c>
      <c r="I6044" s="54">
        <v>8727688922</v>
      </c>
      <c r="J6044" s="56" t="s">
        <v>2978</v>
      </c>
      <c r="K6044" s="56">
        <v>3355</v>
      </c>
      <c r="L6044" s="55" t="s">
        <v>2152</v>
      </c>
      <c r="M6044" s="55" t="s">
        <v>2824</v>
      </c>
      <c r="N6044" s="4" t="s">
        <v>1905</v>
      </c>
      <c r="O6044" s="55" t="s">
        <v>178</v>
      </c>
    </row>
    <row r="6045" spans="2:15">
      <c r="B6045" s="20">
        <v>45875</v>
      </c>
      <c r="C6045" s="59">
        <v>50843627</v>
      </c>
      <c r="D6045" s="55" t="s">
        <v>2472</v>
      </c>
      <c r="G6045" s="122">
        <v>23040</v>
      </c>
      <c r="H6045" s="56" t="s">
        <v>962</v>
      </c>
      <c r="I6045" s="54">
        <v>8727688922</v>
      </c>
      <c r="J6045" s="56" t="s">
        <v>2978</v>
      </c>
      <c r="K6045" s="56">
        <v>3355</v>
      </c>
      <c r="L6045" s="55" t="s">
        <v>2152</v>
      </c>
      <c r="M6045" s="55" t="s">
        <v>2824</v>
      </c>
      <c r="N6045" s="4" t="s">
        <v>1905</v>
      </c>
      <c r="O6045" s="55" t="s">
        <v>178</v>
      </c>
    </row>
    <row r="6046" spans="2:15">
      <c r="B6046" s="20">
        <v>45875</v>
      </c>
      <c r="C6046" s="59">
        <v>50271805</v>
      </c>
      <c r="D6046" s="55" t="s">
        <v>3031</v>
      </c>
      <c r="G6046" s="65">
        <v>13500</v>
      </c>
      <c r="H6046" s="56" t="s">
        <v>92</v>
      </c>
      <c r="I6046" s="54">
        <v>8727748393</v>
      </c>
      <c r="J6046" s="56" t="s">
        <v>2978</v>
      </c>
      <c r="K6046" s="56">
        <v>3356</v>
      </c>
      <c r="L6046" s="55" t="s">
        <v>326</v>
      </c>
      <c r="M6046" s="55" t="s">
        <v>326</v>
      </c>
      <c r="N6046" s="4" t="s">
        <v>2454</v>
      </c>
      <c r="O6046" s="55" t="s">
        <v>178</v>
      </c>
    </row>
    <row r="6047" spans="2:15">
      <c r="B6047" s="20">
        <v>45875</v>
      </c>
      <c r="C6047" s="59">
        <v>50515034</v>
      </c>
      <c r="D6047" s="55" t="s">
        <v>41</v>
      </c>
      <c r="G6047" s="65">
        <v>230.4</v>
      </c>
      <c r="H6047" s="56" t="s">
        <v>80</v>
      </c>
      <c r="I6047" s="54">
        <v>8727746211</v>
      </c>
      <c r="J6047" s="56" t="s">
        <v>2978</v>
      </c>
      <c r="K6047" s="56">
        <v>3357</v>
      </c>
      <c r="L6047" s="55" t="s">
        <v>326</v>
      </c>
      <c r="M6047" s="55" t="s">
        <v>2004</v>
      </c>
      <c r="N6047" s="4" t="s">
        <v>239</v>
      </c>
      <c r="O6047" s="55" t="s">
        <v>178</v>
      </c>
    </row>
    <row r="6048" spans="2:15">
      <c r="B6048" s="20">
        <v>45875</v>
      </c>
      <c r="C6048" s="59">
        <v>50145028</v>
      </c>
      <c r="D6048" s="55" t="s">
        <v>23</v>
      </c>
      <c r="G6048" s="65">
        <v>140</v>
      </c>
      <c r="H6048" s="56" t="s">
        <v>92</v>
      </c>
      <c r="I6048" s="54">
        <v>8727746211</v>
      </c>
      <c r="J6048" s="56" t="s">
        <v>2978</v>
      </c>
      <c r="K6048" s="56">
        <v>3357</v>
      </c>
      <c r="L6048" s="55" t="s">
        <v>326</v>
      </c>
      <c r="M6048" s="55" t="s">
        <v>2004</v>
      </c>
      <c r="N6048" s="4" t="s">
        <v>239</v>
      </c>
      <c r="O6048" s="55" t="s">
        <v>178</v>
      </c>
    </row>
    <row r="6049" spans="2:16">
      <c r="B6049" s="20">
        <v>45875</v>
      </c>
      <c r="C6049" s="59">
        <v>50834329</v>
      </c>
      <c r="D6049" s="55" t="s">
        <v>1475</v>
      </c>
      <c r="G6049" s="65">
        <v>1621.65</v>
      </c>
      <c r="H6049" s="56" t="s">
        <v>82</v>
      </c>
      <c r="I6049" s="54">
        <v>8727746211</v>
      </c>
      <c r="J6049" s="56" t="s">
        <v>2978</v>
      </c>
      <c r="K6049" s="56">
        <v>3357</v>
      </c>
      <c r="L6049" s="55" t="s">
        <v>326</v>
      </c>
      <c r="M6049" s="55" t="s">
        <v>2004</v>
      </c>
      <c r="N6049" s="4" t="s">
        <v>239</v>
      </c>
      <c r="O6049" s="55" t="s">
        <v>178</v>
      </c>
    </row>
    <row r="6050" spans="2:16">
      <c r="B6050" s="20">
        <v>45875</v>
      </c>
      <c r="C6050" s="59">
        <v>50799770</v>
      </c>
      <c r="D6050" s="55" t="s">
        <v>17</v>
      </c>
      <c r="G6050" s="65">
        <v>1500</v>
      </c>
      <c r="H6050" s="56" t="s">
        <v>92</v>
      </c>
      <c r="I6050" s="54">
        <v>8727746211</v>
      </c>
      <c r="J6050" s="56" t="s">
        <v>2978</v>
      </c>
      <c r="K6050" s="56">
        <v>3357</v>
      </c>
      <c r="L6050" s="55" t="s">
        <v>326</v>
      </c>
      <c r="M6050" s="55" t="s">
        <v>2004</v>
      </c>
      <c r="N6050" s="4" t="s">
        <v>239</v>
      </c>
      <c r="O6050" s="55" t="s">
        <v>178</v>
      </c>
    </row>
    <row r="6051" spans="2:16">
      <c r="B6051" s="20">
        <v>45875</v>
      </c>
      <c r="C6051" s="59">
        <v>50144376</v>
      </c>
      <c r="D6051" s="55" t="s">
        <v>19</v>
      </c>
      <c r="G6051" s="65">
        <v>500</v>
      </c>
      <c r="H6051" s="56" t="s">
        <v>92</v>
      </c>
      <c r="I6051" s="54">
        <v>8727746211</v>
      </c>
      <c r="J6051" s="56" t="s">
        <v>2978</v>
      </c>
      <c r="K6051" s="56">
        <v>3357</v>
      </c>
      <c r="L6051" s="55" t="s">
        <v>326</v>
      </c>
      <c r="M6051" s="55" t="s">
        <v>2004</v>
      </c>
      <c r="N6051" s="4" t="s">
        <v>239</v>
      </c>
      <c r="O6051" s="55" t="s">
        <v>178</v>
      </c>
    </row>
    <row r="6052" spans="2:16">
      <c r="B6052" s="20">
        <v>45875</v>
      </c>
      <c r="C6052" s="59">
        <v>50272278</v>
      </c>
      <c r="D6052" s="55" t="s">
        <v>21</v>
      </c>
      <c r="G6052" s="65">
        <v>1300</v>
      </c>
      <c r="H6052" s="56" t="s">
        <v>92</v>
      </c>
      <c r="I6052" s="54">
        <v>8727746211</v>
      </c>
      <c r="J6052" s="56" t="s">
        <v>2978</v>
      </c>
      <c r="K6052" s="56">
        <v>3357</v>
      </c>
      <c r="L6052" s="55" t="s">
        <v>326</v>
      </c>
      <c r="M6052" s="55" t="s">
        <v>2004</v>
      </c>
      <c r="N6052" s="4" t="s">
        <v>239</v>
      </c>
      <c r="O6052" s="55" t="s">
        <v>178</v>
      </c>
    </row>
    <row r="6053" spans="2:16">
      <c r="B6053" s="20">
        <v>45875</v>
      </c>
      <c r="C6053" s="59">
        <v>50837237</v>
      </c>
      <c r="D6053" s="55" t="s">
        <v>1747</v>
      </c>
      <c r="G6053" s="65">
        <v>1764.55</v>
      </c>
      <c r="H6053" s="56" t="s">
        <v>82</v>
      </c>
      <c r="I6053" s="54">
        <v>8727746100</v>
      </c>
      <c r="J6053" s="56" t="s">
        <v>2978</v>
      </c>
      <c r="K6053" s="56">
        <v>3358</v>
      </c>
      <c r="L6053" s="55" t="s">
        <v>2152</v>
      </c>
      <c r="M6053" s="55" t="s">
        <v>2824</v>
      </c>
      <c r="N6053" s="4" t="s">
        <v>1905</v>
      </c>
      <c r="O6053" s="55" t="s">
        <v>178</v>
      </c>
    </row>
    <row r="6054" spans="2:16">
      <c r="B6054" s="20">
        <v>45875</v>
      </c>
      <c r="C6054" s="59">
        <v>50144376</v>
      </c>
      <c r="D6054" s="55" t="s">
        <v>19</v>
      </c>
      <c r="G6054" s="65">
        <v>6000</v>
      </c>
      <c r="H6054" s="56" t="s">
        <v>92</v>
      </c>
      <c r="I6054" s="54">
        <v>8727746213</v>
      </c>
      <c r="J6054" s="56" t="s">
        <v>2978</v>
      </c>
      <c r="K6054" s="56">
        <v>3358</v>
      </c>
      <c r="L6054" s="55" t="s">
        <v>2152</v>
      </c>
      <c r="M6054" s="55" t="s">
        <v>2824</v>
      </c>
      <c r="N6054" s="4" t="s">
        <v>1905</v>
      </c>
      <c r="O6054" s="55" t="s">
        <v>178</v>
      </c>
    </row>
    <row r="6055" spans="2:16">
      <c r="B6055" s="20">
        <v>45875</v>
      </c>
      <c r="C6055" s="59">
        <v>50272278</v>
      </c>
      <c r="D6055" s="55" t="s">
        <v>21</v>
      </c>
      <c r="G6055" s="65">
        <v>3000</v>
      </c>
      <c r="H6055" s="56" t="s">
        <v>92</v>
      </c>
      <c r="I6055" s="54">
        <v>8727746213</v>
      </c>
      <c r="J6055" s="56" t="s">
        <v>2978</v>
      </c>
      <c r="K6055" s="56">
        <v>3358</v>
      </c>
      <c r="L6055" s="55" t="s">
        <v>2152</v>
      </c>
      <c r="M6055" s="55" t="s">
        <v>2824</v>
      </c>
      <c r="N6055" s="4" t="s">
        <v>1905</v>
      </c>
      <c r="O6055" s="55" t="s">
        <v>178</v>
      </c>
    </row>
    <row r="6056" spans="2:16">
      <c r="B6056" s="20">
        <v>45875</v>
      </c>
      <c r="C6056" s="59">
        <v>50853828</v>
      </c>
      <c r="D6056" s="55" t="s">
        <v>2465</v>
      </c>
      <c r="G6056" s="65">
        <v>1682.05</v>
      </c>
      <c r="H6056" s="56" t="s">
        <v>987</v>
      </c>
      <c r="I6056" s="54">
        <v>8727746213</v>
      </c>
      <c r="J6056" s="56" t="s">
        <v>2978</v>
      </c>
      <c r="K6056" s="56">
        <v>3358</v>
      </c>
      <c r="L6056" s="55" t="s">
        <v>2152</v>
      </c>
      <c r="M6056" s="55" t="s">
        <v>2824</v>
      </c>
      <c r="N6056" s="4" t="s">
        <v>1905</v>
      </c>
      <c r="O6056" s="55" t="s">
        <v>178</v>
      </c>
    </row>
    <row r="6057" spans="2:16">
      <c r="B6057" s="20">
        <v>45875</v>
      </c>
      <c r="C6057" s="59">
        <v>50821962</v>
      </c>
      <c r="D6057" s="55" t="s">
        <v>2467</v>
      </c>
      <c r="G6057" s="65">
        <v>2209.75</v>
      </c>
      <c r="H6057" s="56" t="s">
        <v>987</v>
      </c>
      <c r="I6057" s="54">
        <v>8727746213</v>
      </c>
      <c r="J6057" s="56" t="s">
        <v>2978</v>
      </c>
      <c r="K6057" s="56">
        <v>3358</v>
      </c>
      <c r="L6057" s="55" t="s">
        <v>2152</v>
      </c>
      <c r="M6057" s="55" t="s">
        <v>2824</v>
      </c>
      <c r="N6057" s="4" t="s">
        <v>1905</v>
      </c>
      <c r="O6057" s="55" t="s">
        <v>178</v>
      </c>
    </row>
    <row r="6058" spans="2:16">
      <c r="B6058" s="20">
        <v>45875</v>
      </c>
      <c r="C6058" s="59">
        <v>50793278</v>
      </c>
      <c r="D6058" s="55" t="s">
        <v>1086</v>
      </c>
      <c r="G6058" s="65">
        <v>150</v>
      </c>
      <c r="H6058" s="56" t="s">
        <v>1087</v>
      </c>
      <c r="I6058" s="54">
        <v>5147462772</v>
      </c>
      <c r="J6058" s="56" t="s">
        <v>2978</v>
      </c>
      <c r="K6058" s="56">
        <v>3359</v>
      </c>
      <c r="L6058" s="55" t="s">
        <v>2152</v>
      </c>
      <c r="M6058" s="55" t="s">
        <v>2824</v>
      </c>
      <c r="N6058" s="4" t="s">
        <v>1905</v>
      </c>
      <c r="O6058" s="55" t="s">
        <v>178</v>
      </c>
      <c r="P6058" s="4" t="s">
        <v>3030</v>
      </c>
    </row>
    <row r="6059" spans="2:16">
      <c r="B6059" s="20">
        <v>45875</v>
      </c>
      <c r="C6059" s="59">
        <v>40014675</v>
      </c>
      <c r="D6059" s="55" t="s">
        <v>44</v>
      </c>
      <c r="G6059" s="65">
        <v>34.56</v>
      </c>
      <c r="H6059" s="56" t="s">
        <v>1248</v>
      </c>
      <c r="I6059" s="54">
        <v>8727746265</v>
      </c>
      <c r="J6059" s="56" t="s">
        <v>2978</v>
      </c>
      <c r="K6059" s="56">
        <v>497</v>
      </c>
      <c r="L6059" s="55" t="s">
        <v>392</v>
      </c>
      <c r="M6059" s="55" t="s">
        <v>2824</v>
      </c>
      <c r="O6059" s="55" t="s">
        <v>178</v>
      </c>
    </row>
    <row r="6060" spans="2:16">
      <c r="B6060" s="20">
        <v>45876</v>
      </c>
      <c r="C6060" s="59">
        <v>50142298</v>
      </c>
      <c r="D6060" s="55" t="s">
        <v>2159</v>
      </c>
      <c r="G6060" s="122">
        <v>3370</v>
      </c>
      <c r="H6060" s="56" t="s">
        <v>198</v>
      </c>
      <c r="I6060" s="54" t="s">
        <v>2874</v>
      </c>
      <c r="J6060" s="56" t="s">
        <v>2978</v>
      </c>
      <c r="K6060" s="56">
        <v>3360</v>
      </c>
      <c r="L6060" s="55" t="s">
        <v>2152</v>
      </c>
      <c r="M6060" s="55" t="s">
        <v>2824</v>
      </c>
      <c r="N6060" s="4" t="s">
        <v>1905</v>
      </c>
      <c r="O6060" s="55" t="s">
        <v>178</v>
      </c>
    </row>
    <row r="6061" spans="2:16">
      <c r="B6061" s="20">
        <v>45876</v>
      </c>
      <c r="C6061" s="59">
        <v>50328488</v>
      </c>
      <c r="D6061" s="55" t="s">
        <v>1853</v>
      </c>
      <c r="G6061" s="122">
        <v>200</v>
      </c>
      <c r="H6061" s="56" t="s">
        <v>82</v>
      </c>
      <c r="I6061" s="54" t="s">
        <v>2874</v>
      </c>
      <c r="J6061" s="56" t="s">
        <v>2978</v>
      </c>
      <c r="K6061" s="56">
        <v>3360</v>
      </c>
      <c r="L6061" s="55" t="s">
        <v>2152</v>
      </c>
      <c r="M6061" s="55" t="s">
        <v>2824</v>
      </c>
      <c r="N6061" s="4" t="s">
        <v>1905</v>
      </c>
      <c r="O6061" s="55" t="s">
        <v>178</v>
      </c>
    </row>
    <row r="6062" spans="2:16">
      <c r="B6062" s="20">
        <v>45876</v>
      </c>
      <c r="C6062" s="59">
        <v>50409120</v>
      </c>
      <c r="D6062" s="55" t="s">
        <v>2157</v>
      </c>
      <c r="G6062" s="122">
        <v>720</v>
      </c>
      <c r="H6062" s="56" t="s">
        <v>82</v>
      </c>
      <c r="I6062" s="54" t="s">
        <v>2874</v>
      </c>
      <c r="J6062" s="56" t="s">
        <v>2978</v>
      </c>
      <c r="K6062" s="56">
        <v>3360</v>
      </c>
      <c r="L6062" s="55" t="s">
        <v>2152</v>
      </c>
      <c r="M6062" s="55" t="s">
        <v>2824</v>
      </c>
      <c r="N6062" s="4" t="s">
        <v>1905</v>
      </c>
      <c r="O6062" s="55" t="s">
        <v>178</v>
      </c>
    </row>
    <row r="6063" spans="2:16">
      <c r="B6063" s="20">
        <v>45876</v>
      </c>
      <c r="C6063" s="59">
        <v>50142571</v>
      </c>
      <c r="D6063" s="55" t="s">
        <v>605</v>
      </c>
      <c r="G6063" s="122">
        <v>312</v>
      </c>
      <c r="H6063" s="56" t="s">
        <v>82</v>
      </c>
      <c r="I6063" s="54" t="s">
        <v>2874</v>
      </c>
      <c r="J6063" s="56" t="s">
        <v>2978</v>
      </c>
      <c r="K6063" s="56">
        <v>3360</v>
      </c>
      <c r="L6063" s="55" t="s">
        <v>2152</v>
      </c>
      <c r="M6063" s="55" t="s">
        <v>2824</v>
      </c>
      <c r="N6063" s="4" t="s">
        <v>1905</v>
      </c>
      <c r="O6063" s="55" t="s">
        <v>178</v>
      </c>
    </row>
    <row r="6064" spans="2:16">
      <c r="B6064" s="20">
        <v>45876</v>
      </c>
      <c r="C6064" s="59">
        <v>50328897</v>
      </c>
      <c r="D6064" s="55" t="s">
        <v>1850</v>
      </c>
      <c r="G6064" s="122">
        <v>176</v>
      </c>
      <c r="H6064" s="56" t="s">
        <v>82</v>
      </c>
      <c r="I6064" s="54" t="s">
        <v>2874</v>
      </c>
      <c r="J6064" s="56" t="s">
        <v>2978</v>
      </c>
      <c r="K6064" s="56">
        <v>3360</v>
      </c>
      <c r="L6064" s="55" t="s">
        <v>2152</v>
      </c>
      <c r="M6064" s="55" t="s">
        <v>2824</v>
      </c>
      <c r="N6064" s="4" t="s">
        <v>1905</v>
      </c>
      <c r="O6064" s="55" t="s">
        <v>178</v>
      </c>
    </row>
    <row r="6065" spans="2:15">
      <c r="B6065" s="20">
        <v>45876</v>
      </c>
      <c r="C6065" s="59">
        <v>50799770</v>
      </c>
      <c r="D6065" s="55" t="s">
        <v>17</v>
      </c>
      <c r="G6065" s="58">
        <v>3500</v>
      </c>
      <c r="H6065" s="56" t="s">
        <v>92</v>
      </c>
      <c r="I6065" s="54">
        <v>8727703244</v>
      </c>
      <c r="J6065" s="56" t="s">
        <v>2978</v>
      </c>
      <c r="K6065" s="56">
        <v>3360</v>
      </c>
      <c r="L6065" s="55" t="s">
        <v>2152</v>
      </c>
      <c r="M6065" s="55" t="s">
        <v>2824</v>
      </c>
      <c r="N6065" s="4" t="s">
        <v>1905</v>
      </c>
      <c r="O6065" s="55" t="s">
        <v>178</v>
      </c>
    </row>
    <row r="6066" spans="2:15">
      <c r="B6066" s="20">
        <v>45876</v>
      </c>
      <c r="C6066" s="59">
        <v>50387529</v>
      </c>
      <c r="D6066" s="55" t="s">
        <v>610</v>
      </c>
      <c r="G6066" s="122">
        <v>400</v>
      </c>
      <c r="H6066" s="56" t="s">
        <v>82</v>
      </c>
      <c r="I6066" s="54" t="s">
        <v>2874</v>
      </c>
      <c r="J6066" s="56" t="s">
        <v>2978</v>
      </c>
      <c r="K6066" s="56">
        <v>3360</v>
      </c>
      <c r="L6066" s="55" t="s">
        <v>2152</v>
      </c>
      <c r="M6066" s="55" t="s">
        <v>2824</v>
      </c>
      <c r="N6066" s="4" t="s">
        <v>1905</v>
      </c>
      <c r="O6066" s="55" t="s">
        <v>178</v>
      </c>
    </row>
    <row r="6067" spans="2:15">
      <c r="B6067" s="20">
        <v>45876</v>
      </c>
      <c r="C6067" s="59">
        <v>20015988</v>
      </c>
      <c r="D6067" s="55" t="s">
        <v>2485</v>
      </c>
      <c r="G6067" s="122">
        <v>550</v>
      </c>
      <c r="H6067" s="56" t="s">
        <v>987</v>
      </c>
      <c r="I6067" s="54" t="s">
        <v>2874</v>
      </c>
      <c r="J6067" s="56" t="s">
        <v>2978</v>
      </c>
      <c r="K6067" s="56">
        <v>3360</v>
      </c>
      <c r="L6067" s="55" t="s">
        <v>2152</v>
      </c>
      <c r="M6067" s="55" t="s">
        <v>2824</v>
      </c>
      <c r="N6067" s="4" t="s">
        <v>1905</v>
      </c>
      <c r="O6067" s="55" t="s">
        <v>178</v>
      </c>
    </row>
    <row r="6068" spans="2:15">
      <c r="B6068" s="20">
        <v>45876</v>
      </c>
      <c r="C6068" s="59">
        <v>50409107</v>
      </c>
      <c r="D6068" s="55" t="s">
        <v>2486</v>
      </c>
      <c r="G6068" s="122">
        <v>480</v>
      </c>
      <c r="H6068" s="56" t="s">
        <v>987</v>
      </c>
      <c r="I6068" s="54" t="s">
        <v>2874</v>
      </c>
      <c r="J6068" s="56" t="s">
        <v>2978</v>
      </c>
      <c r="K6068" s="56">
        <v>3360</v>
      </c>
      <c r="L6068" s="55" t="s">
        <v>2152</v>
      </c>
      <c r="M6068" s="55" t="s">
        <v>2824</v>
      </c>
      <c r="N6068" s="4" t="s">
        <v>1905</v>
      </c>
      <c r="O6068" s="55" t="s">
        <v>178</v>
      </c>
    </row>
    <row r="6069" spans="2:15">
      <c r="B6069" s="20">
        <v>45876</v>
      </c>
      <c r="C6069" s="59">
        <v>50409111</v>
      </c>
      <c r="D6069" s="55" t="s">
        <v>2487</v>
      </c>
      <c r="G6069" s="122">
        <v>400</v>
      </c>
      <c r="H6069" s="56" t="s">
        <v>987</v>
      </c>
      <c r="I6069" s="54" t="s">
        <v>2874</v>
      </c>
      <c r="J6069" s="56" t="s">
        <v>2978</v>
      </c>
      <c r="K6069" s="56">
        <v>3360</v>
      </c>
      <c r="L6069" s="55" t="s">
        <v>2152</v>
      </c>
      <c r="M6069" s="55" t="s">
        <v>2824</v>
      </c>
      <c r="N6069" s="4" t="s">
        <v>1905</v>
      </c>
      <c r="O6069" s="55" t="s">
        <v>178</v>
      </c>
    </row>
    <row r="6070" spans="2:15">
      <c r="B6070" s="20">
        <v>45876</v>
      </c>
      <c r="C6070" s="59">
        <v>50773360</v>
      </c>
      <c r="D6070" s="55" t="s">
        <v>2488</v>
      </c>
      <c r="G6070" s="122">
        <v>1000</v>
      </c>
      <c r="H6070" s="56" t="s">
        <v>92</v>
      </c>
      <c r="I6070" s="54" t="s">
        <v>2874</v>
      </c>
      <c r="J6070" s="56" t="s">
        <v>2978</v>
      </c>
      <c r="K6070" s="56">
        <v>3360</v>
      </c>
      <c r="L6070" s="55" t="s">
        <v>2152</v>
      </c>
      <c r="M6070" s="55" t="s">
        <v>2824</v>
      </c>
      <c r="N6070" s="4" t="s">
        <v>1905</v>
      </c>
      <c r="O6070" s="55" t="s">
        <v>178</v>
      </c>
    </row>
    <row r="6071" spans="2:15">
      <c r="B6071" s="20">
        <v>45876</v>
      </c>
      <c r="C6071" s="59">
        <v>50346258</v>
      </c>
      <c r="D6071" s="55" t="s">
        <v>2489</v>
      </c>
      <c r="G6071" s="122">
        <v>500</v>
      </c>
      <c r="H6071" s="56" t="s">
        <v>987</v>
      </c>
      <c r="I6071" s="54" t="s">
        <v>2874</v>
      </c>
      <c r="J6071" s="56" t="s">
        <v>2978</v>
      </c>
      <c r="K6071" s="56">
        <v>3360</v>
      </c>
      <c r="L6071" s="55" t="s">
        <v>2152</v>
      </c>
      <c r="M6071" s="55" t="s">
        <v>2824</v>
      </c>
      <c r="N6071" s="4" t="s">
        <v>1905</v>
      </c>
      <c r="O6071" s="55" t="s">
        <v>178</v>
      </c>
    </row>
    <row r="6072" spans="2:15">
      <c r="B6072" s="20">
        <v>45876</v>
      </c>
      <c r="C6072" s="59">
        <v>50272278</v>
      </c>
      <c r="D6072" s="69" t="s">
        <v>21</v>
      </c>
      <c r="G6072" s="65">
        <v>8400</v>
      </c>
      <c r="H6072" s="56" t="s">
        <v>92</v>
      </c>
      <c r="I6072" s="54">
        <v>8727703218</v>
      </c>
      <c r="J6072" s="56" t="s">
        <v>2978</v>
      </c>
      <c r="K6072" s="56">
        <v>3361</v>
      </c>
      <c r="L6072" s="55" t="s">
        <v>2152</v>
      </c>
      <c r="M6072" s="55" t="s">
        <v>2824</v>
      </c>
      <c r="N6072" s="4" t="s">
        <v>1905</v>
      </c>
      <c r="O6072" s="55" t="s">
        <v>178</v>
      </c>
    </row>
    <row r="6073" spans="2:15">
      <c r="B6073" s="20">
        <v>45876</v>
      </c>
      <c r="C6073" s="59">
        <v>50843627</v>
      </c>
      <c r="D6073" s="55" t="s">
        <v>2472</v>
      </c>
      <c r="G6073" s="65">
        <v>46080</v>
      </c>
      <c r="H6073" s="56" t="s">
        <v>92</v>
      </c>
      <c r="I6073" s="54">
        <v>8727703218</v>
      </c>
      <c r="J6073" s="56" t="s">
        <v>2978</v>
      </c>
      <c r="K6073" s="56">
        <v>3361</v>
      </c>
      <c r="L6073" s="55" t="s">
        <v>2152</v>
      </c>
      <c r="M6073" s="55" t="s">
        <v>2824</v>
      </c>
      <c r="N6073" s="4" t="s">
        <v>1905</v>
      </c>
      <c r="O6073" s="55" t="s">
        <v>178</v>
      </c>
    </row>
    <row r="6074" spans="2:15">
      <c r="B6074" s="20">
        <v>45876</v>
      </c>
      <c r="C6074" s="59">
        <v>50010080</v>
      </c>
      <c r="D6074" s="55" t="s">
        <v>1657</v>
      </c>
      <c r="G6074" s="121">
        <v>4000</v>
      </c>
      <c r="H6074" s="56" t="s">
        <v>82</v>
      </c>
      <c r="I6074" s="54">
        <v>8727703252</v>
      </c>
      <c r="J6074" s="56" t="s">
        <v>2978</v>
      </c>
      <c r="K6074" s="56">
        <v>3362</v>
      </c>
      <c r="L6074" s="55" t="s">
        <v>2152</v>
      </c>
      <c r="M6074" s="55" t="s">
        <v>2824</v>
      </c>
      <c r="N6074" s="4" t="s">
        <v>1905</v>
      </c>
      <c r="O6074" s="55" t="s">
        <v>178</v>
      </c>
    </row>
    <row r="6075" spans="2:15">
      <c r="B6075" s="20">
        <v>45876</v>
      </c>
      <c r="C6075" s="59">
        <v>50804929</v>
      </c>
      <c r="D6075" s="55" t="s">
        <v>856</v>
      </c>
      <c r="G6075" s="122">
        <v>480000</v>
      </c>
      <c r="H6075" s="56" t="s">
        <v>92</v>
      </c>
      <c r="I6075" s="54">
        <v>8727703252</v>
      </c>
      <c r="J6075" s="56" t="s">
        <v>2978</v>
      </c>
      <c r="K6075" s="56">
        <v>3362</v>
      </c>
      <c r="L6075" s="55" t="s">
        <v>2152</v>
      </c>
      <c r="M6075" s="55" t="s">
        <v>2824</v>
      </c>
      <c r="N6075" s="4" t="s">
        <v>1905</v>
      </c>
      <c r="O6075" s="55" t="s">
        <v>178</v>
      </c>
    </row>
    <row r="6076" spans="2:15">
      <c r="B6076" s="20">
        <v>45876</v>
      </c>
      <c r="C6076" s="59">
        <v>50470190</v>
      </c>
      <c r="D6076" s="55" t="s">
        <v>12</v>
      </c>
      <c r="G6076" s="122">
        <v>2318400</v>
      </c>
      <c r="H6076" s="123" t="s">
        <v>92</v>
      </c>
      <c r="I6076" s="54">
        <v>8727703252</v>
      </c>
      <c r="J6076" s="56" t="s">
        <v>2978</v>
      </c>
      <c r="K6076" s="56">
        <v>3362</v>
      </c>
      <c r="L6076" s="55" t="s">
        <v>2152</v>
      </c>
      <c r="M6076" s="55" t="s">
        <v>2824</v>
      </c>
      <c r="N6076" s="4" t="s">
        <v>1905</v>
      </c>
      <c r="O6076" s="55" t="s">
        <v>178</v>
      </c>
    </row>
    <row r="6077" spans="2:15">
      <c r="B6077" s="20">
        <v>45876</v>
      </c>
      <c r="C6077" s="59">
        <v>50142350</v>
      </c>
      <c r="D6077" s="55" t="s">
        <v>212</v>
      </c>
      <c r="G6077" s="122">
        <v>669.06</v>
      </c>
      <c r="H6077" s="56" t="s">
        <v>82</v>
      </c>
      <c r="I6077" s="54">
        <v>8727703252</v>
      </c>
      <c r="J6077" s="56" t="s">
        <v>2978</v>
      </c>
      <c r="K6077" s="56">
        <v>3362</v>
      </c>
      <c r="L6077" s="55" t="s">
        <v>2152</v>
      </c>
      <c r="M6077" s="55" t="s">
        <v>2824</v>
      </c>
      <c r="N6077" s="4" t="s">
        <v>1905</v>
      </c>
      <c r="O6077" s="55" t="s">
        <v>178</v>
      </c>
    </row>
    <row r="6078" spans="2:15">
      <c r="B6078" s="20">
        <v>45877</v>
      </c>
      <c r="C6078" s="59">
        <v>50470190</v>
      </c>
      <c r="D6078" s="66" t="s">
        <v>12</v>
      </c>
      <c r="G6078" s="65">
        <f>20*289800</f>
        <v>5796000</v>
      </c>
      <c r="H6078" s="56" t="s">
        <v>92</v>
      </c>
      <c r="I6078" s="54">
        <v>8727748140</v>
      </c>
      <c r="J6078" s="56" t="s">
        <v>2978</v>
      </c>
      <c r="K6078" s="56">
        <v>3363</v>
      </c>
      <c r="L6078" s="55" t="s">
        <v>2152</v>
      </c>
      <c r="M6078" s="55" t="s">
        <v>2824</v>
      </c>
      <c r="N6078" s="4" t="s">
        <v>1905</v>
      </c>
      <c r="O6078" s="55" t="s">
        <v>178</v>
      </c>
    </row>
    <row r="6079" spans="2:15">
      <c r="B6079" s="20">
        <v>45877</v>
      </c>
      <c r="C6079" s="59">
        <v>50804929</v>
      </c>
      <c r="D6079" s="55" t="s">
        <v>856</v>
      </c>
      <c r="G6079" s="65">
        <v>720000</v>
      </c>
      <c r="H6079" s="56" t="s">
        <v>92</v>
      </c>
      <c r="I6079" s="54">
        <v>8727748175</v>
      </c>
      <c r="J6079" s="56" t="s">
        <v>2978</v>
      </c>
      <c r="K6079" s="56">
        <v>3364</v>
      </c>
      <c r="L6079" s="55" t="s">
        <v>2152</v>
      </c>
      <c r="M6079" s="55" t="s">
        <v>2824</v>
      </c>
      <c r="N6079" s="4" t="s">
        <v>1905</v>
      </c>
      <c r="O6079" s="55" t="s">
        <v>178</v>
      </c>
    </row>
    <row r="6080" spans="2:15">
      <c r="B6080" s="20">
        <v>45877</v>
      </c>
      <c r="C6080" s="59">
        <v>50272278</v>
      </c>
      <c r="D6080" s="55" t="s">
        <v>21</v>
      </c>
      <c r="G6080" s="65">
        <v>7200</v>
      </c>
      <c r="H6080" s="56" t="s">
        <v>92</v>
      </c>
      <c r="I6080" s="54">
        <v>8727748175</v>
      </c>
      <c r="J6080" s="56" t="s">
        <v>2978</v>
      </c>
      <c r="K6080" s="56">
        <v>3364</v>
      </c>
      <c r="L6080" s="55" t="s">
        <v>2152</v>
      </c>
      <c r="M6080" s="55" t="s">
        <v>2824</v>
      </c>
      <c r="N6080" s="4" t="s">
        <v>1905</v>
      </c>
      <c r="O6080" s="55" t="s">
        <v>178</v>
      </c>
    </row>
    <row r="6081" spans="2:16">
      <c r="B6081" s="20">
        <v>45877</v>
      </c>
      <c r="C6081" s="59">
        <v>50145187</v>
      </c>
      <c r="D6081" s="55" t="s">
        <v>465</v>
      </c>
      <c r="G6081" s="65">
        <v>22000</v>
      </c>
      <c r="H6081" s="56" t="s">
        <v>92</v>
      </c>
      <c r="I6081" s="54">
        <v>8727748175</v>
      </c>
      <c r="J6081" s="56" t="s">
        <v>2978</v>
      </c>
      <c r="K6081" s="56">
        <v>3364</v>
      </c>
      <c r="L6081" s="55" t="s">
        <v>2152</v>
      </c>
      <c r="M6081" s="55" t="s">
        <v>2824</v>
      </c>
      <c r="N6081" s="4" t="s">
        <v>1905</v>
      </c>
      <c r="O6081" s="55" t="s">
        <v>178</v>
      </c>
    </row>
    <row r="6082" spans="2:16">
      <c r="B6082" s="20">
        <v>45877</v>
      </c>
      <c r="C6082" s="59">
        <v>40011149</v>
      </c>
      <c r="D6082" s="55" t="s">
        <v>37</v>
      </c>
      <c r="G6082" s="65">
        <v>1080</v>
      </c>
      <c r="H6082" s="56" t="s">
        <v>80</v>
      </c>
      <c r="I6082" s="54">
        <v>8727748175</v>
      </c>
      <c r="J6082" s="56" t="s">
        <v>2978</v>
      </c>
      <c r="K6082" s="56">
        <v>3364</v>
      </c>
      <c r="L6082" s="55" t="s">
        <v>2152</v>
      </c>
      <c r="M6082" s="55" t="s">
        <v>2824</v>
      </c>
      <c r="N6082" s="4" t="s">
        <v>1905</v>
      </c>
      <c r="O6082" s="55" t="s">
        <v>178</v>
      </c>
    </row>
    <row r="6083" spans="2:16">
      <c r="B6083" s="20">
        <v>45877</v>
      </c>
      <c r="C6083" s="59">
        <v>50509889</v>
      </c>
      <c r="D6083" s="55" t="s">
        <v>671</v>
      </c>
      <c r="G6083" s="65">
        <v>1056000</v>
      </c>
      <c r="H6083" s="56" t="s">
        <v>92</v>
      </c>
      <c r="I6083" s="54">
        <v>8727748175</v>
      </c>
      <c r="J6083" s="56" t="s">
        <v>2978</v>
      </c>
      <c r="K6083" s="56">
        <v>3364</v>
      </c>
      <c r="L6083" s="55" t="s">
        <v>2152</v>
      </c>
      <c r="M6083" s="55" t="s">
        <v>2824</v>
      </c>
      <c r="N6083" s="4" t="s">
        <v>1905</v>
      </c>
      <c r="O6083" s="55" t="s">
        <v>178</v>
      </c>
    </row>
    <row r="6084" spans="2:16">
      <c r="B6084" s="20">
        <v>45877</v>
      </c>
      <c r="C6084" s="59">
        <v>50141533</v>
      </c>
      <c r="D6084" s="55" t="s">
        <v>494</v>
      </c>
      <c r="G6084" s="65">
        <v>5000</v>
      </c>
      <c r="H6084" s="56" t="s">
        <v>92</v>
      </c>
      <c r="I6084" s="54">
        <v>5017465421</v>
      </c>
      <c r="J6084" s="56" t="s">
        <v>2978</v>
      </c>
      <c r="K6084" s="56">
        <v>3365</v>
      </c>
      <c r="L6084" s="55" t="s">
        <v>2152</v>
      </c>
      <c r="M6084" s="55" t="s">
        <v>2824</v>
      </c>
      <c r="N6084" s="4" t="s">
        <v>1905</v>
      </c>
      <c r="O6084" s="55" t="s">
        <v>178</v>
      </c>
      <c r="P6084" s="4" t="s">
        <v>3032</v>
      </c>
    </row>
    <row r="6085" spans="2:16">
      <c r="B6085" s="20">
        <v>45880</v>
      </c>
      <c r="C6085" s="59">
        <v>50804970</v>
      </c>
      <c r="D6085" s="55" t="s">
        <v>857</v>
      </c>
      <c r="G6085" s="65">
        <v>1920000</v>
      </c>
      <c r="H6085" s="56" t="s">
        <v>92</v>
      </c>
      <c r="I6085" s="54">
        <v>8727748184</v>
      </c>
      <c r="J6085" s="56" t="s">
        <v>2978</v>
      </c>
      <c r="K6085" s="56">
        <v>3367</v>
      </c>
      <c r="L6085" s="55" t="s">
        <v>2152</v>
      </c>
      <c r="M6085" s="55" t="s">
        <v>2824</v>
      </c>
      <c r="N6085" s="4" t="s">
        <v>1905</v>
      </c>
      <c r="O6085" s="55" t="s">
        <v>178</v>
      </c>
    </row>
    <row r="6086" spans="2:16">
      <c r="B6086" s="20">
        <v>45880</v>
      </c>
      <c r="C6086" s="59">
        <v>50804971</v>
      </c>
      <c r="D6086" s="55" t="s">
        <v>855</v>
      </c>
      <c r="G6086" s="65">
        <v>144000</v>
      </c>
      <c r="H6086" s="56" t="s">
        <v>92</v>
      </c>
      <c r="I6086" s="54">
        <v>8727748184</v>
      </c>
      <c r="J6086" s="56" t="s">
        <v>2978</v>
      </c>
      <c r="K6086" s="56">
        <v>3367</v>
      </c>
      <c r="L6086" s="55" t="s">
        <v>2152</v>
      </c>
      <c r="M6086" s="55" t="s">
        <v>2824</v>
      </c>
      <c r="N6086" s="4" t="s">
        <v>1905</v>
      </c>
      <c r="O6086" s="55" t="s">
        <v>178</v>
      </c>
    </row>
    <row r="6087" spans="2:16">
      <c r="B6087" s="20">
        <v>45880</v>
      </c>
      <c r="C6087" s="59">
        <v>40009148</v>
      </c>
      <c r="D6087" s="55" t="s">
        <v>2113</v>
      </c>
      <c r="G6087" s="65">
        <v>2329</v>
      </c>
      <c r="I6087" s="54">
        <v>8727748184</v>
      </c>
      <c r="J6087" s="56" t="s">
        <v>2978</v>
      </c>
      <c r="K6087" s="56">
        <v>3367</v>
      </c>
      <c r="L6087" s="55" t="s">
        <v>2152</v>
      </c>
      <c r="M6087" s="55" t="s">
        <v>2824</v>
      </c>
      <c r="N6087" s="4" t="s">
        <v>1905</v>
      </c>
      <c r="O6087" s="55" t="s">
        <v>178</v>
      </c>
    </row>
    <row r="6088" spans="2:16">
      <c r="B6088" s="20">
        <v>45880</v>
      </c>
      <c r="C6088" s="59">
        <v>50824293</v>
      </c>
      <c r="D6088" s="55" t="s">
        <v>861</v>
      </c>
      <c r="G6088" s="65">
        <v>728000</v>
      </c>
      <c r="H6088" s="56" t="s">
        <v>92</v>
      </c>
      <c r="I6088" s="54">
        <v>8727748184</v>
      </c>
      <c r="J6088" s="56" t="s">
        <v>2978</v>
      </c>
      <c r="K6088" s="56">
        <v>3367</v>
      </c>
      <c r="L6088" s="55" t="s">
        <v>2152</v>
      </c>
      <c r="M6088" s="55" t="s">
        <v>2824</v>
      </c>
      <c r="N6088" s="4" t="s">
        <v>1905</v>
      </c>
      <c r="O6088" s="55" t="s">
        <v>178</v>
      </c>
    </row>
    <row r="6089" spans="2:16">
      <c r="B6089" s="20">
        <v>45880</v>
      </c>
      <c r="C6089" s="59">
        <v>40011148</v>
      </c>
      <c r="D6089" s="55" t="s">
        <v>86</v>
      </c>
      <c r="G6089" s="65">
        <v>450</v>
      </c>
      <c r="H6089" s="56" t="s">
        <v>80</v>
      </c>
      <c r="I6089" s="54">
        <v>8727748184</v>
      </c>
      <c r="J6089" s="56" t="s">
        <v>2978</v>
      </c>
      <c r="K6089" s="56">
        <v>3367</v>
      </c>
      <c r="L6089" s="55" t="s">
        <v>2152</v>
      </c>
      <c r="M6089" s="55" t="s">
        <v>2824</v>
      </c>
      <c r="N6089" s="4" t="s">
        <v>1905</v>
      </c>
      <c r="O6089" s="55" t="s">
        <v>178</v>
      </c>
    </row>
    <row r="6090" spans="2:16">
      <c r="B6090" s="20">
        <v>45880</v>
      </c>
      <c r="C6090" s="59">
        <v>50470190</v>
      </c>
      <c r="D6090" s="55" t="s">
        <v>12</v>
      </c>
      <c r="G6090" s="65">
        <v>3477600</v>
      </c>
      <c r="H6090" s="56" t="s">
        <v>92</v>
      </c>
      <c r="I6090" s="54">
        <v>8727748184</v>
      </c>
      <c r="J6090" s="56" t="s">
        <v>2978</v>
      </c>
      <c r="K6090" s="56">
        <v>3367</v>
      </c>
      <c r="L6090" s="55" t="s">
        <v>2152</v>
      </c>
      <c r="M6090" s="55" t="s">
        <v>2824</v>
      </c>
      <c r="N6090" s="4" t="s">
        <v>1905</v>
      </c>
      <c r="O6090" s="55" t="s">
        <v>178</v>
      </c>
    </row>
    <row r="6091" spans="2:16">
      <c r="B6091" s="20">
        <v>45880</v>
      </c>
      <c r="C6091" s="59">
        <v>50509889</v>
      </c>
      <c r="D6091" s="55" t="s">
        <v>671</v>
      </c>
      <c r="G6091" s="65">
        <v>528000</v>
      </c>
      <c r="H6091" s="56" t="s">
        <v>92</v>
      </c>
      <c r="I6091" s="54">
        <v>8727748184</v>
      </c>
      <c r="J6091" s="56" t="s">
        <v>2978</v>
      </c>
      <c r="K6091" s="56">
        <v>3367</v>
      </c>
      <c r="L6091" s="55" t="s">
        <v>2152</v>
      </c>
      <c r="M6091" s="55" t="s">
        <v>2824</v>
      </c>
      <c r="N6091" s="4" t="s">
        <v>1905</v>
      </c>
      <c r="O6091" s="55" t="s">
        <v>178</v>
      </c>
    </row>
    <row r="6092" spans="2:16">
      <c r="B6092" s="20">
        <v>45880</v>
      </c>
      <c r="C6092" s="59">
        <v>50144376</v>
      </c>
      <c r="D6092" s="55" t="s">
        <v>19</v>
      </c>
      <c r="G6092" s="122">
        <v>5000</v>
      </c>
      <c r="H6092" s="56" t="s">
        <v>92</v>
      </c>
      <c r="I6092" s="54">
        <v>8727748187</v>
      </c>
      <c r="J6092" s="56" t="s">
        <v>2978</v>
      </c>
      <c r="K6092" s="56">
        <v>3368</v>
      </c>
      <c r="L6092" s="55" t="s">
        <v>2152</v>
      </c>
      <c r="M6092" s="55" t="s">
        <v>2824</v>
      </c>
      <c r="N6092" s="4" t="s">
        <v>1905</v>
      </c>
      <c r="O6092" s="55" t="s">
        <v>178</v>
      </c>
    </row>
    <row r="6093" spans="2:16">
      <c r="B6093" s="20">
        <v>45880</v>
      </c>
      <c r="C6093" s="59">
        <v>50272278</v>
      </c>
      <c r="D6093" s="69" t="s">
        <v>21</v>
      </c>
      <c r="G6093" s="122">
        <v>8400</v>
      </c>
      <c r="H6093" s="56" t="s">
        <v>92</v>
      </c>
      <c r="I6093" s="54">
        <v>8727748187</v>
      </c>
      <c r="J6093" s="56" t="s">
        <v>2978</v>
      </c>
      <c r="K6093" s="56">
        <v>3368</v>
      </c>
      <c r="L6093" s="55" t="s">
        <v>2152</v>
      </c>
      <c r="M6093" s="55" t="s">
        <v>2824</v>
      </c>
      <c r="N6093" s="4" t="s">
        <v>1905</v>
      </c>
      <c r="O6093" s="55" t="s">
        <v>178</v>
      </c>
    </row>
    <row r="6094" spans="2:16">
      <c r="B6094" s="20">
        <v>45880</v>
      </c>
      <c r="C6094" s="59">
        <v>50799770</v>
      </c>
      <c r="D6094" s="55" t="s">
        <v>17</v>
      </c>
      <c r="G6094" s="65">
        <v>2000</v>
      </c>
      <c r="H6094" s="56" t="s">
        <v>92</v>
      </c>
      <c r="I6094" s="54">
        <v>8727763379</v>
      </c>
      <c r="J6094" s="56" t="s">
        <v>2978</v>
      </c>
      <c r="K6094" s="56">
        <v>3369</v>
      </c>
      <c r="L6094" s="55" t="s">
        <v>3033</v>
      </c>
      <c r="M6094" s="55" t="s">
        <v>3033</v>
      </c>
    </row>
    <row r="6095" spans="2:16">
      <c r="B6095" s="20">
        <v>45880</v>
      </c>
      <c r="C6095" s="59">
        <v>50145028</v>
      </c>
      <c r="D6095" s="55" t="s">
        <v>23</v>
      </c>
      <c r="G6095" s="65">
        <f>162*4</f>
        <v>648</v>
      </c>
      <c r="H6095" s="56" t="s">
        <v>92</v>
      </c>
      <c r="I6095" s="54">
        <v>8727763379</v>
      </c>
      <c r="J6095" s="56" t="s">
        <v>2978</v>
      </c>
      <c r="K6095" s="56">
        <v>3369</v>
      </c>
      <c r="L6095" s="55" t="s">
        <v>3033</v>
      </c>
      <c r="M6095" s="55" t="s">
        <v>3033</v>
      </c>
    </row>
    <row r="6096" spans="2:16">
      <c r="B6096" s="20">
        <v>45881</v>
      </c>
      <c r="C6096" s="59">
        <v>50470190</v>
      </c>
      <c r="D6096" s="66" t="s">
        <v>12</v>
      </c>
      <c r="G6096" s="65">
        <f>20*289800</f>
        <v>5796000</v>
      </c>
      <c r="H6096" s="56" t="s">
        <v>92</v>
      </c>
      <c r="I6096" s="54">
        <v>8727765760</v>
      </c>
      <c r="J6096" s="56" t="s">
        <v>2978</v>
      </c>
      <c r="K6096" s="56">
        <v>3370</v>
      </c>
      <c r="L6096" s="55" t="s">
        <v>2152</v>
      </c>
      <c r="M6096" s="55" t="s">
        <v>2824</v>
      </c>
      <c r="N6096" s="4" t="s">
        <v>177</v>
      </c>
      <c r="O6096" s="55" t="s">
        <v>178</v>
      </c>
    </row>
    <row r="6097" spans="2:15">
      <c r="B6097" s="20">
        <v>45881</v>
      </c>
      <c r="C6097" s="59">
        <v>50142330</v>
      </c>
      <c r="D6097" s="55" t="s">
        <v>195</v>
      </c>
      <c r="G6097" s="65">
        <v>700</v>
      </c>
      <c r="H6097" s="56" t="s">
        <v>82</v>
      </c>
      <c r="I6097" s="54">
        <v>8727765787</v>
      </c>
      <c r="J6097" s="56" t="s">
        <v>2978</v>
      </c>
      <c r="K6097" s="56">
        <v>3371</v>
      </c>
      <c r="L6097" s="55" t="s">
        <v>2152</v>
      </c>
      <c r="M6097" s="55" t="s">
        <v>2824</v>
      </c>
      <c r="N6097" s="4" t="s">
        <v>177</v>
      </c>
      <c r="O6097" s="55" t="s">
        <v>178</v>
      </c>
    </row>
    <row r="6098" spans="2:15">
      <c r="B6098" s="20">
        <v>45881</v>
      </c>
      <c r="C6098" s="59">
        <v>50841696</v>
      </c>
      <c r="D6098" s="55" t="s">
        <v>2494</v>
      </c>
      <c r="G6098" s="65">
        <v>3006.3</v>
      </c>
      <c r="H6098" s="56" t="s">
        <v>82</v>
      </c>
      <c r="I6098" s="54">
        <v>8727872007</v>
      </c>
      <c r="J6098" s="56" t="s">
        <v>2978</v>
      </c>
      <c r="K6098" s="56">
        <v>3371</v>
      </c>
      <c r="L6098" s="55" t="s">
        <v>2152</v>
      </c>
      <c r="M6098" s="55" t="s">
        <v>2824</v>
      </c>
      <c r="N6098" s="4" t="s">
        <v>177</v>
      </c>
      <c r="O6098" s="55" t="s">
        <v>178</v>
      </c>
    </row>
    <row r="6099" spans="2:15">
      <c r="B6099" s="20">
        <v>45881</v>
      </c>
      <c r="C6099" s="59">
        <v>50272278</v>
      </c>
      <c r="D6099" s="69" t="s">
        <v>21</v>
      </c>
      <c r="G6099" s="65">
        <v>11400</v>
      </c>
      <c r="H6099" s="56" t="s">
        <v>962</v>
      </c>
      <c r="I6099" s="54">
        <v>8727798779</v>
      </c>
      <c r="J6099" s="56" t="s">
        <v>2978</v>
      </c>
      <c r="K6099" s="56">
        <v>3372</v>
      </c>
      <c r="L6099" s="55" t="s">
        <v>2152</v>
      </c>
      <c r="M6099" s="55" t="s">
        <v>2824</v>
      </c>
      <c r="N6099" s="4" t="s">
        <v>177</v>
      </c>
      <c r="O6099" s="55" t="s">
        <v>178</v>
      </c>
    </row>
    <row r="6100" spans="2:15">
      <c r="B6100" s="20">
        <v>45882</v>
      </c>
      <c r="C6100" s="59">
        <v>50837238</v>
      </c>
      <c r="D6100" s="55" t="s">
        <v>1976</v>
      </c>
      <c r="G6100" s="65">
        <v>2015.1</v>
      </c>
      <c r="H6100" s="56" t="s">
        <v>82</v>
      </c>
      <c r="I6100" s="54">
        <v>8727783440</v>
      </c>
      <c r="J6100" s="56" t="s">
        <v>2978</v>
      </c>
      <c r="K6100" s="56">
        <v>3373</v>
      </c>
      <c r="L6100" s="55" t="s">
        <v>2152</v>
      </c>
      <c r="M6100" s="55" t="s">
        <v>2824</v>
      </c>
      <c r="N6100" s="4" t="s">
        <v>177</v>
      </c>
      <c r="O6100" s="55" t="s">
        <v>178</v>
      </c>
    </row>
    <row r="6101" spans="2:15">
      <c r="B6101" s="20">
        <v>45882</v>
      </c>
      <c r="C6101" s="59">
        <v>50802401</v>
      </c>
      <c r="D6101" s="55" t="s">
        <v>13</v>
      </c>
      <c r="G6101" s="65">
        <v>4636800</v>
      </c>
      <c r="H6101" s="56" t="s">
        <v>92</v>
      </c>
      <c r="I6101" s="54">
        <v>8727783440</v>
      </c>
      <c r="J6101" s="56" t="s">
        <v>2978</v>
      </c>
      <c r="K6101" s="56">
        <v>3373</v>
      </c>
      <c r="L6101" s="55" t="s">
        <v>2152</v>
      </c>
      <c r="M6101" s="55" t="s">
        <v>2824</v>
      </c>
      <c r="N6101" s="4" t="s">
        <v>177</v>
      </c>
      <c r="O6101" s="55" t="s">
        <v>178</v>
      </c>
    </row>
    <row r="6102" spans="2:15">
      <c r="B6102" s="20">
        <v>45882</v>
      </c>
      <c r="C6102" s="59">
        <v>50010080</v>
      </c>
      <c r="D6102" s="55" t="s">
        <v>1657</v>
      </c>
      <c r="G6102" s="65">
        <v>4000</v>
      </c>
      <c r="H6102" s="56" t="s">
        <v>82</v>
      </c>
      <c r="I6102" s="54">
        <v>8727783418</v>
      </c>
      <c r="J6102" s="56" t="s">
        <v>2978</v>
      </c>
      <c r="K6102" s="56">
        <v>3374</v>
      </c>
      <c r="L6102" s="55" t="s">
        <v>2152</v>
      </c>
      <c r="M6102" s="55" t="s">
        <v>2824</v>
      </c>
      <c r="N6102" s="4" t="s">
        <v>177</v>
      </c>
      <c r="O6102" s="55" t="s">
        <v>178</v>
      </c>
    </row>
    <row r="6103" spans="2:15">
      <c r="B6103" s="20">
        <v>45882</v>
      </c>
      <c r="C6103" s="59">
        <v>40009546</v>
      </c>
      <c r="D6103" s="55" t="s">
        <v>174</v>
      </c>
      <c r="G6103" s="65">
        <v>1386</v>
      </c>
      <c r="H6103" s="56" t="s">
        <v>80</v>
      </c>
      <c r="I6103" s="54">
        <v>8727783418</v>
      </c>
      <c r="J6103" s="56" t="s">
        <v>2978</v>
      </c>
      <c r="K6103" s="56">
        <v>3374</v>
      </c>
      <c r="L6103" s="55" t="s">
        <v>2152</v>
      </c>
      <c r="M6103" s="55" t="s">
        <v>2824</v>
      </c>
      <c r="N6103" s="4" t="s">
        <v>177</v>
      </c>
      <c r="O6103" s="55" t="s">
        <v>178</v>
      </c>
    </row>
    <row r="6104" spans="2:15">
      <c r="B6104" s="20">
        <v>45882</v>
      </c>
      <c r="C6104" s="59">
        <v>50272278</v>
      </c>
      <c r="D6104" s="55" t="s">
        <v>21</v>
      </c>
      <c r="G6104" s="65">
        <v>6000</v>
      </c>
      <c r="H6104" s="56" t="s">
        <v>92</v>
      </c>
      <c r="I6104" s="54">
        <v>8727798784</v>
      </c>
      <c r="J6104" s="56" t="s">
        <v>2978</v>
      </c>
      <c r="K6104" s="56">
        <v>3374</v>
      </c>
      <c r="L6104" s="55" t="s">
        <v>2152</v>
      </c>
      <c r="M6104" s="55" t="s">
        <v>2824</v>
      </c>
      <c r="N6104" s="4" t="s">
        <v>177</v>
      </c>
      <c r="O6104" s="55" t="s">
        <v>178</v>
      </c>
    </row>
    <row r="6105" spans="2:15">
      <c r="B6105" s="20">
        <v>45882</v>
      </c>
      <c r="C6105" s="59">
        <v>50142327</v>
      </c>
      <c r="D6105" s="55" t="s">
        <v>256</v>
      </c>
      <c r="G6105" s="65">
        <v>1430.1</v>
      </c>
      <c r="H6105" s="56" t="s">
        <v>82</v>
      </c>
      <c r="I6105" s="54">
        <v>8727783418</v>
      </c>
      <c r="J6105" s="56" t="s">
        <v>2978</v>
      </c>
      <c r="K6105" s="56">
        <v>3374</v>
      </c>
      <c r="L6105" s="55" t="s">
        <v>2152</v>
      </c>
      <c r="M6105" s="55" t="s">
        <v>2824</v>
      </c>
      <c r="N6105" s="4" t="s">
        <v>177</v>
      </c>
      <c r="O6105" s="55" t="s">
        <v>178</v>
      </c>
    </row>
    <row r="6106" spans="2:15">
      <c r="B6106" s="20">
        <v>45882</v>
      </c>
      <c r="C6106" s="59">
        <v>50142334</v>
      </c>
      <c r="D6106" s="55" t="s">
        <v>257</v>
      </c>
      <c r="G6106" s="65">
        <v>1430.1</v>
      </c>
      <c r="H6106" s="56" t="s">
        <v>82</v>
      </c>
      <c r="I6106" s="54">
        <v>8727783418</v>
      </c>
      <c r="J6106" s="56" t="s">
        <v>2978</v>
      </c>
      <c r="K6106" s="56">
        <v>3374</v>
      </c>
      <c r="L6106" s="55" t="s">
        <v>2152</v>
      </c>
      <c r="M6106" s="55" t="s">
        <v>2824</v>
      </c>
      <c r="N6106" s="4" t="s">
        <v>177</v>
      </c>
      <c r="O6106" s="55" t="s">
        <v>178</v>
      </c>
    </row>
    <row r="6107" spans="2:15">
      <c r="B6107" s="20">
        <v>45883</v>
      </c>
      <c r="C6107" s="59">
        <v>50142298</v>
      </c>
      <c r="D6107" s="55" t="s">
        <v>2159</v>
      </c>
      <c r="G6107" s="122">
        <v>3370</v>
      </c>
      <c r="H6107" s="56" t="s">
        <v>82</v>
      </c>
      <c r="I6107" s="54">
        <v>8727888692</v>
      </c>
      <c r="J6107" s="56" t="s">
        <v>2978</v>
      </c>
      <c r="K6107" s="56">
        <v>3375</v>
      </c>
      <c r="L6107" s="55" t="s">
        <v>2152</v>
      </c>
      <c r="M6107" s="55" t="s">
        <v>2824</v>
      </c>
      <c r="N6107" s="4" t="s">
        <v>177</v>
      </c>
      <c r="O6107" s="55" t="s">
        <v>178</v>
      </c>
    </row>
    <row r="6108" spans="2:15">
      <c r="B6108" s="20">
        <v>45883</v>
      </c>
      <c r="C6108" s="59">
        <v>50142329</v>
      </c>
      <c r="D6108" s="55" t="s">
        <v>1073</v>
      </c>
      <c r="G6108" s="122">
        <v>1000</v>
      </c>
      <c r="H6108" s="56" t="s">
        <v>82</v>
      </c>
      <c r="I6108" s="54">
        <v>8727800720</v>
      </c>
      <c r="J6108" s="56" t="s">
        <v>2978</v>
      </c>
      <c r="K6108" s="56">
        <v>3375</v>
      </c>
      <c r="L6108" s="55" t="s">
        <v>2152</v>
      </c>
      <c r="M6108" s="55" t="s">
        <v>2824</v>
      </c>
      <c r="N6108" s="4" t="s">
        <v>177</v>
      </c>
      <c r="O6108" s="55" t="s">
        <v>178</v>
      </c>
    </row>
    <row r="6109" spans="2:15">
      <c r="B6109" s="20">
        <v>45883</v>
      </c>
      <c r="C6109" s="59">
        <v>50328488</v>
      </c>
      <c r="D6109" s="55" t="s">
        <v>1853</v>
      </c>
      <c r="G6109" s="122">
        <v>200</v>
      </c>
      <c r="H6109" s="56" t="s">
        <v>82</v>
      </c>
      <c r="I6109" s="54">
        <v>8727800720</v>
      </c>
      <c r="J6109" s="56" t="s">
        <v>2978</v>
      </c>
      <c r="K6109" s="56">
        <v>3375</v>
      </c>
      <c r="L6109" s="55" t="s">
        <v>2152</v>
      </c>
      <c r="M6109" s="55" t="s">
        <v>2824</v>
      </c>
      <c r="N6109" s="4" t="s">
        <v>177</v>
      </c>
      <c r="O6109" s="55" t="s">
        <v>178</v>
      </c>
    </row>
    <row r="6110" spans="2:15">
      <c r="B6110" s="20">
        <v>45883</v>
      </c>
      <c r="C6110" s="59">
        <v>50142571</v>
      </c>
      <c r="D6110" s="55" t="s">
        <v>605</v>
      </c>
      <c r="G6110" s="122">
        <v>312</v>
      </c>
      <c r="H6110" s="56" t="s">
        <v>82</v>
      </c>
      <c r="I6110" s="54">
        <v>8727800720</v>
      </c>
      <c r="J6110" s="56" t="s">
        <v>2978</v>
      </c>
      <c r="K6110" s="56">
        <v>3375</v>
      </c>
      <c r="L6110" s="55" t="s">
        <v>2152</v>
      </c>
      <c r="M6110" s="55" t="s">
        <v>2824</v>
      </c>
      <c r="N6110" s="4" t="s">
        <v>177</v>
      </c>
      <c r="O6110" s="55" t="s">
        <v>178</v>
      </c>
    </row>
    <row r="6111" spans="2:15">
      <c r="B6111" s="20">
        <v>45883</v>
      </c>
      <c r="C6111" s="59">
        <v>50837237</v>
      </c>
      <c r="D6111" s="55" t="s">
        <v>1747</v>
      </c>
      <c r="G6111" s="122">
        <v>3160.95</v>
      </c>
      <c r="H6111" s="56" t="s">
        <v>82</v>
      </c>
      <c r="I6111" s="54">
        <v>8727800720</v>
      </c>
      <c r="J6111" s="56" t="s">
        <v>2978</v>
      </c>
      <c r="K6111" s="56">
        <v>3375</v>
      </c>
      <c r="L6111" s="55" t="s">
        <v>2152</v>
      </c>
      <c r="M6111" s="55" t="s">
        <v>2824</v>
      </c>
      <c r="N6111" s="4" t="s">
        <v>177</v>
      </c>
      <c r="O6111" s="55" t="s">
        <v>178</v>
      </c>
    </row>
    <row r="6112" spans="2:15">
      <c r="B6112" s="20">
        <v>45883</v>
      </c>
      <c r="C6112" s="59">
        <v>50328897</v>
      </c>
      <c r="D6112" s="55" t="s">
        <v>1850</v>
      </c>
      <c r="G6112" s="122">
        <v>176</v>
      </c>
      <c r="H6112" s="56" t="s">
        <v>82</v>
      </c>
      <c r="I6112" s="54">
        <v>8727800720</v>
      </c>
      <c r="J6112" s="56" t="s">
        <v>2978</v>
      </c>
      <c r="K6112" s="56">
        <v>3375</v>
      </c>
      <c r="L6112" s="55" t="s">
        <v>2152</v>
      </c>
      <c r="M6112" s="55" t="s">
        <v>2824</v>
      </c>
      <c r="N6112" s="4" t="s">
        <v>177</v>
      </c>
      <c r="O6112" s="55" t="s">
        <v>178</v>
      </c>
    </row>
    <row r="6113" spans="2:15">
      <c r="B6113" s="20">
        <v>45883</v>
      </c>
      <c r="C6113" s="59">
        <v>50772940</v>
      </c>
      <c r="D6113" s="55" t="s">
        <v>2155</v>
      </c>
      <c r="G6113" s="65">
        <v>400</v>
      </c>
      <c r="H6113" s="56" t="s">
        <v>82</v>
      </c>
      <c r="I6113" s="54">
        <v>8727800720</v>
      </c>
      <c r="J6113" s="56" t="s">
        <v>2978</v>
      </c>
      <c r="K6113" s="56">
        <v>3375</v>
      </c>
      <c r="L6113" s="55" t="s">
        <v>2152</v>
      </c>
      <c r="M6113" s="55" t="s">
        <v>2824</v>
      </c>
      <c r="N6113" s="4" t="s">
        <v>177</v>
      </c>
      <c r="O6113" s="55" t="s">
        <v>178</v>
      </c>
    </row>
    <row r="6114" spans="2:15">
      <c r="B6114" s="20">
        <v>45883</v>
      </c>
      <c r="C6114" s="59">
        <v>20015988</v>
      </c>
      <c r="D6114" s="55" t="s">
        <v>2485</v>
      </c>
      <c r="G6114" s="65">
        <v>550</v>
      </c>
      <c r="H6114" s="56" t="s">
        <v>82</v>
      </c>
      <c r="I6114" s="54">
        <v>8727800720</v>
      </c>
      <c r="J6114" s="56" t="s">
        <v>2978</v>
      </c>
      <c r="K6114" s="56">
        <v>3375</v>
      </c>
      <c r="L6114" s="55" t="s">
        <v>2152</v>
      </c>
      <c r="M6114" s="55" t="s">
        <v>2824</v>
      </c>
      <c r="N6114" s="4" t="s">
        <v>177</v>
      </c>
      <c r="O6114" s="55" t="s">
        <v>178</v>
      </c>
    </row>
    <row r="6115" spans="2:15">
      <c r="B6115" s="20">
        <v>45883</v>
      </c>
      <c r="C6115" s="59">
        <v>50409107</v>
      </c>
      <c r="D6115" s="55" t="s">
        <v>2486</v>
      </c>
      <c r="G6115" s="65">
        <v>960</v>
      </c>
      <c r="H6115" s="56" t="s">
        <v>82</v>
      </c>
      <c r="I6115" s="54">
        <v>8727800720</v>
      </c>
      <c r="J6115" s="56" t="s">
        <v>2978</v>
      </c>
      <c r="K6115" s="56">
        <v>3375</v>
      </c>
      <c r="L6115" s="55" t="s">
        <v>2152</v>
      </c>
      <c r="M6115" s="55" t="s">
        <v>2824</v>
      </c>
      <c r="N6115" s="4" t="s">
        <v>177</v>
      </c>
      <c r="O6115" s="55" t="s">
        <v>178</v>
      </c>
    </row>
    <row r="6116" spans="2:15">
      <c r="B6116" s="20">
        <v>45883</v>
      </c>
      <c r="C6116" s="59">
        <v>50346258</v>
      </c>
      <c r="D6116" s="55" t="s">
        <v>2489</v>
      </c>
      <c r="G6116" s="65">
        <v>500</v>
      </c>
      <c r="H6116" s="56" t="s">
        <v>82</v>
      </c>
      <c r="I6116" s="54">
        <v>8727800720</v>
      </c>
      <c r="J6116" s="56" t="s">
        <v>2978</v>
      </c>
      <c r="K6116" s="56">
        <v>3375</v>
      </c>
      <c r="L6116" s="55" t="s">
        <v>2152</v>
      </c>
      <c r="M6116" s="55" t="s">
        <v>2824</v>
      </c>
      <c r="N6116" s="4" t="s">
        <v>177</v>
      </c>
      <c r="O6116" s="55" t="s">
        <v>178</v>
      </c>
    </row>
    <row r="6117" spans="2:15">
      <c r="B6117" s="20">
        <v>45883</v>
      </c>
      <c r="C6117" s="59">
        <v>50272278</v>
      </c>
      <c r="D6117" s="55" t="s">
        <v>21</v>
      </c>
      <c r="G6117" s="65">
        <v>9600</v>
      </c>
      <c r="H6117" s="56" t="s">
        <v>92</v>
      </c>
      <c r="I6117" s="54">
        <v>8727871851</v>
      </c>
      <c r="J6117" s="56" t="s">
        <v>2978</v>
      </c>
      <c r="K6117" s="56">
        <v>3376</v>
      </c>
      <c r="L6117" s="55" t="s">
        <v>2152</v>
      </c>
      <c r="M6117" s="55" t="s">
        <v>2824</v>
      </c>
      <c r="N6117" s="4" t="s">
        <v>177</v>
      </c>
      <c r="O6117" s="55" t="s">
        <v>178</v>
      </c>
    </row>
    <row r="6118" spans="2:15">
      <c r="B6118" s="20">
        <v>45883</v>
      </c>
      <c r="C6118" s="59">
        <v>40011148</v>
      </c>
      <c r="D6118" s="55" t="s">
        <v>86</v>
      </c>
      <c r="G6118" s="65">
        <v>900</v>
      </c>
      <c r="H6118" s="56" t="s">
        <v>80</v>
      </c>
      <c r="I6118" s="54">
        <v>8727800785</v>
      </c>
      <c r="J6118" s="56" t="s">
        <v>2978</v>
      </c>
      <c r="K6118" s="56">
        <v>3376</v>
      </c>
      <c r="L6118" s="55" t="s">
        <v>2152</v>
      </c>
      <c r="M6118" s="55" t="s">
        <v>2824</v>
      </c>
      <c r="N6118" s="4" t="s">
        <v>177</v>
      </c>
      <c r="O6118" s="55" t="s">
        <v>178</v>
      </c>
    </row>
    <row r="6119" spans="2:15">
      <c r="B6119" s="20">
        <v>45883</v>
      </c>
      <c r="C6119" s="59">
        <v>40011149</v>
      </c>
      <c r="D6119" s="55" t="s">
        <v>37</v>
      </c>
      <c r="G6119" s="65">
        <v>720</v>
      </c>
      <c r="H6119" s="56" t="s">
        <v>80</v>
      </c>
      <c r="I6119" s="54">
        <v>8727800785</v>
      </c>
      <c r="J6119" s="56" t="s">
        <v>2978</v>
      </c>
      <c r="K6119" s="56">
        <v>3376</v>
      </c>
      <c r="L6119" s="55" t="s">
        <v>2152</v>
      </c>
      <c r="M6119" s="55" t="s">
        <v>2824</v>
      </c>
      <c r="N6119" s="4" t="s">
        <v>177</v>
      </c>
      <c r="O6119" s="55" t="s">
        <v>178</v>
      </c>
    </row>
    <row r="6120" spans="2:15">
      <c r="B6120" s="20">
        <v>45883</v>
      </c>
      <c r="C6120" s="59">
        <v>50802401</v>
      </c>
      <c r="D6120" s="55" t="s">
        <v>13</v>
      </c>
      <c r="G6120" s="65">
        <v>1159200</v>
      </c>
      <c r="H6120" s="56" t="s">
        <v>92</v>
      </c>
      <c r="I6120" s="54">
        <v>8727800785</v>
      </c>
      <c r="J6120" s="56" t="s">
        <v>2978</v>
      </c>
      <c r="K6120" s="56">
        <v>3376</v>
      </c>
      <c r="L6120" s="55" t="s">
        <v>2152</v>
      </c>
      <c r="M6120" s="55" t="s">
        <v>2824</v>
      </c>
      <c r="N6120" s="4" t="s">
        <v>177</v>
      </c>
      <c r="O6120" s="55" t="s">
        <v>178</v>
      </c>
    </row>
    <row r="6121" spans="2:15">
      <c r="B6121" s="20">
        <v>45887</v>
      </c>
      <c r="C6121" s="59">
        <v>50145028</v>
      </c>
      <c r="D6121" s="55" t="s">
        <v>23</v>
      </c>
      <c r="G6121" s="58">
        <v>810</v>
      </c>
      <c r="H6121" s="56" t="s">
        <v>92</v>
      </c>
      <c r="I6121" s="54">
        <v>8727871990</v>
      </c>
      <c r="J6121" s="56" t="s">
        <v>2978</v>
      </c>
      <c r="K6121" s="56">
        <v>3378</v>
      </c>
      <c r="L6121" s="55" t="s">
        <v>326</v>
      </c>
      <c r="M6121" s="55" t="s">
        <v>326</v>
      </c>
      <c r="O6121" s="55" t="s">
        <v>178</v>
      </c>
    </row>
    <row r="6122" spans="2:15">
      <c r="B6122" s="20">
        <v>45887</v>
      </c>
      <c r="C6122" s="59">
        <v>50799770</v>
      </c>
      <c r="D6122" s="55" t="s">
        <v>17</v>
      </c>
      <c r="G6122" s="122">
        <v>2500</v>
      </c>
      <c r="H6122" s="56" t="s">
        <v>92</v>
      </c>
      <c r="I6122" s="54">
        <v>8727871990</v>
      </c>
      <c r="J6122" s="56" t="s">
        <v>2978</v>
      </c>
      <c r="K6122" s="56">
        <v>3378</v>
      </c>
      <c r="L6122" s="55" t="s">
        <v>326</v>
      </c>
      <c r="M6122" s="55" t="s">
        <v>326</v>
      </c>
      <c r="O6122" s="55" t="s">
        <v>178</v>
      </c>
    </row>
    <row r="6123" spans="2:15">
      <c r="B6123" s="20">
        <v>45887</v>
      </c>
      <c r="C6123" s="59">
        <v>50144376</v>
      </c>
      <c r="D6123" s="55" t="s">
        <v>19</v>
      </c>
      <c r="G6123" s="122">
        <v>2700</v>
      </c>
      <c r="H6123" s="56" t="s">
        <v>92</v>
      </c>
      <c r="I6123" s="54">
        <v>8727871990</v>
      </c>
      <c r="J6123" s="56" t="s">
        <v>2978</v>
      </c>
      <c r="K6123" s="56">
        <v>3378</v>
      </c>
      <c r="L6123" s="55" t="s">
        <v>326</v>
      </c>
      <c r="M6123" s="55" t="s">
        <v>326</v>
      </c>
      <c r="O6123" s="55" t="s">
        <v>178</v>
      </c>
    </row>
    <row r="6124" spans="2:15">
      <c r="B6124" s="20">
        <v>45887</v>
      </c>
      <c r="C6124" s="59">
        <v>50143893</v>
      </c>
      <c r="D6124" s="55" t="s">
        <v>24</v>
      </c>
      <c r="G6124" s="122">
        <v>3960</v>
      </c>
      <c r="H6124" s="56" t="s">
        <v>987</v>
      </c>
      <c r="I6124" s="54">
        <v>8727871953</v>
      </c>
      <c r="J6124" s="56" t="s">
        <v>2978</v>
      </c>
      <c r="K6124" s="56">
        <v>3377</v>
      </c>
      <c r="L6124" s="55" t="s">
        <v>2152</v>
      </c>
      <c r="M6124" s="55" t="s">
        <v>2824</v>
      </c>
      <c r="N6124" s="4" t="s">
        <v>1905</v>
      </c>
      <c r="O6124" s="55" t="s">
        <v>178</v>
      </c>
    </row>
    <row r="6125" spans="2:15">
      <c r="B6125" s="20">
        <v>45887</v>
      </c>
      <c r="C6125" s="59">
        <v>50272278</v>
      </c>
      <c r="D6125" s="55" t="s">
        <v>21</v>
      </c>
      <c r="G6125" s="122">
        <v>5400</v>
      </c>
      <c r="H6125" s="56" t="s">
        <v>92</v>
      </c>
      <c r="I6125" s="54">
        <v>8727871953</v>
      </c>
      <c r="J6125" s="56" t="s">
        <v>2978</v>
      </c>
      <c r="K6125" s="56">
        <v>3377</v>
      </c>
      <c r="L6125" s="55" t="s">
        <v>2152</v>
      </c>
      <c r="M6125" s="55" t="s">
        <v>2824</v>
      </c>
      <c r="N6125" s="4" t="s">
        <v>1905</v>
      </c>
      <c r="O6125" s="55" t="s">
        <v>178</v>
      </c>
    </row>
    <row r="6126" spans="2:15">
      <c r="B6126" s="20">
        <v>45887</v>
      </c>
      <c r="C6126" s="59">
        <v>50142237</v>
      </c>
      <c r="D6126" s="55" t="s">
        <v>617</v>
      </c>
      <c r="G6126" s="122">
        <v>20000</v>
      </c>
      <c r="H6126" s="56" t="s">
        <v>92</v>
      </c>
      <c r="I6126" s="54">
        <v>8727871953</v>
      </c>
      <c r="J6126" s="56" t="s">
        <v>2978</v>
      </c>
      <c r="K6126" s="56">
        <v>3377</v>
      </c>
      <c r="L6126" s="55" t="s">
        <v>2152</v>
      </c>
      <c r="M6126" s="55" t="s">
        <v>2824</v>
      </c>
      <c r="N6126" s="4" t="s">
        <v>1905</v>
      </c>
      <c r="O6126" s="55" t="s">
        <v>178</v>
      </c>
    </row>
    <row r="6127" spans="2:15">
      <c r="B6127" s="20">
        <v>45887</v>
      </c>
      <c r="C6127" s="59">
        <v>40004808</v>
      </c>
      <c r="D6127" s="55" t="s">
        <v>91</v>
      </c>
      <c r="G6127" s="122">
        <v>900</v>
      </c>
      <c r="H6127" s="56" t="s">
        <v>1248</v>
      </c>
      <c r="I6127" s="54">
        <v>8727871953</v>
      </c>
      <c r="J6127" s="56" t="s">
        <v>2978</v>
      </c>
      <c r="K6127" s="56">
        <v>3377</v>
      </c>
      <c r="L6127" s="55" t="s">
        <v>2152</v>
      </c>
      <c r="M6127" s="55" t="s">
        <v>2824</v>
      </c>
      <c r="N6127" s="4" t="s">
        <v>1905</v>
      </c>
      <c r="O6127" s="55" t="s">
        <v>178</v>
      </c>
    </row>
    <row r="6128" spans="2:15">
      <c r="B6128" s="20">
        <v>45887</v>
      </c>
      <c r="C6128" s="59">
        <v>50837509</v>
      </c>
      <c r="D6128" s="55" t="s">
        <v>14</v>
      </c>
      <c r="G6128" s="122">
        <v>1159200</v>
      </c>
      <c r="H6128" s="56" t="s">
        <v>92</v>
      </c>
      <c r="I6128" s="54">
        <v>8727871953</v>
      </c>
      <c r="J6128" s="56" t="s">
        <v>2978</v>
      </c>
      <c r="K6128" s="56">
        <v>3377</v>
      </c>
      <c r="L6128" s="55" t="s">
        <v>2152</v>
      </c>
      <c r="M6128" s="55" t="s">
        <v>2824</v>
      </c>
      <c r="N6128" s="4" t="s">
        <v>1905</v>
      </c>
      <c r="O6128" s="55" t="s">
        <v>178</v>
      </c>
    </row>
    <row r="6129" spans="2:15">
      <c r="B6129" s="20">
        <v>45887</v>
      </c>
      <c r="C6129" s="59">
        <v>50819320</v>
      </c>
      <c r="D6129" s="55" t="s">
        <v>1701</v>
      </c>
      <c r="G6129" s="65">
        <v>420</v>
      </c>
      <c r="H6129" s="56" t="s">
        <v>1248</v>
      </c>
      <c r="I6129" s="54">
        <v>8727871953</v>
      </c>
      <c r="J6129" s="56" t="s">
        <v>2978</v>
      </c>
      <c r="K6129" s="56">
        <v>3377</v>
      </c>
      <c r="L6129" s="55" t="s">
        <v>2152</v>
      </c>
      <c r="M6129" s="55" t="s">
        <v>2824</v>
      </c>
      <c r="N6129" s="4" t="s">
        <v>1905</v>
      </c>
      <c r="O6129" s="55" t="s">
        <v>178</v>
      </c>
    </row>
    <row r="6130" spans="2:15">
      <c r="B6130" s="20">
        <v>45887</v>
      </c>
      <c r="C6130" s="59">
        <v>40007678</v>
      </c>
      <c r="D6130" s="55" t="s">
        <v>2506</v>
      </c>
      <c r="G6130" s="65">
        <v>20160</v>
      </c>
      <c r="H6130" s="56" t="s">
        <v>92</v>
      </c>
      <c r="I6130" s="54">
        <v>8727888703</v>
      </c>
      <c r="J6130" s="56" t="s">
        <v>2978</v>
      </c>
      <c r="K6130" s="56">
        <v>498</v>
      </c>
      <c r="L6130" s="55" t="s">
        <v>2152</v>
      </c>
      <c r="M6130" s="55" t="s">
        <v>2824</v>
      </c>
      <c r="N6130" s="4" t="s">
        <v>177</v>
      </c>
      <c r="O6130" s="55" t="s">
        <v>178</v>
      </c>
    </row>
    <row r="6131" spans="2:15">
      <c r="B6131" s="20">
        <v>45887</v>
      </c>
      <c r="C6131" s="59">
        <v>40007678</v>
      </c>
      <c r="D6131" s="55" t="s">
        <v>2506</v>
      </c>
      <c r="G6131" s="65">
        <v>20160</v>
      </c>
      <c r="H6131" s="56" t="s">
        <v>92</v>
      </c>
      <c r="I6131" s="54">
        <v>8727888726</v>
      </c>
      <c r="J6131" s="56" t="s">
        <v>2978</v>
      </c>
      <c r="K6131" s="56">
        <v>499</v>
      </c>
      <c r="L6131" s="55" t="s">
        <v>2152</v>
      </c>
      <c r="M6131" s="55" t="s">
        <v>2824</v>
      </c>
      <c r="N6131" s="4" t="s">
        <v>177</v>
      </c>
      <c r="O6131" s="55" t="s">
        <v>178</v>
      </c>
    </row>
    <row r="6132" spans="2:15">
      <c r="B6132" s="20">
        <v>45888</v>
      </c>
      <c r="C6132" s="59">
        <v>50142631</v>
      </c>
      <c r="D6132" s="55" t="s">
        <v>566</v>
      </c>
      <c r="G6132" s="122">
        <v>2000</v>
      </c>
      <c r="H6132" s="56" t="s">
        <v>987</v>
      </c>
      <c r="I6132" s="54">
        <v>8727888659</v>
      </c>
      <c r="J6132" s="56" t="s">
        <v>2978</v>
      </c>
      <c r="K6132" s="56">
        <v>3379</v>
      </c>
      <c r="L6132" s="55" t="s">
        <v>2152</v>
      </c>
      <c r="M6132" s="55" t="s">
        <v>2824</v>
      </c>
      <c r="N6132" s="4" t="s">
        <v>1905</v>
      </c>
      <c r="O6132" s="55" t="s">
        <v>178</v>
      </c>
    </row>
    <row r="6133" spans="2:15">
      <c r="B6133" s="20">
        <v>45888</v>
      </c>
      <c r="C6133" s="59">
        <v>50837237</v>
      </c>
      <c r="D6133" s="55" t="s">
        <v>1747</v>
      </c>
      <c r="G6133" s="122">
        <v>3003.75</v>
      </c>
      <c r="H6133" s="56" t="s">
        <v>987</v>
      </c>
      <c r="I6133" s="54">
        <v>8727888659</v>
      </c>
      <c r="J6133" s="56" t="s">
        <v>2978</v>
      </c>
      <c r="K6133" s="56">
        <v>3379</v>
      </c>
      <c r="L6133" s="55" t="s">
        <v>2152</v>
      </c>
      <c r="M6133" s="55" t="s">
        <v>2824</v>
      </c>
      <c r="N6133" s="4" t="s">
        <v>1905</v>
      </c>
      <c r="O6133" s="55" t="s">
        <v>178</v>
      </c>
    </row>
    <row r="6134" spans="2:15">
      <c r="B6134" s="20">
        <v>45888</v>
      </c>
      <c r="C6134" s="59">
        <v>40004808</v>
      </c>
      <c r="D6134" s="69" t="s">
        <v>91</v>
      </c>
      <c r="G6134" s="122">
        <v>900</v>
      </c>
      <c r="H6134" s="56" t="s">
        <v>80</v>
      </c>
      <c r="I6134" s="54">
        <v>8727888659</v>
      </c>
      <c r="J6134" s="56" t="s">
        <v>2978</v>
      </c>
      <c r="K6134" s="56">
        <v>3379</v>
      </c>
      <c r="L6134" s="55" t="s">
        <v>2152</v>
      </c>
      <c r="M6134" s="55" t="s">
        <v>2824</v>
      </c>
      <c r="N6134" s="4" t="s">
        <v>1905</v>
      </c>
      <c r="O6134" s="55" t="s">
        <v>178</v>
      </c>
    </row>
    <row r="6135" spans="2:15">
      <c r="B6135" s="20">
        <v>45888</v>
      </c>
      <c r="C6135" s="59">
        <v>50470190</v>
      </c>
      <c r="D6135" s="66" t="s">
        <v>12</v>
      </c>
      <c r="G6135" s="122">
        <v>1738800</v>
      </c>
      <c r="H6135" s="56" t="s">
        <v>962</v>
      </c>
      <c r="I6135" s="54">
        <v>8727888659</v>
      </c>
      <c r="J6135" s="56" t="s">
        <v>2978</v>
      </c>
      <c r="K6135" s="56">
        <v>3379</v>
      </c>
      <c r="L6135" s="55" t="s">
        <v>2152</v>
      </c>
      <c r="M6135" s="55" t="s">
        <v>2824</v>
      </c>
      <c r="N6135" s="4" t="s">
        <v>1905</v>
      </c>
      <c r="O6135" s="55" t="s">
        <v>178</v>
      </c>
    </row>
    <row r="6136" spans="2:15">
      <c r="B6136" s="20">
        <v>45888</v>
      </c>
      <c r="C6136" s="59">
        <v>40011660</v>
      </c>
      <c r="D6136" s="55" t="s">
        <v>528</v>
      </c>
      <c r="G6136" s="122">
        <v>450</v>
      </c>
      <c r="H6136" s="56" t="s">
        <v>80</v>
      </c>
      <c r="I6136" s="54">
        <v>8728008645</v>
      </c>
      <c r="J6136" s="56" t="s">
        <v>2978</v>
      </c>
      <c r="K6136" s="56">
        <v>3379</v>
      </c>
      <c r="L6136" s="55" t="s">
        <v>2152</v>
      </c>
      <c r="M6136" s="55" t="s">
        <v>2824</v>
      </c>
      <c r="N6136" s="4" t="s">
        <v>1905</v>
      </c>
      <c r="O6136" s="55" t="s">
        <v>178</v>
      </c>
    </row>
    <row r="6137" spans="2:15">
      <c r="B6137" s="20">
        <v>45888</v>
      </c>
      <c r="C6137" s="59">
        <v>50851663</v>
      </c>
      <c r="D6137" s="55" t="s">
        <v>2526</v>
      </c>
      <c r="G6137" s="122">
        <v>360</v>
      </c>
      <c r="H6137" s="56" t="s">
        <v>80</v>
      </c>
      <c r="I6137" s="54">
        <v>8727942699</v>
      </c>
      <c r="J6137" s="56" t="s">
        <v>2978</v>
      </c>
      <c r="K6137" s="56">
        <v>3379</v>
      </c>
      <c r="L6137" s="55" t="s">
        <v>2152</v>
      </c>
      <c r="M6137" s="55" t="s">
        <v>2824</v>
      </c>
      <c r="N6137" s="4" t="s">
        <v>1905</v>
      </c>
      <c r="O6137" s="55" t="s">
        <v>178</v>
      </c>
    </row>
    <row r="6138" spans="2:15">
      <c r="B6138" s="20">
        <v>45888</v>
      </c>
      <c r="C6138" s="59">
        <v>50144376</v>
      </c>
      <c r="D6138" s="55" t="s">
        <v>19</v>
      </c>
      <c r="G6138" s="122">
        <v>7200</v>
      </c>
      <c r="H6138" s="56" t="s">
        <v>962</v>
      </c>
      <c r="I6138" s="54">
        <v>8727890104</v>
      </c>
      <c r="J6138" s="56" t="s">
        <v>2978</v>
      </c>
      <c r="K6138" s="56">
        <v>3380</v>
      </c>
      <c r="L6138" s="55" t="s">
        <v>2152</v>
      </c>
      <c r="M6138" s="55" t="s">
        <v>2824</v>
      </c>
      <c r="N6138" s="4" t="s">
        <v>1905</v>
      </c>
      <c r="O6138" s="55" t="s">
        <v>178</v>
      </c>
    </row>
    <row r="6139" spans="2:15">
      <c r="B6139" s="20">
        <v>45888</v>
      </c>
      <c r="C6139" s="59">
        <v>50272278</v>
      </c>
      <c r="D6139" s="69" t="s">
        <v>21</v>
      </c>
      <c r="G6139" s="122">
        <v>5400</v>
      </c>
      <c r="H6139" s="56" t="s">
        <v>962</v>
      </c>
      <c r="I6139" s="54">
        <v>8727890104</v>
      </c>
      <c r="J6139" s="56" t="s">
        <v>2978</v>
      </c>
      <c r="K6139" s="56">
        <v>3380</v>
      </c>
      <c r="L6139" s="55" t="s">
        <v>2152</v>
      </c>
      <c r="M6139" s="55" t="s">
        <v>2824</v>
      </c>
      <c r="N6139" s="4" t="s">
        <v>1905</v>
      </c>
      <c r="O6139" s="55" t="s">
        <v>178</v>
      </c>
    </row>
    <row r="6140" spans="2:15">
      <c r="B6140" s="20">
        <v>45889</v>
      </c>
      <c r="C6140" s="59">
        <v>50272278</v>
      </c>
      <c r="D6140" s="55" t="s">
        <v>21</v>
      </c>
      <c r="G6140" s="65">
        <v>10800</v>
      </c>
      <c r="H6140" s="56" t="s">
        <v>962</v>
      </c>
      <c r="I6140" s="54">
        <v>8727907289</v>
      </c>
      <c r="J6140" s="56" t="s">
        <v>2978</v>
      </c>
      <c r="K6140" s="56">
        <v>3381</v>
      </c>
      <c r="L6140" s="55" t="s">
        <v>2152</v>
      </c>
      <c r="M6140" s="55" t="s">
        <v>2824</v>
      </c>
      <c r="N6140" s="4" t="s">
        <v>1905</v>
      </c>
      <c r="O6140" s="55" t="s">
        <v>178</v>
      </c>
    </row>
    <row r="6141" spans="2:15">
      <c r="B6141" s="20">
        <v>45889</v>
      </c>
      <c r="C6141" s="59">
        <v>50837509</v>
      </c>
      <c r="D6141" s="55" t="s">
        <v>14</v>
      </c>
      <c r="G6141" s="65">
        <v>1159200</v>
      </c>
      <c r="H6141" s="56" t="s">
        <v>92</v>
      </c>
      <c r="I6141" s="54">
        <v>8727907289</v>
      </c>
      <c r="J6141" s="56" t="s">
        <v>2978</v>
      </c>
      <c r="K6141" s="56">
        <v>3381</v>
      </c>
      <c r="L6141" s="55" t="s">
        <v>2152</v>
      </c>
      <c r="M6141" s="55" t="s">
        <v>2824</v>
      </c>
      <c r="N6141" s="4" t="s">
        <v>1905</v>
      </c>
      <c r="O6141" s="55" t="s">
        <v>178</v>
      </c>
    </row>
    <row r="6142" spans="2:15">
      <c r="B6142" s="20">
        <v>45890</v>
      </c>
      <c r="C6142" s="59">
        <v>50804970</v>
      </c>
      <c r="D6142" s="55" t="s">
        <v>857</v>
      </c>
      <c r="G6142" s="65">
        <v>1920000</v>
      </c>
      <c r="H6142" s="56" t="s">
        <v>92</v>
      </c>
      <c r="I6142" s="54">
        <v>8727924773</v>
      </c>
      <c r="J6142" s="56" t="s">
        <v>2978</v>
      </c>
      <c r="K6142" s="56">
        <v>3382</v>
      </c>
      <c r="L6142" s="55" t="s">
        <v>2152</v>
      </c>
      <c r="M6142" s="55" t="s">
        <v>2824</v>
      </c>
      <c r="N6142" s="4" t="s">
        <v>1905</v>
      </c>
      <c r="O6142" s="55" t="s">
        <v>178</v>
      </c>
    </row>
    <row r="6143" spans="2:15">
      <c r="B6143" s="20">
        <v>45890</v>
      </c>
      <c r="C6143" s="59">
        <v>50804971</v>
      </c>
      <c r="D6143" s="55" t="s">
        <v>855</v>
      </c>
      <c r="G6143" s="65">
        <v>720000</v>
      </c>
      <c r="H6143" s="56" t="s">
        <v>92</v>
      </c>
      <c r="I6143" s="54">
        <v>8727924773</v>
      </c>
      <c r="J6143" s="56" t="s">
        <v>2978</v>
      </c>
      <c r="K6143" s="56">
        <v>3382</v>
      </c>
      <c r="L6143" s="55" t="s">
        <v>2152</v>
      </c>
      <c r="M6143" s="55" t="s">
        <v>2824</v>
      </c>
      <c r="N6143" s="4" t="s">
        <v>1905</v>
      </c>
      <c r="O6143" s="55" t="s">
        <v>178</v>
      </c>
    </row>
    <row r="6144" spans="2:15">
      <c r="B6144" s="20">
        <v>45890</v>
      </c>
      <c r="C6144" s="59">
        <v>50804929</v>
      </c>
      <c r="D6144" s="55" t="s">
        <v>856</v>
      </c>
      <c r="G6144" s="65">
        <v>1440000</v>
      </c>
      <c r="H6144" s="56" t="s">
        <v>92</v>
      </c>
      <c r="I6144" s="54">
        <v>8727924773</v>
      </c>
      <c r="J6144" s="56" t="s">
        <v>2978</v>
      </c>
      <c r="K6144" s="56">
        <v>3382</v>
      </c>
      <c r="L6144" s="55" t="s">
        <v>2152</v>
      </c>
      <c r="M6144" s="55" t="s">
        <v>2824</v>
      </c>
      <c r="N6144" s="4" t="s">
        <v>1905</v>
      </c>
      <c r="O6144" s="55" t="s">
        <v>178</v>
      </c>
    </row>
    <row r="6145" spans="2:15">
      <c r="B6145" s="20">
        <v>45890</v>
      </c>
      <c r="C6145" s="59">
        <v>40011149</v>
      </c>
      <c r="D6145" s="55" t="s">
        <v>37</v>
      </c>
      <c r="F6145" s="127"/>
      <c r="G6145" s="65">
        <v>1080</v>
      </c>
      <c r="H6145" s="56" t="s">
        <v>80</v>
      </c>
      <c r="I6145" s="54">
        <v>8727924773</v>
      </c>
      <c r="J6145" s="56" t="s">
        <v>2978</v>
      </c>
      <c r="K6145" s="56">
        <v>3382</v>
      </c>
      <c r="L6145" s="55" t="s">
        <v>2152</v>
      </c>
      <c r="M6145" s="55" t="s">
        <v>2824</v>
      </c>
      <c r="N6145" s="4" t="s">
        <v>1905</v>
      </c>
      <c r="O6145" s="55" t="s">
        <v>178</v>
      </c>
    </row>
    <row r="6146" spans="2:15">
      <c r="B6146" s="20">
        <v>45890</v>
      </c>
      <c r="C6146" s="59">
        <v>50470190</v>
      </c>
      <c r="D6146" s="55" t="s">
        <v>12</v>
      </c>
      <c r="G6146" s="65">
        <v>2318400</v>
      </c>
      <c r="H6146" s="123" t="s">
        <v>92</v>
      </c>
      <c r="I6146" s="54">
        <v>8727924773</v>
      </c>
      <c r="J6146" s="56" t="s">
        <v>2978</v>
      </c>
      <c r="K6146" s="56">
        <v>3382</v>
      </c>
      <c r="L6146" s="55" t="s">
        <v>2152</v>
      </c>
      <c r="M6146" s="55" t="s">
        <v>2824</v>
      </c>
      <c r="N6146" s="4" t="s">
        <v>1905</v>
      </c>
      <c r="O6146" s="55" t="s">
        <v>178</v>
      </c>
    </row>
    <row r="6147" spans="2:15">
      <c r="B6147" s="20">
        <v>45890</v>
      </c>
      <c r="C6147" s="59">
        <v>40011588</v>
      </c>
      <c r="D6147" s="55" t="s">
        <v>585</v>
      </c>
      <c r="G6147" s="65">
        <v>900</v>
      </c>
      <c r="H6147" s="56" t="s">
        <v>80</v>
      </c>
      <c r="I6147" s="54">
        <v>8727924773</v>
      </c>
      <c r="J6147" s="56" t="s">
        <v>2978</v>
      </c>
      <c r="K6147" s="56">
        <v>3382</v>
      </c>
      <c r="L6147" s="55" t="s">
        <v>2152</v>
      </c>
      <c r="M6147" s="55" t="s">
        <v>2824</v>
      </c>
      <c r="N6147" s="4" t="s">
        <v>1905</v>
      </c>
      <c r="O6147" s="55" t="s">
        <v>178</v>
      </c>
    </row>
    <row r="6148" spans="2:15">
      <c r="B6148" s="20">
        <v>45890</v>
      </c>
      <c r="C6148" s="59">
        <v>50851663</v>
      </c>
      <c r="D6148" s="55" t="s">
        <v>2526</v>
      </c>
      <c r="G6148" s="65">
        <v>360</v>
      </c>
      <c r="H6148" s="56" t="s">
        <v>80</v>
      </c>
      <c r="I6148" s="54">
        <v>8727942699</v>
      </c>
      <c r="J6148" s="56" t="s">
        <v>2978</v>
      </c>
      <c r="K6148" s="56">
        <v>3382</v>
      </c>
      <c r="L6148" s="55" t="s">
        <v>2152</v>
      </c>
      <c r="M6148" s="55" t="s">
        <v>2824</v>
      </c>
      <c r="N6148" s="4" t="s">
        <v>1905</v>
      </c>
      <c r="O6148" s="55" t="s">
        <v>178</v>
      </c>
    </row>
    <row r="6149" spans="2:15">
      <c r="B6149" s="20">
        <v>45890</v>
      </c>
      <c r="C6149" s="59">
        <v>50142298</v>
      </c>
      <c r="D6149" s="55" t="s">
        <v>2159</v>
      </c>
      <c r="G6149" s="65">
        <v>3370</v>
      </c>
      <c r="H6149" s="56" t="s">
        <v>198</v>
      </c>
      <c r="I6149" s="54">
        <v>8728008649</v>
      </c>
      <c r="J6149" s="56" t="s">
        <v>2978</v>
      </c>
      <c r="K6149" s="56">
        <v>3383</v>
      </c>
      <c r="L6149" s="55" t="s">
        <v>2152</v>
      </c>
      <c r="M6149" s="55" t="s">
        <v>2824</v>
      </c>
      <c r="N6149" s="4" t="s">
        <v>1905</v>
      </c>
      <c r="O6149" s="55" t="s">
        <v>178</v>
      </c>
    </row>
    <row r="6150" spans="2:15">
      <c r="B6150" s="20">
        <v>45890</v>
      </c>
      <c r="C6150" s="59">
        <v>50010080</v>
      </c>
      <c r="D6150" s="55" t="s">
        <v>1657</v>
      </c>
      <c r="G6150" s="65">
        <v>2000</v>
      </c>
      <c r="H6150" s="56" t="s">
        <v>82</v>
      </c>
      <c r="I6150" s="54">
        <v>8727924832</v>
      </c>
      <c r="J6150" s="56" t="s">
        <v>2978</v>
      </c>
      <c r="K6150" s="56">
        <v>3383</v>
      </c>
      <c r="L6150" s="55" t="s">
        <v>2152</v>
      </c>
      <c r="M6150" s="55" t="s">
        <v>2824</v>
      </c>
      <c r="N6150" s="4" t="s">
        <v>1905</v>
      </c>
      <c r="O6150" s="55" t="s">
        <v>178</v>
      </c>
    </row>
    <row r="6151" spans="2:15">
      <c r="B6151" s="20">
        <v>45890</v>
      </c>
      <c r="C6151" s="59">
        <v>50142328</v>
      </c>
      <c r="D6151" s="55" t="s">
        <v>1591</v>
      </c>
      <c r="G6151" s="65">
        <v>3000</v>
      </c>
      <c r="H6151" s="56" t="s">
        <v>82</v>
      </c>
      <c r="I6151" s="54">
        <v>8727924832</v>
      </c>
      <c r="J6151" s="56" t="s">
        <v>2978</v>
      </c>
      <c r="K6151" s="56">
        <v>3383</v>
      </c>
      <c r="L6151" s="55" t="s">
        <v>2152</v>
      </c>
      <c r="M6151" s="55" t="s">
        <v>2824</v>
      </c>
      <c r="N6151" s="4" t="s">
        <v>1905</v>
      </c>
      <c r="O6151" s="55" t="s">
        <v>178</v>
      </c>
    </row>
    <row r="6152" spans="2:15">
      <c r="B6152" s="20">
        <v>45890</v>
      </c>
      <c r="C6152" s="59">
        <v>20016185</v>
      </c>
      <c r="D6152" s="55" t="s">
        <v>285</v>
      </c>
      <c r="G6152" s="65">
        <v>10000</v>
      </c>
      <c r="H6152" s="56" t="s">
        <v>92</v>
      </c>
      <c r="I6152" s="54">
        <v>8727924832</v>
      </c>
      <c r="J6152" s="56" t="s">
        <v>2978</v>
      </c>
      <c r="K6152" s="56">
        <v>3383</v>
      </c>
      <c r="L6152" s="55" t="s">
        <v>2152</v>
      </c>
      <c r="M6152" s="55" t="s">
        <v>2824</v>
      </c>
      <c r="N6152" s="4" t="s">
        <v>1905</v>
      </c>
      <c r="O6152" s="55" t="s">
        <v>178</v>
      </c>
    </row>
    <row r="6153" spans="2:15">
      <c r="B6153" s="20">
        <v>45890</v>
      </c>
      <c r="C6153" s="59">
        <v>50272278</v>
      </c>
      <c r="D6153" s="55" t="s">
        <v>21</v>
      </c>
      <c r="G6153" s="65">
        <v>5400</v>
      </c>
      <c r="H6153" s="56" t="s">
        <v>92</v>
      </c>
      <c r="I6153" s="54">
        <v>8727924832</v>
      </c>
      <c r="J6153" s="56" t="s">
        <v>2978</v>
      </c>
      <c r="K6153" s="56">
        <v>3383</v>
      </c>
      <c r="L6153" s="55" t="s">
        <v>2152</v>
      </c>
      <c r="M6153" s="55" t="s">
        <v>2824</v>
      </c>
      <c r="N6153" s="4" t="s">
        <v>1905</v>
      </c>
      <c r="O6153" s="55" t="s">
        <v>178</v>
      </c>
    </row>
    <row r="6154" spans="2:15">
      <c r="B6154" s="20">
        <v>45890</v>
      </c>
      <c r="C6154" s="59">
        <v>50142327</v>
      </c>
      <c r="D6154" s="55" t="s">
        <v>256</v>
      </c>
      <c r="G6154" s="65">
        <v>1430.1</v>
      </c>
      <c r="H6154" s="56" t="s">
        <v>82</v>
      </c>
      <c r="I6154" s="54">
        <v>8727924832</v>
      </c>
      <c r="J6154" s="56" t="s">
        <v>2978</v>
      </c>
      <c r="K6154" s="56">
        <v>3383</v>
      </c>
      <c r="L6154" s="55" t="s">
        <v>2152</v>
      </c>
      <c r="M6154" s="55" t="s">
        <v>2824</v>
      </c>
      <c r="N6154" s="4" t="s">
        <v>1905</v>
      </c>
      <c r="O6154" s="55" t="s">
        <v>178</v>
      </c>
    </row>
    <row r="6155" spans="2:15">
      <c r="B6155" s="20">
        <v>45890</v>
      </c>
      <c r="C6155" s="59">
        <v>50142334</v>
      </c>
      <c r="D6155" s="55" t="s">
        <v>257</v>
      </c>
      <c r="G6155" s="65">
        <v>1430.1</v>
      </c>
      <c r="H6155" s="56" t="s">
        <v>82</v>
      </c>
      <c r="I6155" s="54">
        <v>8727924832</v>
      </c>
      <c r="J6155" s="56" t="s">
        <v>2978</v>
      </c>
      <c r="K6155" s="56">
        <v>3383</v>
      </c>
      <c r="L6155" s="55" t="s">
        <v>2152</v>
      </c>
      <c r="M6155" s="55" t="s">
        <v>2824</v>
      </c>
      <c r="N6155" s="4" t="s">
        <v>1905</v>
      </c>
      <c r="O6155" s="55" t="s">
        <v>178</v>
      </c>
    </row>
    <row r="6156" spans="2:15">
      <c r="B6156" s="20">
        <v>45891</v>
      </c>
      <c r="C6156" s="59">
        <v>50470190</v>
      </c>
      <c r="D6156" s="55" t="s">
        <v>12</v>
      </c>
      <c r="G6156" s="122">
        <f>18*289800</f>
        <v>5216400</v>
      </c>
      <c r="H6156" s="56" t="s">
        <v>92</v>
      </c>
      <c r="I6156" s="54">
        <v>8727942703</v>
      </c>
      <c r="J6156" s="56" t="s">
        <v>2978</v>
      </c>
      <c r="K6156" s="56">
        <v>3384</v>
      </c>
      <c r="L6156" s="55" t="s">
        <v>2152</v>
      </c>
      <c r="M6156" s="55" t="s">
        <v>2824</v>
      </c>
      <c r="N6156" s="4" t="s">
        <v>1905</v>
      </c>
      <c r="O6156" s="55" t="s">
        <v>178</v>
      </c>
    </row>
    <row r="6157" spans="2:15">
      <c r="B6157" s="20">
        <v>45891</v>
      </c>
      <c r="C6157" s="59">
        <v>50272278</v>
      </c>
      <c r="D6157" s="55" t="s">
        <v>21</v>
      </c>
      <c r="G6157" s="65">
        <f>48*300</f>
        <v>14400</v>
      </c>
      <c r="H6157" s="56" t="s">
        <v>92</v>
      </c>
      <c r="I6157" s="54">
        <v>8727942716</v>
      </c>
      <c r="J6157" s="56" t="s">
        <v>2978</v>
      </c>
      <c r="K6157" s="56">
        <v>3385</v>
      </c>
      <c r="L6157" s="55" t="s">
        <v>2152</v>
      </c>
      <c r="M6157" s="55" t="s">
        <v>2824</v>
      </c>
      <c r="N6157" s="4" t="s">
        <v>1905</v>
      </c>
      <c r="O6157" s="55" t="s">
        <v>178</v>
      </c>
    </row>
    <row r="6158" spans="2:15">
      <c r="B6158" s="20">
        <v>45891</v>
      </c>
      <c r="C6158" s="59">
        <v>50804971</v>
      </c>
      <c r="D6158" s="55" t="s">
        <v>855</v>
      </c>
      <c r="G6158" s="65">
        <v>720000</v>
      </c>
      <c r="H6158" s="56" t="s">
        <v>92</v>
      </c>
      <c r="I6158" s="54">
        <v>8727942723</v>
      </c>
      <c r="J6158" s="56" t="s">
        <v>2978</v>
      </c>
      <c r="K6158" s="56">
        <v>3386</v>
      </c>
      <c r="L6158" s="55" t="s">
        <v>2152</v>
      </c>
      <c r="M6158" s="55" t="s">
        <v>2824</v>
      </c>
      <c r="N6158" s="4" t="s">
        <v>1905</v>
      </c>
      <c r="O6158" s="55" t="s">
        <v>178</v>
      </c>
    </row>
    <row r="6159" spans="2:15">
      <c r="B6159" s="20">
        <v>45891</v>
      </c>
      <c r="C6159" s="59">
        <v>50804929</v>
      </c>
      <c r="D6159" s="55" t="s">
        <v>856</v>
      </c>
      <c r="G6159" s="65">
        <v>720000</v>
      </c>
      <c r="H6159" s="56" t="s">
        <v>92</v>
      </c>
      <c r="I6159" s="54">
        <v>8727942723</v>
      </c>
      <c r="J6159" s="56" t="s">
        <v>2978</v>
      </c>
      <c r="K6159" s="56">
        <v>3386</v>
      </c>
      <c r="L6159" s="55" t="s">
        <v>2152</v>
      </c>
      <c r="M6159" s="55" t="s">
        <v>2824</v>
      </c>
      <c r="N6159" s="4" t="s">
        <v>1905</v>
      </c>
      <c r="O6159" s="55" t="s">
        <v>178</v>
      </c>
    </row>
    <row r="6160" spans="2:15">
      <c r="B6160" s="20">
        <v>45891</v>
      </c>
      <c r="C6160" s="59">
        <v>50272278</v>
      </c>
      <c r="D6160" s="55" t="s">
        <v>21</v>
      </c>
      <c r="G6160" s="65">
        <v>19800</v>
      </c>
      <c r="H6160" s="56" t="s">
        <v>92</v>
      </c>
      <c r="I6160" s="54">
        <v>8727942723</v>
      </c>
      <c r="J6160" s="56" t="s">
        <v>2978</v>
      </c>
      <c r="K6160" s="56">
        <v>3386</v>
      </c>
      <c r="L6160" s="55" t="s">
        <v>2152</v>
      </c>
      <c r="M6160" s="55" t="s">
        <v>2824</v>
      </c>
      <c r="N6160" s="4" t="s">
        <v>1905</v>
      </c>
      <c r="O6160" s="55" t="s">
        <v>178</v>
      </c>
    </row>
    <row r="6161" spans="2:15">
      <c r="B6161" s="20">
        <v>45891</v>
      </c>
      <c r="C6161" s="59">
        <v>40011149</v>
      </c>
      <c r="D6161" s="55" t="s">
        <v>37</v>
      </c>
      <c r="G6161" s="65">
        <v>720</v>
      </c>
      <c r="H6161" s="56" t="s">
        <v>80</v>
      </c>
      <c r="I6161" s="54">
        <v>8727942723</v>
      </c>
      <c r="J6161" s="56" t="s">
        <v>2978</v>
      </c>
      <c r="K6161" s="56">
        <v>3386</v>
      </c>
      <c r="L6161" s="55" t="s">
        <v>2152</v>
      </c>
      <c r="M6161" s="55" t="s">
        <v>2824</v>
      </c>
      <c r="N6161" s="4" t="s">
        <v>1905</v>
      </c>
      <c r="O6161" s="55" t="s">
        <v>178</v>
      </c>
    </row>
    <row r="6162" spans="2:15">
      <c r="B6162" s="20">
        <v>45891</v>
      </c>
      <c r="C6162" s="59">
        <v>50470190</v>
      </c>
      <c r="D6162" s="55" t="s">
        <v>12</v>
      </c>
      <c r="G6162" s="65">
        <v>1159000</v>
      </c>
      <c r="H6162" s="123" t="s">
        <v>92</v>
      </c>
      <c r="I6162" s="54">
        <v>8727942723</v>
      </c>
      <c r="J6162" s="56" t="s">
        <v>2978</v>
      </c>
      <c r="K6162" s="56">
        <v>3386</v>
      </c>
      <c r="L6162" s="55" t="s">
        <v>2152</v>
      </c>
      <c r="M6162" s="55" t="s">
        <v>2824</v>
      </c>
      <c r="N6162" s="4" t="s">
        <v>1905</v>
      </c>
      <c r="O6162" s="55" t="s">
        <v>178</v>
      </c>
    </row>
    <row r="6163" spans="2:15">
      <c r="B6163" s="20">
        <v>45891</v>
      </c>
      <c r="C6163" s="59">
        <v>40011588</v>
      </c>
      <c r="D6163" s="55" t="s">
        <v>585</v>
      </c>
      <c r="G6163" s="65">
        <v>450</v>
      </c>
      <c r="H6163" s="56" t="s">
        <v>80</v>
      </c>
      <c r="I6163" s="54">
        <v>8727942723</v>
      </c>
      <c r="J6163" s="56" t="s">
        <v>2978</v>
      </c>
      <c r="K6163" s="56">
        <v>3386</v>
      </c>
      <c r="L6163" s="55" t="s">
        <v>2152</v>
      </c>
      <c r="M6163" s="55" t="s">
        <v>2824</v>
      </c>
      <c r="N6163" s="4" t="s">
        <v>1905</v>
      </c>
      <c r="O6163" s="55" t="s">
        <v>178</v>
      </c>
    </row>
    <row r="6164" spans="2:15">
      <c r="B6164" s="20">
        <v>45891</v>
      </c>
      <c r="C6164" s="59">
        <v>40011659</v>
      </c>
      <c r="D6164" s="55" t="s">
        <v>89</v>
      </c>
      <c r="G6164" s="65">
        <v>720</v>
      </c>
      <c r="H6164" s="56" t="s">
        <v>80</v>
      </c>
      <c r="I6164" s="54">
        <v>8727942723</v>
      </c>
      <c r="J6164" s="56" t="s">
        <v>2978</v>
      </c>
      <c r="K6164" s="56">
        <v>3386</v>
      </c>
      <c r="L6164" s="55" t="s">
        <v>2152</v>
      </c>
      <c r="M6164" s="55" t="s">
        <v>2824</v>
      </c>
      <c r="N6164" s="4" t="s">
        <v>1905</v>
      </c>
      <c r="O6164" s="55" t="s">
        <v>178</v>
      </c>
    </row>
    <row r="6165" spans="2:15">
      <c r="B6165" s="20">
        <v>45891</v>
      </c>
      <c r="C6165" s="59">
        <v>40007678</v>
      </c>
      <c r="D6165" s="55" t="s">
        <v>2506</v>
      </c>
      <c r="G6165" s="65">
        <v>20.16</v>
      </c>
      <c r="H6165" s="56" t="s">
        <v>80</v>
      </c>
      <c r="I6165" s="54">
        <v>8727942821</v>
      </c>
      <c r="J6165" s="56" t="s">
        <v>2978</v>
      </c>
      <c r="K6165" s="56">
        <v>500</v>
      </c>
      <c r="L6165" s="55" t="s">
        <v>392</v>
      </c>
      <c r="M6165" s="55" t="s">
        <v>2824</v>
      </c>
      <c r="O6165" s="55" t="s">
        <v>178</v>
      </c>
    </row>
    <row r="6166" spans="2:15">
      <c r="B6166" s="20">
        <v>45891</v>
      </c>
      <c r="C6166" s="59">
        <v>40007678</v>
      </c>
      <c r="D6166" s="55" t="s">
        <v>2506</v>
      </c>
      <c r="G6166" s="65">
        <v>20.16</v>
      </c>
      <c r="H6166" s="56" t="s">
        <v>80</v>
      </c>
      <c r="I6166" s="54">
        <v>8727942875</v>
      </c>
      <c r="J6166" s="56" t="s">
        <v>2978</v>
      </c>
      <c r="K6166" s="56">
        <v>501</v>
      </c>
      <c r="L6166" s="55" t="s">
        <v>392</v>
      </c>
      <c r="M6166" s="55" t="s">
        <v>2824</v>
      </c>
      <c r="O6166" s="55" t="s">
        <v>178</v>
      </c>
    </row>
    <row r="6167" spans="2:15">
      <c r="B6167" s="20">
        <v>45892</v>
      </c>
      <c r="C6167" s="59">
        <v>40007678</v>
      </c>
      <c r="D6167" s="55" t="s">
        <v>2506</v>
      </c>
      <c r="G6167" s="65">
        <v>20.16</v>
      </c>
      <c r="H6167" s="56" t="s">
        <v>80</v>
      </c>
      <c r="I6167" s="54">
        <v>8727957922</v>
      </c>
      <c r="J6167" s="56" t="s">
        <v>2978</v>
      </c>
      <c r="K6167" s="56">
        <v>502</v>
      </c>
      <c r="L6167" s="55" t="s">
        <v>2152</v>
      </c>
      <c r="M6167" s="55" t="s">
        <v>2824</v>
      </c>
      <c r="N6167" s="4" t="s">
        <v>1905</v>
      </c>
      <c r="O6167" s="55" t="s">
        <v>178</v>
      </c>
    </row>
    <row r="6168" spans="2:15">
      <c r="B6168" s="20">
        <v>45892</v>
      </c>
      <c r="C6168" s="59">
        <v>40007678</v>
      </c>
      <c r="D6168" s="55" t="s">
        <v>2506</v>
      </c>
      <c r="G6168" s="65">
        <v>20.16</v>
      </c>
      <c r="H6168" s="56" t="s">
        <v>80</v>
      </c>
      <c r="I6168" s="54">
        <v>8727957919</v>
      </c>
      <c r="J6168" s="56" t="s">
        <v>2978</v>
      </c>
      <c r="K6168" s="56">
        <v>503</v>
      </c>
      <c r="L6168" s="55" t="s">
        <v>2152</v>
      </c>
      <c r="M6168" s="55" t="s">
        <v>2824</v>
      </c>
      <c r="N6168" s="4" t="s">
        <v>1905</v>
      </c>
      <c r="O6168" s="55" t="s">
        <v>178</v>
      </c>
    </row>
    <row r="6169" spans="2:15">
      <c r="B6169" s="20">
        <v>45892</v>
      </c>
      <c r="C6169" s="59">
        <v>40007678</v>
      </c>
      <c r="D6169" s="55" t="s">
        <v>2506</v>
      </c>
      <c r="G6169" s="65">
        <v>12.483</v>
      </c>
      <c r="H6169" s="56" t="s">
        <v>80</v>
      </c>
      <c r="I6169" s="54">
        <v>8727958030</v>
      </c>
      <c r="J6169" s="56" t="s">
        <v>2978</v>
      </c>
      <c r="K6169" s="56">
        <v>504</v>
      </c>
      <c r="L6169" s="55" t="s">
        <v>392</v>
      </c>
      <c r="M6169" s="55" t="s">
        <v>2824</v>
      </c>
      <c r="O6169" s="55" t="s">
        <v>178</v>
      </c>
    </row>
    <row r="6170" spans="2:15">
      <c r="B6170" s="20">
        <v>45894</v>
      </c>
      <c r="C6170" s="59">
        <v>50010080</v>
      </c>
      <c r="D6170" s="55" t="s">
        <v>1657</v>
      </c>
      <c r="G6170" s="65">
        <v>2000</v>
      </c>
      <c r="H6170" s="56" t="s">
        <v>82</v>
      </c>
      <c r="I6170" s="54">
        <v>8727972770</v>
      </c>
      <c r="J6170" s="56" t="s">
        <v>2978</v>
      </c>
      <c r="K6170" s="56">
        <v>3388</v>
      </c>
      <c r="L6170" s="55" t="s">
        <v>2152</v>
      </c>
      <c r="M6170" s="55" t="s">
        <v>2824</v>
      </c>
      <c r="N6170" s="4" t="s">
        <v>1905</v>
      </c>
      <c r="O6170" s="55" t="s">
        <v>178</v>
      </c>
    </row>
    <row r="6171" spans="2:15">
      <c r="B6171" s="20">
        <v>45894</v>
      </c>
      <c r="C6171" s="59">
        <v>50837238</v>
      </c>
      <c r="D6171" s="55" t="s">
        <v>1976</v>
      </c>
      <c r="G6171" s="65">
        <v>3262.14</v>
      </c>
      <c r="H6171" s="56" t="s">
        <v>82</v>
      </c>
      <c r="I6171" s="54">
        <v>8727972770</v>
      </c>
      <c r="J6171" s="56" t="s">
        <v>2978</v>
      </c>
      <c r="K6171" s="56">
        <v>3388</v>
      </c>
      <c r="L6171" s="55" t="s">
        <v>2152</v>
      </c>
      <c r="M6171" s="55" t="s">
        <v>2824</v>
      </c>
      <c r="N6171" s="4" t="s">
        <v>1905</v>
      </c>
      <c r="O6171" s="55" t="s">
        <v>178</v>
      </c>
    </row>
    <row r="6172" spans="2:15">
      <c r="B6172" s="20">
        <v>45894</v>
      </c>
      <c r="C6172" s="59">
        <v>50837239</v>
      </c>
      <c r="D6172" s="55" t="s">
        <v>27</v>
      </c>
      <c r="G6172" s="65">
        <v>2055.8</v>
      </c>
      <c r="H6172" s="56" t="s">
        <v>82</v>
      </c>
      <c r="I6172" s="54">
        <v>8727972770</v>
      </c>
      <c r="J6172" s="56" t="s">
        <v>2978</v>
      </c>
      <c r="K6172" s="56">
        <v>3388</v>
      </c>
      <c r="L6172" s="55" t="s">
        <v>2152</v>
      </c>
      <c r="M6172" s="55" t="s">
        <v>2824</v>
      </c>
      <c r="N6172" s="4" t="s">
        <v>1905</v>
      </c>
      <c r="O6172" s="55" t="s">
        <v>178</v>
      </c>
    </row>
    <row r="6173" spans="2:15">
      <c r="B6173" s="20">
        <v>45894</v>
      </c>
      <c r="C6173" s="59">
        <v>50470190</v>
      </c>
      <c r="D6173" s="55" t="s">
        <v>12</v>
      </c>
      <c r="G6173" s="65">
        <v>579600</v>
      </c>
      <c r="H6173" s="56" t="s">
        <v>92</v>
      </c>
      <c r="I6173" s="54">
        <v>8727972770</v>
      </c>
      <c r="J6173" s="56" t="s">
        <v>2978</v>
      </c>
      <c r="K6173" s="56">
        <v>3388</v>
      </c>
      <c r="L6173" s="55" t="s">
        <v>2152</v>
      </c>
      <c r="M6173" s="55" t="s">
        <v>2824</v>
      </c>
      <c r="N6173" s="4" t="s">
        <v>1905</v>
      </c>
      <c r="O6173" s="55" t="s">
        <v>178</v>
      </c>
    </row>
    <row r="6174" spans="2:15">
      <c r="B6174" s="20">
        <v>45894</v>
      </c>
      <c r="C6174" s="59">
        <v>50802401</v>
      </c>
      <c r="D6174" s="55" t="s">
        <v>13</v>
      </c>
      <c r="G6174" s="65">
        <v>1159200</v>
      </c>
      <c r="H6174" s="56" t="s">
        <v>92</v>
      </c>
      <c r="I6174" s="54">
        <v>8727972770</v>
      </c>
      <c r="J6174" s="56" t="s">
        <v>2978</v>
      </c>
      <c r="K6174" s="56">
        <v>3388</v>
      </c>
      <c r="L6174" s="55" t="s">
        <v>2152</v>
      </c>
      <c r="M6174" s="55" t="s">
        <v>2824</v>
      </c>
      <c r="N6174" s="4" t="s">
        <v>1905</v>
      </c>
      <c r="O6174" s="55" t="s">
        <v>178</v>
      </c>
    </row>
    <row r="6175" spans="2:15">
      <c r="B6175" s="20">
        <v>45894</v>
      </c>
      <c r="C6175" s="59">
        <v>40011660</v>
      </c>
      <c r="D6175" s="55" t="s">
        <v>528</v>
      </c>
      <c r="G6175" s="65">
        <v>450</v>
      </c>
      <c r="H6175" s="56" t="s">
        <v>80</v>
      </c>
      <c r="I6175" s="54">
        <v>8728008651</v>
      </c>
      <c r="J6175" s="56" t="s">
        <v>2978</v>
      </c>
      <c r="K6175" s="56">
        <v>3388</v>
      </c>
      <c r="L6175" s="55" t="s">
        <v>2152</v>
      </c>
      <c r="M6175" s="55" t="s">
        <v>2824</v>
      </c>
      <c r="N6175" s="4" t="s">
        <v>1905</v>
      </c>
      <c r="O6175" s="55" t="s">
        <v>178</v>
      </c>
    </row>
    <row r="6176" spans="2:15">
      <c r="B6176" s="20">
        <v>45895</v>
      </c>
      <c r="C6176" s="59">
        <v>50515034</v>
      </c>
      <c r="D6176" s="55" t="s">
        <v>41</v>
      </c>
      <c r="G6176" s="65">
        <v>172.8</v>
      </c>
      <c r="H6176" s="56" t="s">
        <v>80</v>
      </c>
      <c r="I6176" s="54">
        <v>8727990860</v>
      </c>
      <c r="J6176" s="56" t="s">
        <v>2978</v>
      </c>
      <c r="K6176" s="56">
        <v>3389</v>
      </c>
      <c r="L6176" s="55" t="s">
        <v>416</v>
      </c>
      <c r="M6176" s="55" t="s">
        <v>392</v>
      </c>
      <c r="O6176" s="55" t="s">
        <v>178</v>
      </c>
    </row>
    <row r="6177" spans="2:15">
      <c r="B6177" s="20">
        <v>45895</v>
      </c>
      <c r="C6177" s="59">
        <v>50145028</v>
      </c>
      <c r="D6177" s="55" t="s">
        <v>23</v>
      </c>
      <c r="G6177" s="65">
        <v>324</v>
      </c>
      <c r="H6177" s="56" t="s">
        <v>92</v>
      </c>
      <c r="I6177" s="54">
        <v>8727990860</v>
      </c>
      <c r="J6177" s="56" t="s">
        <v>2978</v>
      </c>
      <c r="K6177" s="56">
        <v>3389</v>
      </c>
      <c r="L6177" s="55" t="s">
        <v>416</v>
      </c>
      <c r="M6177" s="55" t="s">
        <v>392</v>
      </c>
      <c r="O6177" s="55" t="s">
        <v>178</v>
      </c>
    </row>
    <row r="6178" spans="2:15">
      <c r="B6178" s="20">
        <v>45895</v>
      </c>
      <c r="C6178" s="59">
        <v>50799770</v>
      </c>
      <c r="D6178" s="55" t="s">
        <v>17</v>
      </c>
      <c r="G6178" s="65">
        <v>2000</v>
      </c>
      <c r="H6178" s="56" t="s">
        <v>92</v>
      </c>
      <c r="I6178" s="54">
        <v>8727990860</v>
      </c>
      <c r="J6178" s="56" t="s">
        <v>2978</v>
      </c>
      <c r="K6178" s="56">
        <v>3389</v>
      </c>
      <c r="L6178" s="55" t="s">
        <v>416</v>
      </c>
      <c r="M6178" s="55" t="s">
        <v>392</v>
      </c>
      <c r="O6178" s="55" t="s">
        <v>178</v>
      </c>
    </row>
    <row r="6179" spans="2:15">
      <c r="B6179" s="20">
        <v>45895</v>
      </c>
      <c r="C6179" s="59">
        <v>50843042</v>
      </c>
      <c r="D6179" s="55" t="s">
        <v>2282</v>
      </c>
      <c r="G6179" s="65">
        <v>1193.25</v>
      </c>
      <c r="H6179" s="56" t="s">
        <v>82</v>
      </c>
      <c r="I6179" s="54">
        <v>8728008705</v>
      </c>
      <c r="J6179" s="56" t="s">
        <v>2978</v>
      </c>
      <c r="K6179" s="56">
        <v>3390</v>
      </c>
      <c r="L6179" s="55" t="s">
        <v>326</v>
      </c>
      <c r="M6179" s="55" t="s">
        <v>326</v>
      </c>
      <c r="O6179" s="55" t="s">
        <v>178</v>
      </c>
    </row>
    <row r="6180" spans="2:15">
      <c r="B6180" s="20">
        <v>45895</v>
      </c>
      <c r="C6180" s="59">
        <v>50785752</v>
      </c>
      <c r="D6180" s="55" t="s">
        <v>3034</v>
      </c>
      <c r="G6180" s="65">
        <v>42000</v>
      </c>
      <c r="H6180" s="56" t="s">
        <v>92</v>
      </c>
      <c r="I6180" s="54">
        <v>8728008705</v>
      </c>
      <c r="J6180" s="56" t="s">
        <v>2978</v>
      </c>
      <c r="K6180" s="56">
        <v>3390</v>
      </c>
      <c r="L6180" s="55" t="s">
        <v>326</v>
      </c>
      <c r="M6180" s="55" t="s">
        <v>326</v>
      </c>
      <c r="O6180" s="55" t="s">
        <v>178</v>
      </c>
    </row>
    <row r="6181" spans="2:15">
      <c r="B6181" s="20">
        <v>45895</v>
      </c>
      <c r="C6181" s="59">
        <v>50272278</v>
      </c>
      <c r="D6181" s="69" t="s">
        <v>21</v>
      </c>
      <c r="G6181" s="65">
        <f>44*300</f>
        <v>13200</v>
      </c>
      <c r="H6181" s="56" t="s">
        <v>92</v>
      </c>
      <c r="I6181" s="54">
        <v>8728008684</v>
      </c>
      <c r="J6181" s="56" t="s">
        <v>2978</v>
      </c>
      <c r="K6181" s="56">
        <v>3391</v>
      </c>
      <c r="L6181" s="55" t="s">
        <v>2152</v>
      </c>
      <c r="M6181" s="55" t="s">
        <v>2824</v>
      </c>
      <c r="N6181" s="4" t="s">
        <v>1905</v>
      </c>
      <c r="O6181" s="55" t="s">
        <v>178</v>
      </c>
    </row>
    <row r="6182" spans="2:15">
      <c r="B6182" s="20">
        <v>45895</v>
      </c>
      <c r="C6182" s="59">
        <v>50143646</v>
      </c>
      <c r="D6182" s="55" t="s">
        <v>191</v>
      </c>
      <c r="G6182" s="122">
        <v>2400</v>
      </c>
      <c r="H6182" s="56" t="s">
        <v>82</v>
      </c>
      <c r="I6182" s="54">
        <v>8728006671</v>
      </c>
      <c r="J6182" s="56" t="s">
        <v>2978</v>
      </c>
      <c r="K6182" s="56">
        <v>3392</v>
      </c>
      <c r="L6182" s="55" t="s">
        <v>2152</v>
      </c>
      <c r="M6182" s="55" t="s">
        <v>2824</v>
      </c>
      <c r="N6182" s="4" t="s">
        <v>1905</v>
      </c>
      <c r="O6182" s="55" t="s">
        <v>178</v>
      </c>
    </row>
    <row r="6183" spans="2:15">
      <c r="B6183" s="20">
        <v>45895</v>
      </c>
      <c r="C6183" s="59">
        <v>50010080</v>
      </c>
      <c r="D6183" s="55" t="s">
        <v>1657</v>
      </c>
      <c r="G6183" s="121">
        <v>2000</v>
      </c>
      <c r="H6183" s="56" t="s">
        <v>82</v>
      </c>
      <c r="I6183" s="54">
        <v>8728006671</v>
      </c>
      <c r="J6183" s="56" t="s">
        <v>2978</v>
      </c>
      <c r="K6183" s="56">
        <v>3392</v>
      </c>
      <c r="L6183" s="55" t="s">
        <v>2152</v>
      </c>
      <c r="M6183" s="55" t="s">
        <v>2824</v>
      </c>
      <c r="N6183" s="4" t="s">
        <v>1905</v>
      </c>
      <c r="O6183" s="55" t="s">
        <v>178</v>
      </c>
    </row>
    <row r="6184" spans="2:15">
      <c r="B6184" s="20">
        <v>45895</v>
      </c>
      <c r="C6184" s="59">
        <v>50802401</v>
      </c>
      <c r="D6184" s="55" t="s">
        <v>13</v>
      </c>
      <c r="G6184" s="122">
        <v>2898000</v>
      </c>
      <c r="H6184" s="56" t="s">
        <v>92</v>
      </c>
      <c r="I6184" s="54">
        <v>8728006671</v>
      </c>
      <c r="J6184" s="56" t="s">
        <v>2978</v>
      </c>
      <c r="K6184" s="56">
        <v>3392</v>
      </c>
      <c r="L6184" s="55" t="s">
        <v>2152</v>
      </c>
      <c r="M6184" s="55" t="s">
        <v>2824</v>
      </c>
      <c r="N6184" s="4" t="s">
        <v>1905</v>
      </c>
      <c r="O6184" s="55" t="s">
        <v>178</v>
      </c>
    </row>
    <row r="6185" spans="2:15">
      <c r="B6185" s="20">
        <v>45895</v>
      </c>
      <c r="C6185" s="59">
        <v>40011659</v>
      </c>
      <c r="D6185" s="55" t="s">
        <v>89</v>
      </c>
      <c r="G6185" s="122">
        <v>720</v>
      </c>
      <c r="H6185" s="56" t="s">
        <v>80</v>
      </c>
      <c r="I6185" s="54">
        <v>8728006671</v>
      </c>
      <c r="J6185" s="56" t="s">
        <v>2978</v>
      </c>
      <c r="K6185" s="56">
        <v>3392</v>
      </c>
      <c r="L6185" s="55" t="s">
        <v>2152</v>
      </c>
      <c r="M6185" s="55" t="s">
        <v>2824</v>
      </c>
      <c r="N6185" s="4" t="s">
        <v>1905</v>
      </c>
      <c r="O6185" s="55" t="s">
        <v>178</v>
      </c>
    </row>
    <row r="6186" spans="2:15">
      <c r="B6186" s="20">
        <v>45895</v>
      </c>
      <c r="C6186" s="59">
        <v>50851663</v>
      </c>
      <c r="D6186" s="55" t="s">
        <v>2526</v>
      </c>
      <c r="G6186" s="122">
        <v>360</v>
      </c>
      <c r="H6186" s="56" t="s">
        <v>80</v>
      </c>
      <c r="I6186" s="54">
        <v>8728006713</v>
      </c>
      <c r="J6186" s="56" t="s">
        <v>2978</v>
      </c>
      <c r="K6186" s="56">
        <v>3392</v>
      </c>
      <c r="L6186" s="55" t="s">
        <v>2152</v>
      </c>
      <c r="M6186" s="55" t="s">
        <v>2824</v>
      </c>
      <c r="N6186" s="4" t="s">
        <v>1905</v>
      </c>
      <c r="O6186" s="55" t="s">
        <v>178</v>
      </c>
    </row>
    <row r="6187" spans="2:15">
      <c r="B6187" s="20">
        <v>45896</v>
      </c>
      <c r="C6187" s="59">
        <v>50143646</v>
      </c>
      <c r="D6187" s="55" t="s">
        <v>191</v>
      </c>
      <c r="G6187" s="122">
        <v>12480</v>
      </c>
      <c r="H6187" s="56" t="s">
        <v>82</v>
      </c>
      <c r="I6187" s="54">
        <v>8728082359</v>
      </c>
      <c r="J6187" s="56" t="s">
        <v>2978</v>
      </c>
      <c r="K6187" s="56">
        <v>3393</v>
      </c>
      <c r="L6187" s="55" t="s">
        <v>2152</v>
      </c>
      <c r="M6187" s="55" t="s">
        <v>2824</v>
      </c>
      <c r="N6187" s="4" t="s">
        <v>1905</v>
      </c>
      <c r="O6187" s="55" t="s">
        <v>178</v>
      </c>
    </row>
    <row r="6188" spans="2:15">
      <c r="B6188" s="20">
        <v>45896</v>
      </c>
      <c r="C6188" s="59">
        <v>50144376</v>
      </c>
      <c r="D6188" s="55" t="s">
        <v>19</v>
      </c>
      <c r="G6188" s="65">
        <v>9000</v>
      </c>
      <c r="H6188" s="56" t="s">
        <v>92</v>
      </c>
      <c r="I6188" s="54">
        <v>8728046723</v>
      </c>
      <c r="J6188" s="56" t="s">
        <v>2978</v>
      </c>
      <c r="K6188" s="56">
        <v>3394</v>
      </c>
      <c r="L6188" s="55" t="s">
        <v>2152</v>
      </c>
      <c r="M6188" s="55" t="s">
        <v>2824</v>
      </c>
      <c r="N6188" s="4" t="s">
        <v>1905</v>
      </c>
      <c r="O6188" s="55" t="s">
        <v>178</v>
      </c>
    </row>
    <row r="6189" spans="2:15">
      <c r="B6189" s="20">
        <v>45896</v>
      </c>
      <c r="C6189" s="59">
        <v>40007938</v>
      </c>
      <c r="D6189" s="55" t="s">
        <v>202</v>
      </c>
      <c r="G6189" s="65">
        <v>2680</v>
      </c>
      <c r="H6189" s="56" t="s">
        <v>80</v>
      </c>
      <c r="I6189" s="54">
        <v>8728225045</v>
      </c>
      <c r="J6189" s="56" t="s">
        <v>2978</v>
      </c>
      <c r="K6189" s="56">
        <v>3394</v>
      </c>
      <c r="L6189" s="55" t="s">
        <v>2152</v>
      </c>
      <c r="M6189" s="55" t="s">
        <v>2824</v>
      </c>
      <c r="N6189" s="4" t="s">
        <v>1905</v>
      </c>
      <c r="O6189" s="55" t="s">
        <v>178</v>
      </c>
    </row>
    <row r="6190" spans="2:15">
      <c r="B6190" s="20">
        <v>45896</v>
      </c>
      <c r="C6190" s="59">
        <v>50470190</v>
      </c>
      <c r="D6190" s="55" t="s">
        <v>12</v>
      </c>
      <c r="G6190" s="65">
        <v>2318400</v>
      </c>
      <c r="H6190" s="56" t="s">
        <v>92</v>
      </c>
      <c r="I6190" s="54">
        <v>8728046723</v>
      </c>
      <c r="J6190" s="56" t="s">
        <v>2978</v>
      </c>
      <c r="K6190" s="56">
        <v>3394</v>
      </c>
      <c r="L6190" s="55" t="s">
        <v>2152</v>
      </c>
      <c r="M6190" s="55" t="s">
        <v>2824</v>
      </c>
      <c r="N6190" s="4" t="s">
        <v>1905</v>
      </c>
      <c r="O6190" s="55" t="s">
        <v>178</v>
      </c>
    </row>
    <row r="6191" spans="2:15">
      <c r="B6191" s="20">
        <v>45896</v>
      </c>
      <c r="C6191" s="59">
        <v>40014900</v>
      </c>
      <c r="D6191" s="55" t="s">
        <v>153</v>
      </c>
      <c r="G6191" s="65">
        <v>34.56</v>
      </c>
      <c r="H6191" s="56" t="s">
        <v>3035</v>
      </c>
      <c r="I6191" s="54">
        <v>8728008991</v>
      </c>
      <c r="J6191" s="56" t="s">
        <v>2978</v>
      </c>
      <c r="K6191" s="56">
        <v>505</v>
      </c>
      <c r="L6191" s="55" t="s">
        <v>392</v>
      </c>
      <c r="M6191" s="55" t="s">
        <v>2824</v>
      </c>
      <c r="O6191" s="55" t="s">
        <v>178</v>
      </c>
    </row>
    <row r="6192" spans="2:15">
      <c r="B6192" s="20">
        <v>45896</v>
      </c>
      <c r="C6192" s="59">
        <v>40014900</v>
      </c>
      <c r="D6192" s="55" t="s">
        <v>153</v>
      </c>
      <c r="G6192" s="65">
        <v>34.56</v>
      </c>
      <c r="H6192" s="56" t="s">
        <v>3035</v>
      </c>
      <c r="I6192" s="54">
        <v>8728008996</v>
      </c>
      <c r="J6192" s="56" t="s">
        <v>2978</v>
      </c>
      <c r="K6192" s="56">
        <v>506</v>
      </c>
      <c r="L6192" s="55" t="s">
        <v>2152</v>
      </c>
      <c r="M6192" s="55" t="s">
        <v>2824</v>
      </c>
      <c r="N6192" s="4" t="s">
        <v>177</v>
      </c>
      <c r="O6192" s="55" t="s">
        <v>178</v>
      </c>
    </row>
    <row r="6193" spans="2:15">
      <c r="B6193" s="20">
        <v>45896</v>
      </c>
      <c r="C6193" s="59">
        <v>40014900</v>
      </c>
      <c r="D6193" s="55" t="s">
        <v>153</v>
      </c>
      <c r="G6193" s="65">
        <v>34.56</v>
      </c>
      <c r="H6193" s="56" t="s">
        <v>3035</v>
      </c>
      <c r="I6193" s="54">
        <v>8728009003</v>
      </c>
      <c r="J6193" s="56" t="s">
        <v>2978</v>
      </c>
      <c r="K6193" s="56">
        <v>507</v>
      </c>
      <c r="L6193" s="55" t="s">
        <v>392</v>
      </c>
      <c r="M6193" s="55" t="s">
        <v>2824</v>
      </c>
      <c r="O6193" s="55" t="s">
        <v>178</v>
      </c>
    </row>
    <row r="6194" spans="2:15">
      <c r="B6194" s="20">
        <v>45896</v>
      </c>
      <c r="C6194" s="59">
        <v>40014900</v>
      </c>
      <c r="D6194" s="55" t="s">
        <v>153</v>
      </c>
      <c r="G6194" s="65">
        <v>34.56</v>
      </c>
      <c r="H6194" s="56" t="s">
        <v>3035</v>
      </c>
      <c r="I6194" s="54">
        <v>8728009009</v>
      </c>
      <c r="J6194" s="56" t="s">
        <v>2978</v>
      </c>
      <c r="K6194" s="56">
        <v>508</v>
      </c>
      <c r="L6194" s="55" t="s">
        <v>2152</v>
      </c>
      <c r="M6194" s="55" t="s">
        <v>2824</v>
      </c>
      <c r="N6194" s="4" t="s">
        <v>177</v>
      </c>
      <c r="O6194" s="55" t="s">
        <v>178</v>
      </c>
    </row>
    <row r="6195" spans="2:15">
      <c r="B6195" s="20">
        <v>45896</v>
      </c>
      <c r="C6195" s="59">
        <v>40014900</v>
      </c>
      <c r="D6195" s="55" t="s">
        <v>153</v>
      </c>
      <c r="G6195" s="65">
        <v>34.56</v>
      </c>
      <c r="H6195" s="56" t="s">
        <v>3035</v>
      </c>
      <c r="I6195" s="54">
        <v>8728009012</v>
      </c>
      <c r="J6195" s="56" t="s">
        <v>2978</v>
      </c>
      <c r="K6195" s="56">
        <v>509</v>
      </c>
      <c r="L6195" s="55" t="s">
        <v>392</v>
      </c>
      <c r="M6195" s="55" t="s">
        <v>2824</v>
      </c>
      <c r="O6195" s="55" t="s">
        <v>178</v>
      </c>
    </row>
    <row r="6196" spans="2:15">
      <c r="B6196" s="20">
        <v>45896</v>
      </c>
      <c r="C6196" s="59">
        <v>50272278</v>
      </c>
      <c r="D6196" s="55" t="s">
        <v>21</v>
      </c>
      <c r="G6196" s="65">
        <v>7800</v>
      </c>
      <c r="H6196" s="56" t="s">
        <v>92</v>
      </c>
      <c r="I6196" s="54">
        <v>8728175307</v>
      </c>
      <c r="J6196" s="56" t="s">
        <v>2978</v>
      </c>
      <c r="K6196" s="56">
        <v>3395</v>
      </c>
      <c r="L6196" s="55" t="s">
        <v>2152</v>
      </c>
      <c r="M6196" s="55" t="s">
        <v>2824</v>
      </c>
      <c r="N6196" s="4" t="s">
        <v>1905</v>
      </c>
      <c r="O6196" s="55" t="s">
        <v>178</v>
      </c>
    </row>
    <row r="6197" spans="2:15">
      <c r="B6197" s="20">
        <v>45896</v>
      </c>
      <c r="C6197" s="59">
        <v>50142281</v>
      </c>
      <c r="D6197" s="55" t="s">
        <v>204</v>
      </c>
      <c r="G6197" s="65">
        <v>4500</v>
      </c>
      <c r="H6197" s="56" t="s">
        <v>82</v>
      </c>
      <c r="I6197" s="54">
        <v>8728026917</v>
      </c>
      <c r="J6197" s="56" t="s">
        <v>2978</v>
      </c>
      <c r="K6197" s="56">
        <v>3395</v>
      </c>
      <c r="L6197" s="55" t="s">
        <v>2152</v>
      </c>
      <c r="M6197" s="55" t="s">
        <v>2824</v>
      </c>
      <c r="N6197" s="4" t="s">
        <v>1905</v>
      </c>
      <c r="O6197" s="55" t="s">
        <v>178</v>
      </c>
    </row>
    <row r="6198" spans="2:15">
      <c r="B6198" s="20">
        <v>45896</v>
      </c>
      <c r="C6198" s="59">
        <v>50145029</v>
      </c>
      <c r="D6198" s="55" t="s">
        <v>705</v>
      </c>
      <c r="G6198" s="65">
        <v>30</v>
      </c>
      <c r="H6198" s="56" t="s">
        <v>505</v>
      </c>
      <c r="I6198" s="54">
        <v>8728026917</v>
      </c>
      <c r="J6198" s="56" t="s">
        <v>2978</v>
      </c>
      <c r="K6198" s="56">
        <v>3395</v>
      </c>
      <c r="L6198" s="55" t="s">
        <v>2152</v>
      </c>
      <c r="M6198" s="55" t="s">
        <v>2824</v>
      </c>
      <c r="N6198" s="4" t="s">
        <v>1905</v>
      </c>
      <c r="O6198" s="55" t="s">
        <v>178</v>
      </c>
    </row>
    <row r="6199" spans="2:15">
      <c r="B6199" s="20">
        <v>45896</v>
      </c>
      <c r="C6199" s="59">
        <v>50392045</v>
      </c>
      <c r="D6199" s="55" t="s">
        <v>707</v>
      </c>
      <c r="G6199" s="65">
        <v>30</v>
      </c>
      <c r="H6199" s="56" t="s">
        <v>505</v>
      </c>
      <c r="I6199" s="54">
        <v>8728026917</v>
      </c>
      <c r="J6199" s="56" t="s">
        <v>2978</v>
      </c>
      <c r="K6199" s="56">
        <v>3395</v>
      </c>
      <c r="L6199" s="55" t="s">
        <v>2152</v>
      </c>
      <c r="M6199" s="55" t="s">
        <v>2824</v>
      </c>
      <c r="N6199" s="4" t="s">
        <v>1905</v>
      </c>
      <c r="O6199" s="55" t="s">
        <v>178</v>
      </c>
    </row>
    <row r="6200" spans="2:15">
      <c r="B6200" s="20">
        <v>45896</v>
      </c>
      <c r="C6200" s="59">
        <v>50145012</v>
      </c>
      <c r="D6200" s="55" t="s">
        <v>504</v>
      </c>
      <c r="G6200" s="65">
        <v>24</v>
      </c>
      <c r="H6200" s="56" t="s">
        <v>505</v>
      </c>
      <c r="I6200" s="54">
        <v>8728026917</v>
      </c>
      <c r="J6200" s="56" t="s">
        <v>2978</v>
      </c>
      <c r="K6200" s="56">
        <v>3395</v>
      </c>
      <c r="L6200" s="55" t="s">
        <v>2152</v>
      </c>
      <c r="M6200" s="55" t="s">
        <v>2824</v>
      </c>
      <c r="N6200" s="4" t="s">
        <v>1905</v>
      </c>
      <c r="O6200" s="55" t="s">
        <v>178</v>
      </c>
    </row>
    <row r="6201" spans="2:15">
      <c r="B6201" s="20">
        <v>45896</v>
      </c>
      <c r="C6201" s="59">
        <v>50392046</v>
      </c>
      <c r="D6201" s="55" t="s">
        <v>509</v>
      </c>
      <c r="G6201" s="65">
        <v>12</v>
      </c>
      <c r="H6201" s="56" t="s">
        <v>505</v>
      </c>
      <c r="I6201" s="54">
        <v>8728026917</v>
      </c>
      <c r="J6201" s="56" t="s">
        <v>2978</v>
      </c>
      <c r="K6201" s="56">
        <v>3395</v>
      </c>
      <c r="L6201" s="55" t="s">
        <v>2152</v>
      </c>
      <c r="M6201" s="55" t="s">
        <v>2824</v>
      </c>
      <c r="N6201" s="4" t="s">
        <v>1905</v>
      </c>
      <c r="O6201" s="55" t="s">
        <v>178</v>
      </c>
    </row>
    <row r="6202" spans="2:15">
      <c r="B6202" s="20">
        <v>45896</v>
      </c>
      <c r="C6202" s="59">
        <v>50851033</v>
      </c>
      <c r="D6202" s="55" t="s">
        <v>29</v>
      </c>
      <c r="G6202" s="65">
        <v>1045.6</v>
      </c>
      <c r="H6202" s="56" t="s">
        <v>82</v>
      </c>
      <c r="I6202" s="54">
        <v>8728026917</v>
      </c>
      <c r="J6202" s="56" t="s">
        <v>2978</v>
      </c>
      <c r="K6202" s="56">
        <v>3395</v>
      </c>
      <c r="L6202" s="55" t="s">
        <v>2152</v>
      </c>
      <c r="M6202" s="55" t="s">
        <v>2824</v>
      </c>
      <c r="N6202" s="4" t="s">
        <v>1905</v>
      </c>
      <c r="O6202" s="55" t="s">
        <v>178</v>
      </c>
    </row>
    <row r="6203" spans="2:15">
      <c r="B6203" s="20">
        <v>45897</v>
      </c>
      <c r="C6203" s="59">
        <v>50809353</v>
      </c>
      <c r="D6203" s="55" t="s">
        <v>905</v>
      </c>
      <c r="G6203" s="65">
        <v>6000</v>
      </c>
      <c r="H6203" s="56" t="s">
        <v>82</v>
      </c>
      <c r="I6203" s="54">
        <v>8728026946</v>
      </c>
      <c r="J6203" s="56" t="s">
        <v>2978</v>
      </c>
      <c r="K6203" s="56">
        <v>3397</v>
      </c>
      <c r="L6203" s="55" t="s">
        <v>2152</v>
      </c>
      <c r="M6203" s="55" t="s">
        <v>2824</v>
      </c>
      <c r="N6203" s="4" t="s">
        <v>1905</v>
      </c>
      <c r="O6203" s="55" t="s">
        <v>178</v>
      </c>
    </row>
    <row r="6204" spans="2:15">
      <c r="B6204" s="20">
        <v>45897</v>
      </c>
      <c r="C6204" s="59">
        <v>50143893</v>
      </c>
      <c r="D6204" s="55" t="s">
        <v>24</v>
      </c>
      <c r="G6204" s="65">
        <v>3960</v>
      </c>
      <c r="H6204" s="56" t="s">
        <v>82</v>
      </c>
      <c r="I6204" s="54">
        <v>8728026946</v>
      </c>
      <c r="J6204" s="56" t="s">
        <v>2978</v>
      </c>
      <c r="K6204" s="56">
        <v>3397</v>
      </c>
      <c r="L6204" s="55" t="s">
        <v>2152</v>
      </c>
      <c r="M6204" s="55" t="s">
        <v>2824</v>
      </c>
      <c r="N6204" s="4" t="s">
        <v>1905</v>
      </c>
      <c r="O6204" s="55" t="s">
        <v>178</v>
      </c>
    </row>
    <row r="6205" spans="2:15">
      <c r="B6205" s="20">
        <v>45897</v>
      </c>
      <c r="C6205" s="59">
        <v>50470190</v>
      </c>
      <c r="D6205" s="55" t="s">
        <v>12</v>
      </c>
      <c r="G6205" s="65">
        <v>1738800</v>
      </c>
      <c r="H6205" s="56" t="s">
        <v>92</v>
      </c>
      <c r="I6205" s="54">
        <v>8728026946</v>
      </c>
      <c r="J6205" s="56" t="s">
        <v>2978</v>
      </c>
      <c r="K6205" s="56">
        <v>3397</v>
      </c>
      <c r="L6205" s="55" t="s">
        <v>2152</v>
      </c>
      <c r="M6205" s="55" t="s">
        <v>2824</v>
      </c>
      <c r="N6205" s="4" t="s">
        <v>1905</v>
      </c>
      <c r="O6205" s="55" t="s">
        <v>178</v>
      </c>
    </row>
    <row r="6206" spans="2:15">
      <c r="B6206" s="20">
        <v>45897</v>
      </c>
      <c r="C6206" s="59">
        <v>50010080</v>
      </c>
      <c r="D6206" s="55" t="s">
        <v>1657</v>
      </c>
      <c r="G6206" s="65">
        <v>4000</v>
      </c>
      <c r="H6206" s="56" t="s">
        <v>82</v>
      </c>
      <c r="I6206" s="54">
        <v>8728026994</v>
      </c>
      <c r="J6206" s="56" t="s">
        <v>2978</v>
      </c>
      <c r="K6206" s="56">
        <v>3398</v>
      </c>
      <c r="L6206" s="55" t="s">
        <v>2152</v>
      </c>
      <c r="M6206" s="55" t="s">
        <v>2824</v>
      </c>
      <c r="N6206" s="4" t="s">
        <v>1905</v>
      </c>
      <c r="O6206" s="55" t="s">
        <v>178</v>
      </c>
    </row>
    <row r="6207" spans="2:15">
      <c r="B6207" s="20">
        <v>45897</v>
      </c>
      <c r="C6207" s="59">
        <v>40010086</v>
      </c>
      <c r="D6207" s="55" t="s">
        <v>79</v>
      </c>
      <c r="G6207" s="65">
        <v>4704</v>
      </c>
      <c r="H6207" s="56" t="s">
        <v>80</v>
      </c>
      <c r="I6207" s="54">
        <v>8728082362</v>
      </c>
      <c r="J6207" s="56" t="s">
        <v>2978</v>
      </c>
      <c r="K6207" s="56">
        <v>3398</v>
      </c>
      <c r="L6207" s="55" t="s">
        <v>2152</v>
      </c>
      <c r="M6207" s="55" t="s">
        <v>2824</v>
      </c>
      <c r="N6207" s="4" t="s">
        <v>1905</v>
      </c>
      <c r="O6207" s="55" t="s">
        <v>178</v>
      </c>
    </row>
    <row r="6208" spans="2:15">
      <c r="B6208" s="20">
        <v>45897</v>
      </c>
      <c r="C6208" s="59">
        <v>40009544</v>
      </c>
      <c r="D6208" s="55" t="s">
        <v>179</v>
      </c>
      <c r="G6208" s="65">
        <v>3360</v>
      </c>
      <c r="H6208" s="56" t="s">
        <v>80</v>
      </c>
      <c r="I6208" s="54">
        <v>8728082362</v>
      </c>
      <c r="J6208" s="56" t="s">
        <v>2978</v>
      </c>
      <c r="K6208" s="56">
        <v>3398</v>
      </c>
      <c r="L6208" s="55" t="s">
        <v>2152</v>
      </c>
      <c r="M6208" s="55" t="s">
        <v>2824</v>
      </c>
      <c r="N6208" s="4" t="s">
        <v>1905</v>
      </c>
      <c r="O6208" s="55" t="s">
        <v>178</v>
      </c>
    </row>
    <row r="6209" spans="2:15">
      <c r="B6209" s="20">
        <v>45897</v>
      </c>
      <c r="C6209" s="59">
        <v>40010087</v>
      </c>
      <c r="D6209" s="55" t="s">
        <v>387</v>
      </c>
      <c r="G6209" s="65">
        <v>1728</v>
      </c>
      <c r="H6209" s="56" t="s">
        <v>80</v>
      </c>
      <c r="I6209" s="54">
        <v>8728026994</v>
      </c>
      <c r="J6209" s="56" t="s">
        <v>2978</v>
      </c>
      <c r="K6209" s="56">
        <v>3398</v>
      </c>
      <c r="L6209" s="55" t="s">
        <v>2152</v>
      </c>
      <c r="M6209" s="55" t="s">
        <v>2824</v>
      </c>
      <c r="N6209" s="4" t="s">
        <v>1905</v>
      </c>
      <c r="O6209" s="55" t="s">
        <v>178</v>
      </c>
    </row>
    <row r="6210" spans="2:15">
      <c r="B6210" s="20">
        <v>45897</v>
      </c>
      <c r="C6210" s="59">
        <v>40004808</v>
      </c>
      <c r="D6210" s="55" t="s">
        <v>91</v>
      </c>
      <c r="G6210" s="65">
        <v>900</v>
      </c>
      <c r="H6210" s="56" t="s">
        <v>1248</v>
      </c>
      <c r="I6210" s="54">
        <v>8728026994</v>
      </c>
      <c r="J6210" s="56" t="s">
        <v>2978</v>
      </c>
      <c r="K6210" s="56">
        <v>3398</v>
      </c>
      <c r="L6210" s="55" t="s">
        <v>2152</v>
      </c>
      <c r="M6210" s="55" t="s">
        <v>2824</v>
      </c>
      <c r="N6210" s="4" t="s">
        <v>1905</v>
      </c>
      <c r="O6210" s="55" t="s">
        <v>178</v>
      </c>
    </row>
    <row r="6211" spans="2:15">
      <c r="B6211" s="20">
        <v>45897</v>
      </c>
      <c r="C6211" s="59">
        <v>50337814</v>
      </c>
      <c r="D6211" s="55" t="s">
        <v>669</v>
      </c>
      <c r="G6211" s="65">
        <v>320</v>
      </c>
      <c r="H6211" s="56" t="s">
        <v>80</v>
      </c>
      <c r="I6211" s="54">
        <v>8728026994</v>
      </c>
      <c r="J6211" s="56" t="s">
        <v>2978</v>
      </c>
      <c r="K6211" s="56">
        <v>3398</v>
      </c>
      <c r="L6211" s="55" t="s">
        <v>2152</v>
      </c>
      <c r="M6211" s="55" t="s">
        <v>2824</v>
      </c>
      <c r="N6211" s="4" t="s">
        <v>1905</v>
      </c>
      <c r="O6211" s="55" t="s">
        <v>178</v>
      </c>
    </row>
    <row r="6212" spans="2:15">
      <c r="B6212" s="20">
        <v>45897</v>
      </c>
      <c r="C6212" s="59">
        <v>40011588</v>
      </c>
      <c r="D6212" s="55" t="s">
        <v>585</v>
      </c>
      <c r="G6212" s="65">
        <v>510</v>
      </c>
      <c r="H6212" s="56" t="s">
        <v>80</v>
      </c>
      <c r="I6212" s="54">
        <v>8728026994</v>
      </c>
      <c r="J6212" s="56" t="s">
        <v>2978</v>
      </c>
      <c r="K6212" s="56">
        <v>3398</v>
      </c>
      <c r="L6212" s="55" t="s">
        <v>2152</v>
      </c>
      <c r="M6212" s="55" t="s">
        <v>2824</v>
      </c>
      <c r="N6212" s="4" t="s">
        <v>1905</v>
      </c>
      <c r="O6212" s="55" t="s">
        <v>178</v>
      </c>
    </row>
    <row r="6213" spans="2:15">
      <c r="B6213" s="20">
        <v>45897</v>
      </c>
      <c r="C6213" s="59">
        <v>50142327</v>
      </c>
      <c r="D6213" s="55" t="s">
        <v>256</v>
      </c>
      <c r="G6213" s="65">
        <v>1430.1</v>
      </c>
      <c r="H6213" s="56" t="s">
        <v>82</v>
      </c>
      <c r="I6213" s="54">
        <v>8728026994</v>
      </c>
      <c r="J6213" s="56" t="s">
        <v>2978</v>
      </c>
      <c r="K6213" s="56">
        <v>3398</v>
      </c>
      <c r="L6213" s="55" t="s">
        <v>2152</v>
      </c>
      <c r="M6213" s="55" t="s">
        <v>2824</v>
      </c>
      <c r="N6213" s="4" t="s">
        <v>1905</v>
      </c>
      <c r="O6213" s="55" t="s">
        <v>178</v>
      </c>
    </row>
    <row r="6214" spans="2:15">
      <c r="B6214" s="20">
        <v>45897</v>
      </c>
      <c r="C6214" s="59">
        <v>50142334</v>
      </c>
      <c r="D6214" s="55" t="s">
        <v>257</v>
      </c>
      <c r="G6214" s="65">
        <v>953.4</v>
      </c>
      <c r="H6214" s="56" t="s">
        <v>82</v>
      </c>
      <c r="I6214" s="54">
        <v>8728026994</v>
      </c>
      <c r="J6214" s="56" t="s">
        <v>2978</v>
      </c>
      <c r="K6214" s="56">
        <v>3398</v>
      </c>
      <c r="L6214" s="55" t="s">
        <v>2152</v>
      </c>
      <c r="M6214" s="55" t="s">
        <v>2824</v>
      </c>
      <c r="N6214" s="4" t="s">
        <v>1905</v>
      </c>
      <c r="O6214" s="55" t="s">
        <v>178</v>
      </c>
    </row>
    <row r="6215" spans="2:15">
      <c r="B6215" s="20">
        <v>45897</v>
      </c>
      <c r="C6215" s="59">
        <v>50851033</v>
      </c>
      <c r="D6215" s="55" t="s">
        <v>29</v>
      </c>
      <c r="G6215" s="65">
        <v>1157.85</v>
      </c>
      <c r="H6215" s="56" t="s">
        <v>82</v>
      </c>
      <c r="I6215" s="54">
        <v>8728026994</v>
      </c>
      <c r="J6215" s="56" t="s">
        <v>2978</v>
      </c>
      <c r="K6215" s="56">
        <v>3398</v>
      </c>
      <c r="L6215" s="55" t="s">
        <v>2152</v>
      </c>
      <c r="M6215" s="55" t="s">
        <v>2824</v>
      </c>
      <c r="N6215" s="4" t="s">
        <v>1905</v>
      </c>
      <c r="O6215" s="55" t="s">
        <v>178</v>
      </c>
    </row>
    <row r="6216" spans="2:15">
      <c r="B6216" s="20">
        <v>45897</v>
      </c>
      <c r="C6216" s="59">
        <v>40014900</v>
      </c>
      <c r="D6216" s="55" t="s">
        <v>153</v>
      </c>
      <c r="G6216" s="65">
        <v>34.56</v>
      </c>
      <c r="H6216" s="56" t="s">
        <v>80</v>
      </c>
      <c r="I6216" s="54">
        <v>8728027018</v>
      </c>
      <c r="J6216" s="56" t="s">
        <v>2978</v>
      </c>
      <c r="K6216" s="56">
        <v>510</v>
      </c>
      <c r="L6216" s="55" t="s">
        <v>392</v>
      </c>
      <c r="M6216" s="55" t="s">
        <v>2824</v>
      </c>
      <c r="O6216" s="55" t="s">
        <v>178</v>
      </c>
    </row>
    <row r="6217" spans="2:15">
      <c r="B6217" s="20">
        <v>45897</v>
      </c>
      <c r="C6217" s="59">
        <v>40014900</v>
      </c>
      <c r="D6217" s="55" t="s">
        <v>153</v>
      </c>
      <c r="G6217" s="65">
        <v>34.56</v>
      </c>
      <c r="H6217" s="56" t="s">
        <v>80</v>
      </c>
      <c r="I6217" s="54">
        <v>8728027023</v>
      </c>
      <c r="J6217" s="56" t="s">
        <v>2978</v>
      </c>
      <c r="K6217" s="56">
        <v>511</v>
      </c>
      <c r="L6217" s="55" t="s">
        <v>2152</v>
      </c>
      <c r="M6217" s="55" t="s">
        <v>2824</v>
      </c>
      <c r="N6217" s="4" t="s">
        <v>177</v>
      </c>
      <c r="O6217" s="55" t="s">
        <v>178</v>
      </c>
    </row>
    <row r="6218" spans="2:15">
      <c r="B6218" s="20">
        <v>45897</v>
      </c>
      <c r="C6218" s="59">
        <v>40014900</v>
      </c>
      <c r="D6218" s="55" t="s">
        <v>153</v>
      </c>
      <c r="G6218" s="65">
        <v>34.56</v>
      </c>
      <c r="H6218" s="56" t="s">
        <v>80</v>
      </c>
      <c r="I6218" s="54">
        <v>8728027037</v>
      </c>
      <c r="J6218" s="56" t="s">
        <v>2978</v>
      </c>
      <c r="K6218" s="56">
        <v>512</v>
      </c>
      <c r="L6218" s="55" t="s">
        <v>392</v>
      </c>
      <c r="M6218" s="55" t="s">
        <v>2824</v>
      </c>
      <c r="O6218" s="55" t="s">
        <v>178</v>
      </c>
    </row>
    <row r="6219" spans="2:15">
      <c r="B6219" s="20">
        <v>45897</v>
      </c>
      <c r="C6219" s="59">
        <v>40014900</v>
      </c>
      <c r="D6219" s="55" t="s">
        <v>153</v>
      </c>
      <c r="G6219" s="65">
        <v>34.56</v>
      </c>
      <c r="H6219" s="56" t="s">
        <v>80</v>
      </c>
      <c r="I6219" s="54">
        <v>8728027042</v>
      </c>
      <c r="J6219" s="56" t="s">
        <v>2978</v>
      </c>
      <c r="K6219" s="56">
        <v>513</v>
      </c>
      <c r="L6219" s="55" t="s">
        <v>2152</v>
      </c>
      <c r="M6219" s="55" t="s">
        <v>2824</v>
      </c>
      <c r="N6219" s="4" t="s">
        <v>177</v>
      </c>
      <c r="O6219" s="55" t="s">
        <v>178</v>
      </c>
    </row>
    <row r="6220" spans="2:15">
      <c r="B6220" s="20">
        <v>45897</v>
      </c>
      <c r="C6220" s="59">
        <v>50144376</v>
      </c>
      <c r="D6220" s="55" t="s">
        <v>19</v>
      </c>
      <c r="G6220" s="65">
        <v>6600</v>
      </c>
      <c r="H6220" s="56" t="s">
        <v>962</v>
      </c>
      <c r="I6220" s="54">
        <v>8728082369</v>
      </c>
      <c r="J6220" s="56" t="s">
        <v>2978</v>
      </c>
      <c r="K6220" s="56">
        <v>3399</v>
      </c>
      <c r="L6220" s="55" t="s">
        <v>2152</v>
      </c>
      <c r="M6220" s="55" t="s">
        <v>2824</v>
      </c>
      <c r="N6220" s="4" t="s">
        <v>1905</v>
      </c>
      <c r="O6220" s="55" t="s">
        <v>178</v>
      </c>
    </row>
    <row r="6221" spans="2:15">
      <c r="B6221" s="20">
        <v>45897</v>
      </c>
      <c r="C6221" s="59">
        <v>50272278</v>
      </c>
      <c r="D6221" s="69" t="s">
        <v>21</v>
      </c>
      <c r="G6221" s="65">
        <v>6600</v>
      </c>
      <c r="H6221" s="56" t="s">
        <v>962</v>
      </c>
      <c r="I6221" s="54">
        <v>8728175169</v>
      </c>
      <c r="J6221" s="56" t="s">
        <v>2978</v>
      </c>
      <c r="K6221" s="56">
        <v>3399</v>
      </c>
      <c r="L6221" s="55" t="s">
        <v>2152</v>
      </c>
      <c r="M6221" s="55" t="s">
        <v>2824</v>
      </c>
      <c r="N6221" s="4" t="s">
        <v>1905</v>
      </c>
      <c r="O6221" s="55" t="s">
        <v>178</v>
      </c>
    </row>
    <row r="6222" spans="2:15">
      <c r="B6222" s="20">
        <v>45897</v>
      </c>
      <c r="C6222" s="59">
        <v>40014900</v>
      </c>
      <c r="D6222" s="55" t="s">
        <v>153</v>
      </c>
      <c r="G6222" s="65">
        <v>34.56</v>
      </c>
      <c r="H6222" s="56" t="s">
        <v>80</v>
      </c>
      <c r="I6222" s="54">
        <v>8728047009</v>
      </c>
      <c r="J6222" s="56" t="s">
        <v>2978</v>
      </c>
      <c r="K6222" s="56">
        <v>514</v>
      </c>
      <c r="L6222" s="55" t="s">
        <v>392</v>
      </c>
      <c r="M6222" s="55" t="s">
        <v>2824</v>
      </c>
      <c r="O6222" s="55" t="s">
        <v>178</v>
      </c>
    </row>
    <row r="6223" spans="2:15">
      <c r="B6223" s="20">
        <v>45897</v>
      </c>
      <c r="C6223" s="59">
        <v>40014900</v>
      </c>
      <c r="D6223" s="55" t="s">
        <v>153</v>
      </c>
      <c r="G6223" s="65">
        <v>34.56</v>
      </c>
      <c r="H6223" s="56" t="s">
        <v>80</v>
      </c>
      <c r="I6223" s="54">
        <v>8728189684</v>
      </c>
      <c r="J6223" s="56" t="s">
        <v>2978</v>
      </c>
      <c r="K6223" s="56">
        <v>515</v>
      </c>
      <c r="L6223" s="55" t="s">
        <v>392</v>
      </c>
      <c r="M6223" s="55" t="s">
        <v>2824</v>
      </c>
      <c r="O6223" s="55" t="s">
        <v>178</v>
      </c>
    </row>
    <row r="6224" spans="2:15">
      <c r="B6224" s="20">
        <v>45898</v>
      </c>
      <c r="C6224" s="59">
        <v>50470190</v>
      </c>
      <c r="D6224" s="55" t="s">
        <v>12</v>
      </c>
      <c r="G6224" s="65">
        <v>4926600</v>
      </c>
      <c r="H6224" s="56" t="s">
        <v>92</v>
      </c>
      <c r="I6224" s="54">
        <v>8728040770</v>
      </c>
      <c r="J6224" s="56" t="s">
        <v>2978</v>
      </c>
      <c r="K6224" s="56">
        <v>3400</v>
      </c>
      <c r="L6224" s="55" t="s">
        <v>2152</v>
      </c>
      <c r="M6224" s="55" t="s">
        <v>2824</v>
      </c>
      <c r="N6224" s="4" t="s">
        <v>1905</v>
      </c>
      <c r="O6224" s="55" t="s">
        <v>178</v>
      </c>
    </row>
    <row r="6225" spans="2:15">
      <c r="B6225" s="20">
        <v>45898</v>
      </c>
      <c r="C6225" s="59">
        <v>50837268</v>
      </c>
      <c r="D6225" s="55" t="s">
        <v>2401</v>
      </c>
      <c r="G6225" s="65">
        <v>1133.45</v>
      </c>
      <c r="H6225" s="56" t="s">
        <v>987</v>
      </c>
      <c r="I6225" s="54">
        <v>8728082375</v>
      </c>
      <c r="J6225" s="56" t="s">
        <v>2978</v>
      </c>
      <c r="K6225" s="56">
        <v>3400</v>
      </c>
      <c r="L6225" s="55" t="s">
        <v>2152</v>
      </c>
      <c r="M6225" s="55" t="s">
        <v>2824</v>
      </c>
      <c r="N6225" s="4" t="s">
        <v>1905</v>
      </c>
      <c r="O6225" s="55" t="s">
        <v>178</v>
      </c>
    </row>
    <row r="6226" spans="2:15">
      <c r="B6226" s="20">
        <v>45898</v>
      </c>
      <c r="C6226" s="59">
        <v>50144376</v>
      </c>
      <c r="D6226" s="55" t="s">
        <v>19</v>
      </c>
      <c r="G6226" s="65">
        <v>9000</v>
      </c>
      <c r="H6226" s="56" t="s">
        <v>92</v>
      </c>
      <c r="I6226" s="54">
        <v>8728082378</v>
      </c>
      <c r="J6226" s="56" t="s">
        <v>2978</v>
      </c>
      <c r="K6226" s="56">
        <v>3401</v>
      </c>
      <c r="L6226" s="55" t="s">
        <v>2152</v>
      </c>
      <c r="M6226" s="55" t="s">
        <v>2824</v>
      </c>
      <c r="N6226" s="4" t="s">
        <v>1905</v>
      </c>
      <c r="O6226" s="55" t="s">
        <v>178</v>
      </c>
    </row>
    <row r="6227" spans="2:15">
      <c r="B6227" s="20">
        <v>45898</v>
      </c>
      <c r="C6227" s="59">
        <v>50272278</v>
      </c>
      <c r="D6227" s="69" t="s">
        <v>21</v>
      </c>
      <c r="G6227" s="65">
        <v>4200</v>
      </c>
      <c r="H6227" s="56" t="s">
        <v>92</v>
      </c>
      <c r="I6227" s="54">
        <v>8728175174</v>
      </c>
      <c r="J6227" s="56" t="s">
        <v>2978</v>
      </c>
      <c r="K6227" s="56">
        <v>3401</v>
      </c>
      <c r="L6227" s="55" t="s">
        <v>2152</v>
      </c>
      <c r="M6227" s="55" t="s">
        <v>2824</v>
      </c>
      <c r="N6227" s="4" t="s">
        <v>1905</v>
      </c>
      <c r="O6227" s="55" t="s">
        <v>178</v>
      </c>
    </row>
    <row r="6228" spans="2:15">
      <c r="B6228" s="20">
        <v>45898</v>
      </c>
      <c r="C6228" s="59">
        <v>40010087</v>
      </c>
      <c r="D6228" s="55" t="s">
        <v>387</v>
      </c>
      <c r="G6228" s="65">
        <v>969</v>
      </c>
      <c r="H6228" s="56" t="s">
        <v>80</v>
      </c>
      <c r="I6228" s="54">
        <v>8728270013</v>
      </c>
      <c r="J6228" s="56" t="s">
        <v>2978</v>
      </c>
      <c r="K6228" s="56">
        <v>3402</v>
      </c>
      <c r="L6228" s="55" t="s">
        <v>2152</v>
      </c>
      <c r="M6228" s="55" t="s">
        <v>2824</v>
      </c>
      <c r="N6228" s="4" t="s">
        <v>1905</v>
      </c>
      <c r="O6228" s="55" t="s">
        <v>178</v>
      </c>
    </row>
    <row r="6229" spans="2:15">
      <c r="B6229" s="20">
        <v>45898</v>
      </c>
      <c r="C6229" s="59">
        <v>50472696</v>
      </c>
      <c r="D6229" s="55" t="s">
        <v>1308</v>
      </c>
      <c r="G6229" s="65">
        <v>2205</v>
      </c>
      <c r="H6229" s="56" t="s">
        <v>80</v>
      </c>
      <c r="I6229" s="54">
        <v>8728040799</v>
      </c>
      <c r="J6229" s="56" t="s">
        <v>2978</v>
      </c>
      <c r="K6229" s="56">
        <v>3402</v>
      </c>
      <c r="L6229" s="55" t="s">
        <v>2152</v>
      </c>
      <c r="M6229" s="55" t="s">
        <v>2824</v>
      </c>
      <c r="N6229" s="4" t="s">
        <v>1905</v>
      </c>
      <c r="O6229" s="55" t="s">
        <v>178</v>
      </c>
    </row>
    <row r="6230" spans="2:15">
      <c r="B6230" s="20">
        <v>45898</v>
      </c>
      <c r="C6230" s="59">
        <v>50472692</v>
      </c>
      <c r="D6230" s="55" t="s">
        <v>1304</v>
      </c>
      <c r="G6230" s="65">
        <v>1638</v>
      </c>
      <c r="H6230" s="56" t="s">
        <v>80</v>
      </c>
      <c r="I6230" s="54">
        <v>8728040799</v>
      </c>
      <c r="J6230" s="56" t="s">
        <v>2978</v>
      </c>
      <c r="K6230" s="56">
        <v>3402</v>
      </c>
      <c r="L6230" s="55" t="s">
        <v>2152</v>
      </c>
      <c r="M6230" s="55" t="s">
        <v>2824</v>
      </c>
      <c r="N6230" s="4" t="s">
        <v>1905</v>
      </c>
      <c r="O6230" s="55" t="s">
        <v>178</v>
      </c>
    </row>
    <row r="6231" spans="2:15">
      <c r="B6231" s="20">
        <v>45898</v>
      </c>
      <c r="C6231" s="59">
        <v>50470190</v>
      </c>
      <c r="D6231" s="55" t="s">
        <v>12</v>
      </c>
      <c r="G6231" s="65">
        <v>1738800</v>
      </c>
      <c r="H6231" s="56" t="s">
        <v>92</v>
      </c>
      <c r="I6231" s="54">
        <v>8728040799</v>
      </c>
      <c r="J6231" s="56" t="s">
        <v>2978</v>
      </c>
      <c r="K6231" s="56">
        <v>3402</v>
      </c>
      <c r="L6231" s="55" t="s">
        <v>2152</v>
      </c>
      <c r="M6231" s="55" t="s">
        <v>2824</v>
      </c>
      <c r="N6231" s="4" t="s">
        <v>1905</v>
      </c>
      <c r="O6231" s="55" t="s">
        <v>178</v>
      </c>
    </row>
    <row r="6232" spans="2:15">
      <c r="B6232" s="20">
        <v>45898</v>
      </c>
      <c r="C6232" s="59">
        <v>50400554</v>
      </c>
      <c r="D6232" s="55" t="s">
        <v>1311</v>
      </c>
      <c r="G6232" s="65">
        <v>34.56</v>
      </c>
      <c r="H6232" s="56" t="s">
        <v>80</v>
      </c>
      <c r="I6232" s="54">
        <v>8728047038</v>
      </c>
      <c r="J6232" s="56" t="s">
        <v>2978</v>
      </c>
      <c r="K6232" s="56">
        <v>516</v>
      </c>
      <c r="L6232" s="55" t="s">
        <v>392</v>
      </c>
      <c r="M6232" s="55" t="s">
        <v>2824</v>
      </c>
      <c r="O6232" s="55" t="s">
        <v>178</v>
      </c>
    </row>
    <row r="6233" spans="2:15">
      <c r="B6233" s="20">
        <v>45898</v>
      </c>
      <c r="C6233" s="59">
        <v>50400554</v>
      </c>
      <c r="D6233" s="55" t="s">
        <v>1311</v>
      </c>
      <c r="G6233" s="65">
        <v>34.56</v>
      </c>
      <c r="H6233" s="56" t="s">
        <v>80</v>
      </c>
      <c r="I6233" s="54">
        <v>8728047055</v>
      </c>
      <c r="J6233" s="56" t="s">
        <v>2978</v>
      </c>
      <c r="K6233" s="56">
        <v>517</v>
      </c>
      <c r="L6233" s="55" t="s">
        <v>2152</v>
      </c>
      <c r="M6233" s="55" t="s">
        <v>2824</v>
      </c>
      <c r="N6233" s="4" t="s">
        <v>177</v>
      </c>
      <c r="O6233" s="55" t="s">
        <v>178</v>
      </c>
    </row>
    <row r="6234" spans="2:15">
      <c r="B6234" s="20">
        <v>45898</v>
      </c>
      <c r="C6234" s="59">
        <v>50400554</v>
      </c>
      <c r="D6234" s="55" t="s">
        <v>1311</v>
      </c>
      <c r="G6234" s="65">
        <v>21.92</v>
      </c>
      <c r="H6234" s="56" t="s">
        <v>80</v>
      </c>
      <c r="I6234" s="54">
        <v>8728047063</v>
      </c>
      <c r="J6234" s="56" t="s">
        <v>2978</v>
      </c>
      <c r="K6234" s="56">
        <v>518</v>
      </c>
      <c r="L6234" s="55" t="s">
        <v>392</v>
      </c>
      <c r="M6234" s="55" t="s">
        <v>2824</v>
      </c>
      <c r="O6234" s="55" t="s">
        <v>178</v>
      </c>
    </row>
    <row r="6235" spans="2:15">
      <c r="B6235" s="20">
        <v>45898</v>
      </c>
      <c r="C6235" s="59">
        <v>40014900</v>
      </c>
      <c r="D6235" s="55" t="s">
        <v>153</v>
      </c>
      <c r="G6235" s="65">
        <v>34.56</v>
      </c>
      <c r="H6235" s="56" t="s">
        <v>1248</v>
      </c>
      <c r="I6235" s="54">
        <v>8728047080</v>
      </c>
      <c r="J6235" s="56" t="s">
        <v>2978</v>
      </c>
      <c r="K6235" s="56">
        <v>519</v>
      </c>
      <c r="L6235" s="55" t="s">
        <v>2152</v>
      </c>
      <c r="M6235" s="55" t="s">
        <v>2824</v>
      </c>
      <c r="N6235" s="4" t="s">
        <v>177</v>
      </c>
      <c r="O6235" s="55" t="s">
        <v>178</v>
      </c>
    </row>
    <row r="6236" spans="2:15">
      <c r="B6236" s="20">
        <v>45898</v>
      </c>
      <c r="C6236" s="59">
        <v>40014675</v>
      </c>
      <c r="D6236" s="55" t="s">
        <v>44</v>
      </c>
      <c r="F6236" s="67">
        <v>24</v>
      </c>
      <c r="G6236" s="65">
        <v>34.56</v>
      </c>
      <c r="H6236" s="56" t="s">
        <v>1248</v>
      </c>
      <c r="I6236" s="54">
        <v>8728047138</v>
      </c>
      <c r="J6236" s="56" t="s">
        <v>2978</v>
      </c>
      <c r="K6236" s="56">
        <v>521</v>
      </c>
      <c r="L6236" s="55" t="s">
        <v>392</v>
      </c>
      <c r="M6236" s="55" t="s">
        <v>2824</v>
      </c>
      <c r="O6236" s="55" t="s">
        <v>178</v>
      </c>
    </row>
    <row r="6237" spans="2:15">
      <c r="B6237" s="20">
        <v>45898</v>
      </c>
      <c r="C6237" s="59">
        <v>40014675</v>
      </c>
      <c r="D6237" s="55" t="s">
        <v>44</v>
      </c>
      <c r="F6237" s="67">
        <v>24</v>
      </c>
      <c r="G6237" s="65">
        <v>34.56</v>
      </c>
      <c r="H6237" s="56" t="s">
        <v>1248</v>
      </c>
      <c r="I6237" s="54">
        <v>8728047675</v>
      </c>
      <c r="J6237" s="56" t="s">
        <v>2978</v>
      </c>
      <c r="K6237" s="56">
        <v>522</v>
      </c>
      <c r="L6237" s="55" t="s">
        <v>2152</v>
      </c>
      <c r="M6237" s="55" t="s">
        <v>2824</v>
      </c>
      <c r="N6237" s="4" t="s">
        <v>177</v>
      </c>
      <c r="O6237" s="55" t="s">
        <v>178</v>
      </c>
    </row>
    <row r="6238" spans="2:15">
      <c r="B6238" s="20">
        <v>45898</v>
      </c>
      <c r="C6238" s="59">
        <v>50819321</v>
      </c>
      <c r="D6238" s="55" t="s">
        <v>1703</v>
      </c>
      <c r="G6238" s="122">
        <v>1800</v>
      </c>
      <c r="H6238" s="56" t="s">
        <v>80</v>
      </c>
      <c r="I6238" s="54">
        <v>8728047780</v>
      </c>
      <c r="J6238" s="56" t="s">
        <v>2978</v>
      </c>
      <c r="K6238" s="56">
        <v>3403</v>
      </c>
      <c r="L6238" s="55" t="s">
        <v>2152</v>
      </c>
      <c r="M6238" s="55" t="s">
        <v>2824</v>
      </c>
      <c r="N6238" s="4" t="s">
        <v>1905</v>
      </c>
      <c r="O6238" s="55" t="s">
        <v>178</v>
      </c>
    </row>
    <row r="6239" spans="2:15">
      <c r="B6239" s="20">
        <v>45898</v>
      </c>
      <c r="C6239" s="59">
        <v>50819320</v>
      </c>
      <c r="D6239" s="55" t="s">
        <v>1701</v>
      </c>
      <c r="G6239" s="122">
        <v>1380</v>
      </c>
      <c r="H6239" s="56" t="s">
        <v>80</v>
      </c>
      <c r="I6239" s="54">
        <v>8728047780</v>
      </c>
      <c r="J6239" s="56" t="s">
        <v>2978</v>
      </c>
      <c r="K6239" s="56">
        <v>3403</v>
      </c>
      <c r="L6239" s="55" t="s">
        <v>2152</v>
      </c>
      <c r="M6239" s="55" t="s">
        <v>2824</v>
      </c>
      <c r="N6239" s="4" t="s">
        <v>1905</v>
      </c>
      <c r="O6239" s="55" t="s">
        <v>178</v>
      </c>
    </row>
    <row r="6240" spans="2:15">
      <c r="B6240" s="20">
        <v>45898</v>
      </c>
      <c r="C6240" s="59">
        <v>50837239</v>
      </c>
      <c r="D6240" s="55" t="s">
        <v>27</v>
      </c>
      <c r="G6240" s="122">
        <v>4190</v>
      </c>
      <c r="H6240" s="56" t="s">
        <v>82</v>
      </c>
      <c r="I6240" s="54">
        <v>8728047780</v>
      </c>
      <c r="J6240" s="56" t="s">
        <v>2978</v>
      </c>
      <c r="K6240" s="56">
        <v>3403</v>
      </c>
      <c r="L6240" s="55" t="s">
        <v>2152</v>
      </c>
      <c r="M6240" s="55" t="s">
        <v>2824</v>
      </c>
      <c r="N6240" s="4" t="s">
        <v>1905</v>
      </c>
      <c r="O6240" s="55" t="s">
        <v>178</v>
      </c>
    </row>
    <row r="6241" spans="2:16">
      <c r="B6241" s="20">
        <v>45898</v>
      </c>
      <c r="C6241" s="59">
        <v>40011149</v>
      </c>
      <c r="D6241" s="55" t="s">
        <v>37</v>
      </c>
      <c r="G6241" s="122">
        <v>720</v>
      </c>
      <c r="H6241" s="56" t="s">
        <v>80</v>
      </c>
      <c r="I6241" s="54">
        <v>8728047780</v>
      </c>
      <c r="J6241" s="56" t="s">
        <v>2978</v>
      </c>
      <c r="K6241" s="56">
        <v>3403</v>
      </c>
      <c r="L6241" s="55" t="s">
        <v>2152</v>
      </c>
      <c r="M6241" s="55" t="s">
        <v>2824</v>
      </c>
      <c r="N6241" s="4" t="s">
        <v>1905</v>
      </c>
      <c r="O6241" s="55" t="s">
        <v>178</v>
      </c>
    </row>
    <row r="6242" spans="2:16">
      <c r="B6242" s="20">
        <v>45899</v>
      </c>
      <c r="C6242" s="59">
        <v>40014675</v>
      </c>
      <c r="D6242" s="55" t="s">
        <v>44</v>
      </c>
      <c r="F6242" s="67">
        <v>24</v>
      </c>
      <c r="G6242" s="65">
        <v>34.56</v>
      </c>
      <c r="H6242" s="56" t="s">
        <v>80</v>
      </c>
      <c r="I6242" s="54">
        <v>8728064649</v>
      </c>
      <c r="J6242" s="56" t="s">
        <v>2978</v>
      </c>
      <c r="K6242" s="56">
        <v>523</v>
      </c>
      <c r="L6242" s="55" t="s">
        <v>392</v>
      </c>
      <c r="M6242" s="55" t="s">
        <v>2824</v>
      </c>
      <c r="O6242" s="55" t="s">
        <v>178</v>
      </c>
    </row>
    <row r="6243" spans="2:16">
      <c r="B6243" s="20">
        <v>45899</v>
      </c>
      <c r="C6243" s="59">
        <v>40014675</v>
      </c>
      <c r="D6243" s="55" t="s">
        <v>44</v>
      </c>
      <c r="F6243" s="67">
        <v>24</v>
      </c>
      <c r="G6243" s="65">
        <v>34.56</v>
      </c>
      <c r="H6243" s="56" t="s">
        <v>80</v>
      </c>
      <c r="I6243" s="54">
        <v>8728064650</v>
      </c>
      <c r="J6243" s="56" t="s">
        <v>2978</v>
      </c>
      <c r="K6243" s="56">
        <v>524</v>
      </c>
      <c r="L6243" s="55" t="s">
        <v>392</v>
      </c>
      <c r="M6243" s="55" t="s">
        <v>2824</v>
      </c>
      <c r="O6243" s="55" t="s">
        <v>178</v>
      </c>
    </row>
    <row r="6244" spans="2:16">
      <c r="B6244" s="20">
        <v>45899</v>
      </c>
      <c r="C6244" s="59">
        <v>40014675</v>
      </c>
      <c r="D6244" s="55" t="s">
        <v>44</v>
      </c>
      <c r="F6244" s="67">
        <v>24</v>
      </c>
      <c r="G6244" s="65">
        <v>34.56</v>
      </c>
      <c r="H6244" s="56" t="s">
        <v>80</v>
      </c>
      <c r="I6244" s="54">
        <v>8728064651</v>
      </c>
      <c r="J6244" s="56" t="s">
        <v>2978</v>
      </c>
      <c r="K6244" s="56">
        <v>525</v>
      </c>
      <c r="L6244" s="55" t="s">
        <v>2152</v>
      </c>
      <c r="M6244" s="55" t="s">
        <v>2824</v>
      </c>
      <c r="N6244" s="4" t="s">
        <v>177</v>
      </c>
      <c r="O6244" s="55" t="s">
        <v>178</v>
      </c>
    </row>
    <row r="6245" spans="2:16">
      <c r="B6245" s="20">
        <v>45899</v>
      </c>
      <c r="C6245" s="59">
        <v>40014675</v>
      </c>
      <c r="D6245" s="55" t="s">
        <v>44</v>
      </c>
      <c r="F6245" s="67">
        <v>22</v>
      </c>
      <c r="G6245" s="65">
        <v>31.68</v>
      </c>
      <c r="H6245" s="56" t="s">
        <v>80</v>
      </c>
      <c r="I6245" s="54">
        <v>8728064653</v>
      </c>
      <c r="J6245" s="56" t="s">
        <v>2978</v>
      </c>
      <c r="K6245" s="56">
        <v>526</v>
      </c>
      <c r="L6245" s="55" t="s">
        <v>2152</v>
      </c>
      <c r="M6245" s="55" t="s">
        <v>2824</v>
      </c>
      <c r="N6245" s="4" t="s">
        <v>1905</v>
      </c>
      <c r="O6245" s="55" t="s">
        <v>178</v>
      </c>
    </row>
    <row r="6246" spans="2:16">
      <c r="B6246" s="20">
        <v>45899</v>
      </c>
      <c r="C6246" s="59">
        <v>40014675</v>
      </c>
      <c r="D6246" s="55" t="s">
        <v>44</v>
      </c>
      <c r="F6246" s="67">
        <v>24</v>
      </c>
      <c r="G6246" s="65">
        <v>34.56</v>
      </c>
      <c r="H6246" s="56" t="s">
        <v>80</v>
      </c>
      <c r="I6246" s="54">
        <v>8728064656</v>
      </c>
      <c r="J6246" s="56" t="s">
        <v>2978</v>
      </c>
      <c r="K6246" s="56">
        <v>527</v>
      </c>
      <c r="L6246" s="55" t="s">
        <v>392</v>
      </c>
      <c r="M6246" s="55" t="s">
        <v>2824</v>
      </c>
      <c r="O6246" s="55" t="s">
        <v>178</v>
      </c>
    </row>
    <row r="6247" spans="2:16">
      <c r="B6247" s="20">
        <v>45899</v>
      </c>
      <c r="C6247" s="59">
        <v>40014675</v>
      </c>
      <c r="D6247" s="55" t="s">
        <v>44</v>
      </c>
      <c r="F6247" s="67">
        <v>24</v>
      </c>
      <c r="G6247" s="65">
        <v>34.56</v>
      </c>
      <c r="H6247" s="56" t="s">
        <v>80</v>
      </c>
      <c r="I6247" s="54">
        <v>8728064657</v>
      </c>
      <c r="J6247" s="56" t="s">
        <v>2978</v>
      </c>
      <c r="K6247" s="56">
        <v>528</v>
      </c>
      <c r="L6247" s="55" t="s">
        <v>2152</v>
      </c>
      <c r="M6247" s="55" t="s">
        <v>2824</v>
      </c>
      <c r="N6247" s="4" t="s">
        <v>177</v>
      </c>
      <c r="O6247" s="55" t="s">
        <v>178</v>
      </c>
    </row>
    <row r="6248" spans="2:16">
      <c r="B6248" s="20">
        <v>45900</v>
      </c>
      <c r="C6248" s="59">
        <v>40014675</v>
      </c>
      <c r="D6248" s="55" t="s">
        <v>44</v>
      </c>
      <c r="F6248" s="67">
        <v>22</v>
      </c>
      <c r="G6248" s="65">
        <v>31.68</v>
      </c>
      <c r="H6248" s="56" t="s">
        <v>80</v>
      </c>
      <c r="I6248" s="54">
        <v>8728075591</v>
      </c>
      <c r="J6248" s="56" t="s">
        <v>2978</v>
      </c>
      <c r="K6248" s="56">
        <v>529</v>
      </c>
      <c r="L6248" s="55" t="s">
        <v>2152</v>
      </c>
      <c r="M6248" s="55" t="s">
        <v>2824</v>
      </c>
      <c r="N6248" s="4" t="s">
        <v>1905</v>
      </c>
      <c r="O6248" s="55" t="s">
        <v>178</v>
      </c>
    </row>
    <row r="6249" spans="2:16">
      <c r="B6249" s="20">
        <v>45900</v>
      </c>
      <c r="C6249" s="59">
        <v>40014675</v>
      </c>
      <c r="D6249" s="55" t="s">
        <v>44</v>
      </c>
      <c r="F6249" s="67">
        <v>24</v>
      </c>
      <c r="G6249" s="65">
        <v>34.56</v>
      </c>
      <c r="H6249" s="56" t="s">
        <v>80</v>
      </c>
      <c r="I6249" s="54">
        <v>8728075592</v>
      </c>
      <c r="J6249" s="56" t="s">
        <v>2978</v>
      </c>
      <c r="K6249" s="56">
        <v>530</v>
      </c>
      <c r="L6249" s="55" t="s">
        <v>2152</v>
      </c>
      <c r="M6249" s="55" t="s">
        <v>2824</v>
      </c>
      <c r="N6249" s="4" t="s">
        <v>177</v>
      </c>
      <c r="O6249" s="55" t="s">
        <v>178</v>
      </c>
      <c r="P6249" s="4">
        <v>8728075596</v>
      </c>
    </row>
    <row r="6250" spans="2:16">
      <c r="B6250" s="20">
        <v>45900</v>
      </c>
      <c r="C6250" s="59">
        <v>40014675</v>
      </c>
      <c r="D6250" s="55" t="s">
        <v>44</v>
      </c>
      <c r="F6250" s="67">
        <v>22</v>
      </c>
      <c r="G6250" s="65">
        <v>34.56</v>
      </c>
      <c r="H6250" s="56" t="s">
        <v>80</v>
      </c>
      <c r="I6250" s="54">
        <v>8728075594</v>
      </c>
      <c r="J6250" s="56" t="s">
        <v>2978</v>
      </c>
      <c r="K6250" s="56">
        <v>531</v>
      </c>
      <c r="L6250" s="55" t="s">
        <v>392</v>
      </c>
      <c r="M6250" s="55" t="s">
        <v>2824</v>
      </c>
      <c r="O6250" s="55" t="s">
        <v>178</v>
      </c>
    </row>
    <row r="6251" spans="2:16">
      <c r="B6251" s="20">
        <v>45900</v>
      </c>
      <c r="C6251" s="59">
        <v>40014675</v>
      </c>
      <c r="D6251" s="55" t="s">
        <v>44</v>
      </c>
      <c r="F6251" s="67">
        <v>22</v>
      </c>
      <c r="G6251" s="65">
        <v>31.68</v>
      </c>
      <c r="H6251" s="56" t="s">
        <v>80</v>
      </c>
      <c r="I6251" s="54">
        <v>8728128399</v>
      </c>
      <c r="J6251" s="56" t="s">
        <v>2978</v>
      </c>
      <c r="K6251" s="56">
        <v>532</v>
      </c>
      <c r="L6251" s="55" t="s">
        <v>2152</v>
      </c>
      <c r="M6251" s="55" t="s">
        <v>2824</v>
      </c>
      <c r="N6251" s="4" t="s">
        <v>1905</v>
      </c>
      <c r="O6251" s="55" t="s">
        <v>178</v>
      </c>
    </row>
    <row r="6252" spans="2:16">
      <c r="B6252" s="20">
        <v>45900</v>
      </c>
      <c r="C6252" s="59">
        <v>40014675</v>
      </c>
      <c r="D6252" s="55" t="s">
        <v>44</v>
      </c>
      <c r="F6252" s="67">
        <v>24</v>
      </c>
      <c r="G6252" s="65">
        <v>34.56</v>
      </c>
      <c r="H6252" s="56" t="s">
        <v>80</v>
      </c>
      <c r="I6252" s="54">
        <v>8728128400</v>
      </c>
      <c r="J6252" s="56" t="s">
        <v>2978</v>
      </c>
      <c r="K6252" s="56">
        <v>533</v>
      </c>
      <c r="L6252" s="55" t="s">
        <v>2152</v>
      </c>
      <c r="M6252" s="55" t="s">
        <v>2824</v>
      </c>
      <c r="N6252" s="4" t="s">
        <v>177</v>
      </c>
      <c r="O6252" s="55" t="s">
        <v>178</v>
      </c>
    </row>
    <row r="6253" spans="2:16">
      <c r="B6253" s="20">
        <v>45900</v>
      </c>
      <c r="C6253" s="59">
        <v>40014675</v>
      </c>
      <c r="D6253" s="55" t="s">
        <v>44</v>
      </c>
      <c r="F6253" s="67">
        <v>24</v>
      </c>
      <c r="G6253" s="65">
        <v>34.56</v>
      </c>
      <c r="H6253" s="56" t="s">
        <v>80</v>
      </c>
      <c r="I6253" s="54">
        <v>8728128401</v>
      </c>
      <c r="J6253" s="56" t="s">
        <v>2978</v>
      </c>
      <c r="K6253" s="56">
        <v>534</v>
      </c>
      <c r="L6253" s="55" t="s">
        <v>392</v>
      </c>
      <c r="M6253" s="55" t="s">
        <v>2824</v>
      </c>
      <c r="O6253" s="55" t="s">
        <v>178</v>
      </c>
    </row>
    <row r="6254" spans="2:16">
      <c r="B6254" s="20">
        <v>45901</v>
      </c>
      <c r="C6254" s="59">
        <v>50142619</v>
      </c>
      <c r="D6254" s="55" t="s">
        <v>433</v>
      </c>
      <c r="G6254" s="65">
        <v>220</v>
      </c>
      <c r="H6254" s="56" t="s">
        <v>82</v>
      </c>
      <c r="I6254" s="54" t="s">
        <v>2874</v>
      </c>
      <c r="J6254" s="56" t="s">
        <v>2978</v>
      </c>
      <c r="K6254" s="56">
        <v>3404</v>
      </c>
      <c r="L6254" s="55" t="s">
        <v>2152</v>
      </c>
      <c r="M6254" s="55" t="s">
        <v>2824</v>
      </c>
      <c r="N6254" s="4" t="s">
        <v>1905</v>
      </c>
      <c r="O6254" s="55" t="s">
        <v>178</v>
      </c>
    </row>
    <row r="6255" spans="2:16">
      <c r="B6255" s="20">
        <v>45901</v>
      </c>
      <c r="C6255" s="59">
        <v>50144376</v>
      </c>
      <c r="D6255" s="55" t="s">
        <v>19</v>
      </c>
      <c r="G6255" s="65">
        <v>1200</v>
      </c>
      <c r="H6255" s="56" t="s">
        <v>92</v>
      </c>
      <c r="I6255" s="54">
        <v>8728082996</v>
      </c>
      <c r="J6255" s="56" t="s">
        <v>2978</v>
      </c>
      <c r="K6255" s="56">
        <v>3404</v>
      </c>
      <c r="L6255" s="55" t="s">
        <v>2152</v>
      </c>
      <c r="M6255" s="55" t="s">
        <v>2824</v>
      </c>
      <c r="N6255" s="4" t="s">
        <v>1905</v>
      </c>
      <c r="O6255" s="55" t="s">
        <v>178</v>
      </c>
    </row>
    <row r="6256" spans="2:16">
      <c r="B6256" s="20">
        <v>45901</v>
      </c>
      <c r="C6256" s="59">
        <v>50272278</v>
      </c>
      <c r="D6256" s="55" t="s">
        <v>21</v>
      </c>
      <c r="G6256" s="65">
        <v>3600</v>
      </c>
      <c r="H6256" s="56" t="s">
        <v>92</v>
      </c>
      <c r="I6256" s="54" t="s">
        <v>2874</v>
      </c>
      <c r="J6256" s="56" t="s">
        <v>2978</v>
      </c>
      <c r="K6256" s="56">
        <v>3404</v>
      </c>
      <c r="L6256" s="55" t="s">
        <v>2152</v>
      </c>
      <c r="M6256" s="55" t="s">
        <v>2824</v>
      </c>
      <c r="N6256" s="4" t="s">
        <v>1905</v>
      </c>
      <c r="O6256" s="55" t="s">
        <v>178</v>
      </c>
    </row>
    <row r="6257" spans="2:15">
      <c r="B6257" s="20">
        <v>45901</v>
      </c>
      <c r="C6257" s="59">
        <v>50397884</v>
      </c>
      <c r="D6257" s="55" t="s">
        <v>1296</v>
      </c>
      <c r="G6257" s="65">
        <v>1068.75</v>
      </c>
      <c r="H6257" s="56" t="s">
        <v>80</v>
      </c>
      <c r="I6257" s="54">
        <v>8728082996</v>
      </c>
      <c r="J6257" s="56" t="s">
        <v>2978</v>
      </c>
      <c r="K6257" s="56">
        <v>3404</v>
      </c>
      <c r="L6257" s="55" t="s">
        <v>2152</v>
      </c>
      <c r="M6257" s="55" t="s">
        <v>2824</v>
      </c>
      <c r="N6257" s="4" t="s">
        <v>1905</v>
      </c>
      <c r="O6257" s="55" t="s">
        <v>178</v>
      </c>
    </row>
    <row r="6258" spans="2:15">
      <c r="B6258" s="20">
        <v>45901</v>
      </c>
      <c r="C6258" s="59">
        <v>50802401</v>
      </c>
      <c r="D6258" s="55" t="s">
        <v>13</v>
      </c>
      <c r="G6258" s="65">
        <v>2318400</v>
      </c>
      <c r="H6258" s="56" t="s">
        <v>92</v>
      </c>
      <c r="I6258" s="54">
        <v>8728082996</v>
      </c>
      <c r="J6258" s="56" t="s">
        <v>2978</v>
      </c>
      <c r="K6258" s="56">
        <v>3404</v>
      </c>
      <c r="L6258" s="55" t="s">
        <v>2152</v>
      </c>
      <c r="M6258" s="55" t="s">
        <v>2824</v>
      </c>
      <c r="N6258" s="4" t="s">
        <v>1905</v>
      </c>
      <c r="O6258" s="55" t="s">
        <v>178</v>
      </c>
    </row>
    <row r="6259" spans="2:15">
      <c r="B6259" s="20">
        <v>45901</v>
      </c>
      <c r="C6259" s="59">
        <v>40014675</v>
      </c>
      <c r="D6259" s="55" t="s">
        <v>44</v>
      </c>
      <c r="F6259" s="67">
        <v>24</v>
      </c>
      <c r="G6259" s="65">
        <v>34.56</v>
      </c>
      <c r="H6259" s="56" t="s">
        <v>80</v>
      </c>
      <c r="I6259" s="54">
        <v>8728128402</v>
      </c>
      <c r="J6259" s="56" t="s">
        <v>2978</v>
      </c>
      <c r="K6259" s="56">
        <v>535</v>
      </c>
      <c r="L6259" s="55" t="s">
        <v>392</v>
      </c>
      <c r="M6259" s="55" t="s">
        <v>2824</v>
      </c>
      <c r="O6259" s="55" t="s">
        <v>178</v>
      </c>
    </row>
    <row r="6260" spans="2:15">
      <c r="B6260" s="20">
        <v>45901</v>
      </c>
      <c r="C6260" s="59">
        <v>40014675</v>
      </c>
      <c r="D6260" s="55" t="s">
        <v>44</v>
      </c>
      <c r="F6260" s="67">
        <v>26</v>
      </c>
      <c r="G6260" s="65">
        <v>37.44</v>
      </c>
      <c r="H6260" s="56" t="s">
        <v>80</v>
      </c>
      <c r="I6260" s="54">
        <v>8728128403</v>
      </c>
      <c r="J6260" s="56" t="s">
        <v>2978</v>
      </c>
      <c r="K6260" s="56">
        <v>356</v>
      </c>
      <c r="L6260" s="55" t="s">
        <v>2876</v>
      </c>
      <c r="M6260" s="55" t="s">
        <v>2824</v>
      </c>
      <c r="O6260" s="55" t="s">
        <v>178</v>
      </c>
    </row>
    <row r="6261" spans="2:15">
      <c r="B6261" s="20">
        <v>45901</v>
      </c>
      <c r="C6261" s="59">
        <v>40014675</v>
      </c>
      <c r="D6261" s="55" t="s">
        <v>44</v>
      </c>
      <c r="F6261" s="67">
        <v>26</v>
      </c>
      <c r="G6261" s="65">
        <v>37.44</v>
      </c>
      <c r="H6261" s="56" t="s">
        <v>80</v>
      </c>
      <c r="I6261" s="54">
        <v>8728128437</v>
      </c>
      <c r="J6261" s="56" t="s">
        <v>2978</v>
      </c>
      <c r="K6261" s="56">
        <v>537</v>
      </c>
      <c r="L6261" s="55" t="s">
        <v>2876</v>
      </c>
      <c r="M6261" s="55" t="s">
        <v>2824</v>
      </c>
      <c r="O6261" s="55" t="s">
        <v>178</v>
      </c>
    </row>
    <row r="6262" spans="2:15">
      <c r="B6262" s="20">
        <v>45901</v>
      </c>
      <c r="C6262" s="59">
        <v>40014675</v>
      </c>
      <c r="D6262" s="55" t="s">
        <v>44</v>
      </c>
      <c r="F6262" s="67">
        <v>26</v>
      </c>
      <c r="G6262" s="65">
        <v>37.44</v>
      </c>
      <c r="H6262" s="56" t="s">
        <v>80</v>
      </c>
      <c r="I6262" s="54">
        <v>8728128439</v>
      </c>
      <c r="J6262" s="56" t="s">
        <v>2978</v>
      </c>
      <c r="K6262" s="56">
        <v>538</v>
      </c>
      <c r="L6262" s="55" t="s">
        <v>2876</v>
      </c>
      <c r="M6262" s="55" t="s">
        <v>2824</v>
      </c>
      <c r="O6262" s="55" t="s">
        <v>178</v>
      </c>
    </row>
    <row r="6263" spans="2:15">
      <c r="B6263" s="20">
        <v>45901</v>
      </c>
      <c r="C6263" s="59">
        <v>40014675</v>
      </c>
      <c r="D6263" s="55" t="s">
        <v>44</v>
      </c>
      <c r="F6263" s="67">
        <v>26</v>
      </c>
      <c r="G6263" s="65">
        <v>37.44</v>
      </c>
      <c r="H6263" s="56" t="s">
        <v>80</v>
      </c>
      <c r="I6263" s="54">
        <v>8728128441</v>
      </c>
      <c r="J6263" s="56" t="s">
        <v>2978</v>
      </c>
      <c r="K6263" s="56">
        <v>539</v>
      </c>
      <c r="L6263" s="55" t="s">
        <v>2876</v>
      </c>
      <c r="M6263" s="55" t="s">
        <v>2824</v>
      </c>
      <c r="O6263" s="55" t="s">
        <v>178</v>
      </c>
    </row>
    <row r="6264" spans="2:15">
      <c r="B6264" s="20">
        <v>45901</v>
      </c>
      <c r="C6264" s="59">
        <v>40014675</v>
      </c>
      <c r="D6264" s="55" t="s">
        <v>44</v>
      </c>
      <c r="F6264" s="67">
        <v>26</v>
      </c>
      <c r="G6264" s="65">
        <v>37.44</v>
      </c>
      <c r="H6264" s="56" t="s">
        <v>80</v>
      </c>
      <c r="I6264" s="54">
        <v>8728128454</v>
      </c>
      <c r="J6264" s="56" t="s">
        <v>2978</v>
      </c>
      <c r="K6264" s="56">
        <v>540</v>
      </c>
      <c r="L6264" s="55" t="s">
        <v>2876</v>
      </c>
      <c r="M6264" s="55" t="s">
        <v>2824</v>
      </c>
      <c r="O6264" s="55" t="s">
        <v>178</v>
      </c>
    </row>
    <row r="6265" spans="2:15">
      <c r="B6265" s="20">
        <v>45902</v>
      </c>
      <c r="C6265" s="59">
        <v>50272278</v>
      </c>
      <c r="D6265" s="55" t="s">
        <v>21</v>
      </c>
      <c r="G6265" s="122">
        <v>6000</v>
      </c>
      <c r="H6265" s="56" t="s">
        <v>92</v>
      </c>
      <c r="I6265" s="54">
        <v>8728096320</v>
      </c>
      <c r="J6265" s="56" t="s">
        <v>2978</v>
      </c>
      <c r="K6265" s="56">
        <v>3405</v>
      </c>
      <c r="L6265" s="55" t="s">
        <v>2152</v>
      </c>
      <c r="M6265" s="55" t="s">
        <v>2824</v>
      </c>
      <c r="N6265" s="4" t="s">
        <v>1905</v>
      </c>
      <c r="O6265" s="55" t="s">
        <v>178</v>
      </c>
    </row>
    <row r="6266" spans="2:15">
      <c r="B6266" s="20">
        <v>45902</v>
      </c>
      <c r="C6266" s="59">
        <v>50802401</v>
      </c>
      <c r="D6266" s="55" t="s">
        <v>13</v>
      </c>
      <c r="G6266" s="122">
        <v>1738800</v>
      </c>
      <c r="H6266" s="56" t="s">
        <v>92</v>
      </c>
      <c r="I6266" s="54">
        <v>8728096320</v>
      </c>
      <c r="J6266" s="56" t="s">
        <v>2978</v>
      </c>
      <c r="K6266" s="56">
        <v>3405</v>
      </c>
      <c r="L6266" s="55" t="s">
        <v>2152</v>
      </c>
      <c r="M6266" s="55" t="s">
        <v>2824</v>
      </c>
      <c r="N6266" s="4" t="s">
        <v>1905</v>
      </c>
      <c r="O6266" s="55" t="s">
        <v>178</v>
      </c>
    </row>
    <row r="6267" spans="2:15">
      <c r="B6267" s="20">
        <v>45902</v>
      </c>
      <c r="C6267" s="59">
        <v>50837509</v>
      </c>
      <c r="D6267" s="55" t="s">
        <v>14</v>
      </c>
      <c r="G6267" s="122">
        <v>1159200</v>
      </c>
      <c r="H6267" s="56" t="s">
        <v>92</v>
      </c>
      <c r="I6267" s="54">
        <v>8728096320</v>
      </c>
      <c r="J6267" s="56" t="s">
        <v>2978</v>
      </c>
      <c r="K6267" s="56">
        <v>3405</v>
      </c>
      <c r="L6267" s="55" t="s">
        <v>2152</v>
      </c>
      <c r="M6267" s="55" t="s">
        <v>2824</v>
      </c>
      <c r="N6267" s="4" t="s">
        <v>1905</v>
      </c>
      <c r="O6267" s="55" t="s">
        <v>178</v>
      </c>
    </row>
    <row r="6268" spans="2:15">
      <c r="B6268" s="20">
        <v>45902</v>
      </c>
      <c r="C6268" s="59">
        <v>40014675</v>
      </c>
      <c r="D6268" s="55" t="s">
        <v>44</v>
      </c>
      <c r="F6268" s="67">
        <v>26</v>
      </c>
      <c r="G6268" s="65">
        <v>37.44</v>
      </c>
      <c r="H6268" s="56" t="s">
        <v>80</v>
      </c>
      <c r="I6268" s="54">
        <v>8728128457</v>
      </c>
      <c r="J6268" s="56" t="s">
        <v>2978</v>
      </c>
      <c r="K6268" s="128">
        <v>541</v>
      </c>
      <c r="L6268" s="55" t="s">
        <v>2876</v>
      </c>
      <c r="M6268" s="55" t="s">
        <v>2824</v>
      </c>
      <c r="O6268" s="55" t="s">
        <v>178</v>
      </c>
    </row>
    <row r="6269" spans="2:15">
      <c r="B6269" s="20">
        <v>45902</v>
      </c>
      <c r="C6269" s="59">
        <v>40014675</v>
      </c>
      <c r="D6269" s="55" t="s">
        <v>44</v>
      </c>
      <c r="F6269" s="67">
        <v>26</v>
      </c>
      <c r="G6269" s="65">
        <v>37.44</v>
      </c>
      <c r="H6269" s="56" t="s">
        <v>80</v>
      </c>
      <c r="I6269" s="54">
        <v>8728128460</v>
      </c>
      <c r="J6269" s="56" t="s">
        <v>2978</v>
      </c>
      <c r="K6269" s="128">
        <v>542</v>
      </c>
      <c r="L6269" s="55" t="s">
        <v>2876</v>
      </c>
      <c r="M6269" s="55" t="s">
        <v>2824</v>
      </c>
      <c r="O6269" s="55" t="s">
        <v>178</v>
      </c>
    </row>
    <row r="6270" spans="2:15">
      <c r="B6270" s="20">
        <v>45902</v>
      </c>
      <c r="C6270" s="59">
        <v>40014675</v>
      </c>
      <c r="D6270" s="55" t="s">
        <v>44</v>
      </c>
      <c r="F6270" s="67">
        <v>26</v>
      </c>
      <c r="G6270" s="65">
        <v>37.44</v>
      </c>
      <c r="H6270" s="56" t="s">
        <v>80</v>
      </c>
      <c r="I6270" s="54">
        <v>8728128462</v>
      </c>
      <c r="J6270" s="56" t="s">
        <v>2978</v>
      </c>
      <c r="K6270" s="128">
        <v>543</v>
      </c>
      <c r="L6270" s="55" t="s">
        <v>2876</v>
      </c>
      <c r="M6270" s="55" t="s">
        <v>2824</v>
      </c>
      <c r="O6270" s="55" t="s">
        <v>178</v>
      </c>
    </row>
    <row r="6271" spans="2:15">
      <c r="B6271" s="20">
        <v>45902</v>
      </c>
      <c r="C6271" s="59">
        <v>40014675</v>
      </c>
      <c r="D6271" s="55" t="s">
        <v>44</v>
      </c>
      <c r="F6271" s="67">
        <v>26</v>
      </c>
      <c r="G6271" s="65">
        <v>37.44</v>
      </c>
      <c r="H6271" s="56" t="s">
        <v>80</v>
      </c>
      <c r="I6271" s="54">
        <v>8728128466</v>
      </c>
      <c r="J6271" s="56" t="s">
        <v>2978</v>
      </c>
      <c r="K6271" s="56">
        <v>544</v>
      </c>
      <c r="L6271" s="55" t="s">
        <v>2876</v>
      </c>
      <c r="M6271" s="55" t="s">
        <v>2824</v>
      </c>
      <c r="O6271" s="55" t="s">
        <v>178</v>
      </c>
    </row>
    <row r="6272" spans="2:15">
      <c r="B6272" s="20">
        <v>45903</v>
      </c>
      <c r="C6272" s="59">
        <v>50010080</v>
      </c>
      <c r="D6272" s="55" t="s">
        <v>1657</v>
      </c>
      <c r="G6272" s="65">
        <v>2000</v>
      </c>
      <c r="H6272" s="56" t="s">
        <v>82</v>
      </c>
      <c r="I6272" s="54">
        <v>8728112968</v>
      </c>
      <c r="J6272" s="56" t="s">
        <v>2978</v>
      </c>
      <c r="K6272" s="56">
        <v>3406</v>
      </c>
      <c r="L6272" s="55" t="s">
        <v>2152</v>
      </c>
      <c r="M6272" s="55" t="s">
        <v>2824</v>
      </c>
      <c r="N6272" s="4" t="s">
        <v>1905</v>
      </c>
      <c r="O6272" s="55" t="s">
        <v>178</v>
      </c>
    </row>
    <row r="6273" spans="2:15">
      <c r="B6273" s="20">
        <v>45903</v>
      </c>
      <c r="C6273" s="59">
        <v>50824293</v>
      </c>
      <c r="D6273" s="55" t="s">
        <v>861</v>
      </c>
      <c r="G6273" s="65">
        <v>1940000</v>
      </c>
      <c r="H6273" s="56" t="s">
        <v>92</v>
      </c>
      <c r="I6273" s="54">
        <v>8728112968</v>
      </c>
      <c r="J6273" s="56" t="s">
        <v>2978</v>
      </c>
      <c r="K6273" s="56">
        <v>3406</v>
      </c>
      <c r="L6273" s="55" t="s">
        <v>2152</v>
      </c>
      <c r="M6273" s="55" t="s">
        <v>2824</v>
      </c>
      <c r="N6273" s="4" t="s">
        <v>1905</v>
      </c>
      <c r="O6273" s="55" t="s">
        <v>178</v>
      </c>
    </row>
    <row r="6274" spans="2:15">
      <c r="B6274" s="20">
        <v>45903</v>
      </c>
      <c r="C6274" s="59">
        <v>50272278</v>
      </c>
      <c r="D6274" s="55" t="s">
        <v>21</v>
      </c>
      <c r="G6274" s="65">
        <v>9000</v>
      </c>
      <c r="H6274" s="56" t="s">
        <v>92</v>
      </c>
      <c r="I6274" s="54">
        <v>8728175182</v>
      </c>
      <c r="J6274" s="56" t="s">
        <v>2978</v>
      </c>
      <c r="K6274" s="56">
        <v>3406</v>
      </c>
      <c r="L6274" s="55" t="s">
        <v>2152</v>
      </c>
      <c r="M6274" s="55" t="s">
        <v>2824</v>
      </c>
      <c r="N6274" s="4" t="s">
        <v>1905</v>
      </c>
      <c r="O6274" s="55" t="s">
        <v>178</v>
      </c>
    </row>
    <row r="6275" spans="2:15">
      <c r="B6275" s="20">
        <v>45903</v>
      </c>
      <c r="C6275" s="59">
        <v>20016059</v>
      </c>
      <c r="D6275" s="55" t="s">
        <v>1498</v>
      </c>
      <c r="G6275" s="65">
        <v>100</v>
      </c>
      <c r="H6275" s="56" t="s">
        <v>92</v>
      </c>
      <c r="I6275" s="54">
        <v>8728112968</v>
      </c>
      <c r="J6275" s="56" t="s">
        <v>2978</v>
      </c>
      <c r="K6275" s="56">
        <v>3406</v>
      </c>
      <c r="L6275" s="55" t="s">
        <v>2152</v>
      </c>
      <c r="M6275" s="55" t="s">
        <v>2824</v>
      </c>
      <c r="N6275" s="4" t="s">
        <v>1905</v>
      </c>
      <c r="O6275" s="55" t="s">
        <v>178</v>
      </c>
    </row>
    <row r="6276" spans="2:15">
      <c r="B6276" s="20">
        <v>45903</v>
      </c>
      <c r="C6276" s="59">
        <v>40011659</v>
      </c>
      <c r="D6276" s="55" t="s">
        <v>89</v>
      </c>
      <c r="G6276" s="65">
        <v>360</v>
      </c>
      <c r="H6276" s="56" t="s">
        <v>80</v>
      </c>
      <c r="I6276" s="54">
        <v>8728112968</v>
      </c>
      <c r="J6276" s="56" t="s">
        <v>2978</v>
      </c>
      <c r="K6276" s="56">
        <v>3406</v>
      </c>
      <c r="L6276" s="55" t="s">
        <v>2152</v>
      </c>
      <c r="M6276" s="55" t="s">
        <v>2824</v>
      </c>
      <c r="N6276" s="4" t="s">
        <v>1905</v>
      </c>
      <c r="O6276" s="55" t="s">
        <v>178</v>
      </c>
    </row>
    <row r="6277" spans="2:15">
      <c r="B6277" s="20">
        <v>45903</v>
      </c>
      <c r="C6277" s="59">
        <v>50509889</v>
      </c>
      <c r="D6277" s="55" t="s">
        <v>671</v>
      </c>
      <c r="G6277" s="65">
        <v>528000</v>
      </c>
      <c r="H6277" s="56" t="s">
        <v>92</v>
      </c>
      <c r="I6277" s="54">
        <v>8728112968</v>
      </c>
      <c r="J6277" s="56" t="s">
        <v>2978</v>
      </c>
      <c r="K6277" s="56">
        <v>3406</v>
      </c>
      <c r="L6277" s="55" t="s">
        <v>2152</v>
      </c>
      <c r="M6277" s="55" t="s">
        <v>2824</v>
      </c>
      <c r="N6277" s="4" t="s">
        <v>1905</v>
      </c>
      <c r="O6277" s="55" t="s">
        <v>178</v>
      </c>
    </row>
    <row r="6278" spans="2:15">
      <c r="B6278" s="20">
        <v>45903</v>
      </c>
      <c r="C6278" s="59">
        <v>40014675</v>
      </c>
      <c r="D6278" s="55" t="s">
        <v>44</v>
      </c>
      <c r="F6278" s="67">
        <v>26</v>
      </c>
      <c r="G6278" s="65">
        <v>37.44</v>
      </c>
      <c r="H6278" s="56" t="s">
        <v>80</v>
      </c>
      <c r="I6278" s="54">
        <v>8728128469</v>
      </c>
      <c r="J6278" s="56" t="s">
        <v>2978</v>
      </c>
      <c r="K6278" s="56">
        <v>545</v>
      </c>
      <c r="L6278" s="55" t="s">
        <v>2876</v>
      </c>
      <c r="M6278" s="55" t="s">
        <v>2824</v>
      </c>
      <c r="O6278" s="55" t="s">
        <v>178</v>
      </c>
    </row>
    <row r="6279" spans="2:15">
      <c r="B6279" s="20">
        <v>45903</v>
      </c>
      <c r="C6279" s="59">
        <v>40014675</v>
      </c>
      <c r="D6279" s="55" t="s">
        <v>44</v>
      </c>
      <c r="F6279" s="67">
        <v>26</v>
      </c>
      <c r="G6279" s="65">
        <v>37.44</v>
      </c>
      <c r="H6279" s="56" t="s">
        <v>80</v>
      </c>
      <c r="I6279" s="54">
        <v>8728128471</v>
      </c>
      <c r="J6279" s="56" t="s">
        <v>2978</v>
      </c>
      <c r="K6279" s="56">
        <v>546</v>
      </c>
      <c r="L6279" s="55" t="s">
        <v>2876</v>
      </c>
      <c r="M6279" s="55" t="s">
        <v>2824</v>
      </c>
      <c r="O6279" s="55" t="s">
        <v>178</v>
      </c>
    </row>
    <row r="6280" spans="2:15">
      <c r="B6280" s="20">
        <v>45903</v>
      </c>
      <c r="C6280" s="59">
        <v>40014675</v>
      </c>
      <c r="D6280" s="55" t="s">
        <v>44</v>
      </c>
      <c r="F6280" s="67">
        <v>26</v>
      </c>
      <c r="G6280" s="65">
        <v>37.44</v>
      </c>
      <c r="H6280" s="56" t="s">
        <v>80</v>
      </c>
      <c r="I6280" s="54">
        <v>8728128482</v>
      </c>
      <c r="J6280" s="56" t="s">
        <v>2978</v>
      </c>
      <c r="K6280" s="56">
        <v>547</v>
      </c>
      <c r="L6280" s="55" t="s">
        <v>2876</v>
      </c>
      <c r="M6280" s="55" t="s">
        <v>2824</v>
      </c>
      <c r="O6280" s="55" t="s">
        <v>178</v>
      </c>
    </row>
    <row r="6281" spans="2:15">
      <c r="B6281" s="20">
        <v>45903</v>
      </c>
      <c r="C6281" s="59">
        <v>40014675</v>
      </c>
      <c r="D6281" s="55" t="s">
        <v>44</v>
      </c>
      <c r="F6281" s="67">
        <v>26</v>
      </c>
      <c r="G6281" s="65">
        <v>37.44</v>
      </c>
      <c r="H6281" s="56" t="s">
        <v>80</v>
      </c>
      <c r="I6281" s="54">
        <v>8728128474</v>
      </c>
      <c r="J6281" s="56" t="s">
        <v>2978</v>
      </c>
      <c r="K6281" s="56">
        <v>548</v>
      </c>
      <c r="L6281" s="55" t="s">
        <v>2876</v>
      </c>
      <c r="M6281" s="55" t="s">
        <v>2824</v>
      </c>
      <c r="O6281" s="55" t="s">
        <v>178</v>
      </c>
    </row>
    <row r="6282" spans="2:15">
      <c r="B6282" s="20">
        <v>45903</v>
      </c>
      <c r="C6282" s="59">
        <v>40014675</v>
      </c>
      <c r="D6282" s="55" t="s">
        <v>44</v>
      </c>
      <c r="F6282" s="67">
        <v>26</v>
      </c>
      <c r="G6282" s="65">
        <v>37.44</v>
      </c>
      <c r="H6282" s="56" t="s">
        <v>80</v>
      </c>
      <c r="I6282" s="54">
        <v>8728128478</v>
      </c>
      <c r="J6282" s="56" t="s">
        <v>2978</v>
      </c>
      <c r="K6282" s="56">
        <v>549</v>
      </c>
      <c r="L6282" s="55" t="s">
        <v>2876</v>
      </c>
      <c r="M6282" s="55" t="s">
        <v>2824</v>
      </c>
      <c r="O6282" s="55" t="s">
        <v>178</v>
      </c>
    </row>
    <row r="6283" spans="2:15">
      <c r="B6283" s="20">
        <v>45903</v>
      </c>
      <c r="C6283" s="59">
        <v>40014675</v>
      </c>
      <c r="D6283" s="55" t="s">
        <v>44</v>
      </c>
      <c r="F6283" s="67">
        <v>26</v>
      </c>
      <c r="G6283" s="65">
        <v>37.44</v>
      </c>
      <c r="H6283" s="56" t="s">
        <v>80</v>
      </c>
      <c r="I6283" s="54">
        <v>8728128480</v>
      </c>
      <c r="J6283" s="56" t="s">
        <v>2978</v>
      </c>
      <c r="K6283" s="56">
        <v>550</v>
      </c>
      <c r="L6283" s="55" t="s">
        <v>2876</v>
      </c>
      <c r="M6283" s="55" t="s">
        <v>2824</v>
      </c>
      <c r="O6283" s="55" t="s">
        <v>178</v>
      </c>
    </row>
    <row r="6284" spans="2:15">
      <c r="B6284" s="20">
        <v>45903</v>
      </c>
      <c r="C6284" s="59">
        <v>40014675</v>
      </c>
      <c r="D6284" s="55" t="s">
        <v>44</v>
      </c>
      <c r="F6284" s="67">
        <v>26</v>
      </c>
      <c r="G6284" s="65">
        <v>37.44</v>
      </c>
      <c r="H6284" s="56" t="s">
        <v>80</v>
      </c>
      <c r="I6284" s="54">
        <v>8728128482</v>
      </c>
      <c r="J6284" s="56" t="s">
        <v>2978</v>
      </c>
      <c r="K6284" s="56">
        <v>551</v>
      </c>
      <c r="L6284" s="55" t="s">
        <v>2876</v>
      </c>
      <c r="M6284" s="55" t="s">
        <v>2824</v>
      </c>
      <c r="O6284" s="55" t="s">
        <v>178</v>
      </c>
    </row>
    <row r="6285" spans="2:15">
      <c r="B6285" s="20">
        <v>45904</v>
      </c>
      <c r="C6285" s="59">
        <v>50144376</v>
      </c>
      <c r="D6285" s="55" t="s">
        <v>19</v>
      </c>
      <c r="G6285" s="65">
        <v>6600</v>
      </c>
      <c r="H6285" s="56" t="s">
        <v>92</v>
      </c>
      <c r="I6285" s="54">
        <v>8728145303</v>
      </c>
      <c r="J6285" s="56" t="s">
        <v>2978</v>
      </c>
      <c r="K6285" s="56">
        <v>3407</v>
      </c>
      <c r="L6285" s="55" t="s">
        <v>2152</v>
      </c>
      <c r="M6285" s="55" t="s">
        <v>2824</v>
      </c>
      <c r="N6285" s="4" t="s">
        <v>1905</v>
      </c>
      <c r="O6285" s="55" t="s">
        <v>178</v>
      </c>
    </row>
    <row r="6286" spans="2:15">
      <c r="B6286" s="20">
        <v>45904</v>
      </c>
      <c r="C6286" s="59">
        <v>50272278</v>
      </c>
      <c r="D6286" s="55" t="s">
        <v>21</v>
      </c>
      <c r="G6286" s="65">
        <v>6600</v>
      </c>
      <c r="H6286" s="56" t="s">
        <v>92</v>
      </c>
      <c r="I6286" s="54">
        <v>8728175304</v>
      </c>
      <c r="J6286" s="56" t="s">
        <v>2978</v>
      </c>
      <c r="K6286" s="56">
        <v>3407</v>
      </c>
      <c r="L6286" s="55" t="s">
        <v>2152</v>
      </c>
      <c r="M6286" s="55" t="s">
        <v>2824</v>
      </c>
      <c r="N6286" s="4" t="s">
        <v>1905</v>
      </c>
      <c r="O6286" s="55" t="s">
        <v>178</v>
      </c>
    </row>
    <row r="6287" spans="2:15">
      <c r="B6287" s="20">
        <v>45904</v>
      </c>
      <c r="C6287" s="59">
        <v>50144376</v>
      </c>
      <c r="D6287" s="55" t="s">
        <v>19</v>
      </c>
      <c r="G6287" s="65">
        <v>6000</v>
      </c>
      <c r="H6287" s="56" t="s">
        <v>92</v>
      </c>
      <c r="I6287" s="54">
        <v>8728145316</v>
      </c>
      <c r="J6287" s="56" t="s">
        <v>2978</v>
      </c>
      <c r="K6287" s="56">
        <v>3408</v>
      </c>
      <c r="L6287" s="55" t="s">
        <v>2152</v>
      </c>
      <c r="M6287" s="55" t="s">
        <v>2824</v>
      </c>
      <c r="N6287" s="4" t="s">
        <v>1905</v>
      </c>
      <c r="O6287" s="55" t="s">
        <v>178</v>
      </c>
    </row>
    <row r="6288" spans="2:15">
      <c r="B6288" s="20">
        <v>45904</v>
      </c>
      <c r="C6288" s="59">
        <v>50470190</v>
      </c>
      <c r="D6288" s="66" t="s">
        <v>12</v>
      </c>
      <c r="G6288" s="65">
        <v>2898000</v>
      </c>
      <c r="H6288" s="56" t="s">
        <v>92</v>
      </c>
      <c r="I6288" s="54">
        <v>8728145316</v>
      </c>
      <c r="J6288" s="56" t="s">
        <v>2978</v>
      </c>
      <c r="K6288" s="56">
        <v>3408</v>
      </c>
      <c r="L6288" s="55" t="s">
        <v>2152</v>
      </c>
      <c r="M6288" s="55" t="s">
        <v>2824</v>
      </c>
      <c r="N6288" s="4" t="s">
        <v>1905</v>
      </c>
      <c r="O6288" s="55" t="s">
        <v>178</v>
      </c>
    </row>
    <row r="6289" spans="2:15">
      <c r="B6289" s="20">
        <v>45904</v>
      </c>
      <c r="C6289" s="59">
        <v>50145028</v>
      </c>
      <c r="D6289" s="55" t="s">
        <v>23</v>
      </c>
      <c r="G6289" s="65">
        <v>1134</v>
      </c>
      <c r="H6289" s="56" t="s">
        <v>92</v>
      </c>
      <c r="I6289" s="54">
        <v>8728222604</v>
      </c>
      <c r="J6289" s="56" t="s">
        <v>2978</v>
      </c>
      <c r="K6289" s="56">
        <v>3409</v>
      </c>
    </row>
    <row r="6290" spans="2:15">
      <c r="B6290" s="20">
        <v>45904</v>
      </c>
      <c r="C6290" s="59">
        <v>50799770</v>
      </c>
      <c r="D6290" s="55" t="s">
        <v>17</v>
      </c>
      <c r="G6290" s="65">
        <v>2000</v>
      </c>
      <c r="H6290" s="56" t="s">
        <v>92</v>
      </c>
      <c r="I6290" s="54">
        <v>8728222604</v>
      </c>
      <c r="J6290" s="56" t="s">
        <v>2978</v>
      </c>
      <c r="K6290" s="56">
        <v>3409</v>
      </c>
    </row>
    <row r="6291" spans="2:15">
      <c r="B6291" s="20">
        <v>45904</v>
      </c>
      <c r="C6291" s="59">
        <v>50142237</v>
      </c>
      <c r="D6291" s="55" t="s">
        <v>617</v>
      </c>
      <c r="G6291" s="65">
        <v>8000</v>
      </c>
      <c r="H6291" s="56" t="s">
        <v>92</v>
      </c>
      <c r="I6291" s="54" t="s">
        <v>2874</v>
      </c>
      <c r="J6291" s="56" t="s">
        <v>2978</v>
      </c>
      <c r="K6291" s="56">
        <v>3409</v>
      </c>
    </row>
    <row r="6292" spans="2:15">
      <c r="B6292" s="20">
        <v>45904</v>
      </c>
      <c r="C6292" s="59">
        <v>50010080</v>
      </c>
      <c r="D6292" s="55" t="s">
        <v>1657</v>
      </c>
      <c r="G6292" s="65">
        <v>2000</v>
      </c>
      <c r="H6292" s="56" t="s">
        <v>82</v>
      </c>
      <c r="I6292" s="54">
        <v>8728145345</v>
      </c>
      <c r="J6292" s="56" t="s">
        <v>2978</v>
      </c>
      <c r="K6292" s="56">
        <v>3410</v>
      </c>
      <c r="L6292" s="55" t="s">
        <v>2152</v>
      </c>
      <c r="M6292" s="55" t="s">
        <v>2824</v>
      </c>
      <c r="N6292" s="4" t="s">
        <v>1905</v>
      </c>
      <c r="O6292" s="55" t="s">
        <v>178</v>
      </c>
    </row>
    <row r="6293" spans="2:15">
      <c r="B6293" s="20">
        <v>45904</v>
      </c>
      <c r="C6293" s="59">
        <v>40004808</v>
      </c>
      <c r="D6293" s="55" t="s">
        <v>91</v>
      </c>
      <c r="G6293" s="65">
        <v>900</v>
      </c>
      <c r="H6293" s="56" t="s">
        <v>1248</v>
      </c>
      <c r="I6293" s="54">
        <v>8728145345</v>
      </c>
      <c r="J6293" s="56" t="s">
        <v>2978</v>
      </c>
      <c r="K6293" s="56">
        <v>3410</v>
      </c>
      <c r="L6293" s="55" t="s">
        <v>2152</v>
      </c>
      <c r="M6293" s="55" t="s">
        <v>2824</v>
      </c>
      <c r="N6293" s="4" t="s">
        <v>1905</v>
      </c>
      <c r="O6293" s="55" t="s">
        <v>178</v>
      </c>
    </row>
    <row r="6294" spans="2:15">
      <c r="B6294" s="20">
        <v>45904</v>
      </c>
      <c r="C6294" s="59">
        <v>50397884</v>
      </c>
      <c r="D6294" s="55" t="s">
        <v>1296</v>
      </c>
      <c r="G6294" s="65">
        <v>540</v>
      </c>
      <c r="H6294" s="56" t="s">
        <v>80</v>
      </c>
      <c r="I6294" s="54">
        <v>8728145345</v>
      </c>
      <c r="J6294" s="56" t="s">
        <v>2978</v>
      </c>
      <c r="K6294" s="56">
        <v>3410</v>
      </c>
      <c r="L6294" s="55" t="s">
        <v>2152</v>
      </c>
      <c r="M6294" s="55" t="s">
        <v>2824</v>
      </c>
      <c r="N6294" s="4" t="s">
        <v>1905</v>
      </c>
      <c r="O6294" s="55" t="s">
        <v>178</v>
      </c>
    </row>
    <row r="6295" spans="2:15">
      <c r="B6295" s="20">
        <v>45904</v>
      </c>
      <c r="C6295" s="59">
        <v>50470190</v>
      </c>
      <c r="D6295" s="55" t="s">
        <v>12</v>
      </c>
      <c r="G6295" s="65">
        <v>1159200</v>
      </c>
      <c r="H6295" s="56" t="s">
        <v>92</v>
      </c>
      <c r="I6295" s="54">
        <v>8728145345</v>
      </c>
      <c r="J6295" s="56" t="s">
        <v>2978</v>
      </c>
      <c r="K6295" s="56">
        <v>3410</v>
      </c>
      <c r="L6295" s="55" t="s">
        <v>2152</v>
      </c>
      <c r="M6295" s="55" t="s">
        <v>2824</v>
      </c>
      <c r="N6295" s="4" t="s">
        <v>1905</v>
      </c>
      <c r="O6295" s="55" t="s">
        <v>178</v>
      </c>
    </row>
    <row r="6296" spans="2:15">
      <c r="B6296" s="20">
        <v>45904</v>
      </c>
      <c r="C6296" s="59">
        <v>50142327</v>
      </c>
      <c r="D6296" s="55" t="s">
        <v>256</v>
      </c>
      <c r="G6296" s="65">
        <v>935.4</v>
      </c>
      <c r="H6296" s="56" t="s">
        <v>82</v>
      </c>
      <c r="I6296" s="54">
        <v>8728145345</v>
      </c>
      <c r="J6296" s="56" t="s">
        <v>2978</v>
      </c>
      <c r="K6296" s="56">
        <v>3410</v>
      </c>
      <c r="L6296" s="55" t="s">
        <v>2152</v>
      </c>
      <c r="M6296" s="55" t="s">
        <v>2824</v>
      </c>
      <c r="N6296" s="4" t="s">
        <v>1905</v>
      </c>
      <c r="O6296" s="55" t="s">
        <v>178</v>
      </c>
    </row>
    <row r="6297" spans="2:15">
      <c r="B6297" s="20">
        <v>45904</v>
      </c>
      <c r="C6297" s="59">
        <v>50142334</v>
      </c>
      <c r="D6297" s="55" t="s">
        <v>257</v>
      </c>
      <c r="G6297" s="65">
        <v>467.7</v>
      </c>
      <c r="H6297" s="56" t="s">
        <v>82</v>
      </c>
      <c r="I6297" s="54">
        <v>8728145345</v>
      </c>
      <c r="J6297" s="56" t="s">
        <v>2978</v>
      </c>
      <c r="K6297" s="56">
        <v>3410</v>
      </c>
      <c r="L6297" s="55" t="s">
        <v>2152</v>
      </c>
      <c r="M6297" s="55" t="s">
        <v>2824</v>
      </c>
      <c r="N6297" s="4" t="s">
        <v>1905</v>
      </c>
      <c r="O6297" s="55" t="s">
        <v>178</v>
      </c>
    </row>
    <row r="6298" spans="2:15">
      <c r="B6298" s="20">
        <v>45904</v>
      </c>
      <c r="C6298" s="59">
        <v>50837283</v>
      </c>
      <c r="D6298" s="55" t="s">
        <v>30</v>
      </c>
      <c r="G6298" s="65">
        <v>3582.85</v>
      </c>
      <c r="H6298" s="56" t="s">
        <v>82</v>
      </c>
      <c r="I6298" s="54">
        <v>8728285045</v>
      </c>
      <c r="J6298" s="56" t="s">
        <v>2978</v>
      </c>
      <c r="K6298" s="56">
        <v>3410</v>
      </c>
      <c r="L6298" s="55" t="s">
        <v>2152</v>
      </c>
      <c r="M6298" s="55" t="s">
        <v>2824</v>
      </c>
      <c r="N6298" s="4" t="s">
        <v>1905</v>
      </c>
      <c r="O6298" s="55" t="s">
        <v>178</v>
      </c>
    </row>
    <row r="6299" spans="2:15">
      <c r="B6299" s="20">
        <v>45905</v>
      </c>
      <c r="C6299" s="59">
        <v>50142330</v>
      </c>
      <c r="D6299" s="55" t="s">
        <v>195</v>
      </c>
      <c r="G6299" s="65">
        <v>720</v>
      </c>
      <c r="H6299" s="56" t="s">
        <v>82</v>
      </c>
      <c r="I6299" s="54">
        <v>8728145276</v>
      </c>
      <c r="J6299" s="56" t="s">
        <v>2978</v>
      </c>
      <c r="K6299" s="56">
        <v>3411</v>
      </c>
      <c r="L6299" s="55" t="s">
        <v>2152</v>
      </c>
      <c r="M6299" s="55" t="s">
        <v>2824</v>
      </c>
      <c r="N6299" s="4" t="s">
        <v>1905</v>
      </c>
      <c r="O6299" s="55" t="s">
        <v>178</v>
      </c>
    </row>
    <row r="6300" spans="2:15">
      <c r="B6300" s="20">
        <v>45905</v>
      </c>
      <c r="C6300" s="59">
        <v>50272278</v>
      </c>
      <c r="D6300" s="69" t="s">
        <v>21</v>
      </c>
      <c r="G6300" s="65">
        <v>4200</v>
      </c>
      <c r="H6300" s="56" t="s">
        <v>92</v>
      </c>
      <c r="I6300" s="54">
        <v>8728145276</v>
      </c>
      <c r="J6300" s="56" t="s">
        <v>2978</v>
      </c>
      <c r="K6300" s="56">
        <v>3411</v>
      </c>
      <c r="L6300" s="55" t="s">
        <v>2152</v>
      </c>
      <c r="M6300" s="55" t="s">
        <v>2824</v>
      </c>
      <c r="N6300" s="4" t="s">
        <v>1905</v>
      </c>
      <c r="O6300" s="55" t="s">
        <v>178</v>
      </c>
    </row>
    <row r="6301" spans="2:15">
      <c r="B6301" s="20">
        <v>45905</v>
      </c>
      <c r="C6301" s="59">
        <v>50397884</v>
      </c>
      <c r="D6301" s="55" t="s">
        <v>1296</v>
      </c>
      <c r="G6301" s="65">
        <v>540</v>
      </c>
      <c r="H6301" s="56" t="s">
        <v>80</v>
      </c>
      <c r="I6301" s="54">
        <v>8728145276</v>
      </c>
      <c r="J6301" s="56" t="s">
        <v>2978</v>
      </c>
      <c r="K6301" s="56">
        <v>3411</v>
      </c>
      <c r="L6301" s="55" t="s">
        <v>2152</v>
      </c>
      <c r="M6301" s="55" t="s">
        <v>2824</v>
      </c>
      <c r="N6301" s="4" t="s">
        <v>1905</v>
      </c>
      <c r="O6301" s="55" t="s">
        <v>178</v>
      </c>
    </row>
    <row r="6302" spans="2:15">
      <c r="B6302" s="20">
        <v>45905</v>
      </c>
      <c r="C6302" s="59">
        <v>50472692</v>
      </c>
      <c r="D6302" s="55" t="s">
        <v>1304</v>
      </c>
      <c r="G6302" s="65">
        <v>416.7</v>
      </c>
      <c r="H6302" s="56" t="s">
        <v>80</v>
      </c>
      <c r="I6302" s="54">
        <v>8728145276</v>
      </c>
      <c r="J6302" s="56" t="s">
        <v>2978</v>
      </c>
      <c r="K6302" s="56">
        <v>3411</v>
      </c>
      <c r="L6302" s="55" t="s">
        <v>2152</v>
      </c>
      <c r="M6302" s="55" t="s">
        <v>2824</v>
      </c>
      <c r="N6302" s="4" t="s">
        <v>1905</v>
      </c>
      <c r="O6302" s="55" t="s">
        <v>178</v>
      </c>
    </row>
    <row r="6303" spans="2:15">
      <c r="B6303" s="20">
        <v>45905</v>
      </c>
      <c r="C6303" s="59">
        <v>50470190</v>
      </c>
      <c r="D6303" s="66" t="s">
        <v>12</v>
      </c>
      <c r="G6303" s="65">
        <v>2318400</v>
      </c>
      <c r="H6303" s="56" t="s">
        <v>92</v>
      </c>
      <c r="I6303" s="54">
        <v>8728145276</v>
      </c>
      <c r="J6303" s="56" t="s">
        <v>2978</v>
      </c>
      <c r="K6303" s="56">
        <v>3411</v>
      </c>
      <c r="L6303" s="55" t="s">
        <v>2152</v>
      </c>
      <c r="M6303" s="55" t="s">
        <v>2824</v>
      </c>
      <c r="N6303" s="4" t="s">
        <v>1905</v>
      </c>
      <c r="O6303" s="55" t="s">
        <v>178</v>
      </c>
    </row>
    <row r="6304" spans="2:15">
      <c r="B6304" s="20">
        <v>45905</v>
      </c>
      <c r="C6304" s="59">
        <v>40014675</v>
      </c>
      <c r="D6304" s="55" t="s">
        <v>44</v>
      </c>
      <c r="F6304" s="67">
        <v>26</v>
      </c>
      <c r="G6304" s="65">
        <v>37.44</v>
      </c>
      <c r="H6304" s="56" t="s">
        <v>80</v>
      </c>
      <c r="I6304" s="54" t="s">
        <v>3036</v>
      </c>
      <c r="J6304" s="56" t="s">
        <v>2978</v>
      </c>
      <c r="K6304" s="56">
        <v>552</v>
      </c>
      <c r="L6304" s="55" t="s">
        <v>2876</v>
      </c>
      <c r="M6304" s="55" t="s">
        <v>2824</v>
      </c>
      <c r="O6304" s="55" t="s">
        <v>178</v>
      </c>
    </row>
    <row r="6305" spans="2:15">
      <c r="B6305" s="20">
        <v>45905</v>
      </c>
      <c r="C6305" s="59">
        <v>40014675</v>
      </c>
      <c r="D6305" s="55" t="s">
        <v>44</v>
      </c>
      <c r="F6305" s="67">
        <v>26</v>
      </c>
      <c r="G6305" s="65">
        <v>37.44</v>
      </c>
      <c r="H6305" s="56" t="s">
        <v>80</v>
      </c>
      <c r="I6305" s="54">
        <v>8728189591</v>
      </c>
      <c r="J6305" s="56" t="s">
        <v>2978</v>
      </c>
      <c r="K6305" s="56">
        <v>553</v>
      </c>
      <c r="L6305" s="55" t="s">
        <v>2876</v>
      </c>
      <c r="M6305" s="55" t="s">
        <v>2824</v>
      </c>
      <c r="O6305" s="55" t="s">
        <v>178</v>
      </c>
    </row>
    <row r="6306" spans="2:15">
      <c r="B6306" s="20">
        <v>45905</v>
      </c>
      <c r="C6306" s="59">
        <v>40014675</v>
      </c>
      <c r="D6306" s="55" t="s">
        <v>44</v>
      </c>
      <c r="F6306" s="67">
        <v>26</v>
      </c>
      <c r="G6306" s="65">
        <v>37.44</v>
      </c>
      <c r="H6306" s="56" t="s">
        <v>80</v>
      </c>
      <c r="I6306" s="54">
        <v>8728189614</v>
      </c>
      <c r="J6306" s="56" t="s">
        <v>2978</v>
      </c>
      <c r="K6306" s="56">
        <v>554</v>
      </c>
      <c r="L6306" s="55" t="s">
        <v>2876</v>
      </c>
      <c r="M6306" s="55" t="s">
        <v>2824</v>
      </c>
      <c r="O6306" s="55" t="s">
        <v>178</v>
      </c>
    </row>
    <row r="6307" spans="2:15">
      <c r="B6307" s="20">
        <v>45905</v>
      </c>
      <c r="C6307" s="59">
        <v>40014675</v>
      </c>
      <c r="D6307" s="55" t="s">
        <v>44</v>
      </c>
      <c r="F6307" s="67">
        <v>26</v>
      </c>
      <c r="G6307" s="65">
        <v>37.44</v>
      </c>
      <c r="H6307" s="56" t="s">
        <v>80</v>
      </c>
      <c r="I6307" s="54">
        <v>8728189633</v>
      </c>
      <c r="J6307" s="56" t="s">
        <v>2978</v>
      </c>
      <c r="K6307" s="56">
        <v>555</v>
      </c>
      <c r="L6307" s="55" t="s">
        <v>2876</v>
      </c>
      <c r="M6307" s="55" t="s">
        <v>2824</v>
      </c>
      <c r="O6307" s="55" t="s">
        <v>178</v>
      </c>
    </row>
    <row r="6308" spans="2:15">
      <c r="B6308" s="20">
        <v>45905</v>
      </c>
      <c r="C6308" s="59">
        <v>40014675</v>
      </c>
      <c r="D6308" s="55" t="s">
        <v>44</v>
      </c>
      <c r="F6308" s="67">
        <v>26</v>
      </c>
      <c r="G6308" s="65">
        <v>37.44</v>
      </c>
      <c r="H6308" s="56" t="s">
        <v>80</v>
      </c>
      <c r="I6308" s="54">
        <v>8728189651</v>
      </c>
      <c r="J6308" s="56" t="s">
        <v>2978</v>
      </c>
      <c r="K6308" s="56">
        <v>556</v>
      </c>
      <c r="L6308" s="55" t="s">
        <v>2876</v>
      </c>
      <c r="M6308" s="55" t="s">
        <v>2824</v>
      </c>
      <c r="O6308" s="55" t="s">
        <v>178</v>
      </c>
    </row>
    <row r="6309" spans="2:15">
      <c r="B6309" s="20">
        <v>45905</v>
      </c>
      <c r="C6309" s="59">
        <v>40014675</v>
      </c>
      <c r="D6309" s="55" t="s">
        <v>44</v>
      </c>
      <c r="F6309" s="67">
        <v>26</v>
      </c>
      <c r="G6309" s="65">
        <v>37.44</v>
      </c>
      <c r="H6309" s="56" t="s">
        <v>80</v>
      </c>
      <c r="I6309" s="54">
        <v>8728189654</v>
      </c>
      <c r="J6309" s="56" t="s">
        <v>2978</v>
      </c>
      <c r="K6309" s="56">
        <v>557</v>
      </c>
      <c r="L6309" s="55" t="s">
        <v>2876</v>
      </c>
      <c r="M6309" s="55" t="s">
        <v>2824</v>
      </c>
      <c r="O6309" s="55" t="s">
        <v>178</v>
      </c>
    </row>
    <row r="6310" spans="2:15">
      <c r="B6310" s="20">
        <v>45905</v>
      </c>
      <c r="C6310" s="59">
        <v>40014675</v>
      </c>
      <c r="D6310" s="55" t="s">
        <v>44</v>
      </c>
      <c r="F6310" s="67">
        <v>26</v>
      </c>
      <c r="G6310" s="65">
        <v>37.44</v>
      </c>
      <c r="H6310" s="56" t="s">
        <v>80</v>
      </c>
      <c r="I6310" s="54">
        <v>8728189656</v>
      </c>
      <c r="J6310" s="56" t="s">
        <v>2978</v>
      </c>
      <c r="K6310" s="56">
        <v>558</v>
      </c>
      <c r="L6310" s="55" t="s">
        <v>2876</v>
      </c>
      <c r="M6310" s="55" t="s">
        <v>2824</v>
      </c>
      <c r="O6310" s="55" t="s">
        <v>178</v>
      </c>
    </row>
    <row r="6311" spans="2:15">
      <c r="B6311" s="20">
        <v>45905</v>
      </c>
      <c r="C6311" s="59">
        <v>40014675</v>
      </c>
      <c r="D6311" s="55" t="s">
        <v>44</v>
      </c>
      <c r="F6311" s="67">
        <v>26</v>
      </c>
      <c r="G6311" s="65">
        <v>37.44</v>
      </c>
      <c r="H6311" s="56" t="s">
        <v>80</v>
      </c>
      <c r="I6311" s="54">
        <v>8728189663</v>
      </c>
      <c r="J6311" s="56" t="s">
        <v>2978</v>
      </c>
      <c r="K6311" s="56">
        <v>559</v>
      </c>
      <c r="L6311" s="55" t="s">
        <v>2876</v>
      </c>
      <c r="M6311" s="55" t="s">
        <v>2824</v>
      </c>
      <c r="O6311" s="55" t="s">
        <v>178</v>
      </c>
    </row>
    <row r="6312" spans="2:15">
      <c r="B6312" s="20">
        <v>45905</v>
      </c>
      <c r="C6312" s="59">
        <v>40014675</v>
      </c>
      <c r="D6312" s="55" t="s">
        <v>44</v>
      </c>
      <c r="F6312" s="67">
        <v>26</v>
      </c>
      <c r="G6312" s="65">
        <v>37.44</v>
      </c>
      <c r="H6312" s="56" t="s">
        <v>80</v>
      </c>
      <c r="I6312" s="54">
        <v>8728189502</v>
      </c>
      <c r="J6312" s="56" t="s">
        <v>2978</v>
      </c>
      <c r="K6312" s="56">
        <v>560</v>
      </c>
      <c r="L6312" s="55" t="s">
        <v>2876</v>
      </c>
      <c r="M6312" s="55" t="s">
        <v>2824</v>
      </c>
      <c r="O6312" s="55" t="s">
        <v>178</v>
      </c>
    </row>
    <row r="6313" spans="2:15">
      <c r="B6313" s="20">
        <v>45905</v>
      </c>
      <c r="C6313" s="59">
        <v>50470190</v>
      </c>
      <c r="D6313" s="55" t="s">
        <v>12</v>
      </c>
      <c r="G6313" s="65">
        <v>1159200</v>
      </c>
      <c r="H6313" s="56" t="s">
        <v>962</v>
      </c>
      <c r="I6313" s="54" t="s">
        <v>3037</v>
      </c>
      <c r="J6313" s="56" t="s">
        <v>2978</v>
      </c>
      <c r="K6313" s="56">
        <v>3412</v>
      </c>
      <c r="L6313" s="55" t="s">
        <v>2152</v>
      </c>
      <c r="M6313" s="55" t="s">
        <v>2824</v>
      </c>
      <c r="N6313" s="4" t="s">
        <v>1905</v>
      </c>
      <c r="O6313" s="55" t="s">
        <v>178</v>
      </c>
    </row>
    <row r="6314" spans="2:15">
      <c r="B6314" s="20">
        <v>45905</v>
      </c>
      <c r="C6314" s="59">
        <v>50802401</v>
      </c>
      <c r="D6314" s="55" t="s">
        <v>13</v>
      </c>
      <c r="G6314" s="65">
        <v>1159200</v>
      </c>
      <c r="H6314" s="56" t="s">
        <v>962</v>
      </c>
      <c r="I6314" s="54" t="s">
        <v>3037</v>
      </c>
      <c r="J6314" s="56" t="s">
        <v>2978</v>
      </c>
      <c r="K6314" s="56">
        <v>3412</v>
      </c>
      <c r="L6314" s="55" t="s">
        <v>2152</v>
      </c>
      <c r="M6314" s="55" t="s">
        <v>2824</v>
      </c>
      <c r="N6314" s="4" t="s">
        <v>1905</v>
      </c>
      <c r="O6314" s="55" t="s">
        <v>178</v>
      </c>
    </row>
    <row r="6315" spans="2:15">
      <c r="B6315" s="20">
        <v>45905</v>
      </c>
      <c r="C6315" s="59">
        <v>50837509</v>
      </c>
      <c r="D6315" s="55" t="s">
        <v>14</v>
      </c>
      <c r="G6315" s="65">
        <v>2898000</v>
      </c>
      <c r="H6315" s="56" t="s">
        <v>962</v>
      </c>
      <c r="I6315" s="54" t="s">
        <v>3037</v>
      </c>
      <c r="J6315" s="56" t="s">
        <v>2978</v>
      </c>
      <c r="K6315" s="56">
        <v>3412</v>
      </c>
      <c r="L6315" s="55" t="s">
        <v>2152</v>
      </c>
      <c r="M6315" s="55" t="s">
        <v>2824</v>
      </c>
      <c r="N6315" s="4" t="s">
        <v>1905</v>
      </c>
      <c r="O6315" s="55" t="s">
        <v>178</v>
      </c>
    </row>
    <row r="6316" spans="2:15">
      <c r="B6316" s="20">
        <v>45908</v>
      </c>
      <c r="C6316" s="59">
        <v>50819323</v>
      </c>
      <c r="D6316" s="55" t="s">
        <v>40</v>
      </c>
      <c r="G6316" s="65">
        <v>230.4</v>
      </c>
      <c r="H6316" s="56" t="s">
        <v>80</v>
      </c>
      <c r="I6316" s="54">
        <v>8728224991</v>
      </c>
      <c r="J6316" s="56" t="s">
        <v>2978</v>
      </c>
      <c r="K6316" s="56">
        <v>3413</v>
      </c>
      <c r="L6316" s="55" t="s">
        <v>392</v>
      </c>
      <c r="M6316" s="55" t="s">
        <v>392</v>
      </c>
      <c r="N6316" s="4" t="s">
        <v>2851</v>
      </c>
      <c r="O6316" s="55" t="s">
        <v>178</v>
      </c>
    </row>
    <row r="6317" spans="2:15">
      <c r="B6317" s="20">
        <v>45908</v>
      </c>
      <c r="C6317" s="59">
        <v>50804970</v>
      </c>
      <c r="D6317" s="55" t="s">
        <v>857</v>
      </c>
      <c r="G6317" s="122">
        <v>420000</v>
      </c>
      <c r="H6317" s="56" t="s">
        <v>92</v>
      </c>
      <c r="I6317" s="54">
        <v>8728175403</v>
      </c>
      <c r="J6317" s="56" t="s">
        <v>2978</v>
      </c>
      <c r="K6317" s="56">
        <v>3414</v>
      </c>
      <c r="L6317" s="55" t="s">
        <v>2152</v>
      </c>
      <c r="M6317" s="55" t="s">
        <v>2824</v>
      </c>
      <c r="N6317" s="4" t="s">
        <v>1905</v>
      </c>
      <c r="O6317" s="55" t="s">
        <v>178</v>
      </c>
    </row>
    <row r="6318" spans="2:15">
      <c r="B6318" s="20">
        <v>45908</v>
      </c>
      <c r="C6318" s="59">
        <v>50804971</v>
      </c>
      <c r="D6318" s="55" t="s">
        <v>855</v>
      </c>
      <c r="G6318" s="122">
        <v>1440000</v>
      </c>
      <c r="H6318" s="56" t="s">
        <v>92</v>
      </c>
      <c r="I6318" s="54">
        <v>8728175403</v>
      </c>
      <c r="J6318" s="56" t="s">
        <v>2978</v>
      </c>
      <c r="K6318" s="56">
        <v>3414</v>
      </c>
      <c r="L6318" s="55" t="s">
        <v>2152</v>
      </c>
      <c r="M6318" s="55" t="s">
        <v>2824</v>
      </c>
      <c r="N6318" s="4" t="s">
        <v>1905</v>
      </c>
      <c r="O6318" s="55" t="s">
        <v>178</v>
      </c>
    </row>
    <row r="6319" spans="2:15">
      <c r="B6319" s="20">
        <v>45908</v>
      </c>
      <c r="C6319" s="59">
        <v>50804929</v>
      </c>
      <c r="D6319" s="55" t="s">
        <v>856</v>
      </c>
      <c r="G6319" s="122">
        <v>310000</v>
      </c>
      <c r="H6319" s="56" t="s">
        <v>92</v>
      </c>
      <c r="I6319" s="54">
        <v>8728175403</v>
      </c>
      <c r="J6319" s="56" t="s">
        <v>2978</v>
      </c>
      <c r="K6319" s="56">
        <v>3414</v>
      </c>
      <c r="L6319" s="55" t="s">
        <v>2152</v>
      </c>
      <c r="M6319" s="55" t="s">
        <v>2824</v>
      </c>
      <c r="N6319" s="4" t="s">
        <v>1905</v>
      </c>
      <c r="O6319" s="55" t="s">
        <v>178</v>
      </c>
    </row>
    <row r="6320" spans="2:15">
      <c r="B6320" s="20">
        <v>45908</v>
      </c>
      <c r="C6320" s="59">
        <v>50143893</v>
      </c>
      <c r="D6320" s="55" t="s">
        <v>24</v>
      </c>
      <c r="G6320" s="122">
        <v>2491.5</v>
      </c>
      <c r="H6320" s="56" t="s">
        <v>82</v>
      </c>
      <c r="I6320" s="54">
        <v>8728175403</v>
      </c>
      <c r="J6320" s="56" t="s">
        <v>2978</v>
      </c>
      <c r="K6320" s="56">
        <v>3414</v>
      </c>
      <c r="L6320" s="55" t="s">
        <v>2152</v>
      </c>
      <c r="M6320" s="55" t="s">
        <v>2824</v>
      </c>
      <c r="N6320" s="4" t="s">
        <v>1905</v>
      </c>
      <c r="O6320" s="55" t="s">
        <v>178</v>
      </c>
    </row>
    <row r="6321" spans="2:15">
      <c r="B6321" s="20">
        <v>45908</v>
      </c>
      <c r="C6321" s="59">
        <v>50272278</v>
      </c>
      <c r="D6321" s="55" t="s">
        <v>21</v>
      </c>
      <c r="G6321" s="122">
        <v>7200</v>
      </c>
      <c r="H6321" s="56" t="s">
        <v>92</v>
      </c>
      <c r="I6321" s="54">
        <v>8728175403</v>
      </c>
      <c r="J6321" s="56" t="s">
        <v>2978</v>
      </c>
      <c r="K6321" s="56">
        <v>3414</v>
      </c>
      <c r="L6321" s="55" t="s">
        <v>2152</v>
      </c>
      <c r="M6321" s="55" t="s">
        <v>2824</v>
      </c>
      <c r="N6321" s="4" t="s">
        <v>1905</v>
      </c>
      <c r="O6321" s="55" t="s">
        <v>178</v>
      </c>
    </row>
    <row r="6322" spans="2:15">
      <c r="B6322" s="20">
        <v>45908</v>
      </c>
      <c r="C6322" s="59">
        <v>40011149</v>
      </c>
      <c r="D6322" s="55" t="s">
        <v>37</v>
      </c>
      <c r="G6322" s="122">
        <v>720</v>
      </c>
      <c r="H6322" s="56" t="s">
        <v>80</v>
      </c>
      <c r="I6322" s="54">
        <v>8728175403</v>
      </c>
      <c r="J6322" s="56" t="s">
        <v>2978</v>
      </c>
      <c r="K6322" s="56">
        <v>3414</v>
      </c>
      <c r="L6322" s="55" t="s">
        <v>2152</v>
      </c>
      <c r="M6322" s="55" t="s">
        <v>2824</v>
      </c>
      <c r="N6322" s="4" t="s">
        <v>1905</v>
      </c>
      <c r="O6322" s="55" t="s">
        <v>178</v>
      </c>
    </row>
    <row r="6323" spans="2:15">
      <c r="B6323" s="20">
        <v>45909</v>
      </c>
      <c r="C6323" s="59">
        <v>50272278</v>
      </c>
      <c r="D6323" s="55" t="s">
        <v>21</v>
      </c>
      <c r="G6323" s="122">
        <v>3000</v>
      </c>
      <c r="H6323" s="56" t="s">
        <v>92</v>
      </c>
      <c r="I6323" s="54">
        <v>8728190638</v>
      </c>
      <c r="J6323" s="56" t="s">
        <v>2978</v>
      </c>
      <c r="K6323" s="56">
        <v>3415</v>
      </c>
      <c r="L6323" s="55" t="s">
        <v>2152</v>
      </c>
      <c r="M6323" s="55" t="s">
        <v>2824</v>
      </c>
      <c r="N6323" s="4" t="s">
        <v>1905</v>
      </c>
      <c r="O6323" s="55" t="s">
        <v>178</v>
      </c>
    </row>
    <row r="6324" spans="2:15">
      <c r="B6324" s="20">
        <v>45909</v>
      </c>
      <c r="C6324" s="59">
        <v>50470190</v>
      </c>
      <c r="D6324" s="55" t="s">
        <v>12</v>
      </c>
      <c r="G6324" s="122">
        <v>2318400</v>
      </c>
      <c r="H6324" s="123" t="s">
        <v>92</v>
      </c>
      <c r="I6324" s="54">
        <v>8728190638</v>
      </c>
      <c r="J6324" s="56" t="s">
        <v>2978</v>
      </c>
      <c r="K6324" s="56">
        <v>3415</v>
      </c>
      <c r="L6324" s="55" t="s">
        <v>2152</v>
      </c>
      <c r="M6324" s="55" t="s">
        <v>2824</v>
      </c>
      <c r="N6324" s="4" t="s">
        <v>1905</v>
      </c>
      <c r="O6324" s="55" t="s">
        <v>178</v>
      </c>
    </row>
    <row r="6325" spans="2:15">
      <c r="B6325" s="20">
        <v>45909</v>
      </c>
      <c r="C6325" s="59">
        <v>40011588</v>
      </c>
      <c r="D6325" s="55" t="s">
        <v>585</v>
      </c>
      <c r="G6325" s="122">
        <v>900</v>
      </c>
      <c r="H6325" s="56" t="s">
        <v>80</v>
      </c>
      <c r="I6325" s="54">
        <v>8728190638</v>
      </c>
      <c r="J6325" s="56" t="s">
        <v>2978</v>
      </c>
      <c r="K6325" s="56">
        <v>3415</v>
      </c>
      <c r="L6325" s="55" t="s">
        <v>2152</v>
      </c>
      <c r="M6325" s="55" t="s">
        <v>2824</v>
      </c>
      <c r="N6325" s="4" t="s">
        <v>1905</v>
      </c>
      <c r="O6325" s="55" t="s">
        <v>178</v>
      </c>
    </row>
    <row r="6326" spans="2:15">
      <c r="B6326" s="20">
        <v>45909</v>
      </c>
      <c r="C6326" s="59">
        <v>50142327</v>
      </c>
      <c r="D6326" s="55" t="s">
        <v>256</v>
      </c>
      <c r="G6326" s="122">
        <v>1906.8</v>
      </c>
      <c r="H6326" s="56" t="s">
        <v>82</v>
      </c>
      <c r="I6326" s="54">
        <v>8728190638</v>
      </c>
      <c r="J6326" s="56" t="s">
        <v>2978</v>
      </c>
      <c r="K6326" s="56">
        <v>3415</v>
      </c>
      <c r="L6326" s="55" t="s">
        <v>2152</v>
      </c>
      <c r="M6326" s="55" t="s">
        <v>2824</v>
      </c>
      <c r="N6326" s="4" t="s">
        <v>1905</v>
      </c>
      <c r="O6326" s="55" t="s">
        <v>178</v>
      </c>
    </row>
    <row r="6327" spans="2:15">
      <c r="B6327" s="20">
        <v>45909</v>
      </c>
      <c r="C6327" s="59">
        <v>50142334</v>
      </c>
      <c r="D6327" s="55" t="s">
        <v>257</v>
      </c>
      <c r="G6327" s="122">
        <v>476.7</v>
      </c>
      <c r="H6327" s="56" t="s">
        <v>82</v>
      </c>
      <c r="I6327" s="54">
        <v>8728190638</v>
      </c>
      <c r="J6327" s="56" t="s">
        <v>2978</v>
      </c>
      <c r="K6327" s="56">
        <v>3415</v>
      </c>
      <c r="L6327" s="55" t="s">
        <v>2152</v>
      </c>
      <c r="M6327" s="55" t="s">
        <v>2824</v>
      </c>
      <c r="N6327" s="4" t="s">
        <v>1905</v>
      </c>
      <c r="O6327" s="55" t="s">
        <v>178</v>
      </c>
    </row>
    <row r="6328" spans="2:15">
      <c r="B6328" s="20">
        <v>45910</v>
      </c>
      <c r="C6328" s="59">
        <v>50272278</v>
      </c>
      <c r="D6328" s="69" t="s">
        <v>21</v>
      </c>
      <c r="G6328" s="65">
        <v>13200</v>
      </c>
      <c r="H6328" s="56" t="s">
        <v>92</v>
      </c>
      <c r="I6328" s="54">
        <v>8728225031</v>
      </c>
      <c r="J6328" s="56" t="s">
        <v>2978</v>
      </c>
      <c r="K6328" s="56">
        <v>3416</v>
      </c>
      <c r="L6328" s="55" t="s">
        <v>2152</v>
      </c>
      <c r="M6328" s="55" t="s">
        <v>2824</v>
      </c>
      <c r="N6328" s="4" t="s">
        <v>1905</v>
      </c>
      <c r="O6328" s="55" t="s">
        <v>178</v>
      </c>
    </row>
    <row r="6329" spans="2:15">
      <c r="B6329" s="20">
        <v>45910</v>
      </c>
      <c r="C6329" s="59">
        <v>50804971</v>
      </c>
      <c r="D6329" s="55" t="s">
        <v>855</v>
      </c>
      <c r="G6329" s="65">
        <v>840000</v>
      </c>
      <c r="H6329" s="56" t="s">
        <v>92</v>
      </c>
      <c r="I6329" s="54">
        <v>8728222470</v>
      </c>
      <c r="J6329" s="56" t="s">
        <v>2978</v>
      </c>
      <c r="K6329" s="56">
        <v>3417</v>
      </c>
      <c r="L6329" s="55" t="s">
        <v>2152</v>
      </c>
      <c r="M6329" s="55" t="s">
        <v>2824</v>
      </c>
      <c r="N6329" s="4" t="s">
        <v>1905</v>
      </c>
      <c r="O6329" s="55" t="s">
        <v>178</v>
      </c>
    </row>
    <row r="6330" spans="2:15">
      <c r="B6330" s="20">
        <v>45910</v>
      </c>
      <c r="C6330" s="59">
        <v>50143875</v>
      </c>
      <c r="D6330" s="55" t="s">
        <v>713</v>
      </c>
      <c r="G6330" s="65">
        <v>7200</v>
      </c>
      <c r="H6330" s="56" t="s">
        <v>92</v>
      </c>
      <c r="I6330" s="54">
        <v>8728222470</v>
      </c>
      <c r="J6330" s="56" t="s">
        <v>2978</v>
      </c>
      <c r="K6330" s="56">
        <v>3417</v>
      </c>
      <c r="L6330" s="55" t="s">
        <v>2152</v>
      </c>
      <c r="M6330" s="55" t="s">
        <v>2824</v>
      </c>
      <c r="N6330" s="4" t="s">
        <v>1905</v>
      </c>
      <c r="O6330" s="55" t="s">
        <v>178</v>
      </c>
    </row>
    <row r="6331" spans="2:15">
      <c r="B6331" s="20">
        <v>45910</v>
      </c>
      <c r="C6331" s="59">
        <v>40004808</v>
      </c>
      <c r="D6331" s="55" t="s">
        <v>91</v>
      </c>
      <c r="G6331" s="65">
        <v>1350</v>
      </c>
      <c r="H6331" s="56" t="s">
        <v>1248</v>
      </c>
      <c r="I6331" s="54">
        <v>8728222470</v>
      </c>
      <c r="J6331" s="56" t="s">
        <v>2978</v>
      </c>
      <c r="K6331" s="56">
        <v>3417</v>
      </c>
      <c r="L6331" s="55" t="s">
        <v>2152</v>
      </c>
      <c r="M6331" s="55" t="s">
        <v>2824</v>
      </c>
      <c r="N6331" s="4" t="s">
        <v>1905</v>
      </c>
      <c r="O6331" s="55" t="s">
        <v>178</v>
      </c>
    </row>
    <row r="6332" spans="2:15">
      <c r="B6332" s="20">
        <v>45910</v>
      </c>
      <c r="C6332" s="59">
        <v>40011149</v>
      </c>
      <c r="D6332" s="55" t="s">
        <v>37</v>
      </c>
      <c r="G6332" s="65">
        <v>720</v>
      </c>
      <c r="H6332" s="56" t="s">
        <v>80</v>
      </c>
      <c r="I6332" s="54">
        <v>8728222470</v>
      </c>
      <c r="J6332" s="56" t="s">
        <v>2978</v>
      </c>
      <c r="K6332" s="56">
        <v>3417</v>
      </c>
      <c r="L6332" s="55" t="s">
        <v>2152</v>
      </c>
      <c r="M6332" s="55" t="s">
        <v>2824</v>
      </c>
      <c r="N6332" s="4" t="s">
        <v>1905</v>
      </c>
      <c r="O6332" s="55" t="s">
        <v>178</v>
      </c>
    </row>
    <row r="6333" spans="2:15">
      <c r="B6333" s="20">
        <v>45910</v>
      </c>
      <c r="C6333" s="59">
        <v>50470190</v>
      </c>
      <c r="D6333" s="55" t="s">
        <v>12</v>
      </c>
      <c r="G6333" s="65">
        <v>3477600</v>
      </c>
      <c r="H6333" s="56" t="s">
        <v>92</v>
      </c>
      <c r="I6333" s="54">
        <v>8728222470</v>
      </c>
      <c r="J6333" s="56" t="s">
        <v>2978</v>
      </c>
      <c r="K6333" s="56">
        <v>3417</v>
      </c>
      <c r="L6333" s="55" t="s">
        <v>2152</v>
      </c>
      <c r="M6333" s="55" t="s">
        <v>2824</v>
      </c>
      <c r="N6333" s="4" t="s">
        <v>1905</v>
      </c>
      <c r="O6333" s="55" t="s">
        <v>178</v>
      </c>
    </row>
    <row r="6334" spans="2:15">
      <c r="B6334" s="20">
        <v>45910</v>
      </c>
      <c r="C6334" s="59">
        <v>50145028</v>
      </c>
      <c r="D6334" s="55" t="s">
        <v>23</v>
      </c>
      <c r="G6334" s="65">
        <v>972</v>
      </c>
      <c r="H6334" s="56" t="s">
        <v>92</v>
      </c>
      <c r="I6334" s="54">
        <v>8728225027</v>
      </c>
      <c r="J6334" s="56" t="s">
        <v>2978</v>
      </c>
      <c r="K6334" s="56">
        <v>3418</v>
      </c>
      <c r="L6334" s="55" t="s">
        <v>326</v>
      </c>
      <c r="M6334" s="55" t="s">
        <v>326</v>
      </c>
      <c r="N6334" s="4" t="s">
        <v>239</v>
      </c>
      <c r="O6334" s="55" t="s">
        <v>178</v>
      </c>
    </row>
    <row r="6335" spans="2:15">
      <c r="B6335" s="20">
        <v>45910</v>
      </c>
      <c r="C6335" s="59">
        <v>50799770</v>
      </c>
      <c r="D6335" s="55" t="s">
        <v>17</v>
      </c>
      <c r="G6335" s="65">
        <v>2500</v>
      </c>
      <c r="H6335" s="56" t="s">
        <v>92</v>
      </c>
      <c r="I6335" s="54">
        <v>8728222615</v>
      </c>
      <c r="J6335" s="56" t="s">
        <v>2978</v>
      </c>
      <c r="K6335" s="56">
        <v>3418</v>
      </c>
      <c r="L6335" s="55" t="s">
        <v>326</v>
      </c>
      <c r="M6335" s="55" t="s">
        <v>326</v>
      </c>
      <c r="N6335" s="4" t="s">
        <v>239</v>
      </c>
      <c r="O6335" s="55" t="s">
        <v>178</v>
      </c>
    </row>
    <row r="6336" spans="2:15">
      <c r="B6336" s="20">
        <v>45910</v>
      </c>
      <c r="C6336" s="59">
        <v>50144376</v>
      </c>
      <c r="D6336" s="55" t="s">
        <v>19</v>
      </c>
      <c r="G6336" s="65">
        <v>3000</v>
      </c>
      <c r="H6336" s="56" t="s">
        <v>92</v>
      </c>
      <c r="I6336" s="54">
        <v>8728222615</v>
      </c>
      <c r="J6336" s="56" t="s">
        <v>2978</v>
      </c>
      <c r="K6336" s="56">
        <v>3418</v>
      </c>
      <c r="L6336" s="55" t="s">
        <v>326</v>
      </c>
      <c r="M6336" s="55" t="s">
        <v>326</v>
      </c>
      <c r="N6336" s="4" t="s">
        <v>239</v>
      </c>
      <c r="O6336" s="55" t="s">
        <v>178</v>
      </c>
    </row>
    <row r="6337" spans="2:15">
      <c r="B6337" s="20">
        <v>45911</v>
      </c>
      <c r="C6337" s="59">
        <v>50272278</v>
      </c>
      <c r="D6337" s="69" t="s">
        <v>21</v>
      </c>
      <c r="G6337" s="65">
        <v>6000</v>
      </c>
      <c r="H6337" s="56" t="s">
        <v>92</v>
      </c>
      <c r="I6337" s="54">
        <v>8728225062</v>
      </c>
      <c r="J6337" s="56" t="s">
        <v>2978</v>
      </c>
      <c r="K6337" s="56">
        <v>3419</v>
      </c>
      <c r="L6337" s="55" t="s">
        <v>2152</v>
      </c>
      <c r="M6337" s="55" t="s">
        <v>2824</v>
      </c>
      <c r="N6337" s="4" t="s">
        <v>1905</v>
      </c>
      <c r="O6337" s="55" t="s">
        <v>178</v>
      </c>
    </row>
    <row r="6338" spans="2:15">
      <c r="B6338" s="20">
        <v>45911</v>
      </c>
      <c r="C6338" s="59">
        <v>50470190</v>
      </c>
      <c r="D6338" s="66" t="s">
        <v>12</v>
      </c>
      <c r="G6338" s="65">
        <v>2898000</v>
      </c>
      <c r="H6338" s="56" t="s">
        <v>92</v>
      </c>
      <c r="I6338" s="54">
        <v>8728225062</v>
      </c>
      <c r="J6338" s="56" t="s">
        <v>2978</v>
      </c>
      <c r="K6338" s="56">
        <v>3419</v>
      </c>
      <c r="L6338" s="55" t="s">
        <v>2152</v>
      </c>
      <c r="M6338" s="55" t="s">
        <v>2824</v>
      </c>
      <c r="N6338" s="4" t="s">
        <v>1905</v>
      </c>
      <c r="O6338" s="55" t="s">
        <v>178</v>
      </c>
    </row>
    <row r="6339" spans="2:15">
      <c r="B6339" s="20">
        <v>45912</v>
      </c>
      <c r="C6339" s="59">
        <v>50272278</v>
      </c>
      <c r="D6339" s="69" t="s">
        <v>21</v>
      </c>
      <c r="G6339" s="65">
        <v>14400</v>
      </c>
      <c r="H6339" s="56" t="s">
        <v>92</v>
      </c>
      <c r="I6339" s="54">
        <v>8728270188</v>
      </c>
      <c r="J6339" s="56" t="s">
        <v>2978</v>
      </c>
      <c r="K6339" s="56">
        <v>3420</v>
      </c>
      <c r="L6339" s="55" t="s">
        <v>2152</v>
      </c>
      <c r="M6339" s="55" t="s">
        <v>2824</v>
      </c>
      <c r="N6339" s="4" t="s">
        <v>177</v>
      </c>
      <c r="O6339" s="55" t="s">
        <v>178</v>
      </c>
    </row>
    <row r="6340" spans="2:15">
      <c r="B6340" s="20">
        <v>45912</v>
      </c>
      <c r="C6340" s="59">
        <v>40004808</v>
      </c>
      <c r="D6340" s="55" t="s">
        <v>91</v>
      </c>
      <c r="G6340" s="65">
        <v>900</v>
      </c>
      <c r="H6340" s="56" t="s">
        <v>1248</v>
      </c>
      <c r="I6340" s="54">
        <v>8728240850</v>
      </c>
      <c r="J6340" s="56" t="s">
        <v>2978</v>
      </c>
      <c r="K6340" s="56">
        <v>3421</v>
      </c>
      <c r="L6340" s="55" t="s">
        <v>2152</v>
      </c>
      <c r="M6340" s="55" t="s">
        <v>2824</v>
      </c>
      <c r="N6340" s="4" t="s">
        <v>1905</v>
      </c>
      <c r="O6340" s="55" t="s">
        <v>178</v>
      </c>
    </row>
    <row r="6341" spans="2:15">
      <c r="B6341" s="20">
        <v>45912</v>
      </c>
      <c r="C6341" s="59">
        <v>40011780</v>
      </c>
      <c r="D6341" s="55" t="s">
        <v>584</v>
      </c>
      <c r="G6341" s="65">
        <v>870</v>
      </c>
      <c r="H6341" s="56" t="s">
        <v>80</v>
      </c>
      <c r="I6341" s="54">
        <v>8728270058</v>
      </c>
      <c r="J6341" s="56" t="s">
        <v>2978</v>
      </c>
      <c r="K6341" s="56">
        <v>3421</v>
      </c>
      <c r="L6341" s="55" t="s">
        <v>2152</v>
      </c>
      <c r="M6341" s="55" t="s">
        <v>2824</v>
      </c>
      <c r="N6341" s="4" t="s">
        <v>1905</v>
      </c>
      <c r="O6341" s="55" t="s">
        <v>178</v>
      </c>
    </row>
    <row r="6342" spans="2:15">
      <c r="B6342" s="20">
        <v>45912</v>
      </c>
      <c r="C6342" s="59">
        <v>40011588</v>
      </c>
      <c r="D6342" s="55" t="s">
        <v>585</v>
      </c>
      <c r="G6342" s="65">
        <v>900</v>
      </c>
      <c r="H6342" s="56" t="s">
        <v>80</v>
      </c>
      <c r="I6342" s="54">
        <v>8728270058</v>
      </c>
      <c r="J6342" s="56" t="s">
        <v>2978</v>
      </c>
      <c r="K6342" s="56">
        <v>3421</v>
      </c>
      <c r="L6342" s="55" t="s">
        <v>2152</v>
      </c>
      <c r="M6342" s="55" t="s">
        <v>2824</v>
      </c>
      <c r="N6342" s="4" t="s">
        <v>1905</v>
      </c>
      <c r="O6342" s="55" t="s">
        <v>178</v>
      </c>
    </row>
    <row r="6343" spans="2:15">
      <c r="B6343" s="20">
        <v>45912</v>
      </c>
      <c r="C6343" s="59">
        <v>50802401</v>
      </c>
      <c r="D6343" s="55" t="s">
        <v>13</v>
      </c>
      <c r="G6343" s="65">
        <v>3477600</v>
      </c>
      <c r="H6343" s="56" t="s">
        <v>92</v>
      </c>
      <c r="I6343" s="54">
        <v>8728240850</v>
      </c>
      <c r="J6343" s="56" t="s">
        <v>2978</v>
      </c>
      <c r="K6343" s="56">
        <v>3421</v>
      </c>
      <c r="L6343" s="55" t="s">
        <v>2152</v>
      </c>
      <c r="M6343" s="55" t="s">
        <v>2824</v>
      </c>
      <c r="N6343" s="4" t="s">
        <v>1905</v>
      </c>
      <c r="O6343" s="55" t="s">
        <v>178</v>
      </c>
    </row>
    <row r="6344" spans="2:15">
      <c r="B6344" s="20">
        <v>45912</v>
      </c>
      <c r="C6344" s="59">
        <v>50509889</v>
      </c>
      <c r="D6344" s="55" t="s">
        <v>671</v>
      </c>
      <c r="G6344" s="65">
        <v>264000</v>
      </c>
      <c r="H6344" s="56" t="s">
        <v>92</v>
      </c>
      <c r="I6344" s="54">
        <v>8728240850</v>
      </c>
      <c r="J6344" s="56" t="s">
        <v>2978</v>
      </c>
      <c r="K6344" s="56">
        <v>3421</v>
      </c>
      <c r="L6344" s="55" t="s">
        <v>2152</v>
      </c>
      <c r="M6344" s="55" t="s">
        <v>2824</v>
      </c>
      <c r="N6344" s="4" t="s">
        <v>1905</v>
      </c>
      <c r="O6344" s="55" t="s">
        <v>178</v>
      </c>
    </row>
    <row r="6345" spans="2:15">
      <c r="B6345" s="20">
        <v>45912</v>
      </c>
      <c r="C6345" s="59">
        <v>50851663</v>
      </c>
      <c r="D6345" s="55" t="s">
        <v>2526</v>
      </c>
      <c r="G6345" s="65">
        <v>360000</v>
      </c>
      <c r="H6345" s="56" t="s">
        <v>80</v>
      </c>
      <c r="I6345" s="54">
        <v>8728240850</v>
      </c>
      <c r="J6345" s="56" t="s">
        <v>2978</v>
      </c>
      <c r="K6345" s="56">
        <v>3421</v>
      </c>
      <c r="L6345" s="55" t="s">
        <v>2152</v>
      </c>
      <c r="M6345" s="55" t="s">
        <v>2824</v>
      </c>
      <c r="N6345" s="4" t="s">
        <v>1905</v>
      </c>
      <c r="O6345" s="55" t="s">
        <v>178</v>
      </c>
    </row>
    <row r="6346" spans="2:15">
      <c r="B6346" s="20">
        <v>45912</v>
      </c>
      <c r="C6346" s="59">
        <v>50272278</v>
      </c>
      <c r="D6346" s="55" t="s">
        <v>21</v>
      </c>
      <c r="G6346" s="65">
        <v>7200</v>
      </c>
      <c r="H6346" s="56" t="s">
        <v>92</v>
      </c>
      <c r="I6346" s="54">
        <v>8728270192</v>
      </c>
      <c r="J6346" s="56" t="s">
        <v>2978</v>
      </c>
      <c r="K6346" s="56">
        <v>3422</v>
      </c>
      <c r="L6346" s="55" t="s">
        <v>2152</v>
      </c>
      <c r="M6346" s="55" t="s">
        <v>2824</v>
      </c>
      <c r="N6346" s="4" t="s">
        <v>177</v>
      </c>
      <c r="O6346" s="55" t="s">
        <v>178</v>
      </c>
    </row>
    <row r="6347" spans="2:15">
      <c r="B6347" s="20">
        <v>45912</v>
      </c>
      <c r="C6347" s="59">
        <v>50802401</v>
      </c>
      <c r="D6347" s="55" t="s">
        <v>13</v>
      </c>
      <c r="G6347" s="65">
        <v>1159200</v>
      </c>
      <c r="H6347" s="56" t="s">
        <v>92</v>
      </c>
      <c r="I6347" s="54">
        <v>8728240852</v>
      </c>
      <c r="J6347" s="56" t="s">
        <v>2978</v>
      </c>
      <c r="K6347" s="56">
        <v>3422</v>
      </c>
      <c r="L6347" s="55" t="s">
        <v>2152</v>
      </c>
      <c r="M6347" s="55" t="s">
        <v>2824</v>
      </c>
      <c r="N6347" s="4" t="s">
        <v>177</v>
      </c>
      <c r="O6347" s="55" t="s">
        <v>178</v>
      </c>
    </row>
    <row r="6348" spans="2:15">
      <c r="B6348" s="20">
        <v>45912</v>
      </c>
      <c r="C6348" s="59">
        <v>50142327</v>
      </c>
      <c r="D6348" s="55" t="s">
        <v>256</v>
      </c>
      <c r="G6348" s="65">
        <v>953.4</v>
      </c>
      <c r="H6348" s="56" t="s">
        <v>82</v>
      </c>
      <c r="I6348" s="54">
        <v>8728240852</v>
      </c>
      <c r="J6348" s="56" t="s">
        <v>2978</v>
      </c>
      <c r="K6348" s="56">
        <v>3422</v>
      </c>
      <c r="L6348" s="55" t="s">
        <v>2152</v>
      </c>
      <c r="M6348" s="55" t="s">
        <v>2824</v>
      </c>
      <c r="N6348" s="4" t="s">
        <v>177</v>
      </c>
      <c r="O6348" s="55" t="s">
        <v>178</v>
      </c>
    </row>
    <row r="6349" spans="2:15">
      <c r="B6349" s="20">
        <v>45912</v>
      </c>
      <c r="C6349" s="59">
        <v>50142334</v>
      </c>
      <c r="D6349" s="55" t="s">
        <v>257</v>
      </c>
      <c r="G6349" s="65">
        <v>1430.1</v>
      </c>
      <c r="H6349" s="56" t="s">
        <v>82</v>
      </c>
      <c r="I6349" s="54">
        <v>8728240852</v>
      </c>
      <c r="J6349" s="56" t="s">
        <v>2978</v>
      </c>
      <c r="K6349" s="56">
        <v>3422</v>
      </c>
      <c r="L6349" s="55" t="s">
        <v>2152</v>
      </c>
      <c r="M6349" s="55" t="s">
        <v>2824</v>
      </c>
      <c r="N6349" s="4" t="s">
        <v>177</v>
      </c>
      <c r="O6349" s="55" t="s">
        <v>178</v>
      </c>
    </row>
    <row r="6350" spans="2:15">
      <c r="B6350" s="20">
        <v>45915</v>
      </c>
      <c r="C6350" s="59">
        <v>50272278</v>
      </c>
      <c r="D6350" s="55" t="s">
        <v>21</v>
      </c>
      <c r="G6350" s="65">
        <v>13200</v>
      </c>
      <c r="H6350" s="56" t="s">
        <v>92</v>
      </c>
      <c r="I6350" s="54">
        <v>8728270242</v>
      </c>
      <c r="J6350" s="56" t="s">
        <v>2978</v>
      </c>
      <c r="K6350" s="56">
        <v>3423</v>
      </c>
      <c r="L6350" s="55" t="s">
        <v>2152</v>
      </c>
      <c r="M6350" s="55" t="s">
        <v>2824</v>
      </c>
      <c r="N6350" s="4" t="s">
        <v>1905</v>
      </c>
      <c r="O6350" s="55" t="s">
        <v>178</v>
      </c>
    </row>
    <row r="6351" spans="2:15">
      <c r="B6351" s="20">
        <v>45915</v>
      </c>
      <c r="C6351" s="59">
        <v>50272278</v>
      </c>
      <c r="D6351" s="55" t="s">
        <v>21</v>
      </c>
      <c r="G6351" s="65">
        <v>3000</v>
      </c>
      <c r="H6351" s="56" t="s">
        <v>92</v>
      </c>
      <c r="I6351" s="54" t="s">
        <v>2874</v>
      </c>
      <c r="J6351" s="56" t="s">
        <v>2978</v>
      </c>
      <c r="K6351" s="56">
        <v>3424</v>
      </c>
      <c r="L6351" s="55" t="s">
        <v>2152</v>
      </c>
      <c r="M6351" s="55" t="s">
        <v>2824</v>
      </c>
      <c r="N6351" s="4" t="s">
        <v>1905</v>
      </c>
      <c r="O6351" s="55" t="s">
        <v>178</v>
      </c>
    </row>
    <row r="6352" spans="2:15">
      <c r="B6352" s="20">
        <v>45915</v>
      </c>
      <c r="C6352" s="59">
        <v>40004808</v>
      </c>
      <c r="D6352" s="55" t="s">
        <v>91</v>
      </c>
      <c r="G6352" s="65">
        <v>900</v>
      </c>
      <c r="H6352" s="56" t="s">
        <v>80</v>
      </c>
      <c r="I6352" s="54">
        <v>8728270159</v>
      </c>
      <c r="J6352" s="56" t="s">
        <v>2978</v>
      </c>
      <c r="K6352" s="56">
        <v>3424</v>
      </c>
      <c r="L6352" s="55" t="s">
        <v>2152</v>
      </c>
      <c r="M6352" s="55" t="s">
        <v>2824</v>
      </c>
      <c r="N6352" s="4" t="s">
        <v>1905</v>
      </c>
      <c r="O6352" s="55" t="s">
        <v>178</v>
      </c>
    </row>
    <row r="6353" spans="2:15">
      <c r="B6353" s="20">
        <v>45915</v>
      </c>
      <c r="C6353" s="59">
        <v>40011148</v>
      </c>
      <c r="D6353" s="55" t="s">
        <v>86</v>
      </c>
      <c r="G6353" s="65">
        <v>490</v>
      </c>
      <c r="H6353" s="56" t="s">
        <v>80</v>
      </c>
      <c r="I6353" s="54">
        <v>8728270159</v>
      </c>
      <c r="J6353" s="56" t="s">
        <v>2978</v>
      </c>
      <c r="K6353" s="56">
        <v>3424</v>
      </c>
      <c r="L6353" s="55" t="s">
        <v>2152</v>
      </c>
      <c r="M6353" s="55" t="s">
        <v>2824</v>
      </c>
      <c r="N6353" s="4" t="s">
        <v>1905</v>
      </c>
      <c r="O6353" s="55" t="s">
        <v>178</v>
      </c>
    </row>
    <row r="6354" spans="2:15">
      <c r="B6354" s="20">
        <v>45915</v>
      </c>
      <c r="C6354" s="59">
        <v>50470190</v>
      </c>
      <c r="D6354" s="55" t="s">
        <v>12</v>
      </c>
      <c r="G6354" s="65">
        <v>2898000</v>
      </c>
      <c r="H6354" s="56" t="s">
        <v>92</v>
      </c>
      <c r="I6354" s="54">
        <v>8728270159</v>
      </c>
      <c r="J6354" s="56" t="s">
        <v>2978</v>
      </c>
      <c r="K6354" s="56">
        <v>3424</v>
      </c>
      <c r="L6354" s="55" t="s">
        <v>2152</v>
      </c>
      <c r="M6354" s="55" t="s">
        <v>2824</v>
      </c>
      <c r="N6354" s="4" t="s">
        <v>1905</v>
      </c>
      <c r="O6354" s="55" t="s">
        <v>178</v>
      </c>
    </row>
    <row r="6355" spans="2:15">
      <c r="B6355" s="20">
        <v>45915</v>
      </c>
      <c r="C6355" s="59">
        <v>40011659</v>
      </c>
      <c r="D6355" s="55" t="s">
        <v>89</v>
      </c>
      <c r="G6355" s="65">
        <v>360</v>
      </c>
      <c r="H6355" s="56" t="s">
        <v>80</v>
      </c>
      <c r="I6355" s="54">
        <v>8728270159</v>
      </c>
      <c r="J6355" s="56" t="s">
        <v>2978</v>
      </c>
      <c r="K6355" s="56">
        <v>3424</v>
      </c>
      <c r="L6355" s="55" t="s">
        <v>2152</v>
      </c>
      <c r="M6355" s="55" t="s">
        <v>2824</v>
      </c>
      <c r="N6355" s="4" t="s">
        <v>1905</v>
      </c>
      <c r="O6355" s="55" t="s">
        <v>178</v>
      </c>
    </row>
    <row r="6356" spans="2:15">
      <c r="B6356" s="20">
        <v>45916</v>
      </c>
      <c r="C6356" s="59">
        <v>20016185</v>
      </c>
      <c r="D6356" s="55" t="s">
        <v>285</v>
      </c>
      <c r="G6356" s="65">
        <v>10000</v>
      </c>
      <c r="H6356" s="56" t="s">
        <v>92</v>
      </c>
      <c r="I6356" s="54">
        <v>8728287587</v>
      </c>
      <c r="J6356" s="56" t="s">
        <v>2978</v>
      </c>
      <c r="K6356" s="56">
        <v>3425</v>
      </c>
      <c r="L6356" s="55" t="s">
        <v>2152</v>
      </c>
      <c r="M6356" s="55" t="s">
        <v>2824</v>
      </c>
      <c r="N6356" s="4" t="s">
        <v>1905</v>
      </c>
      <c r="O6356" s="55" t="s">
        <v>178</v>
      </c>
    </row>
    <row r="6357" spans="2:15">
      <c r="B6357" s="20">
        <v>45916</v>
      </c>
      <c r="C6357" s="59">
        <v>50144376</v>
      </c>
      <c r="D6357" s="55" t="s">
        <v>19</v>
      </c>
      <c r="G6357" s="65">
        <v>3600</v>
      </c>
      <c r="H6357" s="56" t="s">
        <v>92</v>
      </c>
      <c r="I6357" s="54">
        <v>8728287587</v>
      </c>
      <c r="J6357" s="56" t="s">
        <v>2978</v>
      </c>
      <c r="K6357" s="56">
        <v>3425</v>
      </c>
      <c r="L6357" s="55" t="s">
        <v>2152</v>
      </c>
      <c r="M6357" s="55" t="s">
        <v>2824</v>
      </c>
      <c r="N6357" s="4" t="s">
        <v>1905</v>
      </c>
      <c r="O6357" s="55" t="s">
        <v>178</v>
      </c>
    </row>
    <row r="6358" spans="2:15">
      <c r="B6358" s="20">
        <v>45916</v>
      </c>
      <c r="C6358" s="59">
        <v>40011148</v>
      </c>
      <c r="D6358" s="55" t="s">
        <v>86</v>
      </c>
      <c r="G6358" s="65">
        <v>450</v>
      </c>
      <c r="H6358" s="56" t="s">
        <v>80</v>
      </c>
      <c r="I6358" s="54">
        <v>8728287587</v>
      </c>
      <c r="J6358" s="56" t="s">
        <v>2978</v>
      </c>
      <c r="K6358" s="56">
        <v>3425</v>
      </c>
      <c r="L6358" s="55" t="s">
        <v>2152</v>
      </c>
      <c r="M6358" s="55" t="s">
        <v>2824</v>
      </c>
      <c r="N6358" s="4" t="s">
        <v>1905</v>
      </c>
      <c r="O6358" s="55" t="s">
        <v>178</v>
      </c>
    </row>
    <row r="6359" spans="2:15">
      <c r="B6359" s="20">
        <v>45916</v>
      </c>
      <c r="C6359" s="59">
        <v>50470190</v>
      </c>
      <c r="D6359" s="55" t="s">
        <v>12</v>
      </c>
      <c r="G6359" s="65">
        <v>2608200</v>
      </c>
      <c r="H6359" s="56" t="s">
        <v>92</v>
      </c>
      <c r="I6359" s="54">
        <v>8728287587</v>
      </c>
      <c r="J6359" s="56" t="s">
        <v>2978</v>
      </c>
      <c r="K6359" s="56">
        <v>3425</v>
      </c>
      <c r="L6359" s="55" t="s">
        <v>2152</v>
      </c>
      <c r="M6359" s="55" t="s">
        <v>2824</v>
      </c>
      <c r="N6359" s="4" t="s">
        <v>1905</v>
      </c>
      <c r="O6359" s="55" t="s">
        <v>178</v>
      </c>
    </row>
    <row r="6360" spans="2:15">
      <c r="B6360" s="20">
        <v>45916</v>
      </c>
      <c r="C6360" s="59">
        <v>40011780</v>
      </c>
      <c r="D6360" s="55" t="s">
        <v>584</v>
      </c>
      <c r="G6360" s="65">
        <v>900</v>
      </c>
      <c r="H6360" s="56" t="s">
        <v>80</v>
      </c>
      <c r="I6360" s="54">
        <v>8728287587</v>
      </c>
      <c r="J6360" s="56" t="s">
        <v>2978</v>
      </c>
      <c r="K6360" s="56">
        <v>3425</v>
      </c>
      <c r="L6360" s="55" t="s">
        <v>2152</v>
      </c>
      <c r="M6360" s="55" t="s">
        <v>2824</v>
      </c>
      <c r="N6360" s="4" t="s">
        <v>1905</v>
      </c>
      <c r="O6360" s="55" t="s">
        <v>178</v>
      </c>
    </row>
    <row r="6361" spans="2:15">
      <c r="B6361" s="20">
        <v>45916</v>
      </c>
      <c r="C6361" s="59">
        <v>40011660</v>
      </c>
      <c r="D6361" s="55" t="s">
        <v>528</v>
      </c>
      <c r="G6361" s="65">
        <v>450</v>
      </c>
      <c r="H6361" s="56" t="s">
        <v>92</v>
      </c>
      <c r="I6361" s="54">
        <v>8728287587</v>
      </c>
      <c r="J6361" s="56" t="s">
        <v>2978</v>
      </c>
      <c r="K6361" s="56">
        <v>3425</v>
      </c>
      <c r="L6361" s="55" t="s">
        <v>2152</v>
      </c>
      <c r="M6361" s="55" t="s">
        <v>2824</v>
      </c>
      <c r="N6361" s="4" t="s">
        <v>1905</v>
      </c>
      <c r="O6361" s="55" t="s">
        <v>178</v>
      </c>
    </row>
    <row r="6362" spans="2:15">
      <c r="B6362" s="20">
        <v>45916</v>
      </c>
      <c r="C6362" s="59">
        <v>40010083</v>
      </c>
      <c r="D6362" s="55" t="s">
        <v>85</v>
      </c>
      <c r="G6362" s="65">
        <v>3096</v>
      </c>
      <c r="H6362" s="56" t="s">
        <v>80</v>
      </c>
      <c r="I6362" s="54">
        <v>8728287587</v>
      </c>
      <c r="J6362" s="56" t="s">
        <v>2978</v>
      </c>
      <c r="K6362" s="56">
        <v>3425</v>
      </c>
      <c r="L6362" s="55" t="s">
        <v>2152</v>
      </c>
      <c r="M6362" s="55" t="s">
        <v>2824</v>
      </c>
      <c r="N6362" s="4" t="s">
        <v>1905</v>
      </c>
      <c r="O6362" s="55" t="s">
        <v>178</v>
      </c>
    </row>
    <row r="6363" spans="2:15">
      <c r="B6363" s="20">
        <v>45917</v>
      </c>
      <c r="C6363" s="59">
        <v>50821962</v>
      </c>
      <c r="D6363" s="55" t="s">
        <v>2020</v>
      </c>
      <c r="G6363" s="65">
        <v>3143.2</v>
      </c>
      <c r="H6363" s="56" t="s">
        <v>82</v>
      </c>
      <c r="I6363" s="54">
        <v>8728370562</v>
      </c>
      <c r="J6363" s="56" t="s">
        <v>3038</v>
      </c>
      <c r="K6363" s="56">
        <v>3427</v>
      </c>
      <c r="L6363" s="55" t="s">
        <v>2152</v>
      </c>
      <c r="M6363" s="55" t="s">
        <v>2824</v>
      </c>
      <c r="N6363" s="4" t="s">
        <v>1905</v>
      </c>
      <c r="O6363" s="55" t="s">
        <v>178</v>
      </c>
    </row>
    <row r="6364" spans="2:15">
      <c r="B6364" s="20">
        <v>45917</v>
      </c>
      <c r="C6364" s="59">
        <v>40007942</v>
      </c>
      <c r="D6364" s="55" t="s">
        <v>219</v>
      </c>
      <c r="G6364" s="65">
        <v>2254</v>
      </c>
      <c r="H6364" s="56" t="s">
        <v>80</v>
      </c>
      <c r="I6364" s="54">
        <v>8728385046</v>
      </c>
      <c r="J6364" s="56" t="s">
        <v>2978</v>
      </c>
      <c r="K6364" s="56">
        <v>3427</v>
      </c>
      <c r="L6364" s="55" t="s">
        <v>2152</v>
      </c>
      <c r="M6364" s="55" t="s">
        <v>2824</v>
      </c>
      <c r="N6364" s="4" t="s">
        <v>1905</v>
      </c>
      <c r="O6364" s="55" t="s">
        <v>178</v>
      </c>
    </row>
    <row r="6365" spans="2:15">
      <c r="B6365" s="20">
        <v>45917</v>
      </c>
      <c r="C6365" s="59">
        <v>50470190</v>
      </c>
      <c r="D6365" s="55" t="s">
        <v>12</v>
      </c>
      <c r="G6365" s="65">
        <v>3767400</v>
      </c>
      <c r="H6365" s="123" t="s">
        <v>92</v>
      </c>
      <c r="I6365" s="54">
        <v>8728305257</v>
      </c>
      <c r="J6365" s="56" t="s">
        <v>2978</v>
      </c>
      <c r="K6365" s="56">
        <v>3427</v>
      </c>
      <c r="L6365" s="55" t="s">
        <v>2152</v>
      </c>
      <c r="M6365" s="55" t="s">
        <v>2824</v>
      </c>
      <c r="N6365" s="4" t="s">
        <v>1905</v>
      </c>
      <c r="O6365" s="55" t="s">
        <v>178</v>
      </c>
    </row>
    <row r="6366" spans="2:15">
      <c r="B6366" s="20">
        <v>45917</v>
      </c>
      <c r="C6366" s="59">
        <v>50852115</v>
      </c>
      <c r="D6366" s="55" t="s">
        <v>3039</v>
      </c>
      <c r="G6366" s="65">
        <v>5000</v>
      </c>
      <c r="H6366" s="56" t="s">
        <v>92</v>
      </c>
      <c r="I6366" s="54">
        <v>8728305268</v>
      </c>
      <c r="J6366" s="56" t="s">
        <v>2978</v>
      </c>
      <c r="K6366" s="56">
        <v>3426</v>
      </c>
      <c r="L6366" s="55" t="s">
        <v>326</v>
      </c>
      <c r="M6366" s="55" t="s">
        <v>326</v>
      </c>
      <c r="N6366" s="4" t="s">
        <v>239</v>
      </c>
      <c r="O6366" s="55" t="s">
        <v>178</v>
      </c>
    </row>
    <row r="6367" spans="2:15">
      <c r="B6367" s="20">
        <v>45917</v>
      </c>
      <c r="C6367" s="59">
        <v>50842150</v>
      </c>
      <c r="D6367" s="55" t="s">
        <v>3040</v>
      </c>
      <c r="G6367" s="65">
        <v>5000</v>
      </c>
      <c r="H6367" s="56" t="s">
        <v>92</v>
      </c>
      <c r="I6367" s="54">
        <v>8728305268</v>
      </c>
      <c r="J6367" s="56" t="s">
        <v>2978</v>
      </c>
      <c r="K6367" s="56">
        <v>3426</v>
      </c>
      <c r="L6367" s="55" t="s">
        <v>326</v>
      </c>
      <c r="M6367" s="55" t="s">
        <v>326</v>
      </c>
      <c r="N6367" s="4" t="s">
        <v>239</v>
      </c>
      <c r="O6367" s="55" t="s">
        <v>178</v>
      </c>
    </row>
    <row r="6368" spans="2:15">
      <c r="B6368" s="20">
        <v>45918</v>
      </c>
      <c r="C6368" s="59">
        <v>50010080</v>
      </c>
      <c r="D6368" s="55" t="s">
        <v>1657</v>
      </c>
      <c r="G6368" s="65">
        <v>4000</v>
      </c>
      <c r="H6368" s="56" t="s">
        <v>82</v>
      </c>
      <c r="I6368" s="54">
        <v>8728322514</v>
      </c>
      <c r="J6368" s="56" t="s">
        <v>2978</v>
      </c>
      <c r="K6368" s="56">
        <v>3428</v>
      </c>
      <c r="L6368" s="55" t="s">
        <v>2152</v>
      </c>
      <c r="M6368" s="55" t="s">
        <v>2824</v>
      </c>
      <c r="N6368" s="4" t="s">
        <v>1905</v>
      </c>
      <c r="O6368" s="55" t="s">
        <v>178</v>
      </c>
    </row>
    <row r="6369" spans="2:15">
      <c r="B6369" s="20">
        <v>45918</v>
      </c>
      <c r="C6369" s="59">
        <v>50272278</v>
      </c>
      <c r="D6369" s="55" t="s">
        <v>21</v>
      </c>
      <c r="G6369" s="65">
        <v>2400</v>
      </c>
      <c r="H6369" s="56" t="s">
        <v>92</v>
      </c>
      <c r="I6369" s="54">
        <v>8728322514</v>
      </c>
      <c r="J6369" s="56" t="s">
        <v>2978</v>
      </c>
      <c r="K6369" s="56">
        <v>3428</v>
      </c>
      <c r="L6369" s="55" t="s">
        <v>2152</v>
      </c>
      <c r="M6369" s="55" t="s">
        <v>2824</v>
      </c>
      <c r="N6369" s="4" t="s">
        <v>1905</v>
      </c>
      <c r="O6369" s="55" t="s">
        <v>178</v>
      </c>
    </row>
    <row r="6370" spans="2:15">
      <c r="B6370" s="20">
        <v>45918</v>
      </c>
      <c r="C6370" s="59">
        <v>50470190</v>
      </c>
      <c r="D6370" s="55" t="s">
        <v>12</v>
      </c>
      <c r="G6370" s="65">
        <v>1738800</v>
      </c>
      <c r="H6370" s="56" t="s">
        <v>92</v>
      </c>
      <c r="I6370" s="54">
        <v>8728322514</v>
      </c>
      <c r="J6370" s="56" t="s">
        <v>2978</v>
      </c>
      <c r="K6370" s="56">
        <v>3428</v>
      </c>
      <c r="L6370" s="55" t="s">
        <v>2152</v>
      </c>
      <c r="M6370" s="55" t="s">
        <v>2824</v>
      </c>
      <c r="N6370" s="4" t="s">
        <v>1905</v>
      </c>
      <c r="O6370" s="55" t="s">
        <v>178</v>
      </c>
    </row>
    <row r="6371" spans="2:15">
      <c r="B6371" s="20">
        <v>45918</v>
      </c>
      <c r="C6371" s="59">
        <v>50142327</v>
      </c>
      <c r="D6371" s="55" t="s">
        <v>256</v>
      </c>
      <c r="G6371" s="65">
        <v>1430.1</v>
      </c>
      <c r="H6371" s="56" t="s">
        <v>82</v>
      </c>
      <c r="I6371" s="54">
        <v>8728322514</v>
      </c>
      <c r="J6371" s="56" t="s">
        <v>2978</v>
      </c>
      <c r="K6371" s="56">
        <v>3428</v>
      </c>
      <c r="L6371" s="55" t="s">
        <v>2152</v>
      </c>
      <c r="M6371" s="55" t="s">
        <v>2824</v>
      </c>
      <c r="N6371" s="4" t="s">
        <v>1905</v>
      </c>
      <c r="O6371" s="55" t="s">
        <v>178</v>
      </c>
    </row>
    <row r="6372" spans="2:15">
      <c r="B6372" s="20">
        <v>45918</v>
      </c>
      <c r="C6372" s="59">
        <v>50142334</v>
      </c>
      <c r="D6372" s="55" t="s">
        <v>257</v>
      </c>
      <c r="G6372" s="65">
        <v>1430.1</v>
      </c>
      <c r="H6372" s="56" t="s">
        <v>82</v>
      </c>
      <c r="I6372" s="54">
        <v>8728322514</v>
      </c>
      <c r="J6372" s="56" t="s">
        <v>2978</v>
      </c>
      <c r="K6372" s="56">
        <v>3428</v>
      </c>
      <c r="L6372" s="55" t="s">
        <v>2152</v>
      </c>
      <c r="M6372" s="55" t="s">
        <v>2824</v>
      </c>
      <c r="N6372" s="4" t="s">
        <v>1905</v>
      </c>
      <c r="O6372" s="55" t="s">
        <v>178</v>
      </c>
    </row>
    <row r="6373" spans="2:15">
      <c r="B6373" s="20">
        <v>45919</v>
      </c>
      <c r="C6373" s="59">
        <v>50272278</v>
      </c>
      <c r="D6373" s="55" t="s">
        <v>21</v>
      </c>
      <c r="G6373" s="65">
        <v>13200</v>
      </c>
      <c r="H6373" s="56" t="s">
        <v>92</v>
      </c>
      <c r="I6373" s="54">
        <v>8728338950</v>
      </c>
      <c r="J6373" s="56" t="s">
        <v>2978</v>
      </c>
      <c r="K6373" s="56">
        <v>3430</v>
      </c>
      <c r="L6373" s="55" t="s">
        <v>2152</v>
      </c>
      <c r="M6373" s="55" t="s">
        <v>2824</v>
      </c>
      <c r="N6373" s="4" t="s">
        <v>1905</v>
      </c>
      <c r="O6373" s="55" t="s">
        <v>178</v>
      </c>
    </row>
    <row r="6374" spans="2:15">
      <c r="B6374" s="20">
        <v>45919</v>
      </c>
      <c r="C6374" s="59">
        <v>50142424</v>
      </c>
      <c r="D6374" s="55" t="s">
        <v>33</v>
      </c>
      <c r="G6374" s="122">
        <v>1000</v>
      </c>
      <c r="H6374" s="56" t="s">
        <v>82</v>
      </c>
      <c r="I6374" s="54">
        <v>8728340113</v>
      </c>
      <c r="J6374" s="56" t="s">
        <v>2978</v>
      </c>
      <c r="K6374" s="56">
        <v>3431</v>
      </c>
      <c r="L6374" s="55" t="s">
        <v>2152</v>
      </c>
      <c r="M6374" s="55" t="s">
        <v>2824</v>
      </c>
      <c r="N6374" s="4" t="s">
        <v>1905</v>
      </c>
      <c r="O6374" s="55" t="s">
        <v>178</v>
      </c>
    </row>
    <row r="6375" spans="2:15">
      <c r="B6375" s="20">
        <v>45919</v>
      </c>
      <c r="C6375" s="59">
        <v>50142330</v>
      </c>
      <c r="D6375" s="55" t="s">
        <v>195</v>
      </c>
      <c r="G6375" s="122">
        <v>680</v>
      </c>
      <c r="H6375" s="56" t="s">
        <v>82</v>
      </c>
      <c r="I6375" s="54" t="s">
        <v>3041</v>
      </c>
      <c r="J6375" s="56" t="s">
        <v>2978</v>
      </c>
      <c r="K6375" s="56">
        <v>3431</v>
      </c>
      <c r="L6375" s="55" t="s">
        <v>2152</v>
      </c>
      <c r="M6375" s="55" t="s">
        <v>2824</v>
      </c>
      <c r="N6375" s="4" t="s">
        <v>1905</v>
      </c>
      <c r="O6375" s="55" t="s">
        <v>178</v>
      </c>
    </row>
    <row r="6376" spans="2:15">
      <c r="B6376" s="20">
        <v>45919</v>
      </c>
      <c r="C6376" s="59">
        <v>50804929</v>
      </c>
      <c r="D6376" s="55" t="s">
        <v>856</v>
      </c>
      <c r="G6376" s="122">
        <v>600000</v>
      </c>
      <c r="H6376" s="56" t="s">
        <v>92</v>
      </c>
      <c r="I6376" s="54">
        <v>8728385051</v>
      </c>
      <c r="J6376" s="56" t="s">
        <v>2978</v>
      </c>
      <c r="K6376" s="56">
        <v>3431</v>
      </c>
      <c r="L6376" s="55" t="s">
        <v>2152</v>
      </c>
      <c r="M6376" s="55" t="s">
        <v>2824</v>
      </c>
      <c r="N6376" s="4" t="s">
        <v>1905</v>
      </c>
      <c r="O6376" s="55" t="s">
        <v>178</v>
      </c>
    </row>
    <row r="6377" spans="2:15">
      <c r="B6377" s="20">
        <v>45919</v>
      </c>
      <c r="C6377" s="59">
        <v>50824293</v>
      </c>
      <c r="D6377" s="55" t="s">
        <v>861</v>
      </c>
      <c r="G6377" s="122">
        <v>2240000</v>
      </c>
      <c r="H6377" s="56" t="s">
        <v>92</v>
      </c>
      <c r="I6377" s="54">
        <v>8728340113</v>
      </c>
      <c r="J6377" s="56" t="s">
        <v>2978</v>
      </c>
      <c r="K6377" s="56">
        <v>3431</v>
      </c>
      <c r="L6377" s="55" t="s">
        <v>2152</v>
      </c>
      <c r="M6377" s="55" t="s">
        <v>2824</v>
      </c>
      <c r="N6377" s="4" t="s">
        <v>1905</v>
      </c>
      <c r="O6377" s="55" t="s">
        <v>178</v>
      </c>
    </row>
    <row r="6378" spans="2:15">
      <c r="B6378" s="20">
        <v>45919</v>
      </c>
      <c r="C6378" s="59">
        <v>50272278</v>
      </c>
      <c r="D6378" s="55" t="s">
        <v>21</v>
      </c>
      <c r="G6378" s="122">
        <v>3000</v>
      </c>
      <c r="H6378" s="56" t="s">
        <v>92</v>
      </c>
      <c r="I6378" s="54">
        <v>8728340113</v>
      </c>
      <c r="J6378" s="56" t="s">
        <v>2978</v>
      </c>
      <c r="K6378" s="56">
        <v>3431</v>
      </c>
      <c r="L6378" s="55" t="s">
        <v>2152</v>
      </c>
      <c r="M6378" s="55" t="s">
        <v>2824</v>
      </c>
      <c r="N6378" s="4" t="s">
        <v>1905</v>
      </c>
      <c r="O6378" s="55" t="s">
        <v>178</v>
      </c>
    </row>
    <row r="6379" spans="2:15">
      <c r="B6379" s="20">
        <v>45919</v>
      </c>
      <c r="C6379" s="59">
        <v>50802401</v>
      </c>
      <c r="D6379" s="55" t="s">
        <v>13</v>
      </c>
      <c r="G6379" s="122">
        <v>2318400</v>
      </c>
      <c r="H6379" s="56" t="s">
        <v>92</v>
      </c>
      <c r="I6379" s="54">
        <v>8728340113</v>
      </c>
      <c r="J6379" s="56" t="s">
        <v>2978</v>
      </c>
      <c r="K6379" s="56">
        <v>3431</v>
      </c>
      <c r="L6379" s="55" t="s">
        <v>2152</v>
      </c>
      <c r="M6379" s="55" t="s">
        <v>2824</v>
      </c>
      <c r="N6379" s="4" t="s">
        <v>1905</v>
      </c>
      <c r="O6379" s="55" t="s">
        <v>178</v>
      </c>
    </row>
    <row r="6380" spans="2:15">
      <c r="B6380" s="20">
        <v>45919</v>
      </c>
      <c r="C6380" s="59">
        <v>40014900</v>
      </c>
      <c r="D6380" s="55" t="s">
        <v>153</v>
      </c>
      <c r="G6380" s="65">
        <v>34.56</v>
      </c>
      <c r="H6380" s="56" t="s">
        <v>80</v>
      </c>
      <c r="I6380" s="54">
        <v>8728340161</v>
      </c>
      <c r="J6380" s="56" t="s">
        <v>2978</v>
      </c>
      <c r="K6380" s="56">
        <v>563</v>
      </c>
      <c r="L6380" s="55" t="s">
        <v>392</v>
      </c>
      <c r="M6380" s="55" t="s">
        <v>2824</v>
      </c>
      <c r="O6380" s="55" t="s">
        <v>178</v>
      </c>
    </row>
    <row r="6381" spans="2:15">
      <c r="B6381" s="20">
        <v>45919</v>
      </c>
      <c r="C6381" s="59">
        <v>40014900</v>
      </c>
      <c r="D6381" s="55" t="s">
        <v>153</v>
      </c>
      <c r="G6381" s="65">
        <v>37.44</v>
      </c>
      <c r="H6381" s="56" t="s">
        <v>80</v>
      </c>
      <c r="I6381" s="54">
        <v>8728340266</v>
      </c>
      <c r="J6381" s="56" t="s">
        <v>2978</v>
      </c>
      <c r="K6381" s="56">
        <v>564</v>
      </c>
      <c r="L6381" s="55" t="s">
        <v>3042</v>
      </c>
      <c r="M6381" s="55" t="s">
        <v>2824</v>
      </c>
      <c r="O6381" s="55" t="s">
        <v>178</v>
      </c>
    </row>
    <row r="6382" spans="2:15">
      <c r="B6382" s="20">
        <v>45919</v>
      </c>
      <c r="C6382" s="59">
        <v>40014900</v>
      </c>
      <c r="D6382" s="55" t="s">
        <v>153</v>
      </c>
      <c r="G6382" s="65">
        <v>37.44</v>
      </c>
      <c r="H6382" s="56" t="s">
        <v>80</v>
      </c>
      <c r="I6382" s="54">
        <v>8728340271</v>
      </c>
      <c r="J6382" s="56" t="s">
        <v>2978</v>
      </c>
      <c r="K6382" s="56">
        <v>565</v>
      </c>
      <c r="L6382" s="55" t="s">
        <v>3042</v>
      </c>
      <c r="M6382" s="55" t="s">
        <v>2824</v>
      </c>
      <c r="O6382" s="55" t="s">
        <v>178</v>
      </c>
    </row>
    <row r="6383" spans="2:15">
      <c r="B6383" s="20">
        <v>45919</v>
      </c>
      <c r="C6383" s="59">
        <v>40014900</v>
      </c>
      <c r="D6383" s="55" t="s">
        <v>153</v>
      </c>
      <c r="G6383" s="65">
        <v>37.44</v>
      </c>
      <c r="H6383" s="56" t="s">
        <v>80</v>
      </c>
      <c r="I6383" s="54">
        <v>8728340284</v>
      </c>
      <c r="J6383" s="56" t="s">
        <v>2978</v>
      </c>
      <c r="K6383" s="56">
        <v>566</v>
      </c>
      <c r="L6383" s="55" t="s">
        <v>3042</v>
      </c>
      <c r="M6383" s="55" t="s">
        <v>2824</v>
      </c>
      <c r="O6383" s="55" t="s">
        <v>178</v>
      </c>
    </row>
    <row r="6384" spans="2:15">
      <c r="B6384" s="20">
        <v>45919</v>
      </c>
      <c r="C6384" s="59">
        <v>40014900</v>
      </c>
      <c r="D6384" s="55" t="s">
        <v>153</v>
      </c>
      <c r="G6384" s="65">
        <v>37.44</v>
      </c>
      <c r="H6384" s="56" t="s">
        <v>80</v>
      </c>
      <c r="I6384" s="54">
        <v>8728340286</v>
      </c>
      <c r="J6384" s="56" t="s">
        <v>2978</v>
      </c>
      <c r="K6384" s="56">
        <v>567</v>
      </c>
      <c r="L6384" s="55" t="s">
        <v>3042</v>
      </c>
      <c r="M6384" s="55" t="s">
        <v>2824</v>
      </c>
      <c r="O6384" s="55" t="s">
        <v>178</v>
      </c>
    </row>
    <row r="6385" spans="2:15">
      <c r="B6385" s="20">
        <v>45919</v>
      </c>
      <c r="C6385" s="59">
        <v>40014900</v>
      </c>
      <c r="D6385" s="55" t="s">
        <v>153</v>
      </c>
      <c r="G6385" s="65">
        <v>34.56</v>
      </c>
      <c r="H6385" s="56" t="s">
        <v>80</v>
      </c>
      <c r="I6385" s="54">
        <v>8728340310</v>
      </c>
      <c r="J6385" s="56" t="s">
        <v>2978</v>
      </c>
      <c r="K6385" s="56">
        <v>568</v>
      </c>
      <c r="L6385" s="55" t="s">
        <v>392</v>
      </c>
      <c r="M6385" s="55" t="s">
        <v>2824</v>
      </c>
      <c r="O6385" s="55" t="s">
        <v>178</v>
      </c>
    </row>
    <row r="6386" spans="2:15">
      <c r="B6386" s="20">
        <v>45919</v>
      </c>
      <c r="C6386" s="59">
        <v>40014900</v>
      </c>
      <c r="D6386" s="55" t="s">
        <v>153</v>
      </c>
      <c r="G6386" s="65">
        <v>37.44</v>
      </c>
      <c r="H6386" s="56" t="s">
        <v>80</v>
      </c>
      <c r="I6386" s="54">
        <v>8728340311</v>
      </c>
      <c r="J6386" s="56" t="s">
        <v>2978</v>
      </c>
      <c r="K6386" s="56">
        <v>569</v>
      </c>
      <c r="L6386" s="55" t="s">
        <v>3042</v>
      </c>
      <c r="M6386" s="55" t="s">
        <v>2824</v>
      </c>
      <c r="O6386" s="55" t="s">
        <v>178</v>
      </c>
    </row>
    <row r="6387" spans="2:15">
      <c r="B6387" s="20">
        <v>45919</v>
      </c>
      <c r="C6387" s="59">
        <v>40014900</v>
      </c>
      <c r="D6387" s="55" t="s">
        <v>153</v>
      </c>
      <c r="G6387" s="65">
        <v>37.44</v>
      </c>
      <c r="H6387" s="56" t="s">
        <v>80</v>
      </c>
      <c r="I6387" s="54">
        <v>8728340326</v>
      </c>
      <c r="J6387" s="56" t="s">
        <v>2978</v>
      </c>
      <c r="K6387" s="56">
        <v>570</v>
      </c>
      <c r="L6387" s="55" t="s">
        <v>3042</v>
      </c>
      <c r="M6387" s="55" t="s">
        <v>2824</v>
      </c>
      <c r="O6387" s="55" t="s">
        <v>178</v>
      </c>
    </row>
    <row r="6388" spans="2:15">
      <c r="B6388" s="20">
        <v>45920</v>
      </c>
      <c r="C6388" s="59">
        <v>50793278</v>
      </c>
      <c r="D6388" s="55" t="s">
        <v>1086</v>
      </c>
      <c r="G6388" s="65">
        <v>30</v>
      </c>
      <c r="H6388" s="56" t="s">
        <v>2313</v>
      </c>
      <c r="I6388" s="54" t="s">
        <v>2874</v>
      </c>
      <c r="J6388" s="56" t="s">
        <v>2978</v>
      </c>
      <c r="K6388" s="56">
        <v>3432</v>
      </c>
      <c r="L6388" s="55" t="s">
        <v>2152</v>
      </c>
      <c r="M6388" s="55" t="s">
        <v>2824</v>
      </c>
      <c r="N6388" s="4" t="s">
        <v>1905</v>
      </c>
      <c r="O6388" s="55" t="s">
        <v>178</v>
      </c>
    </row>
    <row r="6389" spans="2:15">
      <c r="B6389" s="20">
        <v>45922</v>
      </c>
      <c r="C6389" s="59">
        <v>50272278</v>
      </c>
      <c r="D6389" s="69" t="s">
        <v>21</v>
      </c>
      <c r="G6389" s="65">
        <v>13200</v>
      </c>
      <c r="H6389" s="56" t="s">
        <v>92</v>
      </c>
      <c r="I6389" s="54">
        <v>8728384760</v>
      </c>
      <c r="J6389" s="56" t="s">
        <v>2978</v>
      </c>
      <c r="K6389" s="56">
        <v>3433</v>
      </c>
      <c r="L6389" s="55" t="s">
        <v>2152</v>
      </c>
      <c r="M6389" s="55" t="s">
        <v>2824</v>
      </c>
      <c r="N6389" s="4" t="s">
        <v>1905</v>
      </c>
      <c r="O6389" s="55" t="s">
        <v>178</v>
      </c>
    </row>
    <row r="6390" spans="2:15">
      <c r="B6390" s="20">
        <v>45922</v>
      </c>
      <c r="C6390" s="59">
        <v>40007939</v>
      </c>
      <c r="D6390" s="55" t="s">
        <v>1873</v>
      </c>
      <c r="G6390" s="65">
        <v>684</v>
      </c>
      <c r="H6390" s="56" t="s">
        <v>80</v>
      </c>
      <c r="I6390" s="54">
        <v>8728385652</v>
      </c>
      <c r="J6390" s="56" t="s">
        <v>2978</v>
      </c>
      <c r="K6390" s="56">
        <v>3433</v>
      </c>
      <c r="L6390" s="55" t="s">
        <v>2152</v>
      </c>
      <c r="M6390" s="55" t="s">
        <v>2824</v>
      </c>
      <c r="N6390" s="4" t="s">
        <v>1905</v>
      </c>
      <c r="O6390" s="55" t="s">
        <v>178</v>
      </c>
    </row>
    <row r="6391" spans="2:15">
      <c r="B6391" s="20">
        <v>45922</v>
      </c>
      <c r="C6391" s="59">
        <v>40007940</v>
      </c>
      <c r="D6391" s="55" t="s">
        <v>477</v>
      </c>
      <c r="G6391" s="65">
        <v>676</v>
      </c>
      <c r="H6391" s="56" t="s">
        <v>80</v>
      </c>
      <c r="I6391" s="54">
        <v>8728384777</v>
      </c>
      <c r="J6391" s="56" t="s">
        <v>2978</v>
      </c>
      <c r="K6391" s="56">
        <v>3433</v>
      </c>
      <c r="L6391" s="55" t="s">
        <v>2152</v>
      </c>
      <c r="M6391" s="55" t="s">
        <v>2824</v>
      </c>
      <c r="N6391" s="4" t="s">
        <v>1905</v>
      </c>
      <c r="O6391" s="55" t="s">
        <v>178</v>
      </c>
    </row>
    <row r="6392" spans="2:15">
      <c r="B6392" s="20">
        <v>45922</v>
      </c>
      <c r="C6392" s="59">
        <v>40008023</v>
      </c>
      <c r="D6392" s="55" t="s">
        <v>2551</v>
      </c>
      <c r="G6392" s="65">
        <v>450</v>
      </c>
      <c r="H6392" s="56" t="s">
        <v>80</v>
      </c>
      <c r="I6392" s="54">
        <v>8728384777</v>
      </c>
      <c r="J6392" s="56" t="s">
        <v>2978</v>
      </c>
      <c r="K6392" s="56">
        <v>3434</v>
      </c>
      <c r="L6392" s="55" t="s">
        <v>2152</v>
      </c>
      <c r="M6392" s="55" t="s">
        <v>2824</v>
      </c>
      <c r="N6392" s="4" t="s">
        <v>1905</v>
      </c>
      <c r="O6392" s="55" t="s">
        <v>178</v>
      </c>
    </row>
    <row r="6393" spans="2:15">
      <c r="B6393" s="20">
        <v>45922</v>
      </c>
      <c r="C6393" s="59">
        <v>40009148</v>
      </c>
      <c r="D6393" s="55" t="s">
        <v>218</v>
      </c>
      <c r="G6393" s="65">
        <v>3456</v>
      </c>
      <c r="H6393" s="56" t="s">
        <v>80</v>
      </c>
      <c r="I6393" s="54">
        <v>8728384803</v>
      </c>
      <c r="J6393" s="56" t="s">
        <v>2978</v>
      </c>
      <c r="K6393" s="56">
        <v>3434</v>
      </c>
      <c r="L6393" s="55" t="s">
        <v>2152</v>
      </c>
      <c r="M6393" s="55" t="s">
        <v>2824</v>
      </c>
      <c r="N6393" s="4" t="s">
        <v>1905</v>
      </c>
      <c r="O6393" s="55" t="s">
        <v>178</v>
      </c>
    </row>
    <row r="6394" spans="2:15">
      <c r="B6394" s="20">
        <v>45922</v>
      </c>
      <c r="C6394" s="59">
        <v>40010087</v>
      </c>
      <c r="D6394" s="55" t="s">
        <v>387</v>
      </c>
      <c r="G6394" s="65">
        <v>972</v>
      </c>
      <c r="H6394" s="56" t="s">
        <v>80</v>
      </c>
      <c r="I6394" s="54">
        <v>8728384803</v>
      </c>
      <c r="J6394" s="56" t="s">
        <v>2978</v>
      </c>
      <c r="K6394" s="56">
        <v>3434</v>
      </c>
      <c r="L6394" s="55" t="s">
        <v>2152</v>
      </c>
      <c r="M6394" s="55" t="s">
        <v>2824</v>
      </c>
      <c r="N6394" s="4" t="s">
        <v>1905</v>
      </c>
      <c r="O6394" s="55" t="s">
        <v>178</v>
      </c>
    </row>
    <row r="6395" spans="2:15">
      <c r="B6395" s="20">
        <v>45922</v>
      </c>
      <c r="C6395" s="59">
        <v>40007941</v>
      </c>
      <c r="D6395" s="55" t="s">
        <v>211</v>
      </c>
      <c r="G6395" s="65">
        <v>3456</v>
      </c>
      <c r="H6395" s="56" t="s">
        <v>92</v>
      </c>
      <c r="I6395" s="54">
        <v>8728420142</v>
      </c>
      <c r="J6395" s="56" t="s">
        <v>2978</v>
      </c>
      <c r="K6395" s="56">
        <v>3434</v>
      </c>
      <c r="L6395" s="55" t="s">
        <v>2152</v>
      </c>
      <c r="M6395" s="55" t="s">
        <v>2824</v>
      </c>
      <c r="N6395" s="4" t="s">
        <v>1905</v>
      </c>
      <c r="O6395" s="55" t="s">
        <v>178</v>
      </c>
    </row>
    <row r="6396" spans="2:15">
      <c r="B6396" s="20">
        <v>45922</v>
      </c>
      <c r="C6396" s="59">
        <v>50470190</v>
      </c>
      <c r="D6396" s="55" t="s">
        <v>12</v>
      </c>
      <c r="G6396" s="65">
        <v>2608200</v>
      </c>
      <c r="H6396" s="56" t="s">
        <v>80</v>
      </c>
      <c r="I6396" s="54">
        <v>8728384803</v>
      </c>
      <c r="J6396" s="56" t="s">
        <v>2978</v>
      </c>
      <c r="K6396" s="56">
        <v>3434</v>
      </c>
      <c r="L6396" s="55" t="s">
        <v>2152</v>
      </c>
      <c r="M6396" s="55" t="s">
        <v>2824</v>
      </c>
      <c r="N6396" s="4" t="s">
        <v>1905</v>
      </c>
      <c r="O6396" s="55" t="s">
        <v>178</v>
      </c>
    </row>
    <row r="6397" spans="2:15">
      <c r="B6397" s="20">
        <v>45922</v>
      </c>
      <c r="C6397" s="59">
        <v>40008023</v>
      </c>
      <c r="D6397" s="55" t="s">
        <v>2551</v>
      </c>
      <c r="G6397" s="65">
        <v>980</v>
      </c>
      <c r="H6397" s="56" t="s">
        <v>80</v>
      </c>
      <c r="I6397" s="54">
        <v>8728384803</v>
      </c>
      <c r="J6397" s="56" t="s">
        <v>2978</v>
      </c>
      <c r="K6397" s="56">
        <v>3434</v>
      </c>
      <c r="L6397" s="55" t="s">
        <v>2152</v>
      </c>
      <c r="M6397" s="55" t="s">
        <v>2824</v>
      </c>
      <c r="N6397" s="4" t="s">
        <v>1905</v>
      </c>
      <c r="O6397" s="55" t="s">
        <v>178</v>
      </c>
    </row>
    <row r="6398" spans="2:15">
      <c r="B6398" s="20">
        <v>45922</v>
      </c>
      <c r="C6398" s="59">
        <v>50852311</v>
      </c>
      <c r="D6398" s="55" t="s">
        <v>2598</v>
      </c>
      <c r="F6398" s="67">
        <v>21</v>
      </c>
      <c r="G6398" s="65">
        <v>30.24</v>
      </c>
      <c r="H6398" s="56" t="s">
        <v>80</v>
      </c>
      <c r="I6398" s="54">
        <v>8728420256</v>
      </c>
      <c r="J6398" s="56" t="s">
        <v>2978</v>
      </c>
      <c r="K6398" s="56">
        <v>576</v>
      </c>
      <c r="L6398" s="55" t="s">
        <v>2152</v>
      </c>
      <c r="M6398" s="55" t="s">
        <v>2824</v>
      </c>
      <c r="N6398" s="4" t="s">
        <v>177</v>
      </c>
      <c r="O6398" s="55" t="s">
        <v>178</v>
      </c>
    </row>
    <row r="6399" spans="2:15">
      <c r="B6399" s="20">
        <v>45922</v>
      </c>
      <c r="C6399" s="59">
        <v>50852311</v>
      </c>
      <c r="D6399" s="55" t="s">
        <v>2598</v>
      </c>
      <c r="F6399" s="67">
        <v>24</v>
      </c>
      <c r="G6399" s="65">
        <v>34.56</v>
      </c>
      <c r="H6399" s="56" t="s">
        <v>80</v>
      </c>
      <c r="I6399" s="54">
        <v>8728420260</v>
      </c>
      <c r="J6399" s="56" t="s">
        <v>2978</v>
      </c>
      <c r="K6399" s="56">
        <v>577</v>
      </c>
      <c r="L6399" s="55" t="s">
        <v>392</v>
      </c>
      <c r="M6399" s="55" t="s">
        <v>2824</v>
      </c>
      <c r="O6399" s="55" t="s">
        <v>178</v>
      </c>
    </row>
    <row r="6400" spans="2:15">
      <c r="B6400" s="20">
        <v>45922</v>
      </c>
      <c r="C6400" s="59">
        <v>50852311</v>
      </c>
      <c r="D6400" s="55" t="s">
        <v>2598</v>
      </c>
      <c r="F6400" s="67">
        <v>24</v>
      </c>
      <c r="G6400" s="65">
        <v>34.56</v>
      </c>
      <c r="H6400" s="56" t="s">
        <v>80</v>
      </c>
      <c r="I6400" s="54">
        <v>8728420295</v>
      </c>
      <c r="J6400" s="56" t="s">
        <v>2978</v>
      </c>
      <c r="K6400" s="56">
        <v>578</v>
      </c>
      <c r="L6400" s="55" t="s">
        <v>2152</v>
      </c>
      <c r="M6400" s="55" t="s">
        <v>2824</v>
      </c>
      <c r="N6400" s="4" t="s">
        <v>177</v>
      </c>
      <c r="O6400" s="55" t="s">
        <v>178</v>
      </c>
    </row>
    <row r="6401" spans="2:15">
      <c r="B6401" s="20">
        <v>45922</v>
      </c>
      <c r="C6401" s="59">
        <v>50852311</v>
      </c>
      <c r="D6401" s="55" t="s">
        <v>2598</v>
      </c>
      <c r="F6401" s="67">
        <v>24</v>
      </c>
      <c r="G6401" s="65">
        <v>34.56</v>
      </c>
      <c r="H6401" s="56" t="s">
        <v>80</v>
      </c>
      <c r="I6401" s="54">
        <v>8728420297</v>
      </c>
      <c r="J6401" s="56" t="s">
        <v>2978</v>
      </c>
      <c r="K6401" s="56">
        <v>579</v>
      </c>
      <c r="L6401" s="55" t="s">
        <v>392</v>
      </c>
      <c r="M6401" s="55" t="s">
        <v>2824</v>
      </c>
      <c r="O6401" s="55" t="s">
        <v>178</v>
      </c>
    </row>
    <row r="6402" spans="2:15">
      <c r="B6402" s="20">
        <v>45922</v>
      </c>
      <c r="C6402" s="59">
        <v>50852311</v>
      </c>
      <c r="D6402" s="55" t="s">
        <v>2598</v>
      </c>
      <c r="F6402" s="67">
        <v>24</v>
      </c>
      <c r="G6402" s="65">
        <v>34.56</v>
      </c>
      <c r="H6402" s="56" t="s">
        <v>80</v>
      </c>
      <c r="I6402" s="54">
        <v>8728420315</v>
      </c>
      <c r="J6402" s="56" t="s">
        <v>2978</v>
      </c>
      <c r="K6402" s="56">
        <v>580</v>
      </c>
      <c r="L6402" s="55" t="s">
        <v>2152</v>
      </c>
      <c r="M6402" s="55" t="s">
        <v>2824</v>
      </c>
      <c r="N6402" s="4" t="s">
        <v>177</v>
      </c>
      <c r="O6402" s="55" t="s">
        <v>178</v>
      </c>
    </row>
    <row r="6403" spans="2:15">
      <c r="B6403" s="20">
        <v>45922</v>
      </c>
      <c r="C6403" s="59">
        <v>50852311</v>
      </c>
      <c r="D6403" s="55" t="s">
        <v>2598</v>
      </c>
      <c r="F6403" s="67">
        <v>24</v>
      </c>
      <c r="G6403" s="65">
        <v>34.56</v>
      </c>
      <c r="H6403" s="56" t="s">
        <v>80</v>
      </c>
      <c r="I6403" s="54">
        <v>8728420321</v>
      </c>
      <c r="J6403" s="56" t="s">
        <v>2978</v>
      </c>
      <c r="K6403" s="56">
        <v>581</v>
      </c>
      <c r="L6403" s="55" t="s">
        <v>392</v>
      </c>
      <c r="M6403" s="55" t="s">
        <v>2824</v>
      </c>
      <c r="O6403" s="55" t="s">
        <v>178</v>
      </c>
    </row>
    <row r="6404" spans="2:15">
      <c r="B6404" s="20">
        <v>45920</v>
      </c>
      <c r="C6404" s="59">
        <v>50852311</v>
      </c>
      <c r="D6404" s="55" t="s">
        <v>2598</v>
      </c>
      <c r="F6404" s="67">
        <v>26</v>
      </c>
      <c r="G6404" s="65">
        <v>37.44</v>
      </c>
      <c r="H6404" s="56" t="s">
        <v>80</v>
      </c>
      <c r="I6404" s="54">
        <v>8728420236</v>
      </c>
      <c r="J6404" s="56" t="s">
        <v>2978</v>
      </c>
      <c r="K6404" s="56">
        <v>571</v>
      </c>
      <c r="L6404" s="55" t="s">
        <v>3042</v>
      </c>
      <c r="M6404" s="55" t="s">
        <v>2824</v>
      </c>
      <c r="O6404" s="55" t="s">
        <v>178</v>
      </c>
    </row>
    <row r="6405" spans="2:15">
      <c r="B6405" s="20">
        <v>45920</v>
      </c>
      <c r="C6405" s="59">
        <v>50852311</v>
      </c>
      <c r="D6405" s="55" t="s">
        <v>2598</v>
      </c>
      <c r="F6405" s="67">
        <v>26</v>
      </c>
      <c r="G6405" s="65">
        <v>37.44</v>
      </c>
      <c r="H6405" s="56" t="s">
        <v>80</v>
      </c>
      <c r="I6405" s="54">
        <v>8728420241</v>
      </c>
      <c r="J6405" s="56" t="s">
        <v>2978</v>
      </c>
      <c r="K6405" s="56">
        <v>572</v>
      </c>
      <c r="L6405" s="55" t="s">
        <v>3042</v>
      </c>
      <c r="M6405" s="55" t="s">
        <v>2824</v>
      </c>
      <c r="O6405" s="55" t="s">
        <v>178</v>
      </c>
    </row>
    <row r="6406" spans="2:15">
      <c r="B6406" s="20">
        <v>45920</v>
      </c>
      <c r="C6406" s="59">
        <v>50852311</v>
      </c>
      <c r="D6406" s="55" t="s">
        <v>2598</v>
      </c>
      <c r="F6406" s="67">
        <v>26</v>
      </c>
      <c r="G6406" s="65">
        <v>37.44</v>
      </c>
      <c r="H6406" s="56" t="s">
        <v>80</v>
      </c>
      <c r="I6406" s="54">
        <v>8728420246</v>
      </c>
      <c r="J6406" s="56" t="s">
        <v>2978</v>
      </c>
      <c r="K6406" s="56">
        <v>573</v>
      </c>
      <c r="L6406" s="55" t="s">
        <v>3042</v>
      </c>
      <c r="M6406" s="55" t="s">
        <v>2824</v>
      </c>
      <c r="O6406" s="55" t="s">
        <v>178</v>
      </c>
    </row>
    <row r="6407" spans="2:15">
      <c r="B6407" s="20">
        <v>45920</v>
      </c>
      <c r="C6407" s="59">
        <v>50852311</v>
      </c>
      <c r="D6407" s="55" t="s">
        <v>2598</v>
      </c>
      <c r="F6407" s="67">
        <v>26</v>
      </c>
      <c r="G6407" s="65">
        <v>37.44</v>
      </c>
      <c r="H6407" s="56" t="s">
        <v>80</v>
      </c>
      <c r="I6407" s="54">
        <v>8728420251</v>
      </c>
      <c r="J6407" s="56" t="s">
        <v>2978</v>
      </c>
      <c r="K6407" s="56">
        <v>574</v>
      </c>
      <c r="L6407" s="55" t="s">
        <v>3042</v>
      </c>
      <c r="M6407" s="55" t="s">
        <v>2824</v>
      </c>
      <c r="O6407" s="55" t="s">
        <v>178</v>
      </c>
    </row>
    <row r="6408" spans="2:15">
      <c r="B6408" s="20">
        <v>45920</v>
      </c>
      <c r="C6408" s="59">
        <v>50852311</v>
      </c>
      <c r="D6408" s="55" t="s">
        <v>2598</v>
      </c>
      <c r="F6408" s="67">
        <v>26</v>
      </c>
      <c r="G6408" s="65">
        <v>37.44</v>
      </c>
      <c r="H6408" s="56" t="s">
        <v>80</v>
      </c>
      <c r="I6408" s="54">
        <v>8728420252</v>
      </c>
      <c r="J6408" s="56" t="s">
        <v>2978</v>
      </c>
      <c r="K6408" s="56">
        <v>575</v>
      </c>
      <c r="L6408" s="55" t="s">
        <v>3042</v>
      </c>
      <c r="M6408" s="55" t="s">
        <v>2824</v>
      </c>
      <c r="O6408" s="55" t="s">
        <v>178</v>
      </c>
    </row>
    <row r="6409" spans="2:15">
      <c r="B6409" s="20">
        <v>45923</v>
      </c>
      <c r="C6409" s="59">
        <v>50272278</v>
      </c>
      <c r="D6409" s="69" t="s">
        <v>21</v>
      </c>
      <c r="G6409" s="65">
        <v>13200</v>
      </c>
      <c r="H6409" s="56" t="s">
        <v>3043</v>
      </c>
      <c r="I6409" s="54">
        <v>8728386105</v>
      </c>
      <c r="J6409" s="56" t="s">
        <v>2978</v>
      </c>
      <c r="K6409" s="56">
        <v>3437</v>
      </c>
      <c r="L6409" s="55" t="s">
        <v>2152</v>
      </c>
      <c r="M6409" s="55" t="s">
        <v>2824</v>
      </c>
      <c r="N6409" s="4" t="s">
        <v>1905</v>
      </c>
      <c r="O6409" s="55" t="s">
        <v>178</v>
      </c>
    </row>
    <row r="6410" spans="2:15">
      <c r="B6410" s="20">
        <v>45923</v>
      </c>
      <c r="C6410" s="59">
        <v>50010080</v>
      </c>
      <c r="D6410" s="55" t="s">
        <v>1657</v>
      </c>
      <c r="G6410" s="65">
        <v>5750</v>
      </c>
      <c r="H6410" s="56" t="s">
        <v>82</v>
      </c>
      <c r="I6410" s="54">
        <v>8728386942</v>
      </c>
      <c r="J6410" s="56" t="s">
        <v>2978</v>
      </c>
      <c r="K6410" s="56">
        <v>3438</v>
      </c>
      <c r="L6410" s="55" t="s">
        <v>2152</v>
      </c>
      <c r="M6410" s="55" t="s">
        <v>2824</v>
      </c>
      <c r="N6410" s="4" t="s">
        <v>1905</v>
      </c>
      <c r="O6410" s="55" t="s">
        <v>178</v>
      </c>
    </row>
    <row r="6411" spans="2:15">
      <c r="B6411" s="20">
        <v>45923</v>
      </c>
      <c r="C6411" s="59">
        <v>50793278</v>
      </c>
      <c r="D6411" s="55" t="s">
        <v>1086</v>
      </c>
      <c r="G6411" s="65">
        <v>100</v>
      </c>
      <c r="H6411" s="56" t="s">
        <v>2313</v>
      </c>
      <c r="I6411" s="54">
        <v>8728386942</v>
      </c>
      <c r="J6411" s="56" t="s">
        <v>2978</v>
      </c>
      <c r="K6411" s="56">
        <v>3438</v>
      </c>
      <c r="L6411" s="55" t="s">
        <v>2152</v>
      </c>
      <c r="M6411" s="55" t="s">
        <v>2824</v>
      </c>
      <c r="N6411" s="4" t="s">
        <v>1905</v>
      </c>
      <c r="O6411" s="55" t="s">
        <v>178</v>
      </c>
    </row>
    <row r="6412" spans="2:15">
      <c r="B6412" s="20">
        <v>45923</v>
      </c>
      <c r="C6412" s="59">
        <v>40007942</v>
      </c>
      <c r="D6412" s="55" t="s">
        <v>219</v>
      </c>
      <c r="G6412" s="65">
        <v>7301</v>
      </c>
      <c r="H6412" s="56" t="s">
        <v>80</v>
      </c>
      <c r="I6412" s="54">
        <v>8728386942</v>
      </c>
      <c r="J6412" s="56" t="s">
        <v>2978</v>
      </c>
      <c r="K6412" s="56">
        <v>3438</v>
      </c>
      <c r="L6412" s="55" t="s">
        <v>2152</v>
      </c>
      <c r="M6412" s="55" t="s">
        <v>2824</v>
      </c>
      <c r="N6412" s="4" t="s">
        <v>1905</v>
      </c>
      <c r="O6412" s="55" t="s">
        <v>178</v>
      </c>
    </row>
    <row r="6413" spans="2:15">
      <c r="B6413" s="20">
        <v>45923</v>
      </c>
      <c r="C6413" s="59">
        <v>50470190</v>
      </c>
      <c r="D6413" s="55" t="s">
        <v>12</v>
      </c>
      <c r="G6413" s="65">
        <v>579600</v>
      </c>
      <c r="H6413" s="56" t="s">
        <v>92</v>
      </c>
      <c r="I6413" s="54">
        <v>8728386942</v>
      </c>
      <c r="J6413" s="56" t="s">
        <v>2978</v>
      </c>
      <c r="K6413" s="56">
        <v>3438</v>
      </c>
      <c r="L6413" s="55" t="s">
        <v>2152</v>
      </c>
      <c r="M6413" s="55" t="s">
        <v>2824</v>
      </c>
      <c r="N6413" s="4" t="s">
        <v>1905</v>
      </c>
      <c r="O6413" s="55" t="s">
        <v>178</v>
      </c>
    </row>
    <row r="6414" spans="2:15">
      <c r="B6414" s="20">
        <v>45923</v>
      </c>
      <c r="C6414" s="59">
        <v>50852311</v>
      </c>
      <c r="D6414" s="55" t="s">
        <v>2598</v>
      </c>
      <c r="F6414" s="67">
        <v>24</v>
      </c>
      <c r="G6414" s="65">
        <v>34.56</v>
      </c>
      <c r="H6414" s="56" t="s">
        <v>80</v>
      </c>
      <c r="I6414" s="54">
        <v>8728420327</v>
      </c>
      <c r="J6414" s="56" t="s">
        <v>2978</v>
      </c>
      <c r="K6414" s="56">
        <v>582</v>
      </c>
      <c r="L6414" s="55" t="s">
        <v>392</v>
      </c>
      <c r="M6414" s="55" t="s">
        <v>2824</v>
      </c>
      <c r="O6414" s="55" t="s">
        <v>178</v>
      </c>
    </row>
    <row r="6415" spans="2:15">
      <c r="B6415" s="20">
        <v>45923</v>
      </c>
      <c r="C6415" s="59">
        <v>50852311</v>
      </c>
      <c r="D6415" s="55" t="s">
        <v>2598</v>
      </c>
      <c r="F6415" s="67">
        <v>24</v>
      </c>
      <c r="G6415" s="65">
        <v>34.56</v>
      </c>
      <c r="H6415" s="56" t="s">
        <v>80</v>
      </c>
      <c r="I6415" s="54">
        <v>8728420329</v>
      </c>
      <c r="J6415" s="56" t="s">
        <v>2978</v>
      </c>
      <c r="K6415" s="56">
        <v>583</v>
      </c>
      <c r="L6415" s="55" t="s">
        <v>2152</v>
      </c>
      <c r="M6415" s="55" t="s">
        <v>2824</v>
      </c>
      <c r="N6415" s="4" t="s">
        <v>177</v>
      </c>
      <c r="O6415" s="55" t="s">
        <v>178</v>
      </c>
    </row>
    <row r="6416" spans="2:15">
      <c r="B6416" s="20">
        <v>45923</v>
      </c>
      <c r="C6416" s="59">
        <v>50852311</v>
      </c>
      <c r="D6416" s="55" t="s">
        <v>2598</v>
      </c>
      <c r="F6416" s="67">
        <v>24</v>
      </c>
      <c r="G6416" s="65">
        <v>34.56</v>
      </c>
      <c r="H6416" s="56" t="s">
        <v>80</v>
      </c>
      <c r="I6416" s="54">
        <v>8728420354</v>
      </c>
      <c r="J6416" s="56" t="s">
        <v>2978</v>
      </c>
      <c r="K6416" s="56">
        <v>584</v>
      </c>
      <c r="L6416" s="55" t="s">
        <v>392</v>
      </c>
      <c r="M6416" s="55" t="s">
        <v>2824</v>
      </c>
      <c r="O6416" s="55" t="s">
        <v>178</v>
      </c>
    </row>
    <row r="6417" spans="2:15">
      <c r="B6417" s="20">
        <v>45923</v>
      </c>
      <c r="C6417" s="59">
        <v>50852311</v>
      </c>
      <c r="D6417" s="55" t="s">
        <v>2598</v>
      </c>
      <c r="F6417" s="67">
        <v>24</v>
      </c>
      <c r="G6417" s="65">
        <v>34.56</v>
      </c>
      <c r="H6417" s="56" t="s">
        <v>80</v>
      </c>
      <c r="I6417" s="54">
        <v>8728420356</v>
      </c>
      <c r="J6417" s="56" t="s">
        <v>2978</v>
      </c>
      <c r="K6417" s="56">
        <v>585</v>
      </c>
      <c r="L6417" s="55" t="s">
        <v>2152</v>
      </c>
      <c r="M6417" s="55" t="s">
        <v>2824</v>
      </c>
      <c r="N6417" s="4" t="s">
        <v>177</v>
      </c>
      <c r="O6417" s="55" t="s">
        <v>178</v>
      </c>
    </row>
    <row r="6418" spans="2:15">
      <c r="B6418" s="20">
        <v>45923</v>
      </c>
      <c r="C6418" s="59">
        <v>50852311</v>
      </c>
      <c r="D6418" s="55" t="s">
        <v>2598</v>
      </c>
      <c r="F6418" s="67">
        <v>24</v>
      </c>
      <c r="G6418" s="65">
        <v>34.56</v>
      </c>
      <c r="H6418" s="56" t="s">
        <v>80</v>
      </c>
      <c r="I6418" s="54">
        <v>8728420363</v>
      </c>
      <c r="J6418" s="56" t="s">
        <v>2978</v>
      </c>
      <c r="K6418" s="56">
        <v>586</v>
      </c>
      <c r="L6418" s="55" t="s">
        <v>392</v>
      </c>
      <c r="M6418" s="55" t="s">
        <v>2824</v>
      </c>
      <c r="O6418" s="55" t="s">
        <v>178</v>
      </c>
    </row>
    <row r="6419" spans="2:15">
      <c r="B6419" s="20">
        <v>45923</v>
      </c>
      <c r="C6419" s="59">
        <v>50852311</v>
      </c>
      <c r="D6419" s="55" t="s">
        <v>2598</v>
      </c>
      <c r="F6419" s="67">
        <v>24</v>
      </c>
      <c r="G6419" s="65">
        <v>34.56</v>
      </c>
      <c r="H6419" s="56" t="s">
        <v>80</v>
      </c>
      <c r="I6419" s="54">
        <v>8728420367</v>
      </c>
      <c r="J6419" s="56" t="s">
        <v>2978</v>
      </c>
      <c r="K6419" s="56">
        <v>587</v>
      </c>
      <c r="L6419" s="55" t="s">
        <v>2152</v>
      </c>
      <c r="M6419" s="55" t="s">
        <v>2824</v>
      </c>
      <c r="N6419" s="4" t="s">
        <v>177</v>
      </c>
      <c r="O6419" s="55" t="s">
        <v>178</v>
      </c>
    </row>
    <row r="6420" spans="2:15">
      <c r="B6420" s="20">
        <v>45923</v>
      </c>
      <c r="C6420" s="59">
        <v>50470190</v>
      </c>
      <c r="D6420" s="55" t="s">
        <v>12</v>
      </c>
      <c r="G6420" s="65">
        <f>289800*10</f>
        <v>2898000</v>
      </c>
      <c r="H6420" s="56" t="s">
        <v>962</v>
      </c>
      <c r="I6420" s="54">
        <v>8728405951</v>
      </c>
      <c r="J6420" s="56" t="s">
        <v>2978</v>
      </c>
      <c r="K6420" s="56">
        <v>3439</v>
      </c>
      <c r="L6420" s="55" t="s">
        <v>2152</v>
      </c>
      <c r="M6420" s="55" t="s">
        <v>2824</v>
      </c>
      <c r="N6420" s="4" t="s">
        <v>1905</v>
      </c>
      <c r="O6420" s="55" t="s">
        <v>178</v>
      </c>
    </row>
    <row r="6421" spans="2:15">
      <c r="B6421" s="20">
        <v>45923</v>
      </c>
      <c r="C6421" s="59">
        <v>40011588</v>
      </c>
      <c r="D6421" s="55" t="s">
        <v>585</v>
      </c>
      <c r="G6421" s="65">
        <v>900</v>
      </c>
      <c r="H6421" s="56" t="s">
        <v>80</v>
      </c>
      <c r="I6421" s="54">
        <v>8728405951</v>
      </c>
      <c r="J6421" s="56" t="s">
        <v>2978</v>
      </c>
      <c r="K6421" s="56">
        <v>3439</v>
      </c>
      <c r="L6421" s="55" t="s">
        <v>2152</v>
      </c>
      <c r="M6421" s="55" t="s">
        <v>2824</v>
      </c>
      <c r="N6421" s="4" t="s">
        <v>1905</v>
      </c>
      <c r="O6421" s="55" t="s">
        <v>178</v>
      </c>
    </row>
    <row r="6422" spans="2:15">
      <c r="B6422" s="20">
        <v>45923</v>
      </c>
      <c r="C6422" s="59">
        <v>50449101</v>
      </c>
      <c r="D6422" s="55" t="s">
        <v>237</v>
      </c>
      <c r="G6422" s="65">
        <f>289800*8</f>
        <v>2318400</v>
      </c>
      <c r="H6422" s="56" t="s">
        <v>962</v>
      </c>
      <c r="I6422" s="54">
        <v>8728406206</v>
      </c>
      <c r="J6422" s="56" t="s">
        <v>2978</v>
      </c>
      <c r="K6422" s="56">
        <v>3439</v>
      </c>
      <c r="L6422" s="55" t="s">
        <v>2152</v>
      </c>
      <c r="M6422" s="55" t="s">
        <v>2824</v>
      </c>
      <c r="N6422" s="4" t="s">
        <v>1905</v>
      </c>
      <c r="O6422" s="55" t="s">
        <v>178</v>
      </c>
    </row>
    <row r="6423" spans="2:15">
      <c r="B6423" s="20">
        <v>45924</v>
      </c>
      <c r="C6423" s="59">
        <v>50819323</v>
      </c>
      <c r="D6423" s="55" t="s">
        <v>40</v>
      </c>
      <c r="G6423" s="65">
        <v>44.64</v>
      </c>
      <c r="H6423" s="56" t="s">
        <v>80</v>
      </c>
      <c r="I6423" s="54">
        <v>8728491834</v>
      </c>
      <c r="J6423" s="56" t="s">
        <v>2978</v>
      </c>
      <c r="K6423" s="56">
        <v>3440</v>
      </c>
      <c r="L6423" s="55" t="s">
        <v>392</v>
      </c>
      <c r="M6423" s="55" t="s">
        <v>392</v>
      </c>
      <c r="O6423" s="55" t="s">
        <v>178</v>
      </c>
    </row>
    <row r="6424" spans="2:15">
      <c r="B6424" s="20">
        <v>45924</v>
      </c>
      <c r="C6424" s="59">
        <v>50515034</v>
      </c>
      <c r="D6424" s="55" t="s">
        <v>41</v>
      </c>
      <c r="G6424" s="65">
        <v>172.8</v>
      </c>
      <c r="H6424" s="56" t="s">
        <v>80</v>
      </c>
      <c r="I6424" s="54">
        <v>8728491834</v>
      </c>
      <c r="J6424" s="56" t="s">
        <v>2978</v>
      </c>
      <c r="K6424" s="56">
        <v>3440</v>
      </c>
      <c r="L6424" s="55" t="s">
        <v>392</v>
      </c>
      <c r="M6424" s="55" t="s">
        <v>392</v>
      </c>
      <c r="O6424" s="55" t="s">
        <v>178</v>
      </c>
    </row>
    <row r="6425" spans="2:15">
      <c r="B6425" s="20">
        <v>45924</v>
      </c>
      <c r="C6425" s="59">
        <v>50143893</v>
      </c>
      <c r="D6425" s="55" t="s">
        <v>24</v>
      </c>
      <c r="G6425" s="65">
        <f>660*2</f>
        <v>1320</v>
      </c>
      <c r="H6425" s="56" t="s">
        <v>82</v>
      </c>
      <c r="I6425" s="54">
        <v>8728491834</v>
      </c>
      <c r="J6425" s="56" t="s">
        <v>2978</v>
      </c>
      <c r="K6425" s="56">
        <v>3440</v>
      </c>
      <c r="L6425" s="55" t="s">
        <v>392</v>
      </c>
      <c r="M6425" s="55" t="s">
        <v>392</v>
      </c>
      <c r="O6425" s="55" t="s">
        <v>178</v>
      </c>
    </row>
    <row r="6426" spans="2:15">
      <c r="B6426" s="20">
        <v>45924</v>
      </c>
      <c r="C6426" s="59">
        <v>50840366</v>
      </c>
      <c r="D6426" s="55" t="s">
        <v>1920</v>
      </c>
      <c r="G6426" s="65">
        <v>3249.35</v>
      </c>
      <c r="H6426" s="56" t="s">
        <v>82</v>
      </c>
      <c r="I6426" s="54">
        <v>8728440258</v>
      </c>
      <c r="J6426" s="56" t="s">
        <v>2978</v>
      </c>
      <c r="K6426" s="56">
        <v>3441</v>
      </c>
      <c r="L6426" s="55" t="s">
        <v>2152</v>
      </c>
      <c r="M6426" s="55" t="s">
        <v>2824</v>
      </c>
      <c r="N6426" s="4" t="s">
        <v>1905</v>
      </c>
      <c r="O6426" s="55" t="s">
        <v>178</v>
      </c>
    </row>
    <row r="6427" spans="2:15">
      <c r="B6427" s="20">
        <v>45924</v>
      </c>
      <c r="C6427" s="59">
        <v>50272278</v>
      </c>
      <c r="D6427" s="55" t="s">
        <v>21</v>
      </c>
      <c r="G6427" s="65">
        <v>7800</v>
      </c>
      <c r="H6427" s="56" t="s">
        <v>92</v>
      </c>
      <c r="I6427" s="54">
        <v>8728439138</v>
      </c>
      <c r="J6427" s="56" t="s">
        <v>2978</v>
      </c>
      <c r="K6427" s="56">
        <v>3441</v>
      </c>
      <c r="L6427" s="55" t="s">
        <v>2152</v>
      </c>
      <c r="M6427" s="55" t="s">
        <v>2824</v>
      </c>
      <c r="N6427" s="4" t="s">
        <v>1905</v>
      </c>
      <c r="O6427" s="55" t="s">
        <v>178</v>
      </c>
    </row>
    <row r="6428" spans="2:15">
      <c r="B6428" s="20">
        <v>45924</v>
      </c>
      <c r="C6428" s="54">
        <v>50854127</v>
      </c>
      <c r="D6428" s="55" t="s">
        <v>30</v>
      </c>
      <c r="G6428" s="65">
        <v>1148.65</v>
      </c>
      <c r="H6428" s="56" t="s">
        <v>82</v>
      </c>
      <c r="I6428" s="54">
        <v>8728718280</v>
      </c>
      <c r="J6428" s="56" t="s">
        <v>2978</v>
      </c>
      <c r="K6428" s="56">
        <v>3441</v>
      </c>
      <c r="L6428" s="55" t="s">
        <v>2152</v>
      </c>
      <c r="M6428" s="55" t="s">
        <v>2824</v>
      </c>
      <c r="N6428" s="4" t="s">
        <v>1905</v>
      </c>
      <c r="O6428" s="55" t="s">
        <v>178</v>
      </c>
    </row>
    <row r="6429" spans="2:15">
      <c r="B6429" s="20">
        <v>45924</v>
      </c>
      <c r="C6429" s="59">
        <v>50144376</v>
      </c>
      <c r="D6429" s="55" t="s">
        <v>19</v>
      </c>
      <c r="G6429" s="65">
        <v>5400</v>
      </c>
      <c r="H6429" s="56" t="s">
        <v>92</v>
      </c>
      <c r="I6429" s="54">
        <v>8728406168</v>
      </c>
      <c r="J6429" s="56" t="s">
        <v>2978</v>
      </c>
      <c r="K6429" s="56">
        <v>3442</v>
      </c>
      <c r="L6429" s="55" t="s">
        <v>2152</v>
      </c>
      <c r="M6429" s="55" t="s">
        <v>2824</v>
      </c>
      <c r="N6429" s="4" t="s">
        <v>1905</v>
      </c>
      <c r="O6429" s="55" t="s">
        <v>178</v>
      </c>
    </row>
    <row r="6430" spans="2:15">
      <c r="B6430" s="20">
        <v>45924</v>
      </c>
      <c r="C6430" s="59">
        <v>50142237</v>
      </c>
      <c r="D6430" s="55" t="s">
        <v>617</v>
      </c>
      <c r="G6430" s="65">
        <v>20000</v>
      </c>
      <c r="H6430" s="56" t="s">
        <v>92</v>
      </c>
      <c r="I6430" s="54">
        <v>8728406168</v>
      </c>
      <c r="J6430" s="56" t="s">
        <v>2978</v>
      </c>
      <c r="K6430" s="56">
        <v>3442</v>
      </c>
      <c r="L6430" s="55" t="s">
        <v>2152</v>
      </c>
      <c r="M6430" s="55" t="s">
        <v>2824</v>
      </c>
      <c r="N6430" s="4" t="s">
        <v>1905</v>
      </c>
      <c r="O6430" s="55" t="s">
        <v>178</v>
      </c>
    </row>
    <row r="6431" spans="2:15">
      <c r="B6431" s="20">
        <v>45924</v>
      </c>
      <c r="C6431" s="59">
        <v>50470190</v>
      </c>
      <c r="D6431" s="55" t="s">
        <v>12</v>
      </c>
      <c r="G6431" s="65">
        <v>1738800</v>
      </c>
      <c r="H6431" s="56" t="s">
        <v>80</v>
      </c>
      <c r="I6431" s="54">
        <v>8728406168</v>
      </c>
      <c r="J6431" s="56" t="s">
        <v>2978</v>
      </c>
      <c r="K6431" s="56">
        <v>3442</v>
      </c>
      <c r="L6431" s="55" t="s">
        <v>2152</v>
      </c>
      <c r="M6431" s="55" t="s">
        <v>2824</v>
      </c>
      <c r="N6431" s="4" t="s">
        <v>1905</v>
      </c>
      <c r="O6431" s="55" t="s">
        <v>178</v>
      </c>
    </row>
    <row r="6432" spans="2:15">
      <c r="B6432" s="20">
        <v>45924</v>
      </c>
      <c r="C6432" s="59">
        <v>40011780</v>
      </c>
      <c r="D6432" s="55" t="s">
        <v>584</v>
      </c>
      <c r="G6432" s="65">
        <v>900</v>
      </c>
      <c r="H6432" s="56" t="s">
        <v>80</v>
      </c>
      <c r="I6432" s="54">
        <v>8728406168</v>
      </c>
      <c r="J6432" s="56" t="s">
        <v>2978</v>
      </c>
      <c r="K6432" s="56">
        <v>3442</v>
      </c>
      <c r="L6432" s="55" t="s">
        <v>2152</v>
      </c>
      <c r="M6432" s="55" t="s">
        <v>2824</v>
      </c>
      <c r="N6432" s="4" t="s">
        <v>1905</v>
      </c>
      <c r="O6432" s="55" t="s">
        <v>178</v>
      </c>
    </row>
    <row r="6433" spans="2:15">
      <c r="B6433" s="20">
        <v>45924</v>
      </c>
      <c r="C6433" s="59">
        <v>40011588</v>
      </c>
      <c r="D6433" s="55" t="s">
        <v>585</v>
      </c>
      <c r="G6433" s="65">
        <v>900</v>
      </c>
      <c r="H6433" s="56" t="s">
        <v>92</v>
      </c>
      <c r="I6433" s="54">
        <v>8728406168</v>
      </c>
      <c r="J6433" s="56" t="s">
        <v>2978</v>
      </c>
      <c r="K6433" s="56">
        <v>3442</v>
      </c>
      <c r="L6433" s="55" t="s">
        <v>2152</v>
      </c>
      <c r="M6433" s="55" t="s">
        <v>2824</v>
      </c>
      <c r="N6433" s="4" t="s">
        <v>1905</v>
      </c>
      <c r="O6433" s="55" t="s">
        <v>178</v>
      </c>
    </row>
    <row r="6434" spans="2:15">
      <c r="B6434" s="20">
        <v>45924</v>
      </c>
      <c r="C6434" s="59">
        <v>50509889</v>
      </c>
      <c r="D6434" s="55" t="s">
        <v>671</v>
      </c>
      <c r="G6434" s="65">
        <v>528000</v>
      </c>
      <c r="H6434" s="56" t="s">
        <v>92</v>
      </c>
      <c r="I6434" s="54">
        <v>8728406168</v>
      </c>
      <c r="J6434" s="56" t="s">
        <v>2978</v>
      </c>
      <c r="K6434" s="56">
        <v>3442</v>
      </c>
      <c r="L6434" s="55" t="s">
        <v>2152</v>
      </c>
      <c r="M6434" s="55" t="s">
        <v>2824</v>
      </c>
      <c r="N6434" s="4" t="s">
        <v>1905</v>
      </c>
      <c r="O6434" s="55" t="s">
        <v>178</v>
      </c>
    </row>
    <row r="6435" spans="2:15">
      <c r="B6435" s="20">
        <v>45924</v>
      </c>
      <c r="C6435" s="59">
        <v>50143876</v>
      </c>
      <c r="D6435" s="55" t="s">
        <v>2752</v>
      </c>
      <c r="G6435" s="65">
        <v>20000</v>
      </c>
      <c r="H6435" s="56" t="s">
        <v>92</v>
      </c>
      <c r="I6435" s="54">
        <v>8728628433</v>
      </c>
      <c r="J6435" s="56" t="s">
        <v>2978</v>
      </c>
      <c r="K6435" s="56">
        <v>3442</v>
      </c>
      <c r="L6435" s="55" t="s">
        <v>2152</v>
      </c>
      <c r="M6435" s="55" t="s">
        <v>2824</v>
      </c>
      <c r="N6435" s="4" t="s">
        <v>1905</v>
      </c>
      <c r="O6435" s="55" t="s">
        <v>178</v>
      </c>
    </row>
    <row r="6436" spans="2:15">
      <c r="B6436" s="20">
        <v>45924</v>
      </c>
      <c r="C6436" s="59">
        <v>50756639</v>
      </c>
      <c r="D6436" s="55" t="s">
        <v>2659</v>
      </c>
      <c r="G6436" s="65">
        <v>3000</v>
      </c>
      <c r="H6436" s="56" t="s">
        <v>92</v>
      </c>
      <c r="I6436" s="54">
        <v>8728493555</v>
      </c>
      <c r="J6436" s="56" t="s">
        <v>2978</v>
      </c>
      <c r="K6436" s="56">
        <v>3442</v>
      </c>
      <c r="L6436" s="55" t="s">
        <v>2152</v>
      </c>
      <c r="M6436" s="55" t="s">
        <v>2824</v>
      </c>
      <c r="N6436" s="4" t="s">
        <v>1905</v>
      </c>
      <c r="O6436" s="55" t="s">
        <v>178</v>
      </c>
    </row>
    <row r="6437" spans="2:15">
      <c r="B6437" s="20">
        <v>45924</v>
      </c>
      <c r="C6437" s="59">
        <v>50852311</v>
      </c>
      <c r="D6437" s="55" t="s">
        <v>2598</v>
      </c>
      <c r="F6437" s="67">
        <v>26</v>
      </c>
      <c r="G6437" s="65">
        <v>37.44</v>
      </c>
      <c r="H6437" s="56" t="s">
        <v>80</v>
      </c>
      <c r="I6437" s="54">
        <v>8728420371</v>
      </c>
      <c r="J6437" s="56" t="s">
        <v>2978</v>
      </c>
      <c r="K6437" s="56">
        <v>588</v>
      </c>
      <c r="L6437" s="55" t="s">
        <v>3042</v>
      </c>
      <c r="M6437" s="55" t="s">
        <v>2824</v>
      </c>
      <c r="O6437" s="55" t="s">
        <v>178</v>
      </c>
    </row>
    <row r="6438" spans="2:15">
      <c r="B6438" s="20">
        <v>45924</v>
      </c>
      <c r="C6438" s="59">
        <v>50852311</v>
      </c>
      <c r="D6438" s="55" t="s">
        <v>2598</v>
      </c>
      <c r="F6438" s="67">
        <v>26</v>
      </c>
      <c r="G6438" s="65">
        <v>37.44</v>
      </c>
      <c r="H6438" s="56" t="s">
        <v>80</v>
      </c>
      <c r="I6438" s="54">
        <v>8728420375</v>
      </c>
      <c r="J6438" s="56" t="s">
        <v>2978</v>
      </c>
      <c r="K6438" s="56">
        <v>589</v>
      </c>
      <c r="L6438" s="55" t="s">
        <v>3042</v>
      </c>
      <c r="M6438" s="55" t="s">
        <v>2824</v>
      </c>
      <c r="O6438" s="55" t="s">
        <v>178</v>
      </c>
    </row>
    <row r="6439" spans="2:15">
      <c r="B6439" s="20">
        <v>45924</v>
      </c>
      <c r="C6439" s="59">
        <v>50852311</v>
      </c>
      <c r="D6439" s="55" t="s">
        <v>2598</v>
      </c>
      <c r="F6439" s="67">
        <v>26</v>
      </c>
      <c r="G6439" s="65">
        <v>37.44</v>
      </c>
      <c r="H6439" s="56" t="s">
        <v>80</v>
      </c>
      <c r="I6439" s="54">
        <v>8728560295</v>
      </c>
      <c r="J6439" s="56" t="s">
        <v>2978</v>
      </c>
      <c r="K6439" s="56">
        <v>590</v>
      </c>
      <c r="L6439" s="55" t="s">
        <v>3042</v>
      </c>
      <c r="M6439" s="55" t="s">
        <v>2824</v>
      </c>
      <c r="O6439" s="55" t="s">
        <v>178</v>
      </c>
    </row>
    <row r="6440" spans="2:15">
      <c r="B6440" s="20">
        <v>45924</v>
      </c>
      <c r="C6440" s="59">
        <v>50852311</v>
      </c>
      <c r="D6440" s="55" t="s">
        <v>2598</v>
      </c>
      <c r="F6440" s="67">
        <v>21</v>
      </c>
      <c r="G6440" s="65">
        <v>30.24</v>
      </c>
      <c r="H6440" s="56" t="s">
        <v>80</v>
      </c>
      <c r="I6440" s="54">
        <v>8728560297</v>
      </c>
      <c r="J6440" s="56" t="s">
        <v>2978</v>
      </c>
      <c r="K6440" s="56">
        <v>591</v>
      </c>
      <c r="L6440" s="55" t="s">
        <v>3042</v>
      </c>
      <c r="M6440" s="55" t="s">
        <v>2824</v>
      </c>
      <c r="O6440" s="55" t="s">
        <v>178</v>
      </c>
    </row>
    <row r="6441" spans="2:15">
      <c r="B6441" s="20">
        <v>45924</v>
      </c>
      <c r="C6441" s="59">
        <v>40014675</v>
      </c>
      <c r="D6441" s="55" t="s">
        <v>44</v>
      </c>
      <c r="G6441" s="65">
        <v>37.77</v>
      </c>
      <c r="H6441" s="56" t="s">
        <v>80</v>
      </c>
      <c r="I6441" s="54">
        <v>8728420404</v>
      </c>
      <c r="J6441" s="56" t="s">
        <v>2978</v>
      </c>
      <c r="K6441" s="56">
        <v>592</v>
      </c>
      <c r="L6441" s="55" t="s">
        <v>3042</v>
      </c>
      <c r="M6441" s="55" t="s">
        <v>2824</v>
      </c>
      <c r="O6441" s="55" t="s">
        <v>178</v>
      </c>
    </row>
    <row r="6442" spans="2:15">
      <c r="B6442" s="20">
        <v>45924</v>
      </c>
      <c r="C6442" s="59">
        <v>40014675</v>
      </c>
      <c r="D6442" s="55" t="s">
        <v>44</v>
      </c>
      <c r="G6442" s="65">
        <v>37.77</v>
      </c>
      <c r="H6442" s="56" t="s">
        <v>80</v>
      </c>
      <c r="I6442" s="54">
        <v>8728420411</v>
      </c>
      <c r="J6442" s="56" t="s">
        <v>2978</v>
      </c>
      <c r="K6442" s="56">
        <v>593</v>
      </c>
      <c r="L6442" s="55" t="s">
        <v>3042</v>
      </c>
      <c r="M6442" s="55" t="s">
        <v>2824</v>
      </c>
      <c r="O6442" s="55" t="s">
        <v>178</v>
      </c>
    </row>
    <row r="6443" spans="2:15">
      <c r="B6443" s="20">
        <v>45924</v>
      </c>
      <c r="C6443" s="59">
        <v>40014675</v>
      </c>
      <c r="D6443" s="55" t="s">
        <v>44</v>
      </c>
      <c r="G6443" s="65">
        <v>37.77</v>
      </c>
      <c r="H6443" s="56" t="s">
        <v>80</v>
      </c>
      <c r="I6443" s="54">
        <v>8728420418</v>
      </c>
      <c r="J6443" s="56" t="s">
        <v>2978</v>
      </c>
      <c r="K6443" s="56">
        <v>594</v>
      </c>
      <c r="L6443" s="55" t="s">
        <v>3042</v>
      </c>
      <c r="M6443" s="55" t="s">
        <v>2824</v>
      </c>
      <c r="O6443" s="55" t="s">
        <v>178</v>
      </c>
    </row>
    <row r="6444" spans="2:15">
      <c r="B6444" s="20">
        <v>45925</v>
      </c>
      <c r="C6444" s="59">
        <v>50470190</v>
      </c>
      <c r="D6444" s="66" t="s">
        <v>12</v>
      </c>
      <c r="G6444" s="65">
        <v>5216400</v>
      </c>
      <c r="H6444" s="56" t="s">
        <v>962</v>
      </c>
      <c r="I6444" s="54">
        <v>8728421786</v>
      </c>
      <c r="J6444" s="56" t="s">
        <v>2978</v>
      </c>
      <c r="K6444" s="56">
        <v>3443</v>
      </c>
      <c r="L6444" s="55" t="s">
        <v>2152</v>
      </c>
      <c r="M6444" s="55" t="s">
        <v>2824</v>
      </c>
      <c r="N6444" s="4" t="s">
        <v>1905</v>
      </c>
      <c r="O6444" s="55" t="s">
        <v>178</v>
      </c>
    </row>
    <row r="6445" spans="2:15">
      <c r="B6445" s="20">
        <v>45925</v>
      </c>
      <c r="C6445" s="59">
        <v>50010080</v>
      </c>
      <c r="D6445" s="55" t="s">
        <v>1657</v>
      </c>
      <c r="G6445" s="65">
        <v>3000</v>
      </c>
      <c r="H6445" s="56" t="s">
        <v>82</v>
      </c>
      <c r="I6445" s="54">
        <v>8728421802</v>
      </c>
      <c r="J6445" s="56" t="s">
        <v>2978</v>
      </c>
      <c r="K6445" s="56">
        <v>3444</v>
      </c>
      <c r="L6445" s="55" t="s">
        <v>2152</v>
      </c>
      <c r="M6445" s="55" t="s">
        <v>2824</v>
      </c>
      <c r="N6445" s="4" t="s">
        <v>1905</v>
      </c>
      <c r="O6445" s="55" t="s">
        <v>178</v>
      </c>
    </row>
    <row r="6446" spans="2:15">
      <c r="B6446" s="20">
        <v>45925</v>
      </c>
      <c r="C6446" s="59">
        <v>50142330</v>
      </c>
      <c r="D6446" s="55" t="s">
        <v>195</v>
      </c>
      <c r="G6446" s="65">
        <v>360</v>
      </c>
      <c r="H6446" s="56" t="s">
        <v>82</v>
      </c>
      <c r="I6446" s="54">
        <v>8728560350</v>
      </c>
      <c r="J6446" s="56" t="s">
        <v>2978</v>
      </c>
      <c r="K6446" s="56">
        <v>3444</v>
      </c>
      <c r="L6446" s="55" t="s">
        <v>2152</v>
      </c>
      <c r="M6446" s="55" t="s">
        <v>2824</v>
      </c>
      <c r="N6446" s="4" t="s">
        <v>1905</v>
      </c>
      <c r="O6446" s="55" t="s">
        <v>178</v>
      </c>
    </row>
    <row r="6447" spans="2:15">
      <c r="B6447" s="20">
        <v>45925</v>
      </c>
      <c r="C6447" s="59">
        <v>50169446</v>
      </c>
      <c r="D6447" s="55" t="s">
        <v>1047</v>
      </c>
      <c r="G6447" s="65">
        <v>391.7</v>
      </c>
      <c r="H6447" s="56" t="s">
        <v>82</v>
      </c>
      <c r="I6447" s="54">
        <v>5017556736</v>
      </c>
      <c r="J6447" s="56" t="s">
        <v>3038</v>
      </c>
      <c r="K6447" s="56">
        <v>3444</v>
      </c>
      <c r="L6447" s="55" t="s">
        <v>2152</v>
      </c>
      <c r="M6447" s="55" t="s">
        <v>2824</v>
      </c>
      <c r="N6447" s="4" t="s">
        <v>1905</v>
      </c>
      <c r="O6447" s="55" t="s">
        <v>178</v>
      </c>
    </row>
    <row r="6448" spans="2:15">
      <c r="B6448" s="20">
        <v>45925</v>
      </c>
      <c r="C6448" s="59">
        <v>50144376</v>
      </c>
      <c r="D6448" s="55" t="s">
        <v>19</v>
      </c>
      <c r="G6448" s="65">
        <v>5400</v>
      </c>
      <c r="H6448" s="56" t="s">
        <v>92</v>
      </c>
      <c r="I6448" s="54">
        <v>8728421802</v>
      </c>
      <c r="J6448" s="56" t="s">
        <v>2978</v>
      </c>
      <c r="K6448" s="56">
        <v>3444</v>
      </c>
      <c r="L6448" s="55" t="s">
        <v>2152</v>
      </c>
      <c r="M6448" s="55" t="s">
        <v>2824</v>
      </c>
      <c r="N6448" s="4" t="s">
        <v>1905</v>
      </c>
      <c r="O6448" s="55" t="s">
        <v>178</v>
      </c>
    </row>
    <row r="6449" spans="2:15">
      <c r="B6449" s="20">
        <v>45925</v>
      </c>
      <c r="C6449" s="59">
        <v>50142327</v>
      </c>
      <c r="D6449" s="55" t="s">
        <v>256</v>
      </c>
      <c r="G6449" s="65">
        <v>1430.1</v>
      </c>
      <c r="H6449" s="56" t="s">
        <v>82</v>
      </c>
      <c r="I6449" s="54">
        <v>8728421802</v>
      </c>
      <c r="J6449" s="56" t="s">
        <v>2978</v>
      </c>
      <c r="K6449" s="56">
        <v>3444</v>
      </c>
      <c r="L6449" s="55" t="s">
        <v>2152</v>
      </c>
      <c r="M6449" s="55" t="s">
        <v>2824</v>
      </c>
      <c r="N6449" s="4" t="s">
        <v>1905</v>
      </c>
      <c r="O6449" s="55" t="s">
        <v>178</v>
      </c>
    </row>
    <row r="6450" spans="2:15">
      <c r="B6450" s="20">
        <v>45925</v>
      </c>
      <c r="C6450" s="59">
        <v>50142334</v>
      </c>
      <c r="D6450" s="55" t="s">
        <v>257</v>
      </c>
      <c r="G6450" s="65">
        <v>1430.1</v>
      </c>
      <c r="H6450" s="56" t="s">
        <v>82</v>
      </c>
      <c r="I6450" s="54">
        <v>8728421802</v>
      </c>
      <c r="J6450" s="56" t="s">
        <v>2978</v>
      </c>
      <c r="K6450" s="56">
        <v>3444</v>
      </c>
      <c r="L6450" s="55" t="s">
        <v>2152</v>
      </c>
      <c r="M6450" s="55" t="s">
        <v>2824</v>
      </c>
      <c r="N6450" s="4" t="s">
        <v>1905</v>
      </c>
      <c r="O6450" s="55" t="s">
        <v>178</v>
      </c>
    </row>
    <row r="6451" spans="2:15">
      <c r="B6451" s="20">
        <v>45925</v>
      </c>
      <c r="C6451" s="59">
        <v>40014675</v>
      </c>
      <c r="D6451" s="55" t="s">
        <v>44</v>
      </c>
      <c r="G6451" s="65">
        <v>34.56</v>
      </c>
      <c r="H6451" s="56" t="s">
        <v>80</v>
      </c>
      <c r="I6451" s="54">
        <v>8728421781</v>
      </c>
      <c r="J6451" s="56" t="s">
        <v>2978</v>
      </c>
      <c r="K6451" s="56">
        <v>595</v>
      </c>
      <c r="L6451" s="55" t="s">
        <v>2152</v>
      </c>
      <c r="M6451" s="55" t="s">
        <v>2824</v>
      </c>
      <c r="N6451" s="4" t="s">
        <v>177</v>
      </c>
      <c r="O6451" s="55" t="s">
        <v>178</v>
      </c>
    </row>
    <row r="6452" spans="2:15">
      <c r="B6452" s="20">
        <v>45925</v>
      </c>
      <c r="C6452" s="59">
        <v>40014675</v>
      </c>
      <c r="D6452" s="55" t="s">
        <v>44</v>
      </c>
      <c r="G6452" s="65">
        <v>34.56</v>
      </c>
      <c r="H6452" s="56" t="s">
        <v>80</v>
      </c>
      <c r="I6452" s="54">
        <v>8728421883</v>
      </c>
      <c r="J6452" s="56" t="s">
        <v>2978</v>
      </c>
      <c r="K6452" s="56">
        <v>596</v>
      </c>
      <c r="L6452" s="55" t="s">
        <v>392</v>
      </c>
      <c r="M6452" s="55" t="s">
        <v>2824</v>
      </c>
      <c r="O6452" s="55" t="s">
        <v>178</v>
      </c>
    </row>
    <row r="6453" spans="2:15">
      <c r="B6453" s="20">
        <v>45925</v>
      </c>
      <c r="C6453" s="59">
        <v>40014675</v>
      </c>
      <c r="D6453" s="55" t="s">
        <v>44</v>
      </c>
      <c r="G6453" s="65">
        <v>34.56</v>
      </c>
      <c r="H6453" s="56" t="s">
        <v>80</v>
      </c>
      <c r="I6453" s="54">
        <v>8728421906</v>
      </c>
      <c r="J6453" s="56" t="s">
        <v>2978</v>
      </c>
      <c r="K6453" s="56">
        <v>598</v>
      </c>
      <c r="L6453" s="55" t="s">
        <v>2152</v>
      </c>
      <c r="M6453" s="55" t="s">
        <v>2824</v>
      </c>
      <c r="N6453" s="4" t="s">
        <v>177</v>
      </c>
      <c r="O6453" s="55" t="s">
        <v>178</v>
      </c>
    </row>
    <row r="6454" spans="2:15">
      <c r="B6454" s="20">
        <v>45925</v>
      </c>
      <c r="C6454" s="59">
        <v>40014675</v>
      </c>
      <c r="D6454" s="55" t="s">
        <v>44</v>
      </c>
      <c r="G6454" s="65">
        <v>34.56</v>
      </c>
      <c r="H6454" s="56" t="s">
        <v>80</v>
      </c>
      <c r="I6454" s="54">
        <v>8728421908</v>
      </c>
      <c r="J6454" s="56" t="s">
        <v>2978</v>
      </c>
      <c r="K6454" s="56">
        <v>599</v>
      </c>
      <c r="L6454" s="55" t="s">
        <v>392</v>
      </c>
      <c r="M6454" s="55" t="s">
        <v>2824</v>
      </c>
      <c r="O6454" s="55" t="s">
        <v>178</v>
      </c>
    </row>
    <row r="6455" spans="2:15">
      <c r="B6455" s="20">
        <v>45925</v>
      </c>
      <c r="C6455" s="59">
        <v>40014675</v>
      </c>
      <c r="D6455" s="55" t="s">
        <v>44</v>
      </c>
      <c r="G6455" s="65">
        <v>34.56</v>
      </c>
      <c r="H6455" s="56" t="s">
        <v>80</v>
      </c>
      <c r="I6455" s="54">
        <v>8728421859</v>
      </c>
      <c r="J6455" s="56" t="s">
        <v>2978</v>
      </c>
      <c r="K6455" s="56">
        <v>600</v>
      </c>
      <c r="L6455" s="55" t="s">
        <v>2152</v>
      </c>
      <c r="M6455" s="55" t="s">
        <v>2824</v>
      </c>
      <c r="N6455" s="4" t="s">
        <v>177</v>
      </c>
      <c r="O6455" s="55" t="s">
        <v>178</v>
      </c>
    </row>
    <row r="6456" spans="2:15">
      <c r="B6456" s="20">
        <v>45925</v>
      </c>
      <c r="C6456" s="59">
        <v>50809353</v>
      </c>
      <c r="D6456" s="55" t="s">
        <v>905</v>
      </c>
      <c r="G6456" s="65">
        <v>8800</v>
      </c>
      <c r="H6456" s="56" t="s">
        <v>987</v>
      </c>
      <c r="I6456" s="54">
        <v>8728422086</v>
      </c>
      <c r="J6456" s="56" t="s">
        <v>2978</v>
      </c>
      <c r="K6456" s="56">
        <v>3445</v>
      </c>
      <c r="L6456" s="55" t="s">
        <v>2152</v>
      </c>
      <c r="M6456" s="55" t="s">
        <v>2824</v>
      </c>
      <c r="N6456" s="4" t="s">
        <v>1905</v>
      </c>
      <c r="O6456" s="55" t="s">
        <v>178</v>
      </c>
    </row>
    <row r="6457" spans="2:15">
      <c r="B6457" s="20">
        <v>45926</v>
      </c>
      <c r="C6457" s="59">
        <v>50144376</v>
      </c>
      <c r="D6457" s="69" t="s">
        <v>19</v>
      </c>
      <c r="G6457" s="65">
        <v>6000</v>
      </c>
      <c r="H6457" s="56" t="s">
        <v>962</v>
      </c>
      <c r="I6457" s="54">
        <v>8728456508</v>
      </c>
      <c r="J6457" s="56" t="s">
        <v>2978</v>
      </c>
      <c r="K6457" s="56">
        <v>3446</v>
      </c>
      <c r="L6457" s="55" t="s">
        <v>2152</v>
      </c>
      <c r="M6457" s="55" t="s">
        <v>2824</v>
      </c>
      <c r="N6457" s="4" t="s">
        <v>1905</v>
      </c>
      <c r="O6457" s="55" t="s">
        <v>178</v>
      </c>
    </row>
    <row r="6458" spans="2:15">
      <c r="B6458" s="20">
        <v>45926</v>
      </c>
      <c r="C6458" s="59">
        <v>50470190</v>
      </c>
      <c r="D6458" s="55" t="s">
        <v>12</v>
      </c>
      <c r="G6458" s="65">
        <v>2898000</v>
      </c>
      <c r="H6458" s="56" t="s">
        <v>962</v>
      </c>
      <c r="I6458" s="54">
        <v>8728491950</v>
      </c>
      <c r="J6458" s="56" t="s">
        <v>2978</v>
      </c>
      <c r="K6458" s="56">
        <v>3446</v>
      </c>
      <c r="L6458" s="55" t="s">
        <v>2152</v>
      </c>
      <c r="M6458" s="55" t="s">
        <v>2824</v>
      </c>
      <c r="N6458" s="4" t="s">
        <v>1905</v>
      </c>
      <c r="O6458" s="55" t="s">
        <v>178</v>
      </c>
    </row>
    <row r="6459" spans="2:15">
      <c r="B6459" s="20">
        <v>45926</v>
      </c>
      <c r="C6459" s="59">
        <v>50597773</v>
      </c>
      <c r="D6459" s="55" t="s">
        <v>1611</v>
      </c>
      <c r="G6459" s="65">
        <v>20000</v>
      </c>
      <c r="H6459" s="56" t="s">
        <v>962</v>
      </c>
      <c r="I6459" s="54">
        <v>8728491699</v>
      </c>
      <c r="J6459" s="56" t="s">
        <v>2978</v>
      </c>
      <c r="K6459" s="56">
        <v>3447</v>
      </c>
      <c r="L6459" s="55" t="s">
        <v>326</v>
      </c>
      <c r="M6459" s="55" t="s">
        <v>326</v>
      </c>
      <c r="O6459" s="55" t="s">
        <v>178</v>
      </c>
    </row>
    <row r="6460" spans="2:15">
      <c r="B6460" s="20">
        <v>45926</v>
      </c>
      <c r="C6460" s="59">
        <v>50144376</v>
      </c>
      <c r="D6460" s="55" t="s">
        <v>19</v>
      </c>
      <c r="G6460" s="65">
        <v>6600</v>
      </c>
      <c r="H6460" s="56" t="s">
        <v>962</v>
      </c>
      <c r="I6460" s="54">
        <v>8728439909</v>
      </c>
      <c r="J6460" s="56" t="s">
        <v>2978</v>
      </c>
      <c r="K6460" s="56">
        <v>3448</v>
      </c>
      <c r="L6460" s="55" t="s">
        <v>2152</v>
      </c>
      <c r="M6460" s="55" t="s">
        <v>2824</v>
      </c>
      <c r="N6460" s="4" t="s">
        <v>1905</v>
      </c>
      <c r="O6460" s="55" t="s">
        <v>178</v>
      </c>
    </row>
    <row r="6461" spans="2:15">
      <c r="B6461" s="20">
        <v>45926</v>
      </c>
      <c r="C6461" s="59">
        <v>50272278</v>
      </c>
      <c r="D6461" s="55" t="s">
        <v>21</v>
      </c>
      <c r="G6461" s="65">
        <v>6600</v>
      </c>
      <c r="H6461" s="56" t="s">
        <v>962</v>
      </c>
      <c r="I6461" s="54">
        <v>8728439909</v>
      </c>
      <c r="J6461" s="56" t="s">
        <v>2978</v>
      </c>
      <c r="K6461" s="56">
        <v>3448</v>
      </c>
      <c r="L6461" s="55" t="s">
        <v>2152</v>
      </c>
      <c r="M6461" s="55" t="s">
        <v>2824</v>
      </c>
      <c r="N6461" s="4" t="s">
        <v>1905</v>
      </c>
      <c r="O6461" s="55" t="s">
        <v>178</v>
      </c>
    </row>
    <row r="6462" spans="2:15">
      <c r="B6462" s="20">
        <v>45926</v>
      </c>
      <c r="C6462" s="59">
        <v>50272278</v>
      </c>
      <c r="D6462" s="55" t="s">
        <v>21</v>
      </c>
      <c r="G6462" s="65">
        <v>4200</v>
      </c>
      <c r="H6462" s="56" t="s">
        <v>962</v>
      </c>
      <c r="I6462" s="54">
        <v>8728456511</v>
      </c>
      <c r="J6462" s="56" t="s">
        <v>2978</v>
      </c>
      <c r="K6462" s="56">
        <v>3449</v>
      </c>
      <c r="L6462" s="55" t="s">
        <v>2152</v>
      </c>
      <c r="M6462" s="55" t="s">
        <v>2824</v>
      </c>
      <c r="N6462" s="4" t="s">
        <v>1905</v>
      </c>
      <c r="O6462" s="55" t="s">
        <v>178</v>
      </c>
    </row>
    <row r="6463" spans="2:15">
      <c r="B6463" s="20">
        <v>45926</v>
      </c>
      <c r="C6463" s="59">
        <v>40011588</v>
      </c>
      <c r="D6463" s="55" t="s">
        <v>585</v>
      </c>
      <c r="G6463" s="65">
        <v>450</v>
      </c>
      <c r="H6463" s="56" t="s">
        <v>80</v>
      </c>
      <c r="I6463" s="54">
        <v>8728456511</v>
      </c>
      <c r="J6463" s="56" t="s">
        <v>2978</v>
      </c>
      <c r="K6463" s="56">
        <v>3449</v>
      </c>
      <c r="L6463" s="55" t="s">
        <v>2152</v>
      </c>
      <c r="M6463" s="55" t="s">
        <v>2824</v>
      </c>
      <c r="N6463" s="4" t="s">
        <v>1905</v>
      </c>
      <c r="O6463" s="55" t="s">
        <v>178</v>
      </c>
    </row>
    <row r="6464" spans="2:15">
      <c r="B6464" s="20">
        <v>45926</v>
      </c>
      <c r="C6464" s="59">
        <v>50802401</v>
      </c>
      <c r="D6464" s="55" t="s">
        <v>13</v>
      </c>
      <c r="G6464" s="65">
        <v>2898000</v>
      </c>
      <c r="H6464" s="56" t="s">
        <v>962</v>
      </c>
      <c r="I6464" s="54">
        <v>8728493526</v>
      </c>
      <c r="J6464" s="56" t="s">
        <v>2978</v>
      </c>
      <c r="K6464" s="56">
        <v>3449</v>
      </c>
      <c r="L6464" s="55" t="s">
        <v>2152</v>
      </c>
      <c r="M6464" s="55" t="s">
        <v>2824</v>
      </c>
      <c r="N6464" s="4" t="s">
        <v>1905</v>
      </c>
      <c r="O6464" s="55" t="s">
        <v>178</v>
      </c>
    </row>
    <row r="6465" spans="2:15">
      <c r="B6465" s="20">
        <v>45926</v>
      </c>
      <c r="C6465" s="59">
        <v>50852310</v>
      </c>
      <c r="D6465" s="55" t="s">
        <v>2617</v>
      </c>
      <c r="G6465" s="65">
        <v>900000</v>
      </c>
      <c r="H6465" s="56" t="s">
        <v>92</v>
      </c>
      <c r="I6465" s="54">
        <v>8728527227</v>
      </c>
      <c r="J6465" s="56" t="s">
        <v>2978</v>
      </c>
      <c r="K6465" s="56">
        <v>3449</v>
      </c>
      <c r="L6465" s="55" t="s">
        <v>2152</v>
      </c>
      <c r="M6465" s="55" t="s">
        <v>2824</v>
      </c>
      <c r="N6465" s="4" t="s">
        <v>1905</v>
      </c>
      <c r="O6465" s="55" t="s">
        <v>178</v>
      </c>
    </row>
    <row r="6466" spans="2:15">
      <c r="B6466" s="20">
        <v>45927</v>
      </c>
      <c r="C6466" s="59">
        <v>40014900</v>
      </c>
      <c r="D6466" s="55" t="s">
        <v>153</v>
      </c>
      <c r="G6466" s="65">
        <v>34.56</v>
      </c>
      <c r="H6466" s="56" t="s">
        <v>80</v>
      </c>
      <c r="I6466" s="54">
        <v>8728560551</v>
      </c>
      <c r="J6466" s="56" t="s">
        <v>2978</v>
      </c>
      <c r="K6466" s="56">
        <v>601</v>
      </c>
      <c r="L6466" s="55" t="s">
        <v>392</v>
      </c>
      <c r="M6466" s="55" t="s">
        <v>2824</v>
      </c>
      <c r="O6466" s="55" t="s">
        <v>178</v>
      </c>
    </row>
    <row r="6467" spans="2:15">
      <c r="B6467" s="20">
        <v>45927</v>
      </c>
      <c r="C6467" s="59">
        <v>40014900</v>
      </c>
      <c r="D6467" s="55" t="s">
        <v>153</v>
      </c>
      <c r="G6467" s="65">
        <v>34.56</v>
      </c>
      <c r="H6467" s="56" t="s">
        <v>80</v>
      </c>
      <c r="I6467" s="54">
        <v>8728560584</v>
      </c>
      <c r="J6467" s="56" t="s">
        <v>2978</v>
      </c>
      <c r="K6467" s="56">
        <v>602</v>
      </c>
      <c r="L6467" s="55" t="s">
        <v>2152</v>
      </c>
      <c r="M6467" s="55" t="s">
        <v>2824</v>
      </c>
      <c r="N6467" s="4" t="s">
        <v>177</v>
      </c>
      <c r="O6467" s="55" t="s">
        <v>178</v>
      </c>
    </row>
    <row r="6468" spans="2:15">
      <c r="B6468" s="20">
        <v>45927</v>
      </c>
      <c r="C6468" s="59">
        <v>40014900</v>
      </c>
      <c r="D6468" s="55" t="s">
        <v>153</v>
      </c>
      <c r="G6468" s="65">
        <v>34.56</v>
      </c>
      <c r="H6468" s="56" t="s">
        <v>80</v>
      </c>
      <c r="I6468" s="54">
        <v>8728560584</v>
      </c>
      <c r="J6468" s="56" t="s">
        <v>2978</v>
      </c>
      <c r="K6468" s="56">
        <v>603</v>
      </c>
      <c r="L6468" s="55" t="s">
        <v>392</v>
      </c>
      <c r="M6468" s="55" t="s">
        <v>2824</v>
      </c>
      <c r="O6468" s="55" t="s">
        <v>178</v>
      </c>
    </row>
    <row r="6469" spans="2:15">
      <c r="B6469" s="20">
        <v>45927</v>
      </c>
      <c r="C6469" s="59">
        <v>40014900</v>
      </c>
      <c r="D6469" s="55" t="s">
        <v>153</v>
      </c>
      <c r="G6469" s="65">
        <v>34.56</v>
      </c>
      <c r="H6469" s="56" t="s">
        <v>80</v>
      </c>
      <c r="I6469" s="54">
        <v>8728560584</v>
      </c>
      <c r="J6469" s="56" t="s">
        <v>2978</v>
      </c>
      <c r="K6469" s="56">
        <v>604</v>
      </c>
      <c r="L6469" s="55" t="s">
        <v>2152</v>
      </c>
      <c r="M6469" s="55" t="s">
        <v>2824</v>
      </c>
      <c r="N6469" s="4" t="s">
        <v>177</v>
      </c>
      <c r="O6469" s="55" t="s">
        <v>178</v>
      </c>
    </row>
    <row r="6470" spans="2:15">
      <c r="B6470" s="20">
        <v>45927</v>
      </c>
      <c r="C6470" s="59">
        <v>40014900</v>
      </c>
      <c r="D6470" s="55" t="s">
        <v>153</v>
      </c>
      <c r="G6470" s="65">
        <v>34.56</v>
      </c>
      <c r="H6470" s="56" t="s">
        <v>80</v>
      </c>
      <c r="I6470" s="54">
        <v>8728560584</v>
      </c>
      <c r="J6470" s="56" t="s">
        <v>2978</v>
      </c>
      <c r="K6470" s="56">
        <v>605</v>
      </c>
      <c r="L6470" s="55" t="s">
        <v>2152</v>
      </c>
      <c r="M6470" s="55" t="s">
        <v>2824</v>
      </c>
      <c r="O6470" s="55" t="s">
        <v>178</v>
      </c>
    </row>
    <row r="6471" spans="2:15">
      <c r="B6471" s="20">
        <v>45927</v>
      </c>
      <c r="C6471" s="59">
        <v>50272278</v>
      </c>
      <c r="D6471" s="55" t="s">
        <v>21</v>
      </c>
      <c r="G6471" s="65">
        <f>24*300</f>
        <v>7200</v>
      </c>
      <c r="H6471" s="56" t="s">
        <v>92</v>
      </c>
      <c r="I6471" s="54">
        <v>8728456818</v>
      </c>
      <c r="J6471" s="56" t="s">
        <v>2978</v>
      </c>
      <c r="K6471" s="56">
        <v>3350</v>
      </c>
      <c r="L6471" s="55" t="s">
        <v>2152</v>
      </c>
      <c r="M6471" s="55" t="s">
        <v>2824</v>
      </c>
      <c r="N6471" s="4" t="s">
        <v>1905</v>
      </c>
      <c r="O6471" s="55" t="s">
        <v>178</v>
      </c>
    </row>
    <row r="6472" spans="2:15">
      <c r="B6472" s="20">
        <v>45927</v>
      </c>
      <c r="C6472" s="59">
        <v>50470190</v>
      </c>
      <c r="D6472" s="55" t="s">
        <v>12</v>
      </c>
      <c r="G6472" s="65">
        <f>8*289800</f>
        <v>2318400</v>
      </c>
      <c r="H6472" s="56" t="s">
        <v>92</v>
      </c>
      <c r="I6472" s="54">
        <v>8728491971</v>
      </c>
      <c r="J6472" s="56" t="s">
        <v>2978</v>
      </c>
      <c r="K6472" s="56">
        <v>3350</v>
      </c>
      <c r="L6472" s="55" t="s">
        <v>2152</v>
      </c>
      <c r="M6472" s="55" t="s">
        <v>2824</v>
      </c>
      <c r="N6472" s="4" t="s">
        <v>1905</v>
      </c>
      <c r="O6472" s="55" t="s">
        <v>178</v>
      </c>
    </row>
    <row r="6473" spans="2:15">
      <c r="B6473" s="20">
        <v>45927</v>
      </c>
      <c r="C6473" s="59">
        <v>40014900</v>
      </c>
      <c r="D6473" s="55" t="s">
        <v>153</v>
      </c>
      <c r="G6473" s="65">
        <v>34.56</v>
      </c>
      <c r="H6473" s="56" t="s">
        <v>80</v>
      </c>
      <c r="I6473" s="54">
        <v>8728560584</v>
      </c>
      <c r="J6473" s="56" t="s">
        <v>2978</v>
      </c>
      <c r="K6473" s="56">
        <v>606</v>
      </c>
      <c r="L6473" s="55" t="s">
        <v>2152</v>
      </c>
      <c r="M6473" s="55" t="s">
        <v>2824</v>
      </c>
      <c r="N6473" s="4" t="s">
        <v>177</v>
      </c>
      <c r="O6473" s="55" t="s">
        <v>178</v>
      </c>
    </row>
    <row r="6474" spans="2:15">
      <c r="B6474" s="20">
        <v>45927</v>
      </c>
      <c r="C6474" s="59">
        <v>40014900</v>
      </c>
      <c r="D6474" s="55" t="s">
        <v>153</v>
      </c>
      <c r="G6474" s="65">
        <v>34.56</v>
      </c>
      <c r="H6474" s="56" t="s">
        <v>80</v>
      </c>
      <c r="I6474" s="54">
        <v>8728560584</v>
      </c>
      <c r="J6474" s="56" t="s">
        <v>2978</v>
      </c>
      <c r="K6474" s="56">
        <v>607</v>
      </c>
      <c r="L6474" s="55" t="s">
        <v>392</v>
      </c>
      <c r="M6474" s="55" t="s">
        <v>2824</v>
      </c>
      <c r="O6474" s="55" t="s">
        <v>178</v>
      </c>
    </row>
    <row r="6475" spans="2:15">
      <c r="B6475" s="20">
        <v>45927</v>
      </c>
      <c r="C6475" s="59">
        <v>40014900</v>
      </c>
      <c r="D6475" s="55" t="s">
        <v>153</v>
      </c>
      <c r="G6475" s="65">
        <v>31.68</v>
      </c>
      <c r="H6475" s="56" t="s">
        <v>80</v>
      </c>
      <c r="I6475" s="54">
        <v>8728560584</v>
      </c>
      <c r="J6475" s="56" t="s">
        <v>2978</v>
      </c>
      <c r="K6475" s="56">
        <v>608</v>
      </c>
      <c r="L6475" s="55" t="s">
        <v>2152</v>
      </c>
      <c r="M6475" s="55" t="s">
        <v>2824</v>
      </c>
      <c r="N6475" s="4" t="s">
        <v>177</v>
      </c>
      <c r="O6475" s="55" t="s">
        <v>178</v>
      </c>
    </row>
    <row r="6476" spans="2:15">
      <c r="B6476" s="20">
        <v>45927</v>
      </c>
      <c r="C6476" s="59">
        <v>40014900</v>
      </c>
      <c r="D6476" s="55" t="s">
        <v>153</v>
      </c>
      <c r="G6476" s="65">
        <v>34.56</v>
      </c>
      <c r="H6476" s="56" t="s">
        <v>80</v>
      </c>
      <c r="I6476" s="54" t="s">
        <v>3044</v>
      </c>
      <c r="J6476" s="56" t="s">
        <v>2978</v>
      </c>
      <c r="K6476" s="56">
        <v>609</v>
      </c>
      <c r="L6476" s="55" t="s">
        <v>392</v>
      </c>
      <c r="M6476" s="55" t="s">
        <v>2824</v>
      </c>
      <c r="O6476" s="55" t="s">
        <v>178</v>
      </c>
    </row>
    <row r="6477" spans="2:15">
      <c r="B6477" s="20">
        <v>45927</v>
      </c>
      <c r="C6477" s="59">
        <v>40014900</v>
      </c>
      <c r="D6477" s="55" t="s">
        <v>153</v>
      </c>
      <c r="G6477" s="65">
        <v>34.56</v>
      </c>
      <c r="H6477" s="56" t="s">
        <v>80</v>
      </c>
      <c r="I6477" s="54" t="s">
        <v>3044</v>
      </c>
      <c r="J6477" s="56" t="s">
        <v>2978</v>
      </c>
      <c r="K6477" s="56">
        <v>610</v>
      </c>
      <c r="L6477" s="55" t="s">
        <v>2152</v>
      </c>
      <c r="M6477" s="55" t="s">
        <v>2824</v>
      </c>
      <c r="N6477" s="4" t="s">
        <v>177</v>
      </c>
      <c r="O6477" s="55" t="s">
        <v>178</v>
      </c>
    </row>
    <row r="6478" spans="2:15">
      <c r="B6478" s="20">
        <v>45927</v>
      </c>
      <c r="C6478" s="59">
        <v>40014900</v>
      </c>
      <c r="D6478" s="55" t="s">
        <v>153</v>
      </c>
      <c r="G6478" s="65">
        <v>34.56</v>
      </c>
      <c r="H6478" s="56" t="s">
        <v>80</v>
      </c>
      <c r="I6478" s="54" t="s">
        <v>3044</v>
      </c>
      <c r="J6478" s="56" t="s">
        <v>2978</v>
      </c>
      <c r="K6478" s="56">
        <v>611</v>
      </c>
      <c r="L6478" s="55" t="s">
        <v>392</v>
      </c>
      <c r="M6478" s="55" t="s">
        <v>2824</v>
      </c>
      <c r="O6478" s="55" t="s">
        <v>178</v>
      </c>
    </row>
    <row r="6479" spans="2:15">
      <c r="B6479" s="20">
        <v>45927</v>
      </c>
      <c r="C6479" s="59">
        <v>40014675</v>
      </c>
      <c r="D6479" s="55" t="s">
        <v>44</v>
      </c>
      <c r="G6479" s="65">
        <v>34.56</v>
      </c>
      <c r="H6479" s="56" t="s">
        <v>80</v>
      </c>
      <c r="I6479" s="54">
        <v>8728491679</v>
      </c>
      <c r="J6479" s="56" t="s">
        <v>2978</v>
      </c>
      <c r="K6479" s="56">
        <v>612</v>
      </c>
      <c r="L6479" s="55" t="s">
        <v>2152</v>
      </c>
      <c r="M6479" s="55" t="s">
        <v>2824</v>
      </c>
      <c r="O6479" s="55" t="s">
        <v>178</v>
      </c>
    </row>
    <row r="6480" spans="2:15">
      <c r="B6480" s="20">
        <v>45927</v>
      </c>
      <c r="C6480" s="59">
        <v>40014675</v>
      </c>
      <c r="D6480" s="55" t="s">
        <v>44</v>
      </c>
      <c r="G6480" s="65">
        <v>31.68</v>
      </c>
      <c r="H6480" s="56" t="s">
        <v>80</v>
      </c>
      <c r="I6480" s="54">
        <v>8728491695</v>
      </c>
      <c r="J6480" s="56" t="s">
        <v>2978</v>
      </c>
      <c r="K6480" s="56">
        <v>613</v>
      </c>
      <c r="L6480" s="55" t="s">
        <v>2152</v>
      </c>
      <c r="M6480" s="55" t="s">
        <v>2824</v>
      </c>
      <c r="N6480" s="4" t="s">
        <v>1905</v>
      </c>
      <c r="O6480" s="55" t="s">
        <v>178</v>
      </c>
    </row>
    <row r="6481" spans="2:15">
      <c r="B6481" s="20">
        <v>45930</v>
      </c>
      <c r="C6481" s="59">
        <v>50272278</v>
      </c>
      <c r="D6481" s="55" t="s">
        <v>21</v>
      </c>
      <c r="G6481" s="65">
        <v>7200</v>
      </c>
      <c r="H6481" s="56" t="s">
        <v>92</v>
      </c>
      <c r="I6481" s="54">
        <v>8728493453</v>
      </c>
      <c r="J6481" s="56" t="s">
        <v>2978</v>
      </c>
      <c r="K6481" s="56">
        <v>3452</v>
      </c>
      <c r="L6481" s="55" t="s">
        <v>2152</v>
      </c>
      <c r="M6481" s="55" t="s">
        <v>2824</v>
      </c>
      <c r="N6481" s="4" t="s">
        <v>1905</v>
      </c>
      <c r="O6481" s="55" t="s">
        <v>178</v>
      </c>
    </row>
    <row r="6482" spans="2:15">
      <c r="B6482" s="20">
        <v>45930</v>
      </c>
      <c r="C6482" s="59">
        <v>50470190</v>
      </c>
      <c r="D6482" s="55" t="s">
        <v>12</v>
      </c>
      <c r="G6482" s="65">
        <v>1159200</v>
      </c>
      <c r="H6482" s="56" t="s">
        <v>92</v>
      </c>
      <c r="I6482" s="54">
        <v>8728493453</v>
      </c>
      <c r="J6482" s="56" t="s">
        <v>2978</v>
      </c>
      <c r="K6482" s="56">
        <v>3452</v>
      </c>
      <c r="L6482" s="55" t="s">
        <v>2152</v>
      </c>
      <c r="M6482" s="55" t="s">
        <v>2824</v>
      </c>
      <c r="N6482" s="4" t="s">
        <v>1905</v>
      </c>
      <c r="O6482" s="55" t="s">
        <v>178</v>
      </c>
    </row>
    <row r="6483" spans="2:15">
      <c r="B6483" s="20">
        <v>45930</v>
      </c>
      <c r="C6483" s="59">
        <v>50802401</v>
      </c>
      <c r="D6483" s="55" t="s">
        <v>13</v>
      </c>
      <c r="G6483" s="65">
        <v>1159200</v>
      </c>
      <c r="H6483" s="56" t="s">
        <v>92</v>
      </c>
      <c r="I6483" s="54">
        <v>8728493453</v>
      </c>
      <c r="J6483" s="56" t="s">
        <v>2978</v>
      </c>
      <c r="K6483" s="56">
        <v>3452</v>
      </c>
      <c r="L6483" s="55" t="s">
        <v>2152</v>
      </c>
      <c r="M6483" s="55" t="s">
        <v>2824</v>
      </c>
      <c r="N6483" s="4" t="s">
        <v>1905</v>
      </c>
      <c r="O6483" s="55" t="s">
        <v>178</v>
      </c>
    </row>
    <row r="6484" spans="2:15">
      <c r="B6484" s="20">
        <v>45930</v>
      </c>
      <c r="C6484" s="59">
        <v>50837239</v>
      </c>
      <c r="D6484" s="55" t="s">
        <v>27</v>
      </c>
      <c r="G6484" s="65">
        <v>3135.1</v>
      </c>
      <c r="H6484" s="56" t="s">
        <v>82</v>
      </c>
      <c r="I6484" s="54">
        <v>8728494668</v>
      </c>
      <c r="J6484" s="56" t="s">
        <v>2978</v>
      </c>
      <c r="K6484" s="56">
        <v>3453</v>
      </c>
      <c r="L6484" s="55" t="s">
        <v>2152</v>
      </c>
      <c r="M6484" s="55" t="s">
        <v>2824</v>
      </c>
      <c r="N6484" s="4" t="s">
        <v>1905</v>
      </c>
      <c r="O6484" s="55" t="s">
        <v>178</v>
      </c>
    </row>
    <row r="6485" spans="2:15">
      <c r="B6485" s="20">
        <v>45930</v>
      </c>
      <c r="C6485" s="59">
        <v>50272278</v>
      </c>
      <c r="D6485" s="55" t="s">
        <v>21</v>
      </c>
      <c r="G6485" s="65">
        <v>1800</v>
      </c>
      <c r="H6485" s="56" t="s">
        <v>92</v>
      </c>
      <c r="I6485" s="54">
        <v>8728494668</v>
      </c>
      <c r="J6485" s="56" t="s">
        <v>2978</v>
      </c>
      <c r="K6485" s="56">
        <v>3453</v>
      </c>
      <c r="L6485" s="55" t="s">
        <v>2152</v>
      </c>
      <c r="M6485" s="55" t="s">
        <v>2824</v>
      </c>
      <c r="N6485" s="4" t="s">
        <v>1905</v>
      </c>
      <c r="O6485" s="55" t="s">
        <v>178</v>
      </c>
    </row>
    <row r="6486" spans="2:15">
      <c r="B6486" s="20">
        <v>45930</v>
      </c>
      <c r="C6486" s="59">
        <v>40011148</v>
      </c>
      <c r="D6486" s="55" t="s">
        <v>86</v>
      </c>
      <c r="G6486" s="65">
        <v>40</v>
      </c>
      <c r="H6486" s="56" t="s">
        <v>80</v>
      </c>
      <c r="I6486" s="54">
        <v>8728494668</v>
      </c>
      <c r="J6486" s="56" t="s">
        <v>2978</v>
      </c>
      <c r="K6486" s="56">
        <v>3453</v>
      </c>
      <c r="L6486" s="55" t="s">
        <v>2152</v>
      </c>
      <c r="M6486" s="55" t="s">
        <v>2824</v>
      </c>
      <c r="N6486" s="4" t="s">
        <v>1905</v>
      </c>
      <c r="O6486" s="55" t="s">
        <v>178</v>
      </c>
    </row>
    <row r="6487" spans="2:15">
      <c r="B6487" s="20">
        <v>45930</v>
      </c>
      <c r="C6487" s="59">
        <v>50337814</v>
      </c>
      <c r="D6487" s="55" t="s">
        <v>669</v>
      </c>
      <c r="G6487" s="65">
        <v>320</v>
      </c>
      <c r="H6487" s="56" t="s">
        <v>80</v>
      </c>
      <c r="I6487" s="54">
        <v>8728494668</v>
      </c>
      <c r="J6487" s="56" t="s">
        <v>2978</v>
      </c>
      <c r="K6487" s="56">
        <v>3453</v>
      </c>
      <c r="L6487" s="55" t="s">
        <v>2152</v>
      </c>
      <c r="M6487" s="55" t="s">
        <v>2824</v>
      </c>
      <c r="N6487" s="4" t="s">
        <v>1905</v>
      </c>
      <c r="O6487" s="55" t="s">
        <v>178</v>
      </c>
    </row>
    <row r="6488" spans="2:15">
      <c r="B6488" s="20">
        <v>45930</v>
      </c>
      <c r="C6488" s="59">
        <v>40011780</v>
      </c>
      <c r="D6488" s="55" t="s">
        <v>584</v>
      </c>
      <c r="G6488" s="65">
        <v>450</v>
      </c>
      <c r="H6488" s="56" t="s">
        <v>80</v>
      </c>
      <c r="I6488" s="54">
        <v>8728494668</v>
      </c>
      <c r="J6488" s="56" t="s">
        <v>2978</v>
      </c>
      <c r="K6488" s="56">
        <v>3453</v>
      </c>
      <c r="L6488" s="55" t="s">
        <v>2152</v>
      </c>
      <c r="M6488" s="55" t="s">
        <v>2824</v>
      </c>
      <c r="N6488" s="4" t="s">
        <v>1905</v>
      </c>
      <c r="O6488" s="55" t="s">
        <v>178</v>
      </c>
    </row>
    <row r="6489" spans="2:15">
      <c r="B6489" s="20">
        <v>45930</v>
      </c>
      <c r="C6489" s="59">
        <v>50802401</v>
      </c>
      <c r="D6489" s="55" t="s">
        <v>13</v>
      </c>
      <c r="G6489" s="65">
        <v>1738800</v>
      </c>
      <c r="H6489" s="56" t="s">
        <v>92</v>
      </c>
      <c r="I6489" s="54">
        <v>8728494668</v>
      </c>
      <c r="J6489" s="56" t="s">
        <v>2978</v>
      </c>
      <c r="K6489" s="56">
        <v>3453</v>
      </c>
      <c r="L6489" s="55" t="s">
        <v>2152</v>
      </c>
      <c r="M6489" s="55" t="s">
        <v>2824</v>
      </c>
      <c r="N6489" s="4" t="s">
        <v>1905</v>
      </c>
      <c r="O6489" s="55" t="s">
        <v>178</v>
      </c>
    </row>
    <row r="6490" spans="2:15">
      <c r="B6490" s="20">
        <v>45930</v>
      </c>
      <c r="C6490" s="59">
        <v>50509889</v>
      </c>
      <c r="D6490" s="55" t="s">
        <v>671</v>
      </c>
      <c r="G6490" s="65">
        <v>528000</v>
      </c>
      <c r="H6490" s="56" t="s">
        <v>92</v>
      </c>
      <c r="I6490" s="54">
        <v>8728494668</v>
      </c>
      <c r="J6490" s="56" t="s">
        <v>2978</v>
      </c>
      <c r="K6490" s="56">
        <v>3453</v>
      </c>
      <c r="L6490" s="55" t="s">
        <v>2152</v>
      </c>
      <c r="M6490" s="55" t="s">
        <v>2824</v>
      </c>
      <c r="N6490" s="4" t="s">
        <v>1905</v>
      </c>
      <c r="O6490" s="55" t="s">
        <v>178</v>
      </c>
    </row>
    <row r="6491" spans="2:15">
      <c r="B6491" s="20">
        <v>45931</v>
      </c>
      <c r="C6491" s="59">
        <v>50272278</v>
      </c>
      <c r="D6491" s="69" t="s">
        <v>21</v>
      </c>
      <c r="G6491" s="65">
        <v>13200</v>
      </c>
      <c r="H6491" s="56" t="s">
        <v>92</v>
      </c>
      <c r="I6491" s="54">
        <v>8728512064</v>
      </c>
      <c r="J6491" s="56" t="s">
        <v>2978</v>
      </c>
      <c r="K6491" s="56">
        <v>3454</v>
      </c>
      <c r="L6491" s="55" t="s">
        <v>2152</v>
      </c>
      <c r="M6491" s="55" t="s">
        <v>2824</v>
      </c>
      <c r="N6491" s="4" t="s">
        <v>1905</v>
      </c>
      <c r="O6491" s="55" t="s">
        <v>178</v>
      </c>
    </row>
    <row r="6492" spans="2:15">
      <c r="B6492" s="20">
        <v>45931</v>
      </c>
      <c r="C6492" s="59">
        <v>50142631</v>
      </c>
      <c r="D6492" s="55" t="s">
        <v>566</v>
      </c>
      <c r="G6492" s="65">
        <v>2000</v>
      </c>
      <c r="H6492" s="56" t="s">
        <v>82</v>
      </c>
      <c r="I6492" s="54">
        <v>8728512077</v>
      </c>
      <c r="J6492" s="56" t="s">
        <v>2978</v>
      </c>
      <c r="K6492" s="56">
        <v>3455</v>
      </c>
      <c r="L6492" s="55" t="s">
        <v>2152</v>
      </c>
      <c r="M6492" s="55" t="s">
        <v>2824</v>
      </c>
      <c r="N6492" s="4" t="s">
        <v>1905</v>
      </c>
      <c r="O6492" s="55" t="s">
        <v>178</v>
      </c>
    </row>
    <row r="6493" spans="2:15">
      <c r="B6493" s="20">
        <v>45931</v>
      </c>
      <c r="C6493" s="59">
        <v>50142298</v>
      </c>
      <c r="D6493" s="55" t="s">
        <v>2159</v>
      </c>
      <c r="G6493" s="65">
        <v>5055</v>
      </c>
      <c r="H6493" s="56" t="s">
        <v>198</v>
      </c>
      <c r="I6493" s="54">
        <v>8728512077</v>
      </c>
      <c r="J6493" s="56" t="s">
        <v>2978</v>
      </c>
      <c r="K6493" s="56">
        <v>3455</v>
      </c>
      <c r="L6493" s="55" t="s">
        <v>2152</v>
      </c>
      <c r="M6493" s="55" t="s">
        <v>2824</v>
      </c>
      <c r="N6493" s="4" t="s">
        <v>1905</v>
      </c>
      <c r="O6493" s="55" t="s">
        <v>178</v>
      </c>
    </row>
    <row r="6494" spans="2:15">
      <c r="B6494" s="20">
        <v>45931</v>
      </c>
      <c r="C6494" s="59">
        <v>50010080</v>
      </c>
      <c r="D6494" s="55" t="s">
        <v>1657</v>
      </c>
      <c r="G6494" s="65">
        <v>3000</v>
      </c>
      <c r="H6494" s="56" t="s">
        <v>82</v>
      </c>
      <c r="I6494" s="54">
        <v>8728512077</v>
      </c>
      <c r="J6494" s="56" t="s">
        <v>2978</v>
      </c>
      <c r="K6494" s="56">
        <v>3455</v>
      </c>
      <c r="L6494" s="55" t="s">
        <v>2152</v>
      </c>
      <c r="M6494" s="55" t="s">
        <v>2824</v>
      </c>
      <c r="N6494" s="4" t="s">
        <v>1905</v>
      </c>
      <c r="O6494" s="55" t="s">
        <v>178</v>
      </c>
    </row>
    <row r="6495" spans="2:15">
      <c r="B6495" s="20">
        <v>45931</v>
      </c>
      <c r="C6495" s="59">
        <v>50141533</v>
      </c>
      <c r="D6495" s="55" t="s">
        <v>494</v>
      </c>
      <c r="G6495" s="65">
        <v>2800</v>
      </c>
      <c r="H6495" s="56" t="s">
        <v>82</v>
      </c>
      <c r="I6495" s="54">
        <v>8728628443</v>
      </c>
      <c r="J6495" s="56" t="s">
        <v>2978</v>
      </c>
      <c r="K6495" s="56">
        <v>3455</v>
      </c>
      <c r="L6495" s="55" t="s">
        <v>2152</v>
      </c>
      <c r="M6495" s="55" t="s">
        <v>2824</v>
      </c>
      <c r="N6495" s="4" t="s">
        <v>1905</v>
      </c>
      <c r="O6495" s="55" t="s">
        <v>178</v>
      </c>
    </row>
    <row r="6496" spans="2:15">
      <c r="B6496" s="20">
        <v>45931</v>
      </c>
      <c r="C6496" s="59">
        <v>50470190</v>
      </c>
      <c r="D6496" s="55" t="s">
        <v>12</v>
      </c>
      <c r="G6496" s="65">
        <v>2608200</v>
      </c>
      <c r="H6496" s="56" t="s">
        <v>92</v>
      </c>
      <c r="I6496" s="54">
        <v>8728512077</v>
      </c>
      <c r="J6496" s="56" t="s">
        <v>2978</v>
      </c>
      <c r="K6496" s="56">
        <v>3455</v>
      </c>
      <c r="L6496" s="55" t="s">
        <v>2152</v>
      </c>
      <c r="M6496" s="55" t="s">
        <v>2824</v>
      </c>
      <c r="N6496" s="4" t="s">
        <v>1905</v>
      </c>
      <c r="O6496" s="55" t="s">
        <v>178</v>
      </c>
    </row>
    <row r="6497" spans="2:15">
      <c r="B6497" s="20">
        <v>45932</v>
      </c>
      <c r="C6497" s="59">
        <v>50515034</v>
      </c>
      <c r="D6497" s="55" t="s">
        <v>41</v>
      </c>
      <c r="G6497" s="65">
        <v>172.8</v>
      </c>
      <c r="H6497" s="56" t="s">
        <v>80</v>
      </c>
      <c r="I6497" s="54">
        <v>8728528800</v>
      </c>
      <c r="J6497" s="56" t="s">
        <v>2978</v>
      </c>
      <c r="K6497" s="56">
        <v>3458</v>
      </c>
      <c r="L6497" s="55" t="s">
        <v>326</v>
      </c>
      <c r="M6497" s="55" t="s">
        <v>392</v>
      </c>
      <c r="O6497" s="55" t="s">
        <v>178</v>
      </c>
    </row>
    <row r="6498" spans="2:15">
      <c r="B6498" s="20">
        <v>45932</v>
      </c>
      <c r="C6498" s="59">
        <v>50145028</v>
      </c>
      <c r="D6498" s="55" t="s">
        <v>23</v>
      </c>
      <c r="G6498" s="65">
        <v>648</v>
      </c>
      <c r="H6498" s="56" t="s">
        <v>92</v>
      </c>
      <c r="I6498" s="54">
        <v>8728528800</v>
      </c>
      <c r="J6498" s="56" t="s">
        <v>2978</v>
      </c>
      <c r="K6498" s="56">
        <v>3458</v>
      </c>
      <c r="L6498" s="55" t="s">
        <v>326</v>
      </c>
      <c r="M6498" s="55" t="s">
        <v>392</v>
      </c>
      <c r="O6498" s="55" t="s">
        <v>178</v>
      </c>
    </row>
    <row r="6499" spans="2:15">
      <c r="B6499" s="20">
        <v>45932</v>
      </c>
      <c r="C6499" s="59">
        <v>50799770</v>
      </c>
      <c r="D6499" s="55" t="s">
        <v>17</v>
      </c>
      <c r="G6499" s="65">
        <v>3000</v>
      </c>
      <c r="H6499" s="56" t="s">
        <v>92</v>
      </c>
      <c r="I6499" s="54">
        <v>8728528800</v>
      </c>
      <c r="J6499" s="56" t="s">
        <v>2978</v>
      </c>
      <c r="K6499" s="56">
        <v>3458</v>
      </c>
      <c r="L6499" s="55" t="s">
        <v>326</v>
      </c>
      <c r="M6499" s="55" t="s">
        <v>392</v>
      </c>
      <c r="O6499" s="55" t="s">
        <v>178</v>
      </c>
    </row>
    <row r="6500" spans="2:15">
      <c r="B6500" s="20">
        <v>45932</v>
      </c>
      <c r="C6500" s="59">
        <v>50145028</v>
      </c>
      <c r="D6500" s="55" t="s">
        <v>23</v>
      </c>
      <c r="G6500" s="65">
        <f>6*162</f>
        <v>972</v>
      </c>
      <c r="H6500" s="56" t="s">
        <v>92</v>
      </c>
      <c r="I6500" s="54">
        <v>8728528801</v>
      </c>
      <c r="J6500" s="56" t="s">
        <v>2978</v>
      </c>
      <c r="K6500" s="56">
        <v>3457</v>
      </c>
      <c r="L6500" s="55" t="s">
        <v>326</v>
      </c>
      <c r="M6500" s="55" t="s">
        <v>326</v>
      </c>
      <c r="O6500" s="55" t="s">
        <v>178</v>
      </c>
    </row>
    <row r="6501" spans="2:15">
      <c r="B6501" s="20">
        <v>45932</v>
      </c>
      <c r="C6501" s="59">
        <v>50142328</v>
      </c>
      <c r="D6501" s="55" t="s">
        <v>1591</v>
      </c>
      <c r="G6501" s="65">
        <v>2000</v>
      </c>
      <c r="H6501" s="56" t="s">
        <v>82</v>
      </c>
      <c r="I6501" s="54">
        <v>8728527325</v>
      </c>
      <c r="J6501" s="56" t="s">
        <v>2978</v>
      </c>
      <c r="K6501" s="56">
        <v>3459</v>
      </c>
      <c r="L6501" s="55" t="s">
        <v>2152</v>
      </c>
      <c r="M6501" s="55" t="s">
        <v>2824</v>
      </c>
      <c r="N6501" s="4" t="s">
        <v>1905</v>
      </c>
      <c r="O6501" s="55" t="s">
        <v>178</v>
      </c>
    </row>
    <row r="6502" spans="2:15">
      <c r="B6502" s="20">
        <v>45932</v>
      </c>
      <c r="C6502" s="59">
        <v>40010084</v>
      </c>
      <c r="D6502" s="55" t="s">
        <v>81</v>
      </c>
      <c r="G6502" s="65">
        <v>5490</v>
      </c>
      <c r="H6502" s="56" t="s">
        <v>80</v>
      </c>
      <c r="I6502" s="54">
        <v>8728629677</v>
      </c>
      <c r="J6502" s="56" t="s">
        <v>2978</v>
      </c>
      <c r="K6502" s="56">
        <v>3459</v>
      </c>
      <c r="L6502" s="55" t="s">
        <v>2152</v>
      </c>
      <c r="M6502" s="55" t="s">
        <v>2824</v>
      </c>
      <c r="N6502" s="4" t="s">
        <v>1905</v>
      </c>
      <c r="O6502" s="55" t="s">
        <v>178</v>
      </c>
    </row>
    <row r="6503" spans="2:15">
      <c r="B6503" s="20">
        <v>45932</v>
      </c>
      <c r="C6503" s="59">
        <v>50837267</v>
      </c>
      <c r="D6503" s="55" t="s">
        <v>26</v>
      </c>
      <c r="G6503" s="65">
        <v>3606.95</v>
      </c>
      <c r="H6503" s="56" t="s">
        <v>82</v>
      </c>
      <c r="I6503" s="54">
        <v>8728527325</v>
      </c>
      <c r="J6503" s="56" t="s">
        <v>2978</v>
      </c>
      <c r="K6503" s="56">
        <v>3459</v>
      </c>
      <c r="L6503" s="55" t="s">
        <v>2152</v>
      </c>
      <c r="M6503" s="55" t="s">
        <v>2824</v>
      </c>
      <c r="N6503" s="4" t="s">
        <v>1905</v>
      </c>
      <c r="O6503" s="55" t="s">
        <v>178</v>
      </c>
    </row>
    <row r="6504" spans="2:15">
      <c r="B6504" s="20">
        <v>45932</v>
      </c>
      <c r="C6504" s="59">
        <v>40011780</v>
      </c>
      <c r="D6504" s="55" t="s">
        <v>584</v>
      </c>
      <c r="G6504" s="65">
        <v>900</v>
      </c>
      <c r="H6504" s="56" t="s">
        <v>80</v>
      </c>
      <c r="I6504" s="54">
        <v>8728527325</v>
      </c>
      <c r="J6504" s="56" t="s">
        <v>2978</v>
      </c>
      <c r="K6504" s="56">
        <v>3459</v>
      </c>
      <c r="L6504" s="55" t="s">
        <v>2152</v>
      </c>
      <c r="M6504" s="55" t="s">
        <v>2824</v>
      </c>
      <c r="N6504" s="4" t="s">
        <v>1905</v>
      </c>
      <c r="O6504" s="55" t="s">
        <v>178</v>
      </c>
    </row>
    <row r="6505" spans="2:15">
      <c r="B6505" s="20">
        <v>45932</v>
      </c>
      <c r="C6505" s="59">
        <v>40011588</v>
      </c>
      <c r="D6505" s="55" t="s">
        <v>585</v>
      </c>
      <c r="G6505" s="65">
        <v>1350</v>
      </c>
      <c r="H6505" s="56" t="s">
        <v>80</v>
      </c>
      <c r="I6505" s="54">
        <v>8728527325</v>
      </c>
      <c r="J6505" s="56" t="s">
        <v>2978</v>
      </c>
      <c r="K6505" s="56">
        <v>3459</v>
      </c>
      <c r="L6505" s="55" t="s">
        <v>2152</v>
      </c>
      <c r="M6505" s="55" t="s">
        <v>2824</v>
      </c>
      <c r="N6505" s="4" t="s">
        <v>1905</v>
      </c>
      <c r="O6505" s="55" t="s">
        <v>178</v>
      </c>
    </row>
    <row r="6506" spans="2:15">
      <c r="B6506" s="20">
        <v>45932</v>
      </c>
      <c r="C6506" s="59">
        <v>40015055</v>
      </c>
      <c r="D6506" s="55" t="s">
        <v>2745</v>
      </c>
      <c r="G6506" s="65">
        <v>1728</v>
      </c>
      <c r="H6506" s="56" t="s">
        <v>80</v>
      </c>
      <c r="I6506" s="54">
        <v>8728527325</v>
      </c>
      <c r="J6506" s="56" t="s">
        <v>2978</v>
      </c>
      <c r="K6506" s="56">
        <v>3459</v>
      </c>
      <c r="L6506" s="55" t="s">
        <v>2152</v>
      </c>
      <c r="M6506" s="55" t="s">
        <v>2824</v>
      </c>
      <c r="N6506" s="4" t="s">
        <v>1905</v>
      </c>
      <c r="O6506" s="55" t="s">
        <v>178</v>
      </c>
    </row>
    <row r="6507" spans="2:15">
      <c r="B6507" s="20">
        <v>45932</v>
      </c>
      <c r="C6507" s="59">
        <v>50852310</v>
      </c>
      <c r="D6507" s="55" t="s">
        <v>2617</v>
      </c>
      <c r="G6507" s="65">
        <v>900000</v>
      </c>
      <c r="H6507" s="56" t="s">
        <v>92</v>
      </c>
      <c r="I6507" s="54">
        <v>8728527325</v>
      </c>
      <c r="J6507" s="56" t="s">
        <v>2978</v>
      </c>
      <c r="K6507" s="56">
        <v>3459</v>
      </c>
      <c r="L6507" s="55" t="s">
        <v>2152</v>
      </c>
      <c r="M6507" s="55" t="s">
        <v>2824</v>
      </c>
      <c r="N6507" s="4" t="s">
        <v>1905</v>
      </c>
      <c r="O6507" s="55" t="s">
        <v>178</v>
      </c>
    </row>
    <row r="6508" spans="2:15">
      <c r="B6508" s="20">
        <v>45932</v>
      </c>
      <c r="C6508" s="59">
        <v>50852311</v>
      </c>
      <c r="D6508" s="55" t="s">
        <v>2598</v>
      </c>
      <c r="F6508" s="67">
        <v>24</v>
      </c>
      <c r="G6508" s="65">
        <v>34.56</v>
      </c>
      <c r="H6508" s="56" t="s">
        <v>80</v>
      </c>
      <c r="I6508" s="54">
        <v>8728549250</v>
      </c>
      <c r="J6508" s="56" t="s">
        <v>2978</v>
      </c>
      <c r="K6508" s="56">
        <v>615</v>
      </c>
      <c r="L6508" s="55" t="s">
        <v>2152</v>
      </c>
      <c r="M6508" s="55" t="s">
        <v>2824</v>
      </c>
      <c r="N6508" s="4" t="s">
        <v>177</v>
      </c>
      <c r="O6508" s="55" t="s">
        <v>178</v>
      </c>
    </row>
    <row r="6509" spans="2:15">
      <c r="B6509" s="20">
        <v>45932</v>
      </c>
      <c r="C6509" s="59">
        <v>50852311</v>
      </c>
      <c r="D6509" s="55" t="s">
        <v>2598</v>
      </c>
      <c r="F6509" s="67">
        <v>24</v>
      </c>
      <c r="G6509" s="65">
        <v>34.56</v>
      </c>
      <c r="H6509" s="56" t="s">
        <v>80</v>
      </c>
      <c r="I6509" s="54">
        <v>8728549257</v>
      </c>
      <c r="J6509" s="56" t="s">
        <v>2978</v>
      </c>
      <c r="K6509" s="56">
        <v>616</v>
      </c>
      <c r="L6509" s="55" t="s">
        <v>2152</v>
      </c>
      <c r="M6509" s="55" t="s">
        <v>2824</v>
      </c>
      <c r="N6509" s="4" t="s">
        <v>177</v>
      </c>
      <c r="O6509" s="55" t="s">
        <v>178</v>
      </c>
    </row>
    <row r="6510" spans="2:15">
      <c r="B6510" s="20">
        <v>45932</v>
      </c>
      <c r="C6510" s="59">
        <v>50852311</v>
      </c>
      <c r="D6510" s="55" t="s">
        <v>2598</v>
      </c>
      <c r="F6510" s="67">
        <v>24</v>
      </c>
      <c r="G6510" s="65">
        <v>34.56</v>
      </c>
      <c r="H6510" s="56" t="s">
        <v>80</v>
      </c>
      <c r="I6510" s="54">
        <v>8728549265</v>
      </c>
      <c r="J6510" s="56" t="s">
        <v>2978</v>
      </c>
      <c r="K6510" s="56">
        <v>622</v>
      </c>
      <c r="L6510" s="55" t="s">
        <v>2152</v>
      </c>
      <c r="M6510" s="55" t="s">
        <v>2824</v>
      </c>
      <c r="N6510" s="4" t="s">
        <v>177</v>
      </c>
      <c r="O6510" s="55" t="s">
        <v>178</v>
      </c>
    </row>
    <row r="6511" spans="2:15">
      <c r="B6511" s="20">
        <v>45932</v>
      </c>
      <c r="C6511" s="59">
        <v>40014675</v>
      </c>
      <c r="D6511" s="55" t="s">
        <v>44</v>
      </c>
      <c r="E6511" s="67">
        <v>1.44</v>
      </c>
      <c r="F6511" s="67">
        <v>26</v>
      </c>
      <c r="G6511" s="65">
        <v>37.44</v>
      </c>
      <c r="H6511" s="56" t="s">
        <v>80</v>
      </c>
      <c r="I6511" s="54">
        <v>8728527331</v>
      </c>
      <c r="J6511" s="56" t="s">
        <v>2978</v>
      </c>
      <c r="K6511" s="56">
        <v>617</v>
      </c>
      <c r="L6511" s="55" t="s">
        <v>3042</v>
      </c>
      <c r="M6511" s="55" t="s">
        <v>2824</v>
      </c>
      <c r="O6511" s="55" t="s">
        <v>178</v>
      </c>
    </row>
    <row r="6512" spans="2:15">
      <c r="B6512" s="20">
        <v>45932</v>
      </c>
      <c r="C6512" s="59">
        <v>40014675</v>
      </c>
      <c r="D6512" s="55" t="s">
        <v>44</v>
      </c>
      <c r="E6512" s="67">
        <v>1.44</v>
      </c>
      <c r="F6512" s="67">
        <v>26</v>
      </c>
      <c r="G6512" s="65">
        <v>37.44</v>
      </c>
      <c r="H6512" s="56" t="s">
        <v>80</v>
      </c>
      <c r="I6512" s="54">
        <v>8728527332</v>
      </c>
      <c r="J6512" s="56" t="s">
        <v>2978</v>
      </c>
      <c r="K6512" s="56">
        <v>618</v>
      </c>
      <c r="L6512" s="55" t="s">
        <v>3042</v>
      </c>
      <c r="M6512" s="55" t="s">
        <v>2824</v>
      </c>
      <c r="O6512" s="55" t="s">
        <v>178</v>
      </c>
    </row>
    <row r="6513" spans="2:15">
      <c r="B6513" s="20">
        <v>45932</v>
      </c>
      <c r="C6513" s="59">
        <v>40014675</v>
      </c>
      <c r="D6513" s="55" t="s">
        <v>44</v>
      </c>
      <c r="E6513" s="67">
        <v>1.44</v>
      </c>
      <c r="F6513" s="67">
        <v>26</v>
      </c>
      <c r="G6513" s="65">
        <v>37.44</v>
      </c>
      <c r="H6513" s="56" t="s">
        <v>80</v>
      </c>
      <c r="I6513" s="54">
        <v>8728527333</v>
      </c>
      <c r="J6513" s="56" t="s">
        <v>2978</v>
      </c>
      <c r="K6513" s="56">
        <v>619</v>
      </c>
      <c r="L6513" s="55" t="s">
        <v>3042</v>
      </c>
      <c r="M6513" s="55" t="s">
        <v>2824</v>
      </c>
      <c r="O6513" s="55" t="s">
        <v>178</v>
      </c>
    </row>
    <row r="6514" spans="2:15">
      <c r="B6514" s="20">
        <v>45932</v>
      </c>
      <c r="C6514" s="59">
        <v>40014675</v>
      </c>
      <c r="D6514" s="55" t="s">
        <v>44</v>
      </c>
      <c r="E6514" s="67">
        <v>1.44</v>
      </c>
      <c r="F6514" s="67">
        <v>26</v>
      </c>
      <c r="G6514" s="65">
        <v>37.44</v>
      </c>
      <c r="H6514" s="56" t="s">
        <v>80</v>
      </c>
      <c r="I6514" s="54">
        <v>8728528004</v>
      </c>
      <c r="J6514" s="56" t="s">
        <v>2978</v>
      </c>
      <c r="K6514" s="56">
        <v>620</v>
      </c>
      <c r="L6514" s="55" t="s">
        <v>3042</v>
      </c>
      <c r="M6514" s="55" t="s">
        <v>2824</v>
      </c>
      <c r="O6514" s="55" t="s">
        <v>178</v>
      </c>
    </row>
    <row r="6515" spans="2:15">
      <c r="B6515" s="20">
        <v>45932</v>
      </c>
      <c r="C6515" s="59">
        <v>40014675</v>
      </c>
      <c r="D6515" s="55" t="s">
        <v>44</v>
      </c>
      <c r="E6515" s="67">
        <v>1.44</v>
      </c>
      <c r="F6515" s="67">
        <v>26</v>
      </c>
      <c r="G6515" s="65">
        <v>37.44</v>
      </c>
      <c r="H6515" s="56" t="s">
        <v>80</v>
      </c>
      <c r="I6515" s="54">
        <v>8728528006</v>
      </c>
      <c r="J6515" s="56" t="s">
        <v>2978</v>
      </c>
      <c r="K6515" s="56">
        <v>621</v>
      </c>
      <c r="L6515" s="55" t="s">
        <v>3042</v>
      </c>
      <c r="M6515" s="55" t="s">
        <v>2824</v>
      </c>
      <c r="O6515" s="55" t="s">
        <v>178</v>
      </c>
    </row>
    <row r="6516" spans="2:15">
      <c r="B6516" s="20">
        <v>45932</v>
      </c>
      <c r="C6516" s="59">
        <v>40014675</v>
      </c>
      <c r="D6516" s="55" t="s">
        <v>44</v>
      </c>
      <c r="E6516" s="67">
        <v>1.44</v>
      </c>
      <c r="F6516" s="67">
        <v>26</v>
      </c>
      <c r="G6516" s="65">
        <v>37.44</v>
      </c>
      <c r="H6516" s="56" t="s">
        <v>80</v>
      </c>
      <c r="I6516" s="54">
        <v>8728528007</v>
      </c>
      <c r="J6516" s="56" t="s">
        <v>2978</v>
      </c>
      <c r="K6516" s="56">
        <v>623</v>
      </c>
      <c r="L6516" s="55" t="s">
        <v>3042</v>
      </c>
      <c r="M6516" s="55" t="s">
        <v>2824</v>
      </c>
      <c r="O6516" s="55" t="s">
        <v>178</v>
      </c>
    </row>
    <row r="6517" spans="2:15">
      <c r="B6517" s="20">
        <v>45932</v>
      </c>
      <c r="C6517" s="59">
        <v>40014675</v>
      </c>
      <c r="D6517" s="55" t="s">
        <v>44</v>
      </c>
      <c r="E6517" s="67">
        <v>1.44</v>
      </c>
      <c r="F6517" s="67">
        <v>26</v>
      </c>
      <c r="G6517" s="65">
        <v>37.44</v>
      </c>
      <c r="H6517" s="56" t="s">
        <v>80</v>
      </c>
      <c r="I6517" s="54">
        <v>8728528008</v>
      </c>
      <c r="J6517" s="56" t="s">
        <v>2978</v>
      </c>
      <c r="K6517" s="56">
        <v>624</v>
      </c>
      <c r="L6517" s="55" t="s">
        <v>3042</v>
      </c>
      <c r="M6517" s="55" t="s">
        <v>2824</v>
      </c>
      <c r="O6517" s="55" t="s">
        <v>178</v>
      </c>
    </row>
    <row r="6518" spans="2:15">
      <c r="B6518" s="20">
        <v>45932</v>
      </c>
      <c r="C6518" s="59">
        <v>40014675</v>
      </c>
      <c r="D6518" s="55" t="s">
        <v>44</v>
      </c>
      <c r="E6518" s="67">
        <v>1.44</v>
      </c>
      <c r="F6518" s="67">
        <v>26</v>
      </c>
      <c r="G6518" s="65">
        <v>37.44</v>
      </c>
      <c r="H6518" s="56" t="s">
        <v>80</v>
      </c>
      <c r="I6518" s="54">
        <v>8728528010</v>
      </c>
      <c r="J6518" s="56" t="s">
        <v>2978</v>
      </c>
      <c r="K6518" s="56">
        <v>625</v>
      </c>
      <c r="L6518" s="55" t="s">
        <v>3042</v>
      </c>
      <c r="M6518" s="55" t="s">
        <v>2824</v>
      </c>
      <c r="O6518" s="55" t="s">
        <v>178</v>
      </c>
    </row>
    <row r="6519" spans="2:15">
      <c r="B6519" s="20">
        <v>45933</v>
      </c>
      <c r="C6519" s="59">
        <v>40014675</v>
      </c>
      <c r="D6519" s="55" t="s">
        <v>44</v>
      </c>
      <c r="E6519" s="67">
        <v>1.44</v>
      </c>
      <c r="F6519" s="67">
        <v>26</v>
      </c>
      <c r="G6519" s="65">
        <v>37.44</v>
      </c>
      <c r="H6519" s="56" t="s">
        <v>80</v>
      </c>
      <c r="I6519" s="54">
        <v>8728548519</v>
      </c>
      <c r="J6519" s="56" t="s">
        <v>2978</v>
      </c>
      <c r="K6519" s="56">
        <v>626</v>
      </c>
      <c r="L6519" s="55" t="s">
        <v>3042</v>
      </c>
      <c r="M6519" s="55" t="s">
        <v>2824</v>
      </c>
      <c r="N6519" s="4" t="s">
        <v>3045</v>
      </c>
      <c r="O6519" s="55" t="s">
        <v>533</v>
      </c>
    </row>
    <row r="6520" spans="2:15">
      <c r="B6520" s="20">
        <v>45933</v>
      </c>
      <c r="C6520" s="59">
        <v>50272278</v>
      </c>
      <c r="D6520" s="55" t="s">
        <v>21</v>
      </c>
      <c r="E6520" s="67">
        <v>300</v>
      </c>
      <c r="F6520" s="67">
        <v>27</v>
      </c>
      <c r="G6520" s="65">
        <v>8100</v>
      </c>
      <c r="H6520" s="56" t="s">
        <v>92</v>
      </c>
      <c r="I6520" s="54">
        <v>8728644187</v>
      </c>
      <c r="J6520" s="56" t="s">
        <v>2978</v>
      </c>
      <c r="K6520" s="56">
        <v>3460</v>
      </c>
      <c r="L6520" s="55" t="s">
        <v>2152</v>
      </c>
      <c r="M6520" s="55" t="s">
        <v>2824</v>
      </c>
      <c r="N6520" s="4" t="s">
        <v>1905</v>
      </c>
      <c r="O6520" s="55" t="s">
        <v>533</v>
      </c>
    </row>
    <row r="6521" spans="2:15">
      <c r="B6521" s="20">
        <v>45933</v>
      </c>
      <c r="C6521" s="59">
        <v>50144376</v>
      </c>
      <c r="D6521" s="55" t="s">
        <v>19</v>
      </c>
      <c r="E6521" s="67">
        <v>300</v>
      </c>
      <c r="F6521" s="67">
        <v>17</v>
      </c>
      <c r="G6521" s="65">
        <v>5100</v>
      </c>
      <c r="H6521" s="56" t="s">
        <v>92</v>
      </c>
      <c r="I6521" s="54">
        <v>8728549581</v>
      </c>
      <c r="J6521" s="56" t="s">
        <v>2978</v>
      </c>
      <c r="K6521" s="56">
        <v>3460</v>
      </c>
      <c r="L6521" s="55" t="s">
        <v>2152</v>
      </c>
      <c r="M6521" s="55" t="s">
        <v>2824</v>
      </c>
      <c r="N6521" s="4" t="s">
        <v>1905</v>
      </c>
      <c r="O6521" s="55" t="s">
        <v>533</v>
      </c>
    </row>
    <row r="6522" spans="2:15">
      <c r="B6522" s="20">
        <v>45933</v>
      </c>
      <c r="C6522" s="59">
        <v>40014675</v>
      </c>
      <c r="D6522" s="55" t="s">
        <v>44</v>
      </c>
      <c r="E6522" s="67">
        <v>1.44</v>
      </c>
      <c r="F6522" s="67">
        <v>26</v>
      </c>
      <c r="G6522" s="65">
        <v>37.44</v>
      </c>
      <c r="H6522" s="56" t="s">
        <v>80</v>
      </c>
      <c r="I6522" s="54">
        <v>8728548521</v>
      </c>
      <c r="J6522" s="56" t="s">
        <v>2978</v>
      </c>
      <c r="K6522" s="56">
        <v>627</v>
      </c>
      <c r="L6522" s="55" t="s">
        <v>3042</v>
      </c>
      <c r="M6522" s="55" t="s">
        <v>2824</v>
      </c>
      <c r="N6522" s="4" t="s">
        <v>3046</v>
      </c>
      <c r="O6522" s="55" t="s">
        <v>533</v>
      </c>
    </row>
    <row r="6523" spans="2:15">
      <c r="B6523" s="20">
        <v>45933</v>
      </c>
      <c r="C6523" s="59">
        <v>40014675</v>
      </c>
      <c r="D6523" s="55" t="s">
        <v>44</v>
      </c>
      <c r="E6523" s="67">
        <v>1.44</v>
      </c>
      <c r="F6523" s="67">
        <v>26</v>
      </c>
      <c r="G6523" s="65">
        <v>37.44</v>
      </c>
      <c r="H6523" s="56" t="s">
        <v>80</v>
      </c>
      <c r="I6523" s="54">
        <v>8728548522</v>
      </c>
      <c r="J6523" s="56" t="s">
        <v>2978</v>
      </c>
      <c r="K6523" s="56">
        <v>628</v>
      </c>
      <c r="L6523" s="55" t="s">
        <v>3042</v>
      </c>
      <c r="M6523" s="55" t="s">
        <v>2824</v>
      </c>
      <c r="N6523" s="4" t="s">
        <v>3047</v>
      </c>
      <c r="O6523" s="55" t="s">
        <v>533</v>
      </c>
    </row>
    <row r="6524" spans="2:15">
      <c r="B6524" s="20">
        <v>45933</v>
      </c>
      <c r="C6524" s="59">
        <v>50272278</v>
      </c>
      <c r="D6524" s="55" t="s">
        <v>21</v>
      </c>
      <c r="E6524" s="67">
        <v>300</v>
      </c>
      <c r="F6524" s="67">
        <v>20</v>
      </c>
      <c r="G6524" s="65">
        <v>6000</v>
      </c>
      <c r="H6524" s="56" t="s">
        <v>92</v>
      </c>
      <c r="I6524" s="54">
        <v>8728644187</v>
      </c>
      <c r="J6524" s="56" t="s">
        <v>2978</v>
      </c>
      <c r="K6524" s="56">
        <v>3461</v>
      </c>
      <c r="L6524" s="55" t="s">
        <v>2152</v>
      </c>
      <c r="M6524" s="55" t="s">
        <v>2824</v>
      </c>
      <c r="N6524" s="4" t="s">
        <v>1905</v>
      </c>
      <c r="O6524" s="55" t="s">
        <v>533</v>
      </c>
    </row>
    <row r="6525" spans="2:15">
      <c r="B6525" s="20">
        <v>45933</v>
      </c>
      <c r="C6525" s="59">
        <v>50142327</v>
      </c>
      <c r="D6525" s="55" t="s">
        <v>256</v>
      </c>
      <c r="F6525" s="67">
        <v>2</v>
      </c>
      <c r="G6525" s="65">
        <v>953.4</v>
      </c>
      <c r="H6525" s="56" t="s">
        <v>82</v>
      </c>
      <c r="I6525" s="54">
        <v>8728549490</v>
      </c>
      <c r="J6525" s="56" t="s">
        <v>2978</v>
      </c>
      <c r="K6525" s="56">
        <v>3461</v>
      </c>
      <c r="L6525" s="55" t="s">
        <v>2152</v>
      </c>
      <c r="M6525" s="55" t="s">
        <v>2824</v>
      </c>
      <c r="N6525" s="4" t="s">
        <v>1905</v>
      </c>
      <c r="O6525" s="55" t="s">
        <v>533</v>
      </c>
    </row>
    <row r="6526" spans="2:15">
      <c r="B6526" s="20">
        <v>45933</v>
      </c>
      <c r="C6526" s="59">
        <v>50142334</v>
      </c>
      <c r="D6526" s="55" t="s">
        <v>257</v>
      </c>
      <c r="F6526" s="67">
        <v>2</v>
      </c>
      <c r="G6526" s="65">
        <v>953.4</v>
      </c>
      <c r="H6526" s="56" t="s">
        <v>82</v>
      </c>
      <c r="I6526" s="54">
        <v>8728549490</v>
      </c>
      <c r="J6526" s="56" t="s">
        <v>2978</v>
      </c>
      <c r="K6526" s="56">
        <v>3461</v>
      </c>
      <c r="L6526" s="55" t="s">
        <v>2152</v>
      </c>
      <c r="M6526" s="55" t="s">
        <v>2824</v>
      </c>
      <c r="N6526" s="4" t="s">
        <v>1905</v>
      </c>
      <c r="O6526" s="55" t="s">
        <v>533</v>
      </c>
    </row>
    <row r="6527" spans="2:15">
      <c r="B6527" s="20">
        <v>45933</v>
      </c>
      <c r="C6527" s="59">
        <v>50470190</v>
      </c>
      <c r="D6527" s="55" t="s">
        <v>12</v>
      </c>
      <c r="F6527" s="67">
        <v>6</v>
      </c>
      <c r="G6527" s="65">
        <v>1738800</v>
      </c>
      <c r="H6527" s="56" t="s">
        <v>92</v>
      </c>
      <c r="I6527" s="54">
        <v>8728549490</v>
      </c>
      <c r="J6527" s="56" t="s">
        <v>2978</v>
      </c>
      <c r="K6527" s="56">
        <v>3461</v>
      </c>
      <c r="L6527" s="55" t="s">
        <v>2152</v>
      </c>
      <c r="M6527" s="55" t="s">
        <v>2824</v>
      </c>
      <c r="N6527" s="4" t="s">
        <v>1905</v>
      </c>
      <c r="O6527" s="55" t="s">
        <v>533</v>
      </c>
    </row>
    <row r="6528" spans="2:15">
      <c r="B6528" s="20">
        <v>45933</v>
      </c>
      <c r="C6528" s="59">
        <v>40014675</v>
      </c>
      <c r="D6528" s="55" t="s">
        <v>44</v>
      </c>
      <c r="E6528" s="67">
        <v>1.44</v>
      </c>
      <c r="F6528" s="67">
        <v>26</v>
      </c>
      <c r="G6528" s="65">
        <v>37.44</v>
      </c>
      <c r="H6528" s="56" t="s">
        <v>80</v>
      </c>
      <c r="I6528" s="54">
        <v>8728548523</v>
      </c>
      <c r="J6528" s="56" t="s">
        <v>2978</v>
      </c>
      <c r="K6528" s="56">
        <v>629</v>
      </c>
      <c r="L6528" s="55" t="s">
        <v>3042</v>
      </c>
      <c r="M6528" s="55" t="s">
        <v>2824</v>
      </c>
      <c r="N6528" s="4" t="s">
        <v>3047</v>
      </c>
      <c r="O6528" s="55" t="s">
        <v>533</v>
      </c>
    </row>
    <row r="6529" spans="2:15">
      <c r="B6529" s="20">
        <v>45933</v>
      </c>
      <c r="C6529" s="59">
        <v>40014675</v>
      </c>
      <c r="D6529" s="55" t="s">
        <v>44</v>
      </c>
      <c r="E6529" s="67">
        <v>1.44</v>
      </c>
      <c r="F6529" s="67">
        <v>26</v>
      </c>
      <c r="G6529" s="65">
        <v>37.44</v>
      </c>
      <c r="H6529" s="56" t="s">
        <v>80</v>
      </c>
      <c r="I6529" s="54">
        <v>8728549239</v>
      </c>
      <c r="J6529" s="56" t="s">
        <v>2978</v>
      </c>
      <c r="K6529" s="56">
        <v>630</v>
      </c>
      <c r="L6529" s="55" t="s">
        <v>3042</v>
      </c>
      <c r="M6529" s="55" t="s">
        <v>2824</v>
      </c>
      <c r="N6529" s="4" t="s">
        <v>3047</v>
      </c>
      <c r="O6529" s="55" t="s">
        <v>533</v>
      </c>
    </row>
    <row r="6530" spans="2:15">
      <c r="B6530" s="20">
        <v>45933</v>
      </c>
      <c r="C6530" s="59">
        <v>50472696</v>
      </c>
      <c r="D6530" s="55" t="s">
        <v>1308</v>
      </c>
      <c r="G6530" s="65">
        <v>734.75</v>
      </c>
      <c r="H6530" s="56" t="s">
        <v>80</v>
      </c>
      <c r="I6530" s="54">
        <v>8728549273</v>
      </c>
      <c r="J6530" s="56" t="s">
        <v>2978</v>
      </c>
      <c r="K6530" s="56">
        <v>3462</v>
      </c>
      <c r="L6530" s="55" t="s">
        <v>2152</v>
      </c>
      <c r="M6530" s="55" t="s">
        <v>2824</v>
      </c>
      <c r="N6530" s="4" t="s">
        <v>177</v>
      </c>
      <c r="O6530" s="55" t="s">
        <v>533</v>
      </c>
    </row>
    <row r="6531" spans="2:15">
      <c r="B6531" s="20">
        <v>45933</v>
      </c>
      <c r="C6531" s="59">
        <v>50472692</v>
      </c>
      <c r="D6531" s="55" t="s">
        <v>1304</v>
      </c>
      <c r="F6531" s="67">
        <v>1</v>
      </c>
      <c r="G6531" s="65">
        <v>1092</v>
      </c>
      <c r="H6531" s="56" t="s">
        <v>80</v>
      </c>
      <c r="I6531" s="54">
        <v>8728549273</v>
      </c>
      <c r="J6531" s="56" t="s">
        <v>2978</v>
      </c>
      <c r="K6531" s="56">
        <v>3462</v>
      </c>
      <c r="L6531" s="55" t="s">
        <v>2152</v>
      </c>
      <c r="M6531" s="55" t="s">
        <v>2824</v>
      </c>
      <c r="N6531" s="4" t="s">
        <v>177</v>
      </c>
      <c r="O6531" s="55" t="s">
        <v>533</v>
      </c>
    </row>
    <row r="6532" spans="2:15">
      <c r="B6532" s="20">
        <v>45933</v>
      </c>
      <c r="C6532" s="59">
        <v>50397884</v>
      </c>
      <c r="D6532" s="55" t="s">
        <v>1296</v>
      </c>
      <c r="F6532" s="67">
        <v>2</v>
      </c>
      <c r="G6532" s="65">
        <v>540</v>
      </c>
      <c r="H6532" s="56" t="s">
        <v>80</v>
      </c>
      <c r="I6532" s="54">
        <v>8728549273</v>
      </c>
      <c r="J6532" s="56" t="s">
        <v>2978</v>
      </c>
      <c r="K6532" s="56">
        <v>3462</v>
      </c>
      <c r="L6532" s="55" t="s">
        <v>2152</v>
      </c>
      <c r="M6532" s="55" t="s">
        <v>2824</v>
      </c>
      <c r="N6532" s="4" t="s">
        <v>177</v>
      </c>
      <c r="O6532" s="55" t="s">
        <v>533</v>
      </c>
    </row>
    <row r="6533" spans="2:15">
      <c r="B6533" s="20">
        <v>45933</v>
      </c>
      <c r="C6533" s="59">
        <v>50470190</v>
      </c>
      <c r="D6533" s="55" t="s">
        <v>12</v>
      </c>
      <c r="F6533" s="67">
        <v>6</v>
      </c>
      <c r="G6533" s="65">
        <v>2608200</v>
      </c>
      <c r="H6533" s="56" t="s">
        <v>92</v>
      </c>
      <c r="I6533" s="54">
        <v>8728549273</v>
      </c>
      <c r="J6533" s="56" t="s">
        <v>2978</v>
      </c>
      <c r="K6533" s="56">
        <v>3462</v>
      </c>
      <c r="L6533" s="55" t="s">
        <v>2152</v>
      </c>
      <c r="M6533" s="55" t="s">
        <v>2824</v>
      </c>
      <c r="N6533" s="4" t="s">
        <v>177</v>
      </c>
      <c r="O6533" s="55" t="s">
        <v>533</v>
      </c>
    </row>
    <row r="6534" spans="2:15">
      <c r="B6534" s="20">
        <v>45933</v>
      </c>
      <c r="C6534" s="59">
        <v>50449101</v>
      </c>
      <c r="D6534" s="55" t="s">
        <v>237</v>
      </c>
      <c r="F6534" s="67">
        <v>9</v>
      </c>
      <c r="G6534" s="65">
        <v>1738800</v>
      </c>
      <c r="H6534" s="56" t="s">
        <v>92</v>
      </c>
      <c r="I6534" s="54">
        <v>8728549273</v>
      </c>
      <c r="J6534" s="56" t="s">
        <v>2978</v>
      </c>
      <c r="K6534" s="56">
        <v>3462</v>
      </c>
      <c r="L6534" s="55" t="s">
        <v>2152</v>
      </c>
      <c r="M6534" s="55" t="s">
        <v>2824</v>
      </c>
      <c r="N6534" s="4" t="s">
        <v>177</v>
      </c>
      <c r="O6534" s="55" t="s">
        <v>533</v>
      </c>
    </row>
    <row r="6535" spans="2:15">
      <c r="B6535" s="20">
        <v>45933</v>
      </c>
      <c r="C6535" s="59">
        <v>40014675</v>
      </c>
      <c r="D6535" s="55" t="s">
        <v>44</v>
      </c>
      <c r="E6535" s="67">
        <v>1.44</v>
      </c>
      <c r="F6535" s="67">
        <v>26</v>
      </c>
      <c r="G6535" s="65">
        <v>37.44</v>
      </c>
      <c r="H6535" s="56" t="s">
        <v>80</v>
      </c>
      <c r="I6535" s="54">
        <v>8728549240</v>
      </c>
      <c r="J6535" s="56" t="s">
        <v>2978</v>
      </c>
      <c r="K6535" s="56">
        <v>631</v>
      </c>
      <c r="L6535" s="55" t="s">
        <v>3042</v>
      </c>
      <c r="M6535" s="55" t="s">
        <v>2824</v>
      </c>
      <c r="N6535" s="4" t="s">
        <v>3048</v>
      </c>
      <c r="O6535" s="55" t="s">
        <v>533</v>
      </c>
    </row>
    <row r="6536" spans="2:15">
      <c r="B6536" s="20">
        <v>45933</v>
      </c>
      <c r="C6536" s="59">
        <v>40014675</v>
      </c>
      <c r="D6536" s="55" t="s">
        <v>44</v>
      </c>
      <c r="E6536" s="67">
        <v>1.44</v>
      </c>
      <c r="F6536" s="67">
        <v>26</v>
      </c>
      <c r="G6536" s="65">
        <v>37.44</v>
      </c>
      <c r="H6536" s="56" t="s">
        <v>80</v>
      </c>
      <c r="I6536" s="54">
        <v>8728549241</v>
      </c>
      <c r="J6536" s="56" t="s">
        <v>2978</v>
      </c>
      <c r="K6536" s="56">
        <v>632</v>
      </c>
      <c r="L6536" s="55" t="s">
        <v>3042</v>
      </c>
      <c r="M6536" s="55" t="s">
        <v>2824</v>
      </c>
      <c r="N6536" s="4" t="s">
        <v>3049</v>
      </c>
      <c r="O6536" s="55" t="s">
        <v>533</v>
      </c>
    </row>
    <row r="6537" spans="2:15">
      <c r="B6537" s="20">
        <v>45934</v>
      </c>
      <c r="C6537" s="59">
        <v>40014675</v>
      </c>
      <c r="D6537" s="55" t="s">
        <v>44</v>
      </c>
      <c r="E6537" s="67">
        <v>1.44</v>
      </c>
      <c r="F6537" s="67">
        <v>26</v>
      </c>
      <c r="G6537" s="65">
        <v>37.44</v>
      </c>
      <c r="H6537" s="56" t="s">
        <v>80</v>
      </c>
      <c r="I6537" s="54">
        <v>8728653785</v>
      </c>
      <c r="J6537" s="56" t="s">
        <v>2978</v>
      </c>
      <c r="K6537" s="56">
        <v>633</v>
      </c>
      <c r="L6537" s="55" t="s">
        <v>3042</v>
      </c>
      <c r="M6537" s="55" t="s">
        <v>2824</v>
      </c>
      <c r="N6537" s="4" t="s">
        <v>3050</v>
      </c>
      <c r="O6537" s="55" t="s">
        <v>533</v>
      </c>
    </row>
    <row r="6538" spans="2:15">
      <c r="B6538" s="20">
        <v>45934</v>
      </c>
      <c r="C6538" s="59">
        <v>40014675</v>
      </c>
      <c r="D6538" s="55" t="s">
        <v>44</v>
      </c>
      <c r="E6538" s="67">
        <v>1.44</v>
      </c>
      <c r="F6538" s="67">
        <v>26</v>
      </c>
      <c r="G6538" s="65">
        <v>37.44</v>
      </c>
      <c r="H6538" s="56" t="s">
        <v>80</v>
      </c>
      <c r="I6538" s="54">
        <v>8728653785</v>
      </c>
      <c r="J6538" s="56" t="s">
        <v>2978</v>
      </c>
      <c r="K6538" s="56">
        <v>634</v>
      </c>
      <c r="L6538" s="55" t="s">
        <v>3042</v>
      </c>
      <c r="M6538" s="55" t="s">
        <v>2824</v>
      </c>
      <c r="N6538" s="4" t="s">
        <v>3051</v>
      </c>
      <c r="O6538" s="55" t="s">
        <v>533</v>
      </c>
    </row>
    <row r="6539" spans="2:15">
      <c r="B6539" s="20">
        <v>45934</v>
      </c>
      <c r="C6539" s="59">
        <v>40014675</v>
      </c>
      <c r="D6539" s="55" t="s">
        <v>44</v>
      </c>
      <c r="E6539" s="67">
        <v>1.44</v>
      </c>
      <c r="F6539" s="67">
        <v>26</v>
      </c>
      <c r="G6539" s="65">
        <v>37.44</v>
      </c>
      <c r="H6539" s="56" t="s">
        <v>80</v>
      </c>
      <c r="I6539" s="54">
        <v>8728653785</v>
      </c>
      <c r="J6539" s="56" t="s">
        <v>2978</v>
      </c>
      <c r="K6539" s="56">
        <v>635</v>
      </c>
      <c r="L6539" s="55" t="s">
        <v>3042</v>
      </c>
      <c r="M6539" s="55" t="s">
        <v>2824</v>
      </c>
      <c r="N6539" s="4" t="s">
        <v>3052</v>
      </c>
      <c r="O6539" s="55" t="s">
        <v>533</v>
      </c>
    </row>
    <row r="6540" spans="2:15">
      <c r="B6540" s="20">
        <v>45934</v>
      </c>
      <c r="C6540" s="59">
        <v>40014675</v>
      </c>
      <c r="D6540" s="55" t="s">
        <v>44</v>
      </c>
      <c r="E6540" s="67">
        <v>1.44</v>
      </c>
      <c r="F6540" s="67">
        <v>26</v>
      </c>
      <c r="G6540" s="65">
        <v>37.44</v>
      </c>
      <c r="H6540" s="56" t="s">
        <v>80</v>
      </c>
      <c r="I6540" s="54">
        <v>8728653785</v>
      </c>
      <c r="J6540" s="56" t="s">
        <v>2978</v>
      </c>
      <c r="K6540" s="56">
        <v>636</v>
      </c>
      <c r="L6540" s="55" t="s">
        <v>3042</v>
      </c>
      <c r="M6540" s="55" t="s">
        <v>2824</v>
      </c>
      <c r="N6540" s="4" t="s">
        <v>3053</v>
      </c>
      <c r="O6540" s="55" t="s">
        <v>533</v>
      </c>
    </row>
    <row r="6541" spans="2:15">
      <c r="B6541" s="20">
        <v>45934</v>
      </c>
      <c r="C6541" s="59">
        <v>40014675</v>
      </c>
      <c r="D6541" s="55" t="s">
        <v>44</v>
      </c>
      <c r="E6541" s="67">
        <v>1.44</v>
      </c>
      <c r="F6541" s="67">
        <v>26</v>
      </c>
      <c r="G6541" s="65">
        <v>37.44</v>
      </c>
      <c r="H6541" s="56" t="s">
        <v>80</v>
      </c>
      <c r="I6541" s="54">
        <v>8728653785</v>
      </c>
      <c r="J6541" s="56" t="s">
        <v>2978</v>
      </c>
      <c r="K6541" s="56">
        <v>637</v>
      </c>
      <c r="L6541" s="55" t="s">
        <v>3042</v>
      </c>
      <c r="M6541" s="55" t="s">
        <v>2824</v>
      </c>
      <c r="N6541" s="4" t="s">
        <v>3054</v>
      </c>
      <c r="O6541" s="55" t="s">
        <v>533</v>
      </c>
    </row>
    <row r="6542" spans="2:15">
      <c r="B6542" s="20">
        <v>45936</v>
      </c>
      <c r="C6542" s="59">
        <v>50272278</v>
      </c>
      <c r="D6542" s="55" t="s">
        <v>21</v>
      </c>
      <c r="E6542" s="67">
        <v>300</v>
      </c>
      <c r="F6542" s="67">
        <v>38</v>
      </c>
      <c r="G6542" s="65">
        <v>11400</v>
      </c>
      <c r="H6542" s="56" t="s">
        <v>92</v>
      </c>
      <c r="I6542" s="54">
        <v>8728644187</v>
      </c>
      <c r="J6542" s="56" t="s">
        <v>2978</v>
      </c>
      <c r="K6542" s="56">
        <v>3463</v>
      </c>
      <c r="L6542" s="55" t="s">
        <v>2152</v>
      </c>
      <c r="M6542" s="55" t="s">
        <v>2824</v>
      </c>
      <c r="N6542" s="4" t="s">
        <v>1905</v>
      </c>
      <c r="O6542" s="55" t="s">
        <v>533</v>
      </c>
    </row>
    <row r="6543" spans="2:15">
      <c r="B6543" s="20">
        <v>45936</v>
      </c>
      <c r="C6543" s="59">
        <v>50144376</v>
      </c>
      <c r="D6543" s="55" t="s">
        <v>19</v>
      </c>
      <c r="E6543" s="67">
        <v>300</v>
      </c>
      <c r="F6543" s="67">
        <v>6</v>
      </c>
      <c r="G6543" s="65">
        <v>1800</v>
      </c>
      <c r="H6543" s="56" t="s">
        <v>92</v>
      </c>
      <c r="I6543" s="54">
        <v>8728575312</v>
      </c>
      <c r="J6543" s="56" t="s">
        <v>2978</v>
      </c>
      <c r="K6543" s="56">
        <v>3463</v>
      </c>
      <c r="L6543" s="55" t="s">
        <v>2152</v>
      </c>
      <c r="M6543" s="55" t="s">
        <v>2824</v>
      </c>
      <c r="N6543" s="4" t="s">
        <v>1905</v>
      </c>
      <c r="O6543" s="55" t="s">
        <v>533</v>
      </c>
    </row>
    <row r="6544" spans="2:15">
      <c r="B6544" s="20">
        <v>45936</v>
      </c>
      <c r="C6544" s="59">
        <v>50804970</v>
      </c>
      <c r="D6544" s="55" t="s">
        <v>857</v>
      </c>
      <c r="F6544" s="67">
        <v>1</v>
      </c>
      <c r="G6544" s="65">
        <v>2880000</v>
      </c>
      <c r="H6544" s="56" t="s">
        <v>92</v>
      </c>
      <c r="I6544" s="54">
        <v>8728629679</v>
      </c>
      <c r="J6544" s="56" t="s">
        <v>2978</v>
      </c>
      <c r="K6544" s="56">
        <v>3464</v>
      </c>
      <c r="L6544" s="55" t="s">
        <v>2152</v>
      </c>
      <c r="M6544" s="55" t="s">
        <v>2824</v>
      </c>
      <c r="N6544" s="4" t="s">
        <v>1905</v>
      </c>
      <c r="O6544" s="55" t="s">
        <v>533</v>
      </c>
    </row>
    <row r="6545" spans="2:15">
      <c r="B6545" s="20">
        <v>45936</v>
      </c>
      <c r="C6545" s="59">
        <v>50804971</v>
      </c>
      <c r="D6545" s="55" t="s">
        <v>855</v>
      </c>
      <c r="F6545" s="67">
        <v>1</v>
      </c>
      <c r="G6545" s="65">
        <v>900000</v>
      </c>
      <c r="H6545" s="56" t="s">
        <v>92</v>
      </c>
      <c r="I6545" s="54">
        <v>8728629679</v>
      </c>
      <c r="J6545" s="56" t="s">
        <v>2978</v>
      </c>
      <c r="K6545" s="56">
        <v>3464</v>
      </c>
      <c r="L6545" s="55" t="s">
        <v>2152</v>
      </c>
      <c r="M6545" s="55" t="s">
        <v>2824</v>
      </c>
      <c r="N6545" s="4" t="s">
        <v>1905</v>
      </c>
      <c r="O6545" s="55" t="s">
        <v>533</v>
      </c>
    </row>
    <row r="6546" spans="2:15">
      <c r="B6546" s="20">
        <v>45936</v>
      </c>
      <c r="C6546" s="59">
        <v>50804929</v>
      </c>
      <c r="D6546" s="55" t="s">
        <v>856</v>
      </c>
      <c r="F6546" s="67">
        <v>2</v>
      </c>
      <c r="G6546" s="65">
        <v>600000</v>
      </c>
      <c r="H6546" s="56" t="s">
        <v>92</v>
      </c>
      <c r="I6546" s="54">
        <v>8728575334</v>
      </c>
      <c r="J6546" s="56" t="s">
        <v>2978</v>
      </c>
      <c r="K6546" s="56">
        <v>3464</v>
      </c>
      <c r="L6546" s="55" t="s">
        <v>2152</v>
      </c>
      <c r="M6546" s="55" t="s">
        <v>2824</v>
      </c>
      <c r="N6546" s="4" t="s">
        <v>1905</v>
      </c>
      <c r="O6546" s="55" t="s">
        <v>533</v>
      </c>
    </row>
    <row r="6547" spans="2:15">
      <c r="B6547" s="20">
        <v>45936</v>
      </c>
      <c r="C6547" s="59">
        <v>50144376</v>
      </c>
      <c r="D6547" s="55" t="s">
        <v>19</v>
      </c>
      <c r="F6547" s="67">
        <v>16</v>
      </c>
      <c r="G6547" s="65">
        <v>4800</v>
      </c>
      <c r="H6547" s="56" t="s">
        <v>92</v>
      </c>
      <c r="I6547" s="54">
        <v>8728575334</v>
      </c>
      <c r="J6547" s="56" t="s">
        <v>2978</v>
      </c>
      <c r="K6547" s="56">
        <v>3464</v>
      </c>
      <c r="L6547" s="55" t="s">
        <v>2152</v>
      </c>
      <c r="M6547" s="55" t="s">
        <v>2824</v>
      </c>
      <c r="N6547" s="4" t="s">
        <v>1905</v>
      </c>
      <c r="O6547" s="55" t="s">
        <v>533</v>
      </c>
    </row>
    <row r="6548" spans="2:15">
      <c r="B6548" s="20">
        <v>45936</v>
      </c>
      <c r="C6548" s="59">
        <v>50397884</v>
      </c>
      <c r="D6548" s="55" t="s">
        <v>1296</v>
      </c>
      <c r="F6548" s="67">
        <v>2</v>
      </c>
      <c r="G6548" s="65">
        <v>540</v>
      </c>
      <c r="H6548" s="56" t="s">
        <v>80</v>
      </c>
      <c r="I6548" s="54">
        <v>8728575334</v>
      </c>
      <c r="J6548" s="56" t="s">
        <v>2978</v>
      </c>
      <c r="K6548" s="56">
        <v>3464</v>
      </c>
      <c r="L6548" s="55" t="s">
        <v>2152</v>
      </c>
      <c r="M6548" s="55" t="s">
        <v>2824</v>
      </c>
      <c r="N6548" s="4" t="s">
        <v>1905</v>
      </c>
      <c r="O6548" s="55" t="s">
        <v>533</v>
      </c>
    </row>
    <row r="6549" spans="2:15">
      <c r="B6549" s="20">
        <v>45936</v>
      </c>
      <c r="C6549" s="59">
        <v>40011149</v>
      </c>
      <c r="D6549" s="55" t="s">
        <v>37</v>
      </c>
      <c r="F6549" s="67">
        <v>3</v>
      </c>
      <c r="G6549" s="65">
        <v>1350</v>
      </c>
      <c r="H6549" s="56" t="s">
        <v>80</v>
      </c>
      <c r="I6549" s="54" t="s">
        <v>3055</v>
      </c>
      <c r="J6549" s="56" t="s">
        <v>2978</v>
      </c>
      <c r="K6549" s="56">
        <v>3464</v>
      </c>
      <c r="L6549" s="55" t="s">
        <v>2152</v>
      </c>
      <c r="M6549" s="55" t="s">
        <v>2824</v>
      </c>
      <c r="N6549" s="4" t="s">
        <v>1905</v>
      </c>
      <c r="O6549" s="55" t="s">
        <v>533</v>
      </c>
    </row>
    <row r="6550" spans="2:15">
      <c r="B6550" s="20">
        <v>45936</v>
      </c>
      <c r="C6550" s="59">
        <v>50470190</v>
      </c>
      <c r="D6550" s="55" t="s">
        <v>12</v>
      </c>
      <c r="F6550" s="67">
        <v>5</v>
      </c>
      <c r="G6550" s="65">
        <v>1449000</v>
      </c>
      <c r="H6550" s="56" t="s">
        <v>92</v>
      </c>
      <c r="I6550" s="54">
        <v>8728575334</v>
      </c>
      <c r="J6550" s="56" t="s">
        <v>2978</v>
      </c>
      <c r="K6550" s="56">
        <v>3464</v>
      </c>
      <c r="L6550" s="55" t="s">
        <v>2152</v>
      </c>
      <c r="M6550" s="55" t="s">
        <v>2824</v>
      </c>
      <c r="N6550" s="4" t="s">
        <v>1905</v>
      </c>
      <c r="O6550" s="55" t="s">
        <v>533</v>
      </c>
    </row>
    <row r="6551" spans="2:15">
      <c r="B6551" s="20">
        <v>45936</v>
      </c>
      <c r="C6551" s="59">
        <v>40014675</v>
      </c>
      <c r="D6551" s="55" t="s">
        <v>44</v>
      </c>
      <c r="E6551" s="67">
        <v>1.44</v>
      </c>
      <c r="F6551" s="67">
        <v>24</v>
      </c>
      <c r="G6551" s="65">
        <v>34.56</v>
      </c>
      <c r="H6551" s="56" t="s">
        <v>80</v>
      </c>
      <c r="I6551" s="54">
        <v>8728653785</v>
      </c>
      <c r="J6551" s="56" t="s">
        <v>2978</v>
      </c>
      <c r="K6551" s="56">
        <v>638</v>
      </c>
      <c r="L6551" s="55" t="s">
        <v>2152</v>
      </c>
      <c r="M6551" s="55" t="s">
        <v>2824</v>
      </c>
      <c r="N6551" s="4" t="s">
        <v>177</v>
      </c>
      <c r="O6551" s="55" t="s">
        <v>533</v>
      </c>
    </row>
    <row r="6552" spans="2:15">
      <c r="B6552" s="20">
        <v>45936</v>
      </c>
      <c r="C6552" s="59">
        <v>40014675</v>
      </c>
      <c r="D6552" s="55" t="s">
        <v>44</v>
      </c>
      <c r="E6552" s="67">
        <v>1.44</v>
      </c>
      <c r="F6552" s="67">
        <v>24</v>
      </c>
      <c r="G6552" s="65">
        <v>34.56</v>
      </c>
      <c r="H6552" s="56" t="s">
        <v>80</v>
      </c>
      <c r="I6552" s="54">
        <v>8728653785</v>
      </c>
      <c r="J6552" s="56" t="s">
        <v>2978</v>
      </c>
      <c r="K6552" s="56">
        <v>639</v>
      </c>
      <c r="L6552" s="55" t="s">
        <v>2152</v>
      </c>
      <c r="M6552" s="55" t="s">
        <v>2824</v>
      </c>
      <c r="N6552" s="4" t="s">
        <v>177</v>
      </c>
      <c r="O6552" s="55" t="s">
        <v>533</v>
      </c>
    </row>
    <row r="6553" spans="2:15">
      <c r="B6553" s="20">
        <v>45936</v>
      </c>
      <c r="C6553" s="59">
        <v>50010080</v>
      </c>
      <c r="D6553" s="55" t="s">
        <v>1657</v>
      </c>
      <c r="F6553" s="67">
        <v>3</v>
      </c>
      <c r="G6553" s="65">
        <v>3000</v>
      </c>
      <c r="H6553" s="56" t="s">
        <v>82</v>
      </c>
      <c r="I6553" s="54">
        <v>8728575369</v>
      </c>
      <c r="J6553" s="56" t="s">
        <v>2978</v>
      </c>
      <c r="K6553" s="56">
        <v>3465</v>
      </c>
      <c r="L6553" s="55" t="s">
        <v>2152</v>
      </c>
      <c r="M6553" s="55" t="s">
        <v>2824</v>
      </c>
      <c r="N6553" s="4" t="s">
        <v>1905</v>
      </c>
      <c r="O6553" s="55" t="s">
        <v>533</v>
      </c>
    </row>
    <row r="6554" spans="2:15">
      <c r="B6554" s="20">
        <v>45936</v>
      </c>
      <c r="C6554" s="59">
        <v>50142262</v>
      </c>
      <c r="D6554" s="55" t="s">
        <v>2654</v>
      </c>
      <c r="F6554" s="67">
        <v>1</v>
      </c>
      <c r="G6554" s="65">
        <v>400</v>
      </c>
      <c r="H6554" s="56" t="s">
        <v>82</v>
      </c>
      <c r="I6554" s="54" t="s">
        <v>2874</v>
      </c>
      <c r="J6554" s="56" t="s">
        <v>3038</v>
      </c>
      <c r="K6554" s="56">
        <v>3465</v>
      </c>
      <c r="L6554" s="55" t="s">
        <v>2152</v>
      </c>
      <c r="M6554" s="55" t="s">
        <v>2824</v>
      </c>
      <c r="N6554" s="4" t="s">
        <v>1905</v>
      </c>
      <c r="O6554" s="55" t="s">
        <v>533</v>
      </c>
    </row>
    <row r="6555" spans="2:15">
      <c r="B6555" s="20">
        <v>45936</v>
      </c>
      <c r="C6555" s="59">
        <v>50142519</v>
      </c>
      <c r="D6555" s="55" t="s">
        <v>1575</v>
      </c>
      <c r="G6555" s="65">
        <v>3000</v>
      </c>
      <c r="H6555" s="56" t="s">
        <v>92</v>
      </c>
      <c r="I6555" s="54">
        <v>8728575369</v>
      </c>
      <c r="J6555" s="56" t="s">
        <v>2978</v>
      </c>
      <c r="K6555" s="56">
        <v>3465</v>
      </c>
      <c r="L6555" s="55" t="s">
        <v>2152</v>
      </c>
      <c r="M6555" s="55" t="s">
        <v>2824</v>
      </c>
      <c r="N6555" s="4" t="s">
        <v>1905</v>
      </c>
      <c r="O6555" s="55" t="s">
        <v>533</v>
      </c>
    </row>
    <row r="6556" spans="2:15">
      <c r="B6556" s="20">
        <v>45936</v>
      </c>
      <c r="C6556" s="59">
        <v>50142551</v>
      </c>
      <c r="D6556" s="55" t="s">
        <v>215</v>
      </c>
      <c r="G6556" s="65">
        <v>150</v>
      </c>
      <c r="H6556" s="56" t="s">
        <v>92</v>
      </c>
      <c r="I6556" s="54">
        <v>8728643639</v>
      </c>
      <c r="J6556" s="56" t="s">
        <v>2978</v>
      </c>
      <c r="K6556" s="56">
        <v>3465</v>
      </c>
      <c r="L6556" s="55" t="s">
        <v>2152</v>
      </c>
      <c r="M6556" s="55" t="s">
        <v>2824</v>
      </c>
      <c r="N6556" s="4" t="s">
        <v>1905</v>
      </c>
      <c r="O6556" s="55" t="s">
        <v>533</v>
      </c>
    </row>
    <row r="6557" spans="2:15">
      <c r="B6557" s="20">
        <v>45936</v>
      </c>
      <c r="C6557" s="59">
        <v>50272278</v>
      </c>
      <c r="D6557" s="55" t="s">
        <v>21</v>
      </c>
      <c r="F6557" s="67">
        <v>10</v>
      </c>
      <c r="G6557" s="65">
        <v>3000</v>
      </c>
      <c r="H6557" s="56" t="s">
        <v>92</v>
      </c>
      <c r="I6557" s="54">
        <v>8728644187</v>
      </c>
      <c r="J6557" s="56" t="s">
        <v>2978</v>
      </c>
      <c r="K6557" s="56">
        <v>3465</v>
      </c>
      <c r="L6557" s="55" t="s">
        <v>2152</v>
      </c>
      <c r="M6557" s="55" t="s">
        <v>2824</v>
      </c>
      <c r="N6557" s="4" t="s">
        <v>1905</v>
      </c>
      <c r="O6557" s="55" t="s">
        <v>533</v>
      </c>
    </row>
    <row r="6558" spans="2:15">
      <c r="B6558" s="20">
        <v>45936</v>
      </c>
      <c r="C6558" s="59">
        <v>50793278</v>
      </c>
      <c r="D6558" s="55" t="s">
        <v>1086</v>
      </c>
      <c r="F6558" s="67">
        <v>5</v>
      </c>
      <c r="G6558" s="65">
        <v>50</v>
      </c>
      <c r="H6558" s="56" t="s">
        <v>1087</v>
      </c>
      <c r="I6558" s="54" t="s">
        <v>2874</v>
      </c>
      <c r="J6558" s="56" t="s">
        <v>3038</v>
      </c>
      <c r="K6558" s="56">
        <v>3465</v>
      </c>
      <c r="L6558" s="55" t="s">
        <v>2152</v>
      </c>
      <c r="M6558" s="55" t="s">
        <v>2824</v>
      </c>
      <c r="N6558" s="4" t="s">
        <v>1905</v>
      </c>
      <c r="O6558" s="55" t="s">
        <v>533</v>
      </c>
    </row>
    <row r="6559" spans="2:15">
      <c r="B6559" s="20">
        <v>45936</v>
      </c>
      <c r="C6559" s="59">
        <v>50143875</v>
      </c>
      <c r="D6559" s="55" t="s">
        <v>713</v>
      </c>
      <c r="F6559" s="67">
        <v>2</v>
      </c>
      <c r="G6559" s="65">
        <f>2*4800</f>
        <v>9600</v>
      </c>
      <c r="H6559" s="56" t="s">
        <v>92</v>
      </c>
      <c r="I6559" s="54">
        <v>8728575369</v>
      </c>
      <c r="J6559" s="56" t="s">
        <v>2978</v>
      </c>
      <c r="K6559" s="56">
        <v>3465</v>
      </c>
      <c r="L6559" s="55" t="s">
        <v>2152</v>
      </c>
      <c r="M6559" s="55" t="s">
        <v>2824</v>
      </c>
      <c r="N6559" s="4" t="s">
        <v>1905</v>
      </c>
      <c r="O6559" s="55" t="s">
        <v>533</v>
      </c>
    </row>
    <row r="6560" spans="2:15">
      <c r="B6560" s="20">
        <v>45936</v>
      </c>
      <c r="C6560" s="59">
        <v>20016059</v>
      </c>
      <c r="D6560" s="55" t="s">
        <v>1498</v>
      </c>
      <c r="F6560" s="67">
        <v>1</v>
      </c>
      <c r="G6560" s="65">
        <f>20*10</f>
        <v>200</v>
      </c>
      <c r="H6560" s="56" t="s">
        <v>92</v>
      </c>
      <c r="I6560" s="54">
        <v>8728787213</v>
      </c>
      <c r="J6560" s="56" t="s">
        <v>2978</v>
      </c>
      <c r="K6560" s="56">
        <v>3465</v>
      </c>
      <c r="L6560" s="55" t="s">
        <v>2152</v>
      </c>
      <c r="M6560" s="55" t="s">
        <v>2824</v>
      </c>
      <c r="N6560" s="4" t="s">
        <v>1905</v>
      </c>
      <c r="O6560" s="55" t="s">
        <v>533</v>
      </c>
    </row>
    <row r="6561" spans="2:15">
      <c r="B6561" s="20">
        <v>45936</v>
      </c>
      <c r="C6561" s="59">
        <v>50145029</v>
      </c>
      <c r="D6561" s="55" t="s">
        <v>705</v>
      </c>
      <c r="G6561" s="65">
        <v>18</v>
      </c>
      <c r="H6561" s="56" t="s">
        <v>505</v>
      </c>
      <c r="I6561" s="54">
        <v>8728575369</v>
      </c>
      <c r="J6561" s="56" t="s">
        <v>2978</v>
      </c>
      <c r="K6561" s="56">
        <v>3465</v>
      </c>
      <c r="L6561" s="55" t="s">
        <v>2152</v>
      </c>
      <c r="M6561" s="55" t="s">
        <v>2824</v>
      </c>
      <c r="N6561" s="4" t="s">
        <v>1905</v>
      </c>
      <c r="O6561" s="55" t="s">
        <v>533</v>
      </c>
    </row>
    <row r="6562" spans="2:15">
      <c r="B6562" s="20">
        <v>45936</v>
      </c>
      <c r="C6562" s="59">
        <v>50392045</v>
      </c>
      <c r="D6562" s="55" t="s">
        <v>707</v>
      </c>
      <c r="G6562" s="65">
        <v>18</v>
      </c>
      <c r="H6562" s="56" t="s">
        <v>505</v>
      </c>
      <c r="I6562" s="54">
        <v>8728575369</v>
      </c>
      <c r="J6562" s="56" t="s">
        <v>2978</v>
      </c>
      <c r="K6562" s="56">
        <v>3465</v>
      </c>
      <c r="L6562" s="55" t="s">
        <v>2152</v>
      </c>
      <c r="M6562" s="55" t="s">
        <v>2824</v>
      </c>
      <c r="N6562" s="4" t="s">
        <v>1905</v>
      </c>
      <c r="O6562" s="55" t="s">
        <v>533</v>
      </c>
    </row>
    <row r="6563" spans="2:15">
      <c r="B6563" s="20">
        <v>45936</v>
      </c>
      <c r="C6563" s="59">
        <v>50142327</v>
      </c>
      <c r="D6563" s="55" t="s">
        <v>256</v>
      </c>
      <c r="F6563" s="67">
        <v>2</v>
      </c>
      <c r="G6563" s="65">
        <v>953.4</v>
      </c>
      <c r="H6563" s="56" t="s">
        <v>82</v>
      </c>
      <c r="I6563" s="54">
        <v>8728575369</v>
      </c>
      <c r="J6563" s="56" t="s">
        <v>2978</v>
      </c>
      <c r="K6563" s="56">
        <v>3465</v>
      </c>
      <c r="L6563" s="55" t="s">
        <v>2152</v>
      </c>
      <c r="M6563" s="55" t="s">
        <v>2824</v>
      </c>
      <c r="N6563" s="4" t="s">
        <v>1905</v>
      </c>
      <c r="O6563" s="55" t="s">
        <v>533</v>
      </c>
    </row>
    <row r="6564" spans="2:15">
      <c r="B6564" s="20">
        <v>45936</v>
      </c>
      <c r="C6564" s="59">
        <v>50142334</v>
      </c>
      <c r="D6564" s="55" t="s">
        <v>257</v>
      </c>
      <c r="F6564" s="67">
        <v>2</v>
      </c>
      <c r="G6564" s="65">
        <v>953.4</v>
      </c>
      <c r="H6564" s="56" t="s">
        <v>82</v>
      </c>
      <c r="I6564" s="54">
        <v>8728575369</v>
      </c>
      <c r="J6564" s="56" t="s">
        <v>2978</v>
      </c>
      <c r="K6564" s="56">
        <v>3465</v>
      </c>
      <c r="L6564" s="55" t="s">
        <v>2152</v>
      </c>
      <c r="M6564" s="55" t="s">
        <v>2824</v>
      </c>
      <c r="N6564" s="4" t="s">
        <v>1905</v>
      </c>
      <c r="O6564" s="55" t="s">
        <v>533</v>
      </c>
    </row>
    <row r="6565" spans="2:15">
      <c r="B6565" s="20">
        <v>45936</v>
      </c>
      <c r="C6565" s="59">
        <v>50392046</v>
      </c>
      <c r="D6565" s="55" t="s">
        <v>509</v>
      </c>
      <c r="G6565" s="65">
        <v>12</v>
      </c>
      <c r="H6565" s="56" t="s">
        <v>505</v>
      </c>
      <c r="I6565" s="54">
        <v>8728575369</v>
      </c>
      <c r="J6565" s="56" t="s">
        <v>2978</v>
      </c>
      <c r="K6565" s="56">
        <v>3465</v>
      </c>
      <c r="L6565" s="55" t="s">
        <v>2152</v>
      </c>
      <c r="M6565" s="55" t="s">
        <v>2824</v>
      </c>
      <c r="N6565" s="4" t="s">
        <v>1905</v>
      </c>
      <c r="O6565" s="55" t="s">
        <v>533</v>
      </c>
    </row>
    <row r="6566" spans="2:15">
      <c r="B6566" s="20">
        <v>45936</v>
      </c>
      <c r="C6566" s="59">
        <v>40014675</v>
      </c>
      <c r="D6566" s="55" t="s">
        <v>44</v>
      </c>
      <c r="E6566" s="67">
        <v>1.44</v>
      </c>
      <c r="F6566" s="67">
        <v>21</v>
      </c>
      <c r="G6566" s="65">
        <v>29.52</v>
      </c>
      <c r="H6566" s="56" t="s">
        <v>80</v>
      </c>
      <c r="I6566" s="54">
        <v>8728653785</v>
      </c>
      <c r="J6566" s="56" t="s">
        <v>2978</v>
      </c>
      <c r="K6566" s="56">
        <v>640</v>
      </c>
      <c r="L6566" s="55" t="s">
        <v>2152</v>
      </c>
      <c r="M6566" s="55" t="s">
        <v>2824</v>
      </c>
      <c r="N6566" s="4" t="s">
        <v>177</v>
      </c>
      <c r="O6566" s="55" t="s">
        <v>533</v>
      </c>
    </row>
    <row r="6567" spans="2:15">
      <c r="B6567" s="20">
        <v>45937</v>
      </c>
      <c r="C6567" s="59">
        <v>50272278</v>
      </c>
      <c r="D6567" s="55" t="s">
        <v>21</v>
      </c>
      <c r="F6567" s="67">
        <v>24</v>
      </c>
      <c r="G6567" s="65">
        <v>7200</v>
      </c>
      <c r="H6567" s="56" t="s">
        <v>92</v>
      </c>
      <c r="I6567" s="54">
        <v>8728644187</v>
      </c>
      <c r="J6567" s="56" t="s">
        <v>3038</v>
      </c>
      <c r="K6567" s="56">
        <v>3466</v>
      </c>
      <c r="L6567" s="55" t="s">
        <v>2152</v>
      </c>
      <c r="M6567" s="55" t="s">
        <v>2824</v>
      </c>
      <c r="N6567" s="4" t="s">
        <v>177</v>
      </c>
      <c r="O6567" s="55" t="s">
        <v>533</v>
      </c>
    </row>
    <row r="6568" spans="2:15">
      <c r="B6568" s="20">
        <v>45937</v>
      </c>
      <c r="C6568" s="59">
        <v>50470190</v>
      </c>
      <c r="D6568" s="55" t="s">
        <v>12</v>
      </c>
      <c r="F6568" s="67">
        <v>10</v>
      </c>
      <c r="G6568" s="65">
        <v>2898000</v>
      </c>
      <c r="H6568" s="56" t="s">
        <v>92</v>
      </c>
      <c r="I6568" s="54">
        <v>8728591223</v>
      </c>
      <c r="J6568" s="56" t="s">
        <v>2978</v>
      </c>
      <c r="K6568" s="56">
        <v>3466</v>
      </c>
      <c r="L6568" s="55" t="s">
        <v>2152</v>
      </c>
      <c r="M6568" s="55" t="s">
        <v>2824</v>
      </c>
      <c r="N6568" s="4" t="s">
        <v>177</v>
      </c>
      <c r="O6568" s="55" t="s">
        <v>533</v>
      </c>
    </row>
    <row r="6569" spans="2:15">
      <c r="B6569" s="20">
        <v>45937</v>
      </c>
      <c r="C6569" s="59">
        <v>40010087</v>
      </c>
      <c r="D6569" s="55" t="s">
        <v>387</v>
      </c>
      <c r="G6569" s="65">
        <v>2592</v>
      </c>
      <c r="H6569" s="56" t="s">
        <v>80</v>
      </c>
      <c r="I6569" s="54">
        <v>8728591250</v>
      </c>
      <c r="J6569" s="56" t="s">
        <v>2978</v>
      </c>
      <c r="K6569" s="56">
        <v>3467</v>
      </c>
      <c r="L6569" s="55" t="s">
        <v>326</v>
      </c>
      <c r="M6569" s="55" t="s">
        <v>2824</v>
      </c>
      <c r="N6569" s="4" t="s">
        <v>1613</v>
      </c>
      <c r="O6569" s="55" t="s">
        <v>533</v>
      </c>
    </row>
    <row r="6570" spans="2:15">
      <c r="B6570" s="20">
        <v>45937</v>
      </c>
      <c r="C6570" s="59">
        <v>50837284</v>
      </c>
      <c r="D6570" s="55" t="s">
        <v>28</v>
      </c>
      <c r="G6570" s="65">
        <v>504.55</v>
      </c>
      <c r="H6570" s="56" t="s">
        <v>82</v>
      </c>
      <c r="I6570" s="54">
        <v>8728643654</v>
      </c>
      <c r="J6570" s="56" t="s">
        <v>2978</v>
      </c>
      <c r="K6570" s="56">
        <v>3467</v>
      </c>
      <c r="L6570" s="55" t="s">
        <v>326</v>
      </c>
      <c r="M6570" s="55" t="s">
        <v>2824</v>
      </c>
      <c r="N6570" s="4" t="s">
        <v>1613</v>
      </c>
      <c r="O6570" s="55" t="s">
        <v>533</v>
      </c>
    </row>
    <row r="6571" spans="2:15">
      <c r="B6571" s="20">
        <v>45937</v>
      </c>
      <c r="C6571" s="59">
        <v>40011588</v>
      </c>
      <c r="D6571" s="55" t="s">
        <v>585</v>
      </c>
      <c r="G6571" s="65">
        <v>900</v>
      </c>
      <c r="H6571" s="56" t="s">
        <v>80</v>
      </c>
      <c r="I6571" s="54">
        <v>8728591250</v>
      </c>
      <c r="J6571" s="56" t="s">
        <v>2978</v>
      </c>
      <c r="K6571" s="56">
        <v>3467</v>
      </c>
      <c r="L6571" s="55" t="s">
        <v>326</v>
      </c>
      <c r="M6571" s="55" t="s">
        <v>2824</v>
      </c>
      <c r="N6571" s="4" t="s">
        <v>1613</v>
      </c>
      <c r="O6571" s="55" t="s">
        <v>533</v>
      </c>
    </row>
    <row r="6572" spans="2:15">
      <c r="B6572" s="20">
        <v>45937</v>
      </c>
      <c r="C6572" s="59">
        <v>50802401</v>
      </c>
      <c r="D6572" s="55" t="s">
        <v>13</v>
      </c>
      <c r="G6572" s="65">
        <v>1449000</v>
      </c>
      <c r="H6572" s="56" t="s">
        <v>92</v>
      </c>
      <c r="I6572" s="54">
        <v>8728591250</v>
      </c>
      <c r="J6572" s="56" t="s">
        <v>2978</v>
      </c>
      <c r="K6572" s="56">
        <v>3467</v>
      </c>
      <c r="L6572" s="55" t="s">
        <v>326</v>
      </c>
      <c r="M6572" s="55" t="s">
        <v>2824</v>
      </c>
      <c r="N6572" s="4" t="s">
        <v>1613</v>
      </c>
      <c r="O6572" s="55" t="s">
        <v>533</v>
      </c>
    </row>
    <row r="6573" spans="2:15">
      <c r="B6573" s="20">
        <v>45937</v>
      </c>
      <c r="C6573" s="59">
        <v>50837509</v>
      </c>
      <c r="D6573" s="55" t="s">
        <v>14</v>
      </c>
      <c r="G6573" s="65">
        <v>869400</v>
      </c>
      <c r="H6573" s="56" t="s">
        <v>92</v>
      </c>
      <c r="I6573" s="54">
        <v>8728591250</v>
      </c>
      <c r="J6573" s="56" t="s">
        <v>2978</v>
      </c>
      <c r="K6573" s="56">
        <v>3467</v>
      </c>
      <c r="L6573" s="55" t="s">
        <v>326</v>
      </c>
      <c r="M6573" s="55" t="s">
        <v>2824</v>
      </c>
      <c r="N6573" s="4" t="s">
        <v>1613</v>
      </c>
      <c r="O6573" s="55" t="s">
        <v>533</v>
      </c>
    </row>
    <row r="6574" spans="2:15">
      <c r="B6574" s="20">
        <v>45937</v>
      </c>
      <c r="C6574" s="59">
        <v>40011659</v>
      </c>
      <c r="D6574" s="55" t="s">
        <v>89</v>
      </c>
      <c r="G6574" s="65">
        <v>720</v>
      </c>
      <c r="H6574" s="56" t="s">
        <v>80</v>
      </c>
      <c r="I6574" s="54">
        <v>8728591250</v>
      </c>
      <c r="J6574" s="56" t="s">
        <v>2978</v>
      </c>
      <c r="K6574" s="56">
        <v>3467</v>
      </c>
      <c r="L6574" s="55" t="s">
        <v>326</v>
      </c>
      <c r="M6574" s="55" t="s">
        <v>2824</v>
      </c>
      <c r="N6574" s="4" t="s">
        <v>1613</v>
      </c>
      <c r="O6574" s="55" t="s">
        <v>533</v>
      </c>
    </row>
    <row r="6575" spans="2:15">
      <c r="B6575" s="20">
        <v>45937</v>
      </c>
      <c r="C6575" s="59">
        <v>50509889</v>
      </c>
      <c r="D6575" s="55" t="s">
        <v>671</v>
      </c>
      <c r="G6575" s="65">
        <v>792000</v>
      </c>
      <c r="H6575" s="56" t="s">
        <v>92</v>
      </c>
      <c r="I6575" s="54">
        <v>8728591250</v>
      </c>
      <c r="J6575" s="56" t="s">
        <v>2978</v>
      </c>
      <c r="K6575" s="56">
        <v>3467</v>
      </c>
      <c r="L6575" s="55" t="s">
        <v>326</v>
      </c>
      <c r="M6575" s="55" t="s">
        <v>2824</v>
      </c>
      <c r="N6575" s="4" t="s">
        <v>1613</v>
      </c>
      <c r="O6575" s="55" t="s">
        <v>533</v>
      </c>
    </row>
    <row r="6576" spans="2:15">
      <c r="B6576" s="20">
        <v>45938</v>
      </c>
      <c r="C6576" s="59">
        <v>50010080</v>
      </c>
      <c r="D6576" s="55" t="s">
        <v>1657</v>
      </c>
      <c r="G6576" s="65">
        <v>3000</v>
      </c>
      <c r="H6576" s="56" t="s">
        <v>82</v>
      </c>
      <c r="I6576" s="54">
        <v>8728608281</v>
      </c>
      <c r="J6576" s="56" t="s">
        <v>2978</v>
      </c>
      <c r="K6576" s="56">
        <v>3468</v>
      </c>
      <c r="L6576" s="55" t="s">
        <v>2152</v>
      </c>
      <c r="M6576" s="55" t="s">
        <v>2824</v>
      </c>
      <c r="N6576" s="4" t="s">
        <v>1905</v>
      </c>
      <c r="O6576" s="55" t="s">
        <v>533</v>
      </c>
    </row>
    <row r="6577" spans="2:15">
      <c r="B6577" s="20">
        <v>45938</v>
      </c>
      <c r="C6577" s="59">
        <v>50142328</v>
      </c>
      <c r="D6577" s="55" t="s">
        <v>1591</v>
      </c>
      <c r="G6577" s="65">
        <v>3000</v>
      </c>
      <c r="H6577" s="56" t="s">
        <v>82</v>
      </c>
      <c r="I6577" s="54">
        <v>8728738608</v>
      </c>
      <c r="J6577" s="56" t="s">
        <v>2978</v>
      </c>
      <c r="K6577" s="56">
        <v>3468</v>
      </c>
      <c r="L6577" s="55" t="s">
        <v>2152</v>
      </c>
      <c r="M6577" s="55" t="s">
        <v>2824</v>
      </c>
      <c r="N6577" s="4" t="s">
        <v>1905</v>
      </c>
      <c r="O6577" s="55" t="s">
        <v>533</v>
      </c>
    </row>
    <row r="6578" spans="2:15">
      <c r="B6578" s="20">
        <v>45938</v>
      </c>
      <c r="C6578" s="59">
        <v>50837284</v>
      </c>
      <c r="D6578" s="55" t="s">
        <v>28</v>
      </c>
      <c r="G6578" s="65">
        <v>2559.75</v>
      </c>
      <c r="H6578" s="56" t="s">
        <v>82</v>
      </c>
      <c r="I6578" s="54">
        <v>8728643656</v>
      </c>
      <c r="J6578" s="56" t="s">
        <v>2978</v>
      </c>
      <c r="K6578" s="56">
        <v>3468</v>
      </c>
      <c r="L6578" s="55" t="s">
        <v>2152</v>
      </c>
      <c r="M6578" s="55" t="s">
        <v>2824</v>
      </c>
      <c r="N6578" s="4" t="s">
        <v>1905</v>
      </c>
      <c r="O6578" s="55" t="s">
        <v>533</v>
      </c>
    </row>
    <row r="6579" spans="2:15">
      <c r="B6579" s="20">
        <v>45938</v>
      </c>
      <c r="C6579" s="59">
        <v>50802401</v>
      </c>
      <c r="D6579" s="55" t="s">
        <v>13</v>
      </c>
      <c r="G6579" s="65">
        <v>1738800</v>
      </c>
      <c r="H6579" s="56" t="s">
        <v>92</v>
      </c>
      <c r="I6579" s="54">
        <v>8728608281</v>
      </c>
      <c r="J6579" s="56" t="s">
        <v>2978</v>
      </c>
      <c r="K6579" s="56">
        <v>3468</v>
      </c>
      <c r="L6579" s="55" t="s">
        <v>2152</v>
      </c>
      <c r="M6579" s="55" t="s">
        <v>2824</v>
      </c>
      <c r="N6579" s="4" t="s">
        <v>1905</v>
      </c>
      <c r="O6579" s="55" t="s">
        <v>533</v>
      </c>
    </row>
    <row r="6580" spans="2:15">
      <c r="B6580" s="20">
        <v>45938</v>
      </c>
      <c r="C6580" s="59">
        <v>50449101</v>
      </c>
      <c r="D6580" s="55" t="s">
        <v>15</v>
      </c>
      <c r="G6580" s="65">
        <v>869400</v>
      </c>
      <c r="H6580" s="56" t="s">
        <v>92</v>
      </c>
      <c r="I6580" s="54">
        <v>8728608281</v>
      </c>
      <c r="J6580" s="56" t="s">
        <v>2978</v>
      </c>
      <c r="K6580" s="56">
        <v>3468</v>
      </c>
      <c r="L6580" s="55" t="s">
        <v>2152</v>
      </c>
      <c r="M6580" s="55" t="s">
        <v>2824</v>
      </c>
      <c r="N6580" s="4" t="s">
        <v>1905</v>
      </c>
      <c r="O6580" s="55" t="s">
        <v>533</v>
      </c>
    </row>
    <row r="6581" spans="2:15">
      <c r="B6581" s="20">
        <v>45938</v>
      </c>
      <c r="C6581" s="59">
        <v>50852310</v>
      </c>
      <c r="D6581" s="55" t="s">
        <v>2617</v>
      </c>
      <c r="G6581" s="65">
        <v>450000</v>
      </c>
      <c r="H6581" s="56" t="s">
        <v>92</v>
      </c>
      <c r="I6581" s="54">
        <v>8728608281</v>
      </c>
      <c r="J6581" s="56" t="s">
        <v>2978</v>
      </c>
      <c r="K6581" s="56">
        <v>3468</v>
      </c>
      <c r="L6581" s="55" t="s">
        <v>2152</v>
      </c>
      <c r="M6581" s="55" t="s">
        <v>2824</v>
      </c>
      <c r="N6581" s="4" t="s">
        <v>1905</v>
      </c>
      <c r="O6581" s="55" t="s">
        <v>533</v>
      </c>
    </row>
    <row r="6582" spans="2:15">
      <c r="B6582" s="20">
        <v>45938</v>
      </c>
      <c r="C6582" s="59">
        <v>50144376</v>
      </c>
      <c r="D6582" s="55" t="s">
        <v>19</v>
      </c>
      <c r="G6582" s="65">
        <v>3600</v>
      </c>
      <c r="H6582" s="56" t="s">
        <v>92</v>
      </c>
      <c r="I6582" s="54">
        <v>8728701520</v>
      </c>
      <c r="J6582" s="56" t="s">
        <v>2978</v>
      </c>
      <c r="K6582" s="56">
        <v>3469</v>
      </c>
      <c r="L6582" s="55" t="s">
        <v>2152</v>
      </c>
      <c r="M6582" s="55" t="s">
        <v>2824</v>
      </c>
      <c r="N6582" s="4" t="s">
        <v>1905</v>
      </c>
      <c r="O6582" s="55" t="s">
        <v>533</v>
      </c>
    </row>
    <row r="6583" spans="2:15">
      <c r="B6583" s="20">
        <v>45938</v>
      </c>
      <c r="C6583" s="59">
        <v>50272278</v>
      </c>
      <c r="D6583" s="55" t="s">
        <v>21</v>
      </c>
      <c r="G6583" s="65">
        <v>6000</v>
      </c>
      <c r="H6583" s="56" t="s">
        <v>92</v>
      </c>
      <c r="I6583" s="54">
        <v>8728644187</v>
      </c>
      <c r="J6583" s="56" t="s">
        <v>2978</v>
      </c>
      <c r="K6583" s="56">
        <v>3469</v>
      </c>
      <c r="L6583" s="55" t="s">
        <v>2152</v>
      </c>
      <c r="M6583" s="55" t="s">
        <v>2824</v>
      </c>
      <c r="N6583" s="4" t="s">
        <v>1905</v>
      </c>
      <c r="O6583" s="55" t="s">
        <v>533</v>
      </c>
    </row>
    <row r="6584" spans="2:15">
      <c r="B6584" s="20">
        <v>45938</v>
      </c>
      <c r="C6584" s="59">
        <v>50142327</v>
      </c>
      <c r="D6584" s="55" t="s">
        <v>256</v>
      </c>
      <c r="G6584" s="65">
        <v>1430.1</v>
      </c>
      <c r="H6584" s="56" t="s">
        <v>82</v>
      </c>
      <c r="I6584" s="54">
        <v>8728608914</v>
      </c>
      <c r="J6584" s="56" t="s">
        <v>2978</v>
      </c>
      <c r="K6584" s="56">
        <v>3469</v>
      </c>
      <c r="L6584" s="55" t="s">
        <v>2152</v>
      </c>
      <c r="M6584" s="55" t="s">
        <v>2824</v>
      </c>
      <c r="N6584" s="4" t="s">
        <v>1905</v>
      </c>
      <c r="O6584" s="55" t="s">
        <v>533</v>
      </c>
    </row>
    <row r="6585" spans="2:15">
      <c r="B6585" s="20">
        <v>45938</v>
      </c>
      <c r="C6585" s="59">
        <v>50142334</v>
      </c>
      <c r="D6585" s="55" t="s">
        <v>257</v>
      </c>
      <c r="G6585" s="65">
        <v>1430.1</v>
      </c>
      <c r="H6585" s="56" t="s">
        <v>82</v>
      </c>
      <c r="I6585" s="54">
        <v>8728608914</v>
      </c>
      <c r="J6585" s="56" t="s">
        <v>2978</v>
      </c>
      <c r="K6585" s="56">
        <v>3469</v>
      </c>
      <c r="L6585" s="55" t="s">
        <v>2152</v>
      </c>
      <c r="M6585" s="55" t="s">
        <v>2824</v>
      </c>
      <c r="N6585" s="4" t="s">
        <v>1905</v>
      </c>
      <c r="O6585" s="55" t="s">
        <v>533</v>
      </c>
    </row>
    <row r="6586" spans="2:15">
      <c r="B6586" s="20">
        <v>45939</v>
      </c>
      <c r="C6586" s="59">
        <v>50397884</v>
      </c>
      <c r="D6586" s="55" t="s">
        <v>1296</v>
      </c>
      <c r="G6586" s="65">
        <v>810</v>
      </c>
      <c r="H6586" s="56" t="s">
        <v>80</v>
      </c>
      <c r="I6586" s="54">
        <v>8728628414</v>
      </c>
      <c r="J6586" s="56" t="s">
        <v>2978</v>
      </c>
      <c r="K6586" s="56">
        <v>3470</v>
      </c>
      <c r="L6586" s="55" t="s">
        <v>2152</v>
      </c>
      <c r="M6586" s="55" t="s">
        <v>2824</v>
      </c>
      <c r="N6586" s="4" t="s">
        <v>1905</v>
      </c>
      <c r="O6586" s="55" t="s">
        <v>533</v>
      </c>
    </row>
    <row r="6587" spans="2:15">
      <c r="B6587" s="20">
        <v>45939</v>
      </c>
      <c r="C6587" s="59">
        <v>50472692</v>
      </c>
      <c r="D6587" s="55" t="s">
        <v>1304</v>
      </c>
      <c r="G6587" s="65">
        <v>1092</v>
      </c>
      <c r="H6587" s="56" t="s">
        <v>80</v>
      </c>
      <c r="I6587" s="54">
        <v>8728628414</v>
      </c>
      <c r="J6587" s="56" t="s">
        <v>2978</v>
      </c>
      <c r="K6587" s="56">
        <v>3470</v>
      </c>
      <c r="L6587" s="55" t="s">
        <v>2152</v>
      </c>
      <c r="M6587" s="55" t="s">
        <v>2824</v>
      </c>
      <c r="N6587" s="4" t="s">
        <v>1905</v>
      </c>
      <c r="O6587" s="55" t="s">
        <v>533</v>
      </c>
    </row>
    <row r="6588" spans="2:15">
      <c r="B6588" s="20">
        <v>45939</v>
      </c>
      <c r="C6588" s="59">
        <v>40011080</v>
      </c>
      <c r="D6588" s="55" t="s">
        <v>420</v>
      </c>
      <c r="G6588" s="65">
        <v>1350</v>
      </c>
      <c r="H6588" s="56" t="s">
        <v>80</v>
      </c>
      <c r="I6588" s="54">
        <v>8728628414</v>
      </c>
      <c r="J6588" s="56" t="s">
        <v>2978</v>
      </c>
      <c r="K6588" s="56">
        <v>3470</v>
      </c>
      <c r="L6588" s="55" t="s">
        <v>2152</v>
      </c>
      <c r="M6588" s="55" t="s">
        <v>2824</v>
      </c>
      <c r="N6588" s="4" t="s">
        <v>1905</v>
      </c>
      <c r="O6588" s="55" t="s">
        <v>533</v>
      </c>
    </row>
    <row r="6589" spans="2:15">
      <c r="B6589" s="20">
        <v>45939</v>
      </c>
      <c r="C6589" s="59">
        <v>50470190</v>
      </c>
      <c r="D6589" s="55" t="s">
        <v>12</v>
      </c>
      <c r="G6589" s="65">
        <v>1738800</v>
      </c>
      <c r="H6589" s="56" t="s">
        <v>92</v>
      </c>
      <c r="I6589" s="54">
        <v>8728718706</v>
      </c>
      <c r="J6589" s="56" t="s">
        <v>2978</v>
      </c>
      <c r="K6589" s="56">
        <v>3470</v>
      </c>
      <c r="L6589" s="55" t="s">
        <v>2152</v>
      </c>
      <c r="M6589" s="55" t="s">
        <v>2824</v>
      </c>
      <c r="N6589" s="4" t="s">
        <v>1905</v>
      </c>
      <c r="O6589" s="55" t="s">
        <v>533</v>
      </c>
    </row>
    <row r="6590" spans="2:15">
      <c r="B6590" s="20">
        <v>45939</v>
      </c>
      <c r="C6590" s="59">
        <v>50449101</v>
      </c>
      <c r="D6590" s="55" t="s">
        <v>3056</v>
      </c>
      <c r="G6590" s="65">
        <v>869400</v>
      </c>
      <c r="H6590" s="56" t="s">
        <v>92</v>
      </c>
      <c r="I6590" s="54">
        <v>8728628414</v>
      </c>
      <c r="J6590" s="56" t="s">
        <v>2978</v>
      </c>
      <c r="K6590" s="56">
        <v>3470</v>
      </c>
      <c r="L6590" s="55" t="s">
        <v>2152</v>
      </c>
      <c r="M6590" s="55" t="s">
        <v>2824</v>
      </c>
      <c r="N6590" s="4" t="s">
        <v>1905</v>
      </c>
      <c r="O6590" s="55" t="s">
        <v>533</v>
      </c>
    </row>
    <row r="6591" spans="2:15">
      <c r="B6591" s="20">
        <v>45939</v>
      </c>
      <c r="C6591" s="59">
        <v>40015052</v>
      </c>
      <c r="D6591" s="55" t="s">
        <v>2744</v>
      </c>
      <c r="G6591" s="65">
        <v>3360</v>
      </c>
      <c r="H6591" s="56" t="s">
        <v>80</v>
      </c>
      <c r="I6591" s="54">
        <v>8728628414</v>
      </c>
      <c r="J6591" s="56" t="s">
        <v>2978</v>
      </c>
      <c r="K6591" s="56">
        <v>3470</v>
      </c>
      <c r="L6591" s="55" t="s">
        <v>2152</v>
      </c>
      <c r="M6591" s="55" t="s">
        <v>2824</v>
      </c>
      <c r="N6591" s="4" t="s">
        <v>1905</v>
      </c>
      <c r="O6591" s="55" t="s">
        <v>533</v>
      </c>
    </row>
    <row r="6592" spans="2:15">
      <c r="B6592" s="20">
        <v>45939</v>
      </c>
      <c r="C6592" s="59">
        <v>40015055</v>
      </c>
      <c r="D6592" s="55" t="s">
        <v>2745</v>
      </c>
      <c r="G6592" s="65">
        <v>864</v>
      </c>
      <c r="H6592" s="56" t="s">
        <v>80</v>
      </c>
      <c r="I6592" s="54">
        <v>8728628414</v>
      </c>
      <c r="J6592" s="56" t="s">
        <v>2978</v>
      </c>
      <c r="K6592" s="56">
        <v>3470</v>
      </c>
      <c r="L6592" s="55" t="s">
        <v>2152</v>
      </c>
      <c r="M6592" s="55" t="s">
        <v>2824</v>
      </c>
      <c r="N6592" s="4" t="s">
        <v>1905</v>
      </c>
      <c r="O6592" s="55" t="s">
        <v>533</v>
      </c>
    </row>
    <row r="6593" spans="2:15">
      <c r="B6593" s="20">
        <v>45939</v>
      </c>
      <c r="C6593" s="59">
        <v>50145028</v>
      </c>
      <c r="D6593" s="55" t="s">
        <v>23</v>
      </c>
      <c r="G6593" s="65">
        <v>810</v>
      </c>
      <c r="H6593" s="56" t="s">
        <v>92</v>
      </c>
      <c r="I6593" s="54">
        <v>8728628428</v>
      </c>
      <c r="J6593" s="56" t="s">
        <v>2978</v>
      </c>
      <c r="K6593" s="56">
        <v>3471</v>
      </c>
      <c r="L6593" s="55" t="s">
        <v>392</v>
      </c>
      <c r="M6593" s="55" t="s">
        <v>392</v>
      </c>
      <c r="N6593" s="4" t="s">
        <v>1273</v>
      </c>
      <c r="O6593" s="55" t="s">
        <v>533</v>
      </c>
    </row>
    <row r="6594" spans="2:15">
      <c r="B6594" s="20">
        <v>45939</v>
      </c>
      <c r="C6594" s="59">
        <v>50799770</v>
      </c>
      <c r="D6594" s="55" t="s">
        <v>17</v>
      </c>
      <c r="G6594" s="65">
        <v>1500</v>
      </c>
      <c r="H6594" s="56" t="s">
        <v>92</v>
      </c>
      <c r="I6594" s="54">
        <v>8728628428</v>
      </c>
      <c r="J6594" s="56" t="s">
        <v>2978</v>
      </c>
      <c r="K6594" s="56">
        <v>3471</v>
      </c>
      <c r="L6594" s="55" t="s">
        <v>392</v>
      </c>
      <c r="M6594" s="55" t="s">
        <v>392</v>
      </c>
      <c r="N6594" s="4" t="s">
        <v>1273</v>
      </c>
      <c r="O6594" s="55" t="s">
        <v>533</v>
      </c>
    </row>
    <row r="6595" spans="2:15">
      <c r="B6595" s="20">
        <v>45939</v>
      </c>
      <c r="C6595" s="59">
        <v>50272278</v>
      </c>
      <c r="D6595" s="55" t="s">
        <v>21</v>
      </c>
      <c r="G6595" s="65">
        <v>1400</v>
      </c>
      <c r="H6595" s="56" t="s">
        <v>92</v>
      </c>
      <c r="I6595" s="54">
        <v>8728718023</v>
      </c>
      <c r="J6595" s="56" t="s">
        <v>2978</v>
      </c>
      <c r="K6595" s="56">
        <v>3471</v>
      </c>
      <c r="L6595" s="55" t="s">
        <v>392</v>
      </c>
      <c r="M6595" s="55" t="s">
        <v>392</v>
      </c>
      <c r="N6595" s="4" t="s">
        <v>1273</v>
      </c>
      <c r="O6595" s="55" t="s">
        <v>533</v>
      </c>
    </row>
    <row r="6596" spans="2:15">
      <c r="B6596" s="20">
        <v>45939</v>
      </c>
      <c r="C6596" s="59">
        <v>50142237</v>
      </c>
      <c r="D6596" s="55" t="s">
        <v>617</v>
      </c>
      <c r="G6596" s="65">
        <v>8000</v>
      </c>
      <c r="H6596" s="56" t="s">
        <v>92</v>
      </c>
      <c r="I6596" s="54">
        <v>8728628428</v>
      </c>
      <c r="J6596" s="56" t="s">
        <v>2978</v>
      </c>
      <c r="K6596" s="56">
        <v>3471</v>
      </c>
      <c r="L6596" s="55" t="s">
        <v>392</v>
      </c>
      <c r="M6596" s="55" t="s">
        <v>392</v>
      </c>
      <c r="N6596" s="4" t="s">
        <v>1273</v>
      </c>
      <c r="O6596" s="55" t="s">
        <v>533</v>
      </c>
    </row>
    <row r="6597" spans="2:15">
      <c r="B6597" s="20">
        <v>45939</v>
      </c>
      <c r="C6597" s="59">
        <v>50272278</v>
      </c>
      <c r="D6597" s="55" t="s">
        <v>21</v>
      </c>
      <c r="G6597" s="65">
        <v>13200</v>
      </c>
      <c r="H6597" s="56" t="s">
        <v>92</v>
      </c>
      <c r="I6597" s="54" t="s">
        <v>3057</v>
      </c>
      <c r="J6597" s="56" t="s">
        <v>2978</v>
      </c>
      <c r="K6597" s="56">
        <v>3472</v>
      </c>
      <c r="L6597" s="55" t="s">
        <v>2152</v>
      </c>
      <c r="M6597" s="55" t="s">
        <v>2824</v>
      </c>
      <c r="N6597" s="4" t="s">
        <v>1905</v>
      </c>
      <c r="O6597" s="55" t="s">
        <v>533</v>
      </c>
    </row>
    <row r="6598" spans="2:15">
      <c r="B6598" s="20">
        <v>45939</v>
      </c>
      <c r="C6598" s="59">
        <v>40014675</v>
      </c>
      <c r="D6598" s="55" t="s">
        <v>44</v>
      </c>
      <c r="E6598" s="67">
        <v>1.44</v>
      </c>
      <c r="F6598" s="67">
        <v>24</v>
      </c>
      <c r="G6598" s="65">
        <v>34.56</v>
      </c>
      <c r="H6598" s="56" t="s">
        <v>80</v>
      </c>
      <c r="I6598" s="54">
        <v>8728653785</v>
      </c>
      <c r="J6598" s="56" t="s">
        <v>2978</v>
      </c>
      <c r="K6598" s="56">
        <v>641</v>
      </c>
      <c r="L6598" s="55" t="s">
        <v>392</v>
      </c>
      <c r="M6598" s="55" t="s">
        <v>2824</v>
      </c>
      <c r="N6598" s="4" t="s">
        <v>3058</v>
      </c>
      <c r="O6598" s="55" t="s">
        <v>533</v>
      </c>
    </row>
    <row r="6599" spans="2:15">
      <c r="B6599" s="20">
        <v>45939</v>
      </c>
      <c r="C6599" s="59">
        <v>40014675</v>
      </c>
      <c r="D6599" s="55" t="s">
        <v>44</v>
      </c>
      <c r="E6599" s="67">
        <v>1.44</v>
      </c>
      <c r="F6599" s="67">
        <v>24</v>
      </c>
      <c r="G6599" s="65">
        <v>34.56</v>
      </c>
      <c r="H6599" s="56" t="s">
        <v>80</v>
      </c>
      <c r="I6599" s="54">
        <v>8728653785</v>
      </c>
      <c r="J6599" s="56" t="s">
        <v>2978</v>
      </c>
      <c r="K6599" s="56">
        <v>642</v>
      </c>
      <c r="L6599" s="55" t="s">
        <v>2152</v>
      </c>
      <c r="M6599" s="55" t="s">
        <v>2824</v>
      </c>
      <c r="N6599" s="4" t="s">
        <v>177</v>
      </c>
      <c r="O6599" s="55" t="s">
        <v>533</v>
      </c>
    </row>
    <row r="6600" spans="2:15">
      <c r="B6600" s="20">
        <v>45940</v>
      </c>
      <c r="C6600" s="59">
        <v>40014675</v>
      </c>
      <c r="D6600" s="55" t="s">
        <v>44</v>
      </c>
      <c r="E6600" s="67">
        <v>1.44</v>
      </c>
      <c r="F6600" s="67">
        <v>26</v>
      </c>
      <c r="G6600" s="65">
        <f t="shared" ref="G6600:G6606" si="0">26*1.44</f>
        <v>37.44</v>
      </c>
      <c r="H6600" s="56" t="s">
        <v>80</v>
      </c>
      <c r="I6600" s="54">
        <v>8728653785</v>
      </c>
      <c r="J6600" s="56" t="s">
        <v>2978</v>
      </c>
      <c r="K6600" s="56">
        <v>643</v>
      </c>
      <c r="L6600" s="55" t="s">
        <v>3042</v>
      </c>
      <c r="M6600" s="55" t="s">
        <v>2824</v>
      </c>
      <c r="N6600" s="4" t="s">
        <v>3059</v>
      </c>
      <c r="O6600" s="55" t="s">
        <v>533</v>
      </c>
    </row>
    <row r="6601" spans="2:15">
      <c r="B6601" s="20">
        <v>45940</v>
      </c>
      <c r="C6601" s="59">
        <v>40014675</v>
      </c>
      <c r="D6601" s="55" t="s">
        <v>44</v>
      </c>
      <c r="E6601" s="67">
        <v>1.44</v>
      </c>
      <c r="F6601" s="67">
        <v>26</v>
      </c>
      <c r="G6601" s="65">
        <f t="shared" si="0"/>
        <v>37.44</v>
      </c>
      <c r="H6601" s="56" t="s">
        <v>80</v>
      </c>
      <c r="I6601" s="54">
        <v>8728653785</v>
      </c>
      <c r="J6601" s="56" t="s">
        <v>2978</v>
      </c>
      <c r="K6601" s="56">
        <v>644</v>
      </c>
      <c r="L6601" s="55" t="s">
        <v>3042</v>
      </c>
      <c r="M6601" s="55" t="s">
        <v>2824</v>
      </c>
      <c r="O6601" s="55" t="s">
        <v>533</v>
      </c>
    </row>
    <row r="6602" spans="2:15">
      <c r="B6602" s="20">
        <v>45940</v>
      </c>
      <c r="C6602" s="59">
        <v>40014675</v>
      </c>
      <c r="D6602" s="55" t="s">
        <v>44</v>
      </c>
      <c r="E6602" s="67">
        <v>1.44</v>
      </c>
      <c r="F6602" s="67">
        <v>26</v>
      </c>
      <c r="G6602" s="65">
        <f t="shared" si="0"/>
        <v>37.44</v>
      </c>
      <c r="H6602" s="56" t="s">
        <v>80</v>
      </c>
      <c r="I6602" s="54">
        <v>8728653785</v>
      </c>
      <c r="J6602" s="56" t="s">
        <v>2978</v>
      </c>
      <c r="K6602" s="56">
        <v>645</v>
      </c>
      <c r="L6602" s="55" t="s">
        <v>3042</v>
      </c>
      <c r="M6602" s="55" t="s">
        <v>2824</v>
      </c>
      <c r="O6602" s="55" t="s">
        <v>533</v>
      </c>
    </row>
    <row r="6603" spans="2:15">
      <c r="B6603" s="20">
        <v>45940</v>
      </c>
      <c r="C6603" s="59">
        <v>40014675</v>
      </c>
      <c r="D6603" s="55" t="s">
        <v>44</v>
      </c>
      <c r="E6603" s="67">
        <v>1.44</v>
      </c>
      <c r="F6603" s="67">
        <v>26</v>
      </c>
      <c r="G6603" s="65">
        <f t="shared" si="0"/>
        <v>37.44</v>
      </c>
      <c r="H6603" s="56" t="s">
        <v>80</v>
      </c>
      <c r="I6603" s="54">
        <v>8728653785</v>
      </c>
      <c r="J6603" s="56" t="s">
        <v>2978</v>
      </c>
      <c r="K6603" s="56">
        <v>646</v>
      </c>
      <c r="L6603" s="55" t="s">
        <v>3042</v>
      </c>
      <c r="M6603" s="55" t="s">
        <v>2824</v>
      </c>
      <c r="O6603" s="55" t="s">
        <v>533</v>
      </c>
    </row>
    <row r="6604" spans="2:15">
      <c r="B6604" s="20">
        <v>45940</v>
      </c>
      <c r="C6604" s="59">
        <v>40014675</v>
      </c>
      <c r="D6604" s="55" t="s">
        <v>44</v>
      </c>
      <c r="E6604" s="67">
        <v>1.44</v>
      </c>
      <c r="F6604" s="67">
        <v>26</v>
      </c>
      <c r="G6604" s="65">
        <f t="shared" si="0"/>
        <v>37.44</v>
      </c>
      <c r="H6604" s="56" t="s">
        <v>80</v>
      </c>
      <c r="I6604" s="54">
        <v>8728653785</v>
      </c>
      <c r="J6604" s="56" t="s">
        <v>2978</v>
      </c>
      <c r="K6604" s="56">
        <v>647</v>
      </c>
      <c r="L6604" s="55" t="s">
        <v>3042</v>
      </c>
      <c r="M6604" s="55" t="s">
        <v>2824</v>
      </c>
      <c r="O6604" s="55" t="s">
        <v>533</v>
      </c>
    </row>
    <row r="6605" spans="2:15">
      <c r="B6605" s="20">
        <v>45940</v>
      </c>
      <c r="C6605" s="59">
        <v>40014675</v>
      </c>
      <c r="D6605" s="55" t="s">
        <v>44</v>
      </c>
      <c r="E6605" s="67">
        <v>1.44</v>
      </c>
      <c r="F6605" s="67">
        <v>26</v>
      </c>
      <c r="G6605" s="65">
        <f t="shared" si="0"/>
        <v>37.44</v>
      </c>
      <c r="H6605" s="56" t="s">
        <v>80</v>
      </c>
      <c r="I6605" s="54">
        <v>8728653785</v>
      </c>
      <c r="J6605" s="56" t="s">
        <v>2978</v>
      </c>
      <c r="K6605" s="56">
        <v>648</v>
      </c>
      <c r="L6605" s="55" t="s">
        <v>3042</v>
      </c>
      <c r="M6605" s="55" t="s">
        <v>2824</v>
      </c>
      <c r="O6605" s="55" t="s">
        <v>533</v>
      </c>
    </row>
    <row r="6606" spans="2:15">
      <c r="B6606" s="20">
        <v>45940</v>
      </c>
      <c r="C6606" s="59">
        <v>40014675</v>
      </c>
      <c r="D6606" s="55" t="s">
        <v>44</v>
      </c>
      <c r="E6606" s="67">
        <v>1.44</v>
      </c>
      <c r="F6606" s="67">
        <v>26</v>
      </c>
      <c r="G6606" s="65">
        <f t="shared" si="0"/>
        <v>37.44</v>
      </c>
      <c r="H6606" s="56" t="s">
        <v>80</v>
      </c>
      <c r="I6606" s="54">
        <v>8728653785</v>
      </c>
      <c r="J6606" s="56" t="s">
        <v>2978</v>
      </c>
      <c r="K6606" s="56">
        <v>649</v>
      </c>
      <c r="L6606" s="55" t="s">
        <v>3042</v>
      </c>
      <c r="M6606" s="55" t="s">
        <v>2824</v>
      </c>
      <c r="O6606" s="55" t="s">
        <v>533</v>
      </c>
    </row>
    <row r="6607" spans="2:15">
      <c r="B6607" s="20">
        <v>45940</v>
      </c>
      <c r="C6607" s="59">
        <v>50470190</v>
      </c>
      <c r="D6607" s="55" t="s">
        <v>12</v>
      </c>
      <c r="F6607" s="67">
        <v>20</v>
      </c>
      <c r="G6607" s="65">
        <v>5796000</v>
      </c>
      <c r="H6607" s="56" t="s">
        <v>92</v>
      </c>
      <c r="I6607" s="54">
        <v>8728718711</v>
      </c>
      <c r="J6607" s="56" t="s">
        <v>2978</v>
      </c>
      <c r="K6607" s="56">
        <v>3473</v>
      </c>
      <c r="L6607" s="55" t="s">
        <v>2152</v>
      </c>
      <c r="M6607" s="55" t="s">
        <v>2824</v>
      </c>
      <c r="N6607" s="4" t="s">
        <v>177</v>
      </c>
      <c r="O6607" s="55" t="s">
        <v>533</v>
      </c>
    </row>
    <row r="6608" spans="2:15">
      <c r="B6608" s="20">
        <v>45940</v>
      </c>
      <c r="C6608" s="59">
        <v>50272278</v>
      </c>
      <c r="D6608" s="55" t="s">
        <v>21</v>
      </c>
      <c r="F6608" s="67">
        <v>46</v>
      </c>
      <c r="G6608" s="65">
        <f>46*300</f>
        <v>13800</v>
      </c>
      <c r="H6608" s="56" t="s">
        <v>92</v>
      </c>
      <c r="I6608" s="54">
        <v>8728701544</v>
      </c>
      <c r="J6608" s="56" t="s">
        <v>2978</v>
      </c>
      <c r="K6608" s="56">
        <v>3474</v>
      </c>
      <c r="L6608" s="55" t="s">
        <v>2152</v>
      </c>
      <c r="M6608" s="55" t="s">
        <v>2824</v>
      </c>
      <c r="N6608" s="4" t="s">
        <v>177</v>
      </c>
      <c r="O6608" s="55" t="s">
        <v>533</v>
      </c>
    </row>
    <row r="6609" spans="2:15">
      <c r="B6609" s="20">
        <v>45940</v>
      </c>
      <c r="C6609" s="59">
        <v>50142298</v>
      </c>
      <c r="D6609" s="55" t="s">
        <v>2159</v>
      </c>
      <c r="G6609" s="65">
        <v>3370</v>
      </c>
      <c r="H6609" s="56" t="s">
        <v>82</v>
      </c>
      <c r="I6609" s="54">
        <v>8728738598</v>
      </c>
      <c r="J6609" s="56" t="s">
        <v>2978</v>
      </c>
      <c r="K6609" s="56">
        <v>3475</v>
      </c>
      <c r="L6609" s="55" t="s">
        <v>2152</v>
      </c>
      <c r="M6609" s="55" t="s">
        <v>2824</v>
      </c>
      <c r="N6609" s="4" t="s">
        <v>1905</v>
      </c>
      <c r="O6609" s="55" t="s">
        <v>533</v>
      </c>
    </row>
    <row r="6610" spans="2:15">
      <c r="B6610" s="20">
        <v>45940</v>
      </c>
      <c r="C6610" s="59">
        <v>50804970</v>
      </c>
      <c r="D6610" s="55" t="s">
        <v>857</v>
      </c>
      <c r="G6610" s="65">
        <v>2880000</v>
      </c>
      <c r="H6610" s="56" t="s">
        <v>92</v>
      </c>
      <c r="I6610" s="54">
        <v>8728644135</v>
      </c>
      <c r="J6610" s="56" t="s">
        <v>2978</v>
      </c>
      <c r="K6610" s="56">
        <v>3475</v>
      </c>
      <c r="L6610" s="55" t="s">
        <v>2152</v>
      </c>
      <c r="M6610" s="55" t="s">
        <v>2824</v>
      </c>
      <c r="N6610" s="4" t="s">
        <v>1905</v>
      </c>
      <c r="O6610" s="55" t="s">
        <v>533</v>
      </c>
    </row>
    <row r="6611" spans="2:15">
      <c r="B6611" s="20">
        <v>45940</v>
      </c>
      <c r="C6611" s="59">
        <v>50804971</v>
      </c>
      <c r="D6611" s="55" t="s">
        <v>855</v>
      </c>
      <c r="G6611" s="65">
        <v>900000</v>
      </c>
      <c r="H6611" s="56" t="s">
        <v>92</v>
      </c>
      <c r="I6611" s="54">
        <v>8728644135</v>
      </c>
      <c r="J6611" s="56" t="s">
        <v>2978</v>
      </c>
      <c r="K6611" s="56">
        <v>3475</v>
      </c>
      <c r="L6611" s="55" t="s">
        <v>2152</v>
      </c>
      <c r="M6611" s="55" t="s">
        <v>2824</v>
      </c>
      <c r="N6611" s="4" t="s">
        <v>1905</v>
      </c>
      <c r="O6611" s="55" t="s">
        <v>533</v>
      </c>
    </row>
    <row r="6612" spans="2:15">
      <c r="B6612" s="20">
        <v>45940</v>
      </c>
      <c r="C6612" s="59">
        <v>50804929</v>
      </c>
      <c r="D6612" s="55" t="s">
        <v>856</v>
      </c>
      <c r="G6612" s="65">
        <v>600000</v>
      </c>
      <c r="H6612" s="56" t="s">
        <v>92</v>
      </c>
      <c r="I6612" s="54">
        <v>8728644135</v>
      </c>
      <c r="J6612" s="56" t="s">
        <v>2978</v>
      </c>
      <c r="K6612" s="56">
        <v>3475</v>
      </c>
      <c r="L6612" s="55" t="s">
        <v>2152</v>
      </c>
      <c r="M6612" s="55" t="s">
        <v>2824</v>
      </c>
      <c r="N6612" s="4" t="s">
        <v>1905</v>
      </c>
      <c r="O6612" s="55" t="s">
        <v>533</v>
      </c>
    </row>
    <row r="6613" spans="2:15">
      <c r="B6613" s="20">
        <v>45940</v>
      </c>
      <c r="C6613" s="59">
        <v>50793278</v>
      </c>
      <c r="D6613" s="55" t="s">
        <v>1086</v>
      </c>
      <c r="G6613" s="65">
        <v>70</v>
      </c>
      <c r="H6613" s="56" t="s">
        <v>1087</v>
      </c>
      <c r="I6613" s="54" t="s">
        <v>2874</v>
      </c>
      <c r="J6613" s="56" t="s">
        <v>3038</v>
      </c>
      <c r="K6613" s="56">
        <v>3475</v>
      </c>
      <c r="L6613" s="55" t="s">
        <v>2152</v>
      </c>
      <c r="M6613" s="55" t="s">
        <v>2824</v>
      </c>
      <c r="N6613" s="4" t="s">
        <v>1905</v>
      </c>
      <c r="O6613" s="55" t="s">
        <v>533</v>
      </c>
    </row>
    <row r="6614" spans="2:15">
      <c r="B6614" s="20">
        <v>45940</v>
      </c>
      <c r="C6614" s="59">
        <v>50397884</v>
      </c>
      <c r="D6614" s="55" t="s">
        <v>1296</v>
      </c>
      <c r="G6614" s="65">
        <v>810</v>
      </c>
      <c r="H6614" s="56" t="s">
        <v>80</v>
      </c>
      <c r="I6614" s="54">
        <v>8728644165</v>
      </c>
      <c r="J6614" s="56" t="s">
        <v>2978</v>
      </c>
      <c r="K6614" s="56">
        <v>3475</v>
      </c>
      <c r="L6614" s="55" t="s">
        <v>2152</v>
      </c>
      <c r="M6614" s="55" t="s">
        <v>2824</v>
      </c>
      <c r="N6614" s="4" t="s">
        <v>1905</v>
      </c>
      <c r="O6614" s="55" t="s">
        <v>533</v>
      </c>
    </row>
    <row r="6615" spans="2:15">
      <c r="B6615" s="20">
        <v>45940</v>
      </c>
      <c r="C6615" s="59">
        <v>40011149</v>
      </c>
      <c r="D6615" s="55" t="s">
        <v>37</v>
      </c>
      <c r="G6615" s="65">
        <v>720</v>
      </c>
      <c r="H6615" s="56" t="s">
        <v>80</v>
      </c>
      <c r="I6615" s="54">
        <v>8728644165</v>
      </c>
      <c r="J6615" s="56" t="s">
        <v>2978</v>
      </c>
      <c r="K6615" s="56">
        <v>3475</v>
      </c>
      <c r="L6615" s="55" t="s">
        <v>2152</v>
      </c>
      <c r="M6615" s="55" t="s">
        <v>2824</v>
      </c>
      <c r="N6615" s="4" t="s">
        <v>1905</v>
      </c>
      <c r="O6615" s="55" t="s">
        <v>533</v>
      </c>
    </row>
    <row r="6616" spans="2:15">
      <c r="B6616" s="20">
        <v>45943</v>
      </c>
      <c r="C6616" s="59">
        <v>50804929</v>
      </c>
      <c r="D6616" s="55" t="s">
        <v>856</v>
      </c>
      <c r="G6616" s="65">
        <v>1800000</v>
      </c>
      <c r="H6616" s="56" t="s">
        <v>92</v>
      </c>
      <c r="I6616" s="54">
        <v>8728666988</v>
      </c>
      <c r="J6616" s="56" t="s">
        <v>2978</v>
      </c>
      <c r="K6616" s="56">
        <v>3476</v>
      </c>
      <c r="L6616" s="55" t="s">
        <v>2152</v>
      </c>
      <c r="M6616" s="55" t="s">
        <v>2824</v>
      </c>
      <c r="N6616" s="4" t="s">
        <v>1905</v>
      </c>
      <c r="O6616" s="55" t="s">
        <v>178</v>
      </c>
    </row>
    <row r="6617" spans="2:15">
      <c r="B6617" s="20">
        <v>45943</v>
      </c>
      <c r="C6617" s="59">
        <v>40011149</v>
      </c>
      <c r="D6617" s="55" t="s">
        <v>37</v>
      </c>
      <c r="G6617" s="65">
        <v>936</v>
      </c>
      <c r="H6617" s="56" t="s">
        <v>80</v>
      </c>
      <c r="I6617" s="54">
        <v>8728666988</v>
      </c>
      <c r="J6617" s="56" t="s">
        <v>2978</v>
      </c>
      <c r="K6617" s="56">
        <v>3476</v>
      </c>
      <c r="L6617" s="55" t="s">
        <v>2152</v>
      </c>
      <c r="M6617" s="55" t="s">
        <v>2824</v>
      </c>
      <c r="N6617" s="4" t="s">
        <v>1905</v>
      </c>
      <c r="O6617" s="55" t="s">
        <v>178</v>
      </c>
    </row>
    <row r="6618" spans="2:15">
      <c r="B6618" s="20">
        <v>45943</v>
      </c>
      <c r="C6618" s="59">
        <v>50470190</v>
      </c>
      <c r="D6618" s="55" t="s">
        <v>12</v>
      </c>
      <c r="G6618" s="65">
        <v>3187800</v>
      </c>
      <c r="H6618" s="56" t="s">
        <v>92</v>
      </c>
      <c r="I6618" s="54">
        <v>8728666988</v>
      </c>
      <c r="J6618" s="56" t="s">
        <v>2978</v>
      </c>
      <c r="K6618" s="56">
        <v>3476</v>
      </c>
      <c r="L6618" s="55" t="s">
        <v>2152</v>
      </c>
      <c r="M6618" s="55" t="s">
        <v>2824</v>
      </c>
      <c r="N6618" s="4" t="s">
        <v>1905</v>
      </c>
      <c r="O6618" s="55" t="s">
        <v>178</v>
      </c>
    </row>
    <row r="6619" spans="2:15">
      <c r="B6619" s="20">
        <v>45943</v>
      </c>
      <c r="C6619" s="59">
        <v>50142330</v>
      </c>
      <c r="D6619" s="55" t="s">
        <v>195</v>
      </c>
      <c r="G6619" s="65">
        <v>720</v>
      </c>
      <c r="H6619" s="56" t="s">
        <v>82</v>
      </c>
      <c r="I6619" s="54">
        <v>8728667029</v>
      </c>
      <c r="J6619" s="56" t="s">
        <v>2978</v>
      </c>
      <c r="K6619" s="56">
        <v>3477</v>
      </c>
      <c r="L6619" s="55" t="s">
        <v>2152</v>
      </c>
      <c r="M6619" s="55" t="s">
        <v>2824</v>
      </c>
      <c r="N6619" s="4" t="s">
        <v>1905</v>
      </c>
      <c r="O6619" s="55" t="s">
        <v>178</v>
      </c>
    </row>
    <row r="6620" spans="2:15">
      <c r="B6620" s="20">
        <v>45943</v>
      </c>
      <c r="C6620" s="59">
        <v>50144376</v>
      </c>
      <c r="D6620" s="55" t="s">
        <v>19</v>
      </c>
      <c r="G6620" s="65">
        <v>8400</v>
      </c>
      <c r="H6620" s="56" t="s">
        <v>92</v>
      </c>
      <c r="I6620" s="54">
        <v>8728667029</v>
      </c>
      <c r="J6620" s="56" t="s">
        <v>2978</v>
      </c>
      <c r="K6620" s="56">
        <v>3477</v>
      </c>
      <c r="L6620" s="55" t="s">
        <v>2152</v>
      </c>
      <c r="M6620" s="55" t="s">
        <v>2824</v>
      </c>
      <c r="N6620" s="4" t="s">
        <v>1905</v>
      </c>
      <c r="O6620" s="55" t="s">
        <v>178</v>
      </c>
    </row>
    <row r="6621" spans="2:15">
      <c r="B6621" s="20">
        <v>45943</v>
      </c>
      <c r="C6621" s="59">
        <v>50843627</v>
      </c>
      <c r="D6621" s="55" t="s">
        <v>2472</v>
      </c>
      <c r="G6621" s="65">
        <v>23040</v>
      </c>
      <c r="H6621" s="56" t="s">
        <v>92</v>
      </c>
      <c r="I6621" s="54">
        <v>8728667029</v>
      </c>
      <c r="J6621" s="56" t="s">
        <v>2978</v>
      </c>
      <c r="K6621" s="56">
        <v>3477</v>
      </c>
      <c r="L6621" s="55" t="s">
        <v>2152</v>
      </c>
      <c r="M6621" s="55" t="s">
        <v>2824</v>
      </c>
      <c r="N6621" s="4" t="s">
        <v>1905</v>
      </c>
      <c r="O6621" s="55" t="s">
        <v>178</v>
      </c>
    </row>
    <row r="6622" spans="2:15">
      <c r="B6622" s="20">
        <v>45944</v>
      </c>
      <c r="C6622" s="59">
        <v>50804929</v>
      </c>
      <c r="D6622" s="55" t="s">
        <v>856</v>
      </c>
      <c r="G6622" s="65">
        <v>600000</v>
      </c>
      <c r="H6622" s="56" t="s">
        <v>92</v>
      </c>
      <c r="I6622" s="54">
        <v>8728698446</v>
      </c>
      <c r="J6622" s="56" t="s">
        <v>2978</v>
      </c>
      <c r="K6622" s="56">
        <v>3478</v>
      </c>
      <c r="L6622" s="55" t="s">
        <v>2152</v>
      </c>
      <c r="M6622" s="55" t="s">
        <v>2824</v>
      </c>
      <c r="N6622" s="4" t="s">
        <v>1905</v>
      </c>
      <c r="O6622" s="55" t="s">
        <v>178</v>
      </c>
    </row>
    <row r="6623" spans="2:15">
      <c r="B6623" s="20">
        <v>45944</v>
      </c>
      <c r="C6623" s="59">
        <v>50824293</v>
      </c>
      <c r="D6623" s="55" t="s">
        <v>861</v>
      </c>
      <c r="G6623" s="65">
        <v>2160000</v>
      </c>
      <c r="H6623" s="56" t="s">
        <v>92</v>
      </c>
      <c r="I6623" s="54">
        <v>8728698446</v>
      </c>
      <c r="J6623" s="56" t="s">
        <v>2978</v>
      </c>
      <c r="K6623" s="56">
        <v>3478</v>
      </c>
      <c r="L6623" s="55" t="s">
        <v>2152</v>
      </c>
      <c r="M6623" s="55" t="s">
        <v>2824</v>
      </c>
      <c r="N6623" s="4" t="s">
        <v>1905</v>
      </c>
      <c r="O6623" s="55" t="s">
        <v>178</v>
      </c>
    </row>
    <row r="6624" spans="2:15">
      <c r="B6624" s="20">
        <v>45944</v>
      </c>
      <c r="C6624" s="59">
        <v>50799770</v>
      </c>
      <c r="D6624" s="55" t="s">
        <v>17</v>
      </c>
      <c r="G6624" s="65">
        <v>3000</v>
      </c>
      <c r="H6624" s="56" t="s">
        <v>92</v>
      </c>
      <c r="I6624" s="54">
        <v>8728698446</v>
      </c>
      <c r="J6624" s="56" t="s">
        <v>2978</v>
      </c>
      <c r="K6624" s="56">
        <v>3478</v>
      </c>
      <c r="L6624" s="55" t="s">
        <v>2152</v>
      </c>
      <c r="M6624" s="55" t="s">
        <v>2824</v>
      </c>
      <c r="N6624" s="4" t="s">
        <v>1905</v>
      </c>
      <c r="O6624" s="55" t="s">
        <v>178</v>
      </c>
    </row>
    <row r="6625" spans="2:15">
      <c r="B6625" s="20">
        <v>45944</v>
      </c>
      <c r="C6625" s="59">
        <v>50142281</v>
      </c>
      <c r="D6625" s="55" t="s">
        <v>204</v>
      </c>
      <c r="G6625" s="65">
        <v>4050</v>
      </c>
      <c r="H6625" s="56" t="s">
        <v>82</v>
      </c>
      <c r="I6625" s="54">
        <v>8728698446</v>
      </c>
      <c r="J6625" s="56" t="s">
        <v>2978</v>
      </c>
      <c r="K6625" s="56">
        <v>3478</v>
      </c>
      <c r="L6625" s="55" t="s">
        <v>2152</v>
      </c>
      <c r="M6625" s="55" t="s">
        <v>2824</v>
      </c>
      <c r="N6625" s="4" t="s">
        <v>1905</v>
      </c>
      <c r="O6625" s="55" t="s">
        <v>178</v>
      </c>
    </row>
    <row r="6626" spans="2:15">
      <c r="B6626" s="20">
        <v>45944</v>
      </c>
      <c r="C6626" s="59">
        <v>50843627</v>
      </c>
      <c r="D6626" s="55" t="s">
        <v>2472</v>
      </c>
      <c r="G6626" s="65">
        <v>11520</v>
      </c>
      <c r="H6626" s="56" t="s">
        <v>92</v>
      </c>
      <c r="I6626" s="54">
        <v>8728698446</v>
      </c>
      <c r="J6626" s="56" t="s">
        <v>2978</v>
      </c>
      <c r="K6626" s="56">
        <v>3478</v>
      </c>
      <c r="L6626" s="55" t="s">
        <v>2152</v>
      </c>
      <c r="M6626" s="55" t="s">
        <v>2824</v>
      </c>
      <c r="N6626" s="4" t="s">
        <v>1905</v>
      </c>
      <c r="O6626" s="55" t="s">
        <v>178</v>
      </c>
    </row>
    <row r="6627" spans="2:15">
      <c r="B6627" s="20">
        <v>45944</v>
      </c>
      <c r="C6627" s="59">
        <v>50843628</v>
      </c>
      <c r="D6627" s="55" t="s">
        <v>3060</v>
      </c>
      <c r="G6627" s="65">
        <v>16200</v>
      </c>
      <c r="H6627" s="56" t="s">
        <v>92</v>
      </c>
      <c r="I6627" s="54">
        <v>8728698446</v>
      </c>
      <c r="J6627" s="56" t="s">
        <v>2978</v>
      </c>
      <c r="K6627" s="56">
        <v>3478</v>
      </c>
      <c r="L6627" s="55" t="s">
        <v>2152</v>
      </c>
      <c r="M6627" s="55" t="s">
        <v>2824</v>
      </c>
      <c r="N6627" s="4" t="s">
        <v>1905</v>
      </c>
      <c r="O6627" s="55" t="s">
        <v>178</v>
      </c>
    </row>
    <row r="6628" spans="2:15">
      <c r="B6628" s="20">
        <v>45944</v>
      </c>
      <c r="C6628" s="59">
        <v>50799770</v>
      </c>
      <c r="D6628" s="55" t="s">
        <v>17</v>
      </c>
      <c r="G6628" s="65">
        <v>4500</v>
      </c>
      <c r="H6628" s="56" t="s">
        <v>92</v>
      </c>
      <c r="I6628" s="54">
        <v>8728698485</v>
      </c>
      <c r="J6628" s="56" t="s">
        <v>2978</v>
      </c>
      <c r="K6628" s="56">
        <v>3479</v>
      </c>
      <c r="L6628" s="55" t="s">
        <v>2152</v>
      </c>
      <c r="M6628" s="55" t="s">
        <v>2824</v>
      </c>
      <c r="N6628" s="4" t="s">
        <v>1905</v>
      </c>
      <c r="O6628" s="55" t="s">
        <v>178</v>
      </c>
    </row>
    <row r="6629" spans="2:15">
      <c r="B6629" s="20">
        <v>45944</v>
      </c>
      <c r="C6629" s="59">
        <v>50272278</v>
      </c>
      <c r="D6629" s="55" t="s">
        <v>21</v>
      </c>
      <c r="G6629" s="65">
        <v>4800</v>
      </c>
      <c r="H6629" s="56" t="s">
        <v>92</v>
      </c>
      <c r="I6629" s="54">
        <v>8728698485</v>
      </c>
      <c r="J6629" s="56" t="s">
        <v>2978</v>
      </c>
      <c r="K6629" s="56">
        <v>3479</v>
      </c>
      <c r="L6629" s="55" t="s">
        <v>2152</v>
      </c>
      <c r="M6629" s="55" t="s">
        <v>2824</v>
      </c>
      <c r="N6629" s="4" t="s">
        <v>1905</v>
      </c>
      <c r="O6629" s="55" t="s">
        <v>178</v>
      </c>
    </row>
    <row r="6630" spans="2:15">
      <c r="B6630" s="20">
        <v>45944</v>
      </c>
      <c r="C6630" s="59">
        <v>50470190</v>
      </c>
      <c r="D6630" s="55" t="s">
        <v>12</v>
      </c>
      <c r="G6630" s="65">
        <v>2318400</v>
      </c>
      <c r="H6630" s="56" t="s">
        <v>92</v>
      </c>
      <c r="I6630" s="54">
        <v>8728718713</v>
      </c>
      <c r="J6630" s="56" t="s">
        <v>2978</v>
      </c>
      <c r="K6630" s="56">
        <v>3479</v>
      </c>
      <c r="L6630" s="55" t="s">
        <v>2152</v>
      </c>
      <c r="M6630" s="55" t="s">
        <v>2824</v>
      </c>
      <c r="N6630" s="4" t="s">
        <v>1905</v>
      </c>
      <c r="O6630" s="55" t="s">
        <v>178</v>
      </c>
    </row>
    <row r="6631" spans="2:15">
      <c r="B6631" s="20">
        <v>45944</v>
      </c>
      <c r="C6631" s="59">
        <v>40011660</v>
      </c>
      <c r="D6631" s="55" t="s">
        <v>528</v>
      </c>
      <c r="G6631" s="65">
        <v>417.5</v>
      </c>
      <c r="H6631" s="56" t="s">
        <v>80</v>
      </c>
      <c r="I6631" s="54">
        <v>8728698485</v>
      </c>
      <c r="J6631" s="56" t="s">
        <v>2978</v>
      </c>
      <c r="K6631" s="56">
        <v>3479</v>
      </c>
      <c r="L6631" s="55" t="s">
        <v>2152</v>
      </c>
      <c r="M6631" s="55" t="s">
        <v>2824</v>
      </c>
      <c r="N6631" s="4" t="s">
        <v>1905</v>
      </c>
      <c r="O6631" s="55" t="s">
        <v>178</v>
      </c>
    </row>
    <row r="6632" spans="2:15">
      <c r="B6632" s="20">
        <v>45945</v>
      </c>
      <c r="C6632" s="59">
        <v>50010080</v>
      </c>
      <c r="D6632" s="55" t="s">
        <v>1657</v>
      </c>
      <c r="G6632" s="65">
        <v>3000</v>
      </c>
      <c r="H6632" s="56" t="s">
        <v>82</v>
      </c>
      <c r="I6632" s="54">
        <v>8728700777</v>
      </c>
      <c r="J6632" s="56" t="s">
        <v>2978</v>
      </c>
      <c r="K6632" s="56">
        <v>3480</v>
      </c>
      <c r="L6632" s="55" t="s">
        <v>2152</v>
      </c>
      <c r="M6632" s="55" t="s">
        <v>2824</v>
      </c>
      <c r="N6632" s="4" t="s">
        <v>1905</v>
      </c>
      <c r="O6632" s="55" t="s">
        <v>178</v>
      </c>
    </row>
    <row r="6633" spans="2:15">
      <c r="B6633" s="20">
        <v>45945</v>
      </c>
      <c r="C6633" s="59">
        <v>50799770</v>
      </c>
      <c r="D6633" s="55" t="s">
        <v>17</v>
      </c>
      <c r="G6633" s="65">
        <v>2250</v>
      </c>
      <c r="H6633" s="56" t="s">
        <v>92</v>
      </c>
      <c r="I6633" s="54">
        <v>8728700777</v>
      </c>
      <c r="J6633" s="56" t="s">
        <v>2978</v>
      </c>
      <c r="K6633" s="56">
        <v>3480</v>
      </c>
      <c r="L6633" s="55" t="s">
        <v>2152</v>
      </c>
      <c r="M6633" s="55" t="s">
        <v>2824</v>
      </c>
      <c r="N6633" s="4" t="s">
        <v>1905</v>
      </c>
      <c r="O6633" s="55" t="s">
        <v>178</v>
      </c>
    </row>
    <row r="6634" spans="2:15">
      <c r="B6634" s="20">
        <v>45945</v>
      </c>
      <c r="C6634" s="59">
        <v>50142327</v>
      </c>
      <c r="D6634" s="55" t="s">
        <v>256</v>
      </c>
      <c r="G6634" s="65">
        <v>953.4</v>
      </c>
      <c r="H6634" s="56" t="s">
        <v>82</v>
      </c>
      <c r="I6634" s="54">
        <v>8728700777</v>
      </c>
      <c r="J6634" s="56" t="s">
        <v>2978</v>
      </c>
      <c r="K6634" s="56">
        <v>3480</v>
      </c>
      <c r="L6634" s="55" t="s">
        <v>2152</v>
      </c>
      <c r="M6634" s="55" t="s">
        <v>2824</v>
      </c>
      <c r="N6634" s="4" t="s">
        <v>1905</v>
      </c>
      <c r="O6634" s="55" t="s">
        <v>178</v>
      </c>
    </row>
    <row r="6635" spans="2:15">
      <c r="B6635" s="20">
        <v>45945</v>
      </c>
      <c r="C6635" s="59">
        <v>50142334</v>
      </c>
      <c r="D6635" s="55" t="s">
        <v>257</v>
      </c>
      <c r="G6635" s="65">
        <v>953.4</v>
      </c>
      <c r="H6635" s="56" t="s">
        <v>82</v>
      </c>
      <c r="I6635" s="54">
        <v>8728700777</v>
      </c>
      <c r="J6635" s="56" t="s">
        <v>2978</v>
      </c>
      <c r="K6635" s="56">
        <v>3480</v>
      </c>
      <c r="L6635" s="55" t="s">
        <v>2152</v>
      </c>
      <c r="M6635" s="55" t="s">
        <v>2824</v>
      </c>
      <c r="N6635" s="4" t="s">
        <v>1905</v>
      </c>
      <c r="O6635" s="55" t="s">
        <v>178</v>
      </c>
    </row>
    <row r="6636" spans="2:15">
      <c r="B6636" s="20">
        <v>45945</v>
      </c>
      <c r="C6636" s="59">
        <v>50843627</v>
      </c>
      <c r="D6636" s="55" t="s">
        <v>2472</v>
      </c>
      <c r="G6636" s="65">
        <v>11520</v>
      </c>
      <c r="H6636" s="56" t="s">
        <v>92</v>
      </c>
      <c r="I6636" s="54">
        <v>8728700777</v>
      </c>
      <c r="J6636" s="56" t="s">
        <v>2978</v>
      </c>
      <c r="K6636" s="56">
        <v>3480</v>
      </c>
      <c r="L6636" s="55" t="s">
        <v>2152</v>
      </c>
      <c r="M6636" s="55" t="s">
        <v>2824</v>
      </c>
      <c r="N6636" s="4" t="s">
        <v>1905</v>
      </c>
      <c r="O6636" s="55" t="s">
        <v>178</v>
      </c>
    </row>
    <row r="6637" spans="2:15">
      <c r="B6637" s="20">
        <v>45945</v>
      </c>
      <c r="C6637" s="59">
        <v>50843628</v>
      </c>
      <c r="D6637" s="55" t="s">
        <v>3060</v>
      </c>
      <c r="G6637" s="65">
        <v>64800</v>
      </c>
      <c r="H6637" s="56" t="s">
        <v>92</v>
      </c>
      <c r="I6637" s="54">
        <v>8728700777</v>
      </c>
      <c r="J6637" s="56" t="s">
        <v>2978</v>
      </c>
      <c r="K6637" s="56">
        <v>3480</v>
      </c>
      <c r="L6637" s="55" t="s">
        <v>2152</v>
      </c>
      <c r="M6637" s="55" t="s">
        <v>2824</v>
      </c>
      <c r="N6637" s="4" t="s">
        <v>1905</v>
      </c>
      <c r="O6637" s="55" t="s">
        <v>178</v>
      </c>
    </row>
    <row r="6638" spans="2:15">
      <c r="B6638" s="20">
        <v>45945</v>
      </c>
      <c r="C6638" s="59">
        <v>40007939</v>
      </c>
      <c r="D6638" s="55" t="s">
        <v>1873</v>
      </c>
      <c r="G6638" s="65">
        <v>1469</v>
      </c>
      <c r="H6638" s="56" t="s">
        <v>80</v>
      </c>
      <c r="I6638" s="54">
        <v>8728803091</v>
      </c>
      <c r="J6638" s="56" t="s">
        <v>2978</v>
      </c>
      <c r="K6638" s="56">
        <v>3481</v>
      </c>
      <c r="L6638" s="55" t="s">
        <v>2152</v>
      </c>
      <c r="M6638" s="55" t="s">
        <v>2824</v>
      </c>
      <c r="N6638" s="4" t="s">
        <v>1905</v>
      </c>
      <c r="O6638" s="55" t="s">
        <v>178</v>
      </c>
    </row>
    <row r="6639" spans="2:15">
      <c r="B6639" s="20">
        <v>45945</v>
      </c>
      <c r="C6639" s="59">
        <v>40007940</v>
      </c>
      <c r="D6639" s="55" t="s">
        <v>477</v>
      </c>
      <c r="G6639" s="65">
        <v>1396</v>
      </c>
      <c r="H6639" s="56" t="s">
        <v>80</v>
      </c>
      <c r="I6639" s="54">
        <v>8728787714</v>
      </c>
      <c r="J6639" s="56" t="s">
        <v>2978</v>
      </c>
      <c r="K6639" s="56">
        <v>3481</v>
      </c>
      <c r="L6639" s="55" t="s">
        <v>2152</v>
      </c>
      <c r="M6639" s="55" t="s">
        <v>2824</v>
      </c>
      <c r="N6639" s="4" t="s">
        <v>1905</v>
      </c>
      <c r="O6639" s="55" t="s">
        <v>178</v>
      </c>
    </row>
    <row r="6640" spans="2:15">
      <c r="B6640" s="20">
        <v>45946</v>
      </c>
      <c r="C6640" s="59">
        <v>50144376</v>
      </c>
      <c r="D6640" s="55" t="s">
        <v>19</v>
      </c>
      <c r="G6640" s="65">
        <v>6600</v>
      </c>
      <c r="H6640" s="56" t="s">
        <v>92</v>
      </c>
      <c r="I6640" s="54">
        <v>8728755331</v>
      </c>
      <c r="J6640" s="56" t="s">
        <v>2978</v>
      </c>
      <c r="K6640" s="56">
        <v>3482</v>
      </c>
      <c r="L6640" s="55" t="s">
        <v>2152</v>
      </c>
      <c r="M6640" s="55" t="s">
        <v>2824</v>
      </c>
      <c r="N6640" s="4" t="s">
        <v>1905</v>
      </c>
      <c r="O6640" s="55" t="s">
        <v>178</v>
      </c>
    </row>
    <row r="6641" spans="2:15">
      <c r="B6641" s="20">
        <v>45946</v>
      </c>
      <c r="C6641" s="59">
        <v>50272278</v>
      </c>
      <c r="D6641" s="55" t="s">
        <v>21</v>
      </c>
      <c r="G6641" s="65">
        <v>6600</v>
      </c>
      <c r="H6641" s="56" t="s">
        <v>92</v>
      </c>
      <c r="I6641" s="54">
        <v>8728755331</v>
      </c>
      <c r="J6641" s="56" t="s">
        <v>2978</v>
      </c>
      <c r="K6641" s="56">
        <v>3482</v>
      </c>
      <c r="L6641" s="55" t="s">
        <v>2152</v>
      </c>
      <c r="M6641" s="55" t="s">
        <v>2824</v>
      </c>
      <c r="N6641" s="4" t="s">
        <v>1905</v>
      </c>
      <c r="O6641" s="55" t="s">
        <v>178</v>
      </c>
    </row>
    <row r="6642" spans="2:15">
      <c r="B6642" s="20">
        <v>45946</v>
      </c>
      <c r="C6642" s="129">
        <v>50272278</v>
      </c>
      <c r="D6642" s="55" t="s">
        <v>21</v>
      </c>
      <c r="G6642" s="65">
        <v>6000</v>
      </c>
      <c r="H6642" s="56" t="s">
        <v>92</v>
      </c>
      <c r="I6642" s="54">
        <v>8728787457</v>
      </c>
      <c r="J6642" s="56" t="s">
        <v>2978</v>
      </c>
      <c r="K6642" s="56">
        <v>3484</v>
      </c>
      <c r="L6642" s="55" t="s">
        <v>2152</v>
      </c>
      <c r="M6642" s="55" t="s">
        <v>2824</v>
      </c>
      <c r="N6642" s="4" t="s">
        <v>1905</v>
      </c>
      <c r="O6642" s="55" t="s">
        <v>178</v>
      </c>
    </row>
    <row r="6643" spans="2:15">
      <c r="B6643" s="20">
        <v>45946</v>
      </c>
      <c r="C6643" s="59">
        <v>50470190</v>
      </c>
      <c r="D6643" s="55" t="s">
        <v>12</v>
      </c>
      <c r="G6643" s="65">
        <v>2898000</v>
      </c>
      <c r="H6643" s="56" t="s">
        <v>92</v>
      </c>
      <c r="I6643" s="54">
        <v>8728718770</v>
      </c>
      <c r="J6643" s="56" t="s">
        <v>2978</v>
      </c>
      <c r="K6643" s="56">
        <v>3484</v>
      </c>
      <c r="L6643" s="55" t="s">
        <v>2152</v>
      </c>
      <c r="M6643" s="55" t="s">
        <v>2824</v>
      </c>
      <c r="N6643" s="4" t="s">
        <v>1905</v>
      </c>
      <c r="O6643" s="55" t="s">
        <v>178</v>
      </c>
    </row>
    <row r="6644" spans="2:15">
      <c r="B6644" s="20">
        <v>45947</v>
      </c>
      <c r="C6644" s="59">
        <v>50470190</v>
      </c>
      <c r="D6644" s="55" t="s">
        <v>12</v>
      </c>
      <c r="G6644" s="65">
        <v>2608200</v>
      </c>
      <c r="H6644" s="56" t="s">
        <v>92</v>
      </c>
      <c r="I6644" s="54">
        <v>8728738346</v>
      </c>
      <c r="J6644" s="56" t="s">
        <v>2978</v>
      </c>
      <c r="K6644" s="56">
        <v>3485</v>
      </c>
      <c r="L6644" s="55" t="s">
        <v>2152</v>
      </c>
      <c r="M6644" s="55" t="s">
        <v>2824</v>
      </c>
      <c r="N6644" s="4" t="s">
        <v>1905</v>
      </c>
      <c r="O6644" s="55" t="s">
        <v>178</v>
      </c>
    </row>
    <row r="6645" spans="2:15">
      <c r="B6645" s="20">
        <v>45947</v>
      </c>
      <c r="C6645" s="59">
        <v>50802401</v>
      </c>
      <c r="D6645" s="55" t="s">
        <v>13</v>
      </c>
      <c r="G6645" s="65">
        <v>2608200</v>
      </c>
      <c r="H6645" s="56" t="s">
        <v>92</v>
      </c>
      <c r="I6645" s="54">
        <v>8728738346</v>
      </c>
      <c r="J6645" s="56" t="s">
        <v>2978</v>
      </c>
      <c r="K6645" s="56">
        <v>3485</v>
      </c>
      <c r="L6645" s="55" t="s">
        <v>2152</v>
      </c>
      <c r="M6645" s="55" t="s">
        <v>2824</v>
      </c>
      <c r="N6645" s="4" t="s">
        <v>1905</v>
      </c>
      <c r="O6645" s="55" t="s">
        <v>178</v>
      </c>
    </row>
    <row r="6646" spans="2:15">
      <c r="B6646" s="20">
        <v>45947</v>
      </c>
      <c r="C6646" s="59">
        <v>50144376</v>
      </c>
      <c r="D6646" s="55" t="s">
        <v>19</v>
      </c>
      <c r="G6646" s="65">
        <v>6600</v>
      </c>
      <c r="H6646" s="56" t="s">
        <v>92</v>
      </c>
      <c r="I6646" s="54">
        <v>8728755363</v>
      </c>
      <c r="J6646" s="56" t="s">
        <v>2978</v>
      </c>
      <c r="K6646" s="56">
        <v>3486</v>
      </c>
      <c r="L6646" s="55" t="s">
        <v>2152</v>
      </c>
      <c r="M6646" s="55" t="s">
        <v>2824</v>
      </c>
      <c r="N6646" s="4" t="s">
        <v>1905</v>
      </c>
      <c r="O6646" s="55" t="s">
        <v>178</v>
      </c>
    </row>
    <row r="6647" spans="2:15">
      <c r="B6647" s="20">
        <v>45947</v>
      </c>
      <c r="C6647" s="59">
        <v>50272278</v>
      </c>
      <c r="D6647" s="55" t="s">
        <v>21</v>
      </c>
      <c r="G6647" s="65">
        <v>6600</v>
      </c>
      <c r="H6647" s="56" t="s">
        <v>92</v>
      </c>
      <c r="I6647" s="54">
        <v>8728787460</v>
      </c>
      <c r="J6647" s="56" t="s">
        <v>2978</v>
      </c>
      <c r="K6647" s="56">
        <v>3486</v>
      </c>
      <c r="L6647" s="55" t="s">
        <v>2152</v>
      </c>
      <c r="M6647" s="55" t="s">
        <v>2824</v>
      </c>
      <c r="N6647" s="4" t="s">
        <v>1905</v>
      </c>
      <c r="O6647" s="55" t="s">
        <v>178</v>
      </c>
    </row>
    <row r="6648" spans="2:15">
      <c r="B6648" s="20">
        <v>45947</v>
      </c>
      <c r="C6648" s="54">
        <v>40014675</v>
      </c>
      <c r="D6648" s="55" t="s">
        <v>44</v>
      </c>
      <c r="G6648" s="65">
        <v>34.56</v>
      </c>
      <c r="H6648" s="56" t="s">
        <v>80</v>
      </c>
      <c r="I6648" s="56">
        <v>8728738820</v>
      </c>
      <c r="J6648" s="56" t="s">
        <v>2978</v>
      </c>
      <c r="K6648" s="56">
        <v>650</v>
      </c>
      <c r="L6648" s="55" t="s">
        <v>2152</v>
      </c>
      <c r="M6648" s="55" t="s">
        <v>2824</v>
      </c>
      <c r="N6648" s="4" t="s">
        <v>177</v>
      </c>
      <c r="O6648" s="55" t="s">
        <v>178</v>
      </c>
    </row>
    <row r="6649" spans="2:15">
      <c r="B6649" s="20">
        <v>45947</v>
      </c>
      <c r="C6649" s="54">
        <v>40014675</v>
      </c>
      <c r="D6649" s="55" t="s">
        <v>44</v>
      </c>
      <c r="G6649" s="65">
        <v>34.56</v>
      </c>
      <c r="H6649" s="56" t="s">
        <v>80</v>
      </c>
      <c r="I6649" s="56">
        <v>8728738838</v>
      </c>
      <c r="J6649" s="56" t="s">
        <v>2978</v>
      </c>
      <c r="K6649" s="56">
        <v>651</v>
      </c>
      <c r="L6649" s="55" t="s">
        <v>2152</v>
      </c>
      <c r="M6649" s="55" t="s">
        <v>2824</v>
      </c>
      <c r="N6649" s="4" t="s">
        <v>177</v>
      </c>
      <c r="O6649" s="55" t="s">
        <v>178</v>
      </c>
    </row>
    <row r="6650" spans="2:15">
      <c r="B6650" s="20">
        <v>45947</v>
      </c>
      <c r="C6650" s="54">
        <v>40014675</v>
      </c>
      <c r="D6650" s="55" t="s">
        <v>44</v>
      </c>
      <c r="G6650" s="65">
        <v>31.68</v>
      </c>
      <c r="H6650" s="56" t="s">
        <v>80</v>
      </c>
      <c r="I6650" s="54">
        <v>8728738839</v>
      </c>
      <c r="J6650" s="56" t="s">
        <v>2978</v>
      </c>
      <c r="K6650" s="56">
        <v>652</v>
      </c>
      <c r="L6650" s="55" t="s">
        <v>2152</v>
      </c>
      <c r="M6650" s="55" t="s">
        <v>2824</v>
      </c>
      <c r="N6650" s="4" t="s">
        <v>1905</v>
      </c>
      <c r="O6650" s="55" t="s">
        <v>178</v>
      </c>
    </row>
    <row r="6651" spans="2:15">
      <c r="B6651" s="20">
        <v>45947</v>
      </c>
      <c r="C6651" s="54">
        <v>40014675</v>
      </c>
      <c r="D6651" s="55" t="s">
        <v>44</v>
      </c>
      <c r="G6651" s="65">
        <v>34.56</v>
      </c>
      <c r="H6651" s="56" t="s">
        <v>1248</v>
      </c>
      <c r="I6651" s="54">
        <v>8728739008</v>
      </c>
      <c r="J6651" s="56" t="s">
        <v>2978</v>
      </c>
      <c r="K6651" s="56">
        <v>653</v>
      </c>
      <c r="L6651" s="55" t="s">
        <v>2152</v>
      </c>
      <c r="M6651" s="55" t="s">
        <v>2824</v>
      </c>
      <c r="N6651" s="4" t="s">
        <v>177</v>
      </c>
      <c r="O6651" s="55" t="s">
        <v>178</v>
      </c>
    </row>
    <row r="6652" spans="2:15">
      <c r="B6652" s="20">
        <v>45948</v>
      </c>
      <c r="C6652" s="54">
        <v>40014675</v>
      </c>
      <c r="D6652" s="55" t="s">
        <v>44</v>
      </c>
      <c r="G6652" s="65">
        <v>37.44</v>
      </c>
      <c r="H6652" s="56" t="s">
        <v>80</v>
      </c>
      <c r="I6652" s="54">
        <v>8728755890</v>
      </c>
      <c r="J6652" s="56" t="s">
        <v>2978</v>
      </c>
      <c r="K6652" s="56">
        <v>654</v>
      </c>
      <c r="L6652" s="55" t="s">
        <v>2876</v>
      </c>
      <c r="M6652" s="55" t="s">
        <v>2824</v>
      </c>
      <c r="O6652" s="55" t="s">
        <v>178</v>
      </c>
    </row>
    <row r="6653" spans="2:15">
      <c r="B6653" s="20">
        <v>45948</v>
      </c>
      <c r="C6653" s="54">
        <v>40014675</v>
      </c>
      <c r="D6653" s="55" t="s">
        <v>44</v>
      </c>
      <c r="G6653" s="65">
        <v>37.44</v>
      </c>
      <c r="H6653" s="56" t="s">
        <v>80</v>
      </c>
      <c r="I6653" s="54">
        <v>8728755891</v>
      </c>
      <c r="J6653" s="56" t="s">
        <v>2978</v>
      </c>
      <c r="K6653" s="56">
        <v>655</v>
      </c>
      <c r="L6653" s="55" t="s">
        <v>2876</v>
      </c>
      <c r="M6653" s="55" t="s">
        <v>2824</v>
      </c>
      <c r="O6653" s="55" t="s">
        <v>178</v>
      </c>
    </row>
    <row r="6654" spans="2:15">
      <c r="B6654" s="20">
        <v>45948</v>
      </c>
      <c r="C6654" s="54">
        <v>40014675</v>
      </c>
      <c r="D6654" s="55" t="s">
        <v>44</v>
      </c>
      <c r="G6654" s="65">
        <v>37.44</v>
      </c>
      <c r="H6654" s="56" t="s">
        <v>80</v>
      </c>
      <c r="I6654" s="54">
        <v>8728755892</v>
      </c>
      <c r="J6654" s="56" t="s">
        <v>2978</v>
      </c>
      <c r="K6654" s="56">
        <v>656</v>
      </c>
      <c r="L6654" s="55" t="s">
        <v>2876</v>
      </c>
      <c r="M6654" s="55" t="s">
        <v>2824</v>
      </c>
      <c r="O6654" s="55" t="s">
        <v>178</v>
      </c>
    </row>
    <row r="6655" spans="2:15">
      <c r="B6655" s="20">
        <v>45948</v>
      </c>
      <c r="C6655" s="54">
        <v>40014675</v>
      </c>
      <c r="D6655" s="55" t="s">
        <v>44</v>
      </c>
      <c r="G6655" s="65">
        <v>37.44</v>
      </c>
      <c r="H6655" s="56" t="s">
        <v>80</v>
      </c>
      <c r="I6655" s="54">
        <v>8728787394</v>
      </c>
      <c r="J6655" s="56" t="s">
        <v>2978</v>
      </c>
      <c r="K6655" s="56">
        <v>657</v>
      </c>
      <c r="L6655" s="55" t="s">
        <v>2876</v>
      </c>
      <c r="M6655" s="55" t="s">
        <v>2824</v>
      </c>
      <c r="O6655" s="55" t="s">
        <v>178</v>
      </c>
    </row>
    <row r="6656" spans="2:15">
      <c r="B6656" s="20">
        <v>45948</v>
      </c>
      <c r="C6656" s="54">
        <v>40014675</v>
      </c>
      <c r="D6656" s="55" t="s">
        <v>44</v>
      </c>
      <c r="G6656" s="65">
        <v>37.44</v>
      </c>
      <c r="H6656" s="56" t="s">
        <v>80</v>
      </c>
      <c r="I6656" s="54">
        <v>8728787395</v>
      </c>
      <c r="J6656" s="56" t="s">
        <v>2978</v>
      </c>
      <c r="K6656" s="56">
        <v>658</v>
      </c>
      <c r="L6656" s="55" t="s">
        <v>2876</v>
      </c>
      <c r="M6656" s="55" t="s">
        <v>2824</v>
      </c>
      <c r="O6656" s="55" t="s">
        <v>178</v>
      </c>
    </row>
    <row r="6657" spans="2:15">
      <c r="B6657" s="20">
        <v>45950</v>
      </c>
      <c r="C6657" s="54">
        <v>40010087</v>
      </c>
      <c r="D6657" s="55" t="s">
        <v>387</v>
      </c>
      <c r="G6657" s="65">
        <v>2592</v>
      </c>
      <c r="H6657" s="56" t="s">
        <v>80</v>
      </c>
      <c r="I6657" s="54">
        <v>8728770285</v>
      </c>
      <c r="J6657" s="56" t="s">
        <v>2978</v>
      </c>
      <c r="K6657" s="56">
        <v>3487</v>
      </c>
      <c r="L6657" s="55" t="s">
        <v>2152</v>
      </c>
      <c r="M6657" s="55" t="s">
        <v>2824</v>
      </c>
      <c r="N6657" s="4" t="s">
        <v>177</v>
      </c>
      <c r="O6657" s="55" t="s">
        <v>178</v>
      </c>
    </row>
    <row r="6658" spans="2:15">
      <c r="B6658" s="20">
        <v>45950</v>
      </c>
      <c r="C6658" s="59">
        <v>40004808</v>
      </c>
      <c r="D6658" s="55" t="s">
        <v>91</v>
      </c>
      <c r="G6658" s="65">
        <v>810</v>
      </c>
      <c r="H6658" s="56" t="s">
        <v>80</v>
      </c>
      <c r="I6658" s="54">
        <v>8728787627</v>
      </c>
      <c r="J6658" s="56" t="s">
        <v>2978</v>
      </c>
      <c r="K6658" s="56">
        <v>3487</v>
      </c>
      <c r="L6658" s="55" t="s">
        <v>2152</v>
      </c>
      <c r="M6658" s="55" t="s">
        <v>2824</v>
      </c>
      <c r="N6658" s="4" t="s">
        <v>177</v>
      </c>
      <c r="O6658" s="55" t="s">
        <v>178</v>
      </c>
    </row>
    <row r="6659" spans="2:15">
      <c r="B6659" s="20">
        <v>45950</v>
      </c>
      <c r="C6659" s="59">
        <v>50470190</v>
      </c>
      <c r="D6659" s="55" t="s">
        <v>12</v>
      </c>
      <c r="G6659" s="65">
        <v>2898000</v>
      </c>
      <c r="H6659" s="56" t="s">
        <v>92</v>
      </c>
      <c r="I6659" s="54">
        <v>8728770285</v>
      </c>
      <c r="J6659" s="56" t="s">
        <v>2978</v>
      </c>
      <c r="K6659" s="56">
        <v>3487</v>
      </c>
      <c r="L6659" s="55" t="s">
        <v>2152</v>
      </c>
      <c r="M6659" s="55" t="s">
        <v>2824</v>
      </c>
      <c r="N6659" s="4" t="s">
        <v>177</v>
      </c>
      <c r="O6659" s="55" t="s">
        <v>178</v>
      </c>
    </row>
    <row r="6660" spans="2:15">
      <c r="B6660" s="20">
        <v>45950</v>
      </c>
      <c r="C6660" s="59">
        <v>40011588</v>
      </c>
      <c r="D6660" s="55" t="s">
        <v>585</v>
      </c>
      <c r="G6660" s="65">
        <v>650</v>
      </c>
      <c r="H6660" s="56" t="s">
        <v>80</v>
      </c>
      <c r="I6660" s="54">
        <v>8728770285</v>
      </c>
      <c r="J6660" s="56" t="s">
        <v>2978</v>
      </c>
      <c r="K6660" s="56">
        <v>3487</v>
      </c>
      <c r="L6660" s="55" t="s">
        <v>2152</v>
      </c>
      <c r="M6660" s="55" t="s">
        <v>2824</v>
      </c>
      <c r="N6660" s="4" t="s">
        <v>177</v>
      </c>
      <c r="O6660" s="55" t="s">
        <v>178</v>
      </c>
    </row>
    <row r="6661" spans="2:15">
      <c r="B6661" s="20">
        <v>45950</v>
      </c>
      <c r="C6661" s="59">
        <v>40011659</v>
      </c>
      <c r="D6661" s="55" t="s">
        <v>89</v>
      </c>
      <c r="G6661" s="65">
        <v>1440</v>
      </c>
      <c r="H6661" s="56" t="s">
        <v>80</v>
      </c>
      <c r="I6661" s="54">
        <v>8728770285</v>
      </c>
      <c r="J6661" s="56" t="s">
        <v>2978</v>
      </c>
      <c r="K6661" s="56">
        <v>3487</v>
      </c>
      <c r="L6661" s="55" t="s">
        <v>2152</v>
      </c>
      <c r="M6661" s="55" t="s">
        <v>2824</v>
      </c>
      <c r="N6661" s="4" t="s">
        <v>177</v>
      </c>
      <c r="O6661" s="55" t="s">
        <v>178</v>
      </c>
    </row>
    <row r="6662" spans="2:15">
      <c r="B6662" s="20">
        <v>45951</v>
      </c>
      <c r="C6662" s="54">
        <v>40014675</v>
      </c>
      <c r="D6662" s="55" t="s">
        <v>44</v>
      </c>
      <c r="G6662" s="65">
        <v>37.44</v>
      </c>
      <c r="H6662" s="56" t="s">
        <v>80</v>
      </c>
      <c r="I6662" s="54">
        <v>8728787397</v>
      </c>
      <c r="J6662" s="56" t="s">
        <v>2978</v>
      </c>
      <c r="K6662" s="56">
        <v>659</v>
      </c>
      <c r="L6662" s="55" t="s">
        <v>2876</v>
      </c>
      <c r="M6662" s="55" t="s">
        <v>2824</v>
      </c>
      <c r="O6662" s="55" t="s">
        <v>178</v>
      </c>
    </row>
    <row r="6663" spans="2:15">
      <c r="B6663" s="20">
        <v>45951</v>
      </c>
      <c r="C6663" s="54">
        <v>40014675</v>
      </c>
      <c r="D6663" s="55" t="s">
        <v>44</v>
      </c>
      <c r="G6663" s="65">
        <v>37.44</v>
      </c>
      <c r="H6663" s="56" t="s">
        <v>80</v>
      </c>
      <c r="I6663" s="54">
        <v>8728787400</v>
      </c>
      <c r="J6663" s="56" t="s">
        <v>2978</v>
      </c>
      <c r="K6663" s="56">
        <v>660</v>
      </c>
      <c r="L6663" s="55" t="s">
        <v>2876</v>
      </c>
      <c r="M6663" s="55" t="s">
        <v>2824</v>
      </c>
      <c r="O6663" s="55" t="s">
        <v>178</v>
      </c>
    </row>
    <row r="6664" spans="2:15">
      <c r="B6664" s="20">
        <v>45951</v>
      </c>
      <c r="C6664" s="54">
        <v>40014675</v>
      </c>
      <c r="D6664" s="55" t="s">
        <v>44</v>
      </c>
      <c r="G6664" s="65">
        <v>37.44</v>
      </c>
      <c r="H6664" s="56" t="s">
        <v>80</v>
      </c>
      <c r="I6664" s="54">
        <v>8728787414</v>
      </c>
      <c r="J6664" s="56" t="s">
        <v>2978</v>
      </c>
      <c r="K6664" s="56">
        <v>661</v>
      </c>
      <c r="L6664" s="55" t="s">
        <v>2876</v>
      </c>
      <c r="M6664" s="55" t="s">
        <v>2824</v>
      </c>
      <c r="O6664" s="55" t="s">
        <v>178</v>
      </c>
    </row>
    <row r="6665" spans="2:15">
      <c r="B6665" s="20">
        <v>45951</v>
      </c>
      <c r="C6665" s="54">
        <v>40014675</v>
      </c>
      <c r="D6665" s="55" t="s">
        <v>44</v>
      </c>
      <c r="G6665" s="65">
        <v>37.44</v>
      </c>
      <c r="H6665" s="56" t="s">
        <v>80</v>
      </c>
      <c r="I6665" s="54">
        <v>8728787422</v>
      </c>
      <c r="J6665" s="56" t="s">
        <v>2978</v>
      </c>
      <c r="K6665" s="56">
        <v>662</v>
      </c>
      <c r="L6665" s="55" t="s">
        <v>2876</v>
      </c>
      <c r="M6665" s="55" t="s">
        <v>2824</v>
      </c>
      <c r="O6665" s="55" t="s">
        <v>178</v>
      </c>
    </row>
    <row r="6666" spans="2:15">
      <c r="B6666" s="20">
        <v>45951</v>
      </c>
      <c r="C6666" s="54">
        <v>40014675</v>
      </c>
      <c r="D6666" s="55" t="s">
        <v>44</v>
      </c>
      <c r="G6666" s="65">
        <v>37.44</v>
      </c>
      <c r="H6666" s="56" t="s">
        <v>80</v>
      </c>
      <c r="I6666" s="54">
        <v>8728787450</v>
      </c>
      <c r="J6666" s="56" t="s">
        <v>2978</v>
      </c>
      <c r="K6666" s="56">
        <v>663</v>
      </c>
      <c r="L6666" s="55" t="s">
        <v>2876</v>
      </c>
      <c r="M6666" s="55" t="s">
        <v>2824</v>
      </c>
      <c r="O6666" s="55" t="s">
        <v>178</v>
      </c>
    </row>
    <row r="6667" spans="2:15">
      <c r="B6667" s="20">
        <v>45951</v>
      </c>
      <c r="C6667" s="59">
        <v>50272278</v>
      </c>
      <c r="D6667" s="55" t="s">
        <v>21</v>
      </c>
      <c r="G6667" s="65">
        <v>6000</v>
      </c>
      <c r="H6667" s="56" t="s">
        <v>92</v>
      </c>
      <c r="I6667" s="54">
        <v>8728787463</v>
      </c>
      <c r="J6667" s="56" t="s">
        <v>2978</v>
      </c>
      <c r="K6667" s="56">
        <v>3489</v>
      </c>
      <c r="L6667" s="55" t="s">
        <v>2152</v>
      </c>
      <c r="M6667" s="55" t="s">
        <v>2824</v>
      </c>
      <c r="N6667" s="4" t="s">
        <v>1905</v>
      </c>
      <c r="O6667" s="55" t="s">
        <v>178</v>
      </c>
    </row>
    <row r="6668" spans="2:15">
      <c r="B6668" s="20">
        <v>45951</v>
      </c>
      <c r="C6668" s="59">
        <v>50449101</v>
      </c>
      <c r="D6668" s="55" t="s">
        <v>15</v>
      </c>
      <c r="G6668" s="65">
        <v>2898000</v>
      </c>
      <c r="H6668" s="56" t="s">
        <v>92</v>
      </c>
      <c r="I6668" s="54">
        <v>8728787310</v>
      </c>
      <c r="J6668" s="56" t="s">
        <v>2978</v>
      </c>
      <c r="K6668" s="56">
        <v>3489</v>
      </c>
      <c r="L6668" s="55" t="s">
        <v>2152</v>
      </c>
      <c r="M6668" s="55" t="s">
        <v>2824</v>
      </c>
      <c r="N6668" s="4" t="s">
        <v>1905</v>
      </c>
      <c r="O6668" s="55" t="s">
        <v>178</v>
      </c>
    </row>
    <row r="6669" spans="2:15">
      <c r="B6669" s="20">
        <v>45951</v>
      </c>
      <c r="C6669" s="59">
        <v>50272278</v>
      </c>
      <c r="D6669" s="55" t="s">
        <v>21</v>
      </c>
      <c r="G6669" s="65">
        <v>3600</v>
      </c>
      <c r="H6669" s="56" t="s">
        <v>92</v>
      </c>
      <c r="I6669" s="54">
        <v>8728787478</v>
      </c>
      <c r="J6669" s="56" t="s">
        <v>2978</v>
      </c>
      <c r="K6669" s="56">
        <v>3490</v>
      </c>
      <c r="L6669" s="55" t="s">
        <v>2152</v>
      </c>
      <c r="M6669" s="55" t="s">
        <v>2824</v>
      </c>
      <c r="N6669" s="4" t="s">
        <v>1905</v>
      </c>
      <c r="O6669" s="55" t="s">
        <v>178</v>
      </c>
    </row>
    <row r="6670" spans="2:15">
      <c r="B6670" s="20">
        <v>45951</v>
      </c>
      <c r="C6670" s="59">
        <v>40011588</v>
      </c>
      <c r="D6670" s="55" t="s">
        <v>585</v>
      </c>
      <c r="G6670" s="65">
        <v>2700</v>
      </c>
      <c r="H6670" s="56" t="s">
        <v>80</v>
      </c>
      <c r="I6670" s="54">
        <v>8728787328</v>
      </c>
      <c r="J6670" s="56" t="s">
        <v>2978</v>
      </c>
      <c r="K6670" s="56">
        <v>3490</v>
      </c>
      <c r="L6670" s="55" t="s">
        <v>2152</v>
      </c>
      <c r="M6670" s="55" t="s">
        <v>2824</v>
      </c>
      <c r="N6670" s="4" t="s">
        <v>1905</v>
      </c>
      <c r="O6670" s="55" t="s">
        <v>178</v>
      </c>
    </row>
    <row r="6671" spans="2:15">
      <c r="B6671" s="20">
        <v>45951</v>
      </c>
      <c r="C6671" s="59">
        <v>50802401</v>
      </c>
      <c r="D6671" s="55" t="s">
        <v>13</v>
      </c>
      <c r="G6671" s="65">
        <v>2318400</v>
      </c>
      <c r="H6671" s="56" t="s">
        <v>92</v>
      </c>
      <c r="I6671" s="54">
        <v>8728787328</v>
      </c>
      <c r="J6671" s="56" t="s">
        <v>2978</v>
      </c>
      <c r="K6671" s="56">
        <v>3490</v>
      </c>
      <c r="L6671" s="55" t="s">
        <v>2152</v>
      </c>
      <c r="M6671" s="55" t="s">
        <v>2824</v>
      </c>
      <c r="N6671" s="4" t="s">
        <v>1905</v>
      </c>
      <c r="O6671" s="55" t="s">
        <v>178</v>
      </c>
    </row>
    <row r="6672" spans="2:15">
      <c r="B6672" s="20">
        <v>45952</v>
      </c>
      <c r="C6672" s="54">
        <v>40014675</v>
      </c>
      <c r="D6672" s="55" t="s">
        <v>44</v>
      </c>
      <c r="G6672" s="65">
        <v>37.44</v>
      </c>
      <c r="H6672" s="56" t="s">
        <v>80</v>
      </c>
      <c r="I6672" s="56">
        <v>8728821612</v>
      </c>
      <c r="J6672" s="56" t="s">
        <v>2978</v>
      </c>
      <c r="K6672" s="56">
        <v>664</v>
      </c>
      <c r="L6672" s="55" t="s">
        <v>2876</v>
      </c>
      <c r="M6672" s="55" t="s">
        <v>2824</v>
      </c>
      <c r="O6672" s="55" t="s">
        <v>178</v>
      </c>
    </row>
    <row r="6673" spans="2:15">
      <c r="B6673" s="20">
        <v>45952</v>
      </c>
      <c r="C6673" s="54">
        <v>40014675</v>
      </c>
      <c r="D6673" s="55" t="s">
        <v>44</v>
      </c>
      <c r="G6673" s="65">
        <v>37.44</v>
      </c>
      <c r="H6673" s="56" t="s">
        <v>80</v>
      </c>
      <c r="I6673" s="54">
        <v>8728821637</v>
      </c>
      <c r="J6673" s="56" t="s">
        <v>2978</v>
      </c>
      <c r="K6673" s="56">
        <v>665</v>
      </c>
      <c r="L6673" s="55" t="s">
        <v>2876</v>
      </c>
      <c r="M6673" s="55" t="s">
        <v>2824</v>
      </c>
      <c r="O6673" s="55" t="s">
        <v>178</v>
      </c>
    </row>
    <row r="6674" spans="2:15">
      <c r="B6674" s="20">
        <v>45952</v>
      </c>
      <c r="C6674" s="54">
        <v>40014675</v>
      </c>
      <c r="D6674" s="55" t="s">
        <v>44</v>
      </c>
      <c r="G6674" s="65">
        <v>37.44</v>
      </c>
      <c r="H6674" s="56" t="s">
        <v>80</v>
      </c>
      <c r="I6674" s="54">
        <v>8728821643</v>
      </c>
      <c r="J6674" s="56" t="s">
        <v>2978</v>
      </c>
      <c r="K6674" s="56">
        <v>666</v>
      </c>
      <c r="L6674" s="55" t="s">
        <v>2876</v>
      </c>
      <c r="M6674" s="55" t="s">
        <v>2824</v>
      </c>
      <c r="O6674" s="55" t="s">
        <v>178</v>
      </c>
    </row>
    <row r="6675" spans="2:15">
      <c r="B6675" s="20">
        <v>45952</v>
      </c>
      <c r="C6675" s="54">
        <v>40014675</v>
      </c>
      <c r="D6675" s="55" t="s">
        <v>44</v>
      </c>
      <c r="G6675" s="65">
        <v>37.44</v>
      </c>
      <c r="H6675" s="56" t="s">
        <v>80</v>
      </c>
      <c r="I6675" s="54">
        <v>8728821657</v>
      </c>
      <c r="J6675" s="56" t="s">
        <v>2978</v>
      </c>
      <c r="K6675" s="56">
        <v>667</v>
      </c>
      <c r="L6675" s="55" t="s">
        <v>2876</v>
      </c>
      <c r="M6675" s="55" t="s">
        <v>2824</v>
      </c>
      <c r="O6675" s="55" t="s">
        <v>178</v>
      </c>
    </row>
    <row r="6676" spans="2:15">
      <c r="B6676" s="20">
        <v>45952</v>
      </c>
      <c r="C6676" s="59">
        <v>50272278</v>
      </c>
      <c r="D6676" s="55" t="s">
        <v>21</v>
      </c>
      <c r="G6676" s="65">
        <v>10200</v>
      </c>
      <c r="H6676" s="56" t="s">
        <v>92</v>
      </c>
      <c r="I6676" s="54" t="s">
        <v>2874</v>
      </c>
      <c r="J6676" s="56" t="s">
        <v>2978</v>
      </c>
      <c r="K6676" s="56">
        <v>3491</v>
      </c>
      <c r="L6676" s="55" t="s">
        <v>2152</v>
      </c>
      <c r="M6676" s="55" t="s">
        <v>2824</v>
      </c>
      <c r="N6676" s="4" t="s">
        <v>1905</v>
      </c>
      <c r="O6676" s="55" t="s">
        <v>178</v>
      </c>
    </row>
    <row r="6677" spans="2:15">
      <c r="B6677" s="20">
        <v>45952</v>
      </c>
      <c r="C6677" s="59">
        <v>50851661</v>
      </c>
      <c r="D6677" s="55" t="s">
        <v>2455</v>
      </c>
      <c r="G6677" s="65">
        <v>3440</v>
      </c>
      <c r="H6677" s="56" t="s">
        <v>92</v>
      </c>
      <c r="I6677" s="54" t="s">
        <v>2874</v>
      </c>
      <c r="J6677" s="56" t="s">
        <v>3061</v>
      </c>
      <c r="K6677" s="56">
        <v>3491</v>
      </c>
      <c r="L6677" s="55" t="s">
        <v>2152</v>
      </c>
      <c r="M6677" s="55" t="s">
        <v>2824</v>
      </c>
      <c r="N6677" s="4" t="s">
        <v>1905</v>
      </c>
      <c r="O6677" s="55" t="s">
        <v>178</v>
      </c>
    </row>
    <row r="6678" spans="2:15">
      <c r="B6678" s="20">
        <v>45952</v>
      </c>
      <c r="C6678" s="59">
        <v>50851662</v>
      </c>
      <c r="D6678" s="55" t="s">
        <v>2457</v>
      </c>
      <c r="G6678" s="65">
        <v>3440</v>
      </c>
      <c r="H6678" s="56" t="s">
        <v>92</v>
      </c>
      <c r="I6678" s="54" t="s">
        <v>2874</v>
      </c>
      <c r="J6678" s="56" t="s">
        <v>3061</v>
      </c>
      <c r="K6678" s="56">
        <v>3491</v>
      </c>
      <c r="L6678" s="55" t="s">
        <v>2152</v>
      </c>
      <c r="M6678" s="55" t="s">
        <v>2824</v>
      </c>
      <c r="N6678" s="4" t="s">
        <v>1905</v>
      </c>
      <c r="O6678" s="55" t="s">
        <v>178</v>
      </c>
    </row>
    <row r="6679" spans="2:15">
      <c r="B6679" s="20">
        <v>45952</v>
      </c>
      <c r="C6679" s="54">
        <v>40014675</v>
      </c>
      <c r="D6679" s="55" t="s">
        <v>44</v>
      </c>
      <c r="G6679" s="65">
        <v>37.44</v>
      </c>
      <c r="H6679" s="56" t="s">
        <v>80</v>
      </c>
      <c r="I6679" s="54">
        <v>8728821662</v>
      </c>
      <c r="J6679" s="56" t="s">
        <v>2978</v>
      </c>
      <c r="K6679" s="56">
        <v>668</v>
      </c>
      <c r="L6679" s="55" t="s">
        <v>2876</v>
      </c>
      <c r="M6679" s="55" t="s">
        <v>2824</v>
      </c>
      <c r="O6679" s="55" t="s">
        <v>178</v>
      </c>
    </row>
    <row r="6680" spans="2:15">
      <c r="B6680" s="20">
        <v>45953</v>
      </c>
      <c r="C6680" s="59">
        <v>50272278</v>
      </c>
      <c r="D6680" s="55" t="s">
        <v>21</v>
      </c>
      <c r="G6680" s="65">
        <v>7200</v>
      </c>
      <c r="H6680" s="56" t="s">
        <v>92</v>
      </c>
      <c r="I6680" s="54">
        <v>8728823105</v>
      </c>
      <c r="J6680" s="56" t="s">
        <v>2978</v>
      </c>
      <c r="K6680" s="56">
        <v>3492</v>
      </c>
      <c r="L6680" s="55" t="s">
        <v>2152</v>
      </c>
      <c r="M6680" s="55" t="s">
        <v>2824</v>
      </c>
      <c r="N6680" s="4" t="s">
        <v>1905</v>
      </c>
      <c r="O6680" s="55" t="s">
        <v>178</v>
      </c>
    </row>
    <row r="6681" spans="2:15">
      <c r="B6681" s="20">
        <v>45953</v>
      </c>
      <c r="C6681" s="59">
        <v>50837509</v>
      </c>
      <c r="D6681" s="55" t="s">
        <v>14</v>
      </c>
      <c r="G6681" s="65">
        <f>289800*8</f>
        <v>2318400</v>
      </c>
      <c r="H6681" s="56" t="s">
        <v>92</v>
      </c>
      <c r="I6681" s="54">
        <v>8728823105</v>
      </c>
      <c r="J6681" s="56" t="s">
        <v>2978</v>
      </c>
      <c r="K6681" s="56">
        <v>3492</v>
      </c>
      <c r="L6681" s="55" t="s">
        <v>2152</v>
      </c>
      <c r="M6681" s="55" t="s">
        <v>2824</v>
      </c>
      <c r="N6681" s="4" t="s">
        <v>1905</v>
      </c>
      <c r="O6681" s="55" t="s">
        <v>178</v>
      </c>
    </row>
    <row r="6682" spans="2:15">
      <c r="B6682" s="20">
        <v>45953</v>
      </c>
      <c r="C6682" s="59">
        <v>50010080</v>
      </c>
      <c r="D6682" s="55" t="s">
        <v>1657</v>
      </c>
      <c r="G6682" s="65">
        <v>4000</v>
      </c>
      <c r="H6682" s="56" t="s">
        <v>82</v>
      </c>
      <c r="I6682" s="54">
        <v>8728891134</v>
      </c>
      <c r="J6682" s="56" t="s">
        <v>2978</v>
      </c>
      <c r="K6682" s="56">
        <v>3493</v>
      </c>
      <c r="L6682" s="55" t="s">
        <v>2152</v>
      </c>
      <c r="M6682" s="55" t="s">
        <v>2824</v>
      </c>
      <c r="N6682" s="4" t="s">
        <v>1905</v>
      </c>
      <c r="O6682" s="55" t="s">
        <v>178</v>
      </c>
    </row>
    <row r="6683" spans="2:15">
      <c r="B6683" s="20">
        <v>45953</v>
      </c>
      <c r="C6683" s="59">
        <v>50837239</v>
      </c>
      <c r="D6683" s="55" t="s">
        <v>27</v>
      </c>
      <c r="G6683" s="65">
        <v>2101.65</v>
      </c>
      <c r="H6683" s="56" t="s">
        <v>82</v>
      </c>
      <c r="I6683" s="54">
        <v>8728823137</v>
      </c>
      <c r="J6683" s="56" t="s">
        <v>2978</v>
      </c>
      <c r="K6683" s="56">
        <v>3493</v>
      </c>
      <c r="L6683" s="55" t="s">
        <v>2152</v>
      </c>
      <c r="M6683" s="55" t="s">
        <v>2824</v>
      </c>
      <c r="N6683" s="4" t="s">
        <v>1905</v>
      </c>
      <c r="O6683" s="55" t="s">
        <v>178</v>
      </c>
    </row>
    <row r="6684" spans="2:15">
      <c r="B6684" s="20">
        <v>45953</v>
      </c>
      <c r="C6684" s="59">
        <v>40004808</v>
      </c>
      <c r="D6684" s="55" t="s">
        <v>91</v>
      </c>
      <c r="G6684" s="65">
        <v>540</v>
      </c>
      <c r="H6684" s="56" t="s">
        <v>80</v>
      </c>
      <c r="I6684" s="54">
        <v>8728823137</v>
      </c>
      <c r="J6684" s="56" t="s">
        <v>2978</v>
      </c>
      <c r="K6684" s="56">
        <v>3493</v>
      </c>
      <c r="L6684" s="55" t="s">
        <v>2152</v>
      </c>
      <c r="M6684" s="55" t="s">
        <v>2824</v>
      </c>
      <c r="N6684" s="4" t="s">
        <v>1905</v>
      </c>
      <c r="O6684" s="55" t="s">
        <v>178</v>
      </c>
    </row>
    <row r="6685" spans="2:15">
      <c r="B6685" s="20">
        <v>45953</v>
      </c>
      <c r="C6685" s="59">
        <v>50509889</v>
      </c>
      <c r="D6685" s="55" t="s">
        <v>671</v>
      </c>
      <c r="G6685" s="65">
        <v>405000</v>
      </c>
      <c r="H6685" s="56" t="s">
        <v>92</v>
      </c>
      <c r="I6685" s="54">
        <v>8728823137</v>
      </c>
      <c r="J6685" s="56" t="s">
        <v>2978</v>
      </c>
      <c r="K6685" s="56">
        <v>3493</v>
      </c>
      <c r="L6685" s="55" t="s">
        <v>2152</v>
      </c>
      <c r="M6685" s="55" t="s">
        <v>2824</v>
      </c>
      <c r="N6685" s="4" t="s">
        <v>1905</v>
      </c>
      <c r="O6685" s="55" t="s">
        <v>178</v>
      </c>
    </row>
    <row r="6686" spans="2:15">
      <c r="B6686" s="20">
        <v>45953</v>
      </c>
      <c r="C6686" s="59">
        <v>50142327</v>
      </c>
      <c r="D6686" s="55" t="s">
        <v>256</v>
      </c>
      <c r="G6686" s="65">
        <v>1906.8</v>
      </c>
      <c r="H6686" s="56" t="s">
        <v>82</v>
      </c>
      <c r="I6686" s="54">
        <v>8728823137</v>
      </c>
      <c r="J6686" s="56" t="s">
        <v>2978</v>
      </c>
      <c r="K6686" s="56">
        <v>3493</v>
      </c>
      <c r="L6686" s="55" t="s">
        <v>2152</v>
      </c>
      <c r="M6686" s="55" t="s">
        <v>2824</v>
      </c>
      <c r="N6686" s="4" t="s">
        <v>1905</v>
      </c>
      <c r="O6686" s="55" t="s">
        <v>178</v>
      </c>
    </row>
    <row r="6687" spans="2:15">
      <c r="B6687" s="20">
        <v>45953</v>
      </c>
      <c r="C6687" s="59">
        <v>50142334</v>
      </c>
      <c r="D6687" s="55" t="s">
        <v>257</v>
      </c>
      <c r="G6687" s="65">
        <v>1906.8</v>
      </c>
      <c r="H6687" s="56" t="s">
        <v>82</v>
      </c>
      <c r="I6687" s="54">
        <v>8728823137</v>
      </c>
      <c r="J6687" s="56" t="s">
        <v>2978</v>
      </c>
      <c r="K6687" s="56">
        <v>3493</v>
      </c>
      <c r="L6687" s="55" t="s">
        <v>2152</v>
      </c>
      <c r="M6687" s="55" t="s">
        <v>2824</v>
      </c>
      <c r="N6687" s="4" t="s">
        <v>1905</v>
      </c>
      <c r="O6687" s="55" t="s">
        <v>178</v>
      </c>
    </row>
    <row r="6688" spans="2:15">
      <c r="B6688" s="20">
        <v>45953</v>
      </c>
      <c r="C6688" s="54">
        <v>40014675</v>
      </c>
      <c r="D6688" s="55" t="s">
        <v>44</v>
      </c>
      <c r="G6688" s="65">
        <v>31.68</v>
      </c>
      <c r="H6688" s="56" t="s">
        <v>80</v>
      </c>
      <c r="I6688" s="54">
        <v>8728839599</v>
      </c>
      <c r="J6688" s="56" t="s">
        <v>2978</v>
      </c>
      <c r="K6688" s="56">
        <v>669</v>
      </c>
      <c r="L6688" s="55" t="s">
        <v>2152</v>
      </c>
      <c r="M6688" s="55" t="s">
        <v>2824</v>
      </c>
      <c r="N6688" s="4" t="s">
        <v>1905</v>
      </c>
      <c r="O6688" s="55" t="s">
        <v>178</v>
      </c>
    </row>
    <row r="6689" spans="2:15">
      <c r="B6689" s="20">
        <v>45953</v>
      </c>
      <c r="C6689" s="54">
        <v>40014675</v>
      </c>
      <c r="D6689" s="55" t="s">
        <v>44</v>
      </c>
      <c r="G6689" s="65">
        <v>34.56</v>
      </c>
      <c r="H6689" s="56" t="s">
        <v>80</v>
      </c>
      <c r="I6689" s="54">
        <v>8728839601</v>
      </c>
      <c r="J6689" s="56" t="s">
        <v>2978</v>
      </c>
      <c r="K6689" s="56">
        <v>670</v>
      </c>
      <c r="L6689" s="55" t="s">
        <v>2152</v>
      </c>
      <c r="M6689" s="55" t="s">
        <v>2824</v>
      </c>
      <c r="N6689" s="4" t="s">
        <v>177</v>
      </c>
      <c r="O6689" s="55" t="s">
        <v>178</v>
      </c>
    </row>
    <row r="6690" spans="2:15">
      <c r="B6690" s="20">
        <v>45953</v>
      </c>
      <c r="C6690" s="54">
        <v>40014675</v>
      </c>
      <c r="D6690" s="55" t="s">
        <v>44</v>
      </c>
      <c r="G6690" s="65">
        <v>37.44</v>
      </c>
      <c r="H6690" s="56" t="s">
        <v>80</v>
      </c>
      <c r="I6690" s="54">
        <v>8728839606</v>
      </c>
      <c r="J6690" s="56" t="s">
        <v>2978</v>
      </c>
      <c r="K6690" s="56">
        <v>671</v>
      </c>
      <c r="L6690" s="55" t="s">
        <v>2152</v>
      </c>
      <c r="M6690" s="55" t="s">
        <v>2824</v>
      </c>
      <c r="N6690" s="4" t="s">
        <v>177</v>
      </c>
      <c r="O6690" s="55" t="s">
        <v>178</v>
      </c>
    </row>
    <row r="6691" spans="2:15">
      <c r="B6691" s="20">
        <v>45953</v>
      </c>
      <c r="C6691" s="54">
        <v>40014675</v>
      </c>
      <c r="D6691" s="55" t="s">
        <v>44</v>
      </c>
      <c r="G6691" s="65">
        <v>37.44</v>
      </c>
      <c r="H6691" s="56" t="s">
        <v>80</v>
      </c>
      <c r="I6691" s="54">
        <v>8728839610</v>
      </c>
      <c r="J6691" s="56" t="s">
        <v>2978</v>
      </c>
      <c r="K6691" s="56">
        <v>672</v>
      </c>
      <c r="L6691" s="55" t="s">
        <v>2876</v>
      </c>
      <c r="M6691" s="55" t="s">
        <v>2824</v>
      </c>
      <c r="O6691" s="55" t="s">
        <v>178</v>
      </c>
    </row>
    <row r="6692" spans="2:15">
      <c r="B6692" s="20">
        <v>45953</v>
      </c>
      <c r="C6692" s="54">
        <v>40014675</v>
      </c>
      <c r="D6692" s="55" t="s">
        <v>44</v>
      </c>
      <c r="G6692" s="65">
        <v>37.44</v>
      </c>
      <c r="H6692" s="56" t="s">
        <v>80</v>
      </c>
      <c r="I6692" s="54">
        <v>8728839612</v>
      </c>
      <c r="J6692" s="56" t="s">
        <v>2978</v>
      </c>
      <c r="K6692" s="56">
        <v>673</v>
      </c>
      <c r="L6692" s="55" t="s">
        <v>2876</v>
      </c>
      <c r="M6692" s="55" t="s">
        <v>2824</v>
      </c>
      <c r="O6692" s="55" t="s">
        <v>178</v>
      </c>
    </row>
    <row r="6693" spans="2:15">
      <c r="B6693" s="20">
        <v>45953</v>
      </c>
      <c r="C6693" s="54">
        <v>40014675</v>
      </c>
      <c r="D6693" s="55" t="s">
        <v>44</v>
      </c>
      <c r="G6693" s="65">
        <v>37.44</v>
      </c>
      <c r="H6693" s="56" t="s">
        <v>80</v>
      </c>
      <c r="I6693" s="54">
        <v>8728839625</v>
      </c>
      <c r="J6693" s="56" t="s">
        <v>2978</v>
      </c>
      <c r="K6693" s="56">
        <v>674</v>
      </c>
      <c r="L6693" s="55" t="s">
        <v>2876</v>
      </c>
      <c r="M6693" s="55" t="s">
        <v>2824</v>
      </c>
      <c r="O6693" s="55" t="s">
        <v>178</v>
      </c>
    </row>
    <row r="6694" spans="2:15">
      <c r="B6694" s="20">
        <v>45953</v>
      </c>
      <c r="C6694" s="54">
        <v>40014675</v>
      </c>
      <c r="D6694" s="55" t="s">
        <v>44</v>
      </c>
      <c r="G6694" s="65">
        <v>37.44</v>
      </c>
      <c r="H6694" s="56" t="s">
        <v>80</v>
      </c>
      <c r="I6694" s="54">
        <v>8728839629</v>
      </c>
      <c r="J6694" s="56" t="s">
        <v>2978</v>
      </c>
      <c r="K6694" s="56">
        <v>675</v>
      </c>
      <c r="L6694" s="55" t="s">
        <v>2876</v>
      </c>
      <c r="M6694" s="55" t="s">
        <v>2824</v>
      </c>
      <c r="O6694" s="55" t="s">
        <v>178</v>
      </c>
    </row>
    <row r="6695" spans="2:15">
      <c r="B6695" s="20">
        <v>45953</v>
      </c>
      <c r="C6695" s="54">
        <v>40014675</v>
      </c>
      <c r="D6695" s="55" t="s">
        <v>44</v>
      </c>
      <c r="G6695" s="65">
        <v>37.44</v>
      </c>
      <c r="H6695" s="56" t="s">
        <v>80</v>
      </c>
      <c r="I6695" s="54">
        <v>8728839633</v>
      </c>
      <c r="J6695" s="56" t="s">
        <v>2978</v>
      </c>
      <c r="K6695" s="56">
        <v>676</v>
      </c>
      <c r="L6695" s="55" t="s">
        <v>2876</v>
      </c>
      <c r="M6695" s="55" t="s">
        <v>2824</v>
      </c>
      <c r="O6695" s="55" t="s">
        <v>178</v>
      </c>
    </row>
    <row r="6696" spans="2:15">
      <c r="B6696" s="20">
        <v>45953</v>
      </c>
      <c r="C6696" s="54">
        <v>40014675</v>
      </c>
      <c r="D6696" s="55" t="s">
        <v>44</v>
      </c>
      <c r="G6696" s="65">
        <v>34.56</v>
      </c>
      <c r="H6696" s="56" t="s">
        <v>80</v>
      </c>
      <c r="I6696" s="54">
        <v>8728839648</v>
      </c>
      <c r="J6696" s="56" t="s">
        <v>2978</v>
      </c>
      <c r="K6696" s="56">
        <v>677</v>
      </c>
      <c r="L6696" s="55" t="s">
        <v>2152</v>
      </c>
      <c r="M6696" s="55" t="s">
        <v>2824</v>
      </c>
      <c r="N6696" s="4" t="s">
        <v>177</v>
      </c>
      <c r="O6696" s="55" t="s">
        <v>178</v>
      </c>
    </row>
    <row r="6697" spans="2:15">
      <c r="B6697" s="20">
        <v>45953</v>
      </c>
      <c r="C6697" s="54">
        <v>40014675</v>
      </c>
      <c r="D6697" s="55" t="s">
        <v>44</v>
      </c>
      <c r="G6697" s="65">
        <v>37.44</v>
      </c>
      <c r="H6697" s="56" t="s">
        <v>80</v>
      </c>
      <c r="I6697" s="54">
        <v>8728839655</v>
      </c>
      <c r="J6697" s="56" t="s">
        <v>2978</v>
      </c>
      <c r="K6697" s="56">
        <v>678</v>
      </c>
      <c r="L6697" s="55" t="s">
        <v>2876</v>
      </c>
      <c r="M6697" s="55" t="s">
        <v>2824</v>
      </c>
      <c r="O6697" s="55" t="s">
        <v>178</v>
      </c>
    </row>
    <row r="6698" spans="2:15">
      <c r="B6698" s="20">
        <v>45953</v>
      </c>
      <c r="C6698" s="54">
        <v>40014675</v>
      </c>
      <c r="D6698" s="55" t="s">
        <v>44</v>
      </c>
      <c r="G6698" s="65">
        <v>37.44</v>
      </c>
      <c r="H6698" s="56" t="s">
        <v>80</v>
      </c>
      <c r="I6698" s="54">
        <v>8728839660</v>
      </c>
      <c r="J6698" s="56" t="s">
        <v>2978</v>
      </c>
      <c r="K6698" s="56">
        <v>679</v>
      </c>
      <c r="L6698" s="55" t="s">
        <v>2876</v>
      </c>
      <c r="M6698" s="55" t="s">
        <v>2824</v>
      </c>
      <c r="O6698" s="55" t="s">
        <v>178</v>
      </c>
    </row>
    <row r="6699" spans="2:15">
      <c r="B6699" s="20">
        <v>45953</v>
      </c>
      <c r="C6699" s="54">
        <v>40014675</v>
      </c>
      <c r="D6699" s="55" t="s">
        <v>44</v>
      </c>
      <c r="G6699" s="65">
        <v>37.44</v>
      </c>
      <c r="H6699" s="56" t="s">
        <v>80</v>
      </c>
      <c r="I6699" s="54">
        <v>8728839662</v>
      </c>
      <c r="J6699" s="56" t="s">
        <v>2978</v>
      </c>
      <c r="K6699" s="56">
        <v>680</v>
      </c>
      <c r="L6699" s="55" t="s">
        <v>2876</v>
      </c>
      <c r="M6699" s="55" t="s">
        <v>2824</v>
      </c>
      <c r="O6699" s="55" t="s">
        <v>178</v>
      </c>
    </row>
    <row r="6700" spans="2:15">
      <c r="B6700" s="20">
        <v>45954</v>
      </c>
      <c r="C6700" s="54">
        <v>50470190</v>
      </c>
      <c r="D6700" s="66" t="s">
        <v>12</v>
      </c>
      <c r="G6700" s="65">
        <f>15*289800</f>
        <v>4347000</v>
      </c>
      <c r="H6700" s="56" t="s">
        <v>92</v>
      </c>
      <c r="I6700" s="54">
        <v>8728841175</v>
      </c>
      <c r="J6700" s="56" t="s">
        <v>2978</v>
      </c>
      <c r="K6700" s="56">
        <v>3494</v>
      </c>
      <c r="L6700" s="55" t="s">
        <v>2152</v>
      </c>
      <c r="M6700" s="55" t="s">
        <v>2824</v>
      </c>
      <c r="N6700" s="4" t="s">
        <v>177</v>
      </c>
      <c r="O6700" s="55" t="s">
        <v>178</v>
      </c>
    </row>
    <row r="6701" spans="2:15">
      <c r="B6701" s="20">
        <v>45954</v>
      </c>
      <c r="C6701" s="54">
        <v>50837509</v>
      </c>
      <c r="D6701" s="55" t="s">
        <v>14</v>
      </c>
      <c r="G6701" s="65">
        <f>5*289800</f>
        <v>1449000</v>
      </c>
      <c r="H6701" s="56" t="s">
        <v>92</v>
      </c>
      <c r="I6701" s="54">
        <v>8728841175</v>
      </c>
      <c r="J6701" s="56" t="s">
        <v>2978</v>
      </c>
      <c r="K6701" s="56">
        <v>3494</v>
      </c>
      <c r="L6701" s="55" t="s">
        <v>2152</v>
      </c>
      <c r="M6701" s="55" t="s">
        <v>2824</v>
      </c>
      <c r="N6701" s="4" t="s">
        <v>177</v>
      </c>
      <c r="O6701" s="55" t="s">
        <v>178</v>
      </c>
    </row>
    <row r="6702" spans="2:15">
      <c r="B6702" s="20">
        <v>45954</v>
      </c>
      <c r="C6702" s="54">
        <v>50852311</v>
      </c>
      <c r="D6702" s="55" t="s">
        <v>2598</v>
      </c>
      <c r="F6702" s="67">
        <v>22</v>
      </c>
      <c r="G6702" s="65">
        <v>31680</v>
      </c>
      <c r="H6702" s="56" t="s">
        <v>92</v>
      </c>
      <c r="I6702" s="54">
        <v>8728976958</v>
      </c>
      <c r="J6702" s="56" t="s">
        <v>3062</v>
      </c>
      <c r="K6702" s="56">
        <v>681</v>
      </c>
      <c r="L6702" s="55" t="s">
        <v>2152</v>
      </c>
      <c r="M6702" s="55" t="s">
        <v>2824</v>
      </c>
      <c r="N6702" s="4" t="s">
        <v>1905</v>
      </c>
      <c r="O6702" s="55" t="s">
        <v>178</v>
      </c>
    </row>
    <row r="6703" spans="2:15">
      <c r="B6703" s="20">
        <v>45954</v>
      </c>
      <c r="C6703" s="54">
        <v>50852311</v>
      </c>
      <c r="D6703" s="55" t="s">
        <v>2598</v>
      </c>
      <c r="F6703" s="67">
        <v>24</v>
      </c>
      <c r="G6703" s="65">
        <v>34560</v>
      </c>
      <c r="H6703" s="56" t="s">
        <v>92</v>
      </c>
      <c r="I6703" s="54">
        <v>8728976959</v>
      </c>
      <c r="J6703" s="56" t="s">
        <v>3062</v>
      </c>
      <c r="K6703" s="56">
        <v>682</v>
      </c>
      <c r="L6703" s="55" t="s">
        <v>2152</v>
      </c>
      <c r="M6703" s="55" t="s">
        <v>2824</v>
      </c>
      <c r="N6703" s="4" t="s">
        <v>177</v>
      </c>
    </row>
    <row r="6704" spans="2:15">
      <c r="B6704" s="20">
        <v>45954</v>
      </c>
      <c r="C6704" s="54">
        <v>50852311</v>
      </c>
      <c r="D6704" s="55" t="s">
        <v>2598</v>
      </c>
      <c r="F6704" s="67">
        <v>26</v>
      </c>
      <c r="G6704" s="65">
        <v>37440</v>
      </c>
      <c r="H6704" s="56" t="s">
        <v>92</v>
      </c>
      <c r="I6704" s="54">
        <v>8728976962</v>
      </c>
      <c r="J6704" s="56" t="s">
        <v>3062</v>
      </c>
      <c r="K6704" s="56">
        <v>683</v>
      </c>
      <c r="L6704" s="55" t="s">
        <v>2876</v>
      </c>
      <c r="M6704" s="55" t="s">
        <v>2824</v>
      </c>
      <c r="O6704" s="55" t="s">
        <v>178</v>
      </c>
    </row>
    <row r="6705" spans="2:15">
      <c r="B6705" s="20">
        <v>45954</v>
      </c>
      <c r="C6705" s="54">
        <v>50852311</v>
      </c>
      <c r="D6705" s="55" t="s">
        <v>2598</v>
      </c>
      <c r="F6705" s="67">
        <v>26</v>
      </c>
      <c r="G6705" s="65">
        <v>37440</v>
      </c>
      <c r="H6705" s="56" t="s">
        <v>92</v>
      </c>
      <c r="I6705" s="54">
        <v>8728976966</v>
      </c>
      <c r="J6705" s="56" t="s">
        <v>3062</v>
      </c>
      <c r="K6705" s="56">
        <v>684</v>
      </c>
      <c r="L6705" s="55" t="s">
        <v>2876</v>
      </c>
      <c r="M6705" s="55" t="s">
        <v>2824</v>
      </c>
      <c r="O6705" s="55" t="s">
        <v>178</v>
      </c>
    </row>
    <row r="6706" spans="2:15">
      <c r="B6706" s="20">
        <v>45954</v>
      </c>
      <c r="C6706" s="54">
        <v>50852311</v>
      </c>
      <c r="D6706" s="55" t="s">
        <v>2598</v>
      </c>
      <c r="F6706" s="67">
        <v>26</v>
      </c>
      <c r="G6706" s="65">
        <v>37440</v>
      </c>
      <c r="H6706" s="56" t="s">
        <v>92</v>
      </c>
      <c r="I6706" s="54">
        <v>8728976967</v>
      </c>
      <c r="J6706" s="56" t="s">
        <v>3062</v>
      </c>
      <c r="K6706" s="56">
        <v>685</v>
      </c>
      <c r="L6706" s="55" t="s">
        <v>2876</v>
      </c>
      <c r="M6706" s="55" t="s">
        <v>2824</v>
      </c>
      <c r="O6706" s="55" t="s">
        <v>178</v>
      </c>
    </row>
    <row r="6707" spans="2:15">
      <c r="B6707" s="20">
        <v>45954</v>
      </c>
      <c r="C6707" s="54">
        <v>50852311</v>
      </c>
      <c r="D6707" s="55" t="s">
        <v>2598</v>
      </c>
      <c r="F6707" s="67">
        <v>26</v>
      </c>
      <c r="G6707" s="65">
        <v>37440</v>
      </c>
      <c r="H6707" s="56" t="s">
        <v>92</v>
      </c>
      <c r="I6707" s="54">
        <v>8728976969</v>
      </c>
      <c r="J6707" s="56" t="s">
        <v>3062</v>
      </c>
      <c r="K6707" s="56">
        <v>686</v>
      </c>
      <c r="L6707" s="55" t="s">
        <v>2876</v>
      </c>
      <c r="M6707" s="55" t="s">
        <v>2824</v>
      </c>
      <c r="O6707" s="55" t="s">
        <v>178</v>
      </c>
    </row>
    <row r="6708" spans="2:15">
      <c r="B6708" s="20">
        <v>45954</v>
      </c>
      <c r="C6708" s="54">
        <v>50852311</v>
      </c>
      <c r="D6708" s="55" t="s">
        <v>2598</v>
      </c>
      <c r="F6708" s="67">
        <v>26</v>
      </c>
      <c r="G6708" s="65">
        <v>37440</v>
      </c>
      <c r="H6708" s="56" t="s">
        <v>92</v>
      </c>
      <c r="I6708" s="54">
        <v>8728976972</v>
      </c>
      <c r="J6708" s="56" t="s">
        <v>3062</v>
      </c>
      <c r="K6708" s="56">
        <v>687</v>
      </c>
      <c r="L6708" s="55" t="s">
        <v>2876</v>
      </c>
      <c r="M6708" s="55" t="s">
        <v>2824</v>
      </c>
      <c r="O6708" s="55" t="s">
        <v>178</v>
      </c>
    </row>
    <row r="6709" spans="2:15">
      <c r="B6709" s="20">
        <v>45954</v>
      </c>
      <c r="C6709" s="54">
        <v>50144376</v>
      </c>
      <c r="D6709" s="55" t="s">
        <v>19</v>
      </c>
      <c r="G6709" s="65">
        <v>7200</v>
      </c>
      <c r="H6709" s="56" t="s">
        <v>92</v>
      </c>
      <c r="I6709" s="54">
        <v>8728841629</v>
      </c>
      <c r="J6709" s="56" t="s">
        <v>2978</v>
      </c>
      <c r="K6709" s="56">
        <v>1092</v>
      </c>
      <c r="L6709" s="55" t="s">
        <v>2152</v>
      </c>
      <c r="M6709" s="55" t="s">
        <v>2824</v>
      </c>
      <c r="N6709" s="4" t="s">
        <v>177</v>
      </c>
      <c r="O6709" s="55" t="s">
        <v>178</v>
      </c>
    </row>
    <row r="6710" spans="2:15">
      <c r="B6710" s="20">
        <v>45954</v>
      </c>
      <c r="C6710" s="59">
        <v>50272278</v>
      </c>
      <c r="D6710" s="55" t="s">
        <v>21</v>
      </c>
      <c r="G6710" s="65">
        <v>4200</v>
      </c>
      <c r="H6710" s="56" t="s">
        <v>92</v>
      </c>
      <c r="I6710" s="54">
        <v>8728841629</v>
      </c>
      <c r="J6710" s="56" t="s">
        <v>2978</v>
      </c>
      <c r="K6710" s="56">
        <v>1092</v>
      </c>
      <c r="L6710" s="55" t="s">
        <v>2152</v>
      </c>
      <c r="M6710" s="55" t="s">
        <v>2824</v>
      </c>
      <c r="N6710" s="4" t="s">
        <v>177</v>
      </c>
      <c r="O6710" s="55" t="s">
        <v>178</v>
      </c>
    </row>
    <row r="6711" spans="2:15">
      <c r="B6711" s="20">
        <v>45954</v>
      </c>
      <c r="C6711" s="59">
        <v>40004808</v>
      </c>
      <c r="D6711" s="55" t="s">
        <v>91</v>
      </c>
      <c r="G6711" s="65">
        <v>1350</v>
      </c>
      <c r="H6711" s="56" t="s">
        <v>1248</v>
      </c>
      <c r="I6711" s="54">
        <v>8728841629</v>
      </c>
      <c r="J6711" s="56" t="s">
        <v>2978</v>
      </c>
      <c r="K6711" s="56">
        <v>1092</v>
      </c>
      <c r="L6711" s="55" t="s">
        <v>2152</v>
      </c>
      <c r="M6711" s="55" t="s">
        <v>2824</v>
      </c>
      <c r="N6711" s="4" t="s">
        <v>177</v>
      </c>
      <c r="O6711" s="55" t="s">
        <v>178</v>
      </c>
    </row>
    <row r="6712" spans="2:15">
      <c r="B6712" s="20">
        <v>45954</v>
      </c>
      <c r="C6712" s="59">
        <v>50837265</v>
      </c>
      <c r="D6712" s="55" t="s">
        <v>25</v>
      </c>
      <c r="G6712" s="65">
        <v>1756.25</v>
      </c>
      <c r="H6712" s="56" t="s">
        <v>82</v>
      </c>
      <c r="I6712" s="54">
        <v>8728842052</v>
      </c>
      <c r="J6712" s="56" t="s">
        <v>2978</v>
      </c>
      <c r="K6712" s="56">
        <v>1093</v>
      </c>
      <c r="L6712" s="55" t="s">
        <v>2152</v>
      </c>
      <c r="M6712" s="55" t="s">
        <v>2824</v>
      </c>
      <c r="N6712" s="4" t="s">
        <v>1905</v>
      </c>
      <c r="O6712" s="55" t="s">
        <v>178</v>
      </c>
    </row>
    <row r="6713" spans="2:15">
      <c r="B6713" s="20">
        <v>45954</v>
      </c>
      <c r="C6713" s="59">
        <v>50837239</v>
      </c>
      <c r="D6713" s="55" t="s">
        <v>27</v>
      </c>
      <c r="G6713" s="65">
        <v>2094.1</v>
      </c>
      <c r="H6713" s="56" t="s">
        <v>82</v>
      </c>
      <c r="I6713" s="54">
        <v>8728842052</v>
      </c>
      <c r="J6713" s="56" t="s">
        <v>2978</v>
      </c>
      <c r="K6713" s="56">
        <v>1093</v>
      </c>
      <c r="L6713" s="55" t="s">
        <v>2152</v>
      </c>
      <c r="M6713" s="55" t="s">
        <v>2824</v>
      </c>
      <c r="N6713" s="4" t="s">
        <v>1905</v>
      </c>
      <c r="O6713" s="55" t="s">
        <v>178</v>
      </c>
    </row>
    <row r="6714" spans="2:15">
      <c r="B6714" s="20">
        <v>45954</v>
      </c>
      <c r="C6714" s="59">
        <v>50272278</v>
      </c>
      <c r="D6714" s="55" t="s">
        <v>21</v>
      </c>
      <c r="G6714" s="65">
        <v>11400</v>
      </c>
      <c r="H6714" s="56" t="s">
        <v>92</v>
      </c>
      <c r="I6714" s="54">
        <v>8728842052</v>
      </c>
      <c r="J6714" s="56" t="s">
        <v>2978</v>
      </c>
      <c r="K6714" s="56">
        <v>1093</v>
      </c>
      <c r="L6714" s="55" t="s">
        <v>2152</v>
      </c>
      <c r="M6714" s="55" t="s">
        <v>2824</v>
      </c>
      <c r="N6714" s="4" t="s">
        <v>1905</v>
      </c>
      <c r="O6714" s="55" t="s">
        <v>178</v>
      </c>
    </row>
    <row r="6715" spans="2:15">
      <c r="B6715" s="20">
        <v>45954</v>
      </c>
      <c r="C6715" s="59">
        <v>50143875</v>
      </c>
      <c r="D6715" s="55" t="s">
        <v>713</v>
      </c>
      <c r="G6715" s="65">
        <v>4800</v>
      </c>
      <c r="H6715" s="56" t="s">
        <v>92</v>
      </c>
      <c r="I6715" s="54">
        <v>8728891139</v>
      </c>
      <c r="J6715" s="56" t="s">
        <v>2978</v>
      </c>
      <c r="K6715" s="56">
        <v>1093</v>
      </c>
      <c r="L6715" s="55" t="s">
        <v>2152</v>
      </c>
      <c r="M6715" s="55" t="s">
        <v>2824</v>
      </c>
      <c r="N6715" s="4" t="s">
        <v>1905</v>
      </c>
      <c r="O6715" s="55" t="s">
        <v>178</v>
      </c>
    </row>
    <row r="6716" spans="2:15">
      <c r="B6716" s="20">
        <v>45954</v>
      </c>
      <c r="C6716" s="59">
        <v>50142237</v>
      </c>
      <c r="D6716" s="55" t="s">
        <v>617</v>
      </c>
      <c r="G6716" s="65">
        <v>20000</v>
      </c>
      <c r="H6716" s="56" t="s">
        <v>92</v>
      </c>
      <c r="I6716" s="54">
        <v>8728842052</v>
      </c>
      <c r="J6716" s="56" t="s">
        <v>2978</v>
      </c>
      <c r="K6716" s="56">
        <v>1093</v>
      </c>
      <c r="L6716" s="55" t="s">
        <v>2152</v>
      </c>
      <c r="M6716" s="55" t="s">
        <v>2824</v>
      </c>
      <c r="N6716" s="4" t="s">
        <v>1905</v>
      </c>
      <c r="O6716" s="55" t="s">
        <v>178</v>
      </c>
    </row>
    <row r="6717" spans="2:15">
      <c r="B6717" s="20">
        <v>45955</v>
      </c>
      <c r="C6717" s="54">
        <v>50852311</v>
      </c>
      <c r="D6717" s="55" t="s">
        <v>2598</v>
      </c>
      <c r="F6717" s="67">
        <v>26</v>
      </c>
      <c r="G6717" s="65">
        <v>37440</v>
      </c>
      <c r="H6717" s="56" t="s">
        <v>92</v>
      </c>
      <c r="I6717" s="54">
        <v>8728976995</v>
      </c>
      <c r="J6717" s="56" t="s">
        <v>3062</v>
      </c>
      <c r="K6717" s="56">
        <v>688</v>
      </c>
      <c r="L6717" s="55" t="s">
        <v>2876</v>
      </c>
      <c r="M6717" s="55" t="s">
        <v>2824</v>
      </c>
      <c r="O6717" s="55" t="s">
        <v>178</v>
      </c>
    </row>
    <row r="6718" spans="2:15">
      <c r="B6718" s="20">
        <v>45955</v>
      </c>
      <c r="C6718" s="54">
        <v>50852311</v>
      </c>
      <c r="D6718" s="55" t="s">
        <v>2598</v>
      </c>
      <c r="F6718" s="67">
        <v>26</v>
      </c>
      <c r="G6718" s="65">
        <v>37440</v>
      </c>
      <c r="H6718" s="56" t="s">
        <v>92</v>
      </c>
      <c r="I6718" s="54">
        <v>8728976996</v>
      </c>
      <c r="J6718" s="56" t="s">
        <v>3062</v>
      </c>
      <c r="K6718" s="56">
        <v>689</v>
      </c>
      <c r="L6718" s="55" t="s">
        <v>2876</v>
      </c>
      <c r="M6718" s="55" t="s">
        <v>2824</v>
      </c>
      <c r="O6718" s="55" t="s">
        <v>178</v>
      </c>
    </row>
    <row r="6719" spans="2:15">
      <c r="B6719" s="20">
        <v>45955</v>
      </c>
      <c r="C6719" s="54">
        <v>50852311</v>
      </c>
      <c r="D6719" s="55" t="s">
        <v>2598</v>
      </c>
      <c r="F6719" s="67">
        <v>26</v>
      </c>
      <c r="G6719" s="65">
        <v>37440</v>
      </c>
      <c r="H6719" s="56" t="s">
        <v>92</v>
      </c>
      <c r="I6719" s="54">
        <v>8728976998</v>
      </c>
      <c r="J6719" s="56" t="s">
        <v>3062</v>
      </c>
      <c r="K6719" s="56">
        <v>690</v>
      </c>
      <c r="L6719" s="55" t="s">
        <v>2876</v>
      </c>
      <c r="M6719" s="55" t="s">
        <v>2824</v>
      </c>
      <c r="O6719" s="55" t="s">
        <v>178</v>
      </c>
    </row>
    <row r="6720" spans="2:15">
      <c r="B6720" s="20">
        <v>45955</v>
      </c>
      <c r="C6720" s="54">
        <v>50852311</v>
      </c>
      <c r="D6720" s="55" t="s">
        <v>2598</v>
      </c>
      <c r="F6720" s="67">
        <v>26</v>
      </c>
      <c r="G6720" s="65">
        <v>37440</v>
      </c>
      <c r="H6720" s="56" t="s">
        <v>92</v>
      </c>
      <c r="I6720" s="54">
        <v>8728977000</v>
      </c>
      <c r="J6720" s="56" t="s">
        <v>3062</v>
      </c>
      <c r="K6720" s="56">
        <v>691</v>
      </c>
      <c r="L6720" s="55" t="s">
        <v>2876</v>
      </c>
      <c r="M6720" s="55" t="s">
        <v>2824</v>
      </c>
      <c r="O6720" s="55" t="s">
        <v>178</v>
      </c>
    </row>
    <row r="6721" spans="2:15">
      <c r="B6721" s="20">
        <v>45955</v>
      </c>
      <c r="C6721" s="54">
        <v>50852311</v>
      </c>
      <c r="D6721" s="55" t="s">
        <v>2598</v>
      </c>
      <c r="F6721" s="67">
        <v>26</v>
      </c>
      <c r="G6721" s="65">
        <v>37440</v>
      </c>
      <c r="H6721" s="56" t="s">
        <v>92</v>
      </c>
      <c r="I6721" s="54">
        <v>8728977045</v>
      </c>
      <c r="J6721" s="56" t="s">
        <v>3062</v>
      </c>
      <c r="K6721" s="56">
        <v>692</v>
      </c>
      <c r="L6721" s="55" t="s">
        <v>2876</v>
      </c>
      <c r="M6721" s="55" t="s">
        <v>2824</v>
      </c>
      <c r="O6721" s="55" t="s">
        <v>178</v>
      </c>
    </row>
    <row r="6722" spans="2:15">
      <c r="B6722" s="20">
        <v>45955</v>
      </c>
      <c r="C6722" s="54">
        <v>50852311</v>
      </c>
      <c r="D6722" s="55" t="s">
        <v>2598</v>
      </c>
      <c r="F6722" s="67">
        <v>26</v>
      </c>
      <c r="G6722" s="65">
        <v>37440</v>
      </c>
      <c r="H6722" s="56" t="s">
        <v>92</v>
      </c>
      <c r="I6722" s="54">
        <v>8728977047</v>
      </c>
      <c r="J6722" s="56" t="s">
        <v>3062</v>
      </c>
      <c r="K6722" s="56">
        <v>693</v>
      </c>
      <c r="L6722" s="55" t="s">
        <v>2876</v>
      </c>
      <c r="M6722" s="55" t="s">
        <v>2824</v>
      </c>
      <c r="O6722" s="55" t="s">
        <v>178</v>
      </c>
    </row>
    <row r="6723" spans="2:15">
      <c r="B6723" s="20">
        <v>45957</v>
      </c>
      <c r="C6723" s="59">
        <v>40010087</v>
      </c>
      <c r="D6723" s="55" t="s">
        <v>387</v>
      </c>
      <c r="G6723" s="65">
        <v>1728</v>
      </c>
      <c r="H6723" s="56" t="s">
        <v>80</v>
      </c>
      <c r="I6723" s="54">
        <v>8728875266</v>
      </c>
      <c r="J6723" s="56" t="s">
        <v>2978</v>
      </c>
      <c r="K6723" s="56">
        <v>3495</v>
      </c>
      <c r="L6723" s="55" t="s">
        <v>2152</v>
      </c>
      <c r="M6723" s="55" t="s">
        <v>2824</v>
      </c>
      <c r="N6723" s="4" t="s">
        <v>1905</v>
      </c>
      <c r="O6723" s="55" t="s">
        <v>178</v>
      </c>
    </row>
    <row r="6724" spans="2:15">
      <c r="B6724" s="20">
        <v>45957</v>
      </c>
      <c r="C6724" s="59">
        <v>50837237</v>
      </c>
      <c r="D6724" s="55" t="s">
        <v>1747</v>
      </c>
      <c r="G6724" s="65">
        <v>2122.95</v>
      </c>
      <c r="H6724" s="56" t="s">
        <v>82</v>
      </c>
      <c r="I6724" s="54">
        <v>8728875266</v>
      </c>
      <c r="J6724" s="56" t="s">
        <v>2978</v>
      </c>
      <c r="K6724" s="56">
        <v>3495</v>
      </c>
      <c r="L6724" s="55" t="s">
        <v>2152</v>
      </c>
      <c r="M6724" s="55" t="s">
        <v>2824</v>
      </c>
      <c r="N6724" s="4" t="s">
        <v>1905</v>
      </c>
      <c r="O6724" s="55" t="s">
        <v>178</v>
      </c>
    </row>
    <row r="6725" spans="2:15">
      <c r="B6725" s="20">
        <v>45957</v>
      </c>
      <c r="C6725" s="59">
        <v>50837284</v>
      </c>
      <c r="D6725" s="55" t="s">
        <v>28</v>
      </c>
      <c r="G6725" s="65">
        <v>2025.35</v>
      </c>
      <c r="H6725" s="56" t="s">
        <v>82</v>
      </c>
      <c r="I6725" s="54">
        <v>8728875266</v>
      </c>
      <c r="J6725" s="56" t="s">
        <v>2978</v>
      </c>
      <c r="K6725" s="56">
        <v>3495</v>
      </c>
      <c r="L6725" s="55" t="s">
        <v>2152</v>
      </c>
      <c r="M6725" s="55" t="s">
        <v>2824</v>
      </c>
      <c r="N6725" s="4" t="s">
        <v>1905</v>
      </c>
      <c r="O6725" s="55" t="s">
        <v>178</v>
      </c>
    </row>
    <row r="6726" spans="2:15">
      <c r="B6726" s="20">
        <v>45957</v>
      </c>
      <c r="C6726" s="59">
        <v>40004808</v>
      </c>
      <c r="D6726" s="55" t="s">
        <v>91</v>
      </c>
      <c r="G6726" s="65">
        <v>540</v>
      </c>
      <c r="H6726" s="56" t="s">
        <v>80</v>
      </c>
      <c r="I6726" s="54">
        <v>8728875266</v>
      </c>
      <c r="J6726" s="56" t="s">
        <v>2978</v>
      </c>
      <c r="K6726" s="56">
        <v>3495</v>
      </c>
      <c r="L6726" s="55" t="s">
        <v>2152</v>
      </c>
      <c r="M6726" s="55" t="s">
        <v>2824</v>
      </c>
      <c r="N6726" s="4" t="s">
        <v>1905</v>
      </c>
      <c r="O6726" s="55" t="s">
        <v>178</v>
      </c>
    </row>
    <row r="6727" spans="2:15">
      <c r="B6727" s="20">
        <v>45957</v>
      </c>
      <c r="C6727" s="59">
        <v>40011149</v>
      </c>
      <c r="D6727" s="55" t="s">
        <v>37</v>
      </c>
      <c r="G6727" s="65">
        <v>360</v>
      </c>
      <c r="H6727" s="56" t="s">
        <v>80</v>
      </c>
      <c r="I6727" s="54">
        <v>8728875266</v>
      </c>
      <c r="J6727" s="56" t="s">
        <v>2978</v>
      </c>
      <c r="K6727" s="56">
        <v>3495</v>
      </c>
      <c r="L6727" s="55" t="s">
        <v>2152</v>
      </c>
      <c r="M6727" s="55" t="s">
        <v>2824</v>
      </c>
      <c r="N6727" s="4" t="s">
        <v>1905</v>
      </c>
      <c r="O6727" s="55" t="s">
        <v>178</v>
      </c>
    </row>
    <row r="6728" spans="2:15">
      <c r="B6728" s="20">
        <v>45957</v>
      </c>
      <c r="C6728" s="59">
        <v>40011588</v>
      </c>
      <c r="D6728" s="55" t="s">
        <v>585</v>
      </c>
      <c r="G6728" s="65">
        <v>450</v>
      </c>
      <c r="H6728" s="56" t="s">
        <v>80</v>
      </c>
      <c r="I6728" s="54">
        <v>8728875266</v>
      </c>
      <c r="J6728" s="56" t="s">
        <v>2978</v>
      </c>
      <c r="K6728" s="56">
        <v>3495</v>
      </c>
      <c r="L6728" s="55" t="s">
        <v>2152</v>
      </c>
      <c r="M6728" s="55" t="s">
        <v>2824</v>
      </c>
      <c r="N6728" s="4" t="s">
        <v>1905</v>
      </c>
      <c r="O6728" s="55" t="s">
        <v>178</v>
      </c>
    </row>
    <row r="6729" spans="2:15">
      <c r="B6729" s="20">
        <v>45957</v>
      </c>
      <c r="C6729" s="59">
        <v>40011659</v>
      </c>
      <c r="D6729" s="55" t="s">
        <v>89</v>
      </c>
      <c r="G6729" s="65">
        <v>360</v>
      </c>
      <c r="H6729" s="56" t="s">
        <v>80</v>
      </c>
      <c r="I6729" s="54">
        <v>8728875266</v>
      </c>
      <c r="J6729" s="56" t="s">
        <v>2978</v>
      </c>
      <c r="K6729" s="56">
        <v>3495</v>
      </c>
      <c r="L6729" s="55" t="s">
        <v>2152</v>
      </c>
      <c r="M6729" s="55" t="s">
        <v>2824</v>
      </c>
      <c r="N6729" s="4" t="s">
        <v>1905</v>
      </c>
      <c r="O6729" s="55" t="s">
        <v>178</v>
      </c>
    </row>
    <row r="6730" spans="2:15">
      <c r="B6730" s="20">
        <v>45957</v>
      </c>
      <c r="C6730" s="59">
        <v>50509889</v>
      </c>
      <c r="D6730" s="55" t="s">
        <v>671</v>
      </c>
      <c r="G6730" s="65">
        <v>528000</v>
      </c>
      <c r="H6730" s="56" t="s">
        <v>92</v>
      </c>
      <c r="I6730" s="54">
        <v>8728875266</v>
      </c>
      <c r="J6730" s="56" t="s">
        <v>2978</v>
      </c>
      <c r="K6730" s="56">
        <v>3495</v>
      </c>
      <c r="L6730" s="55" t="s">
        <v>2152</v>
      </c>
      <c r="M6730" s="55" t="s">
        <v>2824</v>
      </c>
      <c r="N6730" s="4" t="s">
        <v>1905</v>
      </c>
      <c r="O6730" s="55" t="s">
        <v>178</v>
      </c>
    </row>
    <row r="6731" spans="2:15">
      <c r="B6731" s="20">
        <v>45957</v>
      </c>
      <c r="C6731" s="59">
        <v>50854127</v>
      </c>
      <c r="D6731" s="55" t="s">
        <v>30</v>
      </c>
      <c r="G6731" s="65">
        <v>2028.45</v>
      </c>
      <c r="H6731" s="56" t="s">
        <v>82</v>
      </c>
      <c r="I6731" s="54">
        <v>8728875266</v>
      </c>
      <c r="J6731" s="56" t="s">
        <v>2978</v>
      </c>
      <c r="K6731" s="56">
        <v>3495</v>
      </c>
      <c r="L6731" s="55" t="s">
        <v>2152</v>
      </c>
      <c r="M6731" s="55" t="s">
        <v>2824</v>
      </c>
      <c r="N6731" s="4" t="s">
        <v>1905</v>
      </c>
      <c r="O6731" s="55" t="s">
        <v>178</v>
      </c>
    </row>
    <row r="6732" spans="2:15">
      <c r="B6732" s="20">
        <v>45957</v>
      </c>
      <c r="C6732" s="59">
        <v>50851663</v>
      </c>
      <c r="D6732" s="55" t="s">
        <v>2526</v>
      </c>
      <c r="G6732" s="65">
        <v>360000</v>
      </c>
      <c r="H6732" s="56" t="s">
        <v>80</v>
      </c>
      <c r="I6732" s="54">
        <v>8728875266</v>
      </c>
      <c r="J6732" s="56" t="s">
        <v>2978</v>
      </c>
      <c r="K6732" s="56">
        <v>3495</v>
      </c>
      <c r="L6732" s="55" t="s">
        <v>2152</v>
      </c>
      <c r="M6732" s="55" t="s">
        <v>2824</v>
      </c>
      <c r="N6732" s="4" t="s">
        <v>1905</v>
      </c>
      <c r="O6732" s="55" t="s">
        <v>178</v>
      </c>
    </row>
    <row r="6733" spans="2:15">
      <c r="B6733" s="20">
        <v>45957</v>
      </c>
      <c r="C6733" s="54">
        <v>50272278</v>
      </c>
      <c r="D6733" s="69" t="s">
        <v>21</v>
      </c>
      <c r="G6733" s="65">
        <v>13200</v>
      </c>
      <c r="H6733" s="56" t="s">
        <v>92</v>
      </c>
      <c r="I6733" s="54">
        <v>8728875293</v>
      </c>
      <c r="J6733" s="56" t="s">
        <v>2978</v>
      </c>
      <c r="K6733" s="56">
        <v>3497</v>
      </c>
      <c r="L6733" s="55" t="s">
        <v>2152</v>
      </c>
      <c r="M6733" s="55" t="s">
        <v>2824</v>
      </c>
      <c r="N6733" s="4" t="s">
        <v>1905</v>
      </c>
      <c r="O6733" s="55" t="s">
        <v>178</v>
      </c>
    </row>
    <row r="6734" spans="2:15">
      <c r="B6734" s="20">
        <v>45957</v>
      </c>
      <c r="C6734" s="54">
        <v>50852597</v>
      </c>
      <c r="D6734" s="55" t="s">
        <v>2703</v>
      </c>
      <c r="G6734" s="65">
        <v>28.8</v>
      </c>
      <c r="H6734" s="56" t="s">
        <v>962</v>
      </c>
      <c r="I6734" s="54">
        <v>8728890425</v>
      </c>
      <c r="J6734" s="56" t="s">
        <v>2978</v>
      </c>
      <c r="K6734" s="56">
        <v>3496</v>
      </c>
      <c r="L6734" s="55" t="s">
        <v>326</v>
      </c>
      <c r="M6734" s="55" t="s">
        <v>2004</v>
      </c>
      <c r="N6734" s="4" t="s">
        <v>1613</v>
      </c>
      <c r="O6734" s="55" t="s">
        <v>178</v>
      </c>
    </row>
    <row r="6735" spans="2:15">
      <c r="B6735" s="20">
        <v>45957</v>
      </c>
      <c r="C6735" s="54">
        <v>50852311</v>
      </c>
      <c r="D6735" s="55" t="s">
        <v>2598</v>
      </c>
      <c r="F6735" s="67">
        <v>26</v>
      </c>
      <c r="G6735" s="65">
        <v>37440</v>
      </c>
      <c r="H6735" s="56" t="s">
        <v>92</v>
      </c>
      <c r="I6735" s="54">
        <v>8728977048</v>
      </c>
      <c r="J6735" s="56" t="s">
        <v>3062</v>
      </c>
      <c r="K6735" s="56">
        <v>694</v>
      </c>
      <c r="L6735" s="55" t="s">
        <v>2876</v>
      </c>
      <c r="M6735" s="55" t="s">
        <v>2824</v>
      </c>
      <c r="O6735" s="55" t="s">
        <v>178</v>
      </c>
    </row>
    <row r="6736" spans="2:15">
      <c r="B6736" s="20">
        <v>45957</v>
      </c>
      <c r="C6736" s="54">
        <v>50852311</v>
      </c>
      <c r="D6736" s="55" t="s">
        <v>2598</v>
      </c>
      <c r="F6736" s="67">
        <v>26</v>
      </c>
      <c r="G6736" s="65">
        <v>37440</v>
      </c>
      <c r="H6736" s="56" t="s">
        <v>92</v>
      </c>
      <c r="I6736" s="54">
        <v>8728977050</v>
      </c>
      <c r="J6736" s="56" t="s">
        <v>3062</v>
      </c>
      <c r="K6736" s="56">
        <v>695</v>
      </c>
      <c r="L6736" s="55" t="s">
        <v>2876</v>
      </c>
      <c r="M6736" s="55" t="s">
        <v>2824</v>
      </c>
      <c r="O6736" s="55" t="s">
        <v>178</v>
      </c>
    </row>
    <row r="6737" spans="2:15">
      <c r="B6737" s="20">
        <v>45957</v>
      </c>
      <c r="C6737" s="54">
        <v>50852311</v>
      </c>
      <c r="D6737" s="55" t="s">
        <v>2598</v>
      </c>
      <c r="F6737" s="67">
        <v>26</v>
      </c>
      <c r="G6737" s="65">
        <v>37440</v>
      </c>
      <c r="H6737" s="56" t="s">
        <v>92</v>
      </c>
      <c r="I6737" s="54">
        <v>8728977052</v>
      </c>
      <c r="J6737" s="56" t="s">
        <v>3062</v>
      </c>
      <c r="K6737" s="56">
        <v>696</v>
      </c>
      <c r="L6737" s="55" t="s">
        <v>2876</v>
      </c>
      <c r="M6737" s="55" t="s">
        <v>2824</v>
      </c>
      <c r="O6737" s="55" t="s">
        <v>178</v>
      </c>
    </row>
    <row r="6738" spans="2:15">
      <c r="B6738" s="20">
        <v>45957</v>
      </c>
      <c r="C6738" s="54">
        <v>50852311</v>
      </c>
      <c r="D6738" s="55" t="s">
        <v>2598</v>
      </c>
      <c r="F6738" s="67">
        <v>26</v>
      </c>
      <c r="G6738" s="65">
        <v>37440</v>
      </c>
      <c r="H6738" s="56" t="s">
        <v>92</v>
      </c>
      <c r="I6738" s="54">
        <v>8728977053</v>
      </c>
      <c r="J6738" s="56" t="s">
        <v>3062</v>
      </c>
      <c r="K6738" s="56">
        <v>698</v>
      </c>
      <c r="L6738" s="55" t="s">
        <v>2876</v>
      </c>
      <c r="M6738" s="55" t="s">
        <v>2824</v>
      </c>
      <c r="O6738" s="55" t="s">
        <v>178</v>
      </c>
    </row>
    <row r="6739" spans="2:15">
      <c r="B6739" s="20">
        <v>45957</v>
      </c>
      <c r="C6739" s="54">
        <v>50852311</v>
      </c>
      <c r="D6739" s="55" t="s">
        <v>2598</v>
      </c>
      <c r="F6739" s="67">
        <v>26</v>
      </c>
      <c r="G6739" s="65">
        <v>37440</v>
      </c>
      <c r="H6739" s="56" t="s">
        <v>92</v>
      </c>
      <c r="I6739" s="54">
        <v>8728977084</v>
      </c>
      <c r="J6739" s="56" t="s">
        <v>3062</v>
      </c>
      <c r="K6739" s="56">
        <v>699</v>
      </c>
      <c r="L6739" s="55" t="s">
        <v>2876</v>
      </c>
      <c r="M6739" s="55" t="s">
        <v>2824</v>
      </c>
      <c r="O6739" s="55" t="s">
        <v>178</v>
      </c>
    </row>
    <row r="6740" spans="2:15">
      <c r="B6740" s="20">
        <v>45957</v>
      </c>
      <c r="C6740" s="54">
        <v>50852311</v>
      </c>
      <c r="D6740" s="55" t="s">
        <v>2598</v>
      </c>
      <c r="F6740" s="67">
        <v>24</v>
      </c>
      <c r="G6740" s="65">
        <v>34560</v>
      </c>
      <c r="H6740" s="56" t="s">
        <v>92</v>
      </c>
      <c r="I6740" s="54">
        <v>8728977087</v>
      </c>
      <c r="J6740" s="56" t="s">
        <v>3062</v>
      </c>
      <c r="K6740" s="56">
        <v>697</v>
      </c>
      <c r="L6740" s="55" t="s">
        <v>2152</v>
      </c>
      <c r="M6740" s="55" t="s">
        <v>2824</v>
      </c>
      <c r="N6740" s="4" t="s">
        <v>177</v>
      </c>
    </row>
    <row r="6741" spans="2:15">
      <c r="B6741" s="20">
        <v>45957</v>
      </c>
      <c r="C6741" s="54">
        <v>50852311</v>
      </c>
      <c r="D6741" s="55" t="s">
        <v>2598</v>
      </c>
      <c r="F6741" s="67">
        <v>24</v>
      </c>
      <c r="G6741" s="65">
        <v>34560</v>
      </c>
      <c r="H6741" s="56" t="s">
        <v>92</v>
      </c>
      <c r="I6741" s="54">
        <v>8728977088</v>
      </c>
      <c r="J6741" s="56" t="s">
        <v>3062</v>
      </c>
      <c r="K6741" s="56">
        <v>670</v>
      </c>
      <c r="L6741" s="55" t="s">
        <v>2152</v>
      </c>
      <c r="M6741" s="55" t="s">
        <v>2824</v>
      </c>
      <c r="N6741" s="4" t="s">
        <v>177</v>
      </c>
    </row>
    <row r="6742" spans="2:15">
      <c r="B6742" s="20">
        <v>45957</v>
      </c>
      <c r="C6742" s="54">
        <v>50852311</v>
      </c>
      <c r="D6742" s="55" t="s">
        <v>2598</v>
      </c>
      <c r="F6742" s="67">
        <v>24</v>
      </c>
      <c r="G6742" s="65">
        <v>34560</v>
      </c>
      <c r="H6742" s="56" t="s">
        <v>92</v>
      </c>
      <c r="I6742" s="54">
        <v>8728977089</v>
      </c>
      <c r="J6742" s="56" t="s">
        <v>3062</v>
      </c>
      <c r="K6742" s="56">
        <v>671</v>
      </c>
      <c r="L6742" s="55" t="s">
        <v>2152</v>
      </c>
      <c r="M6742" s="55" t="s">
        <v>2824</v>
      </c>
      <c r="N6742" s="4" t="s">
        <v>177</v>
      </c>
    </row>
    <row r="6743" spans="2:15">
      <c r="B6743" s="20">
        <v>45957</v>
      </c>
      <c r="C6743" s="54">
        <v>50852311</v>
      </c>
      <c r="D6743" s="55" t="s">
        <v>2598</v>
      </c>
      <c r="F6743" s="67">
        <v>22</v>
      </c>
      <c r="G6743" s="65">
        <v>31680</v>
      </c>
      <c r="H6743" s="56" t="s">
        <v>92</v>
      </c>
      <c r="I6743" s="54">
        <v>8728977090</v>
      </c>
      <c r="J6743" s="56" t="s">
        <v>3062</v>
      </c>
      <c r="K6743" s="56">
        <v>672</v>
      </c>
      <c r="L6743" s="55" t="s">
        <v>2152</v>
      </c>
      <c r="M6743" s="55" t="s">
        <v>2824</v>
      </c>
      <c r="N6743" s="4" t="s">
        <v>177</v>
      </c>
    </row>
    <row r="6744" spans="2:15">
      <c r="B6744" s="20">
        <v>45958</v>
      </c>
      <c r="C6744" s="54">
        <v>50515034</v>
      </c>
      <c r="D6744" s="55" t="s">
        <v>41</v>
      </c>
      <c r="G6744" s="65">
        <v>172.8</v>
      </c>
      <c r="H6744" s="56" t="s">
        <v>80</v>
      </c>
      <c r="I6744" s="54">
        <v>8728890283</v>
      </c>
      <c r="J6744" s="56" t="s">
        <v>2978</v>
      </c>
      <c r="K6744" s="56">
        <v>1091</v>
      </c>
      <c r="L6744" s="55" t="s">
        <v>326</v>
      </c>
      <c r="M6744" s="55" t="s">
        <v>2004</v>
      </c>
      <c r="N6744" s="4" t="s">
        <v>1613</v>
      </c>
      <c r="O6744" s="55" t="s">
        <v>178</v>
      </c>
    </row>
    <row r="6745" spans="2:15">
      <c r="B6745" s="20">
        <v>45958</v>
      </c>
      <c r="C6745" s="54">
        <v>50145028</v>
      </c>
      <c r="D6745" s="55" t="s">
        <v>23</v>
      </c>
      <c r="G6745" s="65">
        <v>486</v>
      </c>
      <c r="H6745" s="56" t="s">
        <v>92</v>
      </c>
      <c r="I6745" s="54">
        <v>8728890283</v>
      </c>
      <c r="J6745" s="56" t="s">
        <v>2978</v>
      </c>
      <c r="K6745" s="56">
        <v>1091</v>
      </c>
      <c r="L6745" s="55" t="s">
        <v>326</v>
      </c>
      <c r="M6745" s="55" t="s">
        <v>2004</v>
      </c>
      <c r="N6745" s="4" t="s">
        <v>1613</v>
      </c>
      <c r="O6745" s="55" t="s">
        <v>178</v>
      </c>
    </row>
    <row r="6746" spans="2:15">
      <c r="B6746" s="20">
        <v>45958</v>
      </c>
      <c r="C6746" s="54">
        <v>50143893</v>
      </c>
      <c r="D6746" s="55" t="s">
        <v>24</v>
      </c>
      <c r="G6746" s="65">
        <f>660*2</f>
        <v>1320</v>
      </c>
      <c r="H6746" s="56" t="s">
        <v>92</v>
      </c>
      <c r="I6746" s="54">
        <v>8728890283</v>
      </c>
      <c r="J6746" s="56" t="s">
        <v>2978</v>
      </c>
      <c r="K6746" s="56">
        <v>1091</v>
      </c>
      <c r="L6746" s="55" t="s">
        <v>326</v>
      </c>
      <c r="M6746" s="55" t="s">
        <v>2004</v>
      </c>
      <c r="N6746" s="4" t="s">
        <v>1613</v>
      </c>
      <c r="O6746" s="55" t="s">
        <v>178</v>
      </c>
    </row>
    <row r="6747" spans="2:15">
      <c r="B6747" s="20">
        <v>45958</v>
      </c>
      <c r="C6747" s="54">
        <v>50144376</v>
      </c>
      <c r="D6747" s="55" t="s">
        <v>19</v>
      </c>
      <c r="G6747" s="65">
        <f>3*600</f>
        <v>1800</v>
      </c>
      <c r="H6747" s="56" t="s">
        <v>92</v>
      </c>
      <c r="I6747" s="54">
        <v>8728890283</v>
      </c>
      <c r="J6747" s="56" t="s">
        <v>2978</v>
      </c>
      <c r="K6747" s="56">
        <v>1091</v>
      </c>
      <c r="L6747" s="55" t="s">
        <v>326</v>
      </c>
      <c r="M6747" s="55" t="s">
        <v>2004</v>
      </c>
      <c r="N6747" s="4" t="s">
        <v>1613</v>
      </c>
      <c r="O6747" s="55" t="s">
        <v>178</v>
      </c>
    </row>
    <row r="6748" spans="2:15">
      <c r="B6748" s="20">
        <v>45958</v>
      </c>
      <c r="C6748" s="59">
        <v>50272278</v>
      </c>
      <c r="D6748" s="55" t="s">
        <v>21</v>
      </c>
      <c r="G6748" s="65">
        <f>34*300</f>
        <v>10200</v>
      </c>
      <c r="H6748" s="56" t="s">
        <v>92</v>
      </c>
      <c r="I6748" s="54">
        <v>8728891426</v>
      </c>
      <c r="J6748" s="56" t="s">
        <v>2978</v>
      </c>
      <c r="K6748" s="56">
        <v>3498</v>
      </c>
      <c r="L6748" s="55" t="s">
        <v>2152</v>
      </c>
      <c r="M6748" s="55" t="s">
        <v>2824</v>
      </c>
      <c r="N6748" s="4" t="s">
        <v>1905</v>
      </c>
      <c r="O6748" s="55" t="s">
        <v>178</v>
      </c>
    </row>
    <row r="6749" spans="2:15">
      <c r="B6749" s="20">
        <v>45958</v>
      </c>
      <c r="C6749" s="59">
        <v>50802401</v>
      </c>
      <c r="D6749" s="55" t="s">
        <v>13</v>
      </c>
      <c r="G6749" s="65">
        <f>5*289800</f>
        <v>1449000</v>
      </c>
      <c r="H6749" s="56" t="s">
        <v>92</v>
      </c>
      <c r="I6749" s="54">
        <v>8728891426</v>
      </c>
      <c r="J6749" s="56" t="s">
        <v>2978</v>
      </c>
      <c r="K6749" s="56">
        <v>3498</v>
      </c>
      <c r="L6749" s="55" t="s">
        <v>2152</v>
      </c>
      <c r="M6749" s="55" t="s">
        <v>2824</v>
      </c>
      <c r="N6749" s="4" t="s">
        <v>1905</v>
      </c>
      <c r="O6749" s="55" t="s">
        <v>178</v>
      </c>
    </row>
    <row r="6750" spans="2:15">
      <c r="B6750" s="20">
        <v>45958</v>
      </c>
      <c r="C6750" s="54">
        <v>50852311</v>
      </c>
      <c r="D6750" s="55" t="s">
        <v>2598</v>
      </c>
      <c r="F6750" s="67">
        <v>26</v>
      </c>
      <c r="G6750" s="65">
        <v>37440</v>
      </c>
      <c r="H6750" s="56" t="s">
        <v>92</v>
      </c>
      <c r="I6750" s="54">
        <v>8728977091</v>
      </c>
      <c r="J6750" s="56" t="s">
        <v>3062</v>
      </c>
      <c r="K6750" s="56">
        <v>674</v>
      </c>
      <c r="L6750" s="55" t="s">
        <v>2876</v>
      </c>
      <c r="M6750" s="55" t="s">
        <v>2824</v>
      </c>
      <c r="O6750" s="55" t="s">
        <v>178</v>
      </c>
    </row>
    <row r="6751" spans="2:15">
      <c r="B6751" s="20">
        <v>45958</v>
      </c>
      <c r="C6751" s="54">
        <v>50852311</v>
      </c>
      <c r="D6751" s="55" t="s">
        <v>2598</v>
      </c>
      <c r="F6751" s="67">
        <v>26</v>
      </c>
      <c r="G6751" s="65">
        <v>37440</v>
      </c>
      <c r="H6751" s="56" t="s">
        <v>92</v>
      </c>
      <c r="I6751" s="54">
        <v>8728977092</v>
      </c>
      <c r="J6751" s="56" t="s">
        <v>3062</v>
      </c>
      <c r="K6751" s="56">
        <v>675</v>
      </c>
      <c r="L6751" s="55" t="s">
        <v>2876</v>
      </c>
      <c r="M6751" s="55" t="s">
        <v>2824</v>
      </c>
      <c r="O6751" s="55" t="s">
        <v>178</v>
      </c>
    </row>
    <row r="6752" spans="2:15">
      <c r="B6752" s="20">
        <v>45958</v>
      </c>
      <c r="C6752" s="54">
        <v>50852311</v>
      </c>
      <c r="D6752" s="55" t="s">
        <v>2598</v>
      </c>
      <c r="F6752" s="67">
        <v>26</v>
      </c>
      <c r="G6752" s="65">
        <v>37440</v>
      </c>
      <c r="H6752" s="56" t="s">
        <v>92</v>
      </c>
      <c r="I6752" s="54">
        <v>8728977093</v>
      </c>
      <c r="J6752" s="56" t="s">
        <v>3062</v>
      </c>
      <c r="K6752" s="56">
        <v>676</v>
      </c>
      <c r="L6752" s="55" t="s">
        <v>2876</v>
      </c>
      <c r="M6752" s="55" t="s">
        <v>2824</v>
      </c>
      <c r="O6752" s="55" t="s">
        <v>178</v>
      </c>
    </row>
    <row r="6753" spans="2:15">
      <c r="B6753" s="20">
        <v>45958</v>
      </c>
      <c r="C6753" s="54">
        <v>50852311</v>
      </c>
      <c r="D6753" s="55" t="s">
        <v>2598</v>
      </c>
      <c r="F6753" s="67">
        <v>26</v>
      </c>
      <c r="G6753" s="65">
        <v>37440</v>
      </c>
      <c r="H6753" s="56" t="s">
        <v>92</v>
      </c>
      <c r="I6753" s="54">
        <v>8728977135</v>
      </c>
      <c r="J6753" s="56" t="s">
        <v>3062</v>
      </c>
      <c r="K6753" s="56">
        <v>678</v>
      </c>
      <c r="L6753" s="55" t="s">
        <v>2876</v>
      </c>
      <c r="M6753" s="55" t="s">
        <v>2824</v>
      </c>
      <c r="O6753" s="55" t="s">
        <v>178</v>
      </c>
    </row>
    <row r="6754" spans="2:15">
      <c r="B6754" s="20">
        <v>45958</v>
      </c>
      <c r="C6754" s="59">
        <v>50272278</v>
      </c>
      <c r="D6754" s="55" t="s">
        <v>21</v>
      </c>
      <c r="G6754" s="65">
        <f>16*300</f>
        <v>4800</v>
      </c>
      <c r="H6754" s="56" t="s">
        <v>92</v>
      </c>
      <c r="I6754" s="54">
        <v>8728892199</v>
      </c>
      <c r="J6754" s="56" t="s">
        <v>2978</v>
      </c>
      <c r="K6754" s="56">
        <v>3499</v>
      </c>
      <c r="L6754" s="55" t="s">
        <v>2152</v>
      </c>
      <c r="M6754" s="55" t="s">
        <v>2824</v>
      </c>
      <c r="N6754" s="4" t="s">
        <v>1905</v>
      </c>
      <c r="O6754" s="55" t="s">
        <v>178</v>
      </c>
    </row>
    <row r="6755" spans="2:15">
      <c r="B6755" s="20">
        <v>45958</v>
      </c>
      <c r="C6755" s="59">
        <v>50470190</v>
      </c>
      <c r="D6755" s="55" t="s">
        <v>12</v>
      </c>
      <c r="G6755" s="65">
        <f>289800*8</f>
        <v>2318400</v>
      </c>
      <c r="H6755" s="56" t="s">
        <v>92</v>
      </c>
      <c r="I6755" s="54">
        <v>8728892199</v>
      </c>
      <c r="J6755" s="56" t="s">
        <v>2978</v>
      </c>
      <c r="K6755" s="56">
        <v>3499</v>
      </c>
      <c r="L6755" s="55" t="s">
        <v>2152</v>
      </c>
      <c r="M6755" s="55" t="s">
        <v>2824</v>
      </c>
      <c r="N6755" s="4" t="s">
        <v>1905</v>
      </c>
      <c r="O6755" s="55" t="s">
        <v>178</v>
      </c>
    </row>
    <row r="6756" spans="2:15">
      <c r="B6756" s="20">
        <v>45958</v>
      </c>
      <c r="C6756" s="59">
        <v>50802401</v>
      </c>
      <c r="D6756" s="55" t="s">
        <v>13</v>
      </c>
      <c r="G6756" s="65">
        <f>289800*4</f>
        <v>1159200</v>
      </c>
      <c r="H6756" s="56" t="s">
        <v>92</v>
      </c>
      <c r="I6756" s="54">
        <v>8728892199</v>
      </c>
      <c r="J6756" s="56" t="s">
        <v>2978</v>
      </c>
      <c r="K6756" s="56">
        <v>3499</v>
      </c>
      <c r="L6756" s="55" t="s">
        <v>2152</v>
      </c>
      <c r="M6756" s="55" t="s">
        <v>2824</v>
      </c>
      <c r="N6756" s="4" t="s">
        <v>1905</v>
      </c>
      <c r="O6756" s="55" t="s">
        <v>178</v>
      </c>
    </row>
    <row r="6757" spans="2:15">
      <c r="B6757" s="20">
        <v>45958</v>
      </c>
      <c r="C6757" s="54">
        <v>50852311</v>
      </c>
      <c r="D6757" s="55" t="s">
        <v>2598</v>
      </c>
      <c r="F6757" s="67">
        <v>26</v>
      </c>
      <c r="G6757" s="65">
        <v>37440</v>
      </c>
      <c r="H6757" s="56" t="s">
        <v>92</v>
      </c>
      <c r="I6757" s="54">
        <v>8728977137</v>
      </c>
      <c r="J6757" s="56" t="s">
        <v>3062</v>
      </c>
      <c r="K6757" s="56">
        <v>678</v>
      </c>
      <c r="L6757" s="55" t="s">
        <v>2876</v>
      </c>
      <c r="M6757" s="55" t="s">
        <v>2824</v>
      </c>
      <c r="O6757" s="55" t="s">
        <v>178</v>
      </c>
    </row>
    <row r="6758" spans="2:15">
      <c r="B6758" s="20">
        <v>45959</v>
      </c>
      <c r="C6758" s="59">
        <v>50010080</v>
      </c>
      <c r="D6758" s="55" t="s">
        <v>1657</v>
      </c>
      <c r="G6758" s="61">
        <v>5000</v>
      </c>
      <c r="H6758" s="56" t="s">
        <v>82</v>
      </c>
      <c r="I6758" s="54">
        <v>8728910027</v>
      </c>
      <c r="J6758" s="56" t="s">
        <v>2978</v>
      </c>
      <c r="K6758" s="56">
        <v>3500</v>
      </c>
      <c r="L6758" s="55" t="s">
        <v>2152</v>
      </c>
      <c r="M6758" s="55" t="s">
        <v>2824</v>
      </c>
      <c r="N6758" s="4" t="s">
        <v>1905</v>
      </c>
      <c r="O6758" s="55" t="s">
        <v>178</v>
      </c>
    </row>
    <row r="6759" spans="2:15">
      <c r="B6759" s="20">
        <v>45959</v>
      </c>
      <c r="C6759" s="59">
        <v>50802401</v>
      </c>
      <c r="D6759" s="55" t="s">
        <v>13</v>
      </c>
      <c r="G6759" s="65">
        <v>579600</v>
      </c>
      <c r="H6759" s="56" t="s">
        <v>92</v>
      </c>
      <c r="I6759" s="54">
        <v>8728910027</v>
      </c>
      <c r="J6759" s="56" t="s">
        <v>2978</v>
      </c>
      <c r="K6759" s="56">
        <v>3500</v>
      </c>
      <c r="L6759" s="55" t="s">
        <v>2152</v>
      </c>
      <c r="M6759" s="55" t="s">
        <v>2824</v>
      </c>
      <c r="N6759" s="4" t="s">
        <v>1905</v>
      </c>
      <c r="O6759" s="55" t="s">
        <v>178</v>
      </c>
    </row>
    <row r="6760" spans="2:15">
      <c r="B6760" s="20">
        <v>45959</v>
      </c>
      <c r="C6760" s="59">
        <v>50449101</v>
      </c>
      <c r="D6760" s="55" t="s">
        <v>15</v>
      </c>
      <c r="G6760" s="65">
        <v>579600</v>
      </c>
      <c r="H6760" s="56" t="s">
        <v>92</v>
      </c>
      <c r="I6760" s="54">
        <v>8728910027</v>
      </c>
      <c r="J6760" s="56" t="s">
        <v>2978</v>
      </c>
      <c r="K6760" s="56">
        <v>3500</v>
      </c>
      <c r="L6760" s="55" t="s">
        <v>2152</v>
      </c>
      <c r="M6760" s="55" t="s">
        <v>2824</v>
      </c>
      <c r="N6760" s="4" t="s">
        <v>1905</v>
      </c>
      <c r="O6760" s="55" t="s">
        <v>178</v>
      </c>
    </row>
    <row r="6761" spans="2:15">
      <c r="B6761" s="20">
        <v>45959</v>
      </c>
      <c r="C6761" s="59">
        <v>50142350</v>
      </c>
      <c r="D6761" s="55" t="s">
        <v>212</v>
      </c>
      <c r="G6761" s="58">
        <v>1190.7</v>
      </c>
      <c r="H6761" s="56" t="s">
        <v>82</v>
      </c>
      <c r="I6761" s="54">
        <v>8728910027</v>
      </c>
      <c r="J6761" s="56" t="s">
        <v>2978</v>
      </c>
      <c r="K6761" s="56">
        <v>3500</v>
      </c>
      <c r="L6761" s="55" t="s">
        <v>2152</v>
      </c>
      <c r="M6761" s="55" t="s">
        <v>2824</v>
      </c>
      <c r="N6761" s="4" t="s">
        <v>1905</v>
      </c>
      <c r="O6761" s="55" t="s">
        <v>178</v>
      </c>
    </row>
    <row r="6762" spans="2:15">
      <c r="B6762" s="20">
        <v>45959</v>
      </c>
      <c r="C6762" s="59">
        <v>50142327</v>
      </c>
      <c r="D6762" s="55" t="s">
        <v>256</v>
      </c>
      <c r="G6762" s="58">
        <v>1906.8</v>
      </c>
      <c r="H6762" s="56" t="s">
        <v>82</v>
      </c>
      <c r="I6762" s="54">
        <v>8728910027</v>
      </c>
      <c r="J6762" s="56" t="s">
        <v>2978</v>
      </c>
      <c r="K6762" s="56">
        <v>3500</v>
      </c>
      <c r="L6762" s="55" t="s">
        <v>2152</v>
      </c>
      <c r="M6762" s="55" t="s">
        <v>2824</v>
      </c>
      <c r="N6762" s="4" t="s">
        <v>1905</v>
      </c>
      <c r="O6762" s="55" t="s">
        <v>178</v>
      </c>
    </row>
    <row r="6763" spans="2:15">
      <c r="B6763" s="20">
        <v>45959</v>
      </c>
      <c r="C6763" s="59">
        <v>50142334</v>
      </c>
      <c r="D6763" s="55" t="s">
        <v>257</v>
      </c>
      <c r="G6763" s="58">
        <v>1498.2</v>
      </c>
      <c r="H6763" s="56" t="s">
        <v>82</v>
      </c>
      <c r="I6763" s="54">
        <v>8728910027</v>
      </c>
      <c r="J6763" s="56" t="s">
        <v>2978</v>
      </c>
      <c r="K6763" s="56">
        <v>3500</v>
      </c>
      <c r="L6763" s="55" t="s">
        <v>2152</v>
      </c>
      <c r="M6763" s="55" t="s">
        <v>2824</v>
      </c>
      <c r="N6763" s="4" t="s">
        <v>1905</v>
      </c>
      <c r="O6763" s="55" t="s">
        <v>178</v>
      </c>
    </row>
    <row r="6764" spans="2:15">
      <c r="B6764" s="20">
        <v>45960</v>
      </c>
      <c r="C6764" s="59">
        <v>50809353</v>
      </c>
      <c r="D6764" s="55" t="s">
        <v>905</v>
      </c>
      <c r="G6764" s="65">
        <f>400*22</f>
        <v>8800</v>
      </c>
      <c r="H6764" s="56" t="s">
        <v>82</v>
      </c>
      <c r="I6764" s="54">
        <v>8728929645</v>
      </c>
      <c r="J6764" s="56" t="s">
        <v>2978</v>
      </c>
      <c r="K6764" s="56">
        <v>3501</v>
      </c>
      <c r="L6764" s="55" t="s">
        <v>2152</v>
      </c>
      <c r="M6764" s="55" t="s">
        <v>2824</v>
      </c>
      <c r="N6764" s="4" t="s">
        <v>1905</v>
      </c>
      <c r="O6764" s="55" t="s">
        <v>178</v>
      </c>
    </row>
    <row r="6765" spans="2:15">
      <c r="B6765" s="20">
        <v>45960</v>
      </c>
      <c r="C6765" s="59">
        <v>50858259</v>
      </c>
      <c r="D6765" s="55" t="s">
        <v>2724</v>
      </c>
      <c r="G6765" s="65">
        <v>9</v>
      </c>
      <c r="H6765" s="56" t="s">
        <v>505</v>
      </c>
      <c r="I6765" s="54">
        <v>8728991683</v>
      </c>
      <c r="J6765" s="56" t="s">
        <v>3063</v>
      </c>
      <c r="K6765" s="56">
        <v>3501</v>
      </c>
      <c r="L6765" s="55" t="s">
        <v>2152</v>
      </c>
      <c r="M6765" s="55" t="s">
        <v>2824</v>
      </c>
      <c r="N6765" s="4" t="s">
        <v>1905</v>
      </c>
      <c r="O6765" s="55" t="s">
        <v>178</v>
      </c>
    </row>
    <row r="6766" spans="2:15">
      <c r="B6766" s="20">
        <v>45960</v>
      </c>
      <c r="C6766" s="59">
        <v>50858280</v>
      </c>
      <c r="D6766" s="55" t="s">
        <v>2726</v>
      </c>
      <c r="G6766" s="65">
        <v>38</v>
      </c>
      <c r="H6766" s="56" t="s">
        <v>505</v>
      </c>
      <c r="I6766" s="54">
        <v>8728991683</v>
      </c>
      <c r="J6766" s="56" t="s">
        <v>3063</v>
      </c>
      <c r="K6766" s="56">
        <v>3501</v>
      </c>
      <c r="L6766" s="55" t="s">
        <v>2152</v>
      </c>
      <c r="M6766" s="55" t="s">
        <v>2824</v>
      </c>
      <c r="N6766" s="4" t="s">
        <v>1905</v>
      </c>
      <c r="O6766" s="55" t="s">
        <v>178</v>
      </c>
    </row>
    <row r="6767" spans="2:15">
      <c r="B6767" s="20">
        <v>45960</v>
      </c>
      <c r="C6767" s="59">
        <v>50858281</v>
      </c>
      <c r="D6767" s="55" t="s">
        <v>2727</v>
      </c>
      <c r="G6767" s="65">
        <v>59</v>
      </c>
      <c r="H6767" s="56" t="s">
        <v>505</v>
      </c>
      <c r="I6767" s="54">
        <v>8728991683</v>
      </c>
      <c r="J6767" s="56" t="s">
        <v>3063</v>
      </c>
      <c r="K6767" s="56">
        <v>3501</v>
      </c>
      <c r="L6767" s="55" t="s">
        <v>2152</v>
      </c>
      <c r="M6767" s="55" t="s">
        <v>2824</v>
      </c>
      <c r="N6767" s="4" t="s">
        <v>1905</v>
      </c>
      <c r="O6767" s="55" t="s">
        <v>178</v>
      </c>
    </row>
    <row r="6768" spans="2:15">
      <c r="B6768" s="20">
        <v>45961</v>
      </c>
      <c r="C6768" s="59">
        <v>50804971</v>
      </c>
      <c r="D6768" s="55" t="s">
        <v>855</v>
      </c>
      <c r="G6768" s="58">
        <v>1800000</v>
      </c>
      <c r="H6768" s="56" t="s">
        <v>92</v>
      </c>
      <c r="I6768" s="56">
        <v>8728948270</v>
      </c>
      <c r="J6768" s="56" t="s">
        <v>2978</v>
      </c>
      <c r="K6768" s="56">
        <v>3503</v>
      </c>
      <c r="L6768" s="55" t="s">
        <v>2152</v>
      </c>
      <c r="M6768" s="55" t="s">
        <v>2824</v>
      </c>
      <c r="N6768" s="4" t="s">
        <v>1905</v>
      </c>
      <c r="O6768" s="55" t="s">
        <v>178</v>
      </c>
    </row>
    <row r="6769" spans="2:15">
      <c r="B6769" s="20">
        <v>45961</v>
      </c>
      <c r="C6769" s="59">
        <v>50804929</v>
      </c>
      <c r="D6769" s="55" t="s">
        <v>856</v>
      </c>
      <c r="G6769" s="58">
        <v>300000</v>
      </c>
      <c r="H6769" s="56" t="s">
        <v>92</v>
      </c>
      <c r="I6769" s="56">
        <v>8728948270</v>
      </c>
      <c r="J6769" s="56" t="s">
        <v>2978</v>
      </c>
      <c r="K6769" s="56">
        <v>3503</v>
      </c>
      <c r="L6769" s="55" t="s">
        <v>2152</v>
      </c>
      <c r="M6769" s="55" t="s">
        <v>2824</v>
      </c>
      <c r="N6769" s="4" t="s">
        <v>1905</v>
      </c>
      <c r="O6769" s="55" t="s">
        <v>178</v>
      </c>
    </row>
    <row r="6770" spans="2:15">
      <c r="B6770" s="20">
        <v>45961</v>
      </c>
      <c r="C6770" s="59">
        <v>40011149</v>
      </c>
      <c r="D6770" s="55" t="s">
        <v>37</v>
      </c>
      <c r="G6770" s="58">
        <v>720</v>
      </c>
      <c r="H6770" s="56" t="s">
        <v>80</v>
      </c>
      <c r="I6770" s="56">
        <v>8728948270</v>
      </c>
      <c r="J6770" s="56" t="s">
        <v>2978</v>
      </c>
      <c r="K6770" s="56">
        <v>3503</v>
      </c>
      <c r="L6770" s="55" t="s">
        <v>2152</v>
      </c>
      <c r="M6770" s="55" t="s">
        <v>2824</v>
      </c>
      <c r="N6770" s="4" t="s">
        <v>1905</v>
      </c>
      <c r="O6770" s="55" t="s">
        <v>178</v>
      </c>
    </row>
    <row r="6771" spans="2:15">
      <c r="B6771" s="20">
        <v>45961</v>
      </c>
      <c r="C6771" s="59">
        <v>50470190</v>
      </c>
      <c r="D6771" s="55" t="s">
        <v>12</v>
      </c>
      <c r="G6771" s="65">
        <v>2898000</v>
      </c>
      <c r="H6771" s="56" t="s">
        <v>92</v>
      </c>
      <c r="I6771" s="56">
        <v>8728948270</v>
      </c>
      <c r="J6771" s="56" t="s">
        <v>2978</v>
      </c>
      <c r="K6771" s="56">
        <v>3503</v>
      </c>
      <c r="L6771" s="55" t="s">
        <v>2152</v>
      </c>
      <c r="M6771" s="55" t="s">
        <v>2824</v>
      </c>
      <c r="N6771" s="4" t="s">
        <v>1905</v>
      </c>
      <c r="O6771" s="55" t="s">
        <v>178</v>
      </c>
    </row>
    <row r="6772" spans="2:15">
      <c r="B6772" s="20">
        <v>45961</v>
      </c>
      <c r="C6772" s="59">
        <v>50802401</v>
      </c>
      <c r="D6772" s="55" t="s">
        <v>13</v>
      </c>
      <c r="G6772" s="65">
        <v>869400</v>
      </c>
      <c r="H6772" s="56" t="s">
        <v>92</v>
      </c>
      <c r="I6772" s="56">
        <v>8728948270</v>
      </c>
      <c r="J6772" s="56" t="s">
        <v>2978</v>
      </c>
      <c r="K6772" s="56">
        <v>3503</v>
      </c>
      <c r="L6772" s="55" t="s">
        <v>2152</v>
      </c>
      <c r="M6772" s="55" t="s">
        <v>2824</v>
      </c>
      <c r="N6772" s="4" t="s">
        <v>1905</v>
      </c>
      <c r="O6772" s="55" t="s">
        <v>178</v>
      </c>
    </row>
    <row r="6773" spans="2:15">
      <c r="B6773" s="20">
        <v>45961</v>
      </c>
      <c r="C6773" s="59">
        <v>50509889</v>
      </c>
      <c r="D6773" s="55" t="s">
        <v>671</v>
      </c>
      <c r="G6773" s="65">
        <v>528000</v>
      </c>
      <c r="H6773" s="56" t="s">
        <v>92</v>
      </c>
      <c r="I6773" s="56">
        <v>8728948270</v>
      </c>
      <c r="J6773" s="56" t="s">
        <v>2978</v>
      </c>
      <c r="K6773" s="56">
        <v>3503</v>
      </c>
      <c r="L6773" s="55" t="s">
        <v>2152</v>
      </c>
      <c r="M6773" s="55" t="s">
        <v>2824</v>
      </c>
      <c r="N6773" s="4" t="s">
        <v>1905</v>
      </c>
      <c r="O6773" s="55" t="s">
        <v>178</v>
      </c>
    </row>
    <row r="6774" spans="2:15">
      <c r="B6774" s="20">
        <v>45961</v>
      </c>
      <c r="C6774" s="54">
        <v>50272278</v>
      </c>
      <c r="D6774" s="69" t="s">
        <v>21</v>
      </c>
      <c r="G6774" s="65">
        <f>300*44</f>
        <v>13200</v>
      </c>
      <c r="H6774" s="56" t="s">
        <v>92</v>
      </c>
      <c r="I6774" s="54">
        <v>8728991724</v>
      </c>
      <c r="J6774" s="56" t="s">
        <v>3062</v>
      </c>
      <c r="K6774" s="56">
        <v>3502</v>
      </c>
      <c r="L6774" s="55" t="s">
        <v>2152</v>
      </c>
      <c r="M6774" s="55" t="s">
        <v>2824</v>
      </c>
      <c r="N6774" s="4" t="s">
        <v>1905</v>
      </c>
      <c r="O6774" s="55" t="s">
        <v>178</v>
      </c>
    </row>
    <row r="6775" spans="2:15">
      <c r="B6775" s="20">
        <v>45961</v>
      </c>
      <c r="C6775" s="54">
        <v>50815262</v>
      </c>
      <c r="D6775" s="55" t="s">
        <v>2733</v>
      </c>
      <c r="F6775" s="67">
        <v>24</v>
      </c>
      <c r="G6775" s="65">
        <v>14400</v>
      </c>
      <c r="H6775" s="56" t="s">
        <v>92</v>
      </c>
      <c r="I6775" s="54">
        <v>8728991726</v>
      </c>
      <c r="J6775" s="56" t="s">
        <v>3063</v>
      </c>
      <c r="K6775" s="56">
        <v>708</v>
      </c>
      <c r="L6775" s="55" t="s">
        <v>2152</v>
      </c>
      <c r="M6775" s="55" t="s">
        <v>2824</v>
      </c>
      <c r="N6775" s="4" t="s">
        <v>177</v>
      </c>
      <c r="O6775" s="55" t="s">
        <v>178</v>
      </c>
    </row>
    <row r="6776" spans="2:15">
      <c r="B6776" s="20">
        <v>45961</v>
      </c>
      <c r="C6776" s="54">
        <v>50815262</v>
      </c>
      <c r="D6776" s="55" t="s">
        <v>2733</v>
      </c>
      <c r="F6776" s="67">
        <v>22</v>
      </c>
      <c r="G6776" s="65">
        <v>13200</v>
      </c>
      <c r="H6776" s="56" t="s">
        <v>92</v>
      </c>
      <c r="I6776" s="54">
        <v>8728991727</v>
      </c>
      <c r="J6776" s="56" t="s">
        <v>3063</v>
      </c>
      <c r="K6776" s="56">
        <v>709</v>
      </c>
      <c r="L6776" s="55" t="s">
        <v>2004</v>
      </c>
      <c r="M6776" s="55" t="s">
        <v>2824</v>
      </c>
      <c r="O6776" s="55" t="s">
        <v>178</v>
      </c>
    </row>
    <row r="6777" spans="2:15">
      <c r="B6777" s="20">
        <v>45961</v>
      </c>
      <c r="C6777" s="54">
        <v>50815262</v>
      </c>
      <c r="D6777" s="55" t="s">
        <v>2733</v>
      </c>
      <c r="F6777" s="67">
        <v>24</v>
      </c>
      <c r="G6777" s="65">
        <v>14400</v>
      </c>
      <c r="H6777" s="56" t="s">
        <v>92</v>
      </c>
      <c r="I6777" s="54">
        <v>8728991728</v>
      </c>
      <c r="J6777" s="56" t="s">
        <v>3063</v>
      </c>
      <c r="K6777" s="56">
        <v>710</v>
      </c>
      <c r="L6777" s="55" t="s">
        <v>2152</v>
      </c>
      <c r="M6777" s="55" t="s">
        <v>2824</v>
      </c>
      <c r="N6777" s="4" t="s">
        <v>177</v>
      </c>
      <c r="O6777" s="55" t="s">
        <v>178</v>
      </c>
    </row>
    <row r="6778" spans="2:15">
      <c r="B6778" s="20">
        <v>45961</v>
      </c>
      <c r="C6778" s="54">
        <v>50815262</v>
      </c>
      <c r="D6778" s="55" t="s">
        <v>2733</v>
      </c>
      <c r="F6778" s="67">
        <v>22</v>
      </c>
      <c r="G6778" s="65">
        <v>13200</v>
      </c>
      <c r="H6778" s="56" t="s">
        <v>92</v>
      </c>
      <c r="I6778" s="54">
        <v>8728991729</v>
      </c>
      <c r="J6778" s="56" t="s">
        <v>3063</v>
      </c>
      <c r="K6778" s="56">
        <v>711</v>
      </c>
      <c r="L6778" s="55" t="s">
        <v>2004</v>
      </c>
      <c r="M6778" s="55" t="s">
        <v>2824</v>
      </c>
      <c r="O6778" s="55" t="s">
        <v>178</v>
      </c>
    </row>
    <row r="6779" spans="2:15">
      <c r="B6779" s="20">
        <v>45961</v>
      </c>
      <c r="C6779" s="54">
        <v>50815262</v>
      </c>
      <c r="D6779" s="55" t="s">
        <v>2733</v>
      </c>
      <c r="F6779" s="67">
        <v>22</v>
      </c>
      <c r="G6779" s="65">
        <v>13200</v>
      </c>
      <c r="H6779" s="56" t="s">
        <v>92</v>
      </c>
      <c r="I6779" s="54">
        <v>8728991730</v>
      </c>
      <c r="J6779" s="56" t="s">
        <v>3063</v>
      </c>
      <c r="K6779" s="56">
        <v>712</v>
      </c>
      <c r="L6779" s="55" t="s">
        <v>3064</v>
      </c>
      <c r="M6779" s="55" t="s">
        <v>2824</v>
      </c>
      <c r="O6779" s="55" t="s">
        <v>178</v>
      </c>
    </row>
    <row r="6780" spans="2:15">
      <c r="B6780" s="20">
        <v>45961</v>
      </c>
      <c r="C6780" s="54">
        <v>50815262</v>
      </c>
      <c r="D6780" s="55" t="s">
        <v>2733</v>
      </c>
      <c r="F6780" s="67">
        <v>22</v>
      </c>
      <c r="G6780" s="65">
        <v>13200</v>
      </c>
      <c r="H6780" s="56" t="s">
        <v>92</v>
      </c>
      <c r="I6780" s="54">
        <v>8728991733</v>
      </c>
      <c r="J6780" s="56" t="s">
        <v>3063</v>
      </c>
      <c r="K6780" s="56">
        <v>713</v>
      </c>
      <c r="L6780" s="55" t="s">
        <v>2004</v>
      </c>
      <c r="M6780" s="55" t="s">
        <v>2824</v>
      </c>
      <c r="O6780" s="55" t="s">
        <v>178</v>
      </c>
    </row>
    <row r="6781" spans="2:15">
      <c r="B6781" s="20">
        <v>45961</v>
      </c>
      <c r="C6781" s="54">
        <v>50815262</v>
      </c>
      <c r="D6781" s="55" t="s">
        <v>2733</v>
      </c>
      <c r="F6781" s="67">
        <v>24</v>
      </c>
      <c r="G6781" s="65">
        <v>14400</v>
      </c>
      <c r="H6781" s="56" t="s">
        <v>92</v>
      </c>
      <c r="I6781" s="54">
        <v>8728991824</v>
      </c>
      <c r="J6781" s="56" t="s">
        <v>3063</v>
      </c>
      <c r="K6781" s="56">
        <v>714</v>
      </c>
      <c r="L6781" s="55" t="s">
        <v>2152</v>
      </c>
      <c r="M6781" s="55" t="s">
        <v>2824</v>
      </c>
      <c r="N6781" s="4" t="s">
        <v>177</v>
      </c>
      <c r="O6781" s="55" t="s">
        <v>178</v>
      </c>
    </row>
    <row r="6782" spans="2:15">
      <c r="B6782" s="20">
        <v>45961</v>
      </c>
      <c r="C6782" s="54">
        <v>50815262</v>
      </c>
      <c r="D6782" s="55" t="s">
        <v>2733</v>
      </c>
      <c r="F6782" s="67">
        <v>22</v>
      </c>
      <c r="G6782" s="65">
        <v>13200</v>
      </c>
      <c r="H6782" s="56" t="s">
        <v>92</v>
      </c>
      <c r="I6782" s="54">
        <v>8728991825</v>
      </c>
      <c r="J6782" s="56" t="s">
        <v>3063</v>
      </c>
      <c r="K6782" s="56">
        <v>715</v>
      </c>
      <c r="L6782" s="55" t="s">
        <v>2004</v>
      </c>
      <c r="M6782" s="55" t="s">
        <v>2824</v>
      </c>
      <c r="O6782" s="55" t="s">
        <v>178</v>
      </c>
    </row>
    <row r="6783" spans="2:15">
      <c r="B6783" s="20">
        <v>45964</v>
      </c>
      <c r="C6783" s="59">
        <v>40010086</v>
      </c>
      <c r="D6783" s="55" t="s">
        <v>79</v>
      </c>
      <c r="G6783" s="65">
        <v>5990</v>
      </c>
      <c r="H6783" s="56" t="s">
        <v>80</v>
      </c>
      <c r="I6783" s="54">
        <v>8728978639</v>
      </c>
      <c r="J6783" s="56" t="s">
        <v>3062</v>
      </c>
      <c r="K6783" s="56">
        <v>3504</v>
      </c>
      <c r="L6783" s="55" t="s">
        <v>2152</v>
      </c>
      <c r="M6783" s="55" t="s">
        <v>2824</v>
      </c>
      <c r="N6783" s="4" t="s">
        <v>1905</v>
      </c>
      <c r="O6783" s="55" t="s">
        <v>178</v>
      </c>
    </row>
    <row r="6784" spans="2:15">
      <c r="B6784" s="20">
        <v>45964</v>
      </c>
      <c r="C6784" s="59">
        <v>50804971</v>
      </c>
      <c r="D6784" s="55" t="s">
        <v>855</v>
      </c>
      <c r="G6784" s="65">
        <v>630000</v>
      </c>
      <c r="H6784" s="56" t="s">
        <v>92</v>
      </c>
      <c r="I6784" s="54">
        <v>8728978639</v>
      </c>
      <c r="J6784" s="56" t="s">
        <v>3062</v>
      </c>
      <c r="K6784" s="56">
        <v>3504</v>
      </c>
      <c r="L6784" s="55" t="s">
        <v>2152</v>
      </c>
      <c r="M6784" s="55" t="s">
        <v>2824</v>
      </c>
      <c r="N6784" s="4" t="s">
        <v>1905</v>
      </c>
      <c r="O6784" s="55" t="s">
        <v>178</v>
      </c>
    </row>
    <row r="6785" spans="2:15">
      <c r="B6785" s="20">
        <v>45964</v>
      </c>
      <c r="C6785" s="59">
        <v>50804929</v>
      </c>
      <c r="D6785" s="55" t="s">
        <v>856</v>
      </c>
      <c r="G6785" s="65">
        <v>600000</v>
      </c>
      <c r="H6785" s="56" t="s">
        <v>92</v>
      </c>
      <c r="I6785" s="54">
        <v>8728978639</v>
      </c>
      <c r="J6785" s="56" t="s">
        <v>3062</v>
      </c>
      <c r="K6785" s="56">
        <v>3504</v>
      </c>
      <c r="L6785" s="55" t="s">
        <v>2152</v>
      </c>
      <c r="M6785" s="55" t="s">
        <v>2824</v>
      </c>
      <c r="N6785" s="4" t="s">
        <v>1905</v>
      </c>
      <c r="O6785" s="55" t="s">
        <v>178</v>
      </c>
    </row>
    <row r="6786" spans="2:15">
      <c r="B6786" s="20">
        <v>45964</v>
      </c>
      <c r="C6786" s="59">
        <v>40011149</v>
      </c>
      <c r="D6786" s="55" t="s">
        <v>37</v>
      </c>
      <c r="G6786" s="65">
        <v>360</v>
      </c>
      <c r="H6786" s="56" t="s">
        <v>80</v>
      </c>
      <c r="I6786" s="54">
        <v>8728978639</v>
      </c>
      <c r="J6786" s="56" t="s">
        <v>3062</v>
      </c>
      <c r="K6786" s="56">
        <v>3504</v>
      </c>
      <c r="L6786" s="55" t="s">
        <v>2152</v>
      </c>
      <c r="M6786" s="55" t="s">
        <v>2824</v>
      </c>
      <c r="N6786" s="4" t="s">
        <v>1905</v>
      </c>
      <c r="O6786" s="55" t="s">
        <v>178</v>
      </c>
    </row>
    <row r="6787" spans="2:15">
      <c r="B6787" s="20">
        <v>45964</v>
      </c>
      <c r="C6787" s="59">
        <v>50470190</v>
      </c>
      <c r="D6787" s="55" t="s">
        <v>12</v>
      </c>
      <c r="G6787" s="65">
        <v>4057200</v>
      </c>
      <c r="H6787" s="56" t="s">
        <v>92</v>
      </c>
      <c r="I6787" s="54">
        <v>8728978639</v>
      </c>
      <c r="J6787" s="56" t="s">
        <v>3062</v>
      </c>
      <c r="K6787" s="56">
        <v>3504</v>
      </c>
      <c r="L6787" s="55" t="s">
        <v>2152</v>
      </c>
      <c r="M6787" s="55" t="s">
        <v>2824</v>
      </c>
      <c r="N6787" s="4" t="s">
        <v>1905</v>
      </c>
      <c r="O6787" s="55" t="s">
        <v>178</v>
      </c>
    </row>
    <row r="6788" spans="2:15">
      <c r="B6788" s="20">
        <v>45964</v>
      </c>
      <c r="C6788" s="59">
        <v>50144376</v>
      </c>
      <c r="D6788" s="55" t="s">
        <v>19</v>
      </c>
      <c r="G6788" s="65">
        <v>6600</v>
      </c>
      <c r="H6788" s="56" t="s">
        <v>92</v>
      </c>
      <c r="I6788" s="54">
        <v>8728978641</v>
      </c>
      <c r="J6788" s="56" t="s">
        <v>3062</v>
      </c>
      <c r="K6788" s="56">
        <v>3505</v>
      </c>
      <c r="L6788" s="55" t="s">
        <v>2152</v>
      </c>
      <c r="M6788" s="55" t="s">
        <v>2824</v>
      </c>
      <c r="N6788" s="4" t="s">
        <v>1905</v>
      </c>
      <c r="O6788" s="55" t="s">
        <v>178</v>
      </c>
    </row>
    <row r="6789" spans="2:15">
      <c r="B6789" s="20">
        <v>45964</v>
      </c>
      <c r="C6789" s="59">
        <v>50272278</v>
      </c>
      <c r="D6789" s="55" t="s">
        <v>21</v>
      </c>
      <c r="G6789" s="65">
        <v>6600</v>
      </c>
      <c r="H6789" s="56" t="s">
        <v>92</v>
      </c>
      <c r="I6789" s="54">
        <v>8728978641</v>
      </c>
      <c r="J6789" s="56" t="s">
        <v>3062</v>
      </c>
      <c r="K6789" s="56">
        <v>3505</v>
      </c>
      <c r="L6789" s="55" t="s">
        <v>2152</v>
      </c>
      <c r="M6789" s="55" t="s">
        <v>2824</v>
      </c>
      <c r="N6789" s="4" t="s">
        <v>1905</v>
      </c>
      <c r="O6789" s="55" t="s">
        <v>178</v>
      </c>
    </row>
    <row r="6790" spans="2:15">
      <c r="B6790" s="20">
        <v>45965</v>
      </c>
      <c r="C6790" s="59">
        <v>50142631</v>
      </c>
      <c r="D6790" s="55" t="s">
        <v>566</v>
      </c>
      <c r="G6790" s="65">
        <v>1000</v>
      </c>
      <c r="H6790" s="56" t="s">
        <v>82</v>
      </c>
      <c r="I6790" s="54">
        <v>8728991576</v>
      </c>
      <c r="J6790" s="56" t="s">
        <v>3062</v>
      </c>
      <c r="K6790" s="56">
        <v>3506</v>
      </c>
      <c r="L6790" s="55" t="s">
        <v>2152</v>
      </c>
      <c r="M6790" s="55" t="s">
        <v>2824</v>
      </c>
      <c r="N6790" s="4" t="s">
        <v>1905</v>
      </c>
      <c r="O6790" s="55" t="s">
        <v>178</v>
      </c>
    </row>
    <row r="6791" spans="2:15">
      <c r="B6791" s="20">
        <v>45965</v>
      </c>
      <c r="C6791" s="59">
        <v>50804929</v>
      </c>
      <c r="D6791" s="55" t="s">
        <v>856</v>
      </c>
      <c r="G6791" s="65">
        <v>1500000</v>
      </c>
      <c r="H6791" s="56" t="s">
        <v>92</v>
      </c>
      <c r="I6791" s="54">
        <v>8728991576</v>
      </c>
      <c r="J6791" s="56" t="s">
        <v>3062</v>
      </c>
      <c r="K6791" s="56">
        <v>3506</v>
      </c>
      <c r="L6791" s="55" t="s">
        <v>2152</v>
      </c>
      <c r="M6791" s="55" t="s">
        <v>2824</v>
      </c>
      <c r="N6791" s="4" t="s">
        <v>1905</v>
      </c>
      <c r="O6791" s="55" t="s">
        <v>178</v>
      </c>
    </row>
    <row r="6792" spans="2:15">
      <c r="B6792" s="20">
        <v>45965</v>
      </c>
      <c r="C6792" s="59">
        <v>50837284</v>
      </c>
      <c r="D6792" s="55" t="s">
        <v>28</v>
      </c>
      <c r="G6792" s="65">
        <v>167.35</v>
      </c>
      <c r="H6792" s="56" t="s">
        <v>82</v>
      </c>
      <c r="I6792" s="54">
        <v>8728991576</v>
      </c>
      <c r="J6792" s="56" t="s">
        <v>3062</v>
      </c>
      <c r="K6792" s="56">
        <v>3506</v>
      </c>
      <c r="L6792" s="55" t="s">
        <v>2152</v>
      </c>
      <c r="M6792" s="55" t="s">
        <v>2824</v>
      </c>
      <c r="N6792" s="4" t="s">
        <v>1905</v>
      </c>
      <c r="O6792" s="55" t="s">
        <v>178</v>
      </c>
    </row>
    <row r="6793" spans="2:15">
      <c r="B6793" s="20">
        <v>45965</v>
      </c>
      <c r="C6793" s="59">
        <v>40004808</v>
      </c>
      <c r="D6793" s="55" t="s">
        <v>91</v>
      </c>
      <c r="G6793" s="65">
        <v>1080</v>
      </c>
      <c r="H6793" s="56" t="s">
        <v>80</v>
      </c>
      <c r="I6793" s="54">
        <v>8729025203</v>
      </c>
      <c r="J6793" s="56" t="s">
        <v>2978</v>
      </c>
      <c r="K6793" s="56">
        <v>3506</v>
      </c>
      <c r="L6793" s="55" t="s">
        <v>2152</v>
      </c>
      <c r="M6793" s="55" t="s">
        <v>2824</v>
      </c>
      <c r="N6793" s="4" t="s">
        <v>1905</v>
      </c>
      <c r="O6793" s="55" t="s">
        <v>178</v>
      </c>
    </row>
    <row r="6794" spans="2:15">
      <c r="B6794" s="20">
        <v>45965</v>
      </c>
      <c r="C6794" s="59">
        <v>40011149</v>
      </c>
      <c r="D6794" s="55" t="s">
        <v>37</v>
      </c>
      <c r="G6794" s="65">
        <v>360</v>
      </c>
      <c r="H6794" s="56" t="s">
        <v>80</v>
      </c>
      <c r="I6794" s="54">
        <v>8728991576</v>
      </c>
      <c r="J6794" s="56" t="s">
        <v>3062</v>
      </c>
      <c r="K6794" s="56">
        <v>3506</v>
      </c>
      <c r="L6794" s="55" t="s">
        <v>2152</v>
      </c>
      <c r="M6794" s="55" t="s">
        <v>2824</v>
      </c>
      <c r="N6794" s="4" t="s">
        <v>1905</v>
      </c>
      <c r="O6794" s="55" t="s">
        <v>178</v>
      </c>
    </row>
    <row r="6795" spans="2:15">
      <c r="B6795" s="20">
        <v>45965</v>
      </c>
      <c r="C6795" s="59">
        <v>40011780</v>
      </c>
      <c r="D6795" s="55" t="s">
        <v>584</v>
      </c>
      <c r="G6795" s="65">
        <v>450</v>
      </c>
      <c r="H6795" s="56" t="s">
        <v>80</v>
      </c>
      <c r="I6795" s="54">
        <v>8728991576</v>
      </c>
      <c r="J6795" s="56" t="s">
        <v>3062</v>
      </c>
      <c r="K6795" s="56">
        <v>3506</v>
      </c>
      <c r="L6795" s="55" t="s">
        <v>2152</v>
      </c>
      <c r="M6795" s="55" t="s">
        <v>2824</v>
      </c>
      <c r="N6795" s="4" t="s">
        <v>1905</v>
      </c>
      <c r="O6795" s="55" t="s">
        <v>178</v>
      </c>
    </row>
    <row r="6796" spans="2:15">
      <c r="B6796" s="20">
        <v>45965</v>
      </c>
      <c r="C6796" s="59">
        <v>40011588</v>
      </c>
      <c r="D6796" s="55" t="s">
        <v>585</v>
      </c>
      <c r="G6796" s="65">
        <v>450</v>
      </c>
      <c r="H6796" s="56" t="s">
        <v>80</v>
      </c>
      <c r="I6796" s="54">
        <v>8728991576</v>
      </c>
      <c r="J6796" s="56" t="s">
        <v>3062</v>
      </c>
      <c r="K6796" s="56">
        <v>3506</v>
      </c>
      <c r="L6796" s="55" t="s">
        <v>2152</v>
      </c>
      <c r="M6796" s="55" t="s">
        <v>2824</v>
      </c>
      <c r="N6796" s="4" t="s">
        <v>1905</v>
      </c>
      <c r="O6796" s="55" t="s">
        <v>178</v>
      </c>
    </row>
    <row r="6797" spans="2:15">
      <c r="B6797" s="20">
        <v>45965</v>
      </c>
      <c r="C6797" s="59">
        <v>40015052</v>
      </c>
      <c r="D6797" s="130" t="s">
        <v>2744</v>
      </c>
      <c r="G6797" s="65">
        <v>2590</v>
      </c>
      <c r="H6797" s="56" t="s">
        <v>80</v>
      </c>
      <c r="I6797" s="54">
        <v>8729074481</v>
      </c>
      <c r="J6797" s="56" t="s">
        <v>2978</v>
      </c>
      <c r="K6797" s="56">
        <v>3506</v>
      </c>
      <c r="L6797" s="55" t="s">
        <v>2152</v>
      </c>
      <c r="M6797" s="55" t="s">
        <v>2824</v>
      </c>
      <c r="N6797" s="4" t="s">
        <v>1905</v>
      </c>
      <c r="O6797" s="55" t="s">
        <v>178</v>
      </c>
    </row>
    <row r="6798" spans="2:15">
      <c r="B6798" s="20">
        <v>45965</v>
      </c>
      <c r="C6798" s="59">
        <v>40015055</v>
      </c>
      <c r="D6798" s="130" t="s">
        <v>2745</v>
      </c>
      <c r="G6798" s="65">
        <v>3276</v>
      </c>
      <c r="H6798" s="56" t="s">
        <v>80</v>
      </c>
      <c r="I6798" s="54">
        <v>8729073700</v>
      </c>
      <c r="J6798" s="56" t="s">
        <v>3062</v>
      </c>
      <c r="K6798" s="56">
        <v>3506</v>
      </c>
      <c r="L6798" s="55" t="s">
        <v>2152</v>
      </c>
      <c r="M6798" s="55" t="s">
        <v>2824</v>
      </c>
      <c r="N6798" s="4" t="s">
        <v>1905</v>
      </c>
      <c r="O6798" s="55" t="s">
        <v>178</v>
      </c>
    </row>
    <row r="6799" spans="2:15">
      <c r="B6799" s="20">
        <v>45965</v>
      </c>
      <c r="C6799" s="59">
        <v>50142055</v>
      </c>
      <c r="D6799" s="55" t="s">
        <v>206</v>
      </c>
      <c r="G6799" s="58">
        <v>2400</v>
      </c>
      <c r="H6799" s="56" t="s">
        <v>82</v>
      </c>
      <c r="I6799" s="54">
        <v>8729194782</v>
      </c>
      <c r="J6799" s="56" t="s">
        <v>3061</v>
      </c>
      <c r="K6799" s="56">
        <v>3507</v>
      </c>
      <c r="L6799" s="55" t="s">
        <v>2152</v>
      </c>
      <c r="M6799" s="55" t="s">
        <v>2824</v>
      </c>
      <c r="N6799" s="4" t="s">
        <v>1905</v>
      </c>
      <c r="O6799" s="55" t="s">
        <v>178</v>
      </c>
    </row>
    <row r="6800" spans="2:15">
      <c r="B6800" s="20">
        <v>45965</v>
      </c>
      <c r="C6800" s="59">
        <v>50142330</v>
      </c>
      <c r="D6800" s="55" t="s">
        <v>195</v>
      </c>
      <c r="G6800" s="58">
        <v>1080</v>
      </c>
      <c r="H6800" s="56" t="s">
        <v>82</v>
      </c>
      <c r="I6800" s="54">
        <v>8728991578</v>
      </c>
      <c r="J6800" s="56" t="s">
        <v>3062</v>
      </c>
      <c r="K6800" s="56">
        <v>3507</v>
      </c>
      <c r="L6800" s="55" t="s">
        <v>2152</v>
      </c>
      <c r="M6800" s="55" t="s">
        <v>2824</v>
      </c>
      <c r="N6800" s="4" t="s">
        <v>1905</v>
      </c>
      <c r="O6800" s="55" t="s">
        <v>178</v>
      </c>
    </row>
    <row r="6801" spans="2:15">
      <c r="B6801" s="20">
        <v>45965</v>
      </c>
      <c r="C6801" s="59">
        <v>50837239</v>
      </c>
      <c r="D6801" s="55" t="s">
        <v>27</v>
      </c>
      <c r="G6801" s="58">
        <v>5250.75</v>
      </c>
      <c r="H6801" s="56" t="s">
        <v>82</v>
      </c>
      <c r="I6801" s="54">
        <v>8728991578</v>
      </c>
      <c r="J6801" s="56" t="s">
        <v>3062</v>
      </c>
      <c r="K6801" s="56">
        <v>3507</v>
      </c>
      <c r="L6801" s="55" t="s">
        <v>2152</v>
      </c>
      <c r="M6801" s="55" t="s">
        <v>2824</v>
      </c>
      <c r="N6801" s="4" t="s">
        <v>1905</v>
      </c>
      <c r="O6801" s="55" t="s">
        <v>178</v>
      </c>
    </row>
    <row r="6802" spans="2:15">
      <c r="B6802" s="20">
        <v>45965</v>
      </c>
      <c r="C6802" s="59">
        <v>50837509</v>
      </c>
      <c r="D6802" s="55" t="s">
        <v>14</v>
      </c>
      <c r="G6802" s="65">
        <v>289800</v>
      </c>
      <c r="H6802" s="56" t="s">
        <v>92</v>
      </c>
      <c r="I6802" s="54">
        <v>8728991578</v>
      </c>
      <c r="J6802" s="56" t="s">
        <v>3062</v>
      </c>
      <c r="K6802" s="56">
        <v>3507</v>
      </c>
      <c r="L6802" s="55" t="s">
        <v>2152</v>
      </c>
      <c r="M6802" s="55" t="s">
        <v>2824</v>
      </c>
      <c r="N6802" s="4" t="s">
        <v>1905</v>
      </c>
      <c r="O6802" s="55" t="s">
        <v>178</v>
      </c>
    </row>
    <row r="6803" spans="2:15">
      <c r="B6803" s="20">
        <v>45965</v>
      </c>
      <c r="C6803" s="54">
        <v>40014900</v>
      </c>
      <c r="D6803" s="55" t="s">
        <v>153</v>
      </c>
      <c r="F6803" s="67">
        <v>26</v>
      </c>
      <c r="G6803" s="65">
        <v>37.44</v>
      </c>
      <c r="H6803" s="56" t="s">
        <v>80</v>
      </c>
      <c r="I6803" s="54">
        <v>8728991583</v>
      </c>
      <c r="J6803" s="56" t="s">
        <v>3062</v>
      </c>
      <c r="K6803" s="56">
        <v>716</v>
      </c>
      <c r="L6803" s="55" t="s">
        <v>2876</v>
      </c>
      <c r="M6803" s="55" t="s">
        <v>2824</v>
      </c>
      <c r="O6803" s="55" t="s">
        <v>178</v>
      </c>
    </row>
    <row r="6804" spans="2:15">
      <c r="B6804" s="20">
        <v>45965</v>
      </c>
      <c r="C6804" s="54">
        <v>40014900</v>
      </c>
      <c r="D6804" s="55" t="s">
        <v>153</v>
      </c>
      <c r="F6804" s="67">
        <v>26</v>
      </c>
      <c r="G6804" s="65">
        <v>37.44</v>
      </c>
      <c r="H6804" s="56" t="s">
        <v>80</v>
      </c>
      <c r="J6804" s="56" t="s">
        <v>3062</v>
      </c>
      <c r="K6804" s="56">
        <v>717</v>
      </c>
      <c r="L6804" s="55" t="s">
        <v>2876</v>
      </c>
      <c r="M6804" s="55" t="s">
        <v>2824</v>
      </c>
      <c r="O6804" s="55" t="s">
        <v>178</v>
      </c>
    </row>
    <row r="6805" spans="2:15">
      <c r="B6805" s="20">
        <v>45965</v>
      </c>
      <c r="C6805" s="54">
        <v>40014900</v>
      </c>
      <c r="D6805" s="55" t="s">
        <v>153</v>
      </c>
      <c r="F6805" s="67">
        <v>26</v>
      </c>
      <c r="G6805" s="65">
        <v>37.44</v>
      </c>
      <c r="H6805" s="56" t="s">
        <v>80</v>
      </c>
      <c r="J6805" s="56" t="s">
        <v>3062</v>
      </c>
      <c r="K6805" s="56">
        <v>718</v>
      </c>
      <c r="L6805" s="55" t="s">
        <v>2876</v>
      </c>
      <c r="M6805" s="55" t="s">
        <v>2824</v>
      </c>
      <c r="O6805" s="55" t="s">
        <v>178</v>
      </c>
    </row>
    <row r="6806" spans="2:15">
      <c r="B6806" s="20">
        <v>45965</v>
      </c>
      <c r="C6806" s="54">
        <v>40014900</v>
      </c>
      <c r="D6806" s="55" t="s">
        <v>153</v>
      </c>
      <c r="F6806" s="67">
        <v>26</v>
      </c>
      <c r="G6806" s="65">
        <v>37.44</v>
      </c>
      <c r="H6806" s="56" t="s">
        <v>80</v>
      </c>
      <c r="J6806" s="56" t="s">
        <v>3062</v>
      </c>
      <c r="K6806" s="56">
        <v>719</v>
      </c>
      <c r="L6806" s="55" t="s">
        <v>2876</v>
      </c>
      <c r="M6806" s="55" t="s">
        <v>2824</v>
      </c>
      <c r="O6806" s="55" t="s">
        <v>178</v>
      </c>
    </row>
    <row r="6807" spans="2:15">
      <c r="B6807" s="20">
        <v>45966</v>
      </c>
      <c r="C6807" s="54">
        <v>50337814</v>
      </c>
      <c r="D6807" s="55" t="s">
        <v>669</v>
      </c>
      <c r="G6807" s="65">
        <v>320</v>
      </c>
      <c r="H6807" s="56" t="s">
        <v>1248</v>
      </c>
      <c r="I6807" s="54" t="s">
        <v>3044</v>
      </c>
      <c r="J6807" s="56" t="s">
        <v>3062</v>
      </c>
    </row>
    <row r="6808" spans="2:15">
      <c r="B6808" s="20">
        <v>45966</v>
      </c>
      <c r="C6808" s="59">
        <v>50272278</v>
      </c>
      <c r="D6808" s="55" t="s">
        <v>21</v>
      </c>
      <c r="F6808" s="67">
        <f>13200-7500</f>
        <v>5700</v>
      </c>
      <c r="G6808" s="65">
        <v>13200</v>
      </c>
      <c r="H6808" s="56" t="s">
        <v>92</v>
      </c>
      <c r="I6808" s="54">
        <v>8729007763</v>
      </c>
      <c r="J6808" s="56" t="s">
        <v>3062</v>
      </c>
      <c r="K6808" s="56">
        <v>3508</v>
      </c>
      <c r="L6808" s="55" t="s">
        <v>2152</v>
      </c>
      <c r="M6808" s="55" t="s">
        <v>2824</v>
      </c>
      <c r="N6808" s="4" t="s">
        <v>1905</v>
      </c>
      <c r="O6808" s="55" t="s">
        <v>178</v>
      </c>
    </row>
    <row r="6809" spans="2:15">
      <c r="B6809" s="20">
        <v>45966</v>
      </c>
      <c r="C6809" s="54">
        <v>40014900</v>
      </c>
      <c r="D6809" s="55" t="s">
        <v>153</v>
      </c>
      <c r="F6809" s="67">
        <v>26</v>
      </c>
      <c r="G6809" s="65">
        <v>37.44</v>
      </c>
      <c r="H6809" s="56" t="s">
        <v>1248</v>
      </c>
      <c r="I6809" s="54">
        <v>8729089115</v>
      </c>
      <c r="J6809" s="56" t="s">
        <v>3062</v>
      </c>
      <c r="K6809" s="56">
        <v>720</v>
      </c>
      <c r="L6809" s="55" t="s">
        <v>2876</v>
      </c>
      <c r="M6809" s="55" t="s">
        <v>2824</v>
      </c>
      <c r="O6809" s="55" t="s">
        <v>178</v>
      </c>
    </row>
    <row r="6810" spans="2:15">
      <c r="B6810" s="20">
        <v>45966</v>
      </c>
      <c r="C6810" s="54">
        <v>40014900</v>
      </c>
      <c r="D6810" s="55" t="s">
        <v>153</v>
      </c>
      <c r="F6810" s="67">
        <v>26</v>
      </c>
      <c r="G6810" s="65">
        <v>37.44</v>
      </c>
      <c r="H6810" s="56" t="s">
        <v>1248</v>
      </c>
      <c r="I6810" s="54">
        <v>8729089120</v>
      </c>
      <c r="J6810" s="56" t="s">
        <v>3062</v>
      </c>
      <c r="K6810" s="56">
        <v>721</v>
      </c>
      <c r="L6810" s="55" t="s">
        <v>2876</v>
      </c>
      <c r="M6810" s="55" t="s">
        <v>2824</v>
      </c>
      <c r="O6810" s="55" t="s">
        <v>178</v>
      </c>
    </row>
    <row r="6811" spans="2:15">
      <c r="B6811" s="20">
        <v>45966</v>
      </c>
      <c r="C6811" s="54">
        <v>40014900</v>
      </c>
      <c r="D6811" s="55" t="s">
        <v>153</v>
      </c>
      <c r="F6811" s="67">
        <v>26</v>
      </c>
      <c r="G6811" s="65">
        <v>37.44</v>
      </c>
      <c r="H6811" s="56" t="s">
        <v>1248</v>
      </c>
      <c r="I6811" s="54">
        <v>8729089121</v>
      </c>
      <c r="J6811" s="56" t="s">
        <v>3062</v>
      </c>
      <c r="K6811" s="56">
        <v>722</v>
      </c>
      <c r="L6811" s="55" t="s">
        <v>2876</v>
      </c>
      <c r="M6811" s="55" t="s">
        <v>2824</v>
      </c>
      <c r="O6811" s="55" t="s">
        <v>178</v>
      </c>
    </row>
    <row r="6812" spans="2:15">
      <c r="B6812" s="20">
        <v>45966</v>
      </c>
      <c r="C6812" s="54">
        <v>40014900</v>
      </c>
      <c r="D6812" s="55" t="s">
        <v>153</v>
      </c>
      <c r="F6812" s="67">
        <v>26</v>
      </c>
      <c r="G6812" s="65">
        <v>37.44</v>
      </c>
      <c r="H6812" s="56" t="s">
        <v>1248</v>
      </c>
      <c r="I6812" s="54">
        <v>8729089122</v>
      </c>
      <c r="J6812" s="56" t="s">
        <v>3062</v>
      </c>
      <c r="K6812" s="56">
        <v>723</v>
      </c>
      <c r="L6812" s="55" t="s">
        <v>2876</v>
      </c>
      <c r="M6812" s="55" t="s">
        <v>2824</v>
      </c>
      <c r="O6812" s="55" t="s">
        <v>178</v>
      </c>
    </row>
    <row r="6813" spans="2:15">
      <c r="B6813" s="20">
        <v>45966</v>
      </c>
      <c r="C6813" s="59">
        <v>50799770</v>
      </c>
      <c r="D6813" s="55" t="s">
        <v>17</v>
      </c>
      <c r="G6813" s="65">
        <v>2500</v>
      </c>
      <c r="H6813" s="56" t="s">
        <v>92</v>
      </c>
      <c r="I6813" s="54" t="s">
        <v>3044</v>
      </c>
      <c r="J6813" s="56" t="s">
        <v>3061</v>
      </c>
      <c r="K6813" s="56">
        <v>3509</v>
      </c>
      <c r="L6813" s="55" t="s">
        <v>326</v>
      </c>
      <c r="M6813" s="55" t="s">
        <v>326</v>
      </c>
      <c r="O6813" s="55" t="s">
        <v>178</v>
      </c>
    </row>
    <row r="6814" spans="2:15">
      <c r="B6814" s="20">
        <v>45966</v>
      </c>
      <c r="C6814" s="59">
        <v>50144376</v>
      </c>
      <c r="D6814" s="55" t="s">
        <v>19</v>
      </c>
      <c r="G6814" s="65">
        <v>300</v>
      </c>
      <c r="H6814" s="56" t="s">
        <v>92</v>
      </c>
      <c r="I6814" s="54">
        <v>8729025101</v>
      </c>
      <c r="J6814" s="56" t="s">
        <v>3062</v>
      </c>
      <c r="K6814" s="56">
        <v>3509</v>
      </c>
      <c r="L6814" s="55" t="s">
        <v>326</v>
      </c>
      <c r="M6814" s="55" t="s">
        <v>326</v>
      </c>
      <c r="O6814" s="55" t="s">
        <v>178</v>
      </c>
    </row>
    <row r="6815" spans="2:15">
      <c r="B6815" s="20">
        <v>45966</v>
      </c>
      <c r="C6815" s="59">
        <v>50272278</v>
      </c>
      <c r="D6815" s="55" t="s">
        <v>21</v>
      </c>
      <c r="G6815" s="65">
        <v>1350</v>
      </c>
      <c r="H6815" s="56" t="s">
        <v>92</v>
      </c>
      <c r="I6815" s="54">
        <v>8729073489</v>
      </c>
      <c r="J6815" s="56" t="s">
        <v>3062</v>
      </c>
      <c r="K6815" s="56">
        <v>3509</v>
      </c>
      <c r="L6815" s="55" t="s">
        <v>326</v>
      </c>
      <c r="M6815" s="55" t="s">
        <v>326</v>
      </c>
      <c r="O6815" s="55" t="s">
        <v>178</v>
      </c>
    </row>
    <row r="6816" spans="2:15">
      <c r="B6816" s="20">
        <v>45966</v>
      </c>
      <c r="C6816" s="59">
        <v>50271805</v>
      </c>
      <c r="D6816" s="55" t="s">
        <v>2452</v>
      </c>
      <c r="G6816" s="65">
        <v>12000</v>
      </c>
      <c r="H6816" s="56" t="s">
        <v>92</v>
      </c>
      <c r="I6816" s="54">
        <v>8729025101</v>
      </c>
      <c r="J6816" s="56" t="s">
        <v>3062</v>
      </c>
      <c r="K6816" s="56">
        <v>3509</v>
      </c>
      <c r="L6816" s="55" t="s">
        <v>326</v>
      </c>
      <c r="M6816" s="55" t="s">
        <v>326</v>
      </c>
      <c r="O6816" s="55" t="s">
        <v>178</v>
      </c>
    </row>
    <row r="6817" spans="2:15">
      <c r="B6817" s="20">
        <v>45966</v>
      </c>
      <c r="C6817" s="59">
        <v>50837265</v>
      </c>
      <c r="D6817" s="55" t="s">
        <v>25</v>
      </c>
      <c r="G6817" s="58">
        <v>3176.2</v>
      </c>
      <c r="H6817" s="56" t="s">
        <v>82</v>
      </c>
      <c r="I6817" s="54">
        <v>8729008020</v>
      </c>
      <c r="J6817" s="56" t="s">
        <v>3062</v>
      </c>
      <c r="K6817" s="56">
        <v>3510</v>
      </c>
      <c r="L6817" s="55" t="s">
        <v>2152</v>
      </c>
      <c r="M6817" s="55" t="s">
        <v>2824</v>
      </c>
      <c r="N6817" s="4" t="s">
        <v>1905</v>
      </c>
      <c r="O6817" s="55" t="s">
        <v>178</v>
      </c>
    </row>
    <row r="6818" spans="2:15">
      <c r="B6818" s="20">
        <v>45966</v>
      </c>
      <c r="C6818" s="59">
        <v>50470190</v>
      </c>
      <c r="D6818" s="55" t="s">
        <v>12</v>
      </c>
      <c r="G6818" s="65">
        <v>2028600</v>
      </c>
      <c r="H6818" s="56" t="s">
        <v>92</v>
      </c>
      <c r="I6818" s="54">
        <v>8729008020</v>
      </c>
      <c r="J6818" s="56" t="s">
        <v>3062</v>
      </c>
      <c r="K6818" s="56">
        <v>3510</v>
      </c>
      <c r="L6818" s="55" t="s">
        <v>2152</v>
      </c>
      <c r="M6818" s="55" t="s">
        <v>2824</v>
      </c>
      <c r="N6818" s="4" t="s">
        <v>1905</v>
      </c>
      <c r="O6818" s="55" t="s">
        <v>178</v>
      </c>
    </row>
    <row r="6819" spans="2:15">
      <c r="B6819" s="20">
        <v>45966</v>
      </c>
      <c r="C6819" s="59">
        <v>50837509</v>
      </c>
      <c r="D6819" s="55" t="s">
        <v>14</v>
      </c>
      <c r="G6819" s="65">
        <v>1738800</v>
      </c>
      <c r="H6819" s="56" t="s">
        <v>92</v>
      </c>
      <c r="I6819" s="54">
        <v>8729008020</v>
      </c>
      <c r="J6819" s="56" t="s">
        <v>3062</v>
      </c>
      <c r="K6819" s="56">
        <v>3510</v>
      </c>
      <c r="L6819" s="55" t="s">
        <v>2152</v>
      </c>
      <c r="M6819" s="55" t="s">
        <v>2824</v>
      </c>
      <c r="N6819" s="4" t="s">
        <v>1905</v>
      </c>
      <c r="O6819" s="55" t="s">
        <v>178</v>
      </c>
    </row>
    <row r="6820" spans="2:15">
      <c r="B6820" s="20">
        <v>45966</v>
      </c>
      <c r="C6820" s="54">
        <v>40014900</v>
      </c>
      <c r="D6820" s="55" t="s">
        <v>153</v>
      </c>
      <c r="F6820" s="67">
        <v>26</v>
      </c>
      <c r="G6820" s="65">
        <v>37.44</v>
      </c>
      <c r="H6820" s="56" t="s">
        <v>1248</v>
      </c>
      <c r="I6820" s="54">
        <v>8729089123</v>
      </c>
      <c r="J6820" s="56" t="s">
        <v>2978</v>
      </c>
      <c r="K6820" s="56">
        <v>724</v>
      </c>
      <c r="L6820" s="55" t="s">
        <v>2876</v>
      </c>
      <c r="M6820" s="55" t="s">
        <v>2824</v>
      </c>
      <c r="O6820" s="55" t="s">
        <v>178</v>
      </c>
    </row>
    <row r="6821" spans="2:15">
      <c r="B6821" s="20">
        <v>45967</v>
      </c>
      <c r="C6821" s="54">
        <v>40014900</v>
      </c>
      <c r="D6821" s="55" t="s">
        <v>153</v>
      </c>
      <c r="F6821" s="67">
        <v>26</v>
      </c>
      <c r="G6821" s="65">
        <v>37.44</v>
      </c>
      <c r="H6821" s="56" t="s">
        <v>1248</v>
      </c>
      <c r="I6821" s="54">
        <v>8729089184</v>
      </c>
      <c r="J6821" s="56" t="s">
        <v>2978</v>
      </c>
      <c r="K6821" s="56">
        <v>725</v>
      </c>
      <c r="L6821" s="55" t="s">
        <v>2876</v>
      </c>
      <c r="M6821" s="55" t="s">
        <v>2824</v>
      </c>
      <c r="O6821" s="55" t="s">
        <v>178</v>
      </c>
    </row>
    <row r="6822" spans="2:15">
      <c r="B6822" s="20">
        <v>45967</v>
      </c>
      <c r="C6822" s="54">
        <v>40014900</v>
      </c>
      <c r="D6822" s="55" t="s">
        <v>153</v>
      </c>
      <c r="F6822" s="67">
        <v>26</v>
      </c>
      <c r="G6822" s="65">
        <v>37.44</v>
      </c>
      <c r="H6822" s="56" t="s">
        <v>1248</v>
      </c>
      <c r="I6822" s="54">
        <v>8729089185</v>
      </c>
      <c r="J6822" s="56" t="s">
        <v>2978</v>
      </c>
      <c r="K6822" s="56">
        <v>726</v>
      </c>
      <c r="L6822" s="55" t="s">
        <v>2876</v>
      </c>
      <c r="M6822" s="55" t="s">
        <v>2824</v>
      </c>
      <c r="O6822" s="55" t="s">
        <v>178</v>
      </c>
    </row>
    <row r="6823" spans="2:15">
      <c r="B6823" s="20">
        <v>45967</v>
      </c>
      <c r="C6823" s="54">
        <v>40014900</v>
      </c>
      <c r="D6823" s="55" t="s">
        <v>153</v>
      </c>
      <c r="F6823" s="67">
        <v>26</v>
      </c>
      <c r="G6823" s="65">
        <v>37.44</v>
      </c>
      <c r="H6823" s="56" t="s">
        <v>1248</v>
      </c>
      <c r="I6823" s="54">
        <v>8729089186</v>
      </c>
      <c r="J6823" s="56" t="s">
        <v>2978</v>
      </c>
      <c r="K6823" s="56">
        <v>727</v>
      </c>
      <c r="L6823" s="55" t="s">
        <v>2876</v>
      </c>
      <c r="M6823" s="55" t="s">
        <v>2824</v>
      </c>
      <c r="O6823" s="55" t="s">
        <v>178</v>
      </c>
    </row>
    <row r="6824" spans="2:15">
      <c r="B6824" s="20">
        <v>45967</v>
      </c>
      <c r="C6824" s="59">
        <v>50010080</v>
      </c>
      <c r="D6824" s="55" t="s">
        <v>1657</v>
      </c>
      <c r="G6824" s="61">
        <v>2000</v>
      </c>
      <c r="H6824" s="56" t="s">
        <v>82</v>
      </c>
      <c r="I6824" s="54">
        <v>8729025242</v>
      </c>
      <c r="J6824" s="56" t="s">
        <v>3062</v>
      </c>
      <c r="K6824" s="56">
        <v>3511</v>
      </c>
      <c r="L6824" s="55" t="s">
        <v>2152</v>
      </c>
      <c r="M6824" s="55" t="s">
        <v>2824</v>
      </c>
      <c r="N6824" s="4" t="s">
        <v>1905</v>
      </c>
      <c r="O6824" s="55" t="s">
        <v>178</v>
      </c>
    </row>
    <row r="6825" spans="2:15">
      <c r="B6825" s="20">
        <v>45967</v>
      </c>
      <c r="C6825" s="59">
        <v>50272278</v>
      </c>
      <c r="D6825" s="55" t="s">
        <v>21</v>
      </c>
      <c r="G6825" s="65">
        <v>9600</v>
      </c>
      <c r="H6825" s="56" t="s">
        <v>92</v>
      </c>
      <c r="I6825" s="54">
        <v>8729025242</v>
      </c>
      <c r="J6825" s="56" t="s">
        <v>3062</v>
      </c>
      <c r="K6825" s="56">
        <v>3511</v>
      </c>
      <c r="L6825" s="55" t="s">
        <v>2152</v>
      </c>
      <c r="M6825" s="55" t="s">
        <v>2824</v>
      </c>
      <c r="N6825" s="4" t="s">
        <v>1905</v>
      </c>
      <c r="O6825" s="55" t="s">
        <v>178</v>
      </c>
    </row>
    <row r="6826" spans="2:15">
      <c r="B6826" s="20">
        <v>45967</v>
      </c>
      <c r="C6826" s="59">
        <v>50142327</v>
      </c>
      <c r="D6826" s="55" t="s">
        <v>256</v>
      </c>
      <c r="G6826" s="58">
        <v>953.4</v>
      </c>
      <c r="H6826" s="56" t="s">
        <v>82</v>
      </c>
      <c r="I6826" s="54">
        <v>8729025242</v>
      </c>
      <c r="J6826" s="56" t="s">
        <v>3062</v>
      </c>
      <c r="K6826" s="56">
        <v>3511</v>
      </c>
      <c r="L6826" s="55" t="s">
        <v>2152</v>
      </c>
      <c r="M6826" s="55" t="s">
        <v>2824</v>
      </c>
      <c r="N6826" s="4" t="s">
        <v>1905</v>
      </c>
      <c r="O6826" s="55" t="s">
        <v>178</v>
      </c>
    </row>
    <row r="6827" spans="2:15">
      <c r="B6827" s="20">
        <v>45967</v>
      </c>
      <c r="C6827" s="59">
        <v>50142334</v>
      </c>
      <c r="D6827" s="55" t="s">
        <v>257</v>
      </c>
      <c r="G6827" s="58">
        <v>953.4</v>
      </c>
      <c r="H6827" s="56" t="s">
        <v>82</v>
      </c>
      <c r="I6827" s="54">
        <v>8729025242</v>
      </c>
      <c r="J6827" s="56" t="s">
        <v>3062</v>
      </c>
      <c r="K6827" s="56">
        <v>3511</v>
      </c>
      <c r="L6827" s="55" t="s">
        <v>2152</v>
      </c>
      <c r="M6827" s="55" t="s">
        <v>2824</v>
      </c>
      <c r="N6827" s="4" t="s">
        <v>1905</v>
      </c>
      <c r="O6827" s="55" t="s">
        <v>178</v>
      </c>
    </row>
    <row r="6828" spans="2:15">
      <c r="B6828" s="20">
        <v>45967</v>
      </c>
      <c r="C6828" s="54">
        <v>40014900</v>
      </c>
      <c r="D6828" s="55" t="s">
        <v>153</v>
      </c>
      <c r="F6828" s="67">
        <v>26</v>
      </c>
      <c r="G6828" s="65">
        <v>37.44</v>
      </c>
      <c r="H6828" s="56" t="s">
        <v>1248</v>
      </c>
      <c r="I6828" s="54">
        <v>8729089187</v>
      </c>
      <c r="J6828" s="56" t="s">
        <v>2978</v>
      </c>
      <c r="K6828" s="56">
        <v>728</v>
      </c>
      <c r="L6828" s="55" t="s">
        <v>2876</v>
      </c>
      <c r="M6828" s="55" t="s">
        <v>2824</v>
      </c>
      <c r="O6828" s="55" t="s">
        <v>178</v>
      </c>
    </row>
    <row r="6829" spans="2:15">
      <c r="B6829" s="20">
        <v>45967</v>
      </c>
      <c r="C6829" s="54">
        <v>50143646</v>
      </c>
      <c r="D6829" s="55" t="s">
        <v>191</v>
      </c>
      <c r="G6829" s="65">
        <v>480</v>
      </c>
      <c r="H6829" s="56" t="s">
        <v>82</v>
      </c>
      <c r="I6829" s="54">
        <v>8729025241</v>
      </c>
      <c r="J6829" s="56" t="s">
        <v>3062</v>
      </c>
      <c r="K6829" s="56">
        <v>3512</v>
      </c>
      <c r="L6829" s="55" t="s">
        <v>2152</v>
      </c>
      <c r="M6829" s="55" t="s">
        <v>2824</v>
      </c>
      <c r="N6829" s="4" t="s">
        <v>1905</v>
      </c>
      <c r="O6829" s="55" t="s">
        <v>178</v>
      </c>
    </row>
    <row r="6830" spans="2:15">
      <c r="B6830" s="20">
        <v>45967</v>
      </c>
      <c r="C6830" s="54">
        <v>50328488</v>
      </c>
      <c r="D6830" s="69" t="s">
        <v>1853</v>
      </c>
      <c r="G6830" s="65">
        <v>125</v>
      </c>
      <c r="H6830" s="56" t="s">
        <v>82</v>
      </c>
      <c r="I6830" s="54">
        <v>8729025241</v>
      </c>
      <c r="J6830" s="56" t="s">
        <v>3062</v>
      </c>
      <c r="K6830" s="56">
        <v>3512</v>
      </c>
      <c r="L6830" s="55" t="s">
        <v>2152</v>
      </c>
      <c r="M6830" s="55" t="s">
        <v>2824</v>
      </c>
      <c r="N6830" s="4" t="s">
        <v>1905</v>
      </c>
      <c r="O6830" s="55" t="s">
        <v>178</v>
      </c>
    </row>
    <row r="6831" spans="2:15">
      <c r="B6831" s="20">
        <v>45967</v>
      </c>
      <c r="C6831" s="54">
        <v>50328897</v>
      </c>
      <c r="D6831" s="69" t="s">
        <v>1850</v>
      </c>
      <c r="G6831" s="65">
        <v>110</v>
      </c>
      <c r="H6831" s="56" t="s">
        <v>82</v>
      </c>
      <c r="I6831" s="54">
        <v>8729025241</v>
      </c>
      <c r="J6831" s="56" t="s">
        <v>3062</v>
      </c>
      <c r="K6831" s="56">
        <v>3512</v>
      </c>
      <c r="L6831" s="55" t="s">
        <v>2152</v>
      </c>
      <c r="M6831" s="55" t="s">
        <v>2824</v>
      </c>
      <c r="N6831" s="4" t="s">
        <v>1905</v>
      </c>
      <c r="O6831" s="55" t="s">
        <v>178</v>
      </c>
    </row>
    <row r="6832" spans="2:15">
      <c r="B6832" s="20">
        <v>45967</v>
      </c>
      <c r="C6832" s="54">
        <v>50793278</v>
      </c>
      <c r="D6832" s="55" t="s">
        <v>1086</v>
      </c>
      <c r="G6832" s="65">
        <v>50</v>
      </c>
      <c r="H6832" s="56" t="s">
        <v>1087</v>
      </c>
      <c r="I6832" s="54">
        <v>8729025241</v>
      </c>
      <c r="J6832" s="56" t="s">
        <v>3062</v>
      </c>
      <c r="K6832" s="56">
        <v>3512</v>
      </c>
      <c r="L6832" s="55" t="s">
        <v>2152</v>
      </c>
      <c r="M6832" s="55" t="s">
        <v>2824</v>
      </c>
      <c r="N6832" s="4" t="s">
        <v>1905</v>
      </c>
      <c r="O6832" s="55" t="s">
        <v>178</v>
      </c>
    </row>
    <row r="6833" spans="2:15">
      <c r="B6833" s="20">
        <v>45967</v>
      </c>
      <c r="C6833" s="54">
        <v>40004808</v>
      </c>
      <c r="D6833" s="69" t="s">
        <v>91</v>
      </c>
      <c r="G6833" s="65">
        <v>540</v>
      </c>
      <c r="H6833" s="56" t="s">
        <v>80</v>
      </c>
      <c r="I6833" s="54">
        <v>8729025241</v>
      </c>
      <c r="J6833" s="56" t="s">
        <v>3062</v>
      </c>
      <c r="K6833" s="56">
        <v>3512</v>
      </c>
      <c r="L6833" s="55" t="s">
        <v>2152</v>
      </c>
      <c r="M6833" s="55" t="s">
        <v>2824</v>
      </c>
      <c r="N6833" s="4" t="s">
        <v>1905</v>
      </c>
      <c r="O6833" s="55" t="s">
        <v>178</v>
      </c>
    </row>
    <row r="6834" spans="2:15">
      <c r="B6834" s="20">
        <v>45967</v>
      </c>
      <c r="C6834" s="54">
        <v>50802401</v>
      </c>
      <c r="D6834" s="55" t="s">
        <v>13</v>
      </c>
      <c r="G6834" s="65">
        <v>2898000</v>
      </c>
      <c r="H6834" s="56" t="s">
        <v>92</v>
      </c>
      <c r="I6834" s="54">
        <v>8729025241</v>
      </c>
      <c r="J6834" s="56" t="s">
        <v>3062</v>
      </c>
      <c r="K6834" s="56">
        <v>3512</v>
      </c>
      <c r="L6834" s="55" t="s">
        <v>2152</v>
      </c>
      <c r="M6834" s="55" t="s">
        <v>2824</v>
      </c>
      <c r="N6834" s="4" t="s">
        <v>1905</v>
      </c>
      <c r="O6834" s="55" t="s">
        <v>178</v>
      </c>
    </row>
    <row r="6835" spans="2:15">
      <c r="B6835" s="20">
        <v>45967</v>
      </c>
      <c r="C6835" s="54">
        <v>40014900</v>
      </c>
      <c r="D6835" s="55" t="s">
        <v>153</v>
      </c>
      <c r="F6835" s="67">
        <v>26</v>
      </c>
      <c r="G6835" s="65">
        <v>37.44</v>
      </c>
      <c r="H6835" s="56" t="s">
        <v>1248</v>
      </c>
      <c r="I6835" s="54">
        <v>8729089189</v>
      </c>
      <c r="J6835" s="56" t="s">
        <v>2978</v>
      </c>
      <c r="K6835" s="56">
        <v>729</v>
      </c>
      <c r="L6835" s="55" t="s">
        <v>2876</v>
      </c>
      <c r="M6835" s="55" t="s">
        <v>2824</v>
      </c>
      <c r="O6835" s="55" t="s">
        <v>178</v>
      </c>
    </row>
    <row r="6836" spans="2:15">
      <c r="B6836" s="20">
        <v>45968</v>
      </c>
      <c r="C6836" s="54">
        <v>50272278</v>
      </c>
      <c r="D6836" s="69" t="s">
        <v>21</v>
      </c>
      <c r="G6836" s="65">
        <v>6000</v>
      </c>
      <c r="H6836" s="56" t="s">
        <v>92</v>
      </c>
      <c r="I6836" s="54">
        <v>8729042392</v>
      </c>
      <c r="J6836" s="56" t="s">
        <v>3062</v>
      </c>
      <c r="K6836" s="56">
        <v>3513</v>
      </c>
      <c r="L6836" s="55" t="s">
        <v>2152</v>
      </c>
      <c r="M6836" s="55" t="s">
        <v>2824</v>
      </c>
      <c r="N6836" s="4" t="s">
        <v>1905</v>
      </c>
      <c r="O6836" s="55" t="s">
        <v>178</v>
      </c>
    </row>
    <row r="6837" spans="2:15">
      <c r="B6837" s="20">
        <v>45968</v>
      </c>
      <c r="C6837" s="54">
        <v>50470190</v>
      </c>
      <c r="D6837" s="66" t="s">
        <v>12</v>
      </c>
      <c r="G6837" s="65">
        <v>2898000</v>
      </c>
      <c r="H6837" s="56" t="s">
        <v>92</v>
      </c>
      <c r="I6837" s="54">
        <v>8729042392</v>
      </c>
      <c r="J6837" s="56" t="s">
        <v>3062</v>
      </c>
      <c r="K6837" s="56">
        <v>3513</v>
      </c>
      <c r="L6837" s="55" t="s">
        <v>2152</v>
      </c>
      <c r="M6837" s="55" t="s">
        <v>2824</v>
      </c>
      <c r="N6837" s="4" t="s">
        <v>1905</v>
      </c>
      <c r="O6837" s="55" t="s">
        <v>178</v>
      </c>
    </row>
    <row r="6838" spans="2:15">
      <c r="B6838" s="20">
        <v>45968</v>
      </c>
      <c r="C6838" s="59">
        <v>50142424</v>
      </c>
      <c r="D6838" s="55" t="s">
        <v>33</v>
      </c>
      <c r="G6838" s="58">
        <v>1000</v>
      </c>
      <c r="H6838" s="56" t="s">
        <v>82</v>
      </c>
      <c r="I6838" s="54">
        <v>8729042544</v>
      </c>
      <c r="J6838" s="56" t="s">
        <v>3062</v>
      </c>
      <c r="K6838" s="56">
        <v>3514</v>
      </c>
      <c r="L6838" s="55" t="s">
        <v>2152</v>
      </c>
      <c r="M6838" s="55" t="s">
        <v>2824</v>
      </c>
      <c r="N6838" s="4" t="s">
        <v>1905</v>
      </c>
      <c r="O6838" s="55" t="s">
        <v>178</v>
      </c>
    </row>
    <row r="6839" spans="2:15">
      <c r="B6839" s="20">
        <v>45968</v>
      </c>
      <c r="C6839" s="59">
        <v>50819321</v>
      </c>
      <c r="D6839" s="55" t="s">
        <v>2647</v>
      </c>
      <c r="G6839" s="58">
        <v>370</v>
      </c>
      <c r="H6839" s="56" t="s">
        <v>80</v>
      </c>
      <c r="I6839" s="54">
        <v>8729042544</v>
      </c>
      <c r="J6839" s="56" t="s">
        <v>3062</v>
      </c>
      <c r="K6839" s="56">
        <v>3514</v>
      </c>
      <c r="L6839" s="55" t="s">
        <v>2152</v>
      </c>
      <c r="M6839" s="55" t="s">
        <v>2824</v>
      </c>
      <c r="N6839" s="4" t="s">
        <v>1905</v>
      </c>
      <c r="O6839" s="55" t="s">
        <v>178</v>
      </c>
    </row>
    <row r="6840" spans="2:15">
      <c r="B6840" s="20">
        <v>45968</v>
      </c>
      <c r="C6840" s="59">
        <v>50819320</v>
      </c>
      <c r="D6840" s="55" t="s">
        <v>2649</v>
      </c>
      <c r="G6840" s="58">
        <v>420</v>
      </c>
      <c r="H6840" s="56" t="s">
        <v>80</v>
      </c>
      <c r="I6840" s="54">
        <v>8729042544</v>
      </c>
      <c r="J6840" s="56" t="s">
        <v>3062</v>
      </c>
      <c r="K6840" s="56">
        <v>3514</v>
      </c>
      <c r="L6840" s="55" t="s">
        <v>2152</v>
      </c>
      <c r="M6840" s="55" t="s">
        <v>2824</v>
      </c>
      <c r="N6840" s="4" t="s">
        <v>1905</v>
      </c>
      <c r="O6840" s="55" t="s">
        <v>178</v>
      </c>
    </row>
    <row r="6841" spans="2:15">
      <c r="B6841" s="20">
        <v>45968</v>
      </c>
      <c r="C6841" s="59">
        <v>50793278</v>
      </c>
      <c r="D6841" s="55" t="s">
        <v>1086</v>
      </c>
      <c r="G6841" s="58">
        <v>80</v>
      </c>
      <c r="H6841" s="56" t="s">
        <v>1087</v>
      </c>
      <c r="I6841" s="54">
        <v>8729042544</v>
      </c>
      <c r="J6841" s="56" t="s">
        <v>3062</v>
      </c>
      <c r="K6841" s="56">
        <v>3514</v>
      </c>
      <c r="L6841" s="55" t="s">
        <v>2152</v>
      </c>
      <c r="M6841" s="55" t="s">
        <v>2824</v>
      </c>
      <c r="N6841" s="4" t="s">
        <v>1905</v>
      </c>
      <c r="O6841" s="55" t="s">
        <v>178</v>
      </c>
    </row>
    <row r="6842" spans="2:15">
      <c r="B6842" s="20">
        <v>45968</v>
      </c>
      <c r="C6842" s="59">
        <v>40010083</v>
      </c>
      <c r="D6842" s="55" t="s">
        <v>85</v>
      </c>
      <c r="G6842" s="58">
        <v>5376</v>
      </c>
      <c r="H6842" s="56" t="s">
        <v>80</v>
      </c>
      <c r="I6842" s="54">
        <v>8729042544</v>
      </c>
      <c r="J6842" s="56" t="s">
        <v>3062</v>
      </c>
      <c r="K6842" s="56">
        <v>3514</v>
      </c>
      <c r="L6842" s="55" t="s">
        <v>2152</v>
      </c>
      <c r="M6842" s="55" t="s">
        <v>2824</v>
      </c>
      <c r="N6842" s="4" t="s">
        <v>1905</v>
      </c>
      <c r="O6842" s="55" t="s">
        <v>178</v>
      </c>
    </row>
    <row r="6843" spans="2:15">
      <c r="B6843" s="20">
        <v>45968</v>
      </c>
      <c r="C6843" s="59">
        <v>40007857</v>
      </c>
      <c r="D6843" s="55" t="s">
        <v>225</v>
      </c>
      <c r="G6843" s="58">
        <v>3920</v>
      </c>
      <c r="H6843" s="56" t="s">
        <v>80</v>
      </c>
      <c r="I6843" s="54">
        <v>8729042544</v>
      </c>
      <c r="J6843" s="56" t="s">
        <v>3062</v>
      </c>
      <c r="K6843" s="56">
        <v>3514</v>
      </c>
      <c r="L6843" s="55" t="s">
        <v>2152</v>
      </c>
      <c r="M6843" s="55" t="s">
        <v>2824</v>
      </c>
      <c r="N6843" s="4" t="s">
        <v>1905</v>
      </c>
      <c r="O6843" s="55" t="s">
        <v>178</v>
      </c>
    </row>
    <row r="6844" spans="2:15">
      <c r="B6844" s="20">
        <v>45968</v>
      </c>
      <c r="C6844" s="59">
        <v>50141533</v>
      </c>
      <c r="D6844" s="55" t="s">
        <v>494</v>
      </c>
      <c r="G6844" s="58">
        <v>250</v>
      </c>
      <c r="H6844" s="56" t="s">
        <v>82</v>
      </c>
      <c r="I6844" s="54">
        <v>8729042544</v>
      </c>
      <c r="J6844" s="56" t="s">
        <v>3062</v>
      </c>
      <c r="K6844" s="56">
        <v>3514</v>
      </c>
      <c r="L6844" s="55" t="s">
        <v>2152</v>
      </c>
      <c r="M6844" s="55" t="s">
        <v>2824</v>
      </c>
      <c r="N6844" s="4" t="s">
        <v>1905</v>
      </c>
      <c r="O6844" s="55" t="s">
        <v>178</v>
      </c>
    </row>
    <row r="6845" spans="2:15">
      <c r="B6845" s="20">
        <v>45968</v>
      </c>
      <c r="C6845" s="59">
        <v>40011148</v>
      </c>
      <c r="D6845" s="55" t="s">
        <v>86</v>
      </c>
      <c r="G6845" s="58">
        <v>900</v>
      </c>
      <c r="H6845" s="56" t="s">
        <v>80</v>
      </c>
      <c r="I6845" s="54">
        <v>8729042544</v>
      </c>
      <c r="J6845" s="56" t="s">
        <v>3062</v>
      </c>
      <c r="K6845" s="56">
        <v>3514</v>
      </c>
      <c r="L6845" s="55" t="s">
        <v>2152</v>
      </c>
      <c r="M6845" s="55" t="s">
        <v>2824</v>
      </c>
      <c r="N6845" s="4" t="s">
        <v>1905</v>
      </c>
      <c r="O6845" s="55" t="s">
        <v>178</v>
      </c>
    </row>
    <row r="6846" spans="2:15">
      <c r="B6846" s="20">
        <v>45968</v>
      </c>
      <c r="C6846" s="59">
        <v>50470190</v>
      </c>
      <c r="D6846" s="55" t="s">
        <v>12</v>
      </c>
      <c r="G6846" s="65">
        <f>4*289800</f>
        <v>1159200</v>
      </c>
      <c r="H6846" s="56" t="s">
        <v>92</v>
      </c>
      <c r="I6846" s="54">
        <v>8729042544</v>
      </c>
      <c r="J6846" s="56" t="s">
        <v>3062</v>
      </c>
      <c r="K6846" s="56">
        <v>3514</v>
      </c>
      <c r="L6846" s="55" t="s">
        <v>2152</v>
      </c>
      <c r="M6846" s="55" t="s">
        <v>2824</v>
      </c>
      <c r="N6846" s="4" t="s">
        <v>1905</v>
      </c>
      <c r="O6846" s="55" t="s">
        <v>178</v>
      </c>
    </row>
    <row r="6847" spans="2:15">
      <c r="B6847" s="20">
        <v>45968</v>
      </c>
      <c r="C6847" s="59">
        <v>40011780</v>
      </c>
      <c r="D6847" s="55" t="s">
        <v>584</v>
      </c>
      <c r="G6847" s="58">
        <v>1350</v>
      </c>
      <c r="H6847" s="56" t="s">
        <v>80</v>
      </c>
      <c r="I6847" s="54">
        <v>8729042544</v>
      </c>
      <c r="J6847" s="56" t="s">
        <v>3062</v>
      </c>
      <c r="K6847" s="56">
        <v>3514</v>
      </c>
      <c r="L6847" s="55" t="s">
        <v>2152</v>
      </c>
      <c r="M6847" s="55" t="s">
        <v>2824</v>
      </c>
      <c r="N6847" s="4" t="s">
        <v>1905</v>
      </c>
      <c r="O6847" s="55" t="s">
        <v>178</v>
      </c>
    </row>
    <row r="6848" spans="2:15">
      <c r="B6848" s="20">
        <v>45968</v>
      </c>
      <c r="C6848" s="54">
        <v>40014900</v>
      </c>
      <c r="D6848" s="55" t="s">
        <v>153</v>
      </c>
      <c r="F6848" s="67">
        <v>26</v>
      </c>
      <c r="G6848" s="65">
        <v>37.44</v>
      </c>
      <c r="H6848" s="56" t="s">
        <v>1248</v>
      </c>
      <c r="I6848" s="54">
        <v>8729089191</v>
      </c>
      <c r="J6848" s="56" t="s">
        <v>2978</v>
      </c>
      <c r="K6848" s="56">
        <v>730</v>
      </c>
      <c r="L6848" s="55" t="s">
        <v>2876</v>
      </c>
      <c r="M6848" s="55" t="s">
        <v>2824</v>
      </c>
      <c r="O6848" s="55" t="s">
        <v>178</v>
      </c>
    </row>
    <row r="6849" spans="2:15">
      <c r="B6849" s="20">
        <v>45968</v>
      </c>
      <c r="C6849" s="54">
        <v>40014900</v>
      </c>
      <c r="D6849" s="55" t="s">
        <v>153</v>
      </c>
      <c r="F6849" s="67">
        <v>26</v>
      </c>
      <c r="G6849" s="65">
        <v>37.44</v>
      </c>
      <c r="H6849" s="56" t="s">
        <v>1248</v>
      </c>
      <c r="I6849" s="54">
        <v>8729089193</v>
      </c>
      <c r="J6849" s="56" t="s">
        <v>2978</v>
      </c>
      <c r="K6849" s="56">
        <v>731</v>
      </c>
      <c r="L6849" s="55" t="s">
        <v>2876</v>
      </c>
      <c r="M6849" s="55" t="s">
        <v>2824</v>
      </c>
      <c r="O6849" s="55" t="s">
        <v>178</v>
      </c>
    </row>
    <row r="6850" spans="2:15">
      <c r="B6850" s="20">
        <v>45968</v>
      </c>
      <c r="C6850" s="54">
        <v>40014900</v>
      </c>
      <c r="D6850" s="55" t="s">
        <v>153</v>
      </c>
      <c r="F6850" s="67">
        <v>26</v>
      </c>
      <c r="G6850" s="65">
        <v>37.44</v>
      </c>
      <c r="H6850" s="56" t="s">
        <v>1248</v>
      </c>
      <c r="I6850" s="54">
        <v>8729089245</v>
      </c>
      <c r="J6850" s="56" t="s">
        <v>2978</v>
      </c>
      <c r="K6850" s="56">
        <v>732</v>
      </c>
      <c r="L6850" s="55" t="s">
        <v>2876</v>
      </c>
      <c r="M6850" s="55" t="s">
        <v>2824</v>
      </c>
      <c r="O6850" s="55" t="s">
        <v>178</v>
      </c>
    </row>
    <row r="6851" spans="2:15">
      <c r="B6851" s="20">
        <v>45968</v>
      </c>
      <c r="C6851" s="54">
        <v>40014900</v>
      </c>
      <c r="D6851" s="55" t="s">
        <v>153</v>
      </c>
      <c r="E6851" s="65"/>
      <c r="F6851" s="67">
        <v>26</v>
      </c>
      <c r="G6851" s="65">
        <v>37.44</v>
      </c>
      <c r="H6851" s="56" t="s">
        <v>1248</v>
      </c>
      <c r="I6851" s="54">
        <v>8729089247</v>
      </c>
      <c r="J6851" s="56" t="s">
        <v>2978</v>
      </c>
      <c r="K6851" s="56">
        <v>733</v>
      </c>
      <c r="L6851" s="55" t="s">
        <v>2876</v>
      </c>
      <c r="M6851" s="55" t="s">
        <v>2824</v>
      </c>
      <c r="O6851" s="55" t="s">
        <v>178</v>
      </c>
    </row>
    <row r="6852" spans="2:15">
      <c r="B6852" s="20">
        <v>45968</v>
      </c>
      <c r="C6852" s="54">
        <v>40014900</v>
      </c>
      <c r="D6852" s="55" t="s">
        <v>153</v>
      </c>
      <c r="E6852" s="65">
        <v>27.995</v>
      </c>
      <c r="F6852" s="67">
        <v>26</v>
      </c>
      <c r="G6852" s="65">
        <v>37.44</v>
      </c>
      <c r="H6852" s="56" t="s">
        <v>1248</v>
      </c>
      <c r="I6852" s="54" t="s">
        <v>3065</v>
      </c>
      <c r="J6852" s="56" t="s">
        <v>2978</v>
      </c>
      <c r="K6852" s="56">
        <v>734</v>
      </c>
      <c r="L6852" s="55" t="s">
        <v>2876</v>
      </c>
      <c r="M6852" s="55" t="s">
        <v>2824</v>
      </c>
      <c r="O6852" s="55" t="s">
        <v>178</v>
      </c>
    </row>
    <row r="6853" spans="2:15">
      <c r="B6853" s="20">
        <v>45969</v>
      </c>
      <c r="C6853" s="54">
        <v>50815262</v>
      </c>
      <c r="D6853" s="55" t="s">
        <v>2733</v>
      </c>
      <c r="G6853" s="65">
        <v>13200</v>
      </c>
      <c r="H6853" s="56" t="s">
        <v>92</v>
      </c>
      <c r="I6853" s="54">
        <v>8729057230</v>
      </c>
      <c r="J6853" s="56" t="s">
        <v>3062</v>
      </c>
      <c r="K6853" s="56">
        <v>735</v>
      </c>
      <c r="L6853" s="55" t="s">
        <v>2152</v>
      </c>
      <c r="M6853" s="55" t="s">
        <v>2824</v>
      </c>
      <c r="N6853" s="4" t="s">
        <v>1905</v>
      </c>
      <c r="O6853" s="55" t="s">
        <v>178</v>
      </c>
    </row>
    <row r="6854" spans="2:15">
      <c r="B6854" s="20">
        <v>45969</v>
      </c>
      <c r="C6854" s="54">
        <v>50815262</v>
      </c>
      <c r="D6854" s="55" t="s">
        <v>2733</v>
      </c>
      <c r="G6854" s="65">
        <v>14400</v>
      </c>
      <c r="H6854" s="56" t="s">
        <v>92</v>
      </c>
      <c r="I6854" s="54">
        <v>8729057232</v>
      </c>
      <c r="J6854" s="56" t="s">
        <v>3062</v>
      </c>
      <c r="K6854" s="56">
        <v>736</v>
      </c>
      <c r="L6854" s="55" t="s">
        <v>2152</v>
      </c>
      <c r="M6854" s="55" t="s">
        <v>2824</v>
      </c>
      <c r="N6854" s="4" t="s">
        <v>1905</v>
      </c>
      <c r="O6854" s="55" t="s">
        <v>178</v>
      </c>
    </row>
    <row r="6855" spans="2:15">
      <c r="B6855" s="20">
        <v>45969</v>
      </c>
      <c r="C6855" s="54">
        <v>50815262</v>
      </c>
      <c r="D6855" s="55" t="s">
        <v>2733</v>
      </c>
      <c r="G6855" s="65">
        <v>14400</v>
      </c>
      <c r="H6855" s="56" t="s">
        <v>92</v>
      </c>
      <c r="I6855" s="54">
        <v>8729057774</v>
      </c>
      <c r="J6855" s="56" t="s">
        <v>3062</v>
      </c>
      <c r="K6855" s="56">
        <v>737</v>
      </c>
      <c r="L6855" s="55" t="s">
        <v>2876</v>
      </c>
      <c r="M6855" s="55" t="s">
        <v>2824</v>
      </c>
      <c r="O6855" s="55" t="s">
        <v>178</v>
      </c>
    </row>
    <row r="6856" spans="2:15">
      <c r="B6856" s="20">
        <v>45969</v>
      </c>
      <c r="C6856" s="54">
        <v>50815262</v>
      </c>
      <c r="D6856" s="55" t="s">
        <v>2733</v>
      </c>
      <c r="G6856" s="65">
        <v>14400</v>
      </c>
      <c r="H6856" s="56" t="s">
        <v>92</v>
      </c>
      <c r="I6856" s="54">
        <v>8729057852</v>
      </c>
      <c r="J6856" s="56" t="s">
        <v>3062</v>
      </c>
      <c r="K6856" s="56">
        <v>738</v>
      </c>
      <c r="L6856" s="55" t="s">
        <v>2876</v>
      </c>
      <c r="M6856" s="55" t="s">
        <v>2824</v>
      </c>
      <c r="O6856" s="55" t="s">
        <v>178</v>
      </c>
    </row>
    <row r="6857" spans="2:15">
      <c r="B6857" s="20">
        <v>45969</v>
      </c>
      <c r="C6857" s="54">
        <v>50815262</v>
      </c>
      <c r="D6857" s="55" t="s">
        <v>2733</v>
      </c>
      <c r="G6857" s="65">
        <v>14400</v>
      </c>
      <c r="H6857" s="56" t="s">
        <v>92</v>
      </c>
      <c r="I6857" s="54">
        <v>8729057853</v>
      </c>
      <c r="J6857" s="56" t="s">
        <v>3062</v>
      </c>
      <c r="K6857" s="56">
        <v>739</v>
      </c>
      <c r="L6857" s="55" t="s">
        <v>2876</v>
      </c>
      <c r="M6857" s="55" t="s">
        <v>2824</v>
      </c>
      <c r="O6857" s="55" t="s">
        <v>178</v>
      </c>
    </row>
    <row r="6858" spans="2:15">
      <c r="B6858" s="20">
        <v>45969</v>
      </c>
      <c r="C6858" s="54">
        <v>50815262</v>
      </c>
      <c r="D6858" s="55" t="s">
        <v>2733</v>
      </c>
      <c r="G6858" s="65">
        <v>14400</v>
      </c>
      <c r="H6858" s="56" t="s">
        <v>92</v>
      </c>
      <c r="I6858" s="54">
        <v>8729057904</v>
      </c>
      <c r="J6858" s="56" t="s">
        <v>3062</v>
      </c>
      <c r="K6858" s="56">
        <v>740</v>
      </c>
      <c r="L6858" s="55" t="s">
        <v>2876</v>
      </c>
      <c r="M6858" s="55" t="s">
        <v>2824</v>
      </c>
      <c r="O6858" s="55" t="s">
        <v>178</v>
      </c>
    </row>
    <row r="6859" spans="2:15">
      <c r="B6859" s="20">
        <v>45969</v>
      </c>
      <c r="C6859" s="54">
        <v>50815262</v>
      </c>
      <c r="D6859" s="55" t="s">
        <v>2733</v>
      </c>
      <c r="G6859" s="65">
        <v>14400</v>
      </c>
      <c r="H6859" s="56" t="s">
        <v>92</v>
      </c>
      <c r="I6859" s="54" t="s">
        <v>3044</v>
      </c>
      <c r="J6859" s="56" t="s">
        <v>3062</v>
      </c>
      <c r="K6859" s="56">
        <v>741</v>
      </c>
      <c r="L6859" s="55" t="s">
        <v>2876</v>
      </c>
      <c r="M6859" s="55" t="s">
        <v>2824</v>
      </c>
      <c r="O6859" s="55" t="s">
        <v>178</v>
      </c>
    </row>
    <row r="6860" spans="2:15">
      <c r="B6860" s="20">
        <v>45969</v>
      </c>
      <c r="C6860" s="54">
        <v>50815262</v>
      </c>
      <c r="D6860" s="55" t="s">
        <v>2733</v>
      </c>
      <c r="G6860" s="65">
        <v>14400</v>
      </c>
      <c r="H6860" s="56" t="s">
        <v>92</v>
      </c>
      <c r="I6860" s="54" t="s">
        <v>3044</v>
      </c>
      <c r="J6860" s="56" t="s">
        <v>3062</v>
      </c>
      <c r="K6860" s="56">
        <v>742</v>
      </c>
      <c r="L6860" s="55" t="s">
        <v>2876</v>
      </c>
      <c r="M6860" s="55" t="s">
        <v>2824</v>
      </c>
      <c r="O6860" s="55" t="s">
        <v>178</v>
      </c>
    </row>
    <row r="6861" spans="2:15">
      <c r="B6861" s="20">
        <v>45971</v>
      </c>
      <c r="C6861" s="54">
        <v>50851663</v>
      </c>
      <c r="D6861" s="55" t="s">
        <v>2526</v>
      </c>
      <c r="G6861" s="65">
        <v>1800</v>
      </c>
      <c r="H6861" s="56" t="s">
        <v>92</v>
      </c>
      <c r="I6861" s="54" t="s">
        <v>3066</v>
      </c>
      <c r="J6861" s="56" t="s">
        <v>3067</v>
      </c>
      <c r="K6861" s="56">
        <v>3516</v>
      </c>
      <c r="L6861" s="55" t="s">
        <v>2152</v>
      </c>
      <c r="M6861" s="55" t="s">
        <v>2824</v>
      </c>
      <c r="N6861" s="4" t="s">
        <v>1905</v>
      </c>
      <c r="O6861" s="55" t="s">
        <v>178</v>
      </c>
    </row>
    <row r="6862" spans="2:15">
      <c r="B6862" s="20">
        <v>45971</v>
      </c>
      <c r="C6862" s="59">
        <v>50141533</v>
      </c>
      <c r="D6862" s="55" t="s">
        <v>494</v>
      </c>
      <c r="G6862" s="65">
        <v>3750</v>
      </c>
      <c r="H6862" s="56" t="s">
        <v>82</v>
      </c>
      <c r="I6862" s="54" t="s">
        <v>3068</v>
      </c>
      <c r="J6862" s="56" t="s">
        <v>2978</v>
      </c>
      <c r="K6862" s="56">
        <v>3516</v>
      </c>
      <c r="L6862" s="55" t="s">
        <v>2152</v>
      </c>
      <c r="M6862" s="55" t="s">
        <v>2824</v>
      </c>
      <c r="N6862" s="4" t="s">
        <v>1905</v>
      </c>
      <c r="O6862" s="55" t="s">
        <v>178</v>
      </c>
    </row>
    <row r="6863" spans="2:15">
      <c r="B6863" s="20">
        <v>45971</v>
      </c>
      <c r="C6863" s="54">
        <v>50852597</v>
      </c>
      <c r="D6863" s="55" t="s">
        <v>2703</v>
      </c>
      <c r="G6863" s="65">
        <v>172800</v>
      </c>
      <c r="H6863" s="56" t="s">
        <v>92</v>
      </c>
      <c r="I6863" s="54">
        <v>8729175946</v>
      </c>
      <c r="J6863" s="56" t="s">
        <v>3062</v>
      </c>
      <c r="K6863" s="56">
        <v>3517</v>
      </c>
      <c r="L6863" s="55" t="s">
        <v>326</v>
      </c>
      <c r="M6863" s="55" t="s">
        <v>2004</v>
      </c>
      <c r="O6863" s="55" t="s">
        <v>178</v>
      </c>
    </row>
    <row r="6864" spans="2:15">
      <c r="B6864" s="20">
        <v>45971</v>
      </c>
      <c r="C6864" s="54">
        <v>50272278</v>
      </c>
      <c r="D6864" s="69" t="s">
        <v>21</v>
      </c>
      <c r="G6864" s="65">
        <v>13200</v>
      </c>
      <c r="H6864" s="56" t="s">
        <v>92</v>
      </c>
      <c r="K6864" s="56">
        <v>3518</v>
      </c>
    </row>
    <row r="6865" spans="2:15">
      <c r="B6865" s="20">
        <v>45971</v>
      </c>
      <c r="C6865" s="59">
        <v>50142298</v>
      </c>
      <c r="D6865" s="55" t="s">
        <v>2159</v>
      </c>
      <c r="G6865" s="58">
        <v>1685</v>
      </c>
      <c r="H6865" s="56" t="s">
        <v>1949</v>
      </c>
      <c r="I6865" s="54">
        <v>8729074271</v>
      </c>
      <c r="J6865" s="56" t="s">
        <v>3062</v>
      </c>
      <c r="K6865" s="56">
        <v>3519</v>
      </c>
      <c r="L6865" s="55" t="s">
        <v>2152</v>
      </c>
      <c r="M6865" s="55" t="s">
        <v>2824</v>
      </c>
      <c r="N6865" s="4" t="s">
        <v>1905</v>
      </c>
      <c r="O6865" s="55" t="s">
        <v>178</v>
      </c>
    </row>
    <row r="6866" spans="2:15">
      <c r="B6866" s="20">
        <v>45971</v>
      </c>
      <c r="C6866" s="59">
        <v>40004808</v>
      </c>
      <c r="D6866" s="55" t="s">
        <v>91</v>
      </c>
      <c r="G6866" s="58">
        <v>1080</v>
      </c>
      <c r="H6866" s="56" t="s">
        <v>80</v>
      </c>
      <c r="I6866" s="54">
        <v>8729074271</v>
      </c>
      <c r="J6866" s="56" t="s">
        <v>3062</v>
      </c>
      <c r="K6866" s="56">
        <v>3519</v>
      </c>
      <c r="L6866" s="55" t="s">
        <v>2152</v>
      </c>
      <c r="M6866" s="55" t="s">
        <v>2824</v>
      </c>
      <c r="N6866" s="4" t="s">
        <v>1905</v>
      </c>
      <c r="O6866" s="55" t="s">
        <v>178</v>
      </c>
    </row>
    <row r="6867" spans="2:15">
      <c r="B6867" s="20">
        <v>45971</v>
      </c>
      <c r="C6867" s="59">
        <v>40011149</v>
      </c>
      <c r="D6867" s="55" t="s">
        <v>37</v>
      </c>
      <c r="G6867" s="58">
        <v>720</v>
      </c>
      <c r="H6867" s="56" t="s">
        <v>80</v>
      </c>
      <c r="I6867" s="54">
        <v>8729074271</v>
      </c>
      <c r="J6867" s="56" t="s">
        <v>3062</v>
      </c>
      <c r="K6867" s="56">
        <v>3519</v>
      </c>
      <c r="L6867" s="55" t="s">
        <v>2152</v>
      </c>
      <c r="M6867" s="55" t="s">
        <v>2824</v>
      </c>
      <c r="N6867" s="4" t="s">
        <v>1905</v>
      </c>
      <c r="O6867" s="55" t="s">
        <v>178</v>
      </c>
    </row>
    <row r="6868" spans="2:15">
      <c r="B6868" s="20">
        <v>45971</v>
      </c>
      <c r="C6868" s="59">
        <v>50470190</v>
      </c>
      <c r="D6868" s="55" t="s">
        <v>12</v>
      </c>
      <c r="G6868" s="65">
        <v>2898000</v>
      </c>
      <c r="H6868" s="56" t="s">
        <v>92</v>
      </c>
      <c r="I6868" s="54">
        <v>8729090096</v>
      </c>
      <c r="J6868" s="56" t="s">
        <v>3062</v>
      </c>
      <c r="K6868" s="56">
        <v>3519</v>
      </c>
      <c r="L6868" s="55" t="s">
        <v>2152</v>
      </c>
      <c r="M6868" s="55" t="s">
        <v>2824</v>
      </c>
      <c r="N6868" s="4" t="s">
        <v>1905</v>
      </c>
      <c r="O6868" s="55" t="s">
        <v>178</v>
      </c>
    </row>
    <row r="6869" spans="2:15">
      <c r="B6869" s="20">
        <v>45971</v>
      </c>
      <c r="C6869" s="59">
        <v>40011588</v>
      </c>
      <c r="D6869" s="55" t="s">
        <v>585</v>
      </c>
      <c r="G6869" s="65">
        <v>900</v>
      </c>
      <c r="H6869" s="56" t="s">
        <v>80</v>
      </c>
      <c r="I6869" s="54">
        <v>8729074271</v>
      </c>
      <c r="J6869" s="56" t="s">
        <v>3062</v>
      </c>
      <c r="K6869" s="56">
        <v>3519</v>
      </c>
      <c r="L6869" s="55" t="s">
        <v>2152</v>
      </c>
      <c r="M6869" s="55" t="s">
        <v>2824</v>
      </c>
      <c r="N6869" s="4" t="s">
        <v>1905</v>
      </c>
      <c r="O6869" s="55" t="s">
        <v>178</v>
      </c>
    </row>
    <row r="6870" spans="2:15">
      <c r="B6870" s="20">
        <v>45971</v>
      </c>
      <c r="C6870" s="59">
        <v>50509889</v>
      </c>
      <c r="D6870" s="55" t="s">
        <v>671</v>
      </c>
      <c r="G6870" s="65">
        <v>528000</v>
      </c>
      <c r="H6870" s="56" t="s">
        <v>92</v>
      </c>
      <c r="I6870" s="54">
        <v>8729074271</v>
      </c>
      <c r="J6870" s="56" t="s">
        <v>3062</v>
      </c>
      <c r="K6870" s="56">
        <v>3519</v>
      </c>
      <c r="L6870" s="55" t="s">
        <v>2152</v>
      </c>
      <c r="M6870" s="55" t="s">
        <v>2824</v>
      </c>
      <c r="N6870" s="4" t="s">
        <v>1905</v>
      </c>
      <c r="O6870" s="55" t="s">
        <v>178</v>
      </c>
    </row>
    <row r="6871" spans="2:15">
      <c r="B6871" s="20">
        <v>45971</v>
      </c>
      <c r="C6871" s="54">
        <v>40014675</v>
      </c>
      <c r="D6871" s="55" t="s">
        <v>44</v>
      </c>
      <c r="F6871" s="67">
        <v>26</v>
      </c>
      <c r="G6871" s="65">
        <v>34.56</v>
      </c>
      <c r="H6871" s="56" t="s">
        <v>1248</v>
      </c>
      <c r="I6871" s="54">
        <v>8729175953</v>
      </c>
      <c r="J6871" s="56" t="s">
        <v>2978</v>
      </c>
      <c r="K6871" s="56">
        <v>743</v>
      </c>
      <c r="L6871" s="55" t="s">
        <v>2152</v>
      </c>
      <c r="M6871" s="55" t="s">
        <v>2824</v>
      </c>
    </row>
    <row r="6872" spans="2:15">
      <c r="B6872" s="20">
        <v>45972</v>
      </c>
      <c r="C6872" s="59">
        <v>50272278</v>
      </c>
      <c r="D6872" s="55" t="s">
        <v>21</v>
      </c>
      <c r="G6872" s="65">
        <v>7200</v>
      </c>
      <c r="H6872" s="56" t="s">
        <v>92</v>
      </c>
      <c r="I6872" s="54">
        <v>8729090139</v>
      </c>
      <c r="J6872" s="56" t="s">
        <v>3062</v>
      </c>
      <c r="K6872" s="56">
        <v>3520</v>
      </c>
      <c r="L6872" s="55" t="s">
        <v>2152</v>
      </c>
      <c r="M6872" s="55" t="s">
        <v>2824</v>
      </c>
      <c r="N6872" s="4" t="s">
        <v>1905</v>
      </c>
      <c r="O6872" s="55" t="s">
        <v>178</v>
      </c>
    </row>
    <row r="6873" spans="2:15">
      <c r="B6873" s="20">
        <v>45972</v>
      </c>
      <c r="C6873" s="59">
        <v>50819321</v>
      </c>
      <c r="D6873" s="55" t="s">
        <v>2647</v>
      </c>
      <c r="G6873" s="58">
        <v>840</v>
      </c>
      <c r="H6873" s="56" t="s">
        <v>80</v>
      </c>
      <c r="I6873" s="54">
        <v>8729090139</v>
      </c>
      <c r="J6873" s="56" t="s">
        <v>3062</v>
      </c>
      <c r="K6873" s="56">
        <v>3520</v>
      </c>
      <c r="L6873" s="55" t="s">
        <v>2152</v>
      </c>
      <c r="M6873" s="55" t="s">
        <v>2824</v>
      </c>
      <c r="N6873" s="4" t="s">
        <v>1905</v>
      </c>
      <c r="O6873" s="55" t="s">
        <v>178</v>
      </c>
    </row>
    <row r="6874" spans="2:15">
      <c r="B6874" s="20">
        <v>45972</v>
      </c>
      <c r="C6874" s="59">
        <v>50819320</v>
      </c>
      <c r="D6874" s="55" t="s">
        <v>2649</v>
      </c>
      <c r="G6874" s="58">
        <v>710</v>
      </c>
      <c r="H6874" s="56" t="s">
        <v>80</v>
      </c>
      <c r="I6874" s="54">
        <v>8729090139</v>
      </c>
      <c r="J6874" s="56" t="s">
        <v>3062</v>
      </c>
      <c r="K6874" s="56">
        <v>3520</v>
      </c>
      <c r="L6874" s="55" t="s">
        <v>2152</v>
      </c>
      <c r="M6874" s="55" t="s">
        <v>2824</v>
      </c>
      <c r="N6874" s="4" t="s">
        <v>1905</v>
      </c>
      <c r="O6874" s="55" t="s">
        <v>178</v>
      </c>
    </row>
    <row r="6875" spans="2:15">
      <c r="B6875" s="20">
        <v>45972</v>
      </c>
      <c r="C6875" s="59">
        <v>40011149</v>
      </c>
      <c r="D6875" s="55" t="s">
        <v>37</v>
      </c>
      <c r="G6875" s="58">
        <v>936</v>
      </c>
      <c r="H6875" s="56" t="s">
        <v>80</v>
      </c>
      <c r="I6875" s="54">
        <v>8729090139</v>
      </c>
      <c r="J6875" s="56" t="s">
        <v>3062</v>
      </c>
      <c r="K6875" s="56">
        <v>3520</v>
      </c>
      <c r="L6875" s="55" t="s">
        <v>2152</v>
      </c>
      <c r="M6875" s="55" t="s">
        <v>2824</v>
      </c>
      <c r="N6875" s="4" t="s">
        <v>1905</v>
      </c>
      <c r="O6875" s="55" t="s">
        <v>178</v>
      </c>
    </row>
    <row r="6876" spans="2:15">
      <c r="B6876" s="20">
        <v>45972</v>
      </c>
      <c r="C6876" s="59">
        <v>50852310</v>
      </c>
      <c r="D6876" s="55" t="s">
        <v>2617</v>
      </c>
      <c r="G6876" s="58">
        <v>1350000</v>
      </c>
      <c r="H6876" s="56" t="s">
        <v>92</v>
      </c>
      <c r="I6876" s="54">
        <v>8729090139</v>
      </c>
      <c r="J6876" s="56" t="s">
        <v>3062</v>
      </c>
      <c r="K6876" s="56">
        <v>3520</v>
      </c>
      <c r="L6876" s="55" t="s">
        <v>2152</v>
      </c>
      <c r="M6876" s="55" t="s">
        <v>2824</v>
      </c>
      <c r="N6876" s="4" t="s">
        <v>1905</v>
      </c>
      <c r="O6876" s="55" t="s">
        <v>178</v>
      </c>
    </row>
    <row r="6877" spans="2:15">
      <c r="B6877" s="20">
        <v>45972</v>
      </c>
      <c r="C6877" s="59">
        <v>50144376</v>
      </c>
      <c r="D6877" s="55" t="s">
        <v>19</v>
      </c>
      <c r="G6877" s="58">
        <v>4800</v>
      </c>
      <c r="H6877" s="56" t="s">
        <v>92</v>
      </c>
      <c r="I6877" s="54">
        <v>8729090249</v>
      </c>
      <c r="J6877" s="56" t="s">
        <v>3062</v>
      </c>
      <c r="K6877" s="56">
        <v>3521</v>
      </c>
      <c r="L6877" s="55" t="s">
        <v>2152</v>
      </c>
      <c r="M6877" s="55" t="s">
        <v>2824</v>
      </c>
      <c r="N6877" s="4" t="s">
        <v>1905</v>
      </c>
      <c r="O6877" s="55" t="s">
        <v>178</v>
      </c>
    </row>
    <row r="6878" spans="2:15">
      <c r="B6878" s="20">
        <v>45972</v>
      </c>
      <c r="C6878" s="59">
        <v>50470190</v>
      </c>
      <c r="D6878" s="55" t="s">
        <v>12</v>
      </c>
      <c r="G6878" s="65">
        <v>1738800</v>
      </c>
      <c r="H6878" s="56" t="s">
        <v>92</v>
      </c>
      <c r="I6878" s="54">
        <v>8729090249</v>
      </c>
      <c r="J6878" s="56" t="s">
        <v>3062</v>
      </c>
      <c r="K6878" s="56">
        <v>3521</v>
      </c>
      <c r="L6878" s="55" t="s">
        <v>2152</v>
      </c>
      <c r="M6878" s="55" t="s">
        <v>2824</v>
      </c>
      <c r="N6878" s="4" t="s">
        <v>1905</v>
      </c>
      <c r="O6878" s="55" t="s">
        <v>178</v>
      </c>
    </row>
    <row r="6879" spans="2:15">
      <c r="B6879" s="20">
        <v>45972</v>
      </c>
      <c r="C6879" s="59">
        <v>50802401</v>
      </c>
      <c r="D6879" s="55" t="s">
        <v>13</v>
      </c>
      <c r="G6879" s="65">
        <v>1738800</v>
      </c>
      <c r="H6879" s="56" t="s">
        <v>92</v>
      </c>
      <c r="I6879" s="54">
        <v>8729090249</v>
      </c>
      <c r="J6879" s="56" t="s">
        <v>3062</v>
      </c>
      <c r="K6879" s="56">
        <v>3521</v>
      </c>
      <c r="L6879" s="55" t="s">
        <v>2152</v>
      </c>
      <c r="M6879" s="55" t="s">
        <v>2824</v>
      </c>
      <c r="N6879" s="4" t="s">
        <v>1905</v>
      </c>
      <c r="O6879" s="55" t="s">
        <v>178</v>
      </c>
    </row>
    <row r="6880" spans="2:15">
      <c r="B6880" s="20">
        <v>45973</v>
      </c>
      <c r="C6880" s="59">
        <v>50144376</v>
      </c>
      <c r="D6880" s="55" t="s">
        <v>19</v>
      </c>
      <c r="G6880" s="58">
        <v>3600</v>
      </c>
      <c r="H6880" s="56" t="s">
        <v>92</v>
      </c>
      <c r="I6880" s="54">
        <v>8729109123</v>
      </c>
      <c r="J6880" s="56" t="s">
        <v>3062</v>
      </c>
      <c r="K6880" s="56">
        <v>3522</v>
      </c>
      <c r="L6880" s="55" t="s">
        <v>2152</v>
      </c>
      <c r="M6880" s="55" t="s">
        <v>2824</v>
      </c>
      <c r="N6880" s="4" t="s">
        <v>1905</v>
      </c>
      <c r="O6880" s="55" t="s">
        <v>178</v>
      </c>
    </row>
    <row r="6881" spans="2:15">
      <c r="B6881" s="20">
        <v>45973</v>
      </c>
      <c r="C6881" s="59">
        <v>50272278</v>
      </c>
      <c r="D6881" s="55" t="s">
        <v>21</v>
      </c>
      <c r="G6881" s="65">
        <v>3000</v>
      </c>
      <c r="H6881" s="56" t="s">
        <v>92</v>
      </c>
      <c r="I6881" s="54">
        <v>8729109123</v>
      </c>
      <c r="J6881" s="56" t="s">
        <v>3062</v>
      </c>
      <c r="K6881" s="56">
        <v>3522</v>
      </c>
      <c r="L6881" s="55" t="s">
        <v>2152</v>
      </c>
      <c r="M6881" s="55" t="s">
        <v>2824</v>
      </c>
      <c r="N6881" s="4" t="s">
        <v>1905</v>
      </c>
      <c r="O6881" s="55" t="s">
        <v>178</v>
      </c>
    </row>
    <row r="6882" spans="2:15">
      <c r="B6882" s="20">
        <v>45973</v>
      </c>
      <c r="C6882" s="59">
        <v>50470190</v>
      </c>
      <c r="D6882" s="55" t="s">
        <v>12</v>
      </c>
      <c r="G6882" s="65">
        <v>1159200</v>
      </c>
      <c r="H6882" s="56" t="s">
        <v>92</v>
      </c>
      <c r="I6882" s="54">
        <v>8729109123</v>
      </c>
      <c r="J6882" s="56" t="s">
        <v>3062</v>
      </c>
      <c r="K6882" s="56">
        <v>3522</v>
      </c>
      <c r="L6882" s="55" t="s">
        <v>2152</v>
      </c>
      <c r="M6882" s="55" t="s">
        <v>2824</v>
      </c>
      <c r="N6882" s="4" t="s">
        <v>1905</v>
      </c>
      <c r="O6882" s="55" t="s">
        <v>178</v>
      </c>
    </row>
    <row r="6883" spans="2:15">
      <c r="B6883" s="20">
        <v>45973</v>
      </c>
      <c r="C6883" s="59">
        <v>50802401</v>
      </c>
      <c r="D6883" s="55" t="s">
        <v>13</v>
      </c>
      <c r="G6883" s="65">
        <v>1159200</v>
      </c>
      <c r="H6883" s="56" t="s">
        <v>92</v>
      </c>
      <c r="I6883" s="54">
        <v>8729109123</v>
      </c>
      <c r="J6883" s="56" t="s">
        <v>3062</v>
      </c>
      <c r="K6883" s="56">
        <v>3522</v>
      </c>
      <c r="L6883" s="55" t="s">
        <v>2152</v>
      </c>
      <c r="M6883" s="55" t="s">
        <v>2824</v>
      </c>
      <c r="N6883" s="4" t="s">
        <v>1905</v>
      </c>
      <c r="O6883" s="55" t="s">
        <v>178</v>
      </c>
    </row>
    <row r="6884" spans="2:15">
      <c r="B6884" s="20">
        <v>45974</v>
      </c>
      <c r="C6884" s="54">
        <v>40014675</v>
      </c>
      <c r="D6884" s="55" t="s">
        <v>44</v>
      </c>
      <c r="G6884" s="65">
        <v>37.44</v>
      </c>
      <c r="H6884" s="56" t="s">
        <v>80</v>
      </c>
      <c r="I6884" s="54">
        <v>8729126586</v>
      </c>
      <c r="J6884" s="56" t="s">
        <v>3062</v>
      </c>
      <c r="K6884" s="56">
        <v>744</v>
      </c>
      <c r="L6884" s="55" t="s">
        <v>2876</v>
      </c>
      <c r="M6884" s="55" t="s">
        <v>2824</v>
      </c>
      <c r="O6884" s="55" t="s">
        <v>178</v>
      </c>
    </row>
    <row r="6885" spans="2:15">
      <c r="B6885" s="20">
        <v>45974</v>
      </c>
      <c r="C6885" s="54">
        <v>40014675</v>
      </c>
      <c r="D6885" s="55" t="s">
        <v>44</v>
      </c>
      <c r="G6885" s="65">
        <v>37.44</v>
      </c>
      <c r="H6885" s="56" t="s">
        <v>80</v>
      </c>
      <c r="I6885" s="54">
        <v>8729126587</v>
      </c>
      <c r="J6885" s="56" t="s">
        <v>3062</v>
      </c>
      <c r="K6885" s="56">
        <v>745</v>
      </c>
      <c r="L6885" s="55" t="s">
        <v>2876</v>
      </c>
      <c r="M6885" s="55" t="s">
        <v>2824</v>
      </c>
      <c r="O6885" s="55" t="s">
        <v>178</v>
      </c>
    </row>
    <row r="6886" spans="2:15">
      <c r="B6886" s="20">
        <v>45974</v>
      </c>
      <c r="C6886" s="54">
        <v>40014675</v>
      </c>
      <c r="D6886" s="55" t="s">
        <v>44</v>
      </c>
      <c r="G6886" s="65">
        <v>37.44</v>
      </c>
      <c r="H6886" s="56" t="s">
        <v>80</v>
      </c>
      <c r="I6886" s="54">
        <v>8729126588</v>
      </c>
      <c r="J6886" s="56" t="s">
        <v>3062</v>
      </c>
      <c r="K6886" s="56">
        <v>746</v>
      </c>
      <c r="L6886" s="55" t="s">
        <v>2876</v>
      </c>
      <c r="M6886" s="55" t="s">
        <v>2824</v>
      </c>
      <c r="O6886" s="55" t="s">
        <v>178</v>
      </c>
    </row>
    <row r="6887" spans="2:15">
      <c r="B6887" s="20">
        <v>45974</v>
      </c>
      <c r="C6887" s="54">
        <v>40014675</v>
      </c>
      <c r="D6887" s="55" t="s">
        <v>44</v>
      </c>
      <c r="G6887" s="65">
        <v>37.44</v>
      </c>
      <c r="H6887" s="56" t="s">
        <v>80</v>
      </c>
      <c r="I6887" s="54">
        <v>8729126590</v>
      </c>
      <c r="J6887" s="56" t="s">
        <v>3062</v>
      </c>
      <c r="K6887" s="56">
        <v>747</v>
      </c>
      <c r="L6887" s="55" t="s">
        <v>2876</v>
      </c>
      <c r="M6887" s="55" t="s">
        <v>2824</v>
      </c>
      <c r="O6887" s="55" t="s">
        <v>178</v>
      </c>
    </row>
    <row r="6888" spans="2:15">
      <c r="B6888" s="20">
        <v>45974</v>
      </c>
      <c r="C6888" s="54">
        <v>40014675</v>
      </c>
      <c r="D6888" s="55" t="s">
        <v>44</v>
      </c>
      <c r="G6888" s="65">
        <v>37.44</v>
      </c>
      <c r="H6888" s="56" t="s">
        <v>80</v>
      </c>
      <c r="I6888" s="54">
        <v>8729126591</v>
      </c>
      <c r="J6888" s="56" t="s">
        <v>3062</v>
      </c>
      <c r="K6888" s="56">
        <v>748</v>
      </c>
      <c r="L6888" s="55" t="s">
        <v>2876</v>
      </c>
      <c r="M6888" s="55" t="s">
        <v>2824</v>
      </c>
      <c r="O6888" s="55" t="s">
        <v>178</v>
      </c>
    </row>
    <row r="6889" spans="2:15">
      <c r="B6889" s="20">
        <v>45974</v>
      </c>
      <c r="C6889" s="59">
        <v>40010086</v>
      </c>
      <c r="D6889" s="55" t="s">
        <v>79</v>
      </c>
      <c r="G6889" s="58">
        <v>4704</v>
      </c>
      <c r="H6889" s="56" t="s">
        <v>80</v>
      </c>
      <c r="I6889" s="54">
        <v>8729126482</v>
      </c>
      <c r="J6889" s="56" t="s">
        <v>3062</v>
      </c>
      <c r="K6889" s="56">
        <v>3523</v>
      </c>
      <c r="L6889" s="55" t="s">
        <v>2152</v>
      </c>
      <c r="M6889" s="55" t="s">
        <v>2824</v>
      </c>
      <c r="N6889" s="4" t="s">
        <v>1905</v>
      </c>
      <c r="O6889" s="55" t="s">
        <v>178</v>
      </c>
    </row>
    <row r="6890" spans="2:15">
      <c r="B6890" s="20">
        <v>45974</v>
      </c>
      <c r="C6890" s="59">
        <v>40010087</v>
      </c>
      <c r="D6890" s="55" t="s">
        <v>387</v>
      </c>
      <c r="G6890" s="58">
        <v>864</v>
      </c>
      <c r="H6890" s="56" t="s">
        <v>80</v>
      </c>
      <c r="I6890" s="54">
        <v>8729126482</v>
      </c>
      <c r="J6890" s="56" t="s">
        <v>3062</v>
      </c>
      <c r="K6890" s="56">
        <v>3523</v>
      </c>
      <c r="L6890" s="55" t="s">
        <v>2152</v>
      </c>
      <c r="M6890" s="55" t="s">
        <v>2824</v>
      </c>
      <c r="N6890" s="4" t="s">
        <v>1905</v>
      </c>
      <c r="O6890" s="55" t="s">
        <v>178</v>
      </c>
    </row>
    <row r="6891" spans="2:15">
      <c r="B6891" s="20">
        <v>45974</v>
      </c>
      <c r="C6891" s="59">
        <v>50824293</v>
      </c>
      <c r="D6891" s="55" t="s">
        <v>861</v>
      </c>
      <c r="G6891" s="58">
        <v>2160000</v>
      </c>
      <c r="H6891" s="56" t="s">
        <v>92</v>
      </c>
      <c r="I6891" s="54">
        <v>8729126482</v>
      </c>
      <c r="J6891" s="56" t="s">
        <v>3062</v>
      </c>
      <c r="K6891" s="56">
        <v>3523</v>
      </c>
      <c r="L6891" s="55" t="s">
        <v>2152</v>
      </c>
      <c r="M6891" s="55" t="s">
        <v>2824</v>
      </c>
      <c r="N6891" s="4" t="s">
        <v>1905</v>
      </c>
      <c r="O6891" s="55" t="s">
        <v>178</v>
      </c>
    </row>
    <row r="6892" spans="2:15">
      <c r="B6892" s="20">
        <v>45974</v>
      </c>
      <c r="C6892" s="59">
        <v>20016185</v>
      </c>
      <c r="D6892" s="55" t="s">
        <v>285</v>
      </c>
      <c r="G6892" s="58">
        <v>30000</v>
      </c>
      <c r="H6892" s="56" t="s">
        <v>92</v>
      </c>
      <c r="I6892" s="54">
        <v>8729126482</v>
      </c>
      <c r="J6892" s="56" t="s">
        <v>3062</v>
      </c>
      <c r="K6892" s="56">
        <v>3523</v>
      </c>
      <c r="L6892" s="55" t="s">
        <v>2152</v>
      </c>
      <c r="M6892" s="55" t="s">
        <v>2824</v>
      </c>
      <c r="N6892" s="4" t="s">
        <v>1905</v>
      </c>
      <c r="O6892" s="55" t="s">
        <v>178</v>
      </c>
    </row>
    <row r="6893" spans="2:15">
      <c r="B6893" s="20">
        <v>45974</v>
      </c>
      <c r="C6893" s="59">
        <v>50142237</v>
      </c>
      <c r="D6893" s="55" t="s">
        <v>617</v>
      </c>
      <c r="G6893" s="65">
        <v>32000</v>
      </c>
      <c r="H6893" s="56" t="s">
        <v>92</v>
      </c>
      <c r="I6893" s="54">
        <v>8729126482</v>
      </c>
      <c r="J6893" s="56" t="s">
        <v>3062</v>
      </c>
      <c r="K6893" s="56">
        <v>3523</v>
      </c>
      <c r="L6893" s="55" t="s">
        <v>2152</v>
      </c>
      <c r="M6893" s="55" t="s">
        <v>2824</v>
      </c>
      <c r="N6893" s="4" t="s">
        <v>1905</v>
      </c>
      <c r="O6893" s="55" t="s">
        <v>178</v>
      </c>
    </row>
    <row r="6894" spans="2:15">
      <c r="B6894" s="20">
        <v>45974</v>
      </c>
      <c r="C6894" s="59">
        <v>50397884</v>
      </c>
      <c r="D6894" s="55" t="s">
        <v>1296</v>
      </c>
      <c r="G6894" s="58">
        <v>540</v>
      </c>
      <c r="H6894" s="56" t="s">
        <v>80</v>
      </c>
      <c r="I6894" s="54">
        <v>8729126482</v>
      </c>
      <c r="J6894" s="56" t="s">
        <v>3062</v>
      </c>
      <c r="K6894" s="56">
        <v>3523</v>
      </c>
      <c r="L6894" s="55" t="s">
        <v>2152</v>
      </c>
      <c r="M6894" s="55" t="s">
        <v>2824</v>
      </c>
      <c r="N6894" s="4" t="s">
        <v>1905</v>
      </c>
      <c r="O6894" s="55" t="s">
        <v>178</v>
      </c>
    </row>
    <row r="6895" spans="2:15">
      <c r="B6895" s="20">
        <v>45974</v>
      </c>
      <c r="C6895" s="59">
        <v>40007941</v>
      </c>
      <c r="D6895" s="55" t="s">
        <v>211</v>
      </c>
      <c r="G6895" s="58">
        <v>864</v>
      </c>
      <c r="H6895" s="56" t="s">
        <v>80</v>
      </c>
      <c r="I6895" s="54">
        <v>8729126482</v>
      </c>
      <c r="J6895" s="56" t="s">
        <v>3062</v>
      </c>
      <c r="K6895" s="56">
        <v>3523</v>
      </c>
      <c r="L6895" s="55" t="s">
        <v>2152</v>
      </c>
      <c r="M6895" s="55" t="s">
        <v>2824</v>
      </c>
      <c r="N6895" s="4" t="s">
        <v>1905</v>
      </c>
      <c r="O6895" s="55" t="s">
        <v>178</v>
      </c>
    </row>
    <row r="6896" spans="2:15">
      <c r="B6896" s="20">
        <v>45974</v>
      </c>
      <c r="C6896" s="59">
        <v>50472692</v>
      </c>
      <c r="D6896" s="55" t="s">
        <v>1304</v>
      </c>
      <c r="G6896" s="58">
        <v>582</v>
      </c>
      <c r="H6896" s="56" t="s">
        <v>80</v>
      </c>
      <c r="I6896" s="54">
        <v>8729126482</v>
      </c>
      <c r="J6896" s="56" t="s">
        <v>3062</v>
      </c>
      <c r="K6896" s="56">
        <v>3523</v>
      </c>
      <c r="L6896" s="55" t="s">
        <v>2152</v>
      </c>
      <c r="M6896" s="55" t="s">
        <v>2824</v>
      </c>
      <c r="N6896" s="4" t="s">
        <v>1905</v>
      </c>
      <c r="O6896" s="55" t="s">
        <v>178</v>
      </c>
    </row>
    <row r="6897" spans="2:15">
      <c r="B6897" s="20">
        <v>45974</v>
      </c>
      <c r="C6897" s="59">
        <v>50143873</v>
      </c>
      <c r="D6897" s="55" t="s">
        <v>406</v>
      </c>
      <c r="G6897" s="58">
        <v>517000</v>
      </c>
      <c r="H6897" s="56" t="s">
        <v>92</v>
      </c>
      <c r="I6897" s="54">
        <v>8729126482</v>
      </c>
      <c r="J6897" s="56" t="s">
        <v>3062</v>
      </c>
      <c r="K6897" s="56">
        <v>3523</v>
      </c>
      <c r="L6897" s="55" t="s">
        <v>2152</v>
      </c>
      <c r="M6897" s="55" t="s">
        <v>2824</v>
      </c>
      <c r="N6897" s="4" t="s">
        <v>1905</v>
      </c>
      <c r="O6897" s="55" t="s">
        <v>178</v>
      </c>
    </row>
    <row r="6898" spans="2:15">
      <c r="B6898" s="20">
        <v>45974</v>
      </c>
      <c r="C6898" s="59">
        <v>50470190</v>
      </c>
      <c r="D6898" s="55" t="s">
        <v>12</v>
      </c>
      <c r="G6898" s="65">
        <v>1449000</v>
      </c>
      <c r="H6898" s="56" t="s">
        <v>92</v>
      </c>
      <c r="I6898" s="54">
        <v>8729126482</v>
      </c>
      <c r="J6898" s="56" t="s">
        <v>3062</v>
      </c>
      <c r="K6898" s="56">
        <v>3523</v>
      </c>
      <c r="L6898" s="55" t="s">
        <v>2152</v>
      </c>
      <c r="M6898" s="55" t="s">
        <v>2824</v>
      </c>
      <c r="N6898" s="4" t="s">
        <v>1905</v>
      </c>
      <c r="O6898" s="55" t="s">
        <v>178</v>
      </c>
    </row>
    <row r="6899" spans="2:15">
      <c r="B6899" s="20">
        <v>45974</v>
      </c>
      <c r="C6899" s="59">
        <v>40011659</v>
      </c>
      <c r="D6899" s="55" t="s">
        <v>89</v>
      </c>
      <c r="G6899" s="65">
        <v>720</v>
      </c>
      <c r="H6899" s="56" t="s">
        <v>80</v>
      </c>
      <c r="I6899" s="54">
        <v>8729126482</v>
      </c>
      <c r="J6899" s="56" t="s">
        <v>3062</v>
      </c>
      <c r="K6899" s="56">
        <v>3523</v>
      </c>
      <c r="L6899" s="55" t="s">
        <v>2152</v>
      </c>
      <c r="M6899" s="55" t="s">
        <v>2824</v>
      </c>
      <c r="N6899" s="4" t="s">
        <v>1905</v>
      </c>
      <c r="O6899" s="55" t="s">
        <v>178</v>
      </c>
    </row>
    <row r="6900" spans="2:15">
      <c r="B6900" s="20">
        <v>45974</v>
      </c>
      <c r="C6900" s="54">
        <v>50010080</v>
      </c>
      <c r="D6900" s="55" t="s">
        <v>1657</v>
      </c>
      <c r="G6900" s="65">
        <v>3000</v>
      </c>
      <c r="H6900" s="56" t="s">
        <v>82</v>
      </c>
      <c r="I6900" s="54">
        <v>8729126482</v>
      </c>
      <c r="J6900" s="56" t="s">
        <v>3062</v>
      </c>
      <c r="K6900" s="56">
        <v>3523</v>
      </c>
      <c r="L6900" s="55" t="s">
        <v>2152</v>
      </c>
      <c r="M6900" s="55" t="s">
        <v>2824</v>
      </c>
      <c r="N6900" s="4" t="s">
        <v>1905</v>
      </c>
      <c r="O6900" s="55" t="s">
        <v>178</v>
      </c>
    </row>
    <row r="6901" spans="2:15">
      <c r="B6901" s="20">
        <v>45974</v>
      </c>
      <c r="C6901" s="54">
        <v>50145028</v>
      </c>
      <c r="D6901" s="55" t="s">
        <v>23</v>
      </c>
      <c r="G6901" s="65">
        <v>972</v>
      </c>
      <c r="H6901" s="56" t="s">
        <v>92</v>
      </c>
      <c r="I6901" s="54">
        <v>8729195957</v>
      </c>
      <c r="K6901" s="56">
        <v>3524</v>
      </c>
      <c r="L6901" s="55" t="s">
        <v>326</v>
      </c>
      <c r="M6901" s="55" t="s">
        <v>326</v>
      </c>
      <c r="O6901" s="55" t="s">
        <v>178</v>
      </c>
    </row>
    <row r="6902" spans="2:15">
      <c r="B6902" s="20">
        <v>45975</v>
      </c>
      <c r="C6902" s="59">
        <v>50272278</v>
      </c>
      <c r="D6902" s="55" t="s">
        <v>21</v>
      </c>
      <c r="G6902" s="65">
        <v>13200</v>
      </c>
      <c r="H6902" s="56" t="s">
        <v>92</v>
      </c>
      <c r="I6902" s="54">
        <v>8729144709</v>
      </c>
      <c r="J6902" s="56" t="s">
        <v>3062</v>
      </c>
      <c r="K6902" s="56">
        <v>3526</v>
      </c>
    </row>
    <row r="6903" spans="2:15">
      <c r="B6903" s="20">
        <v>45975</v>
      </c>
      <c r="C6903" s="59">
        <v>50144376</v>
      </c>
      <c r="D6903" s="55" t="s">
        <v>19</v>
      </c>
      <c r="G6903" s="65">
        <v>3000</v>
      </c>
      <c r="H6903" s="56" t="s">
        <v>92</v>
      </c>
      <c r="I6903" s="54">
        <v>8729144711</v>
      </c>
      <c r="J6903" s="56" t="s">
        <v>3062</v>
      </c>
      <c r="K6903" s="56">
        <v>3527</v>
      </c>
    </row>
    <row r="6904" spans="2:15">
      <c r="B6904" s="20">
        <v>45975</v>
      </c>
      <c r="C6904" s="59">
        <v>50272278</v>
      </c>
      <c r="D6904" s="55" t="s">
        <v>21</v>
      </c>
      <c r="G6904" s="65">
        <v>9000</v>
      </c>
      <c r="H6904" s="56" t="s">
        <v>92</v>
      </c>
      <c r="I6904" s="54">
        <v>8729144711</v>
      </c>
      <c r="J6904" s="56" t="s">
        <v>3062</v>
      </c>
      <c r="K6904" s="56">
        <v>3527</v>
      </c>
    </row>
    <row r="6905" spans="2:15">
      <c r="B6905" s="20">
        <v>45975</v>
      </c>
      <c r="C6905" s="59">
        <v>50142327</v>
      </c>
      <c r="D6905" s="55" t="s">
        <v>256</v>
      </c>
      <c r="G6905" s="65">
        <v>953.4</v>
      </c>
      <c r="H6905" s="56" t="s">
        <v>82</v>
      </c>
      <c r="I6905" s="54">
        <v>8729144711</v>
      </c>
      <c r="J6905" s="56" t="s">
        <v>3062</v>
      </c>
      <c r="K6905" s="56">
        <v>3527</v>
      </c>
    </row>
    <row r="6906" spans="2:15">
      <c r="B6906" s="20">
        <v>45975</v>
      </c>
      <c r="C6906" s="54">
        <v>40014675</v>
      </c>
      <c r="D6906" s="55" t="s">
        <v>44</v>
      </c>
      <c r="G6906" s="65">
        <v>37.44</v>
      </c>
      <c r="H6906" s="56" t="s">
        <v>80</v>
      </c>
      <c r="I6906" s="54">
        <v>8729144712</v>
      </c>
      <c r="J6906" s="56" t="s">
        <v>3062</v>
      </c>
      <c r="K6906" s="56">
        <v>749</v>
      </c>
      <c r="L6906" s="55" t="s">
        <v>2876</v>
      </c>
      <c r="M6906" s="55" t="s">
        <v>2824</v>
      </c>
      <c r="O6906" s="55" t="s">
        <v>178</v>
      </c>
    </row>
    <row r="6907" spans="2:15">
      <c r="B6907" s="20">
        <v>45975</v>
      </c>
      <c r="C6907" s="54">
        <v>40014675</v>
      </c>
      <c r="D6907" s="55" t="s">
        <v>44</v>
      </c>
      <c r="G6907" s="65">
        <v>37.44</v>
      </c>
      <c r="H6907" s="56" t="s">
        <v>80</v>
      </c>
      <c r="I6907" s="54">
        <v>8729144713</v>
      </c>
      <c r="J6907" s="56" t="s">
        <v>3062</v>
      </c>
      <c r="K6907" s="56">
        <v>750</v>
      </c>
      <c r="L6907" s="55" t="s">
        <v>2876</v>
      </c>
      <c r="M6907" s="55" t="s">
        <v>2824</v>
      </c>
      <c r="O6907" s="55" t="s">
        <v>178</v>
      </c>
    </row>
    <row r="6908" spans="2:15">
      <c r="B6908" s="20">
        <v>45975</v>
      </c>
      <c r="C6908" s="54">
        <v>40014675</v>
      </c>
      <c r="D6908" s="55" t="s">
        <v>44</v>
      </c>
      <c r="G6908" s="65">
        <v>37.44</v>
      </c>
      <c r="H6908" s="56" t="s">
        <v>80</v>
      </c>
      <c r="I6908" s="54">
        <v>8729144734</v>
      </c>
      <c r="J6908" s="56" t="s">
        <v>3062</v>
      </c>
      <c r="K6908" s="56">
        <v>751</v>
      </c>
      <c r="L6908" s="55" t="s">
        <v>2876</v>
      </c>
      <c r="M6908" s="55" t="s">
        <v>2824</v>
      </c>
      <c r="O6908" s="55" t="s">
        <v>178</v>
      </c>
    </row>
    <row r="6909" spans="2:15">
      <c r="B6909" s="20">
        <v>45975</v>
      </c>
      <c r="C6909" s="54">
        <v>40014675</v>
      </c>
      <c r="D6909" s="55" t="s">
        <v>44</v>
      </c>
      <c r="G6909" s="65">
        <v>37.44</v>
      </c>
      <c r="H6909" s="56" t="s">
        <v>80</v>
      </c>
      <c r="I6909" s="54">
        <v>8729144735</v>
      </c>
      <c r="J6909" s="56" t="s">
        <v>3062</v>
      </c>
      <c r="K6909" s="56">
        <v>752</v>
      </c>
      <c r="L6909" s="55" t="s">
        <v>2876</v>
      </c>
      <c r="M6909" s="55" t="s">
        <v>2824</v>
      </c>
      <c r="O6909" s="55" t="s">
        <v>178</v>
      </c>
    </row>
    <row r="6910" spans="2:15">
      <c r="B6910" s="20">
        <v>45975</v>
      </c>
      <c r="C6910" s="54">
        <v>40014675</v>
      </c>
      <c r="D6910" s="55" t="s">
        <v>44</v>
      </c>
      <c r="G6910" s="65">
        <v>37.44</v>
      </c>
      <c r="H6910" s="56" t="s">
        <v>80</v>
      </c>
      <c r="I6910" s="54">
        <v>8729144738</v>
      </c>
      <c r="J6910" s="56" t="s">
        <v>3062</v>
      </c>
      <c r="K6910" s="56">
        <v>753</v>
      </c>
      <c r="L6910" s="55" t="s">
        <v>2876</v>
      </c>
      <c r="M6910" s="55" t="s">
        <v>2824</v>
      </c>
      <c r="O6910" s="55" t="s">
        <v>178</v>
      </c>
    </row>
    <row r="6911" spans="2:15">
      <c r="B6911" s="20">
        <v>45975</v>
      </c>
      <c r="C6911" s="54">
        <v>40014675</v>
      </c>
      <c r="D6911" s="55" t="s">
        <v>44</v>
      </c>
      <c r="G6911" s="65">
        <v>37.44</v>
      </c>
      <c r="H6911" s="56" t="s">
        <v>80</v>
      </c>
      <c r="I6911" s="54">
        <v>8729144740</v>
      </c>
      <c r="J6911" s="56" t="s">
        <v>3062</v>
      </c>
      <c r="K6911" s="56">
        <v>754</v>
      </c>
      <c r="L6911" s="55" t="s">
        <v>2876</v>
      </c>
      <c r="M6911" s="55" t="s">
        <v>2824</v>
      </c>
      <c r="O6911" s="55" t="s">
        <v>178</v>
      </c>
    </row>
    <row r="6912" spans="2:15">
      <c r="B6912" s="20">
        <v>45975</v>
      </c>
      <c r="C6912" s="59">
        <v>50397884</v>
      </c>
      <c r="D6912" s="55" t="s">
        <v>1296</v>
      </c>
      <c r="G6912" s="65">
        <v>1800</v>
      </c>
      <c r="H6912" s="56" t="s">
        <v>80</v>
      </c>
      <c r="I6912" s="54">
        <v>8729144755</v>
      </c>
      <c r="J6912" s="56" t="s">
        <v>3062</v>
      </c>
      <c r="K6912" s="56">
        <v>3527</v>
      </c>
      <c r="L6912" s="55" t="s">
        <v>2152</v>
      </c>
      <c r="M6912" s="55" t="s">
        <v>2824</v>
      </c>
      <c r="N6912" s="4" t="s">
        <v>1905</v>
      </c>
      <c r="O6912" s="55" t="s">
        <v>178</v>
      </c>
    </row>
    <row r="6913" spans="2:15">
      <c r="B6913" s="20">
        <v>45975</v>
      </c>
      <c r="C6913" s="59">
        <v>50470190</v>
      </c>
      <c r="D6913" s="55" t="s">
        <v>12</v>
      </c>
      <c r="G6913" s="65">
        <v>3477600</v>
      </c>
      <c r="H6913" s="56" t="s">
        <v>92</v>
      </c>
      <c r="I6913" s="54">
        <v>8729144755</v>
      </c>
      <c r="J6913" s="56" t="s">
        <v>3062</v>
      </c>
      <c r="K6913" s="56">
        <v>3527</v>
      </c>
      <c r="L6913" s="55" t="s">
        <v>2152</v>
      </c>
      <c r="M6913" s="55" t="s">
        <v>2824</v>
      </c>
      <c r="N6913" s="4" t="s">
        <v>1905</v>
      </c>
      <c r="O6913" s="55" t="s">
        <v>178</v>
      </c>
    </row>
    <row r="6914" spans="2:15">
      <c r="B6914" s="20">
        <v>45975</v>
      </c>
      <c r="C6914" s="59">
        <v>50802401</v>
      </c>
      <c r="D6914" s="55" t="s">
        <v>13</v>
      </c>
      <c r="G6914" s="65">
        <v>1159200</v>
      </c>
      <c r="H6914" s="56" t="s">
        <v>92</v>
      </c>
      <c r="I6914" s="54">
        <v>8729144755</v>
      </c>
      <c r="J6914" s="56" t="s">
        <v>3062</v>
      </c>
      <c r="K6914" s="56">
        <v>3527</v>
      </c>
      <c r="L6914" s="55" t="s">
        <v>2152</v>
      </c>
      <c r="M6914" s="55" t="s">
        <v>2824</v>
      </c>
      <c r="N6914" s="4" t="s">
        <v>1905</v>
      </c>
      <c r="O6914" s="55" t="s">
        <v>178</v>
      </c>
    </row>
    <row r="6915" spans="2:15">
      <c r="B6915" s="20">
        <v>45975</v>
      </c>
      <c r="C6915" s="54">
        <v>50501117</v>
      </c>
      <c r="D6915" s="55" t="s">
        <v>1541</v>
      </c>
      <c r="G6915" s="65">
        <v>52416</v>
      </c>
      <c r="H6915" s="56" t="s">
        <v>92</v>
      </c>
      <c r="I6915" s="54">
        <v>8729173632</v>
      </c>
      <c r="J6915" s="56" t="s">
        <v>3062</v>
      </c>
      <c r="K6915" s="56">
        <v>3528</v>
      </c>
      <c r="L6915" s="55" t="s">
        <v>2152</v>
      </c>
      <c r="M6915" s="55" t="s">
        <v>3064</v>
      </c>
      <c r="N6915" s="4" t="s">
        <v>1905</v>
      </c>
      <c r="O6915" s="55" t="s">
        <v>178</v>
      </c>
    </row>
    <row r="6916" spans="2:15">
      <c r="B6916" s="20">
        <v>45976</v>
      </c>
      <c r="C6916" s="54">
        <v>40014675</v>
      </c>
      <c r="D6916" s="55" t="s">
        <v>44</v>
      </c>
      <c r="G6916" s="65">
        <v>37.44</v>
      </c>
      <c r="H6916" s="56" t="s">
        <v>80</v>
      </c>
      <c r="I6916" s="54">
        <v>8729173557</v>
      </c>
      <c r="J6916" s="56" t="s">
        <v>3062</v>
      </c>
      <c r="K6916" s="56">
        <v>755</v>
      </c>
      <c r="L6916" s="55" t="s">
        <v>2876</v>
      </c>
      <c r="M6916" s="55" t="s">
        <v>2824</v>
      </c>
      <c r="O6916" s="55" t="s">
        <v>178</v>
      </c>
    </row>
    <row r="6917" spans="2:15">
      <c r="B6917" s="20">
        <v>45976</v>
      </c>
      <c r="C6917" s="54">
        <v>40014675</v>
      </c>
      <c r="D6917" s="55" t="s">
        <v>44</v>
      </c>
      <c r="G6917" s="65">
        <v>37.44</v>
      </c>
      <c r="H6917" s="56" t="s">
        <v>80</v>
      </c>
      <c r="I6917" s="54">
        <v>8729173561</v>
      </c>
      <c r="J6917" s="56" t="s">
        <v>3062</v>
      </c>
      <c r="K6917" s="56">
        <v>756</v>
      </c>
      <c r="L6917" s="55" t="s">
        <v>2876</v>
      </c>
      <c r="M6917" s="55" t="s">
        <v>2824</v>
      </c>
      <c r="O6917" s="55" t="s">
        <v>178</v>
      </c>
    </row>
    <row r="6918" spans="2:15">
      <c r="B6918" s="20">
        <v>45976</v>
      </c>
      <c r="C6918" s="54">
        <v>40014675</v>
      </c>
      <c r="D6918" s="55" t="s">
        <v>44</v>
      </c>
      <c r="G6918" s="65">
        <v>37.44</v>
      </c>
      <c r="H6918" s="56" t="s">
        <v>80</v>
      </c>
      <c r="I6918" s="54">
        <v>8729173605</v>
      </c>
      <c r="J6918" s="56" t="s">
        <v>3062</v>
      </c>
      <c r="K6918" s="56">
        <v>757</v>
      </c>
      <c r="L6918" s="55" t="s">
        <v>2876</v>
      </c>
      <c r="M6918" s="55" t="s">
        <v>2824</v>
      </c>
      <c r="O6918" s="55" t="s">
        <v>178</v>
      </c>
    </row>
    <row r="6919" spans="2:15">
      <c r="B6919" s="20">
        <v>45976</v>
      </c>
      <c r="C6919" s="54">
        <v>40014675</v>
      </c>
      <c r="D6919" s="55" t="s">
        <v>44</v>
      </c>
      <c r="G6919" s="131">
        <v>7.2</v>
      </c>
      <c r="H6919" s="56" t="s">
        <v>80</v>
      </c>
      <c r="I6919" s="54">
        <v>8729173613</v>
      </c>
      <c r="J6919" s="56" t="s">
        <v>3062</v>
      </c>
      <c r="K6919" s="56">
        <v>758</v>
      </c>
      <c r="L6919" s="55" t="s">
        <v>2876</v>
      </c>
      <c r="M6919" s="55" t="s">
        <v>2824</v>
      </c>
      <c r="O6919" s="55" t="s">
        <v>178</v>
      </c>
    </row>
    <row r="6920" spans="2:15">
      <c r="B6920" s="20">
        <v>45976</v>
      </c>
      <c r="C6920" s="54">
        <v>50501117</v>
      </c>
      <c r="D6920" s="55" t="s">
        <v>1541</v>
      </c>
      <c r="G6920" s="65">
        <v>52416</v>
      </c>
      <c r="H6920" s="56" t="s">
        <v>92</v>
      </c>
      <c r="I6920" s="54">
        <v>8729173656</v>
      </c>
      <c r="J6920" s="56" t="s">
        <v>3062</v>
      </c>
      <c r="K6920" s="56">
        <v>3529</v>
      </c>
      <c r="L6920" s="55" t="s">
        <v>2152</v>
      </c>
      <c r="M6920" s="55" t="s">
        <v>3064</v>
      </c>
      <c r="N6920" s="4" t="s">
        <v>1905</v>
      </c>
      <c r="O6920" s="55" t="s">
        <v>178</v>
      </c>
    </row>
    <row r="6921" spans="2:15">
      <c r="B6921" s="20">
        <v>45976</v>
      </c>
      <c r="C6921" s="54">
        <v>50501117</v>
      </c>
      <c r="D6921" s="55" t="s">
        <v>1541</v>
      </c>
      <c r="G6921" s="65">
        <v>52416</v>
      </c>
      <c r="H6921" s="56" t="s">
        <v>92</v>
      </c>
      <c r="I6921" s="54">
        <v>8729173660</v>
      </c>
      <c r="J6921" s="56" t="s">
        <v>3062</v>
      </c>
      <c r="K6921" s="56">
        <v>3530</v>
      </c>
      <c r="L6921" s="55" t="s">
        <v>2152</v>
      </c>
      <c r="M6921" s="55" t="s">
        <v>3064</v>
      </c>
      <c r="N6921" s="4" t="s">
        <v>1905</v>
      </c>
      <c r="O6921" s="55" t="s">
        <v>178</v>
      </c>
    </row>
    <row r="6922" spans="2:15">
      <c r="B6922" s="20">
        <v>45976</v>
      </c>
      <c r="C6922" s="54">
        <v>50501117</v>
      </c>
      <c r="D6922" s="55" t="s">
        <v>1541</v>
      </c>
      <c r="G6922" s="65">
        <v>52416</v>
      </c>
      <c r="H6922" s="56" t="s">
        <v>92</v>
      </c>
      <c r="I6922" s="54">
        <v>8729173684</v>
      </c>
      <c r="J6922" s="56" t="s">
        <v>3062</v>
      </c>
      <c r="K6922" s="56">
        <v>3531</v>
      </c>
      <c r="L6922" s="55" t="s">
        <v>2152</v>
      </c>
      <c r="M6922" s="55" t="s">
        <v>3064</v>
      </c>
      <c r="N6922" s="4" t="s">
        <v>1905</v>
      </c>
      <c r="O6922" s="55" t="s">
        <v>178</v>
      </c>
    </row>
    <row r="6923" spans="2:15">
      <c r="B6923" s="20">
        <v>45978</v>
      </c>
      <c r="C6923" s="59">
        <v>50272278</v>
      </c>
      <c r="D6923" s="55" t="s">
        <v>21</v>
      </c>
      <c r="G6923" s="65">
        <v>13200</v>
      </c>
      <c r="H6923" s="56" t="s">
        <v>962</v>
      </c>
      <c r="I6923" s="54">
        <v>8729175495</v>
      </c>
      <c r="J6923" s="56" t="s">
        <v>3062</v>
      </c>
      <c r="K6923" s="56">
        <v>3532</v>
      </c>
      <c r="L6923" s="55" t="s">
        <v>2152</v>
      </c>
      <c r="M6923" s="55" t="s">
        <v>2824</v>
      </c>
      <c r="N6923" s="4" t="s">
        <v>1905</v>
      </c>
      <c r="O6923" s="55" t="s">
        <v>178</v>
      </c>
    </row>
    <row r="6924" spans="2:15">
      <c r="B6924" s="20">
        <v>45979</v>
      </c>
      <c r="C6924" s="54">
        <v>40015054</v>
      </c>
      <c r="D6924" s="55" t="s">
        <v>36</v>
      </c>
      <c r="G6924" s="65">
        <v>3000</v>
      </c>
      <c r="H6924" s="56" t="s">
        <v>80</v>
      </c>
      <c r="I6924" s="54" t="s">
        <v>3066</v>
      </c>
      <c r="J6924" s="56" t="s">
        <v>3069</v>
      </c>
      <c r="K6924" s="56">
        <v>3538</v>
      </c>
      <c r="L6924" s="55" t="s">
        <v>2152</v>
      </c>
      <c r="M6924" s="55" t="s">
        <v>2824</v>
      </c>
      <c r="N6924" s="4" t="s">
        <v>1905</v>
      </c>
      <c r="O6924" s="55" t="s">
        <v>178</v>
      </c>
    </row>
    <row r="6925" spans="2:15">
      <c r="B6925" s="20">
        <v>45979</v>
      </c>
      <c r="C6925" s="54">
        <v>40015053</v>
      </c>
      <c r="D6925" s="55" t="s">
        <v>35</v>
      </c>
      <c r="G6925" s="65">
        <v>1920</v>
      </c>
      <c r="H6925" s="56" t="s">
        <v>80</v>
      </c>
      <c r="I6925" s="54">
        <v>8729390238</v>
      </c>
      <c r="J6925" s="56" t="s">
        <v>3062</v>
      </c>
      <c r="K6925" s="56">
        <v>3538</v>
      </c>
      <c r="L6925" s="55" t="s">
        <v>2152</v>
      </c>
      <c r="M6925" s="55" t="s">
        <v>2824</v>
      </c>
      <c r="N6925" s="4" t="s">
        <v>1905</v>
      </c>
      <c r="O6925" s="55" t="s">
        <v>178</v>
      </c>
    </row>
    <row r="6926" spans="2:15">
      <c r="B6926" s="20">
        <v>45979</v>
      </c>
      <c r="C6926" s="54">
        <v>50272278</v>
      </c>
      <c r="D6926" s="55" t="s">
        <v>21</v>
      </c>
      <c r="G6926" s="65">
        <v>7800</v>
      </c>
      <c r="H6926" s="56" t="s">
        <v>92</v>
      </c>
      <c r="I6926" s="54">
        <v>8729193505</v>
      </c>
      <c r="J6926" s="56" t="s">
        <v>3062</v>
      </c>
      <c r="K6926" s="56">
        <v>3538</v>
      </c>
      <c r="L6926" s="55" t="s">
        <v>2152</v>
      </c>
      <c r="M6926" s="55" t="s">
        <v>2824</v>
      </c>
      <c r="N6926" s="4" t="s">
        <v>1905</v>
      </c>
      <c r="O6926" s="55" t="s">
        <v>178</v>
      </c>
    </row>
    <row r="6927" spans="2:15">
      <c r="B6927" s="20">
        <v>45979</v>
      </c>
      <c r="C6927" s="54">
        <v>40004808</v>
      </c>
      <c r="D6927" s="55" t="s">
        <v>91</v>
      </c>
      <c r="G6927" s="65">
        <v>540</v>
      </c>
      <c r="H6927" s="56" t="s">
        <v>80</v>
      </c>
      <c r="I6927" s="54">
        <v>8729193505</v>
      </c>
      <c r="J6927" s="56" t="s">
        <v>3062</v>
      </c>
      <c r="K6927" s="56">
        <v>3538</v>
      </c>
      <c r="L6927" s="55" t="s">
        <v>2152</v>
      </c>
      <c r="M6927" s="55" t="s">
        <v>2824</v>
      </c>
      <c r="N6927" s="4" t="s">
        <v>1905</v>
      </c>
      <c r="O6927" s="55" t="s">
        <v>178</v>
      </c>
    </row>
    <row r="6928" spans="2:15">
      <c r="B6928" s="20">
        <v>45979</v>
      </c>
      <c r="C6928" s="54">
        <v>50142327</v>
      </c>
      <c r="D6928" s="55" t="s">
        <v>256</v>
      </c>
      <c r="G6928" s="65">
        <v>1430.1</v>
      </c>
      <c r="H6928" s="56" t="s">
        <v>82</v>
      </c>
      <c r="I6928" s="54">
        <v>8729193505</v>
      </c>
      <c r="J6928" s="56" t="s">
        <v>3062</v>
      </c>
      <c r="K6928" s="56">
        <v>3538</v>
      </c>
      <c r="L6928" s="55" t="s">
        <v>2152</v>
      </c>
      <c r="M6928" s="55" t="s">
        <v>2824</v>
      </c>
      <c r="N6928" s="4" t="s">
        <v>1905</v>
      </c>
      <c r="O6928" s="55" t="s">
        <v>178</v>
      </c>
    </row>
    <row r="6929" spans="2:15">
      <c r="B6929" s="20">
        <v>45979</v>
      </c>
      <c r="C6929" s="54">
        <v>50142334</v>
      </c>
      <c r="D6929" s="55" t="s">
        <v>257</v>
      </c>
      <c r="G6929" s="65">
        <v>953.4</v>
      </c>
      <c r="H6929" s="56" t="s">
        <v>82</v>
      </c>
      <c r="I6929" s="54">
        <v>8729193505</v>
      </c>
      <c r="J6929" s="56" t="s">
        <v>3062</v>
      </c>
      <c r="K6929" s="56">
        <v>3538</v>
      </c>
      <c r="L6929" s="55" t="s">
        <v>2152</v>
      </c>
      <c r="M6929" s="55" t="s">
        <v>2824</v>
      </c>
      <c r="N6929" s="4" t="s">
        <v>1905</v>
      </c>
      <c r="O6929" s="55" t="s">
        <v>178</v>
      </c>
    </row>
    <row r="6930" spans="2:15">
      <c r="B6930" s="20">
        <v>45979</v>
      </c>
      <c r="C6930" s="54">
        <v>50819323</v>
      </c>
      <c r="D6930" s="55" t="s">
        <v>40</v>
      </c>
      <c r="G6930" s="65">
        <v>172.8</v>
      </c>
      <c r="H6930" s="56" t="s">
        <v>80</v>
      </c>
      <c r="I6930" s="54">
        <v>8729193382</v>
      </c>
      <c r="J6930" s="56" t="s">
        <v>3062</v>
      </c>
      <c r="K6930" s="56">
        <v>3535</v>
      </c>
      <c r="L6930" s="55" t="s">
        <v>326</v>
      </c>
      <c r="M6930" s="55" t="s">
        <v>2004</v>
      </c>
      <c r="O6930" s="55" t="s">
        <v>178</v>
      </c>
    </row>
    <row r="6931" spans="2:15">
      <c r="B6931" s="20">
        <v>45979</v>
      </c>
      <c r="C6931" s="54">
        <v>50852597</v>
      </c>
      <c r="D6931" s="55" t="s">
        <v>2703</v>
      </c>
      <c r="G6931" s="65">
        <v>86400</v>
      </c>
      <c r="H6931" s="56" t="s">
        <v>1248</v>
      </c>
      <c r="I6931" s="54">
        <v>8729193382</v>
      </c>
      <c r="J6931" s="56" t="s">
        <v>3062</v>
      </c>
      <c r="K6931" s="56">
        <v>3535</v>
      </c>
      <c r="L6931" s="55" t="s">
        <v>326</v>
      </c>
      <c r="M6931" s="55" t="s">
        <v>2004</v>
      </c>
      <c r="O6931" s="55" t="s">
        <v>178</v>
      </c>
    </row>
    <row r="6932" spans="2:15">
      <c r="B6932" s="20">
        <v>45979</v>
      </c>
      <c r="C6932" s="54">
        <v>50515034</v>
      </c>
      <c r="D6932" s="55" t="s">
        <v>41</v>
      </c>
      <c r="G6932" s="65">
        <v>169.2</v>
      </c>
      <c r="H6932" s="56" t="s">
        <v>80</v>
      </c>
      <c r="I6932" s="54">
        <v>8729193382</v>
      </c>
      <c r="J6932" s="56" t="s">
        <v>3062</v>
      </c>
      <c r="K6932" s="56">
        <v>3535</v>
      </c>
      <c r="L6932" s="55" t="s">
        <v>326</v>
      </c>
      <c r="M6932" s="55" t="s">
        <v>2004</v>
      </c>
      <c r="O6932" s="55" t="s">
        <v>178</v>
      </c>
    </row>
    <row r="6933" spans="2:15">
      <c r="B6933" s="20">
        <v>45979</v>
      </c>
      <c r="C6933" s="54">
        <v>50145028</v>
      </c>
      <c r="D6933" s="55" t="s">
        <v>23</v>
      </c>
      <c r="G6933" s="65">
        <v>162</v>
      </c>
      <c r="H6933" s="56" t="s">
        <v>92</v>
      </c>
      <c r="I6933" s="54">
        <v>8729193382</v>
      </c>
      <c r="J6933" s="56" t="s">
        <v>3062</v>
      </c>
      <c r="K6933" s="56">
        <v>3535</v>
      </c>
      <c r="L6933" s="55" t="s">
        <v>326</v>
      </c>
      <c r="M6933" s="55" t="s">
        <v>2004</v>
      </c>
      <c r="O6933" s="55" t="s">
        <v>178</v>
      </c>
    </row>
    <row r="6934" spans="2:15">
      <c r="B6934" s="20">
        <v>45979</v>
      </c>
      <c r="C6934" s="54">
        <v>50799770</v>
      </c>
      <c r="D6934" s="55" t="s">
        <v>17</v>
      </c>
      <c r="G6934" s="65">
        <v>2000</v>
      </c>
      <c r="H6934" s="56" t="s">
        <v>92</v>
      </c>
      <c r="I6934" s="54">
        <v>8729193382</v>
      </c>
      <c r="J6934" s="56" t="s">
        <v>3062</v>
      </c>
      <c r="K6934" s="56">
        <v>3535</v>
      </c>
      <c r="L6934" s="55" t="s">
        <v>326</v>
      </c>
      <c r="M6934" s="55" t="s">
        <v>2004</v>
      </c>
      <c r="O6934" s="55" t="s">
        <v>178</v>
      </c>
    </row>
    <row r="6935" spans="2:15">
      <c r="B6935" s="20">
        <v>45979</v>
      </c>
      <c r="C6935" s="54">
        <v>50470190</v>
      </c>
      <c r="D6935" s="55" t="s">
        <v>12</v>
      </c>
      <c r="G6935" s="65">
        <v>5796000</v>
      </c>
      <c r="H6935" s="56" t="s">
        <v>92</v>
      </c>
      <c r="I6935" s="54">
        <v>8729193374</v>
      </c>
      <c r="J6935" s="56" t="s">
        <v>3062</v>
      </c>
      <c r="K6935" s="56">
        <v>3534</v>
      </c>
      <c r="L6935" s="55" t="s">
        <v>2152</v>
      </c>
      <c r="M6935" s="55" t="s">
        <v>2824</v>
      </c>
      <c r="N6935" s="4" t="s">
        <v>1905</v>
      </c>
      <c r="O6935" s="55" t="s">
        <v>178</v>
      </c>
    </row>
    <row r="6936" spans="2:15">
      <c r="B6936" s="20">
        <v>45979</v>
      </c>
      <c r="C6936" s="54">
        <v>50271805</v>
      </c>
      <c r="D6936" s="55" t="s">
        <v>2452</v>
      </c>
      <c r="G6936" s="65">
        <v>12000</v>
      </c>
      <c r="H6936" s="56" t="s">
        <v>962</v>
      </c>
      <c r="I6936" s="54">
        <v>8729193383</v>
      </c>
      <c r="J6936" s="56" t="s">
        <v>3062</v>
      </c>
      <c r="K6936" s="56">
        <v>3536</v>
      </c>
      <c r="L6936" s="55" t="s">
        <v>326</v>
      </c>
      <c r="M6936" s="55" t="s">
        <v>326</v>
      </c>
      <c r="O6936" s="55" t="s">
        <v>178</v>
      </c>
    </row>
    <row r="6937" spans="2:15">
      <c r="B6937" s="20">
        <v>45979</v>
      </c>
      <c r="C6937" s="54">
        <v>50501117</v>
      </c>
      <c r="D6937" s="55" t="s">
        <v>1541</v>
      </c>
      <c r="G6937" s="65">
        <v>52416</v>
      </c>
      <c r="H6937" s="56" t="s">
        <v>1248</v>
      </c>
      <c r="I6937" s="54">
        <v>8729192506</v>
      </c>
      <c r="J6937" s="56" t="s">
        <v>3062</v>
      </c>
      <c r="K6937" s="55" t="s">
        <v>2152</v>
      </c>
      <c r="L6937" s="55" t="s">
        <v>3064</v>
      </c>
      <c r="M6937" s="4" t="s">
        <v>1905</v>
      </c>
      <c r="N6937" s="55" t="s">
        <v>178</v>
      </c>
    </row>
    <row r="6938" spans="2:15">
      <c r="B6938" s="20">
        <v>45979</v>
      </c>
      <c r="C6938" s="54">
        <v>50501117</v>
      </c>
      <c r="D6938" s="55" t="s">
        <v>1541</v>
      </c>
      <c r="G6938" s="65">
        <v>33693</v>
      </c>
      <c r="H6938" s="56" t="s">
        <v>80</v>
      </c>
      <c r="I6938" s="54">
        <v>8729193507</v>
      </c>
      <c r="J6938" s="56" t="s">
        <v>3062</v>
      </c>
      <c r="K6938" s="55" t="s">
        <v>2152</v>
      </c>
      <c r="L6938" s="55" t="s">
        <v>3064</v>
      </c>
      <c r="M6938" s="4" t="s">
        <v>1905</v>
      </c>
      <c r="N6938" s="55" t="s">
        <v>178</v>
      </c>
    </row>
    <row r="6939" spans="2:15">
      <c r="B6939" s="20">
        <v>45981</v>
      </c>
      <c r="C6939" s="54">
        <v>40014676</v>
      </c>
      <c r="D6939" s="55" t="s">
        <v>1435</v>
      </c>
      <c r="G6939" s="65">
        <v>20.16</v>
      </c>
      <c r="H6939" s="56" t="s">
        <v>80</v>
      </c>
      <c r="I6939" s="54">
        <v>8729247965</v>
      </c>
      <c r="J6939" s="56" t="s">
        <v>3062</v>
      </c>
      <c r="K6939" s="56">
        <v>759</v>
      </c>
      <c r="L6939" s="55" t="s">
        <v>2152</v>
      </c>
      <c r="M6939" s="55" t="s">
        <v>2824</v>
      </c>
      <c r="O6939" s="55" t="s">
        <v>178</v>
      </c>
    </row>
    <row r="6940" spans="2:15">
      <c r="B6940" s="20">
        <v>45981</v>
      </c>
      <c r="C6940" s="54">
        <v>40014676</v>
      </c>
      <c r="D6940" s="55" t="s">
        <v>1435</v>
      </c>
      <c r="G6940" s="65">
        <v>20.16</v>
      </c>
      <c r="H6940" s="56" t="s">
        <v>80</v>
      </c>
      <c r="I6940" s="54">
        <v>8729247966</v>
      </c>
      <c r="J6940" s="56" t="s">
        <v>3062</v>
      </c>
      <c r="K6940" s="56">
        <v>760</v>
      </c>
      <c r="L6940" s="55" t="s">
        <v>2152</v>
      </c>
      <c r="M6940" s="55" t="s">
        <v>2824</v>
      </c>
      <c r="O6940" s="55" t="s">
        <v>178</v>
      </c>
    </row>
    <row r="6941" spans="2:15">
      <c r="B6941" s="20">
        <v>45981</v>
      </c>
      <c r="C6941" s="54">
        <v>50144376</v>
      </c>
      <c r="D6941" s="55" t="s">
        <v>19</v>
      </c>
      <c r="G6941" s="65">
        <v>4800</v>
      </c>
      <c r="H6941" s="56" t="s">
        <v>92</v>
      </c>
      <c r="I6941" s="54">
        <v>8729230139</v>
      </c>
      <c r="J6941" s="56" t="s">
        <v>3062</v>
      </c>
      <c r="K6941" s="56">
        <v>3540</v>
      </c>
      <c r="L6941" s="55" t="s">
        <v>2152</v>
      </c>
      <c r="M6941" s="55" t="s">
        <v>2824</v>
      </c>
      <c r="N6941" s="4" t="s">
        <v>1905</v>
      </c>
      <c r="O6941" s="55" t="s">
        <v>178</v>
      </c>
    </row>
    <row r="6942" spans="2:15">
      <c r="B6942" s="20">
        <v>45981</v>
      </c>
      <c r="C6942" s="54">
        <v>50272278</v>
      </c>
      <c r="D6942" s="55" t="s">
        <v>21</v>
      </c>
      <c r="G6942" s="65">
        <v>8400</v>
      </c>
      <c r="H6942" s="56" t="s">
        <v>92</v>
      </c>
      <c r="I6942" s="54">
        <v>8729230139</v>
      </c>
      <c r="J6942" s="56" t="s">
        <v>3062</v>
      </c>
      <c r="K6942" s="56">
        <v>3540</v>
      </c>
      <c r="L6942" s="55" t="s">
        <v>2152</v>
      </c>
      <c r="M6942" s="55" t="s">
        <v>2824</v>
      </c>
      <c r="N6942" s="4" t="s">
        <v>1905</v>
      </c>
      <c r="O6942" s="55" t="s">
        <v>178</v>
      </c>
    </row>
    <row r="6943" spans="2:15">
      <c r="B6943" s="20">
        <v>45981</v>
      </c>
      <c r="C6943" s="54">
        <v>50010080</v>
      </c>
      <c r="D6943" s="55" t="s">
        <v>1657</v>
      </c>
      <c r="G6943" s="61">
        <v>3000</v>
      </c>
      <c r="H6943" s="56" t="s">
        <v>82</v>
      </c>
      <c r="I6943" s="54">
        <v>8729230141</v>
      </c>
      <c r="J6943" s="56" t="s">
        <v>3062</v>
      </c>
      <c r="K6943" s="56">
        <v>3541</v>
      </c>
      <c r="L6943" s="55" t="s">
        <v>2152</v>
      </c>
      <c r="M6943" s="55" t="s">
        <v>2824</v>
      </c>
      <c r="N6943" s="4" t="s">
        <v>1905</v>
      </c>
      <c r="O6943" s="55" t="s">
        <v>178</v>
      </c>
    </row>
    <row r="6944" spans="2:15">
      <c r="B6944" s="20">
        <v>45981</v>
      </c>
      <c r="C6944" s="54">
        <v>40015052</v>
      </c>
      <c r="D6944" s="55" t="s">
        <v>2744</v>
      </c>
      <c r="G6944" s="65">
        <v>3360</v>
      </c>
      <c r="H6944" s="56" t="s">
        <v>80</v>
      </c>
      <c r="I6944" s="54">
        <v>8729230141</v>
      </c>
      <c r="J6944" s="56" t="s">
        <v>3062</v>
      </c>
      <c r="K6944" s="56">
        <v>3541</v>
      </c>
      <c r="L6944" s="55" t="s">
        <v>2152</v>
      </c>
      <c r="M6944" s="55" t="s">
        <v>2824</v>
      </c>
      <c r="N6944" s="4" t="s">
        <v>1905</v>
      </c>
      <c r="O6944" s="55" t="s">
        <v>178</v>
      </c>
    </row>
    <row r="6945" spans="2:15">
      <c r="B6945" s="20">
        <v>45981</v>
      </c>
      <c r="C6945" s="54">
        <v>50144135</v>
      </c>
      <c r="D6945" s="55" t="s">
        <v>2662</v>
      </c>
      <c r="G6945" s="58">
        <v>10000</v>
      </c>
      <c r="H6945" s="56" t="s">
        <v>92</v>
      </c>
      <c r="I6945" s="54" t="s">
        <v>3066</v>
      </c>
      <c r="J6945" s="56" t="s">
        <v>3069</v>
      </c>
      <c r="K6945" s="56">
        <v>3541</v>
      </c>
      <c r="L6945" s="55" t="s">
        <v>2152</v>
      </c>
      <c r="M6945" s="55" t="s">
        <v>2824</v>
      </c>
      <c r="N6945" s="4" t="s">
        <v>1905</v>
      </c>
      <c r="O6945" s="55" t="s">
        <v>178</v>
      </c>
    </row>
    <row r="6946" spans="2:15">
      <c r="B6946" s="20">
        <v>45981</v>
      </c>
      <c r="C6946" s="59">
        <v>40010087</v>
      </c>
      <c r="D6946" s="55" t="s">
        <v>387</v>
      </c>
      <c r="G6946" s="58">
        <v>3456</v>
      </c>
      <c r="H6946" s="56" t="s">
        <v>80</v>
      </c>
      <c r="I6946" s="54">
        <v>8729230141</v>
      </c>
      <c r="J6946" s="56" t="s">
        <v>3062</v>
      </c>
      <c r="K6946" s="56">
        <v>3541</v>
      </c>
      <c r="L6946" s="55" t="s">
        <v>2152</v>
      </c>
      <c r="M6946" s="55" t="s">
        <v>2824</v>
      </c>
      <c r="N6946" s="4" t="s">
        <v>1905</v>
      </c>
      <c r="O6946" s="55" t="s">
        <v>178</v>
      </c>
    </row>
    <row r="6947" spans="2:15">
      <c r="B6947" s="20">
        <v>45981</v>
      </c>
      <c r="C6947" s="59">
        <v>50851033</v>
      </c>
      <c r="D6947" s="55" t="s">
        <v>29</v>
      </c>
      <c r="G6947" s="58">
        <v>2411.5</v>
      </c>
      <c r="H6947" s="56" t="s">
        <v>82</v>
      </c>
      <c r="I6947" s="54">
        <v>8729230141</v>
      </c>
      <c r="J6947" s="56" t="s">
        <v>3062</v>
      </c>
      <c r="K6947" s="56">
        <v>3541</v>
      </c>
      <c r="L6947" s="55" t="s">
        <v>2152</v>
      </c>
      <c r="M6947" s="55" t="s">
        <v>2824</v>
      </c>
      <c r="N6947" s="4" t="s">
        <v>1905</v>
      </c>
      <c r="O6947" s="55" t="s">
        <v>178</v>
      </c>
    </row>
    <row r="6948" spans="2:15">
      <c r="B6948" s="20">
        <v>45981</v>
      </c>
      <c r="C6948" s="59">
        <v>50142551</v>
      </c>
      <c r="D6948" s="55" t="s">
        <v>215</v>
      </c>
      <c r="G6948" s="58">
        <v>150</v>
      </c>
      <c r="H6948" s="56" t="s">
        <v>92</v>
      </c>
      <c r="I6948" s="54">
        <v>8729230141</v>
      </c>
      <c r="J6948" s="56" t="s">
        <v>3062</v>
      </c>
      <c r="K6948" s="56">
        <v>3541</v>
      </c>
      <c r="L6948" s="55" t="s">
        <v>2152</v>
      </c>
      <c r="M6948" s="55" t="s">
        <v>2824</v>
      </c>
      <c r="N6948" s="4" t="s">
        <v>1905</v>
      </c>
      <c r="O6948" s="55" t="s">
        <v>178</v>
      </c>
    </row>
    <row r="6949" spans="2:15">
      <c r="B6949" s="20">
        <v>45981</v>
      </c>
      <c r="C6949" s="59">
        <v>50142397</v>
      </c>
      <c r="D6949" s="55" t="s">
        <v>557</v>
      </c>
      <c r="G6949" s="58">
        <v>75</v>
      </c>
      <c r="H6949" s="56" t="s">
        <v>80</v>
      </c>
      <c r="I6949" s="54">
        <v>8729368319</v>
      </c>
      <c r="J6949" s="56" t="s">
        <v>3062</v>
      </c>
      <c r="K6949" s="56">
        <v>3541</v>
      </c>
      <c r="L6949" s="55" t="s">
        <v>2152</v>
      </c>
      <c r="M6949" s="55" t="s">
        <v>2824</v>
      </c>
      <c r="N6949" s="4" t="s">
        <v>1905</v>
      </c>
      <c r="O6949" s="55" t="s">
        <v>178</v>
      </c>
    </row>
    <row r="6950" spans="2:15">
      <c r="B6950" s="20">
        <v>45981</v>
      </c>
      <c r="C6950" s="59">
        <v>50145029</v>
      </c>
      <c r="D6950" s="55" t="s">
        <v>705</v>
      </c>
      <c r="G6950" s="58">
        <v>24</v>
      </c>
      <c r="H6950" s="56" t="s">
        <v>505</v>
      </c>
      <c r="I6950" s="54">
        <v>8729230141</v>
      </c>
      <c r="J6950" s="56" t="s">
        <v>3062</v>
      </c>
      <c r="K6950" s="56">
        <v>3541</v>
      </c>
      <c r="L6950" s="55" t="s">
        <v>2152</v>
      </c>
      <c r="M6950" s="55" t="s">
        <v>2824</v>
      </c>
      <c r="N6950" s="4" t="s">
        <v>1905</v>
      </c>
      <c r="O6950" s="55" t="s">
        <v>178</v>
      </c>
    </row>
    <row r="6951" spans="2:15">
      <c r="B6951" s="20">
        <v>45981</v>
      </c>
      <c r="C6951" s="59">
        <v>50392045</v>
      </c>
      <c r="D6951" s="55" t="s">
        <v>707</v>
      </c>
      <c r="G6951" s="58">
        <v>18</v>
      </c>
      <c r="H6951" s="56" t="s">
        <v>505</v>
      </c>
      <c r="I6951" s="54">
        <v>8729230141</v>
      </c>
      <c r="J6951" s="56" t="s">
        <v>3062</v>
      </c>
      <c r="K6951" s="56">
        <v>3541</v>
      </c>
      <c r="L6951" s="55" t="s">
        <v>2152</v>
      </c>
      <c r="M6951" s="55" t="s">
        <v>2824</v>
      </c>
      <c r="N6951" s="4" t="s">
        <v>1905</v>
      </c>
      <c r="O6951" s="55" t="s">
        <v>178</v>
      </c>
    </row>
    <row r="6952" spans="2:15">
      <c r="B6952" s="20">
        <v>45981</v>
      </c>
      <c r="C6952" s="59">
        <v>50143873</v>
      </c>
      <c r="D6952" s="55" t="s">
        <v>406</v>
      </c>
      <c r="G6952" s="58">
        <v>1159200</v>
      </c>
      <c r="H6952" s="56" t="s">
        <v>92</v>
      </c>
      <c r="I6952" s="54">
        <v>8729230141</v>
      </c>
      <c r="J6952" s="56" t="s">
        <v>3062</v>
      </c>
      <c r="K6952" s="56">
        <v>3541</v>
      </c>
      <c r="L6952" s="55" t="s">
        <v>2152</v>
      </c>
      <c r="M6952" s="55" t="s">
        <v>2824</v>
      </c>
      <c r="N6952" s="4" t="s">
        <v>1905</v>
      </c>
      <c r="O6952" s="55" t="s">
        <v>178</v>
      </c>
    </row>
    <row r="6953" spans="2:15">
      <c r="B6953" s="20">
        <v>45981</v>
      </c>
      <c r="C6953" s="59">
        <v>50470190</v>
      </c>
      <c r="D6953" s="55" t="s">
        <v>12</v>
      </c>
      <c r="G6953" s="65">
        <v>289800</v>
      </c>
      <c r="H6953" s="56" t="s">
        <v>92</v>
      </c>
      <c r="I6953" s="54">
        <v>8729230141</v>
      </c>
      <c r="J6953" s="56" t="s">
        <v>3062</v>
      </c>
      <c r="K6953" s="56">
        <v>3541</v>
      </c>
      <c r="L6953" s="55" t="s">
        <v>2152</v>
      </c>
      <c r="M6953" s="55" t="s">
        <v>2824</v>
      </c>
      <c r="N6953" s="4" t="s">
        <v>1905</v>
      </c>
      <c r="O6953" s="55" t="s">
        <v>178</v>
      </c>
    </row>
    <row r="6954" spans="2:15">
      <c r="B6954" s="20">
        <v>45981</v>
      </c>
      <c r="C6954" s="59">
        <v>50802401</v>
      </c>
      <c r="D6954" s="55" t="s">
        <v>13</v>
      </c>
      <c r="G6954" s="65">
        <v>289800</v>
      </c>
      <c r="H6954" s="56" t="s">
        <v>92</v>
      </c>
      <c r="I6954" s="54">
        <v>8729230141</v>
      </c>
      <c r="J6954" s="56" t="s">
        <v>3062</v>
      </c>
      <c r="K6954" s="56">
        <v>3541</v>
      </c>
      <c r="L6954" s="55" t="s">
        <v>2152</v>
      </c>
      <c r="M6954" s="55" t="s">
        <v>2824</v>
      </c>
      <c r="N6954" s="4" t="s">
        <v>1905</v>
      </c>
      <c r="O6954" s="55" t="s">
        <v>178</v>
      </c>
    </row>
    <row r="6955" spans="2:15">
      <c r="B6955" s="20">
        <v>45981</v>
      </c>
      <c r="C6955" s="59">
        <v>50142334</v>
      </c>
      <c r="D6955" s="55" t="s">
        <v>257</v>
      </c>
      <c r="G6955" s="58">
        <v>953.4</v>
      </c>
      <c r="H6955" s="56" t="s">
        <v>82</v>
      </c>
      <c r="I6955" s="54">
        <v>8729230141</v>
      </c>
      <c r="J6955" s="56" t="s">
        <v>3062</v>
      </c>
      <c r="K6955" s="56">
        <v>3541</v>
      </c>
      <c r="L6955" s="55" t="s">
        <v>2152</v>
      </c>
      <c r="M6955" s="55" t="s">
        <v>2824</v>
      </c>
      <c r="N6955" s="4" t="s">
        <v>1905</v>
      </c>
      <c r="O6955" s="55" t="s">
        <v>178</v>
      </c>
    </row>
    <row r="6956" spans="2:15">
      <c r="B6956" s="20">
        <v>45981</v>
      </c>
      <c r="C6956" s="54">
        <v>40014676</v>
      </c>
      <c r="D6956" s="55" t="s">
        <v>1435</v>
      </c>
      <c r="G6956" s="65">
        <v>20.16</v>
      </c>
      <c r="H6956" s="56" t="s">
        <v>80</v>
      </c>
      <c r="I6956" s="54">
        <v>8729247967</v>
      </c>
      <c r="J6956" s="56" t="s">
        <v>3062</v>
      </c>
      <c r="K6956" s="56">
        <v>761</v>
      </c>
      <c r="L6956" s="55" t="s">
        <v>2152</v>
      </c>
      <c r="M6956" s="55" t="s">
        <v>2824</v>
      </c>
      <c r="O6956" s="55" t="s">
        <v>178</v>
      </c>
    </row>
    <row r="6957" spans="2:15">
      <c r="B6957" s="20">
        <v>45982</v>
      </c>
      <c r="C6957" s="54">
        <v>40014676</v>
      </c>
      <c r="D6957" s="55" t="s">
        <v>1435</v>
      </c>
      <c r="G6957" s="65">
        <v>20.16</v>
      </c>
      <c r="H6957" s="56" t="s">
        <v>80</v>
      </c>
      <c r="I6957" s="54">
        <v>8729247968</v>
      </c>
      <c r="J6957" s="56" t="s">
        <v>3062</v>
      </c>
      <c r="K6957" s="56">
        <v>762</v>
      </c>
      <c r="L6957" s="55" t="s">
        <v>2152</v>
      </c>
      <c r="M6957" s="55" t="s">
        <v>2824</v>
      </c>
      <c r="O6957" s="55" t="s">
        <v>178</v>
      </c>
    </row>
    <row r="6958" spans="2:15">
      <c r="B6958" s="20">
        <v>45982</v>
      </c>
      <c r="C6958" s="54">
        <v>40014676</v>
      </c>
      <c r="D6958" s="55" t="s">
        <v>1435</v>
      </c>
      <c r="G6958" s="65">
        <v>20.16</v>
      </c>
      <c r="H6958" s="56" t="s">
        <v>80</v>
      </c>
      <c r="I6958" s="54">
        <v>8729247971</v>
      </c>
      <c r="J6958" s="56" t="s">
        <v>3062</v>
      </c>
      <c r="K6958" s="56">
        <v>763</v>
      </c>
      <c r="L6958" s="55" t="s">
        <v>2152</v>
      </c>
      <c r="M6958" s="55" t="s">
        <v>2824</v>
      </c>
      <c r="O6958" s="55" t="s">
        <v>178</v>
      </c>
    </row>
    <row r="6959" spans="2:15">
      <c r="B6959" s="20">
        <v>45982</v>
      </c>
      <c r="C6959" s="59">
        <v>50799770</v>
      </c>
      <c r="D6959" s="55" t="s">
        <v>17</v>
      </c>
      <c r="G6959" s="65">
        <v>3600</v>
      </c>
      <c r="H6959" s="56" t="s">
        <v>92</v>
      </c>
      <c r="I6959" s="54">
        <v>8729247973</v>
      </c>
      <c r="J6959" s="56" t="s">
        <v>3062</v>
      </c>
      <c r="K6959" s="56">
        <v>3542</v>
      </c>
      <c r="L6959" s="55" t="s">
        <v>2152</v>
      </c>
      <c r="M6959" s="55" t="s">
        <v>2824</v>
      </c>
      <c r="N6959" s="4" t="s">
        <v>1905</v>
      </c>
      <c r="O6959" s="55" t="s">
        <v>178</v>
      </c>
    </row>
    <row r="6960" spans="2:15">
      <c r="B6960" s="20">
        <v>45982</v>
      </c>
      <c r="C6960" s="59">
        <v>50144376</v>
      </c>
      <c r="D6960" s="55" t="s">
        <v>19</v>
      </c>
      <c r="G6960" s="65">
        <v>4800</v>
      </c>
      <c r="H6960" s="56" t="s">
        <v>92</v>
      </c>
      <c r="I6960" s="54">
        <v>8729368321</v>
      </c>
      <c r="J6960" s="56" t="s">
        <v>3062</v>
      </c>
      <c r="K6960" s="56">
        <v>3542</v>
      </c>
      <c r="L6960" s="55" t="s">
        <v>2152</v>
      </c>
      <c r="M6960" s="55" t="s">
        <v>2824</v>
      </c>
      <c r="N6960" s="4" t="s">
        <v>1905</v>
      </c>
      <c r="O6960" s="55" t="s">
        <v>178</v>
      </c>
    </row>
    <row r="6961" spans="2:15">
      <c r="B6961" s="20">
        <v>45982</v>
      </c>
      <c r="C6961" s="59">
        <v>50272278</v>
      </c>
      <c r="D6961" s="55" t="s">
        <v>21</v>
      </c>
      <c r="G6961" s="65">
        <v>4800</v>
      </c>
      <c r="H6961" s="56" t="s">
        <v>92</v>
      </c>
      <c r="I6961" s="54">
        <v>8729247973</v>
      </c>
      <c r="J6961" s="56" t="s">
        <v>3062</v>
      </c>
      <c r="K6961" s="56">
        <v>3542</v>
      </c>
      <c r="L6961" s="55" t="s">
        <v>2152</v>
      </c>
      <c r="M6961" s="55" t="s">
        <v>2824</v>
      </c>
      <c r="N6961" s="4" t="s">
        <v>1905</v>
      </c>
      <c r="O6961" s="55" t="s">
        <v>178</v>
      </c>
    </row>
    <row r="6962" spans="2:15">
      <c r="B6962" s="20">
        <v>45982</v>
      </c>
      <c r="C6962" s="59">
        <v>50843627</v>
      </c>
      <c r="D6962" s="55" t="s">
        <v>2472</v>
      </c>
      <c r="G6962" s="65">
        <v>30240</v>
      </c>
      <c r="H6962" s="56" t="s">
        <v>92</v>
      </c>
      <c r="I6962" s="54">
        <v>8729248058</v>
      </c>
      <c r="J6962" s="56" t="s">
        <v>3062</v>
      </c>
      <c r="K6962" s="56">
        <v>3543</v>
      </c>
      <c r="L6962" s="55" t="s">
        <v>2152</v>
      </c>
      <c r="M6962" s="55" t="s">
        <v>2824</v>
      </c>
      <c r="N6962" s="4" t="s">
        <v>1905</v>
      </c>
      <c r="O6962" s="55" t="s">
        <v>178</v>
      </c>
    </row>
    <row r="6963" spans="2:15">
      <c r="B6963" s="20">
        <v>45982</v>
      </c>
      <c r="C6963" s="59">
        <v>50272278</v>
      </c>
      <c r="D6963" s="55" t="s">
        <v>21</v>
      </c>
      <c r="G6963" s="65">
        <v>3600</v>
      </c>
      <c r="H6963" s="56" t="s">
        <v>92</v>
      </c>
      <c r="I6963" s="54">
        <v>8729248058</v>
      </c>
      <c r="J6963" s="56" t="s">
        <v>3062</v>
      </c>
      <c r="K6963" s="56">
        <v>3543</v>
      </c>
      <c r="L6963" s="55" t="s">
        <v>2152</v>
      </c>
      <c r="M6963" s="55" t="s">
        <v>2824</v>
      </c>
      <c r="N6963" s="4" t="s">
        <v>1905</v>
      </c>
      <c r="O6963" s="55" t="s">
        <v>178</v>
      </c>
    </row>
    <row r="6964" spans="2:15">
      <c r="B6964" s="20">
        <v>45982</v>
      </c>
      <c r="C6964" s="59">
        <v>50143873</v>
      </c>
      <c r="D6964" s="55" t="s">
        <v>406</v>
      </c>
      <c r="G6964" s="65">
        <v>528000</v>
      </c>
      <c r="H6964" s="56" t="s">
        <v>92</v>
      </c>
      <c r="I6964" s="54">
        <v>8729248058</v>
      </c>
      <c r="J6964" s="56" t="s">
        <v>3062</v>
      </c>
      <c r="K6964" s="56">
        <v>3543</v>
      </c>
      <c r="L6964" s="55" t="s">
        <v>2152</v>
      </c>
      <c r="M6964" s="55" t="s">
        <v>2824</v>
      </c>
      <c r="N6964" s="4" t="s">
        <v>1905</v>
      </c>
      <c r="O6964" s="55" t="s">
        <v>178</v>
      </c>
    </row>
    <row r="6965" spans="2:15">
      <c r="B6965" s="20">
        <v>45982</v>
      </c>
      <c r="C6965" s="59">
        <v>50802401</v>
      </c>
      <c r="D6965" s="55" t="s">
        <v>13</v>
      </c>
      <c r="G6965" s="65">
        <v>2318400</v>
      </c>
      <c r="H6965" s="56" t="s">
        <v>92</v>
      </c>
      <c r="I6965" s="54">
        <v>8729248058</v>
      </c>
      <c r="J6965" s="56" t="s">
        <v>3062</v>
      </c>
      <c r="K6965" s="56">
        <v>3543</v>
      </c>
      <c r="L6965" s="55" t="s">
        <v>2152</v>
      </c>
      <c r="M6965" s="55" t="s">
        <v>2824</v>
      </c>
      <c r="N6965" s="4" t="s">
        <v>1905</v>
      </c>
      <c r="O6965" s="55" t="s">
        <v>178</v>
      </c>
    </row>
    <row r="6966" spans="2:15">
      <c r="B6966" s="20">
        <v>45982</v>
      </c>
      <c r="C6966" s="54">
        <v>40014676</v>
      </c>
      <c r="D6966" s="55" t="s">
        <v>1435</v>
      </c>
      <c r="G6966" s="65">
        <v>20.16</v>
      </c>
      <c r="H6966" s="56" t="s">
        <v>80</v>
      </c>
      <c r="I6966" s="54">
        <v>8729248400</v>
      </c>
      <c r="J6966" s="56" t="s">
        <v>3062</v>
      </c>
      <c r="K6966" s="56">
        <v>764</v>
      </c>
      <c r="L6966" s="55" t="s">
        <v>2152</v>
      </c>
      <c r="M6966" s="55" t="s">
        <v>2824</v>
      </c>
      <c r="O6966" s="55" t="s">
        <v>178</v>
      </c>
    </row>
    <row r="6967" spans="2:15">
      <c r="B6967" s="20">
        <v>45982</v>
      </c>
      <c r="C6967" s="54">
        <v>40014676</v>
      </c>
      <c r="D6967" s="55" t="s">
        <v>1435</v>
      </c>
      <c r="G6967" s="65">
        <v>15.96</v>
      </c>
      <c r="H6967" s="56" t="s">
        <v>80</v>
      </c>
      <c r="I6967" s="54">
        <v>8729248403</v>
      </c>
      <c r="J6967" s="56" t="s">
        <v>3062</v>
      </c>
      <c r="K6967" s="56">
        <v>765</v>
      </c>
      <c r="L6967" s="55" t="s">
        <v>2152</v>
      </c>
      <c r="M6967" s="55" t="s">
        <v>2824</v>
      </c>
      <c r="O6967" s="55" t="s">
        <v>178</v>
      </c>
    </row>
    <row r="6968" spans="2:15">
      <c r="B6968" s="20">
        <v>45983</v>
      </c>
      <c r="C6968" s="54">
        <v>40014676</v>
      </c>
      <c r="D6968" s="55" t="s">
        <v>1435</v>
      </c>
      <c r="G6968" s="65">
        <f>22*840/1000</f>
        <v>18.48</v>
      </c>
      <c r="H6968" s="56" t="s">
        <v>1248</v>
      </c>
      <c r="I6968" s="54">
        <v>8729276865</v>
      </c>
      <c r="J6968" s="56" t="s">
        <v>3062</v>
      </c>
      <c r="K6968" s="56">
        <v>766</v>
      </c>
      <c r="L6968" s="55" t="s">
        <v>2152</v>
      </c>
      <c r="M6968" s="55" t="s">
        <v>2824</v>
      </c>
      <c r="O6968" s="55" t="s">
        <v>178</v>
      </c>
    </row>
    <row r="6969" spans="2:15">
      <c r="B6969" s="20">
        <v>45985</v>
      </c>
      <c r="C6969" s="59">
        <v>50843627</v>
      </c>
      <c r="D6969" s="55" t="s">
        <v>2472</v>
      </c>
      <c r="G6969" s="65">
        <f>5760*5</f>
        <v>28800</v>
      </c>
      <c r="H6969" s="56" t="s">
        <v>92</v>
      </c>
      <c r="I6969" s="54">
        <v>8729276722</v>
      </c>
      <c r="J6969" s="56" t="s">
        <v>3062</v>
      </c>
      <c r="K6969" s="56">
        <v>3544</v>
      </c>
      <c r="L6969" s="55" t="s">
        <v>2152</v>
      </c>
      <c r="M6969" s="55" t="s">
        <v>2824</v>
      </c>
      <c r="O6969" s="55" t="s">
        <v>178</v>
      </c>
    </row>
    <row r="6970" spans="2:15">
      <c r="B6970" s="20">
        <v>45985</v>
      </c>
      <c r="C6970" s="59">
        <v>40015052</v>
      </c>
      <c r="D6970" s="55" t="s">
        <v>2744</v>
      </c>
      <c r="G6970" s="65">
        <v>3360</v>
      </c>
      <c r="H6970" s="56" t="s">
        <v>80</v>
      </c>
      <c r="I6970" s="54">
        <v>8729276722</v>
      </c>
      <c r="J6970" s="56" t="s">
        <v>3062</v>
      </c>
      <c r="K6970" s="56">
        <v>3544</v>
      </c>
      <c r="L6970" s="55" t="s">
        <v>2152</v>
      </c>
      <c r="M6970" s="55" t="s">
        <v>2824</v>
      </c>
      <c r="O6970" s="55" t="s">
        <v>178</v>
      </c>
    </row>
    <row r="6971" spans="2:15">
      <c r="B6971" s="20">
        <v>45985</v>
      </c>
      <c r="C6971" s="59">
        <v>40015055</v>
      </c>
      <c r="D6971" s="55" t="s">
        <v>2745</v>
      </c>
      <c r="G6971" s="65">
        <v>1728</v>
      </c>
      <c r="H6971" s="56" t="s">
        <v>80</v>
      </c>
      <c r="I6971" s="54">
        <v>8729276722</v>
      </c>
      <c r="J6971" s="56" t="s">
        <v>3062</v>
      </c>
      <c r="K6971" s="56">
        <v>3544</v>
      </c>
      <c r="L6971" s="55" t="s">
        <v>2152</v>
      </c>
      <c r="M6971" s="55" t="s">
        <v>2824</v>
      </c>
      <c r="O6971" s="55" t="s">
        <v>178</v>
      </c>
    </row>
    <row r="6972" spans="2:15">
      <c r="B6972" s="20">
        <v>45985</v>
      </c>
      <c r="C6972" s="59">
        <v>50470190</v>
      </c>
      <c r="D6972" s="55" t="s">
        <v>12</v>
      </c>
      <c r="G6972" s="65">
        <v>2898000</v>
      </c>
      <c r="H6972" s="56" t="s">
        <v>92</v>
      </c>
      <c r="I6972" s="54">
        <v>8729276722</v>
      </c>
      <c r="J6972" s="56" t="s">
        <v>3062</v>
      </c>
      <c r="K6972" s="56">
        <v>3544</v>
      </c>
      <c r="L6972" s="55" t="s">
        <v>2152</v>
      </c>
      <c r="M6972" s="55" t="s">
        <v>2824</v>
      </c>
      <c r="O6972" s="55" t="s">
        <v>178</v>
      </c>
    </row>
    <row r="6973" spans="2:15">
      <c r="B6973" s="20">
        <v>45985</v>
      </c>
      <c r="C6973" s="59">
        <v>50509889</v>
      </c>
      <c r="D6973" s="55" t="s">
        <v>671</v>
      </c>
      <c r="G6973" s="65">
        <v>528000</v>
      </c>
      <c r="H6973" s="56" t="s">
        <v>92</v>
      </c>
      <c r="I6973" s="54">
        <v>8729276722</v>
      </c>
      <c r="J6973" s="56" t="s">
        <v>3062</v>
      </c>
      <c r="K6973" s="56">
        <v>3544</v>
      </c>
      <c r="L6973" s="55" t="s">
        <v>2152</v>
      </c>
      <c r="M6973" s="55" t="s">
        <v>2824</v>
      </c>
      <c r="O6973" s="55" t="s">
        <v>178</v>
      </c>
    </row>
    <row r="6974" spans="2:15">
      <c r="B6974" s="20">
        <v>45985</v>
      </c>
      <c r="C6974" s="59">
        <v>50804970</v>
      </c>
      <c r="D6974" s="55" t="s">
        <v>857</v>
      </c>
      <c r="G6974" s="58">
        <v>1960000</v>
      </c>
      <c r="H6974" s="56" t="s">
        <v>92</v>
      </c>
      <c r="I6974" s="54">
        <v>8729276819</v>
      </c>
      <c r="J6974" s="56" t="s">
        <v>3070</v>
      </c>
      <c r="K6974" s="56">
        <v>3545</v>
      </c>
      <c r="L6974" s="55" t="s">
        <v>2152</v>
      </c>
      <c r="M6974" s="55" t="s">
        <v>2824</v>
      </c>
      <c r="O6974" s="55" t="s">
        <v>178</v>
      </c>
    </row>
    <row r="6975" spans="2:15">
      <c r="B6975" s="20">
        <v>45985</v>
      </c>
      <c r="C6975" s="59">
        <v>50804971</v>
      </c>
      <c r="D6975" s="55" t="s">
        <v>855</v>
      </c>
      <c r="G6975" s="58">
        <v>1582000</v>
      </c>
      <c r="H6975" s="56" t="s">
        <v>92</v>
      </c>
      <c r="I6975" s="54">
        <v>8729276819</v>
      </c>
      <c r="J6975" s="56" t="s">
        <v>3062</v>
      </c>
      <c r="K6975" s="56">
        <v>3545</v>
      </c>
      <c r="L6975" s="55" t="s">
        <v>2152</v>
      </c>
      <c r="M6975" s="55" t="s">
        <v>2824</v>
      </c>
      <c r="O6975" s="55" t="s">
        <v>178</v>
      </c>
    </row>
    <row r="6976" spans="2:15">
      <c r="B6976" s="20">
        <v>45985</v>
      </c>
      <c r="C6976" s="59">
        <v>50804929</v>
      </c>
      <c r="D6976" s="55" t="s">
        <v>856</v>
      </c>
      <c r="G6976" s="58">
        <v>760000</v>
      </c>
      <c r="H6976" s="56" t="s">
        <v>92</v>
      </c>
      <c r="I6976" s="54">
        <v>8729276819</v>
      </c>
      <c r="J6976" s="56" t="s">
        <v>3062</v>
      </c>
      <c r="K6976" s="56">
        <v>3545</v>
      </c>
      <c r="L6976" s="55" t="s">
        <v>2152</v>
      </c>
      <c r="M6976" s="55" t="s">
        <v>2824</v>
      </c>
      <c r="O6976" s="55" t="s">
        <v>178</v>
      </c>
    </row>
    <row r="6977" spans="2:15">
      <c r="B6977" s="20">
        <v>45985</v>
      </c>
      <c r="C6977" s="59">
        <v>50821962</v>
      </c>
      <c r="D6977" s="55" t="s">
        <v>2020</v>
      </c>
      <c r="G6977" s="58">
        <v>1565.35</v>
      </c>
      <c r="H6977" s="56" t="s">
        <v>82</v>
      </c>
      <c r="I6977" s="54">
        <v>8729276819</v>
      </c>
      <c r="J6977" s="56" t="s">
        <v>3062</v>
      </c>
      <c r="K6977" s="56">
        <v>3545</v>
      </c>
      <c r="L6977" s="55" t="s">
        <v>2152</v>
      </c>
      <c r="M6977" s="55" t="s">
        <v>2824</v>
      </c>
      <c r="O6977" s="55" t="s">
        <v>178</v>
      </c>
    </row>
    <row r="6978" spans="2:15">
      <c r="B6978" s="20">
        <v>45985</v>
      </c>
      <c r="C6978" s="59">
        <v>50799770</v>
      </c>
      <c r="D6978" s="55" t="s">
        <v>17</v>
      </c>
      <c r="G6978" s="65">
        <v>4800</v>
      </c>
      <c r="H6978" s="56" t="s">
        <v>92</v>
      </c>
      <c r="I6978" s="54">
        <v>8729276819</v>
      </c>
      <c r="J6978" s="56" t="s">
        <v>3062</v>
      </c>
      <c r="K6978" s="56">
        <v>3545</v>
      </c>
      <c r="L6978" s="55" t="s">
        <v>2152</v>
      </c>
      <c r="M6978" s="55" t="s">
        <v>2824</v>
      </c>
      <c r="O6978" s="55" t="s">
        <v>178</v>
      </c>
    </row>
    <row r="6979" spans="2:15">
      <c r="B6979" s="20">
        <v>45985</v>
      </c>
      <c r="C6979" s="59">
        <v>40011149</v>
      </c>
      <c r="D6979" s="55" t="s">
        <v>37</v>
      </c>
      <c r="G6979" s="58">
        <v>720</v>
      </c>
      <c r="H6979" s="56" t="s">
        <v>80</v>
      </c>
      <c r="I6979" s="54">
        <v>8729276819</v>
      </c>
      <c r="J6979" s="56" t="s">
        <v>3062</v>
      </c>
      <c r="K6979" s="56">
        <v>3545</v>
      </c>
      <c r="L6979" s="55" t="s">
        <v>2152</v>
      </c>
      <c r="M6979" s="55" t="s">
        <v>2824</v>
      </c>
      <c r="O6979" s="55" t="s">
        <v>178</v>
      </c>
    </row>
    <row r="6980" spans="2:15">
      <c r="B6980" s="20">
        <v>45985</v>
      </c>
      <c r="C6980" s="59">
        <v>40008023</v>
      </c>
      <c r="D6980" s="55" t="s">
        <v>2551</v>
      </c>
      <c r="G6980" s="58">
        <v>900</v>
      </c>
      <c r="H6980" s="56" t="s">
        <v>80</v>
      </c>
      <c r="I6980" s="54" t="s">
        <v>3066</v>
      </c>
      <c r="J6980" s="56" t="s">
        <v>3070</v>
      </c>
      <c r="K6980" s="56">
        <v>3545</v>
      </c>
      <c r="L6980" s="55" t="s">
        <v>2152</v>
      </c>
      <c r="M6980" s="55" t="s">
        <v>2824</v>
      </c>
      <c r="O6980" s="55" t="s">
        <v>178</v>
      </c>
    </row>
    <row r="6981" spans="2:15">
      <c r="B6981" s="20">
        <v>45985</v>
      </c>
      <c r="C6981" s="59">
        <v>50509889</v>
      </c>
      <c r="D6981" s="55" t="s">
        <v>671</v>
      </c>
      <c r="G6981" s="65">
        <v>264000</v>
      </c>
      <c r="H6981" s="56" t="s">
        <v>92</v>
      </c>
      <c r="I6981" s="54">
        <v>8729276819</v>
      </c>
      <c r="J6981" s="56" t="s">
        <v>3062</v>
      </c>
      <c r="K6981" s="56">
        <v>3545</v>
      </c>
      <c r="L6981" s="55" t="s">
        <v>2152</v>
      </c>
      <c r="M6981" s="55" t="s">
        <v>2824</v>
      </c>
      <c r="O6981" s="55" t="s">
        <v>178</v>
      </c>
    </row>
    <row r="6982" spans="2:15">
      <c r="B6982" s="20">
        <v>45986</v>
      </c>
      <c r="C6982" s="59">
        <v>50010080</v>
      </c>
      <c r="D6982" s="55" t="s">
        <v>1657</v>
      </c>
      <c r="G6982" s="61">
        <v>2000</v>
      </c>
      <c r="H6982" s="56" t="s">
        <v>82</v>
      </c>
      <c r="I6982" s="54">
        <v>8729288249</v>
      </c>
      <c r="J6982" s="56" t="s">
        <v>3062</v>
      </c>
      <c r="K6982" s="56">
        <v>3547</v>
      </c>
      <c r="L6982" s="55" t="s">
        <v>2152</v>
      </c>
      <c r="M6982" s="55" t="s">
        <v>2824</v>
      </c>
      <c r="O6982" s="55" t="s">
        <v>178</v>
      </c>
    </row>
    <row r="6983" spans="2:15">
      <c r="B6983" s="20">
        <v>45986</v>
      </c>
      <c r="C6983" s="59">
        <v>50843627</v>
      </c>
      <c r="D6983" s="55" t="s">
        <v>2472</v>
      </c>
      <c r="G6983" s="58">
        <v>11520</v>
      </c>
      <c r="H6983" s="56" t="s">
        <v>92</v>
      </c>
      <c r="I6983" s="54">
        <v>8729288249</v>
      </c>
      <c r="J6983" s="56" t="s">
        <v>3062</v>
      </c>
      <c r="K6983" s="56">
        <v>3547</v>
      </c>
      <c r="L6983" s="55" t="s">
        <v>2152</v>
      </c>
      <c r="M6983" s="55" t="s">
        <v>2824</v>
      </c>
      <c r="O6983" s="55" t="s">
        <v>178</v>
      </c>
    </row>
    <row r="6984" spans="2:15">
      <c r="B6984" s="20">
        <v>45986</v>
      </c>
      <c r="C6984" s="59">
        <v>50821962</v>
      </c>
      <c r="D6984" s="55" t="s">
        <v>2020</v>
      </c>
      <c r="G6984" s="58">
        <v>1793.95</v>
      </c>
      <c r="H6984" s="56" t="s">
        <v>82</v>
      </c>
      <c r="I6984" s="54">
        <v>8729288249</v>
      </c>
      <c r="J6984" s="56" t="s">
        <v>3062</v>
      </c>
      <c r="K6984" s="56">
        <v>3547</v>
      </c>
      <c r="L6984" s="55" t="s">
        <v>2152</v>
      </c>
      <c r="M6984" s="55" t="s">
        <v>2824</v>
      </c>
      <c r="O6984" s="55" t="s">
        <v>178</v>
      </c>
    </row>
    <row r="6985" spans="2:15">
      <c r="B6985" s="20">
        <v>45986</v>
      </c>
      <c r="C6985" s="59">
        <v>40004808</v>
      </c>
      <c r="D6985" s="55" t="s">
        <v>91</v>
      </c>
      <c r="G6985" s="58">
        <v>1080</v>
      </c>
      <c r="H6985" s="56" t="s">
        <v>80</v>
      </c>
      <c r="I6985" s="54">
        <v>8729288249</v>
      </c>
      <c r="J6985" s="56" t="s">
        <v>3062</v>
      </c>
      <c r="K6985" s="56">
        <v>3547</v>
      </c>
      <c r="L6985" s="55" t="s">
        <v>2152</v>
      </c>
      <c r="M6985" s="55" t="s">
        <v>2824</v>
      </c>
      <c r="O6985" s="55" t="s">
        <v>178</v>
      </c>
    </row>
    <row r="6986" spans="2:15">
      <c r="B6986" s="20">
        <v>45986</v>
      </c>
      <c r="C6986" s="59">
        <v>50470190</v>
      </c>
      <c r="D6986" s="55" t="s">
        <v>12</v>
      </c>
      <c r="G6986" s="65">
        <v>2318400</v>
      </c>
      <c r="H6986" s="56" t="s">
        <v>92</v>
      </c>
      <c r="I6986" s="54">
        <v>8729288249</v>
      </c>
      <c r="J6986" s="56" t="s">
        <v>3062</v>
      </c>
      <c r="K6986" s="56">
        <v>3547</v>
      </c>
      <c r="L6986" s="55" t="s">
        <v>2152</v>
      </c>
      <c r="M6986" s="55" t="s">
        <v>2824</v>
      </c>
      <c r="O6986" s="55" t="s">
        <v>178</v>
      </c>
    </row>
    <row r="6987" spans="2:15">
      <c r="B6987" s="20">
        <v>45986</v>
      </c>
      <c r="C6987" s="59">
        <v>50272278</v>
      </c>
      <c r="D6987" s="55" t="s">
        <v>21</v>
      </c>
      <c r="G6987" s="65">
        <v>10800</v>
      </c>
      <c r="H6987" s="56" t="s">
        <v>92</v>
      </c>
      <c r="I6987" s="54">
        <v>8729403691</v>
      </c>
      <c r="J6987" s="56" t="s">
        <v>3062</v>
      </c>
      <c r="K6987" s="56">
        <v>3548</v>
      </c>
      <c r="L6987" s="55" t="s">
        <v>2152</v>
      </c>
      <c r="M6987" s="55" t="s">
        <v>2824</v>
      </c>
      <c r="O6987" s="55" t="s">
        <v>178</v>
      </c>
    </row>
    <row r="6988" spans="2:15">
      <c r="B6988" s="20">
        <v>45986</v>
      </c>
      <c r="C6988" s="59">
        <v>50142327</v>
      </c>
      <c r="D6988" s="55" t="s">
        <v>256</v>
      </c>
      <c r="G6988" s="65">
        <v>953.4</v>
      </c>
      <c r="H6988" s="56" t="s">
        <v>82</v>
      </c>
      <c r="I6988" s="54" t="s">
        <v>3044</v>
      </c>
      <c r="J6988" s="56" t="s">
        <v>3062</v>
      </c>
      <c r="K6988" s="56">
        <v>3548</v>
      </c>
      <c r="L6988" s="55" t="s">
        <v>2152</v>
      </c>
      <c r="M6988" s="55" t="s">
        <v>2824</v>
      </c>
      <c r="O6988" s="55" t="s">
        <v>178</v>
      </c>
    </row>
    <row r="6989" spans="2:15">
      <c r="B6989" s="20">
        <v>45986</v>
      </c>
      <c r="C6989" s="59">
        <v>50142334</v>
      </c>
      <c r="D6989" s="55" t="s">
        <v>257</v>
      </c>
      <c r="G6989" s="65">
        <v>953.4</v>
      </c>
      <c r="H6989" s="56" t="s">
        <v>82</v>
      </c>
      <c r="I6989" s="54">
        <v>8729288250</v>
      </c>
      <c r="J6989" s="56" t="s">
        <v>3062</v>
      </c>
      <c r="K6989" s="56">
        <v>3548</v>
      </c>
      <c r="L6989" s="55" t="s">
        <v>2152</v>
      </c>
      <c r="M6989" s="55" t="s">
        <v>2824</v>
      </c>
      <c r="O6989" s="55" t="s">
        <v>178</v>
      </c>
    </row>
    <row r="6990" spans="2:15">
      <c r="B6990" s="20">
        <v>45987</v>
      </c>
      <c r="C6990" s="59">
        <v>50470190</v>
      </c>
      <c r="D6990" s="55" t="s">
        <v>12</v>
      </c>
      <c r="G6990" s="65">
        <f>8*289800</f>
        <v>2318400</v>
      </c>
      <c r="H6990" s="56" t="s">
        <v>92</v>
      </c>
      <c r="I6990" s="54">
        <v>8729307594</v>
      </c>
      <c r="J6990" s="56" t="s">
        <v>3062</v>
      </c>
      <c r="K6990" s="56">
        <v>3549</v>
      </c>
      <c r="L6990" s="55" t="s">
        <v>2152</v>
      </c>
      <c r="M6990" s="55" t="s">
        <v>2824</v>
      </c>
      <c r="O6990" s="55" t="s">
        <v>178</v>
      </c>
    </row>
    <row r="6991" spans="2:15">
      <c r="B6991" s="20">
        <v>45987</v>
      </c>
      <c r="C6991" s="59">
        <v>50449101</v>
      </c>
      <c r="D6991" s="55" t="s">
        <v>15</v>
      </c>
      <c r="G6991" s="65">
        <f>10*289800</f>
        <v>2898000</v>
      </c>
      <c r="H6991" s="56" t="s">
        <v>92</v>
      </c>
      <c r="I6991" s="54">
        <v>8729307594</v>
      </c>
      <c r="J6991" s="56" t="s">
        <v>3062</v>
      </c>
      <c r="K6991" s="56">
        <v>3549</v>
      </c>
      <c r="L6991" s="55" t="s">
        <v>2152</v>
      </c>
      <c r="M6991" s="55" t="s">
        <v>2824</v>
      </c>
      <c r="O6991" s="55" t="s">
        <v>178</v>
      </c>
    </row>
    <row r="6992" spans="2:15">
      <c r="B6992" s="20">
        <v>45987</v>
      </c>
      <c r="C6992" s="54">
        <v>50271805</v>
      </c>
      <c r="D6992" s="55" t="s">
        <v>2452</v>
      </c>
      <c r="G6992" s="65">
        <f>22*1500</f>
        <v>33000</v>
      </c>
      <c r="H6992" s="56" t="s">
        <v>92</v>
      </c>
      <c r="I6992" s="54">
        <v>8729368323</v>
      </c>
      <c r="J6992" s="56" t="s">
        <v>3062</v>
      </c>
      <c r="K6992" s="56">
        <v>3550</v>
      </c>
      <c r="L6992" s="55" t="s">
        <v>2152</v>
      </c>
      <c r="M6992" s="55" t="s">
        <v>2152</v>
      </c>
      <c r="O6992" s="55" t="s">
        <v>178</v>
      </c>
    </row>
    <row r="6993" spans="2:15">
      <c r="B6993" s="20">
        <v>45987</v>
      </c>
      <c r="C6993" s="54">
        <v>40014675</v>
      </c>
      <c r="D6993" s="55" t="s">
        <v>44</v>
      </c>
      <c r="E6993" s="67">
        <v>24</v>
      </c>
      <c r="F6993" s="67">
        <v>24</v>
      </c>
      <c r="G6993" s="65">
        <f>34.56</f>
        <v>34.56</v>
      </c>
      <c r="H6993" s="56" t="s">
        <v>80</v>
      </c>
      <c r="I6993" s="54" t="s">
        <v>3066</v>
      </c>
      <c r="J6993" s="56" t="s">
        <v>3071</v>
      </c>
      <c r="K6993" s="56">
        <v>768</v>
      </c>
      <c r="L6993" s="55" t="s">
        <v>2004</v>
      </c>
      <c r="M6993" s="55" t="s">
        <v>2824</v>
      </c>
      <c r="O6993" s="55" t="s">
        <v>178</v>
      </c>
    </row>
    <row r="6994" spans="2:15">
      <c r="B6994" s="20">
        <v>45987</v>
      </c>
      <c r="C6994" s="54">
        <v>40014675</v>
      </c>
      <c r="D6994" s="55" t="s">
        <v>44</v>
      </c>
      <c r="E6994" s="67">
        <v>24</v>
      </c>
      <c r="F6994" s="67">
        <v>24</v>
      </c>
      <c r="G6994" s="65">
        <f t="shared" ref="G6994:G6996" si="1">34.56</f>
        <v>34.56</v>
      </c>
      <c r="H6994" s="56" t="s">
        <v>80</v>
      </c>
      <c r="I6994" s="54" t="s">
        <v>3066</v>
      </c>
      <c r="J6994" s="56" t="s">
        <v>3071</v>
      </c>
      <c r="K6994" s="56">
        <v>769</v>
      </c>
      <c r="L6994" s="55" t="s">
        <v>2152</v>
      </c>
      <c r="M6994" s="55" t="s">
        <v>2824</v>
      </c>
      <c r="O6994" s="55" t="s">
        <v>178</v>
      </c>
    </row>
    <row r="6995" spans="2:15">
      <c r="B6995" s="20">
        <v>45987</v>
      </c>
      <c r="C6995" s="54">
        <v>40014675</v>
      </c>
      <c r="D6995" s="55" t="s">
        <v>44</v>
      </c>
      <c r="E6995" s="67">
        <v>24</v>
      </c>
      <c r="F6995" s="67">
        <v>24</v>
      </c>
      <c r="G6995" s="65">
        <f t="shared" si="1"/>
        <v>34.56</v>
      </c>
      <c r="H6995" s="56" t="s">
        <v>80</v>
      </c>
      <c r="I6995" s="54" t="s">
        <v>3066</v>
      </c>
      <c r="J6995" s="56" t="s">
        <v>3071</v>
      </c>
      <c r="K6995" s="56">
        <v>770</v>
      </c>
      <c r="L6995" s="55" t="s">
        <v>2004</v>
      </c>
      <c r="M6995" s="55" t="s">
        <v>2824</v>
      </c>
      <c r="O6995" s="55" t="s">
        <v>178</v>
      </c>
    </row>
    <row r="6996" spans="2:15">
      <c r="B6996" s="20">
        <v>45987</v>
      </c>
      <c r="C6996" s="54">
        <v>40014675</v>
      </c>
      <c r="D6996" s="55" t="s">
        <v>44</v>
      </c>
      <c r="E6996" s="67">
        <v>24</v>
      </c>
      <c r="F6996" s="67">
        <v>24</v>
      </c>
      <c r="G6996" s="65">
        <f t="shared" si="1"/>
        <v>34.56</v>
      </c>
      <c r="H6996" s="56" t="s">
        <v>80</v>
      </c>
      <c r="I6996" s="54" t="s">
        <v>3066</v>
      </c>
      <c r="J6996" s="56" t="s">
        <v>3071</v>
      </c>
      <c r="K6996" s="56">
        <v>771</v>
      </c>
      <c r="L6996" s="55" t="s">
        <v>2152</v>
      </c>
      <c r="M6996" s="55" t="s">
        <v>2824</v>
      </c>
      <c r="O6996" s="55" t="s">
        <v>178</v>
      </c>
    </row>
    <row r="6997" spans="2:15">
      <c r="B6997" s="20">
        <v>45987</v>
      </c>
      <c r="C6997" s="54">
        <v>50142237</v>
      </c>
      <c r="D6997" s="69" t="s">
        <v>617</v>
      </c>
      <c r="E6997" s="67">
        <v>24</v>
      </c>
      <c r="G6997" s="65">
        <v>3000</v>
      </c>
      <c r="H6997" s="56" t="s">
        <v>92</v>
      </c>
      <c r="I6997" s="54" t="s">
        <v>3066</v>
      </c>
      <c r="J6997" s="54" t="s">
        <v>3066</v>
      </c>
      <c r="K6997" s="56">
        <v>3551</v>
      </c>
      <c r="L6997" s="55" t="s">
        <v>2004</v>
      </c>
      <c r="M6997" s="55" t="s">
        <v>2004</v>
      </c>
      <c r="O6997" s="55" t="s">
        <v>178</v>
      </c>
    </row>
    <row r="6998" spans="2:15">
      <c r="B6998" s="20">
        <v>45987</v>
      </c>
      <c r="C6998" s="54">
        <v>40014675</v>
      </c>
      <c r="D6998" s="55" t="s">
        <v>44</v>
      </c>
      <c r="E6998" s="67">
        <v>24</v>
      </c>
      <c r="F6998" s="67">
        <v>24</v>
      </c>
      <c r="G6998" s="65">
        <f>34.56</f>
        <v>34.56</v>
      </c>
      <c r="H6998" s="56" t="s">
        <v>80</v>
      </c>
      <c r="I6998" s="54" t="s">
        <v>3066</v>
      </c>
      <c r="J6998" s="56" t="s">
        <v>3071</v>
      </c>
      <c r="K6998" s="56">
        <v>772</v>
      </c>
      <c r="L6998" s="55" t="s">
        <v>2004</v>
      </c>
      <c r="M6998" s="55" t="s">
        <v>2824</v>
      </c>
      <c r="O6998" s="55" t="s">
        <v>178</v>
      </c>
    </row>
    <row r="6999" spans="2:15">
      <c r="B6999" s="20">
        <v>45988</v>
      </c>
      <c r="C6999" s="54">
        <v>50271805</v>
      </c>
      <c r="D6999" s="55" t="s">
        <v>2452</v>
      </c>
      <c r="E6999" s="67">
        <v>24</v>
      </c>
      <c r="G6999" s="65">
        <v>36000</v>
      </c>
      <c r="H6999" s="56" t="s">
        <v>92</v>
      </c>
      <c r="I6999" s="54">
        <v>8729368323</v>
      </c>
      <c r="J6999" s="56" t="s">
        <v>3062</v>
      </c>
      <c r="K6999" s="56">
        <v>3551</v>
      </c>
      <c r="L6999" s="55" t="s">
        <v>2152</v>
      </c>
      <c r="M6999" s="55" t="s">
        <v>2152</v>
      </c>
      <c r="O6999" s="55" t="s">
        <v>178</v>
      </c>
    </row>
    <row r="7000" spans="2:15">
      <c r="B7000" s="20">
        <v>45988</v>
      </c>
      <c r="C7000" s="54">
        <v>50271805</v>
      </c>
      <c r="D7000" s="55" t="s">
        <v>2452</v>
      </c>
      <c r="E7000" s="67">
        <v>24</v>
      </c>
      <c r="G7000" s="65">
        <v>1500</v>
      </c>
      <c r="H7000" s="56" t="s">
        <v>92</v>
      </c>
      <c r="I7000" s="54" t="s">
        <v>3066</v>
      </c>
      <c r="J7000" s="56" t="s">
        <v>3070</v>
      </c>
      <c r="K7000" s="56">
        <v>3552</v>
      </c>
      <c r="L7000" s="55" t="s">
        <v>2152</v>
      </c>
      <c r="M7000" s="55" t="s">
        <v>2152</v>
      </c>
      <c r="O7000" s="55" t="s">
        <v>178</v>
      </c>
    </row>
    <row r="7001" spans="2:15">
      <c r="B7001" s="20">
        <v>45988</v>
      </c>
      <c r="C7001" s="59">
        <v>50272278</v>
      </c>
      <c r="D7001" s="55" t="s">
        <v>21</v>
      </c>
      <c r="E7001" s="67">
        <v>24</v>
      </c>
      <c r="G7001" s="65">
        <v>8400</v>
      </c>
      <c r="H7001" s="56" t="s">
        <v>92</v>
      </c>
      <c r="I7001" s="54">
        <v>8729329196</v>
      </c>
      <c r="J7001" s="56" t="s">
        <v>3062</v>
      </c>
      <c r="K7001" s="56">
        <v>3553</v>
      </c>
      <c r="L7001" s="55" t="s">
        <v>2152</v>
      </c>
      <c r="M7001" s="55" t="s">
        <v>2824</v>
      </c>
      <c r="O7001" s="55" t="s">
        <v>178</v>
      </c>
    </row>
    <row r="7002" spans="2:15">
      <c r="B7002" s="20">
        <v>45988</v>
      </c>
      <c r="C7002" s="59">
        <v>50470190</v>
      </c>
      <c r="D7002" s="55" t="s">
        <v>12</v>
      </c>
      <c r="E7002" s="67">
        <v>24</v>
      </c>
      <c r="G7002" s="65">
        <v>1738800</v>
      </c>
      <c r="H7002" s="56" t="s">
        <v>92</v>
      </c>
      <c r="I7002" s="54">
        <v>8729329196</v>
      </c>
      <c r="J7002" s="56" t="s">
        <v>3062</v>
      </c>
      <c r="K7002" s="56">
        <v>3553</v>
      </c>
      <c r="L7002" s="55" t="s">
        <v>2152</v>
      </c>
      <c r="M7002" s="55" t="s">
        <v>2824</v>
      </c>
      <c r="O7002" s="55" t="s">
        <v>178</v>
      </c>
    </row>
    <row r="7003" spans="2:15">
      <c r="B7003" s="20">
        <v>45988</v>
      </c>
      <c r="C7003" s="59">
        <v>50449101</v>
      </c>
      <c r="D7003" s="55" t="s">
        <v>15</v>
      </c>
      <c r="E7003" s="67">
        <v>24</v>
      </c>
      <c r="G7003" s="65">
        <v>579600</v>
      </c>
      <c r="H7003" s="56" t="s">
        <v>92</v>
      </c>
      <c r="I7003" s="54">
        <v>8729329196</v>
      </c>
      <c r="J7003" s="56" t="s">
        <v>3062</v>
      </c>
      <c r="K7003" s="56">
        <v>3553</v>
      </c>
      <c r="L7003" s="55" t="s">
        <v>2152</v>
      </c>
      <c r="M7003" s="55" t="s">
        <v>2824</v>
      </c>
      <c r="O7003" s="55" t="s">
        <v>178</v>
      </c>
    </row>
    <row r="7004" spans="2:15">
      <c r="B7004" s="20">
        <v>45988</v>
      </c>
      <c r="C7004" s="59">
        <v>50819323</v>
      </c>
      <c r="D7004" s="55" t="s">
        <v>40</v>
      </c>
      <c r="E7004" s="67">
        <v>24</v>
      </c>
      <c r="G7004" s="65">
        <v>95.4</v>
      </c>
      <c r="H7004" s="56" t="s">
        <v>80</v>
      </c>
      <c r="I7004" s="54">
        <v>8729368367</v>
      </c>
      <c r="J7004" s="56" t="s">
        <v>3062</v>
      </c>
      <c r="L7004" s="55" t="s">
        <v>326</v>
      </c>
      <c r="M7004" s="55" t="s">
        <v>2004</v>
      </c>
      <c r="O7004" s="55" t="s">
        <v>178</v>
      </c>
    </row>
    <row r="7005" spans="2:15">
      <c r="B7005" s="20">
        <v>45988</v>
      </c>
      <c r="C7005" s="59">
        <v>50852597</v>
      </c>
      <c r="D7005" s="55" t="s">
        <v>2703</v>
      </c>
      <c r="E7005" s="67">
        <v>24</v>
      </c>
      <c r="G7005" s="65">
        <v>145800</v>
      </c>
      <c r="H7005" s="56" t="s">
        <v>1248</v>
      </c>
      <c r="I7005" s="54">
        <v>8729368367</v>
      </c>
      <c r="J7005" s="56" t="s">
        <v>3062</v>
      </c>
      <c r="L7005" s="55" t="s">
        <v>326</v>
      </c>
      <c r="M7005" s="55" t="s">
        <v>2004</v>
      </c>
      <c r="O7005" s="55" t="s">
        <v>178</v>
      </c>
    </row>
    <row r="7006" spans="2:15">
      <c r="B7006" s="20">
        <v>45988</v>
      </c>
      <c r="C7006" s="59">
        <v>50515034</v>
      </c>
      <c r="D7006" s="55" t="s">
        <v>41</v>
      </c>
      <c r="E7006" s="67">
        <v>22</v>
      </c>
      <c r="G7006" s="65">
        <v>172.8</v>
      </c>
      <c r="H7006" s="56" t="s">
        <v>80</v>
      </c>
      <c r="I7006" s="54">
        <v>8729368367</v>
      </c>
      <c r="J7006" s="56" t="s">
        <v>3062</v>
      </c>
      <c r="L7006" s="55" t="s">
        <v>326</v>
      </c>
      <c r="M7006" s="55" t="s">
        <v>2004</v>
      </c>
      <c r="O7006" s="55" t="s">
        <v>178</v>
      </c>
    </row>
    <row r="7007" spans="2:15">
      <c r="B7007" s="20">
        <v>45988</v>
      </c>
      <c r="C7007" s="59">
        <v>50145028</v>
      </c>
      <c r="D7007" s="55" t="s">
        <v>23</v>
      </c>
      <c r="G7007" s="65">
        <v>648</v>
      </c>
      <c r="H7007" s="56" t="s">
        <v>92</v>
      </c>
      <c r="I7007" s="54">
        <v>8729368367</v>
      </c>
      <c r="J7007" s="56" t="s">
        <v>3062</v>
      </c>
      <c r="L7007" s="55" t="s">
        <v>326</v>
      </c>
      <c r="M7007" s="55" t="s">
        <v>2004</v>
      </c>
      <c r="O7007" s="55" t="s">
        <v>178</v>
      </c>
    </row>
    <row r="7008" spans="2:15">
      <c r="B7008" s="20">
        <v>45988</v>
      </c>
      <c r="C7008" s="59">
        <v>50143893</v>
      </c>
      <c r="D7008" s="55" t="s">
        <v>24</v>
      </c>
      <c r="G7008" s="65">
        <v>1320</v>
      </c>
      <c r="H7008" s="56" t="s">
        <v>82</v>
      </c>
      <c r="I7008" s="54">
        <v>8729368367</v>
      </c>
      <c r="J7008" s="56" t="s">
        <v>3062</v>
      </c>
      <c r="L7008" s="55" t="s">
        <v>326</v>
      </c>
      <c r="M7008" s="55" t="s">
        <v>2004</v>
      </c>
      <c r="O7008" s="55" t="s">
        <v>178</v>
      </c>
    </row>
    <row r="7009" spans="2:15">
      <c r="B7009" s="20">
        <v>45988</v>
      </c>
      <c r="C7009" s="54">
        <v>40014675</v>
      </c>
      <c r="D7009" s="55" t="s">
        <v>44</v>
      </c>
      <c r="E7009" s="67">
        <v>24</v>
      </c>
      <c r="F7009" s="67">
        <v>24</v>
      </c>
      <c r="G7009" s="65">
        <f t="shared" ref="G7009:G7012" si="2">34.56</f>
        <v>34.56</v>
      </c>
      <c r="H7009" s="56" t="s">
        <v>80</v>
      </c>
      <c r="I7009" s="54" t="s">
        <v>3066</v>
      </c>
      <c r="J7009" s="56" t="s">
        <v>3071</v>
      </c>
      <c r="K7009" s="56">
        <v>773</v>
      </c>
      <c r="L7009" s="55" t="s">
        <v>2152</v>
      </c>
      <c r="M7009" s="55" t="s">
        <v>2824</v>
      </c>
      <c r="O7009" s="55" t="s">
        <v>178</v>
      </c>
    </row>
    <row r="7010" spans="2:15">
      <c r="B7010" s="20">
        <v>45988</v>
      </c>
      <c r="C7010" s="54">
        <v>40014675</v>
      </c>
      <c r="D7010" s="55" t="s">
        <v>44</v>
      </c>
      <c r="E7010" s="67">
        <v>24</v>
      </c>
      <c r="F7010" s="67">
        <v>24</v>
      </c>
      <c r="G7010" s="65">
        <f t="shared" si="2"/>
        <v>34.56</v>
      </c>
      <c r="H7010" s="56" t="s">
        <v>80</v>
      </c>
      <c r="I7010" s="54" t="s">
        <v>3066</v>
      </c>
      <c r="J7010" s="56" t="s">
        <v>3071</v>
      </c>
      <c r="K7010" s="56">
        <v>774</v>
      </c>
      <c r="L7010" s="55" t="s">
        <v>2004</v>
      </c>
      <c r="M7010" s="55" t="s">
        <v>2824</v>
      </c>
      <c r="O7010" s="55" t="s">
        <v>178</v>
      </c>
    </row>
    <row r="7011" spans="2:15">
      <c r="B7011" s="20">
        <v>45988</v>
      </c>
      <c r="C7011" s="54">
        <v>40014675</v>
      </c>
      <c r="D7011" s="55" t="s">
        <v>44</v>
      </c>
      <c r="E7011" s="67">
        <v>24</v>
      </c>
      <c r="F7011" s="67">
        <v>24</v>
      </c>
      <c r="G7011" s="65">
        <f t="shared" si="2"/>
        <v>34.56</v>
      </c>
      <c r="H7011" s="56" t="s">
        <v>80</v>
      </c>
      <c r="I7011" s="54" t="s">
        <v>3066</v>
      </c>
      <c r="J7011" s="56" t="s">
        <v>3071</v>
      </c>
      <c r="K7011" s="56">
        <v>775</v>
      </c>
      <c r="L7011" s="55" t="s">
        <v>2152</v>
      </c>
      <c r="M7011" s="55" t="s">
        <v>2824</v>
      </c>
      <c r="O7011" s="55" t="s">
        <v>178</v>
      </c>
    </row>
    <row r="7012" spans="2:15">
      <c r="B7012" s="20">
        <v>45988</v>
      </c>
      <c r="C7012" s="54">
        <v>40014675</v>
      </c>
      <c r="D7012" s="55" t="s">
        <v>44</v>
      </c>
      <c r="E7012" s="67">
        <v>24</v>
      </c>
      <c r="F7012" s="67">
        <v>24</v>
      </c>
      <c r="G7012" s="65">
        <f t="shared" si="2"/>
        <v>34.56</v>
      </c>
      <c r="H7012" s="56" t="s">
        <v>80</v>
      </c>
      <c r="I7012" s="54" t="s">
        <v>3066</v>
      </c>
      <c r="J7012" s="56" t="s">
        <v>3071</v>
      </c>
      <c r="K7012" s="56">
        <v>776</v>
      </c>
      <c r="L7012" s="55" t="s">
        <v>2004</v>
      </c>
      <c r="M7012" s="55" t="s">
        <v>2824</v>
      </c>
      <c r="O7012" s="55" t="s">
        <v>178</v>
      </c>
    </row>
    <row r="7013" spans="2:15">
      <c r="B7013" s="20">
        <v>45989</v>
      </c>
      <c r="C7013" s="59">
        <v>50837284</v>
      </c>
      <c r="D7013" s="55" t="s">
        <v>28</v>
      </c>
      <c r="G7013" s="65">
        <v>924.9</v>
      </c>
      <c r="H7013" s="56" t="s">
        <v>82</v>
      </c>
      <c r="I7013" s="54">
        <v>8729350101</v>
      </c>
      <c r="J7013" s="56" t="s">
        <v>3062</v>
      </c>
    </row>
    <row r="7014" spans="2:15">
      <c r="B7014" s="20">
        <v>45989</v>
      </c>
      <c r="C7014" s="59">
        <v>50143873</v>
      </c>
      <c r="D7014" s="55" t="s">
        <v>406</v>
      </c>
      <c r="G7014" s="65">
        <v>1320000</v>
      </c>
      <c r="H7014" s="56" t="s">
        <v>92</v>
      </c>
      <c r="I7014" s="54">
        <v>8729350101</v>
      </c>
      <c r="J7014" s="56" t="s">
        <v>3062</v>
      </c>
    </row>
    <row r="7015" spans="2:15">
      <c r="B7015" s="20">
        <v>45989</v>
      </c>
      <c r="C7015" s="59">
        <v>50837284</v>
      </c>
      <c r="D7015" s="55" t="s">
        <v>28</v>
      </c>
      <c r="G7015" s="65">
        <v>1516.45</v>
      </c>
      <c r="H7015" s="56" t="s">
        <v>82</v>
      </c>
      <c r="I7015" s="54">
        <v>8729350308</v>
      </c>
      <c r="J7015" s="56" t="s">
        <v>3062</v>
      </c>
    </row>
    <row r="7016" spans="2:15">
      <c r="B7016" s="20">
        <v>45989</v>
      </c>
      <c r="C7016" s="59">
        <v>50272278</v>
      </c>
      <c r="D7016" s="55" t="s">
        <v>21</v>
      </c>
      <c r="G7016" s="65">
        <f>26*300</f>
        <v>7800</v>
      </c>
      <c r="H7016" s="56" t="s">
        <v>92</v>
      </c>
      <c r="I7016" s="54">
        <v>8729350308</v>
      </c>
      <c r="J7016" s="56" t="s">
        <v>3062</v>
      </c>
    </row>
    <row r="7017" spans="2:15">
      <c r="B7017" s="20">
        <v>45989</v>
      </c>
      <c r="C7017" s="59">
        <v>40004808</v>
      </c>
      <c r="D7017" s="55" t="s">
        <v>91</v>
      </c>
      <c r="G7017" s="65">
        <v>1620</v>
      </c>
      <c r="H7017" s="56" t="s">
        <v>92</v>
      </c>
      <c r="I7017" s="54">
        <v>8729350308</v>
      </c>
      <c r="J7017" s="56" t="s">
        <v>3062</v>
      </c>
    </row>
    <row r="7018" spans="2:15">
      <c r="B7018" s="20">
        <v>45989</v>
      </c>
      <c r="C7018" s="54">
        <v>40014675</v>
      </c>
      <c r="D7018" s="55" t="s">
        <v>44</v>
      </c>
      <c r="E7018" s="67">
        <v>24</v>
      </c>
      <c r="F7018" s="67">
        <v>24</v>
      </c>
      <c r="G7018" s="65">
        <f t="shared" ref="G7018:G7029" si="3">34.56</f>
        <v>34.56</v>
      </c>
      <c r="H7018" s="56" t="s">
        <v>80</v>
      </c>
      <c r="I7018" s="54" t="s">
        <v>3066</v>
      </c>
      <c r="J7018" s="56" t="s">
        <v>3071</v>
      </c>
      <c r="K7018" s="56">
        <v>777</v>
      </c>
      <c r="L7018" s="55" t="s">
        <v>2152</v>
      </c>
      <c r="M7018" s="55" t="s">
        <v>2824</v>
      </c>
      <c r="O7018" s="55" t="s">
        <v>178</v>
      </c>
    </row>
    <row r="7019" spans="2:15">
      <c r="B7019" s="20">
        <v>45989</v>
      </c>
      <c r="C7019" s="54">
        <v>40014675</v>
      </c>
      <c r="D7019" s="55" t="s">
        <v>44</v>
      </c>
      <c r="E7019" s="67">
        <v>24</v>
      </c>
      <c r="F7019" s="67">
        <v>24</v>
      </c>
      <c r="G7019" s="65">
        <f t="shared" si="3"/>
        <v>34.56</v>
      </c>
      <c r="H7019" s="56" t="s">
        <v>80</v>
      </c>
      <c r="I7019" s="54" t="s">
        <v>3066</v>
      </c>
      <c r="J7019" s="56" t="s">
        <v>3071</v>
      </c>
      <c r="K7019" s="56">
        <v>778</v>
      </c>
      <c r="L7019" s="55" t="s">
        <v>2004</v>
      </c>
      <c r="M7019" s="55" t="s">
        <v>2824</v>
      </c>
      <c r="O7019" s="55" t="s">
        <v>178</v>
      </c>
    </row>
    <row r="7020" spans="2:15">
      <c r="B7020" s="20">
        <v>45989</v>
      </c>
      <c r="C7020" s="54">
        <v>40014675</v>
      </c>
      <c r="D7020" s="55" t="s">
        <v>44</v>
      </c>
      <c r="E7020" s="67">
        <v>24</v>
      </c>
      <c r="F7020" s="67">
        <v>24</v>
      </c>
      <c r="G7020" s="65">
        <f t="shared" si="3"/>
        <v>34.56</v>
      </c>
      <c r="H7020" s="56" t="s">
        <v>80</v>
      </c>
      <c r="I7020" s="54" t="s">
        <v>3066</v>
      </c>
      <c r="J7020" s="56" t="s">
        <v>3071</v>
      </c>
      <c r="K7020" s="56">
        <v>779</v>
      </c>
      <c r="L7020" s="55" t="s">
        <v>2152</v>
      </c>
      <c r="M7020" s="55" t="s">
        <v>2824</v>
      </c>
      <c r="O7020" s="55" t="s">
        <v>178</v>
      </c>
    </row>
    <row r="7021" spans="2:15">
      <c r="B7021" s="20">
        <v>45989</v>
      </c>
      <c r="C7021" s="54">
        <v>40014675</v>
      </c>
      <c r="D7021" s="55" t="s">
        <v>44</v>
      </c>
      <c r="E7021" s="67">
        <v>24</v>
      </c>
      <c r="F7021" s="67">
        <v>24</v>
      </c>
      <c r="G7021" s="65">
        <f t="shared" si="3"/>
        <v>34.56</v>
      </c>
      <c r="H7021" s="56" t="s">
        <v>80</v>
      </c>
      <c r="I7021" s="54" t="s">
        <v>3066</v>
      </c>
      <c r="J7021" s="56" t="s">
        <v>3071</v>
      </c>
      <c r="K7021" s="56">
        <v>780</v>
      </c>
      <c r="L7021" s="55" t="s">
        <v>2004</v>
      </c>
      <c r="M7021" s="55" t="s">
        <v>2824</v>
      </c>
      <c r="O7021" s="55" t="s">
        <v>178</v>
      </c>
    </row>
    <row r="7022" spans="2:15">
      <c r="B7022" s="20">
        <v>45989</v>
      </c>
      <c r="C7022" s="54">
        <v>40014675</v>
      </c>
      <c r="D7022" s="55" t="s">
        <v>44</v>
      </c>
      <c r="E7022" s="67">
        <v>22</v>
      </c>
      <c r="F7022" s="67">
        <v>22</v>
      </c>
      <c r="G7022" s="65">
        <v>31.68</v>
      </c>
      <c r="H7022" s="56" t="s">
        <v>80</v>
      </c>
      <c r="I7022" s="54" t="s">
        <v>3066</v>
      </c>
      <c r="J7022" s="56" t="s">
        <v>3071</v>
      </c>
      <c r="K7022" s="56">
        <v>781</v>
      </c>
      <c r="L7022" s="55" t="s">
        <v>2152</v>
      </c>
      <c r="M7022" s="55" t="s">
        <v>2824</v>
      </c>
      <c r="O7022" s="55" t="s">
        <v>178</v>
      </c>
    </row>
    <row r="7023" spans="2:15">
      <c r="B7023" s="20">
        <v>45989</v>
      </c>
      <c r="C7023" s="54">
        <v>40014675</v>
      </c>
      <c r="D7023" s="55" t="s">
        <v>44</v>
      </c>
      <c r="E7023" s="67">
        <v>9</v>
      </c>
      <c r="F7023" s="67">
        <v>24</v>
      </c>
      <c r="G7023" s="65">
        <f>34.56</f>
        <v>34.56</v>
      </c>
      <c r="H7023" s="56" t="s">
        <v>80</v>
      </c>
      <c r="I7023" s="54" t="s">
        <v>3066</v>
      </c>
      <c r="J7023" s="56" t="s">
        <v>3071</v>
      </c>
      <c r="K7023" s="56">
        <v>782</v>
      </c>
      <c r="L7023" s="55" t="s">
        <v>2004</v>
      </c>
      <c r="M7023" s="55" t="s">
        <v>2824</v>
      </c>
      <c r="O7023" s="55" t="s">
        <v>178</v>
      </c>
    </row>
    <row r="7024" spans="2:15">
      <c r="B7024" s="20">
        <v>45990</v>
      </c>
      <c r="C7024" s="54">
        <v>40014675</v>
      </c>
      <c r="D7024" s="55" t="s">
        <v>44</v>
      </c>
      <c r="F7024" s="67">
        <v>24</v>
      </c>
      <c r="G7024" s="65">
        <f t="shared" si="3"/>
        <v>34.56</v>
      </c>
      <c r="H7024" s="56" t="s">
        <v>80</v>
      </c>
      <c r="I7024" s="54" t="s">
        <v>3066</v>
      </c>
      <c r="J7024" s="56" t="s">
        <v>3071</v>
      </c>
      <c r="K7024" s="56">
        <v>783</v>
      </c>
      <c r="L7024" s="55" t="s">
        <v>2152</v>
      </c>
      <c r="M7024" s="55" t="s">
        <v>2824</v>
      </c>
      <c r="O7024" s="55" t="s">
        <v>178</v>
      </c>
    </row>
    <row r="7025" spans="2:15">
      <c r="B7025" s="20">
        <v>45990</v>
      </c>
      <c r="C7025" s="54">
        <v>40014675</v>
      </c>
      <c r="D7025" s="55" t="s">
        <v>44</v>
      </c>
      <c r="F7025" s="67">
        <v>22</v>
      </c>
      <c r="G7025" s="65">
        <v>31.68</v>
      </c>
      <c r="H7025" s="56" t="s">
        <v>80</v>
      </c>
      <c r="I7025" s="54" t="s">
        <v>3066</v>
      </c>
      <c r="J7025" s="56" t="s">
        <v>3071</v>
      </c>
      <c r="K7025" s="56">
        <v>784</v>
      </c>
      <c r="L7025" s="55" t="s">
        <v>2004</v>
      </c>
      <c r="M7025" s="55" t="s">
        <v>2824</v>
      </c>
      <c r="O7025" s="55" t="s">
        <v>178</v>
      </c>
    </row>
    <row r="7026" spans="2:15">
      <c r="B7026" s="20">
        <v>45990</v>
      </c>
      <c r="C7026" s="54">
        <v>40014675</v>
      </c>
      <c r="D7026" s="55" t="s">
        <v>44</v>
      </c>
      <c r="F7026" s="67">
        <v>24</v>
      </c>
      <c r="G7026" s="65">
        <f t="shared" si="3"/>
        <v>34.56</v>
      </c>
      <c r="H7026" s="56" t="s">
        <v>80</v>
      </c>
      <c r="I7026" s="54" t="s">
        <v>3066</v>
      </c>
      <c r="J7026" s="56" t="s">
        <v>3071</v>
      </c>
      <c r="K7026" s="56">
        <v>785</v>
      </c>
      <c r="L7026" s="55" t="s">
        <v>2152</v>
      </c>
      <c r="M7026" s="55" t="s">
        <v>2824</v>
      </c>
      <c r="O7026" s="55" t="s">
        <v>178</v>
      </c>
    </row>
    <row r="7027" spans="2:15">
      <c r="B7027" s="20">
        <v>45990</v>
      </c>
      <c r="C7027" s="54">
        <v>40014675</v>
      </c>
      <c r="D7027" s="55" t="s">
        <v>44</v>
      </c>
      <c r="F7027" s="67">
        <v>24</v>
      </c>
      <c r="G7027" s="65">
        <f t="shared" si="3"/>
        <v>34.56</v>
      </c>
      <c r="H7027" s="56" t="s">
        <v>80</v>
      </c>
      <c r="I7027" s="54" t="s">
        <v>3066</v>
      </c>
      <c r="J7027" s="56" t="s">
        <v>3071</v>
      </c>
      <c r="K7027" s="56">
        <v>786</v>
      </c>
      <c r="L7027" s="55" t="s">
        <v>2004</v>
      </c>
      <c r="M7027" s="55" t="s">
        <v>2824</v>
      </c>
      <c r="O7027" s="55" t="s">
        <v>178</v>
      </c>
    </row>
    <row r="7028" spans="2:15">
      <c r="B7028" s="20">
        <v>45990</v>
      </c>
      <c r="C7028" s="54">
        <v>40014675</v>
      </c>
      <c r="D7028" s="55" t="s">
        <v>44</v>
      </c>
      <c r="F7028" s="67">
        <v>22</v>
      </c>
      <c r="G7028" s="65">
        <v>31.68</v>
      </c>
      <c r="H7028" s="56" t="s">
        <v>80</v>
      </c>
      <c r="I7028" s="54" t="s">
        <v>3066</v>
      </c>
      <c r="J7028" s="56" t="s">
        <v>3071</v>
      </c>
      <c r="K7028" s="56">
        <v>787</v>
      </c>
      <c r="L7028" s="55" t="s">
        <v>2152</v>
      </c>
      <c r="M7028" s="55" t="s">
        <v>2824</v>
      </c>
      <c r="O7028" s="55" t="s">
        <v>178</v>
      </c>
    </row>
    <row r="7029" spans="2:15">
      <c r="B7029" s="20" t="s">
        <v>224</v>
      </c>
      <c r="C7029" s="54">
        <v>40014675</v>
      </c>
      <c r="D7029" s="55" t="s">
        <v>44</v>
      </c>
      <c r="F7029" s="67">
        <v>24</v>
      </c>
      <c r="G7029" s="65">
        <f t="shared" si="3"/>
        <v>34.56</v>
      </c>
      <c r="H7029" s="56" t="s">
        <v>80</v>
      </c>
      <c r="I7029" s="54" t="s">
        <v>3066</v>
      </c>
      <c r="J7029" s="56" t="s">
        <v>3071</v>
      </c>
      <c r="K7029" s="56">
        <v>788</v>
      </c>
      <c r="L7029" s="55" t="s">
        <v>2152</v>
      </c>
      <c r="M7029" s="55" t="s">
        <v>2824</v>
      </c>
      <c r="O7029" s="55" t="s">
        <v>178</v>
      </c>
    </row>
    <row r="7030" spans="2:15">
      <c r="B7030" s="20">
        <v>45992</v>
      </c>
      <c r="C7030" s="59">
        <v>40014675</v>
      </c>
      <c r="D7030" s="55" t="s">
        <v>44</v>
      </c>
      <c r="F7030" s="67">
        <v>24</v>
      </c>
      <c r="G7030" s="65">
        <v>34.56</v>
      </c>
      <c r="H7030" s="56" t="s">
        <v>80</v>
      </c>
      <c r="I7030" s="54" t="s">
        <v>3066</v>
      </c>
      <c r="J7030" s="56" t="s">
        <v>3071</v>
      </c>
      <c r="K7030" s="56">
        <v>789</v>
      </c>
      <c r="L7030" s="55" t="s">
        <v>2152</v>
      </c>
      <c r="M7030" s="55" t="s">
        <v>2824</v>
      </c>
      <c r="O7030" s="55" t="s">
        <v>178</v>
      </c>
    </row>
    <row r="7031" spans="2:15">
      <c r="B7031" s="20">
        <v>45992</v>
      </c>
      <c r="C7031" s="59">
        <v>50470190</v>
      </c>
      <c r="D7031" s="55" t="s">
        <v>12</v>
      </c>
      <c r="G7031" s="65">
        <f>289800*18</f>
        <v>5216400</v>
      </c>
      <c r="H7031" s="56" t="s">
        <v>962</v>
      </c>
      <c r="I7031" s="54">
        <v>8729390113</v>
      </c>
      <c r="J7031" s="56" t="s">
        <v>3062</v>
      </c>
      <c r="K7031" s="56">
        <v>3557</v>
      </c>
      <c r="L7031" s="55" t="s">
        <v>2152</v>
      </c>
      <c r="M7031" s="55" t="s">
        <v>2824</v>
      </c>
      <c r="O7031" s="55" t="s">
        <v>178</v>
      </c>
    </row>
    <row r="7032" spans="2:15">
      <c r="B7032" s="20">
        <v>45992</v>
      </c>
      <c r="C7032" s="59">
        <v>40014675</v>
      </c>
      <c r="D7032" s="55" t="s">
        <v>44</v>
      </c>
      <c r="F7032" s="67">
        <v>24</v>
      </c>
      <c r="G7032" s="65">
        <v>34.56</v>
      </c>
      <c r="H7032" s="56" t="s">
        <v>80</v>
      </c>
      <c r="I7032" s="54" t="s">
        <v>3066</v>
      </c>
      <c r="J7032" s="56" t="s">
        <v>3071</v>
      </c>
      <c r="K7032" s="56">
        <v>780</v>
      </c>
      <c r="L7032" s="55" t="s">
        <v>2152</v>
      </c>
      <c r="M7032" s="55" t="s">
        <v>2824</v>
      </c>
      <c r="O7032" s="55" t="s">
        <v>178</v>
      </c>
    </row>
    <row r="7033" spans="2:15">
      <c r="B7033" s="20">
        <v>45992</v>
      </c>
      <c r="C7033" s="59">
        <v>40014675</v>
      </c>
      <c r="D7033" s="55" t="s">
        <v>44</v>
      </c>
      <c r="F7033" s="67">
        <v>24</v>
      </c>
      <c r="G7033" s="65">
        <v>34.56</v>
      </c>
      <c r="H7033" s="56" t="s">
        <v>80</v>
      </c>
      <c r="I7033" s="54" t="s">
        <v>3066</v>
      </c>
      <c r="J7033" s="56" t="s">
        <v>3071</v>
      </c>
      <c r="K7033" s="56">
        <v>781</v>
      </c>
      <c r="L7033" s="55" t="s">
        <v>2152</v>
      </c>
      <c r="M7033" s="55" t="s">
        <v>2824</v>
      </c>
      <c r="O7033" s="55" t="s">
        <v>178</v>
      </c>
    </row>
    <row r="7034" spans="2:15">
      <c r="B7034" s="20">
        <v>45993</v>
      </c>
      <c r="C7034" s="59">
        <v>50010080</v>
      </c>
      <c r="D7034" s="55" t="s">
        <v>1657</v>
      </c>
      <c r="G7034" s="65">
        <v>3000</v>
      </c>
      <c r="H7034" s="56" t="s">
        <v>82</v>
      </c>
      <c r="K7034" s="56">
        <v>3559</v>
      </c>
      <c r="L7034" s="55" t="s">
        <v>2152</v>
      </c>
      <c r="M7034" s="55" t="s">
        <v>2824</v>
      </c>
      <c r="O7034" s="55" t="s">
        <v>178</v>
      </c>
    </row>
    <row r="7035" spans="2:15">
      <c r="B7035" s="20">
        <v>45993</v>
      </c>
      <c r="C7035" s="59">
        <v>50804970</v>
      </c>
      <c r="D7035" s="55" t="s">
        <v>857</v>
      </c>
      <c r="G7035" s="65">
        <v>1564500</v>
      </c>
      <c r="H7035" s="56" t="s">
        <v>962</v>
      </c>
      <c r="K7035" s="56">
        <v>3559</v>
      </c>
      <c r="L7035" s="55" t="s">
        <v>2152</v>
      </c>
      <c r="M7035" s="55" t="s">
        <v>2824</v>
      </c>
      <c r="O7035" s="55" t="s">
        <v>178</v>
      </c>
    </row>
    <row r="7036" spans="2:15">
      <c r="B7036" s="20">
        <v>45993</v>
      </c>
      <c r="C7036" s="59">
        <v>50804971</v>
      </c>
      <c r="D7036" s="55" t="s">
        <v>855</v>
      </c>
      <c r="G7036" s="65">
        <v>720000</v>
      </c>
      <c r="H7036" s="56" t="s">
        <v>962</v>
      </c>
      <c r="K7036" s="56">
        <v>3559</v>
      </c>
      <c r="L7036" s="55" t="s">
        <v>2152</v>
      </c>
      <c r="M7036" s="55" t="s">
        <v>2824</v>
      </c>
      <c r="O7036" s="55" t="s">
        <v>178</v>
      </c>
    </row>
    <row r="7037" spans="2:15">
      <c r="B7037" s="20">
        <v>45993</v>
      </c>
      <c r="C7037" s="59">
        <v>40015055</v>
      </c>
      <c r="D7037" s="55" t="s">
        <v>2745</v>
      </c>
      <c r="G7037" s="65">
        <v>3456</v>
      </c>
      <c r="H7037" s="56" t="s">
        <v>80</v>
      </c>
      <c r="K7037" s="56">
        <v>3559</v>
      </c>
      <c r="L7037" s="55" t="s">
        <v>2152</v>
      </c>
      <c r="M7037" s="55" t="s">
        <v>2824</v>
      </c>
      <c r="O7037" s="55" t="s">
        <v>178</v>
      </c>
    </row>
    <row r="7038" spans="2:15">
      <c r="B7038" s="20">
        <v>45993</v>
      </c>
      <c r="C7038" s="59">
        <v>50804929</v>
      </c>
      <c r="D7038" s="55" t="s">
        <v>856</v>
      </c>
      <c r="G7038" s="65">
        <v>445000</v>
      </c>
      <c r="H7038" s="56" t="s">
        <v>962</v>
      </c>
      <c r="K7038" s="56">
        <v>3559</v>
      </c>
      <c r="L7038" s="55" t="s">
        <v>2152</v>
      </c>
      <c r="M7038" s="55" t="s">
        <v>2824</v>
      </c>
      <c r="O7038" s="55" t="s">
        <v>178</v>
      </c>
    </row>
    <row r="7039" spans="2:15">
      <c r="B7039" s="20">
        <v>45993</v>
      </c>
      <c r="C7039" s="59">
        <v>40011148</v>
      </c>
      <c r="D7039" s="55" t="s">
        <v>86</v>
      </c>
      <c r="G7039" s="65">
        <v>900</v>
      </c>
      <c r="H7039" s="56" t="s">
        <v>80</v>
      </c>
      <c r="K7039" s="56">
        <v>3559</v>
      </c>
      <c r="L7039" s="55" t="s">
        <v>2152</v>
      </c>
      <c r="M7039" s="55" t="s">
        <v>2824</v>
      </c>
      <c r="O7039" s="55" t="s">
        <v>178</v>
      </c>
    </row>
    <row r="7040" spans="2:15">
      <c r="B7040" s="20">
        <v>45993</v>
      </c>
      <c r="C7040" s="59">
        <v>50470190</v>
      </c>
      <c r="D7040" s="55" t="s">
        <v>12</v>
      </c>
      <c r="G7040" s="65">
        <v>1738800</v>
      </c>
      <c r="H7040" s="56" t="s">
        <v>92</v>
      </c>
      <c r="I7040" s="54">
        <v>8729403689</v>
      </c>
      <c r="J7040" s="56" t="s">
        <v>3062</v>
      </c>
      <c r="K7040" s="56">
        <v>3559</v>
      </c>
      <c r="L7040" s="55" t="s">
        <v>2152</v>
      </c>
      <c r="M7040" s="55" t="s">
        <v>2824</v>
      </c>
      <c r="O7040" s="55" t="s">
        <v>178</v>
      </c>
    </row>
    <row r="7041" spans="2:4">
      <c r="B7041" s="20">
        <v>45993</v>
      </c>
      <c r="C7041" s="54">
        <v>50272278</v>
      </c>
      <c r="D7041" s="69" t="s">
        <v>21</v>
      </c>
    </row>
  </sheetData>
  <autoFilter xmlns:etc="http://www.wps.cn/officeDocument/2017/etCustomData" ref="B6:N7041" etc:filterBottomFollowUsedRange="0">
    <extLst/>
  </autoFilter>
  <mergeCells count="1">
    <mergeCell ref="A1:O4"/>
  </mergeCells>
  <conditionalFormatting sqref="O1199">
    <cfRule type="duplicateValues" dxfId="1" priority="2152"/>
  </conditionalFormatting>
  <conditionalFormatting sqref="P1199">
    <cfRule type="duplicateValues" dxfId="1" priority="385"/>
  </conditionalFormatting>
  <conditionalFormatting sqref="I5215">
    <cfRule type="expression" dxfId="0" priority="571">
      <formula>FILA()=CELDA("fila")</formula>
    </cfRule>
    <cfRule type="duplicateValues" dxfId="1" priority="572"/>
  </conditionalFormatting>
  <conditionalFormatting sqref="J6082">
    <cfRule type="notContainsText" dxfId="2" priority="352" operator="notContains" text="REGULARIZADO">
      <formula>ISERROR(SEARCH("REGULARIZADO",J6082))</formula>
    </cfRule>
  </conditionalFormatting>
  <conditionalFormatting sqref="J6084">
    <cfRule type="notContainsText" dxfId="2" priority="351" operator="notContains" text="REGULARIZADO">
      <formula>ISERROR(SEARCH("REGULARIZADO",J6084))</formula>
    </cfRule>
  </conditionalFormatting>
  <conditionalFormatting sqref="I6672">
    <cfRule type="containsText" dxfId="3" priority="201" operator="between" text="REGULARIZADO">
      <formula>NOT(ISERROR(SEARCH("REGULARIZADO",I6672)))</formula>
    </cfRule>
    <cfRule type="containsText" dxfId="4" priority="200" operator="between" text="PENDIENTE">
      <formula>NOT(ISERROR(SEARCH("PENDIENTE",I6672)))</formula>
    </cfRule>
  </conditionalFormatting>
  <conditionalFormatting sqref="C6679">
    <cfRule type="duplicateValues" dxfId="1" priority="203"/>
    <cfRule type="duplicateValues" dxfId="1" priority="204"/>
  </conditionalFormatting>
  <conditionalFormatting sqref="C6679:D6679">
    <cfRule type="expression" dxfId="0" priority="202">
      <formula>FILA()=CELDA("fila")</formula>
    </cfRule>
  </conditionalFormatting>
  <conditionalFormatting sqref="C6733">
    <cfRule type="duplicateValues" dxfId="1" priority="187"/>
  </conditionalFormatting>
  <conditionalFormatting sqref="C6733:D6733">
    <cfRule type="expression" dxfId="0" priority="185">
      <formula>FILA()=CELDA("fila")</formula>
    </cfRule>
  </conditionalFormatting>
  <conditionalFormatting sqref="C6744">
    <cfRule type="duplicateValues" dxfId="1" priority="182"/>
  </conditionalFormatting>
  <conditionalFormatting sqref="C6757">
    <cfRule type="duplicateValues" dxfId="1" priority="179"/>
  </conditionalFormatting>
  <conditionalFormatting sqref="G6758">
    <cfRule type="expression" dxfId="0" priority="178">
      <formula>FILA()=CELDA("fila")</formula>
    </cfRule>
  </conditionalFormatting>
  <conditionalFormatting sqref="C6774">
    <cfRule type="duplicateValues" dxfId="1" priority="170"/>
  </conditionalFormatting>
  <conditionalFormatting sqref="C6774:D6774">
    <cfRule type="expression" dxfId="0" priority="168">
      <formula>FILA()=CELDA("fila")</formula>
    </cfRule>
  </conditionalFormatting>
  <conditionalFormatting sqref="C6807">
    <cfRule type="duplicateValues" dxfId="1" priority="152"/>
  </conditionalFormatting>
  <conditionalFormatting sqref="D6807">
    <cfRule type="expression" dxfId="0" priority="151">
      <formula>FILA()=CELDA("fila")</formula>
    </cfRule>
  </conditionalFormatting>
  <conditionalFormatting sqref="G6817">
    <cfRule type="expression" dxfId="0" priority="150">
      <formula>FILA()=CELDA("fila")</formula>
    </cfRule>
  </conditionalFormatting>
  <conditionalFormatting sqref="C6820">
    <cfRule type="duplicateValues" dxfId="1" priority="147"/>
    <cfRule type="duplicateValues" dxfId="1" priority="146"/>
  </conditionalFormatting>
  <conditionalFormatting sqref="G6824">
    <cfRule type="expression" dxfId="0" priority="141">
      <formula>FILA()=CELDA("fila")</formula>
    </cfRule>
  </conditionalFormatting>
  <conditionalFormatting sqref="C6828">
    <cfRule type="duplicateValues" dxfId="1" priority="138"/>
    <cfRule type="duplicateValues" dxfId="1" priority="137"/>
  </conditionalFormatting>
  <conditionalFormatting sqref="C6834">
    <cfRule type="duplicateValues" dxfId="1" priority="130"/>
  </conditionalFormatting>
  <conditionalFormatting sqref="C6835:D6835">
    <cfRule type="expression" dxfId="0" priority="125">
      <formula>FILA()=CELDA("fila")</formula>
    </cfRule>
  </conditionalFormatting>
  <conditionalFormatting sqref="D6836">
    <cfRule type="expression" dxfId="0" priority="123">
      <formula>FILA()=CELDA("fila")</formula>
    </cfRule>
  </conditionalFormatting>
  <conditionalFormatting sqref="C6861">
    <cfRule type="duplicateValues" dxfId="1" priority="103"/>
  </conditionalFormatting>
  <conditionalFormatting sqref="C6864">
    <cfRule type="duplicateValues" dxfId="1" priority="109"/>
  </conditionalFormatting>
  <conditionalFormatting sqref="C6864:D6864">
    <cfRule type="expression" dxfId="0" priority="107">
      <formula>FILA()=CELDA("fila")</formula>
    </cfRule>
  </conditionalFormatting>
  <conditionalFormatting sqref="G6865">
    <cfRule type="expression" dxfId="0" priority="106">
      <formula>FILA()=CELDA("fila")</formula>
    </cfRule>
  </conditionalFormatting>
  <conditionalFormatting sqref="C6871">
    <cfRule type="duplicateValues" dxfId="1" priority="64"/>
    <cfRule type="duplicateValues" dxfId="1" priority="63"/>
  </conditionalFormatting>
  <conditionalFormatting sqref="C6871:D6871">
    <cfRule type="expression" dxfId="0" priority="62">
      <formula>FILA()=CELDA("fila")</formula>
    </cfRule>
  </conditionalFormatting>
  <conditionalFormatting sqref="C6900">
    <cfRule type="duplicateValues" dxfId="1" priority="80"/>
  </conditionalFormatting>
  <conditionalFormatting sqref="C6901">
    <cfRule type="duplicateValues" dxfId="1" priority="78"/>
  </conditionalFormatting>
  <conditionalFormatting sqref="C6919">
    <cfRule type="duplicateValues" dxfId="1" priority="67"/>
  </conditionalFormatting>
  <conditionalFormatting sqref="C6966">
    <cfRule type="duplicateValues" dxfId="1" priority="40"/>
    <cfRule type="duplicateValues" dxfId="1" priority="41"/>
  </conditionalFormatting>
  <conditionalFormatting sqref="C6967">
    <cfRule type="duplicateValues" dxfId="1" priority="37"/>
    <cfRule type="duplicateValues" dxfId="1" priority="38"/>
  </conditionalFormatting>
  <conditionalFormatting sqref="C6968">
    <cfRule type="duplicateValues" dxfId="1" priority="34"/>
    <cfRule type="duplicateValues" dxfId="1" priority="35"/>
  </conditionalFormatting>
  <conditionalFormatting sqref="C6992">
    <cfRule type="duplicateValues" dxfId="1" priority="26"/>
    <cfRule type="duplicateValues" dxfId="1" priority="27"/>
  </conditionalFormatting>
  <conditionalFormatting sqref="C6997">
    <cfRule type="duplicateValues" dxfId="1" priority="22"/>
  </conditionalFormatting>
  <conditionalFormatting sqref="C6998">
    <cfRule type="duplicateValues" dxfId="1" priority="21"/>
  </conditionalFormatting>
  <conditionalFormatting sqref="C7041">
    <cfRule type="duplicateValues" dxfId="1" priority="1"/>
  </conditionalFormatting>
  <conditionalFormatting sqref="C6648:C6657">
    <cfRule type="duplicateValues" dxfId="1" priority="219"/>
    <cfRule type="duplicateValues" dxfId="1" priority="218"/>
  </conditionalFormatting>
  <conditionalFormatting sqref="C6662:C6666">
    <cfRule type="duplicateValues" dxfId="1" priority="210"/>
    <cfRule type="expression" dxfId="0" priority="208">
      <formula>FILA()=CELDA("fila")</formula>
    </cfRule>
    <cfRule type="duplicateValues" dxfId="1" priority="209"/>
  </conditionalFormatting>
  <conditionalFormatting sqref="C6672:C6675">
    <cfRule type="duplicateValues" dxfId="1" priority="206"/>
    <cfRule type="duplicateValues" dxfId="1" priority="207"/>
  </conditionalFormatting>
  <conditionalFormatting sqref="C6688:C6696">
    <cfRule type="duplicateValues" dxfId="1" priority="199"/>
    <cfRule type="duplicateValues" dxfId="1" priority="198"/>
  </conditionalFormatting>
  <conditionalFormatting sqref="C6697:C6699">
    <cfRule type="duplicateValues" dxfId="1" priority="196"/>
    <cfRule type="duplicateValues" dxfId="1" priority="195"/>
  </conditionalFormatting>
  <conditionalFormatting sqref="C6700:C6701">
    <cfRule type="duplicateValues" dxfId="1" priority="193"/>
  </conditionalFormatting>
  <conditionalFormatting sqref="C6702:C6709">
    <cfRule type="duplicateValues" dxfId="1" priority="192"/>
  </conditionalFormatting>
  <conditionalFormatting sqref="C6717:C6722">
    <cfRule type="duplicateValues" dxfId="1" priority="191"/>
  </conditionalFormatting>
  <conditionalFormatting sqref="C6735:C6743">
    <cfRule type="duplicateValues" dxfId="1" priority="184"/>
  </conditionalFormatting>
  <conditionalFormatting sqref="C6744:C6747">
    <cfRule type="duplicateValues" dxfId="1" priority="183"/>
  </conditionalFormatting>
  <conditionalFormatting sqref="C6750:C6753">
    <cfRule type="duplicateValues" dxfId="1" priority="180"/>
  </conditionalFormatting>
  <conditionalFormatting sqref="C6775:C6782">
    <cfRule type="duplicateValues" dxfId="1" priority="167"/>
  </conditionalFormatting>
  <conditionalFormatting sqref="C6803:C6806">
    <cfRule type="duplicateValues" dxfId="1" priority="161"/>
    <cfRule type="duplicateValues" dxfId="1" priority="160"/>
  </conditionalFormatting>
  <conditionalFormatting sqref="C6809:C6812">
    <cfRule type="duplicateValues" dxfId="1" priority="157"/>
    <cfRule type="duplicateValues" dxfId="1" priority="156"/>
  </conditionalFormatting>
  <conditionalFormatting sqref="C6821:C6823">
    <cfRule type="duplicateValues" dxfId="1" priority="143"/>
    <cfRule type="duplicateValues" dxfId="1" priority="144"/>
  </conditionalFormatting>
  <conditionalFormatting sqref="C6829:C6830">
    <cfRule type="duplicateValues" dxfId="1" priority="134"/>
  </conditionalFormatting>
  <conditionalFormatting sqref="C6829:C6833">
    <cfRule type="duplicateValues" dxfId="1" priority="135"/>
  </conditionalFormatting>
  <conditionalFormatting sqref="C6835:C6837">
    <cfRule type="duplicateValues" dxfId="1" priority="127"/>
    <cfRule type="duplicateValues" dxfId="1" priority="126"/>
  </conditionalFormatting>
  <conditionalFormatting sqref="C6848:C6852">
    <cfRule type="duplicateValues" dxfId="1" priority="115"/>
    <cfRule type="duplicateValues" dxfId="1" priority="114"/>
  </conditionalFormatting>
  <conditionalFormatting sqref="C6853:C6860">
    <cfRule type="duplicateValues" dxfId="1" priority="112"/>
  </conditionalFormatting>
  <conditionalFormatting sqref="C6884:C6888">
    <cfRule type="duplicateValues" dxfId="1" priority="87"/>
  </conditionalFormatting>
  <conditionalFormatting sqref="C6906:C6911">
    <cfRule type="duplicateValues" dxfId="1" priority="74"/>
  </conditionalFormatting>
  <conditionalFormatting sqref="C6916:C6918">
    <cfRule type="duplicateValues" dxfId="1" priority="70"/>
  </conditionalFormatting>
  <conditionalFormatting sqref="C6924:C6945">
    <cfRule type="duplicateValues" dxfId="1" priority="28"/>
  </conditionalFormatting>
  <conditionalFormatting sqref="C6956:C6958">
    <cfRule type="duplicateValues" dxfId="1" priority="44"/>
    <cfRule type="duplicateValues" dxfId="1" priority="45"/>
  </conditionalFormatting>
  <conditionalFormatting sqref="C6993:C6996">
    <cfRule type="duplicateValues" dxfId="1" priority="24"/>
  </conditionalFormatting>
  <conditionalFormatting sqref="C6999:C7000">
    <cfRule type="duplicateValues" dxfId="1" priority="19"/>
    <cfRule type="duplicateValues" dxfId="1" priority="18"/>
  </conditionalFormatting>
  <conditionalFormatting sqref="C7009:C7012">
    <cfRule type="duplicateValues" dxfId="1" priority="15"/>
    <cfRule type="duplicateValues" dxfId="1" priority="14"/>
  </conditionalFormatting>
  <conditionalFormatting sqref="C7018:C7029">
    <cfRule type="duplicateValues" dxfId="1" priority="12"/>
    <cfRule type="duplicateValues" dxfId="1" priority="11"/>
  </conditionalFormatting>
  <conditionalFormatting sqref="G6768:G6769">
    <cfRule type="expression" dxfId="0" priority="177">
      <formula>FILA()=CELDA("fila")</formula>
    </cfRule>
  </conditionalFormatting>
  <conditionalFormatting sqref="G6799:G6801">
    <cfRule type="expression" dxfId="0" priority="164">
      <formula>FILA()=CELDA("fila")</formula>
    </cfRule>
  </conditionalFormatting>
  <conditionalFormatting sqref="G6838:G6841">
    <cfRule type="expression" dxfId="0" priority="119">
      <formula>FILA()=CELDA("fila")</formula>
    </cfRule>
  </conditionalFormatting>
  <conditionalFormatting sqref="G6943:G6949">
    <cfRule type="expression" dxfId="0" priority="50">
      <formula>FILA()=CELDA("fila")</formula>
    </cfRule>
  </conditionalFormatting>
  <conditionalFormatting sqref="G6974:G6977">
    <cfRule type="expression" dxfId="0" priority="30">
      <formula>FILA()=CELDA("fila")</formula>
    </cfRule>
  </conditionalFormatting>
  <conditionalFormatting sqref="G6982:G6984">
    <cfRule type="expression" dxfId="0" priority="29">
      <formula>FILA()=CELDA("fila")</formula>
    </cfRule>
  </conditionalFormatting>
  <conditionalFormatting sqref="H6622:H6626">
    <cfRule type="expression" dxfId="0" priority="220">
      <formula>FILA()=CELDA("fila")</formula>
    </cfRule>
  </conditionalFormatting>
  <conditionalFormatting sqref="H6723:H6732">
    <cfRule type="expression" dxfId="0" priority="188">
      <formula>FILA()=CELDA("fila")</formula>
    </cfRule>
  </conditionalFormatting>
  <conditionalFormatting sqref="H6790:H6802">
    <cfRule type="expression" dxfId="0" priority="162">
      <formula>FILA()=CELDA("fila")</formula>
    </cfRule>
  </conditionalFormatting>
  <conditionalFormatting sqref="H6813:H6815">
    <cfRule type="expression" dxfId="0" priority="153">
      <formula>FILA()=CELDA("fila")</formula>
    </cfRule>
  </conditionalFormatting>
  <conditionalFormatting sqref="H6817:H6819">
    <cfRule type="expression" dxfId="0" priority="148">
      <formula>FILA()=CELDA("fila")</formula>
    </cfRule>
  </conditionalFormatting>
  <conditionalFormatting sqref="H6824:H6827">
    <cfRule type="expression" dxfId="0" priority="139">
      <formula>FILA()=CELDA("fila")</formula>
    </cfRule>
  </conditionalFormatting>
  <conditionalFormatting sqref="H6838:H6847">
    <cfRule type="expression" dxfId="0" priority="116">
      <formula>FILA()=CELDA("fila")</formula>
    </cfRule>
  </conditionalFormatting>
  <conditionalFormatting sqref="H6853:H6860">
    <cfRule type="expression" dxfId="0" priority="111">
      <formula>FILA()=CELDA("fila")</formula>
    </cfRule>
  </conditionalFormatting>
  <conditionalFormatting sqref="H6865:H6870">
    <cfRule type="expression" dxfId="0" priority="104">
      <formula>FILA()=CELDA("fila")</formula>
    </cfRule>
  </conditionalFormatting>
  <conditionalFormatting sqref="H6872:H6888">
    <cfRule type="expression" dxfId="0" priority="85">
      <formula>FILA()=CELDA("fila")</formula>
    </cfRule>
  </conditionalFormatting>
  <conditionalFormatting sqref="H6906:H6911">
    <cfRule type="expression" dxfId="0" priority="72">
      <formula>FILA()=CELDA("fila")</formula>
    </cfRule>
  </conditionalFormatting>
  <conditionalFormatting sqref="H6916:H6919">
    <cfRule type="expression" dxfId="0" priority="65">
      <formula>FILA()=CELDA("fila")</formula>
    </cfRule>
  </conditionalFormatting>
  <conditionalFormatting sqref="H6943:H6955">
    <cfRule type="expression" dxfId="0" priority="46">
      <formula>FILA()=CELDA("fila")</formula>
    </cfRule>
  </conditionalFormatting>
  <conditionalFormatting sqref="H6974:H6981">
    <cfRule type="expression" dxfId="0" priority="31">
      <formula>FILA()=CELDA("fila")</formula>
    </cfRule>
  </conditionalFormatting>
  <conditionalFormatting sqref="I6648:I6649">
    <cfRule type="containsText" dxfId="4" priority="214" operator="between" text="PENDIENTE">
      <formula>NOT(ISERROR(SEARCH("PENDIENTE",I6648)))</formula>
    </cfRule>
    <cfRule type="containsText" dxfId="3" priority="215" operator="between" text="REGULARIZADO">
      <formula>NOT(ISERROR(SEARCH("REGULARIZADO",I6648)))</formula>
    </cfRule>
  </conditionalFormatting>
  <conditionalFormatting sqref="J5902:J6040">
    <cfRule type="containsText" dxfId="5" priority="354" operator="between" text="REGULARIZADO">
      <formula>NOT(ISERROR(SEARCH("REGULARIZADO",J5902)))</formula>
    </cfRule>
  </conditionalFormatting>
  <conditionalFormatting sqref="J6042:J6057">
    <cfRule type="containsText" dxfId="5" priority="353" operator="between" text="REGULARIZADO">
      <formula>NOT(ISERROR(SEARCH("REGULARIZADO",J6042)))</formula>
    </cfRule>
  </conditionalFormatting>
  <conditionalFormatting sqref="J6059:J6097">
    <cfRule type="containsText" dxfId="5" priority="379" operator="between" text="REGULARIZADO">
      <formula>NOT(ISERROR(SEARCH("REGULARIZADO",J6059)))</formula>
    </cfRule>
  </conditionalFormatting>
  <conditionalFormatting sqref="J1:J6996;J6998:J1048576">
    <cfRule type="containsText" dxfId="3" priority="91" operator="between" text="REGULARIZADO">
      <formula>NOT(ISERROR(SEARCH("REGULARIZADO",J1)))</formula>
    </cfRule>
    <cfRule type="containsText" dxfId="4" priority="90" operator="between" text="PENDIENTE">
      <formula>NOT(ISERROR(SEARCH("PENDIENTE",J1)))</formula>
    </cfRule>
  </conditionalFormatting>
  <conditionalFormatting sqref="C6648:D6657">
    <cfRule type="expression" dxfId="0" priority="211">
      <formula>FILA()=CELDA("fila")</formula>
    </cfRule>
  </conditionalFormatting>
  <conditionalFormatting sqref="C6672:D6675">
    <cfRule type="expression" dxfId="0" priority="205">
      <formula>FILA()=CELDA("fila")</formula>
    </cfRule>
  </conditionalFormatting>
  <conditionalFormatting sqref="C6688:D6699">
    <cfRule type="expression" dxfId="0" priority="194">
      <formula>FILA()=CELDA("fila")</formula>
    </cfRule>
  </conditionalFormatting>
  <conditionalFormatting sqref="C6744:D6747">
    <cfRule type="expression" dxfId="0" priority="181">
      <formula>FILA()=CELDA("fila")</formula>
    </cfRule>
  </conditionalFormatting>
  <conditionalFormatting sqref="H6768:I6773">
    <cfRule type="expression" dxfId="0" priority="171">
      <formula>FILA()=CELDA("fila")</formula>
    </cfRule>
  </conditionalFormatting>
  <conditionalFormatting sqref="C6803:D6806">
    <cfRule type="expression" dxfId="0" priority="158">
      <formula>FILA()=CELDA("fila")</formula>
    </cfRule>
  </conditionalFormatting>
  <conditionalFormatting sqref="C6809:D6812">
    <cfRule type="expression" dxfId="0" priority="154">
      <formula>FILA()=CELDA("fila")</formula>
    </cfRule>
  </conditionalFormatting>
  <conditionalFormatting sqref="C6820:D6823">
    <cfRule type="expression" dxfId="0" priority="142">
      <formula>FILA()=CELDA("fila")</formula>
    </cfRule>
  </conditionalFormatting>
  <conditionalFormatting sqref="C6828:D6832">
    <cfRule type="expression" dxfId="0" priority="131">
      <formula>FILA()=CELDA("fila")</formula>
    </cfRule>
  </conditionalFormatting>
  <conditionalFormatting sqref="C6836:C6837;G6889:H6890">
    <cfRule type="expression" dxfId="0" priority="121">
      <formula>FILA()=CELDA("fila")</formula>
    </cfRule>
  </conditionalFormatting>
  <conditionalFormatting sqref="C6848:D6852">
    <cfRule type="expression" dxfId="0" priority="113">
      <formula>FILA()=CELDA("fila")</formula>
    </cfRule>
  </conditionalFormatting>
  <conditionalFormatting sqref="C6884:D6888">
    <cfRule type="expression" dxfId="0" priority="86">
      <formula>FILA()=CELDA("fila")</formula>
    </cfRule>
  </conditionalFormatting>
  <conditionalFormatting sqref="H6891:H6893;H6895:H6898">
    <cfRule type="expression" dxfId="0" priority="82">
      <formula>FILA()=CELDA("fila")</formula>
    </cfRule>
  </conditionalFormatting>
  <conditionalFormatting sqref="C6900:D6901">
    <cfRule type="expression" dxfId="0" priority="76">
      <formula>FILA()=CELDA("fila")</formula>
    </cfRule>
  </conditionalFormatting>
  <conditionalFormatting sqref="C6906:D6911">
    <cfRule type="expression" dxfId="0" priority="73">
      <formula>FILA()=CELDA("fila")</formula>
    </cfRule>
  </conditionalFormatting>
  <conditionalFormatting sqref="C6916:D6919">
    <cfRule type="expression" dxfId="0" priority="66">
      <formula>FILA()=CELDA("fila")</formula>
    </cfRule>
  </conditionalFormatting>
  <conditionalFormatting sqref="C6956:D6958">
    <cfRule type="expression" dxfId="0" priority="42">
      <formula>FILA()=CELDA("fila")</formula>
    </cfRule>
  </conditionalFormatting>
  <conditionalFormatting sqref="C6966:D6968">
    <cfRule type="expression" dxfId="0" priority="33">
      <formula>FILA()=CELDA("fila")</formula>
    </cfRule>
  </conditionalFormatting>
  <conditionalFormatting sqref="C6992:D6996">
    <cfRule type="expression" dxfId="0" priority="23">
      <formula>FILA()=CELDA("fila")</formula>
    </cfRule>
  </conditionalFormatting>
  <conditionalFormatting sqref="C6998:D7000">
    <cfRule type="expression" dxfId="0" priority="16">
      <formula>FILA()=CELDA("fila")</formula>
    </cfRule>
  </conditionalFormatting>
  <conditionalFormatting sqref="C7009:D7012">
    <cfRule type="expression" dxfId="0" priority="13">
      <formula>FILA()=CELDA("fila")</formula>
    </cfRule>
  </conditionalFormatting>
  <conditionalFormatting sqref="C7018:D7029">
    <cfRule type="expression" dxfId="0" priority="2">
      <formula>FILA()=CELDA("fila")</formula>
    </cfRule>
  </conditionalFormatting>
  <pageMargins left="0.7" right="0.7" top="0.75" bottom="0.75" header="0.3" footer="0.3"/>
  <pageSetup paperSize="1" orientation="landscape" verticalDpi="203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7">
    <tabColor rgb="FFFFFF00"/>
  </sheetPr>
  <dimension ref="A1:S1926"/>
  <sheetViews>
    <sheetView showGridLines="0" zoomScale="84" zoomScaleNormal="84" workbookViewId="0">
      <pane ySplit="8" topLeftCell="A25" activePane="bottomLeft" state="frozen"/>
      <selection/>
      <selection pane="bottomLeft" activeCell="D6" sqref="D6:G7"/>
    </sheetView>
  </sheetViews>
  <sheetFormatPr defaultColWidth="10.7619047619048" defaultRowHeight="15"/>
  <cols>
    <col min="1" max="1" width="5.91428571428571" style="29" customWidth="1"/>
    <col min="2" max="2" width="11.7047619047619" style="38" customWidth="1"/>
    <col min="3" max="3" width="51.9238095238095" style="39" customWidth="1"/>
    <col min="4" max="4" width="14.1238095238095" style="40" customWidth="1"/>
    <col min="5" max="5" width="15.6" hidden="1" customWidth="1"/>
    <col min="6" max="6" width="23.9428571428571" hidden="1" customWidth="1"/>
    <col min="7" max="7" width="19.6380952380952" style="41" customWidth="1"/>
    <col min="8" max="8" width="24.6190476190476" style="41" customWidth="1"/>
    <col min="9" max="9" width="19.5047619047619" style="41" customWidth="1"/>
    <col min="10" max="10" width="27.4380952380952" style="41" customWidth="1"/>
    <col min="11" max="11" width="19.1047619047619" style="41" customWidth="1"/>
    <col min="12" max="12" width="31.0761904761905" style="41" customWidth="1"/>
    <col min="13" max="13" width="25.152380952381" hidden="1" customWidth="1"/>
    <col min="16" max="16" width="13.047619047619" customWidth="1"/>
    <col min="18" max="18" width="13.047619047619" customWidth="1"/>
  </cols>
  <sheetData>
    <row r="1" spans="1:12">
      <c r="B1" s="42" t="s">
        <v>3072</v>
      </c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6" ht="14.45" customHeight="1" spans="1:12">
      <c r="C6" s="43" t="s">
        <v>3073</v>
      </c>
      <c r="D6" s="44" t="s">
        <v>3074</v>
      </c>
      <c r="E6" s="44"/>
      <c r="F6" s="44"/>
      <c r="G6" s="45"/>
      <c r="H6" s="46" t="s">
        <v>3075</v>
      </c>
      <c r="I6" s="46"/>
      <c r="J6" s="46"/>
      <c r="K6" s="47" t="s">
        <v>3076</v>
      </c>
      <c r="L6" s="47"/>
    </row>
    <row r="7" ht="14.45" customHeight="1" spans="1:12">
      <c r="C7" s="43"/>
      <c r="D7" s="44"/>
      <c r="E7" s="44"/>
      <c r="F7" s="44"/>
      <c r="G7" s="45"/>
      <c r="H7" s="46"/>
      <c r="I7" s="46"/>
      <c r="J7" s="46"/>
      <c r="K7" s="47"/>
      <c r="L7" s="47"/>
    </row>
    <row r="8" ht="29.25" customHeight="1" spans="1:12">
      <c r="B8" s="48" t="s">
        <v>6</v>
      </c>
      <c r="C8" s="49" t="s">
        <v>7</v>
      </c>
      <c r="D8" s="50" t="s">
        <v>165</v>
      </c>
      <c r="E8" s="50" t="s">
        <v>3077</v>
      </c>
      <c r="F8" s="50" t="s">
        <v>3078</v>
      </c>
      <c r="G8" s="51" t="s">
        <v>3079</v>
      </c>
      <c r="H8" s="52" t="s">
        <v>3080</v>
      </c>
      <c r="I8" s="52" t="s">
        <v>3081</v>
      </c>
      <c r="J8" s="52" t="s">
        <v>3082</v>
      </c>
      <c r="K8" s="53" t="s">
        <v>9</v>
      </c>
      <c r="L8" s="53" t="s">
        <v>3083</v>
      </c>
    </row>
    <row r="9" ht="15.75" customHeight="1" spans="1:12">
      <c r="A9" s="29">
        <f t="shared" ref="A9:A72" si="0">+IF(OR(G9&gt;0,J9&gt;0,K9&gt;0),1,0)</f>
        <v>1</v>
      </c>
      <c r="B9" s="54">
        <v>50142631</v>
      </c>
      <c r="C9" s="55" t="s">
        <v>566</v>
      </c>
      <c r="D9" s="56" t="s">
        <v>82</v>
      </c>
      <c r="E9" s="4"/>
      <c r="F9" s="57">
        <v>750</v>
      </c>
      <c r="G9" s="58">
        <v>10000</v>
      </c>
      <c r="H9" s="58"/>
      <c r="I9" s="58"/>
      <c r="J9" s="58">
        <f t="shared" ref="J9:J16" si="1">+G9+H9-I9</f>
        <v>10000</v>
      </c>
      <c r="K9" s="58">
        <f>IFERROR(VLOOKUP(B9,'[1]bajada sap'!$B:$F,5,0),0)</f>
        <v>10000</v>
      </c>
      <c r="L9" s="58">
        <f t="shared" ref="L9:L72" si="2">J9-K9</f>
        <v>0</v>
      </c>
    </row>
    <row r="10" ht="15.75" customHeight="1" spans="1:12">
      <c r="A10" s="29">
        <f t="shared" si="0"/>
        <v>0</v>
      </c>
      <c r="B10" s="54">
        <v>50142298</v>
      </c>
      <c r="C10" s="55" t="s">
        <v>2159</v>
      </c>
      <c r="D10" s="56" t="s">
        <v>1949</v>
      </c>
      <c r="E10" s="4"/>
      <c r="F10" s="57"/>
      <c r="G10" s="58"/>
      <c r="H10" s="58"/>
      <c r="I10" s="58"/>
      <c r="J10" s="58">
        <f t="shared" si="1"/>
        <v>0</v>
      </c>
      <c r="K10" s="58">
        <f>IFERROR(VLOOKUP(B10,'[1]bajada sap'!$B:$F,5,0),0)</f>
        <v>0</v>
      </c>
      <c r="L10" s="58">
        <f t="shared" si="2"/>
        <v>0</v>
      </c>
    </row>
    <row r="11" ht="15.75" customHeight="1" spans="1:12">
      <c r="A11" s="29">
        <f t="shared" si="0"/>
        <v>1</v>
      </c>
      <c r="B11" s="54">
        <v>50809353</v>
      </c>
      <c r="C11" s="55" t="s">
        <v>905</v>
      </c>
      <c r="D11" s="56" t="s">
        <v>82</v>
      </c>
      <c r="E11" s="4"/>
      <c r="F11" s="4"/>
      <c r="G11" s="58">
        <v>6375</v>
      </c>
      <c r="H11" s="58"/>
      <c r="I11" s="58"/>
      <c r="J11" s="58">
        <f t="shared" si="1"/>
        <v>6375</v>
      </c>
      <c r="K11" s="58">
        <f>IFERROR(VLOOKUP(B11,'[1]bajada sap'!$B:$F,5,0),0)</f>
        <v>6400</v>
      </c>
      <c r="L11" s="58">
        <f t="shared" si="2"/>
        <v>-25</v>
      </c>
    </row>
    <row r="12" ht="15.75" customHeight="1" spans="1:12">
      <c r="A12" s="29">
        <f t="shared" si="0"/>
        <v>0</v>
      </c>
      <c r="B12" s="54">
        <v>50144953</v>
      </c>
      <c r="C12" s="55" t="s">
        <v>269</v>
      </c>
      <c r="D12" s="56" t="s">
        <v>82</v>
      </c>
      <c r="E12" s="4"/>
      <c r="F12" s="57">
        <v>1000</v>
      </c>
      <c r="G12" s="58">
        <v>0</v>
      </c>
      <c r="H12" s="58"/>
      <c r="I12" s="58"/>
      <c r="J12" s="58">
        <f t="shared" si="1"/>
        <v>0</v>
      </c>
      <c r="K12" s="58">
        <f>IFERROR(VLOOKUP(B12,'[1]bajada sap'!$B:$F,5,0),0)</f>
        <v>0</v>
      </c>
      <c r="L12" s="58">
        <f t="shared" si="2"/>
        <v>0</v>
      </c>
    </row>
    <row r="13" ht="15.75" customHeight="1" spans="1:12">
      <c r="A13" s="29">
        <f t="shared" si="0"/>
        <v>0</v>
      </c>
      <c r="B13" s="59">
        <v>50760042</v>
      </c>
      <c r="C13" s="55" t="s">
        <v>2460</v>
      </c>
      <c r="D13" s="56" t="s">
        <v>82</v>
      </c>
      <c r="E13" s="4"/>
      <c r="F13" s="4"/>
      <c r="G13" s="58">
        <v>0</v>
      </c>
      <c r="H13" s="58"/>
      <c r="I13" s="58"/>
      <c r="J13" s="58">
        <f t="shared" si="1"/>
        <v>0</v>
      </c>
      <c r="K13" s="58">
        <f>IFERROR(VLOOKUP(B13,'[1]bajada sap'!$B:$F,5,0),0)</f>
        <v>0</v>
      </c>
      <c r="L13" s="58">
        <f t="shared" si="2"/>
        <v>0</v>
      </c>
    </row>
    <row r="14" ht="15.75" customHeight="1" spans="1:12">
      <c r="A14" s="29">
        <f t="shared" si="0"/>
        <v>0</v>
      </c>
      <c r="B14" s="54">
        <v>50143646</v>
      </c>
      <c r="C14" s="55" t="s">
        <v>191</v>
      </c>
      <c r="D14" s="56" t="s">
        <v>82</v>
      </c>
      <c r="E14" s="4"/>
      <c r="F14" s="57">
        <v>6240</v>
      </c>
      <c r="G14" s="58"/>
      <c r="H14" s="58"/>
      <c r="I14" s="58"/>
      <c r="J14" s="58">
        <f t="shared" si="1"/>
        <v>0</v>
      </c>
      <c r="K14" s="58">
        <f>IFERROR(VLOOKUP(B14,'[1]bajada sap'!$B:$F,5,0),0)</f>
        <v>0</v>
      </c>
      <c r="L14" s="58">
        <f t="shared" si="2"/>
        <v>0</v>
      </c>
    </row>
    <row r="15" ht="15.75" customHeight="1" spans="1:12">
      <c r="A15" s="29">
        <f t="shared" si="0"/>
        <v>0</v>
      </c>
      <c r="B15" s="54">
        <v>50773360</v>
      </c>
      <c r="C15" s="55" t="s">
        <v>2488</v>
      </c>
      <c r="D15" s="56" t="s">
        <v>92</v>
      </c>
      <c r="E15" s="4"/>
      <c r="F15" s="4"/>
      <c r="G15" s="58">
        <v>0</v>
      </c>
      <c r="H15" s="58"/>
      <c r="I15" s="58"/>
      <c r="J15" s="58">
        <f t="shared" si="1"/>
        <v>0</v>
      </c>
      <c r="K15" s="58">
        <f>IFERROR(VLOOKUP(B15,'[1]bajada sap'!$B:$F,5,0),0)</f>
        <v>0</v>
      </c>
      <c r="L15" s="58">
        <f t="shared" si="2"/>
        <v>0</v>
      </c>
    </row>
    <row r="16" ht="15.75" customHeight="1" spans="1:12">
      <c r="A16" s="29">
        <f t="shared" si="0"/>
        <v>0</v>
      </c>
      <c r="B16" s="54">
        <v>20015988</v>
      </c>
      <c r="C16" s="55" t="s">
        <v>2485</v>
      </c>
      <c r="D16" s="56" t="s">
        <v>82</v>
      </c>
      <c r="E16" s="4"/>
      <c r="F16" s="4"/>
      <c r="G16" s="58">
        <v>0</v>
      </c>
      <c r="H16" s="58"/>
      <c r="I16" s="58"/>
      <c r="J16" s="58">
        <f t="shared" si="1"/>
        <v>0</v>
      </c>
      <c r="K16" s="58">
        <f>IFERROR(VLOOKUP(B16,'[1]bajada sap'!$B:$F,5,0),0)</f>
        <v>0</v>
      </c>
      <c r="L16" s="58">
        <f t="shared" si="2"/>
        <v>0</v>
      </c>
    </row>
    <row r="17" ht="15.75" customHeight="1" spans="1:18">
      <c r="A17" s="29">
        <f t="shared" si="0"/>
        <v>0</v>
      </c>
      <c r="B17" s="54">
        <v>50515253</v>
      </c>
      <c r="C17" s="55" t="s">
        <v>912</v>
      </c>
      <c r="D17" s="56" t="s">
        <v>92</v>
      </c>
      <c r="E17" s="4"/>
      <c r="F17" s="4"/>
      <c r="G17" s="58">
        <v>0</v>
      </c>
      <c r="H17" s="58"/>
      <c r="I17" s="58"/>
      <c r="J17" s="58">
        <v>0</v>
      </c>
      <c r="K17" s="58">
        <f>IFERROR(VLOOKUP(B17,'[1]bajada sap'!$B:$F,5,0),0)</f>
        <v>0</v>
      </c>
      <c r="L17" s="58">
        <f t="shared" si="2"/>
        <v>0</v>
      </c>
    </row>
    <row r="18" ht="15.75" customHeight="1" spans="1:18">
      <c r="A18" s="29">
        <f t="shared" si="0"/>
        <v>1</v>
      </c>
      <c r="B18" s="54">
        <v>50142055</v>
      </c>
      <c r="C18" s="55" t="s">
        <v>206</v>
      </c>
      <c r="D18" s="56" t="s">
        <v>82</v>
      </c>
      <c r="E18" s="4">
        <v>40</v>
      </c>
      <c r="F18" s="57">
        <v>600</v>
      </c>
      <c r="G18" s="58">
        <v>21600</v>
      </c>
      <c r="H18" s="58">
        <v>12000</v>
      </c>
      <c r="I18" s="58"/>
      <c r="J18" s="58">
        <f t="shared" ref="J18:J81" si="3">+G18+H18-I18</f>
        <v>33600</v>
      </c>
      <c r="K18" s="58">
        <v>21600</v>
      </c>
      <c r="L18" s="58">
        <f t="shared" si="2"/>
        <v>12000</v>
      </c>
    </row>
    <row r="19" ht="15.75" customHeight="1" spans="1:18">
      <c r="A19" s="29">
        <f t="shared" si="0"/>
        <v>0</v>
      </c>
      <c r="B19" s="54">
        <v>50141786</v>
      </c>
      <c r="C19" s="55" t="s">
        <v>188</v>
      </c>
      <c r="D19" s="56" t="s">
        <v>82</v>
      </c>
      <c r="E19" s="4"/>
      <c r="F19" s="57">
        <v>560</v>
      </c>
      <c r="G19" s="58">
        <v>0</v>
      </c>
      <c r="H19" s="58"/>
      <c r="I19" s="58"/>
      <c r="J19" s="58">
        <f t="shared" si="3"/>
        <v>0</v>
      </c>
      <c r="K19" s="58">
        <f>IFERROR(VLOOKUP(B19,'[1]bajada sap'!$B:$F,5,0),0)</f>
        <v>0</v>
      </c>
      <c r="L19" s="58">
        <f t="shared" si="2"/>
        <v>0</v>
      </c>
    </row>
    <row r="20" ht="15.75" customHeight="1" spans="1:18">
      <c r="A20" s="29">
        <f t="shared" si="0"/>
        <v>1</v>
      </c>
      <c r="B20" s="60">
        <v>50010080</v>
      </c>
      <c r="C20" s="55" t="s">
        <v>1657</v>
      </c>
      <c r="D20" s="56" t="s">
        <v>82</v>
      </c>
      <c r="E20" s="4">
        <v>23950</v>
      </c>
      <c r="F20" s="57">
        <v>1000</v>
      </c>
      <c r="G20" s="58">
        <v>23000</v>
      </c>
      <c r="H20" s="58"/>
      <c r="I20" s="61">
        <v>3000</v>
      </c>
      <c r="J20" s="58">
        <f t="shared" si="3"/>
        <v>20000</v>
      </c>
      <c r="K20" s="58">
        <f>IFERROR(VLOOKUP(B20,'[1]bajada sap'!$B:$F,5,0),0)</f>
        <v>25000</v>
      </c>
      <c r="L20" s="58">
        <f t="shared" si="2"/>
        <v>-5000</v>
      </c>
    </row>
    <row r="21" ht="15.75" customHeight="1" spans="1:18">
      <c r="A21" s="29">
        <f t="shared" si="0"/>
        <v>0</v>
      </c>
      <c r="B21" s="54">
        <v>50340254</v>
      </c>
      <c r="C21" s="55" t="s">
        <v>347</v>
      </c>
      <c r="D21" s="56" t="s">
        <v>92</v>
      </c>
      <c r="E21" s="4"/>
      <c r="F21" s="57">
        <v>750</v>
      </c>
      <c r="G21" s="58">
        <v>0</v>
      </c>
      <c r="H21" s="58"/>
      <c r="I21" s="58"/>
      <c r="J21" s="58">
        <f t="shared" si="3"/>
        <v>0</v>
      </c>
      <c r="K21" s="58">
        <f>IFERROR(VLOOKUP(B21,'[1]bajada sap'!$B:$F,5,0),0)</f>
        <v>0</v>
      </c>
      <c r="L21" s="58">
        <f t="shared" si="2"/>
        <v>0</v>
      </c>
    </row>
    <row r="22" ht="15.75" customHeight="1" spans="1:18">
      <c r="A22" s="29">
        <f t="shared" si="0"/>
        <v>0</v>
      </c>
      <c r="B22" s="54">
        <v>50372640</v>
      </c>
      <c r="C22" s="55" t="s">
        <v>274</v>
      </c>
      <c r="D22" s="56" t="s">
        <v>92</v>
      </c>
      <c r="E22" s="4"/>
      <c r="F22" s="57">
        <v>3000</v>
      </c>
      <c r="G22" s="58">
        <v>0</v>
      </c>
      <c r="H22" s="58"/>
      <c r="I22" s="58"/>
      <c r="J22" s="58">
        <f t="shared" si="3"/>
        <v>0</v>
      </c>
      <c r="K22" s="58">
        <f>IFERROR(VLOOKUP(B22,'[1]bajada sap'!$B:$F,5,0),0)</f>
        <v>0</v>
      </c>
      <c r="L22" s="58">
        <f t="shared" si="2"/>
        <v>0</v>
      </c>
    </row>
    <row r="23" ht="15.75" customHeight="1" spans="1:18">
      <c r="A23" s="29">
        <f t="shared" si="0"/>
        <v>0</v>
      </c>
      <c r="B23" s="54">
        <v>50144954</v>
      </c>
      <c r="C23" s="55" t="s">
        <v>268</v>
      </c>
      <c r="D23" s="56" t="s">
        <v>92</v>
      </c>
      <c r="E23" s="4"/>
      <c r="F23" s="57">
        <v>3000</v>
      </c>
      <c r="G23" s="58">
        <v>0</v>
      </c>
      <c r="H23" s="58"/>
      <c r="I23" s="58"/>
      <c r="J23" s="58">
        <f t="shared" si="3"/>
        <v>0</v>
      </c>
      <c r="K23" s="58">
        <f>IFERROR(VLOOKUP(B23,'[1]bajada sap'!$B:$F,5,0),0)</f>
        <v>0</v>
      </c>
      <c r="L23" s="58">
        <f t="shared" si="2"/>
        <v>0</v>
      </c>
    </row>
    <row r="24" ht="15.75" customHeight="1" spans="1:18">
      <c r="A24" s="29">
        <f t="shared" si="0"/>
        <v>0</v>
      </c>
      <c r="B24" s="54">
        <v>50655383</v>
      </c>
      <c r="C24" s="55" t="s">
        <v>3084</v>
      </c>
      <c r="D24" s="56" t="s">
        <v>92</v>
      </c>
      <c r="E24" s="4"/>
      <c r="F24" s="57"/>
      <c r="G24" s="58">
        <v>0</v>
      </c>
      <c r="H24" s="58"/>
      <c r="I24" s="58"/>
      <c r="J24" s="58">
        <f t="shared" si="3"/>
        <v>0</v>
      </c>
      <c r="K24" s="58">
        <f>IFERROR(VLOOKUP(B24,'[1]bajada sap'!$B:$F,5,0),0)</f>
        <v>0</v>
      </c>
      <c r="L24" s="58">
        <f t="shared" si="2"/>
        <v>0</v>
      </c>
    </row>
    <row r="25" ht="15.75" customHeight="1" spans="1:18">
      <c r="A25" s="29">
        <f t="shared" si="0"/>
        <v>0</v>
      </c>
      <c r="B25" s="54">
        <v>50460510</v>
      </c>
      <c r="C25" s="55" t="s">
        <v>371</v>
      </c>
      <c r="D25" s="56" t="s">
        <v>92</v>
      </c>
      <c r="E25" s="4"/>
      <c r="F25" s="57">
        <v>740</v>
      </c>
      <c r="G25" s="58">
        <v>0</v>
      </c>
      <c r="H25" s="58"/>
      <c r="I25" s="58"/>
      <c r="J25" s="58">
        <f t="shared" si="3"/>
        <v>0</v>
      </c>
      <c r="K25" s="58">
        <f>IFERROR(VLOOKUP(B25,'[1]bajada sap'!$B:$F,5,0),0)</f>
        <v>0</v>
      </c>
      <c r="L25" s="58">
        <f t="shared" si="2"/>
        <v>0</v>
      </c>
    </row>
    <row r="26" ht="15.75" customHeight="1" spans="1:18">
      <c r="A26" s="29">
        <f t="shared" si="0"/>
        <v>0</v>
      </c>
      <c r="B26" s="54">
        <v>50142121</v>
      </c>
      <c r="C26" s="55" t="s">
        <v>1243</v>
      </c>
      <c r="D26" s="56" t="s">
        <v>82</v>
      </c>
      <c r="E26" s="4"/>
      <c r="F26" s="4">
        <v>25</v>
      </c>
      <c r="G26" s="58">
        <v>0</v>
      </c>
      <c r="H26" s="58"/>
      <c r="I26" s="58"/>
      <c r="J26" s="58">
        <f t="shared" si="3"/>
        <v>0</v>
      </c>
      <c r="K26" s="58">
        <f>IFERROR(VLOOKUP(B26,'[1]bajada sap'!$B:$F,5,0),0)</f>
        <v>0</v>
      </c>
      <c r="L26" s="58">
        <f t="shared" si="2"/>
        <v>0</v>
      </c>
    </row>
    <row r="27" ht="15.75" customHeight="1" spans="1:18">
      <c r="A27" s="29">
        <f t="shared" si="0"/>
        <v>0</v>
      </c>
      <c r="B27" s="54">
        <v>50794492</v>
      </c>
      <c r="C27" s="55" t="s">
        <v>1644</v>
      </c>
      <c r="D27" s="56" t="s">
        <v>92</v>
      </c>
      <c r="E27" s="4"/>
      <c r="F27" s="4"/>
      <c r="G27" s="58">
        <v>0</v>
      </c>
      <c r="H27" s="58"/>
      <c r="I27" s="58"/>
      <c r="J27" s="58">
        <f t="shared" si="3"/>
        <v>0</v>
      </c>
      <c r="K27" s="58">
        <f>IFERROR(VLOOKUP(B27,'[1]bajada sap'!$B:$F,5,0),0)</f>
        <v>0</v>
      </c>
      <c r="L27" s="58">
        <f t="shared" si="2"/>
        <v>0</v>
      </c>
    </row>
    <row r="28" ht="15.75" customHeight="1" spans="1:18">
      <c r="A28" s="29">
        <f t="shared" si="0"/>
        <v>0</v>
      </c>
      <c r="B28" s="54">
        <v>50505025</v>
      </c>
      <c r="C28" s="55" t="s">
        <v>994</v>
      </c>
      <c r="D28" s="56" t="s">
        <v>92</v>
      </c>
      <c r="E28" s="4"/>
      <c r="F28" s="4"/>
      <c r="G28" s="58">
        <v>0</v>
      </c>
      <c r="H28" s="58"/>
      <c r="I28" s="58"/>
      <c r="J28" s="58">
        <f t="shared" si="3"/>
        <v>0</v>
      </c>
      <c r="K28" s="58">
        <f>IFERROR(VLOOKUP(B28,'[1]bajada sap'!$B:$F,5,0),0)</f>
        <v>0</v>
      </c>
      <c r="L28" s="58">
        <f t="shared" si="2"/>
        <v>0</v>
      </c>
    </row>
    <row r="29" ht="15.75" customHeight="1" spans="1:18">
      <c r="A29" s="29">
        <f t="shared" si="0"/>
        <v>0</v>
      </c>
      <c r="B29" s="54">
        <v>50142619</v>
      </c>
      <c r="C29" s="55" t="s">
        <v>433</v>
      </c>
      <c r="D29" s="56" t="s">
        <v>82</v>
      </c>
      <c r="E29" s="4"/>
      <c r="F29" s="57">
        <v>660</v>
      </c>
      <c r="G29" s="58">
        <v>0</v>
      </c>
      <c r="H29" s="58"/>
      <c r="I29" s="58"/>
      <c r="J29" s="58">
        <f t="shared" si="3"/>
        <v>0</v>
      </c>
      <c r="K29" s="58">
        <f>IFERROR(VLOOKUP(B29,'[1]bajada sap'!$B:$F,5,0),0)</f>
        <v>0</v>
      </c>
      <c r="L29" s="58">
        <f t="shared" si="2"/>
        <v>0</v>
      </c>
      <c r="R29" s="62"/>
    </row>
    <row r="30" ht="15.75" customHeight="1" spans="1:18">
      <c r="A30" s="29">
        <f t="shared" si="0"/>
        <v>1</v>
      </c>
      <c r="B30" s="54">
        <v>50815262</v>
      </c>
      <c r="C30" s="55" t="s">
        <v>2733</v>
      </c>
      <c r="D30" s="56" t="s">
        <v>92</v>
      </c>
      <c r="E30" s="4"/>
      <c r="F30" s="4"/>
      <c r="G30" s="58">
        <v>8862</v>
      </c>
      <c r="H30" s="58"/>
      <c r="I30" s="58"/>
      <c r="J30" s="58">
        <f t="shared" si="3"/>
        <v>8862</v>
      </c>
      <c r="K30" s="58">
        <f>IFERROR(VLOOKUP(B30,'[1]bajada sap'!$B:$F,5,0),0)</f>
        <v>8862</v>
      </c>
      <c r="L30" s="58">
        <f t="shared" si="2"/>
        <v>0</v>
      </c>
    </row>
    <row r="31" ht="15.75" customHeight="1" spans="1:18">
      <c r="A31" s="29">
        <f t="shared" si="0"/>
        <v>0</v>
      </c>
      <c r="B31" s="54">
        <v>40007678</v>
      </c>
      <c r="C31" s="55" t="s">
        <v>2506</v>
      </c>
      <c r="D31" s="56" t="s">
        <v>92</v>
      </c>
      <c r="E31" s="4"/>
      <c r="F31" s="4"/>
      <c r="G31" s="58">
        <v>0</v>
      </c>
      <c r="H31" s="58"/>
      <c r="I31" s="58"/>
      <c r="J31" s="58">
        <f t="shared" si="3"/>
        <v>0</v>
      </c>
      <c r="K31" s="58">
        <f>IFERROR(VLOOKUP(B31,'[1]bajada sap'!$B:$F,5,0),0)</f>
        <v>0</v>
      </c>
      <c r="L31" s="58">
        <f t="shared" si="2"/>
        <v>0</v>
      </c>
    </row>
    <row r="32" ht="15.75" customHeight="1" spans="1:18">
      <c r="A32" s="29">
        <f t="shared" si="0"/>
        <v>1</v>
      </c>
      <c r="B32" s="54">
        <v>40014900</v>
      </c>
      <c r="C32" s="55" t="s">
        <v>153</v>
      </c>
      <c r="D32" s="56" t="s">
        <v>80</v>
      </c>
      <c r="E32" s="4"/>
      <c r="F32" s="4"/>
      <c r="G32" s="58">
        <v>217.675</v>
      </c>
      <c r="H32" s="58"/>
      <c r="I32" s="63"/>
      <c r="J32" s="58">
        <f t="shared" si="3"/>
        <v>217.675</v>
      </c>
      <c r="K32" s="58">
        <f>IFERROR(VLOOKUP(B32,'[1]bajada sap'!$B:$F,5,0),0)</f>
        <v>217.675</v>
      </c>
      <c r="L32" s="58">
        <f t="shared" si="2"/>
        <v>0</v>
      </c>
    </row>
    <row r="33" ht="15.75" customHeight="1" spans="1:16">
      <c r="A33" s="29">
        <f t="shared" si="0"/>
        <v>1</v>
      </c>
      <c r="B33" s="54">
        <v>40014676</v>
      </c>
      <c r="C33" s="55" t="s">
        <v>1435</v>
      </c>
      <c r="D33" s="56" t="s">
        <v>92</v>
      </c>
      <c r="E33" s="4">
        <v>17</v>
      </c>
      <c r="F33" s="4"/>
      <c r="G33" s="64">
        <v>0.1</v>
      </c>
      <c r="H33" s="58"/>
      <c r="I33" s="63"/>
      <c r="J33" s="58">
        <f t="shared" si="3"/>
        <v>0.1</v>
      </c>
      <c r="K33" s="58">
        <v>137.172</v>
      </c>
      <c r="L33" s="58">
        <f t="shared" si="2"/>
        <v>-137.072</v>
      </c>
    </row>
    <row r="34" ht="15.75" customHeight="1" spans="1:16">
      <c r="A34" s="29">
        <f t="shared" si="0"/>
        <v>1</v>
      </c>
      <c r="B34" s="54">
        <v>40014675</v>
      </c>
      <c r="C34" s="55" t="s">
        <v>44</v>
      </c>
      <c r="D34" s="56" t="s">
        <v>80</v>
      </c>
      <c r="E34" s="4"/>
      <c r="F34" s="4"/>
      <c r="G34" s="58">
        <f>166.115+114+114+114</f>
        <v>508.115</v>
      </c>
      <c r="H34" s="63"/>
      <c r="I34" s="63">
        <f>37.44*3+34.56*6</f>
        <v>319.68</v>
      </c>
      <c r="J34" s="58">
        <f t="shared" si="3"/>
        <v>188.435</v>
      </c>
      <c r="K34" s="58">
        <f>IFERROR(VLOOKUP(B34,'[1]bajada sap'!$B:$F,5,0),0)</f>
        <v>33.115</v>
      </c>
      <c r="L34" s="58">
        <f t="shared" si="2"/>
        <v>155.32</v>
      </c>
      <c r="M34" t="s">
        <v>3085</v>
      </c>
      <c r="P34" s="62"/>
    </row>
    <row r="35" ht="15.75" customHeight="1" spans="1:16">
      <c r="A35" s="29">
        <f t="shared" si="0"/>
        <v>1</v>
      </c>
      <c r="B35" s="54">
        <v>50852311</v>
      </c>
      <c r="C35" s="55" t="s">
        <v>2598</v>
      </c>
      <c r="D35" s="56" t="s">
        <v>80</v>
      </c>
      <c r="E35" s="4"/>
      <c r="F35" s="4"/>
      <c r="G35" s="58">
        <v>48959.25</v>
      </c>
      <c r="H35" s="58"/>
      <c r="I35" s="58"/>
      <c r="J35" s="58">
        <f t="shared" si="3"/>
        <v>48959.25</v>
      </c>
      <c r="K35" s="58">
        <f>IFERROR(VLOOKUP(B35,'[1]bajada sap'!$B:$F,5,0),0)</f>
        <v>48959.25</v>
      </c>
      <c r="L35" s="58">
        <f t="shared" si="2"/>
        <v>0</v>
      </c>
    </row>
    <row r="36" ht="15.75" customHeight="1" spans="1:16">
      <c r="A36" s="29">
        <f t="shared" si="0"/>
        <v>0</v>
      </c>
      <c r="B36" s="54">
        <v>50145380</v>
      </c>
      <c r="C36" s="55" t="s">
        <v>368</v>
      </c>
      <c r="D36" s="56" t="s">
        <v>92</v>
      </c>
      <c r="E36" s="4"/>
      <c r="F36" s="57">
        <v>859</v>
      </c>
      <c r="G36" s="58">
        <v>0</v>
      </c>
      <c r="H36" s="58"/>
      <c r="I36" s="58"/>
      <c r="J36" s="58">
        <f t="shared" si="3"/>
        <v>0</v>
      </c>
      <c r="K36" s="58">
        <f>IFERROR(VLOOKUP(B36,'[1]bajada sap'!$B:$F,5,0),0)</f>
        <v>0</v>
      </c>
      <c r="L36" s="58">
        <f t="shared" si="2"/>
        <v>0</v>
      </c>
    </row>
    <row r="37" ht="15.75" customHeight="1" spans="1:16">
      <c r="A37" s="29">
        <f t="shared" si="0"/>
        <v>0</v>
      </c>
      <c r="B37" s="54">
        <v>50756651</v>
      </c>
      <c r="C37" s="55" t="s">
        <v>382</v>
      </c>
      <c r="D37" s="56" t="s">
        <v>92</v>
      </c>
      <c r="E37" s="4"/>
      <c r="F37" s="57">
        <v>9000</v>
      </c>
      <c r="G37" s="58">
        <v>0</v>
      </c>
      <c r="H37" s="58"/>
      <c r="I37" s="58"/>
      <c r="J37" s="58">
        <f t="shared" si="3"/>
        <v>0</v>
      </c>
      <c r="K37" s="58">
        <f>IFERROR(VLOOKUP(B37,'[1]bajada sap'!$B:$F,5,0),0)</f>
        <v>0</v>
      </c>
      <c r="L37" s="58">
        <f t="shared" si="2"/>
        <v>0</v>
      </c>
    </row>
    <row r="38" ht="15.75" customHeight="1" spans="1:16">
      <c r="A38" s="29">
        <f t="shared" si="0"/>
        <v>0</v>
      </c>
      <c r="B38" s="54">
        <v>50483023</v>
      </c>
      <c r="C38" s="55" t="s">
        <v>372</v>
      </c>
      <c r="D38" s="56" t="s">
        <v>92</v>
      </c>
      <c r="E38" s="4"/>
      <c r="F38" s="57">
        <v>42</v>
      </c>
      <c r="G38" s="58">
        <v>0</v>
      </c>
      <c r="H38" s="58"/>
      <c r="I38" s="58"/>
      <c r="J38" s="58">
        <f t="shared" si="3"/>
        <v>0</v>
      </c>
      <c r="K38" s="58">
        <f>IFERROR(VLOOKUP(B38,'[1]bajada sap'!$B:$F,5,0),0)</f>
        <v>0</v>
      </c>
      <c r="L38" s="58">
        <f t="shared" si="2"/>
        <v>0</v>
      </c>
    </row>
    <row r="39" ht="15.75" customHeight="1" spans="1:16">
      <c r="A39" s="29">
        <f t="shared" si="0"/>
        <v>0</v>
      </c>
      <c r="B39" s="54">
        <v>50482948</v>
      </c>
      <c r="C39" s="55" t="s">
        <v>378</v>
      </c>
      <c r="D39" s="56" t="s">
        <v>92</v>
      </c>
      <c r="E39" s="4"/>
      <c r="F39" s="57">
        <v>12000</v>
      </c>
      <c r="G39" s="58">
        <v>0</v>
      </c>
      <c r="H39" s="58"/>
      <c r="I39" s="58"/>
      <c r="J39" s="58">
        <f t="shared" si="3"/>
        <v>0</v>
      </c>
      <c r="K39" s="58">
        <f>IFERROR(VLOOKUP(B39,'[1]bajada sap'!$B:$F,5,0),0)</f>
        <v>0</v>
      </c>
      <c r="L39" s="58">
        <f t="shared" si="2"/>
        <v>0</v>
      </c>
    </row>
    <row r="40" ht="15.75" customHeight="1" spans="1:16">
      <c r="A40" s="29">
        <f t="shared" si="0"/>
        <v>0</v>
      </c>
      <c r="B40" s="54">
        <v>50482947</v>
      </c>
      <c r="C40" s="55" t="s">
        <v>377</v>
      </c>
      <c r="D40" s="56" t="s">
        <v>92</v>
      </c>
      <c r="E40" s="4"/>
      <c r="F40" s="57">
        <v>10404</v>
      </c>
      <c r="G40" s="58">
        <v>0</v>
      </c>
      <c r="H40" s="58"/>
      <c r="I40" s="58"/>
      <c r="J40" s="58">
        <f t="shared" si="3"/>
        <v>0</v>
      </c>
      <c r="K40" s="58">
        <f>IFERROR(VLOOKUP(B40,'[1]bajada sap'!$B:$F,5,0),0)</f>
        <v>0</v>
      </c>
      <c r="L40" s="58">
        <f t="shared" si="2"/>
        <v>0</v>
      </c>
    </row>
    <row r="41" ht="15.75" customHeight="1" spans="1:16">
      <c r="A41" s="29">
        <f t="shared" si="0"/>
        <v>0</v>
      </c>
      <c r="B41" s="54">
        <v>50482949</v>
      </c>
      <c r="C41" s="55" t="s">
        <v>379</v>
      </c>
      <c r="D41" s="56" t="s">
        <v>92</v>
      </c>
      <c r="E41" s="4"/>
      <c r="F41" s="57">
        <v>12600</v>
      </c>
      <c r="G41" s="58">
        <v>0</v>
      </c>
      <c r="H41" s="58"/>
      <c r="I41" s="58"/>
      <c r="J41" s="58">
        <f t="shared" si="3"/>
        <v>0</v>
      </c>
      <c r="K41" s="58">
        <f>IFERROR(VLOOKUP(B41,'[1]bajada sap'!$B:$F,5,0),0)</f>
        <v>0</v>
      </c>
      <c r="L41" s="58">
        <f t="shared" si="2"/>
        <v>0</v>
      </c>
    </row>
    <row r="42" ht="15.75" customHeight="1" spans="1:16">
      <c r="A42" s="29">
        <f t="shared" si="0"/>
        <v>0</v>
      </c>
      <c r="B42" s="54">
        <v>50484810</v>
      </c>
      <c r="C42" s="55" t="s">
        <v>380</v>
      </c>
      <c r="D42" s="56" t="s">
        <v>92</v>
      </c>
      <c r="E42" s="4"/>
      <c r="F42" s="57">
        <v>12600</v>
      </c>
      <c r="G42" s="58">
        <v>0</v>
      </c>
      <c r="H42" s="58"/>
      <c r="I42" s="58"/>
      <c r="J42" s="58">
        <f t="shared" si="3"/>
        <v>0</v>
      </c>
      <c r="K42" s="58">
        <f>IFERROR(VLOOKUP(B42,'[1]bajada sap'!$B:$F,5,0),0)</f>
        <v>0</v>
      </c>
      <c r="L42" s="58">
        <f t="shared" si="2"/>
        <v>0</v>
      </c>
    </row>
    <row r="43" ht="15.75" customHeight="1" spans="1:16">
      <c r="A43" s="29">
        <f t="shared" si="0"/>
        <v>0</v>
      </c>
      <c r="B43" s="54">
        <v>50598322</v>
      </c>
      <c r="C43" s="55" t="s">
        <v>381</v>
      </c>
      <c r="D43" s="56" t="s">
        <v>92</v>
      </c>
      <c r="E43" s="4"/>
      <c r="F43" s="57">
        <v>12600</v>
      </c>
      <c r="G43" s="58">
        <v>0</v>
      </c>
      <c r="H43" s="58"/>
      <c r="I43" s="58"/>
      <c r="J43" s="58">
        <f t="shared" si="3"/>
        <v>0</v>
      </c>
      <c r="K43" s="58">
        <f>IFERROR(VLOOKUP(B43,'[1]bajada sap'!$B:$F,5,0),0)</f>
        <v>0</v>
      </c>
      <c r="L43" s="58">
        <f t="shared" si="2"/>
        <v>0</v>
      </c>
    </row>
    <row r="44" ht="15.75" customHeight="1" spans="1:16">
      <c r="A44" s="29">
        <f t="shared" si="0"/>
        <v>0</v>
      </c>
      <c r="B44" s="54">
        <v>50663978</v>
      </c>
      <c r="C44" s="55" t="s">
        <v>376</v>
      </c>
      <c r="D44" s="56" t="s">
        <v>92</v>
      </c>
      <c r="E44" s="4"/>
      <c r="F44" s="57">
        <v>573</v>
      </c>
      <c r="G44" s="58">
        <v>0</v>
      </c>
      <c r="H44" s="58"/>
      <c r="I44" s="58"/>
      <c r="J44" s="58">
        <f t="shared" si="3"/>
        <v>0</v>
      </c>
      <c r="K44" s="58">
        <f>IFERROR(VLOOKUP(B44,'[1]bajada sap'!$B:$F,5,0),0)</f>
        <v>0</v>
      </c>
      <c r="L44" s="58">
        <f t="shared" si="2"/>
        <v>0</v>
      </c>
    </row>
    <row r="45" ht="15.75" customHeight="1" spans="1:16">
      <c r="A45" s="29">
        <f t="shared" si="0"/>
        <v>1</v>
      </c>
      <c r="B45" s="54">
        <v>50271805</v>
      </c>
      <c r="C45" s="55" t="s">
        <v>2452</v>
      </c>
      <c r="D45" s="56" t="s">
        <v>92</v>
      </c>
      <c r="E45" s="4"/>
      <c r="F45" s="4"/>
      <c r="G45" s="58"/>
      <c r="H45" s="58"/>
      <c r="I45" s="58"/>
      <c r="J45" s="58">
        <f t="shared" si="3"/>
        <v>0</v>
      </c>
      <c r="K45" s="58">
        <f>IFERROR(VLOOKUP(B45,'[1]bajada sap'!$B:$F,5,0),0)</f>
        <v>70500</v>
      </c>
      <c r="L45" s="58">
        <f t="shared" si="2"/>
        <v>-70500</v>
      </c>
    </row>
    <row r="46" ht="15.75" customHeight="1" spans="1:16">
      <c r="A46" s="29">
        <f t="shared" si="0"/>
        <v>0</v>
      </c>
      <c r="B46" s="54">
        <v>50766060</v>
      </c>
      <c r="C46" s="55" t="s">
        <v>627</v>
      </c>
      <c r="D46" s="56" t="s">
        <v>92</v>
      </c>
      <c r="E46" s="4"/>
      <c r="F46" s="4"/>
      <c r="G46" s="58">
        <v>0</v>
      </c>
      <c r="H46" s="58"/>
      <c r="I46" s="58"/>
      <c r="J46" s="58">
        <f t="shared" si="3"/>
        <v>0</v>
      </c>
      <c r="K46" s="58">
        <f>IFERROR(VLOOKUP(B46,'[1]bajada sap'!$B:$F,5,0),0)</f>
        <v>0</v>
      </c>
      <c r="L46" s="58">
        <f t="shared" si="2"/>
        <v>0</v>
      </c>
    </row>
    <row r="47" ht="15.75" customHeight="1" spans="1:16">
      <c r="A47" s="29">
        <f t="shared" si="0"/>
        <v>0</v>
      </c>
      <c r="B47" s="54">
        <v>50534881</v>
      </c>
      <c r="C47" s="55" t="s">
        <v>227</v>
      </c>
      <c r="D47" s="56" t="s">
        <v>92</v>
      </c>
      <c r="E47" s="4">
        <v>42</v>
      </c>
      <c r="F47" s="57">
        <v>9000</v>
      </c>
      <c r="G47" s="58">
        <v>0</v>
      </c>
      <c r="H47" s="58"/>
      <c r="I47" s="58"/>
      <c r="J47" s="58">
        <f t="shared" si="3"/>
        <v>0</v>
      </c>
      <c r="K47" s="58">
        <f>IFERROR(VLOOKUP(B47,'[1]bajada sap'!$B:$F,5,0),0)</f>
        <v>0</v>
      </c>
      <c r="L47" s="58">
        <f t="shared" si="2"/>
        <v>0</v>
      </c>
    </row>
    <row r="48" ht="15.75" customHeight="1" spans="1:16">
      <c r="A48" s="29">
        <f t="shared" si="0"/>
        <v>0</v>
      </c>
      <c r="B48" s="54">
        <v>50550702</v>
      </c>
      <c r="C48" s="55" t="s">
        <v>375</v>
      </c>
      <c r="D48" s="56" t="s">
        <v>92</v>
      </c>
      <c r="E48" s="4"/>
      <c r="F48" s="57">
        <v>2940</v>
      </c>
      <c r="G48" s="58">
        <v>0</v>
      </c>
      <c r="H48" s="58"/>
      <c r="I48" s="58"/>
      <c r="J48" s="58">
        <f t="shared" si="3"/>
        <v>0</v>
      </c>
      <c r="K48" s="58">
        <f>IFERROR(VLOOKUP(B48,'[1]bajada sap'!$B:$F,5,0),0)</f>
        <v>0</v>
      </c>
      <c r="L48" s="58">
        <f t="shared" si="2"/>
        <v>0</v>
      </c>
    </row>
    <row r="49" ht="15.75" customHeight="1" spans="1:12">
      <c r="A49" s="29">
        <f t="shared" si="0"/>
        <v>0</v>
      </c>
      <c r="B49" s="54">
        <v>50280361</v>
      </c>
      <c r="C49" s="55" t="s">
        <v>340</v>
      </c>
      <c r="D49" s="56" t="s">
        <v>92</v>
      </c>
      <c r="E49" s="4"/>
      <c r="F49" s="57">
        <v>1500</v>
      </c>
      <c r="G49" s="58">
        <v>0</v>
      </c>
      <c r="H49" s="58"/>
      <c r="I49" s="58"/>
      <c r="J49" s="58">
        <f t="shared" si="3"/>
        <v>0</v>
      </c>
      <c r="K49" s="58">
        <f>IFERROR(VLOOKUP(B49,'[1]bajada sap'!$B:$F,5,0),0)</f>
        <v>0</v>
      </c>
      <c r="L49" s="58">
        <f t="shared" si="2"/>
        <v>0</v>
      </c>
    </row>
    <row r="50" ht="15.75" customHeight="1" spans="1:12">
      <c r="A50" s="29">
        <f t="shared" si="0"/>
        <v>0</v>
      </c>
      <c r="B50" s="54">
        <v>50144959</v>
      </c>
      <c r="C50" s="55" t="s">
        <v>346</v>
      </c>
      <c r="D50" s="56" t="s">
        <v>92</v>
      </c>
      <c r="E50" s="4"/>
      <c r="F50" s="57">
        <v>1000</v>
      </c>
      <c r="G50" s="58">
        <v>0</v>
      </c>
      <c r="H50" s="58"/>
      <c r="I50" s="58"/>
      <c r="J50" s="58">
        <f t="shared" si="3"/>
        <v>0</v>
      </c>
      <c r="K50" s="58">
        <f>IFERROR(VLOOKUP(B50,'[1]bajada sap'!$B:$F,5,0),0)</f>
        <v>0</v>
      </c>
      <c r="L50" s="58">
        <f t="shared" si="2"/>
        <v>0</v>
      </c>
    </row>
    <row r="51" ht="15.75" customHeight="1" spans="1:12">
      <c r="A51" s="29">
        <f t="shared" si="0"/>
        <v>1</v>
      </c>
      <c r="B51" s="54">
        <v>50819323</v>
      </c>
      <c r="C51" s="55" t="s">
        <v>40</v>
      </c>
      <c r="D51" s="56" t="s">
        <v>80</v>
      </c>
      <c r="E51" s="4"/>
      <c r="F51" s="4"/>
      <c r="G51" s="58"/>
      <c r="H51" s="58"/>
      <c r="I51" s="58"/>
      <c r="J51" s="58">
        <f t="shared" si="3"/>
        <v>0</v>
      </c>
      <c r="K51" s="58">
        <f>IFERROR(VLOOKUP(B51,'[1]bajada sap'!$B:$F,5,0),0)</f>
        <v>95.4</v>
      </c>
      <c r="L51" s="58">
        <f t="shared" si="2"/>
        <v>-95.4</v>
      </c>
    </row>
    <row r="52" ht="15.75" customHeight="1" spans="1:12">
      <c r="A52" s="29">
        <f t="shared" si="0"/>
        <v>1</v>
      </c>
      <c r="B52" s="54">
        <v>50852597</v>
      </c>
      <c r="C52" s="55" t="s">
        <v>2703</v>
      </c>
      <c r="D52" s="56" t="s">
        <v>1248</v>
      </c>
      <c r="E52" s="4"/>
      <c r="F52" s="4"/>
      <c r="G52" s="58"/>
      <c r="H52" s="58"/>
      <c r="I52" s="58"/>
      <c r="J52" s="58">
        <f t="shared" si="3"/>
        <v>0</v>
      </c>
      <c r="K52" s="58">
        <f>IFERROR(VLOOKUP(B52,'[1]bajada sap'!$B:$F,5,0),0)</f>
        <v>145800</v>
      </c>
      <c r="L52" s="58">
        <f t="shared" si="2"/>
        <v>-145800</v>
      </c>
    </row>
    <row r="53" ht="15.75" customHeight="1" spans="1:12">
      <c r="A53" s="29">
        <f t="shared" si="0"/>
        <v>1</v>
      </c>
      <c r="B53" s="54">
        <v>50515034</v>
      </c>
      <c r="C53" s="55" t="s">
        <v>41</v>
      </c>
      <c r="D53" s="56" t="s">
        <v>80</v>
      </c>
      <c r="E53" s="4">
        <v>50</v>
      </c>
      <c r="F53" s="4">
        <v>32.4</v>
      </c>
      <c r="G53" s="58"/>
      <c r="H53" s="58"/>
      <c r="I53" s="58"/>
      <c r="J53" s="58">
        <f t="shared" si="3"/>
        <v>0</v>
      </c>
      <c r="K53" s="58">
        <f>IFERROR(VLOOKUP(B53,'[1]bajada sap'!$B:$F,5,0),0)</f>
        <v>172.8</v>
      </c>
      <c r="L53" s="58">
        <f t="shared" si="2"/>
        <v>-172.8</v>
      </c>
    </row>
    <row r="54" ht="15.75" customHeight="1" spans="1:12">
      <c r="A54" s="29">
        <f t="shared" si="0"/>
        <v>0</v>
      </c>
      <c r="B54" s="54">
        <v>50834669</v>
      </c>
      <c r="C54" s="55" t="s">
        <v>1668</v>
      </c>
      <c r="D54" s="56" t="s">
        <v>92</v>
      </c>
      <c r="E54" s="4"/>
      <c r="F54" s="4"/>
      <c r="G54" s="58">
        <v>0</v>
      </c>
      <c r="H54" s="58"/>
      <c r="I54" s="58"/>
      <c r="J54" s="58">
        <f t="shared" si="3"/>
        <v>0</v>
      </c>
      <c r="K54" s="58">
        <f>IFERROR(VLOOKUP(B54,'[1]bajada sap'!$B:$F,5,0),0)</f>
        <v>0</v>
      </c>
      <c r="L54" s="58">
        <f t="shared" si="2"/>
        <v>0</v>
      </c>
    </row>
    <row r="55" ht="15.75" customHeight="1" spans="1:12">
      <c r="A55" s="29">
        <f t="shared" si="0"/>
        <v>0</v>
      </c>
      <c r="B55" s="54">
        <v>50446609</v>
      </c>
      <c r="C55" s="55" t="s">
        <v>501</v>
      </c>
      <c r="D55" s="56" t="s">
        <v>92</v>
      </c>
      <c r="E55" s="4"/>
      <c r="F55" s="57">
        <v>1680</v>
      </c>
      <c r="G55" s="58">
        <v>0</v>
      </c>
      <c r="H55" s="58"/>
      <c r="I55" s="58"/>
      <c r="J55" s="58">
        <f t="shared" si="3"/>
        <v>0</v>
      </c>
      <c r="K55" s="58">
        <f>IFERROR(VLOOKUP(B55,'[1]bajada sap'!$B:$F,5,0),0)</f>
        <v>0</v>
      </c>
      <c r="L55" s="58">
        <f t="shared" si="2"/>
        <v>0</v>
      </c>
    </row>
    <row r="56" ht="15.75" customHeight="1" spans="1:12">
      <c r="A56" s="29">
        <f t="shared" si="0"/>
        <v>0</v>
      </c>
      <c r="B56" s="54">
        <v>50597773</v>
      </c>
      <c r="C56" s="55" t="s">
        <v>1611</v>
      </c>
      <c r="D56" s="56" t="s">
        <v>92</v>
      </c>
      <c r="E56" s="4">
        <v>23</v>
      </c>
      <c r="F56" s="4">
        <v>1200</v>
      </c>
      <c r="G56" s="58">
        <v>0</v>
      </c>
      <c r="H56" s="58"/>
      <c r="I56" s="58"/>
      <c r="J56" s="58">
        <f t="shared" si="3"/>
        <v>0</v>
      </c>
      <c r="K56" s="58">
        <f>IFERROR(VLOOKUP(B56,'[1]bajada sap'!$B:$F,5,0),0)</f>
        <v>0</v>
      </c>
      <c r="L56" s="58">
        <f t="shared" si="2"/>
        <v>0</v>
      </c>
    </row>
    <row r="57" ht="15.75" customHeight="1" spans="1:12">
      <c r="A57" s="29">
        <f t="shared" si="0"/>
        <v>1</v>
      </c>
      <c r="B57" s="54">
        <v>50843627</v>
      </c>
      <c r="C57" s="55" t="s">
        <v>2472</v>
      </c>
      <c r="D57" s="56" t="s">
        <v>92</v>
      </c>
      <c r="E57" s="4"/>
      <c r="F57" s="4"/>
      <c r="G57" s="58">
        <v>120960</v>
      </c>
      <c r="H57" s="58"/>
      <c r="I57" s="58"/>
      <c r="J57" s="58">
        <f t="shared" si="3"/>
        <v>120960</v>
      </c>
      <c r="K57" s="58">
        <f>IFERROR(VLOOKUP(B57,'[1]bajada sap'!$B:$F,5,0),0)</f>
        <v>161280</v>
      </c>
      <c r="L57" s="58">
        <f t="shared" si="2"/>
        <v>-40320</v>
      </c>
    </row>
    <row r="58" ht="15.75" customHeight="1" spans="1:12">
      <c r="A58" s="29">
        <f t="shared" si="0"/>
        <v>1</v>
      </c>
      <c r="B58" s="54">
        <v>50142424</v>
      </c>
      <c r="C58" s="55" t="s">
        <v>33</v>
      </c>
      <c r="D58" s="56" t="s">
        <v>82</v>
      </c>
      <c r="E58" s="4">
        <v>4</v>
      </c>
      <c r="F58" s="4">
        <v>1000</v>
      </c>
      <c r="G58" s="58">
        <v>5700</v>
      </c>
      <c r="H58" s="58"/>
      <c r="I58" s="58"/>
      <c r="J58" s="58">
        <f t="shared" si="3"/>
        <v>5700</v>
      </c>
      <c r="K58" s="58">
        <f>IFERROR(VLOOKUP(B58,'[1]bajada sap'!$B:$F,5,0),0)</f>
        <v>5700</v>
      </c>
      <c r="L58" s="58">
        <f t="shared" si="2"/>
        <v>0</v>
      </c>
    </row>
    <row r="59" ht="15.75" customHeight="1" spans="1:12">
      <c r="A59" s="29">
        <f t="shared" si="0"/>
        <v>0</v>
      </c>
      <c r="B59" s="54">
        <v>50515254</v>
      </c>
      <c r="C59" s="55" t="s">
        <v>913</v>
      </c>
      <c r="D59" s="56" t="s">
        <v>92</v>
      </c>
      <c r="E59" s="4"/>
      <c r="F59" s="4"/>
      <c r="G59" s="58">
        <v>0</v>
      </c>
      <c r="H59" s="58"/>
      <c r="I59" s="58"/>
      <c r="J59" s="58">
        <f t="shared" si="3"/>
        <v>0</v>
      </c>
      <c r="K59" s="58">
        <f>IFERROR(VLOOKUP(B59,'[1]bajada sap'!$B:$F,5,0),0)</f>
        <v>0</v>
      </c>
      <c r="L59" s="58">
        <f t="shared" si="2"/>
        <v>0</v>
      </c>
    </row>
    <row r="60" ht="15.75" customHeight="1" spans="1:12">
      <c r="A60" s="29">
        <f t="shared" si="0"/>
        <v>0</v>
      </c>
      <c r="B60" s="54">
        <v>50142329</v>
      </c>
      <c r="C60" s="55" t="s">
        <v>1073</v>
      </c>
      <c r="D60" s="56" t="s">
        <v>1949</v>
      </c>
      <c r="E60" s="4"/>
      <c r="F60" s="4"/>
      <c r="G60" s="58">
        <v>0</v>
      </c>
      <c r="H60" s="58"/>
      <c r="I60" s="58"/>
      <c r="J60" s="58">
        <f t="shared" si="3"/>
        <v>0</v>
      </c>
      <c r="K60" s="58">
        <f>IFERROR(VLOOKUP(B60,'[1]bajada sap'!$B:$F,5,0),0)</f>
        <v>0</v>
      </c>
      <c r="L60" s="58">
        <f t="shared" si="2"/>
        <v>0</v>
      </c>
    </row>
    <row r="61" ht="15.75" customHeight="1" spans="1:12">
      <c r="A61" s="29">
        <f t="shared" si="0"/>
        <v>1</v>
      </c>
      <c r="B61" s="54">
        <v>50142328</v>
      </c>
      <c r="C61" s="55" t="s">
        <v>1591</v>
      </c>
      <c r="D61" s="56" t="s">
        <v>82</v>
      </c>
      <c r="E61" s="4">
        <v>3</v>
      </c>
      <c r="F61" s="4">
        <v>1000</v>
      </c>
      <c r="G61" s="58">
        <v>6250</v>
      </c>
      <c r="H61" s="58"/>
      <c r="I61" s="58"/>
      <c r="J61" s="58">
        <f t="shared" si="3"/>
        <v>6250</v>
      </c>
      <c r="K61" s="58">
        <v>6250</v>
      </c>
      <c r="L61" s="58">
        <f t="shared" si="2"/>
        <v>0</v>
      </c>
    </row>
    <row r="62" ht="15.75" customHeight="1" spans="1:12">
      <c r="A62" s="29">
        <f t="shared" si="0"/>
        <v>0</v>
      </c>
      <c r="B62" s="54">
        <v>50142262</v>
      </c>
      <c r="C62" s="55" t="s">
        <v>2654</v>
      </c>
      <c r="D62" s="56" t="s">
        <v>82</v>
      </c>
      <c r="E62" s="4"/>
      <c r="F62" s="4"/>
      <c r="G62" s="58">
        <v>0</v>
      </c>
      <c r="H62" s="58"/>
      <c r="I62" s="58"/>
      <c r="J62" s="58">
        <f t="shared" si="3"/>
        <v>0</v>
      </c>
      <c r="K62" s="58">
        <f>IFERROR(VLOOKUP(B62,'[1]bajada sap'!$B:$F,5,0),0)</f>
        <v>0</v>
      </c>
      <c r="L62" s="58">
        <f t="shared" si="2"/>
        <v>0</v>
      </c>
    </row>
    <row r="63" ht="15.75" customHeight="1" spans="1:12">
      <c r="A63" s="29">
        <f t="shared" si="0"/>
        <v>0</v>
      </c>
      <c r="B63" s="54">
        <v>50142137</v>
      </c>
      <c r="C63" s="55" t="s">
        <v>840</v>
      </c>
      <c r="D63" s="56" t="s">
        <v>82</v>
      </c>
      <c r="E63" s="4">
        <v>3</v>
      </c>
      <c r="F63" s="4">
        <v>1200</v>
      </c>
      <c r="G63" s="58">
        <v>0</v>
      </c>
      <c r="H63" s="58"/>
      <c r="I63" s="58"/>
      <c r="J63" s="58">
        <f t="shared" si="3"/>
        <v>0</v>
      </c>
      <c r="K63" s="58">
        <f>IFERROR(VLOOKUP(B63,'[1]bajada sap'!$B:$F,5,0),0)</f>
        <v>0</v>
      </c>
      <c r="L63" s="58">
        <f t="shared" si="2"/>
        <v>0</v>
      </c>
    </row>
    <row r="64" ht="15.75" customHeight="1" spans="1:12">
      <c r="A64" s="29">
        <f t="shared" si="0"/>
        <v>0</v>
      </c>
      <c r="B64" s="54">
        <v>40015054</v>
      </c>
      <c r="C64" s="55" t="s">
        <v>36</v>
      </c>
      <c r="D64" s="56" t="s">
        <v>80</v>
      </c>
      <c r="E64" s="4"/>
      <c r="F64" s="4"/>
      <c r="G64" s="58"/>
      <c r="H64" s="58"/>
      <c r="I64" s="58"/>
      <c r="J64" s="58">
        <f t="shared" si="3"/>
        <v>0</v>
      </c>
      <c r="K64" s="58">
        <f>IFERROR(VLOOKUP(B64,'[1]bajada sap'!$B:$F,5,0),0)</f>
        <v>0</v>
      </c>
      <c r="L64" s="58">
        <f t="shared" si="2"/>
        <v>0</v>
      </c>
    </row>
    <row r="65" ht="15.75" customHeight="1" spans="1:13">
      <c r="A65" s="29">
        <f t="shared" si="0"/>
        <v>0</v>
      </c>
      <c r="B65" s="54">
        <v>50551884</v>
      </c>
      <c r="C65" s="55" t="s">
        <v>360</v>
      </c>
      <c r="D65" s="56" t="s">
        <v>92</v>
      </c>
      <c r="E65" s="4"/>
      <c r="F65" s="57">
        <v>1122000</v>
      </c>
      <c r="G65" s="58"/>
      <c r="H65" s="58"/>
      <c r="I65" s="58"/>
      <c r="J65" s="58">
        <f t="shared" si="3"/>
        <v>0</v>
      </c>
      <c r="K65" s="58">
        <f>IFERROR(VLOOKUP(B65,'[1]bajada sap'!$B:$F,5,0),0)</f>
        <v>0</v>
      </c>
      <c r="L65" s="58">
        <f t="shared" si="2"/>
        <v>0</v>
      </c>
    </row>
    <row r="66" ht="15.75" customHeight="1" spans="1:13">
      <c r="A66" s="29">
        <f t="shared" si="0"/>
        <v>0</v>
      </c>
      <c r="B66" s="54">
        <v>40014086</v>
      </c>
      <c r="C66" s="55" t="s">
        <v>1219</v>
      </c>
      <c r="D66" s="56" t="s">
        <v>80</v>
      </c>
      <c r="E66" s="4"/>
      <c r="F66" s="4"/>
      <c r="G66" s="58">
        <v>0</v>
      </c>
      <c r="H66" s="58"/>
      <c r="I66" s="58"/>
      <c r="J66" s="58">
        <f t="shared" si="3"/>
        <v>0</v>
      </c>
      <c r="K66" s="58">
        <f>IFERROR(VLOOKUP(B66,'[1]bajada sap'!$B:$F,5,0),0)</f>
        <v>0</v>
      </c>
      <c r="L66" s="58">
        <f t="shared" si="2"/>
        <v>0</v>
      </c>
    </row>
    <row r="67" ht="15.75" customHeight="1" spans="1:13">
      <c r="A67" s="29">
        <f t="shared" si="0"/>
        <v>0</v>
      </c>
      <c r="B67" s="54">
        <v>40014087</v>
      </c>
      <c r="C67" s="55" t="s">
        <v>1211</v>
      </c>
      <c r="D67" s="56" t="s">
        <v>80</v>
      </c>
      <c r="E67" s="4"/>
      <c r="F67" s="4"/>
      <c r="G67" s="58">
        <v>0</v>
      </c>
      <c r="H67" s="58"/>
      <c r="I67" s="58"/>
      <c r="J67" s="58">
        <f t="shared" si="3"/>
        <v>0</v>
      </c>
      <c r="K67" s="58">
        <f>IFERROR(VLOOKUP(B67,'[1]bajada sap'!$B:$F,5,0),0)</f>
        <v>0</v>
      </c>
      <c r="L67" s="58">
        <f t="shared" si="2"/>
        <v>0</v>
      </c>
    </row>
    <row r="68" ht="15.75" customHeight="1" spans="1:13">
      <c r="A68" s="29">
        <f t="shared" si="0"/>
        <v>0</v>
      </c>
      <c r="B68" s="54">
        <v>50805963</v>
      </c>
      <c r="C68" s="55" t="s">
        <v>914</v>
      </c>
      <c r="D68" s="56" t="s">
        <v>80</v>
      </c>
      <c r="E68" s="4"/>
      <c r="F68" s="4">
        <v>1240</v>
      </c>
      <c r="G68" s="58">
        <v>0</v>
      </c>
      <c r="H68" s="58"/>
      <c r="I68" s="58"/>
      <c r="J68" s="58">
        <f t="shared" si="3"/>
        <v>0</v>
      </c>
      <c r="K68" s="58">
        <f>IFERROR(VLOOKUP(B68,'[1]bajada sap'!$B:$F,5,0),0)</f>
        <v>0</v>
      </c>
      <c r="L68" s="58">
        <f t="shared" si="2"/>
        <v>0</v>
      </c>
    </row>
    <row r="69" ht="15.75" customHeight="1" spans="1:13">
      <c r="A69" s="29">
        <f t="shared" si="0"/>
        <v>1</v>
      </c>
      <c r="B69" s="54">
        <v>40015052</v>
      </c>
      <c r="C69" s="55" t="s">
        <v>2744</v>
      </c>
      <c r="D69" s="56" t="s">
        <v>80</v>
      </c>
      <c r="E69" s="4"/>
      <c r="F69" s="4"/>
      <c r="G69" s="58">
        <v>13440</v>
      </c>
      <c r="H69" s="58"/>
      <c r="I69" s="65"/>
      <c r="J69" s="58">
        <f t="shared" si="3"/>
        <v>13440</v>
      </c>
      <c r="K69" s="58">
        <f>IFERROR(VLOOKUP(B69,'[1]bajada sap'!$B:$F,5,0),0)</f>
        <v>10850</v>
      </c>
      <c r="L69" s="58">
        <f t="shared" si="2"/>
        <v>2590</v>
      </c>
    </row>
    <row r="70" ht="15.75" customHeight="1" spans="1:13">
      <c r="A70" s="29">
        <f t="shared" si="0"/>
        <v>0</v>
      </c>
      <c r="B70" s="54">
        <v>40014000</v>
      </c>
      <c r="C70" s="55" t="s">
        <v>1222</v>
      </c>
      <c r="D70" s="56" t="s">
        <v>80</v>
      </c>
      <c r="E70" s="4"/>
      <c r="F70" s="4"/>
      <c r="G70" s="58">
        <v>0</v>
      </c>
      <c r="H70" s="58"/>
      <c r="I70" s="58"/>
      <c r="J70" s="58">
        <f t="shared" si="3"/>
        <v>0</v>
      </c>
      <c r="K70" s="58">
        <f>IFERROR(VLOOKUP(B70,'[1]bajada sap'!$B:$F,5,0),0)</f>
        <v>0</v>
      </c>
      <c r="L70" s="58">
        <f t="shared" si="2"/>
        <v>0</v>
      </c>
    </row>
    <row r="71" ht="15.75" customHeight="1" spans="1:13">
      <c r="A71" s="29">
        <f t="shared" si="0"/>
        <v>0</v>
      </c>
      <c r="B71" s="54">
        <v>40013999</v>
      </c>
      <c r="C71" s="55" t="s">
        <v>1214</v>
      </c>
      <c r="D71" s="56" t="s">
        <v>80</v>
      </c>
      <c r="E71" s="4"/>
      <c r="F71" s="4"/>
      <c r="G71" s="58">
        <v>0</v>
      </c>
      <c r="H71" s="58"/>
      <c r="I71" s="58"/>
      <c r="J71" s="58">
        <f t="shared" si="3"/>
        <v>0</v>
      </c>
      <c r="K71" s="58">
        <f>IFERROR(VLOOKUP(B71,'[1]bajada sap'!$B:$F,5,0),0)</f>
        <v>0</v>
      </c>
      <c r="L71" s="58">
        <f t="shared" si="2"/>
        <v>0</v>
      </c>
    </row>
    <row r="72" ht="15.75" customHeight="1" spans="1:13">
      <c r="A72" s="29">
        <f t="shared" si="0"/>
        <v>0</v>
      </c>
      <c r="B72" s="54">
        <v>50145378</v>
      </c>
      <c r="C72" s="55" t="s">
        <v>311</v>
      </c>
      <c r="D72" s="56" t="s">
        <v>92</v>
      </c>
      <c r="E72" s="4"/>
      <c r="F72" s="57">
        <v>48000</v>
      </c>
      <c r="G72" s="58">
        <v>0</v>
      </c>
      <c r="H72" s="58"/>
      <c r="I72" s="58"/>
      <c r="J72" s="58">
        <f t="shared" si="3"/>
        <v>0</v>
      </c>
      <c r="K72" s="58">
        <f>IFERROR(VLOOKUP(B72,'[1]bajada sap'!$B:$F,5,0),0)</f>
        <v>0</v>
      </c>
      <c r="L72" s="58">
        <f t="shared" si="2"/>
        <v>0</v>
      </c>
    </row>
    <row r="73" ht="15.75" customHeight="1" spans="1:13">
      <c r="A73" s="29">
        <f t="shared" ref="A73:A136" si="4">+IF(OR(G73&gt;0,J73&gt;0,K73&gt;0),1,0)</f>
        <v>0</v>
      </c>
      <c r="B73" s="54">
        <v>50495561</v>
      </c>
      <c r="C73" s="55" t="s">
        <v>2856</v>
      </c>
      <c r="D73" s="56" t="s">
        <v>92</v>
      </c>
      <c r="E73" s="4"/>
      <c r="F73" s="4"/>
      <c r="G73" s="58">
        <v>0</v>
      </c>
      <c r="H73" s="58"/>
      <c r="I73" s="58"/>
      <c r="J73" s="58">
        <f t="shared" si="3"/>
        <v>0</v>
      </c>
      <c r="K73" s="58">
        <f>IFERROR(VLOOKUP(B73,'[1]bajada sap'!$B:$F,5,0),0)</f>
        <v>0</v>
      </c>
      <c r="L73" s="58">
        <f t="shared" ref="L73:L136" si="5">J73-K73</f>
        <v>0</v>
      </c>
    </row>
    <row r="74" ht="15.75" customHeight="1" spans="1:13">
      <c r="A74" s="29">
        <f t="shared" si="4"/>
        <v>0</v>
      </c>
      <c r="B74" s="54">
        <v>50505052</v>
      </c>
      <c r="C74" s="55" t="s">
        <v>3086</v>
      </c>
      <c r="D74" s="56" t="s">
        <v>92</v>
      </c>
      <c r="E74" s="4"/>
      <c r="F74" s="4"/>
      <c r="G74" s="58">
        <v>0</v>
      </c>
      <c r="H74" s="58"/>
      <c r="I74" s="58"/>
      <c r="J74" s="58">
        <f t="shared" si="3"/>
        <v>0</v>
      </c>
      <c r="K74" s="58">
        <f>IFERROR(VLOOKUP(B74,'[1]bajada sap'!$B:$F,5,0),0)</f>
        <v>0</v>
      </c>
      <c r="L74" s="58">
        <f t="shared" si="5"/>
        <v>0</v>
      </c>
    </row>
    <row r="75" ht="15.75" customHeight="1" spans="1:13">
      <c r="A75" s="29">
        <f t="shared" si="4"/>
        <v>0</v>
      </c>
      <c r="B75" s="54">
        <v>50271800</v>
      </c>
      <c r="C75" s="55" t="s">
        <v>313</v>
      </c>
      <c r="D75" s="56" t="s">
        <v>92</v>
      </c>
      <c r="E75" s="4"/>
      <c r="F75" s="57">
        <v>48000</v>
      </c>
      <c r="G75" s="58">
        <v>0</v>
      </c>
      <c r="H75" s="58"/>
      <c r="I75" s="58"/>
      <c r="J75" s="58">
        <f t="shared" si="3"/>
        <v>0</v>
      </c>
      <c r="K75" s="58">
        <f>IFERROR(VLOOKUP(B75,'[1]bajada sap'!$B:$F,5,0),0)</f>
        <v>0</v>
      </c>
      <c r="L75" s="58">
        <f t="shared" si="5"/>
        <v>0</v>
      </c>
    </row>
    <row r="76" ht="15.75" customHeight="1" spans="1:13">
      <c r="A76" s="29">
        <f t="shared" si="4"/>
        <v>1</v>
      </c>
      <c r="B76" s="60">
        <v>50804970</v>
      </c>
      <c r="C76" s="66" t="s">
        <v>857</v>
      </c>
      <c r="D76" s="67" t="s">
        <v>962</v>
      </c>
      <c r="E76" s="4">
        <v>1</v>
      </c>
      <c r="F76" s="4">
        <v>2978000</v>
      </c>
      <c r="G76" s="58">
        <v>6644450</v>
      </c>
      <c r="H76" s="68"/>
      <c r="I76" s="58">
        <v>1564500</v>
      </c>
      <c r="J76" s="64">
        <f t="shared" si="3"/>
        <v>5079950</v>
      </c>
      <c r="K76" s="58">
        <f>IFERROR(VLOOKUP(B76,'[1]bajada sap'!$B:$F,5,0),0)</f>
        <v>1844450</v>
      </c>
      <c r="L76" s="58">
        <f t="shared" si="5"/>
        <v>3235500</v>
      </c>
    </row>
    <row r="77" ht="15.75" customHeight="1" spans="1:13">
      <c r="A77" s="29">
        <f t="shared" si="4"/>
        <v>0</v>
      </c>
      <c r="B77" s="54">
        <v>50802526</v>
      </c>
      <c r="C77" s="55" t="s">
        <v>804</v>
      </c>
      <c r="D77" s="56" t="s">
        <v>92</v>
      </c>
      <c r="E77" s="4"/>
      <c r="F77" s="4"/>
      <c r="G77" s="58">
        <v>0</v>
      </c>
      <c r="H77" s="58"/>
      <c r="I77" s="58"/>
      <c r="J77" s="58">
        <f t="shared" si="3"/>
        <v>0</v>
      </c>
      <c r="K77" s="58">
        <f>IFERROR(VLOOKUP(B77,'[1]bajada sap'!$B:$F,5,0),0)</f>
        <v>0</v>
      </c>
      <c r="L77" s="58">
        <f t="shared" si="5"/>
        <v>0</v>
      </c>
    </row>
    <row r="78" ht="15.75" customHeight="1" spans="1:13">
      <c r="A78" s="29">
        <f t="shared" si="4"/>
        <v>0</v>
      </c>
      <c r="B78" s="54">
        <v>50340257</v>
      </c>
      <c r="C78" s="55" t="s">
        <v>297</v>
      </c>
      <c r="D78" s="56" t="s">
        <v>92</v>
      </c>
      <c r="E78" s="4"/>
      <c r="F78" s="57">
        <v>110000</v>
      </c>
      <c r="G78" s="58">
        <v>0</v>
      </c>
      <c r="H78" s="58"/>
      <c r="I78" s="58"/>
      <c r="J78" s="58">
        <f t="shared" si="3"/>
        <v>0</v>
      </c>
      <c r="K78" s="58">
        <f>IFERROR(VLOOKUP(B78,'[1]bajada sap'!$B:$F,5,0),0)</f>
        <v>0</v>
      </c>
      <c r="L78" s="58">
        <f t="shared" si="5"/>
        <v>0</v>
      </c>
    </row>
    <row r="79" ht="15.75" customHeight="1" spans="1:13">
      <c r="A79" s="29">
        <f t="shared" si="4"/>
        <v>0</v>
      </c>
      <c r="B79" s="54">
        <v>50286737</v>
      </c>
      <c r="C79" s="55" t="s">
        <v>1773</v>
      </c>
      <c r="D79" s="56" t="s">
        <v>92</v>
      </c>
      <c r="E79" s="4"/>
      <c r="F79" s="4"/>
      <c r="G79" s="58">
        <v>0</v>
      </c>
      <c r="H79" s="58"/>
      <c r="I79" s="58"/>
      <c r="J79" s="58">
        <f t="shared" si="3"/>
        <v>0</v>
      </c>
      <c r="K79" s="58">
        <f>IFERROR(VLOOKUP(B79,'[1]bajada sap'!$B:$F,5,0),0)</f>
        <v>0</v>
      </c>
      <c r="L79" s="58">
        <f t="shared" si="5"/>
        <v>0</v>
      </c>
    </row>
    <row r="80" ht="15.75" customHeight="1" spans="1:13">
      <c r="A80" s="29">
        <f t="shared" si="4"/>
        <v>1</v>
      </c>
      <c r="B80" s="54">
        <v>40010086</v>
      </c>
      <c r="C80" s="55" t="s">
        <v>79</v>
      </c>
      <c r="D80" s="56" t="s">
        <v>80</v>
      </c>
      <c r="E80" s="4">
        <v>4</v>
      </c>
      <c r="F80" s="4">
        <v>3528</v>
      </c>
      <c r="G80" s="58">
        <v>14138</v>
      </c>
      <c r="H80" s="58"/>
      <c r="I80" s="58"/>
      <c r="J80" s="58">
        <f t="shared" si="3"/>
        <v>14138</v>
      </c>
      <c r="K80" s="58">
        <f>IFERROR(VLOOKUP(B80,'[1]bajada sap'!$B:$F,5,0),0)</f>
        <v>14138</v>
      </c>
      <c r="L80" s="58">
        <f t="shared" si="5"/>
        <v>0</v>
      </c>
      <c r="M80" t="s">
        <v>3087</v>
      </c>
    </row>
    <row r="81" ht="15.75" customHeight="1" spans="1:12">
      <c r="A81" s="29">
        <f t="shared" si="4"/>
        <v>0</v>
      </c>
      <c r="B81" s="54">
        <v>40011129</v>
      </c>
      <c r="C81" s="55" t="s">
        <v>79</v>
      </c>
      <c r="D81" s="56" t="s">
        <v>80</v>
      </c>
      <c r="E81" s="4"/>
      <c r="F81" s="4">
        <v>0</v>
      </c>
      <c r="G81" s="58">
        <v>0</v>
      </c>
      <c r="H81" s="58"/>
      <c r="I81" s="58"/>
      <c r="J81" s="58">
        <f t="shared" si="3"/>
        <v>0</v>
      </c>
      <c r="K81" s="58">
        <f>IFERROR(VLOOKUP(B81,'[1]bajada sap'!$B:$F,5,0),0)</f>
        <v>0</v>
      </c>
      <c r="L81" s="58">
        <f t="shared" si="5"/>
        <v>0</v>
      </c>
    </row>
    <row r="82" ht="15.75" customHeight="1" spans="1:12">
      <c r="A82" s="29">
        <f t="shared" si="4"/>
        <v>0</v>
      </c>
      <c r="B82" s="54">
        <v>50795258</v>
      </c>
      <c r="C82" s="55" t="s">
        <v>2839</v>
      </c>
      <c r="D82" s="56" t="s">
        <v>80</v>
      </c>
      <c r="E82" s="4"/>
      <c r="F82" s="57"/>
      <c r="G82" s="58">
        <v>0</v>
      </c>
      <c r="H82" s="58"/>
      <c r="I82" s="58"/>
      <c r="J82" s="58">
        <f t="shared" ref="J82:J145" si="6">+G82+H82-I82</f>
        <v>0</v>
      </c>
      <c r="K82" s="58">
        <f>IFERROR(VLOOKUP(B82,'[1]bajada sap'!$B:$F,5,0),0)</f>
        <v>0</v>
      </c>
      <c r="L82" s="58">
        <f t="shared" si="5"/>
        <v>0</v>
      </c>
    </row>
    <row r="83" ht="15.75" customHeight="1" spans="1:12">
      <c r="A83" s="29">
        <f t="shared" si="4"/>
        <v>0</v>
      </c>
      <c r="B83" s="54">
        <v>40015005</v>
      </c>
      <c r="C83" s="55" t="s">
        <v>2026</v>
      </c>
      <c r="D83" s="56" t="s">
        <v>80</v>
      </c>
      <c r="E83" s="4"/>
      <c r="F83" s="4"/>
      <c r="G83" s="58">
        <v>0</v>
      </c>
      <c r="H83" s="58"/>
      <c r="I83" s="58"/>
      <c r="J83" s="58">
        <f t="shared" si="6"/>
        <v>0</v>
      </c>
      <c r="K83" s="58">
        <f>IFERROR(VLOOKUP(B83,'[1]bajada sap'!$B:$F,5,0),0)</f>
        <v>0</v>
      </c>
      <c r="L83" s="58">
        <f t="shared" si="5"/>
        <v>0</v>
      </c>
    </row>
    <row r="84" ht="15.75" customHeight="1" spans="1:12">
      <c r="A84" s="29">
        <f t="shared" si="4"/>
        <v>0</v>
      </c>
      <c r="B84" s="54">
        <v>40015003</v>
      </c>
      <c r="C84" s="55" t="s">
        <v>2028</v>
      </c>
      <c r="D84" s="56" t="s">
        <v>80</v>
      </c>
      <c r="E84" s="4"/>
      <c r="F84" s="4"/>
      <c r="G84" s="58">
        <v>0</v>
      </c>
      <c r="H84" s="58"/>
      <c r="I84" s="58"/>
      <c r="J84" s="58">
        <f t="shared" si="6"/>
        <v>0</v>
      </c>
      <c r="K84" s="58">
        <f>IFERROR(VLOOKUP(B84,'[1]bajada sap'!$B:$F,5,0),0)</f>
        <v>0</v>
      </c>
      <c r="L84" s="58">
        <f t="shared" si="5"/>
        <v>0</v>
      </c>
    </row>
    <row r="85" ht="15.75" customHeight="1" spans="1:12">
      <c r="A85" s="29">
        <f t="shared" si="4"/>
        <v>0</v>
      </c>
      <c r="B85" s="54">
        <v>44444444</v>
      </c>
      <c r="C85" s="55" t="s">
        <v>2012</v>
      </c>
      <c r="D85" s="56" t="s">
        <v>92</v>
      </c>
      <c r="E85" s="4"/>
      <c r="F85" s="4"/>
      <c r="G85" s="58">
        <v>0</v>
      </c>
      <c r="H85" s="58"/>
      <c r="I85" s="58"/>
      <c r="J85" s="58">
        <f t="shared" si="6"/>
        <v>0</v>
      </c>
      <c r="K85" s="58">
        <f>IFERROR(VLOOKUP(B85,'[1]bajada sap'!$B:$F,5,0),0)</f>
        <v>0</v>
      </c>
      <c r="L85" s="58">
        <f t="shared" si="5"/>
        <v>0</v>
      </c>
    </row>
    <row r="86" ht="15.75" customHeight="1" spans="1:12">
      <c r="A86" s="29">
        <f t="shared" si="4"/>
        <v>0</v>
      </c>
      <c r="B86" s="54">
        <v>50795390</v>
      </c>
      <c r="C86" s="55" t="s">
        <v>2838</v>
      </c>
      <c r="D86" s="56" t="s">
        <v>80</v>
      </c>
      <c r="E86" s="4"/>
      <c r="F86" s="57"/>
      <c r="G86" s="58">
        <v>0</v>
      </c>
      <c r="H86" s="58"/>
      <c r="I86" s="58"/>
      <c r="J86" s="58">
        <f t="shared" si="6"/>
        <v>0</v>
      </c>
      <c r="K86" s="58">
        <f>IFERROR(VLOOKUP(B86,'[1]bajada sap'!$B:$F,5,0),0)</f>
        <v>0</v>
      </c>
      <c r="L86" s="58">
        <f t="shared" si="5"/>
        <v>0</v>
      </c>
    </row>
    <row r="87" ht="15.75" customHeight="1" spans="1:12">
      <c r="A87" s="29">
        <f t="shared" si="4"/>
        <v>0</v>
      </c>
      <c r="B87" s="54">
        <v>50552275</v>
      </c>
      <c r="C87" s="55" t="s">
        <v>1187</v>
      </c>
      <c r="D87" s="56" t="s">
        <v>92</v>
      </c>
      <c r="E87" s="4"/>
      <c r="F87" s="4"/>
      <c r="G87" s="58">
        <v>0</v>
      </c>
      <c r="H87" s="58"/>
      <c r="I87" s="58"/>
      <c r="J87" s="58">
        <f t="shared" si="6"/>
        <v>0</v>
      </c>
      <c r="K87" s="58">
        <f>IFERROR(VLOOKUP(B87,'[1]bajada sap'!$B:$F,5,0),0)</f>
        <v>0</v>
      </c>
      <c r="L87" s="58">
        <f t="shared" si="5"/>
        <v>0</v>
      </c>
    </row>
    <row r="88" ht="15.75" customHeight="1" spans="1:12">
      <c r="A88" s="29">
        <f t="shared" si="4"/>
        <v>0</v>
      </c>
      <c r="B88" s="54">
        <v>50417411</v>
      </c>
      <c r="C88" s="55" t="s">
        <v>300</v>
      </c>
      <c r="D88" s="56" t="s">
        <v>92</v>
      </c>
      <c r="E88" s="4"/>
      <c r="F88" s="57">
        <v>48000</v>
      </c>
      <c r="G88" s="58">
        <v>0</v>
      </c>
      <c r="H88" s="58"/>
      <c r="I88" s="58"/>
      <c r="J88" s="58">
        <f t="shared" si="6"/>
        <v>0</v>
      </c>
      <c r="K88" s="58">
        <f>IFERROR(VLOOKUP(B88,'[1]bajada sap'!$B:$F,5,0),0)</f>
        <v>0</v>
      </c>
      <c r="L88" s="58">
        <f t="shared" si="5"/>
        <v>0</v>
      </c>
    </row>
    <row r="89" ht="15.75" customHeight="1" spans="1:12">
      <c r="A89" s="29">
        <f t="shared" si="4"/>
        <v>0</v>
      </c>
      <c r="B89" s="54">
        <v>50428208</v>
      </c>
      <c r="C89" s="55" t="s">
        <v>3088</v>
      </c>
      <c r="D89" s="56" t="s">
        <v>92</v>
      </c>
      <c r="E89" s="4"/>
      <c r="F89" s="57"/>
      <c r="G89" s="58">
        <v>0</v>
      </c>
      <c r="H89" s="58"/>
      <c r="I89" s="58"/>
      <c r="J89" s="58">
        <f t="shared" si="6"/>
        <v>0</v>
      </c>
      <c r="K89" s="58">
        <f>IFERROR(VLOOKUP(B89,'[1]bajada sap'!$B:$F,5,0),0)</f>
        <v>0</v>
      </c>
      <c r="L89" s="58">
        <f t="shared" si="5"/>
        <v>0</v>
      </c>
    </row>
    <row r="90" ht="15.75" customHeight="1" spans="1:12">
      <c r="A90" s="29">
        <f t="shared" si="4"/>
        <v>0</v>
      </c>
      <c r="B90" s="54">
        <v>50429169</v>
      </c>
      <c r="C90" s="55" t="s">
        <v>295</v>
      </c>
      <c r="D90" s="56" t="s">
        <v>92</v>
      </c>
      <c r="E90" s="4"/>
      <c r="F90" s="57">
        <v>48000</v>
      </c>
      <c r="G90" s="58">
        <v>0</v>
      </c>
      <c r="H90" s="58"/>
      <c r="I90" s="58"/>
      <c r="J90" s="58">
        <f t="shared" si="6"/>
        <v>0</v>
      </c>
      <c r="K90" s="58">
        <f>IFERROR(VLOOKUP(B90,'[1]bajada sap'!$B:$F,5,0),0)</f>
        <v>0</v>
      </c>
      <c r="L90" s="58">
        <f t="shared" si="5"/>
        <v>0</v>
      </c>
    </row>
    <row r="91" ht="15.75" customHeight="1" spans="1:12">
      <c r="A91" s="29">
        <f t="shared" si="4"/>
        <v>0</v>
      </c>
      <c r="B91" s="54">
        <v>50455587</v>
      </c>
      <c r="C91" s="55" t="s">
        <v>309</v>
      </c>
      <c r="D91" s="56" t="s">
        <v>92</v>
      </c>
      <c r="E91" s="4"/>
      <c r="F91" s="57">
        <v>48000</v>
      </c>
      <c r="G91" s="58">
        <v>0</v>
      </c>
      <c r="H91" s="58"/>
      <c r="I91" s="58"/>
      <c r="J91" s="58">
        <f t="shared" si="6"/>
        <v>0</v>
      </c>
      <c r="K91" s="58">
        <f>IFERROR(VLOOKUP(B91,'[1]bajada sap'!$B:$F,5,0),0)</f>
        <v>0</v>
      </c>
      <c r="L91" s="58">
        <f t="shared" si="5"/>
        <v>0</v>
      </c>
    </row>
    <row r="92" ht="15.75" customHeight="1" spans="1:12">
      <c r="A92" s="29">
        <f t="shared" si="4"/>
        <v>0</v>
      </c>
      <c r="B92" s="54">
        <v>50455588</v>
      </c>
      <c r="C92" s="55" t="s">
        <v>260</v>
      </c>
      <c r="D92" s="56" t="s">
        <v>92</v>
      </c>
      <c r="E92" s="4"/>
      <c r="F92" s="57">
        <v>48000</v>
      </c>
      <c r="G92" s="58">
        <v>0</v>
      </c>
      <c r="H92" s="58"/>
      <c r="I92" s="58"/>
      <c r="J92" s="58">
        <f t="shared" si="6"/>
        <v>0</v>
      </c>
      <c r="K92" s="58">
        <f>IFERROR(VLOOKUP(B92,'[1]bajada sap'!$B:$F,5,0),0)</f>
        <v>0</v>
      </c>
      <c r="L92" s="58">
        <f t="shared" si="5"/>
        <v>0</v>
      </c>
    </row>
    <row r="93" ht="15.75" customHeight="1" spans="1:12">
      <c r="A93" s="29">
        <f t="shared" si="4"/>
        <v>0</v>
      </c>
      <c r="B93" s="54">
        <v>50455986</v>
      </c>
      <c r="C93" s="55" t="s">
        <v>306</v>
      </c>
      <c r="D93" s="56" t="s">
        <v>92</v>
      </c>
      <c r="E93" s="4"/>
      <c r="F93" s="57">
        <v>25000</v>
      </c>
      <c r="G93" s="58">
        <v>0</v>
      </c>
      <c r="H93" s="58"/>
      <c r="I93" s="58"/>
      <c r="J93" s="58">
        <f t="shared" si="6"/>
        <v>0</v>
      </c>
      <c r="K93" s="58">
        <f>IFERROR(VLOOKUP(B93,'[1]bajada sap'!$B:$F,5,0),0)</f>
        <v>0</v>
      </c>
      <c r="L93" s="58">
        <f t="shared" si="5"/>
        <v>0</v>
      </c>
    </row>
    <row r="94" ht="15.75" customHeight="1" spans="1:12">
      <c r="A94" s="29">
        <f t="shared" si="4"/>
        <v>0</v>
      </c>
      <c r="B94" s="54">
        <v>50455989</v>
      </c>
      <c r="C94" s="55" t="s">
        <v>305</v>
      </c>
      <c r="D94" s="56" t="s">
        <v>92</v>
      </c>
      <c r="E94" s="4"/>
      <c r="F94" s="57">
        <v>48000</v>
      </c>
      <c r="G94" s="58">
        <v>0</v>
      </c>
      <c r="H94" s="58"/>
      <c r="I94" s="58"/>
      <c r="J94" s="58">
        <f t="shared" si="6"/>
        <v>0</v>
      </c>
      <c r="K94" s="58">
        <f>IFERROR(VLOOKUP(B94,'[1]bajada sap'!$B:$F,5,0),0)</f>
        <v>0</v>
      </c>
      <c r="L94" s="58">
        <f t="shared" si="5"/>
        <v>0</v>
      </c>
    </row>
    <row r="95" ht="15.75" customHeight="1" spans="1:12">
      <c r="A95" s="29">
        <f t="shared" si="4"/>
        <v>0</v>
      </c>
      <c r="B95" s="54">
        <v>40011069</v>
      </c>
      <c r="C95" s="55" t="s">
        <v>442</v>
      </c>
      <c r="D95" s="56" t="s">
        <v>80</v>
      </c>
      <c r="E95" s="4"/>
      <c r="F95" s="4">
        <v>1964</v>
      </c>
      <c r="G95" s="58">
        <v>0</v>
      </c>
      <c r="H95" s="58"/>
      <c r="I95" s="58"/>
      <c r="J95" s="58">
        <f t="shared" si="6"/>
        <v>0</v>
      </c>
      <c r="K95" s="58">
        <f>IFERROR(VLOOKUP(B95,'[1]bajada sap'!$B:$F,5,0),0)</f>
        <v>0</v>
      </c>
      <c r="L95" s="58">
        <f t="shared" si="5"/>
        <v>0</v>
      </c>
    </row>
    <row r="96" ht="15.75" customHeight="1" spans="1:12">
      <c r="A96" s="29">
        <f t="shared" si="4"/>
        <v>0</v>
      </c>
      <c r="B96" s="54">
        <v>40011130</v>
      </c>
      <c r="C96" s="55" t="s">
        <v>631</v>
      </c>
      <c r="D96" s="56" t="s">
        <v>80</v>
      </c>
      <c r="E96" s="4"/>
      <c r="F96" s="4">
        <v>3360</v>
      </c>
      <c r="G96" s="58">
        <v>0</v>
      </c>
      <c r="H96" s="63"/>
      <c r="I96" s="58"/>
      <c r="J96" s="58">
        <f t="shared" si="6"/>
        <v>0</v>
      </c>
      <c r="K96" s="58">
        <f>IFERROR(VLOOKUP(B96,'[1]bajada sap'!$B:$F,5,0),0)</f>
        <v>0</v>
      </c>
      <c r="L96" s="58">
        <f t="shared" si="5"/>
        <v>0</v>
      </c>
    </row>
    <row r="97" ht="15.75" customHeight="1" spans="1:12">
      <c r="A97" s="29">
        <f t="shared" si="4"/>
        <v>0</v>
      </c>
      <c r="B97" s="54">
        <v>50824145</v>
      </c>
      <c r="C97" s="55" t="s">
        <v>1234</v>
      </c>
      <c r="D97" s="56" t="s">
        <v>92</v>
      </c>
      <c r="E97" s="4"/>
      <c r="F97" s="4"/>
      <c r="G97" s="58">
        <v>0</v>
      </c>
      <c r="H97" s="58"/>
      <c r="I97" s="58"/>
      <c r="J97" s="58">
        <f t="shared" si="6"/>
        <v>0</v>
      </c>
      <c r="K97" s="58">
        <f>IFERROR(VLOOKUP(B97,'[1]bajada sap'!$B:$F,5,0),0)</f>
        <v>0</v>
      </c>
      <c r="L97" s="58">
        <f t="shared" si="5"/>
        <v>0</v>
      </c>
    </row>
    <row r="98" ht="15.75" customHeight="1" spans="1:12">
      <c r="A98" s="29">
        <f t="shared" si="4"/>
        <v>0</v>
      </c>
      <c r="B98" s="54">
        <v>50851662</v>
      </c>
      <c r="C98" s="55" t="s">
        <v>2457</v>
      </c>
      <c r="D98" s="56"/>
      <c r="E98" s="4"/>
      <c r="F98" s="4"/>
      <c r="G98" s="58">
        <v>0</v>
      </c>
      <c r="H98" s="58"/>
      <c r="I98" s="58"/>
      <c r="J98" s="58">
        <f t="shared" si="6"/>
        <v>0</v>
      </c>
      <c r="K98" s="58">
        <f>IFERROR(VLOOKUP(B98,'[1]bajada sap'!$B:$F,5,0),0)</f>
        <v>0</v>
      </c>
      <c r="L98" s="58">
        <f t="shared" si="5"/>
        <v>0</v>
      </c>
    </row>
    <row r="99" ht="15.75" customHeight="1" spans="1:12">
      <c r="A99" s="29">
        <f t="shared" si="4"/>
        <v>0</v>
      </c>
      <c r="B99" s="54">
        <v>50141542</v>
      </c>
      <c r="C99" s="55" t="s">
        <v>3089</v>
      </c>
      <c r="D99" s="56" t="s">
        <v>82</v>
      </c>
      <c r="E99" s="4"/>
      <c r="F99" s="57"/>
      <c r="G99" s="58">
        <v>0</v>
      </c>
      <c r="H99" s="58"/>
      <c r="I99" s="58"/>
      <c r="J99" s="58">
        <f t="shared" si="6"/>
        <v>0</v>
      </c>
      <c r="K99" s="58">
        <f>IFERROR(VLOOKUP(B99,'[1]bajada sap'!$B:$F,5,0),0)</f>
        <v>0</v>
      </c>
      <c r="L99" s="58">
        <f t="shared" si="5"/>
        <v>0</v>
      </c>
    </row>
    <row r="100" ht="15.75" customHeight="1" spans="1:12">
      <c r="A100" s="29">
        <f t="shared" si="4"/>
        <v>0</v>
      </c>
      <c r="B100" s="54">
        <v>50521127</v>
      </c>
      <c r="C100" s="55" t="s">
        <v>3090</v>
      </c>
      <c r="D100" s="56" t="s">
        <v>92</v>
      </c>
      <c r="E100" s="4"/>
      <c r="F100" s="57"/>
      <c r="G100" s="58">
        <v>0</v>
      </c>
      <c r="H100" s="58"/>
      <c r="I100" s="58"/>
      <c r="J100" s="58">
        <f t="shared" si="6"/>
        <v>0</v>
      </c>
      <c r="K100" s="58">
        <f>IFERROR(VLOOKUP(B100,'[1]bajada sap'!$B:$F,5,0),0)</f>
        <v>0</v>
      </c>
      <c r="L100" s="58">
        <f t="shared" si="5"/>
        <v>0</v>
      </c>
    </row>
    <row r="101" ht="15.75" customHeight="1" spans="1:12">
      <c r="A101" s="29">
        <f t="shared" si="4"/>
        <v>0</v>
      </c>
      <c r="B101" s="54">
        <v>50852115</v>
      </c>
      <c r="C101" s="55" t="s">
        <v>3039</v>
      </c>
      <c r="D101" s="56" t="s">
        <v>92</v>
      </c>
      <c r="E101" s="4"/>
      <c r="F101" s="4"/>
      <c r="G101" s="58">
        <v>0</v>
      </c>
      <c r="H101" s="58"/>
      <c r="I101" s="58"/>
      <c r="J101" s="58">
        <f t="shared" si="6"/>
        <v>0</v>
      </c>
      <c r="K101" s="58">
        <f>IFERROR(VLOOKUP(B101,'[1]bajada sap'!$B:$F,5,0),0)</f>
        <v>0</v>
      </c>
      <c r="L101" s="58">
        <f t="shared" si="5"/>
        <v>0</v>
      </c>
    </row>
    <row r="102" ht="15.75" customHeight="1" spans="1:12">
      <c r="A102" s="29">
        <f t="shared" si="4"/>
        <v>0</v>
      </c>
      <c r="B102" s="54">
        <v>40009149</v>
      </c>
      <c r="C102" s="55" t="s">
        <v>221</v>
      </c>
      <c r="D102" s="56" t="s">
        <v>80</v>
      </c>
      <c r="E102" s="4"/>
      <c r="F102" s="57">
        <v>2592</v>
      </c>
      <c r="G102" s="58">
        <v>0</v>
      </c>
      <c r="H102" s="58"/>
      <c r="I102" s="58"/>
      <c r="J102" s="58">
        <f t="shared" si="6"/>
        <v>0</v>
      </c>
      <c r="K102" s="58">
        <f>IFERROR(VLOOKUP(B102,'[1]bajada sap'!$B:$F,5,0),0)</f>
        <v>0</v>
      </c>
      <c r="L102" s="58">
        <f t="shared" si="5"/>
        <v>0</v>
      </c>
    </row>
    <row r="103" ht="15.75" customHeight="1" spans="1:12">
      <c r="A103" s="29">
        <f t="shared" si="4"/>
        <v>1</v>
      </c>
      <c r="B103" s="54">
        <v>50551885</v>
      </c>
      <c r="C103" s="55" t="s">
        <v>1251</v>
      </c>
      <c r="D103" s="56" t="s">
        <v>92</v>
      </c>
      <c r="E103" s="4">
        <v>4</v>
      </c>
      <c r="F103" s="57">
        <v>720000</v>
      </c>
      <c r="G103" s="58">
        <v>14950</v>
      </c>
      <c r="H103" s="58"/>
      <c r="I103" s="58"/>
      <c r="J103" s="58">
        <f t="shared" si="6"/>
        <v>14950</v>
      </c>
      <c r="K103" s="58">
        <f>IFERROR(VLOOKUP(B103,'[1]bajada sap'!$B:$F,5,0),0)</f>
        <v>14950</v>
      </c>
      <c r="L103" s="58">
        <f t="shared" si="5"/>
        <v>0</v>
      </c>
    </row>
    <row r="104" ht="15.75" customHeight="1" spans="1:12">
      <c r="A104" s="29">
        <f t="shared" si="4"/>
        <v>0</v>
      </c>
      <c r="B104" s="54">
        <v>50395897</v>
      </c>
      <c r="C104" s="55" t="s">
        <v>359</v>
      </c>
      <c r="D104" s="56" t="s">
        <v>92</v>
      </c>
      <c r="E104" s="4"/>
      <c r="F104" s="57">
        <v>720000</v>
      </c>
      <c r="G104" s="58">
        <v>0</v>
      </c>
      <c r="H104" s="58"/>
      <c r="I104" s="58"/>
      <c r="J104" s="58">
        <f t="shared" si="6"/>
        <v>0</v>
      </c>
      <c r="K104" s="58">
        <f>IFERROR(VLOOKUP(B104,'[1]bajada sap'!$B:$F,5,0),0)</f>
        <v>0</v>
      </c>
      <c r="L104" s="58">
        <f t="shared" si="5"/>
        <v>0</v>
      </c>
    </row>
    <row r="105" ht="15.75" customHeight="1" spans="1:12">
      <c r="A105" s="29">
        <f t="shared" si="4"/>
        <v>0</v>
      </c>
      <c r="B105" s="54">
        <v>50795396</v>
      </c>
      <c r="C105" s="55" t="s">
        <v>552</v>
      </c>
      <c r="D105" s="56" t="s">
        <v>80</v>
      </c>
      <c r="E105" s="4"/>
      <c r="F105" s="57"/>
      <c r="G105" s="58">
        <v>0</v>
      </c>
      <c r="H105" s="58"/>
      <c r="I105" s="58"/>
      <c r="J105" s="58">
        <f t="shared" si="6"/>
        <v>0</v>
      </c>
      <c r="K105" s="58">
        <f>IFERROR(VLOOKUP(B105,'[1]bajada sap'!$B:$F,5,0),0)</f>
        <v>0</v>
      </c>
      <c r="L105" s="58">
        <f t="shared" si="5"/>
        <v>0</v>
      </c>
    </row>
    <row r="106" ht="15.75" customHeight="1" spans="1:12">
      <c r="A106" s="29">
        <f t="shared" si="4"/>
        <v>0</v>
      </c>
      <c r="B106" s="54">
        <v>50145379</v>
      </c>
      <c r="C106" s="55" t="s">
        <v>500</v>
      </c>
      <c r="D106" s="56" t="s">
        <v>92</v>
      </c>
      <c r="E106" s="4"/>
      <c r="F106" s="57"/>
      <c r="G106" s="58">
        <v>0</v>
      </c>
      <c r="H106" s="58"/>
      <c r="I106" s="58"/>
      <c r="J106" s="58">
        <f t="shared" si="6"/>
        <v>0</v>
      </c>
      <c r="K106" s="58">
        <f>IFERROR(VLOOKUP(B106,'[1]bajada sap'!$B:$F,5,0),0)</f>
        <v>0</v>
      </c>
      <c r="L106" s="58">
        <f t="shared" si="5"/>
        <v>0</v>
      </c>
    </row>
    <row r="107" ht="15.75" customHeight="1" spans="1:12">
      <c r="A107" s="29">
        <f t="shared" si="4"/>
        <v>0</v>
      </c>
      <c r="B107" s="54">
        <v>50271801</v>
      </c>
      <c r="C107" s="55" t="s">
        <v>222</v>
      </c>
      <c r="D107" s="56" t="s">
        <v>92</v>
      </c>
      <c r="E107" s="4"/>
      <c r="F107" s="57">
        <v>195000</v>
      </c>
      <c r="G107" s="58">
        <v>0</v>
      </c>
      <c r="H107" s="58"/>
      <c r="I107" s="58"/>
      <c r="J107" s="58">
        <f t="shared" si="6"/>
        <v>0</v>
      </c>
      <c r="K107" s="58">
        <f>IFERROR(VLOOKUP(B107,'[1]bajada sap'!$B:$F,5,0),0)</f>
        <v>0</v>
      </c>
      <c r="L107" s="58">
        <f t="shared" si="5"/>
        <v>0</v>
      </c>
    </row>
    <row r="108" ht="15.75" customHeight="1" spans="1:12">
      <c r="A108" s="29">
        <f t="shared" si="4"/>
        <v>0</v>
      </c>
      <c r="B108" s="54">
        <v>50802527</v>
      </c>
      <c r="C108" s="55" t="s">
        <v>805</v>
      </c>
      <c r="D108" s="56" t="s">
        <v>92</v>
      </c>
      <c r="E108" s="4"/>
      <c r="F108" s="4"/>
      <c r="G108" s="58">
        <v>0</v>
      </c>
      <c r="H108" s="58"/>
      <c r="I108" s="58"/>
      <c r="J108" s="58">
        <f t="shared" si="6"/>
        <v>0</v>
      </c>
      <c r="K108" s="58">
        <f>IFERROR(VLOOKUP(B108,'[1]bajada sap'!$B:$F,5,0),0)</f>
        <v>0</v>
      </c>
      <c r="L108" s="58">
        <f t="shared" si="5"/>
        <v>0</v>
      </c>
    </row>
    <row r="109" ht="15.75" customHeight="1" spans="1:12">
      <c r="A109" s="29">
        <f t="shared" si="4"/>
        <v>1</v>
      </c>
      <c r="B109" s="60">
        <v>50804971</v>
      </c>
      <c r="C109" s="66" t="s">
        <v>855</v>
      </c>
      <c r="D109" s="67" t="s">
        <v>962</v>
      </c>
      <c r="E109" s="4">
        <v>1</v>
      </c>
      <c r="F109" s="4">
        <v>990000</v>
      </c>
      <c r="G109" s="58">
        <v>8069950</v>
      </c>
      <c r="H109" s="68"/>
      <c r="I109" s="58">
        <v>720000</v>
      </c>
      <c r="J109" s="64">
        <f t="shared" si="6"/>
        <v>7349950</v>
      </c>
      <c r="K109" s="58">
        <f>IFERROR(VLOOKUP(B109,'[1]bajada sap'!$B:$F,5,0),0)</f>
        <v>3216950</v>
      </c>
      <c r="L109" s="58">
        <f t="shared" si="5"/>
        <v>4133000</v>
      </c>
    </row>
    <row r="110" ht="15.75" customHeight="1" spans="1:12">
      <c r="A110" s="29">
        <f t="shared" si="4"/>
        <v>0</v>
      </c>
      <c r="B110" s="54">
        <v>50795395</v>
      </c>
      <c r="C110" s="55" t="s">
        <v>553</v>
      </c>
      <c r="D110" s="56" t="s">
        <v>80</v>
      </c>
      <c r="E110" s="4"/>
      <c r="F110" s="57"/>
      <c r="G110" s="58">
        <v>0</v>
      </c>
      <c r="H110" s="58"/>
      <c r="I110" s="58"/>
      <c r="J110" s="58">
        <f t="shared" si="6"/>
        <v>0</v>
      </c>
      <c r="K110" s="58">
        <f>IFERROR(VLOOKUP(B110,'[1]bajada sap'!$B:$F,5,0),0)</f>
        <v>0</v>
      </c>
      <c r="L110" s="58">
        <f t="shared" si="5"/>
        <v>0</v>
      </c>
    </row>
    <row r="111" ht="15.75" customHeight="1" spans="1:12">
      <c r="A111" s="29">
        <f t="shared" si="4"/>
        <v>0</v>
      </c>
      <c r="B111" s="54">
        <v>50417412</v>
      </c>
      <c r="C111" s="55" t="s">
        <v>301</v>
      </c>
      <c r="D111" s="56" t="s">
        <v>92</v>
      </c>
      <c r="E111" s="4"/>
      <c r="F111" s="57">
        <v>64000</v>
      </c>
      <c r="G111" s="58">
        <v>0</v>
      </c>
      <c r="H111" s="58"/>
      <c r="I111" s="58"/>
      <c r="J111" s="58">
        <f t="shared" si="6"/>
        <v>0</v>
      </c>
      <c r="K111" s="58">
        <f>IFERROR(VLOOKUP(B111,'[1]bajada sap'!$B:$F,5,0),0)</f>
        <v>0</v>
      </c>
      <c r="L111" s="58">
        <f t="shared" si="5"/>
        <v>0</v>
      </c>
    </row>
    <row r="112" ht="15.75" customHeight="1" spans="1:12">
      <c r="A112" s="29">
        <f t="shared" si="4"/>
        <v>0</v>
      </c>
      <c r="B112" s="54">
        <v>50429173</v>
      </c>
      <c r="C112" s="55" t="s">
        <v>296</v>
      </c>
      <c r="D112" s="56" t="s">
        <v>92</v>
      </c>
      <c r="E112" s="4"/>
      <c r="F112" s="57">
        <v>64000</v>
      </c>
      <c r="G112" s="58">
        <v>0</v>
      </c>
      <c r="H112" s="58"/>
      <c r="I112" s="58"/>
      <c r="J112" s="58">
        <f t="shared" si="6"/>
        <v>0</v>
      </c>
      <c r="K112" s="58">
        <f>IFERROR(VLOOKUP(B112,'[1]bajada sap'!$B:$F,5,0),0)</f>
        <v>0</v>
      </c>
      <c r="L112" s="58">
        <f t="shared" si="5"/>
        <v>0</v>
      </c>
    </row>
    <row r="113" ht="15.75" customHeight="1" spans="1:12">
      <c r="A113" s="29">
        <f t="shared" si="4"/>
        <v>0</v>
      </c>
      <c r="B113" s="54">
        <v>50455589</v>
      </c>
      <c r="C113" s="55" t="s">
        <v>310</v>
      </c>
      <c r="D113" s="56" t="s">
        <v>92</v>
      </c>
      <c r="E113" s="4"/>
      <c r="F113" s="57">
        <v>64000</v>
      </c>
      <c r="G113" s="58">
        <v>0</v>
      </c>
      <c r="H113" s="58"/>
      <c r="I113" s="58"/>
      <c r="J113" s="58">
        <f t="shared" si="6"/>
        <v>0</v>
      </c>
      <c r="K113" s="58">
        <f>IFERROR(VLOOKUP(B113,'[1]bajada sap'!$B:$F,5,0),0)</f>
        <v>0</v>
      </c>
      <c r="L113" s="58">
        <f t="shared" si="5"/>
        <v>0</v>
      </c>
    </row>
    <row r="114" ht="15.75" customHeight="1" spans="1:12">
      <c r="A114" s="29">
        <f t="shared" si="4"/>
        <v>0</v>
      </c>
      <c r="B114" s="54">
        <v>50455771</v>
      </c>
      <c r="C114" s="55" t="s">
        <v>261</v>
      </c>
      <c r="D114" s="56" t="s">
        <v>92</v>
      </c>
      <c r="E114" s="4"/>
      <c r="F114" s="57">
        <v>64000</v>
      </c>
      <c r="G114" s="58">
        <v>0</v>
      </c>
      <c r="H114" s="58"/>
      <c r="I114" s="58"/>
      <c r="J114" s="58">
        <f t="shared" si="6"/>
        <v>0</v>
      </c>
      <c r="K114" s="58">
        <f>IFERROR(VLOOKUP(B114,'[1]bajada sap'!$B:$F,5,0),0)</f>
        <v>0</v>
      </c>
      <c r="L114" s="58">
        <f t="shared" si="5"/>
        <v>0</v>
      </c>
    </row>
    <row r="115" ht="15.75" customHeight="1" spans="1:12">
      <c r="A115" s="29">
        <f t="shared" si="4"/>
        <v>0</v>
      </c>
      <c r="B115" s="54">
        <v>50455987</v>
      </c>
      <c r="C115" s="55" t="s">
        <v>307</v>
      </c>
      <c r="D115" s="56" t="s">
        <v>92</v>
      </c>
      <c r="E115" s="4"/>
      <c r="F115" s="57">
        <v>48000</v>
      </c>
      <c r="G115" s="58">
        <v>0</v>
      </c>
      <c r="H115" s="58"/>
      <c r="I115" s="58"/>
      <c r="J115" s="58">
        <f t="shared" si="6"/>
        <v>0</v>
      </c>
      <c r="K115" s="58">
        <f>IFERROR(VLOOKUP(B115,'[1]bajada sap'!$B:$F,5,0),0)</f>
        <v>0</v>
      </c>
      <c r="L115" s="58">
        <f t="shared" si="5"/>
        <v>0</v>
      </c>
    </row>
    <row r="116" ht="15.75" customHeight="1" spans="1:12">
      <c r="A116" s="29">
        <f t="shared" si="4"/>
        <v>0</v>
      </c>
      <c r="B116" s="54">
        <v>50455990</v>
      </c>
      <c r="C116" s="55" t="s">
        <v>303</v>
      </c>
      <c r="D116" s="56" t="s">
        <v>92</v>
      </c>
      <c r="E116" s="4"/>
      <c r="F116" s="57">
        <v>64000</v>
      </c>
      <c r="G116" s="58">
        <v>0</v>
      </c>
      <c r="H116" s="58"/>
      <c r="I116" s="58"/>
      <c r="J116" s="58">
        <f t="shared" si="6"/>
        <v>0</v>
      </c>
      <c r="K116" s="58">
        <f>IFERROR(VLOOKUP(B116,'[1]bajada sap'!$B:$F,5,0),0)</f>
        <v>0</v>
      </c>
      <c r="L116" s="58">
        <f t="shared" si="5"/>
        <v>0</v>
      </c>
    </row>
    <row r="117" ht="15.75" customHeight="1" spans="1:12">
      <c r="A117" s="29">
        <f t="shared" si="4"/>
        <v>0</v>
      </c>
      <c r="B117" s="54">
        <v>50428212</v>
      </c>
      <c r="C117" s="55" t="s">
        <v>3091</v>
      </c>
      <c r="D117" s="56" t="s">
        <v>92</v>
      </c>
      <c r="E117" s="4"/>
      <c r="F117" s="57"/>
      <c r="G117" s="58">
        <v>0</v>
      </c>
      <c r="H117" s="58"/>
      <c r="I117" s="58"/>
      <c r="J117" s="58">
        <f t="shared" si="6"/>
        <v>0</v>
      </c>
      <c r="K117" s="58">
        <f>IFERROR(VLOOKUP(B117,'[1]bajada sap'!$B:$F,5,0),0)</f>
        <v>0</v>
      </c>
      <c r="L117" s="58">
        <f t="shared" si="5"/>
        <v>0</v>
      </c>
    </row>
    <row r="118" ht="15.75" customHeight="1" spans="1:12">
      <c r="A118" s="29">
        <f t="shared" si="4"/>
        <v>0</v>
      </c>
      <c r="B118" s="54">
        <v>50505051</v>
      </c>
      <c r="C118" s="55" t="s">
        <v>3092</v>
      </c>
      <c r="D118" s="56" t="s">
        <v>92</v>
      </c>
      <c r="E118" s="4"/>
      <c r="F118" s="4"/>
      <c r="G118" s="58">
        <v>0</v>
      </c>
      <c r="H118" s="58"/>
      <c r="I118" s="58"/>
      <c r="J118" s="58">
        <f t="shared" si="6"/>
        <v>0</v>
      </c>
      <c r="K118" s="58">
        <f>IFERROR(VLOOKUP(B118,'[1]bajada sap'!$B:$F,5,0),0)</f>
        <v>0</v>
      </c>
      <c r="L118" s="58">
        <f t="shared" si="5"/>
        <v>0</v>
      </c>
    </row>
    <row r="119" ht="15.75" customHeight="1" spans="1:12">
      <c r="A119" s="29">
        <f t="shared" si="4"/>
        <v>0</v>
      </c>
      <c r="B119" s="54">
        <v>50328488</v>
      </c>
      <c r="C119" s="69" t="s">
        <v>1853</v>
      </c>
      <c r="D119" s="56" t="s">
        <v>82</v>
      </c>
      <c r="E119" s="4"/>
      <c r="F119" s="4"/>
      <c r="G119" s="58"/>
      <c r="H119" s="58"/>
      <c r="I119" s="58"/>
      <c r="J119" s="58">
        <f t="shared" si="6"/>
        <v>0</v>
      </c>
      <c r="K119" s="58">
        <f>IFERROR(VLOOKUP(B119,'[1]bajada sap'!$B:$F,5,0),0)</f>
        <v>0</v>
      </c>
      <c r="L119" s="58">
        <f t="shared" si="5"/>
        <v>0</v>
      </c>
    </row>
    <row r="120" ht="15.75" customHeight="1" spans="1:12">
      <c r="A120" s="29">
        <f t="shared" si="4"/>
        <v>0</v>
      </c>
      <c r="B120" s="54">
        <v>50142524</v>
      </c>
      <c r="C120" s="55" t="s">
        <v>1155</v>
      </c>
      <c r="D120" s="56" t="s">
        <v>92</v>
      </c>
      <c r="E120" s="4"/>
      <c r="F120" s="4"/>
      <c r="G120" s="58">
        <v>0</v>
      </c>
      <c r="H120" s="58"/>
      <c r="I120" s="58"/>
      <c r="J120" s="58">
        <f t="shared" si="6"/>
        <v>0</v>
      </c>
      <c r="K120" s="58">
        <f>IFERROR(VLOOKUP(B120,'[1]bajada sap'!$B:$F,5,0),0)</f>
        <v>0</v>
      </c>
      <c r="L120" s="58">
        <f t="shared" si="5"/>
        <v>0</v>
      </c>
    </row>
    <row r="121" ht="15.75" customHeight="1" spans="1:12">
      <c r="A121" s="29">
        <f t="shared" si="4"/>
        <v>0</v>
      </c>
      <c r="B121" s="54">
        <v>50142523</v>
      </c>
      <c r="C121" s="55" t="s">
        <v>1157</v>
      </c>
      <c r="D121" s="56" t="s">
        <v>92</v>
      </c>
      <c r="E121" s="4"/>
      <c r="F121" s="4"/>
      <c r="G121" s="58">
        <v>0</v>
      </c>
      <c r="H121" s="58"/>
      <c r="I121" s="58"/>
      <c r="J121" s="58">
        <f t="shared" si="6"/>
        <v>0</v>
      </c>
      <c r="K121" s="58">
        <f>IFERROR(VLOOKUP(B121,'[1]bajada sap'!$B:$F,5,0),0)</f>
        <v>0</v>
      </c>
      <c r="L121" s="58">
        <f t="shared" si="5"/>
        <v>0</v>
      </c>
    </row>
    <row r="122" ht="15.75" customHeight="1" spans="1:12">
      <c r="A122" s="29">
        <f t="shared" si="4"/>
        <v>0</v>
      </c>
      <c r="B122" s="54">
        <v>50142520</v>
      </c>
      <c r="C122" s="55" t="s">
        <v>1156</v>
      </c>
      <c r="D122" s="56" t="s">
        <v>92</v>
      </c>
      <c r="E122" s="4"/>
      <c r="F122" s="4"/>
      <c r="G122" s="58">
        <v>0</v>
      </c>
      <c r="H122" s="58"/>
      <c r="I122" s="58"/>
      <c r="J122" s="58">
        <f t="shared" si="6"/>
        <v>0</v>
      </c>
      <c r="K122" s="58">
        <f>IFERROR(VLOOKUP(B122,'[1]bajada sap'!$B:$F,5,0),0)</f>
        <v>0</v>
      </c>
      <c r="L122" s="58">
        <f t="shared" si="5"/>
        <v>0</v>
      </c>
    </row>
    <row r="123" ht="15.75" customHeight="1" spans="1:12">
      <c r="A123" s="29">
        <f t="shared" si="4"/>
        <v>1</v>
      </c>
      <c r="B123" s="54">
        <v>50142519</v>
      </c>
      <c r="C123" s="55" t="s">
        <v>1575</v>
      </c>
      <c r="D123" s="56" t="s">
        <v>92</v>
      </c>
      <c r="E123" s="4"/>
      <c r="F123" s="4"/>
      <c r="G123" s="58">
        <v>13000</v>
      </c>
      <c r="H123" s="58"/>
      <c r="I123" s="58"/>
      <c r="J123" s="58">
        <f t="shared" si="6"/>
        <v>13000</v>
      </c>
      <c r="K123" s="58">
        <f>IFERROR(VLOOKUP(B123,'[1]bajada sap'!$B:$F,5,0),0)</f>
        <v>13000</v>
      </c>
      <c r="L123" s="58">
        <f t="shared" si="5"/>
        <v>0</v>
      </c>
    </row>
    <row r="124" ht="15.75" customHeight="1" spans="1:12">
      <c r="A124" s="29">
        <f t="shared" si="4"/>
        <v>0</v>
      </c>
      <c r="B124" s="54">
        <v>50409120</v>
      </c>
      <c r="C124" s="55" t="s">
        <v>2157</v>
      </c>
      <c r="D124" s="56" t="s">
        <v>82</v>
      </c>
      <c r="E124" s="4"/>
      <c r="F124" s="4"/>
      <c r="G124" s="58">
        <v>0</v>
      </c>
      <c r="H124" s="58"/>
      <c r="I124" s="58"/>
      <c r="J124" s="58">
        <f t="shared" si="6"/>
        <v>0</v>
      </c>
      <c r="K124" s="58">
        <f>IFERROR(VLOOKUP(B124,'[1]bajada sap'!$B:$F,5,0),0)</f>
        <v>0</v>
      </c>
      <c r="L124" s="58">
        <f t="shared" si="5"/>
        <v>0</v>
      </c>
    </row>
    <row r="125" ht="15.75" customHeight="1" spans="1:12">
      <c r="A125" s="29">
        <f t="shared" si="4"/>
        <v>0</v>
      </c>
      <c r="B125" s="54">
        <v>50123456</v>
      </c>
      <c r="C125" s="55" t="s">
        <v>943</v>
      </c>
      <c r="D125" s="56" t="s">
        <v>92</v>
      </c>
      <c r="E125" s="4"/>
      <c r="F125" s="4"/>
      <c r="G125" s="58">
        <v>0</v>
      </c>
      <c r="H125" s="58"/>
      <c r="I125" s="58"/>
      <c r="J125" s="58">
        <f t="shared" si="6"/>
        <v>0</v>
      </c>
      <c r="K125" s="58">
        <f>IFERROR(VLOOKUP(B125,'[1]bajada sap'!$B:$F,5,0),0)</f>
        <v>0</v>
      </c>
      <c r="L125" s="58">
        <f t="shared" si="5"/>
        <v>0</v>
      </c>
    </row>
    <row r="126" ht="15.75" customHeight="1" spans="1:12">
      <c r="A126" s="29">
        <f t="shared" si="4"/>
        <v>0</v>
      </c>
      <c r="B126" s="54">
        <v>50142571</v>
      </c>
      <c r="C126" s="55" t="s">
        <v>605</v>
      </c>
      <c r="D126" s="56" t="s">
        <v>82</v>
      </c>
      <c r="E126" s="4"/>
      <c r="F126" s="57"/>
      <c r="G126" s="58">
        <v>0</v>
      </c>
      <c r="H126" s="58"/>
      <c r="I126" s="58"/>
      <c r="J126" s="58">
        <f t="shared" si="6"/>
        <v>0</v>
      </c>
      <c r="K126" s="58">
        <f>IFERROR(VLOOKUP(B126,'[1]bajada sap'!$B:$F,5,0),0)</f>
        <v>0</v>
      </c>
      <c r="L126" s="58">
        <f t="shared" si="5"/>
        <v>0</v>
      </c>
    </row>
    <row r="127" ht="15.75" customHeight="1" spans="1:12">
      <c r="A127" s="29">
        <f t="shared" si="4"/>
        <v>0</v>
      </c>
      <c r="B127" s="54">
        <v>50449311</v>
      </c>
      <c r="C127" s="55" t="s">
        <v>754</v>
      </c>
      <c r="D127" s="56" t="s">
        <v>92</v>
      </c>
      <c r="E127" s="4"/>
      <c r="F127" s="4"/>
      <c r="G127" s="58">
        <v>0</v>
      </c>
      <c r="H127" s="58"/>
      <c r="I127" s="63"/>
      <c r="J127" s="58">
        <f t="shared" si="6"/>
        <v>0</v>
      </c>
      <c r="K127" s="58">
        <f>IFERROR(VLOOKUP(B127,'[1]bajada sap'!$B:$F,5,0),0)</f>
        <v>0</v>
      </c>
      <c r="L127" s="58">
        <f t="shared" si="5"/>
        <v>0</v>
      </c>
    </row>
    <row r="128" ht="15.75" customHeight="1" spans="1:12">
      <c r="A128" s="29">
        <f t="shared" si="4"/>
        <v>0</v>
      </c>
      <c r="B128" s="54">
        <v>50435419</v>
      </c>
      <c r="C128" s="55" t="s">
        <v>656</v>
      </c>
      <c r="D128" s="56" t="s">
        <v>82</v>
      </c>
      <c r="E128" s="4"/>
      <c r="F128" s="4">
        <v>0</v>
      </c>
      <c r="G128" s="58">
        <v>0</v>
      </c>
      <c r="H128" s="58"/>
      <c r="I128" s="58"/>
      <c r="J128" s="58">
        <f t="shared" si="6"/>
        <v>0</v>
      </c>
      <c r="K128" s="58">
        <f>IFERROR(VLOOKUP(B128,'[1]bajada sap'!$B:$F,5,0),0)</f>
        <v>0</v>
      </c>
      <c r="L128" s="58">
        <f t="shared" si="5"/>
        <v>0</v>
      </c>
    </row>
    <row r="129" ht="15.75" customHeight="1" spans="1:13">
      <c r="A129" s="29">
        <f t="shared" si="4"/>
        <v>0</v>
      </c>
      <c r="B129" s="54">
        <v>50751654</v>
      </c>
      <c r="C129" s="55" t="s">
        <v>874</v>
      </c>
      <c r="D129" s="56" t="s">
        <v>82</v>
      </c>
      <c r="E129" s="4"/>
      <c r="F129" s="4">
        <v>0</v>
      </c>
      <c r="G129" s="58">
        <v>0</v>
      </c>
      <c r="H129" s="58"/>
      <c r="I129" s="58"/>
      <c r="J129" s="58">
        <f t="shared" si="6"/>
        <v>0</v>
      </c>
      <c r="K129" s="58">
        <f>IFERROR(VLOOKUP(B129,'[1]bajada sap'!$B:$F,5,0),0)</f>
        <v>0</v>
      </c>
      <c r="L129" s="58">
        <f t="shared" si="5"/>
        <v>0</v>
      </c>
    </row>
    <row r="130" ht="15.75" customHeight="1" spans="1:13">
      <c r="A130" s="29">
        <f t="shared" si="4"/>
        <v>0</v>
      </c>
      <c r="B130" s="54">
        <v>50338577</v>
      </c>
      <c r="C130" s="55" t="s">
        <v>1097</v>
      </c>
      <c r="D130" s="56" t="s">
        <v>82</v>
      </c>
      <c r="E130" s="4"/>
      <c r="F130" s="4">
        <v>0</v>
      </c>
      <c r="G130" s="58">
        <v>0</v>
      </c>
      <c r="H130" s="58"/>
      <c r="I130" s="58"/>
      <c r="J130" s="58">
        <f t="shared" si="6"/>
        <v>0</v>
      </c>
      <c r="K130" s="58">
        <f>IFERROR(VLOOKUP(B130,'[1]bajada sap'!$B:$F,5,0),0)</f>
        <v>0</v>
      </c>
      <c r="L130" s="58">
        <f t="shared" si="5"/>
        <v>0</v>
      </c>
    </row>
    <row r="131" ht="15.75" customHeight="1" spans="1:13">
      <c r="A131" s="29">
        <f t="shared" si="4"/>
        <v>0</v>
      </c>
      <c r="B131" s="54">
        <v>50417408</v>
      </c>
      <c r="C131" s="55" t="s">
        <v>3093</v>
      </c>
      <c r="D131" s="56" t="s">
        <v>82</v>
      </c>
      <c r="E131" s="4"/>
      <c r="F131" s="4">
        <v>0</v>
      </c>
      <c r="G131" s="58">
        <v>0</v>
      </c>
      <c r="H131" s="58"/>
      <c r="I131" s="58"/>
      <c r="J131" s="58">
        <f t="shared" si="6"/>
        <v>0</v>
      </c>
      <c r="K131" s="58">
        <f>IFERROR(VLOOKUP(B131,'[1]bajada sap'!$B:$F,5,0),0)</f>
        <v>0</v>
      </c>
      <c r="L131" s="58">
        <f t="shared" si="5"/>
        <v>0</v>
      </c>
    </row>
    <row r="132" ht="15.75" customHeight="1" spans="1:13">
      <c r="A132" s="29">
        <f t="shared" si="4"/>
        <v>1</v>
      </c>
      <c r="B132" s="54">
        <v>50142330</v>
      </c>
      <c r="C132" s="55" t="s">
        <v>195</v>
      </c>
      <c r="D132" s="56" t="s">
        <v>82</v>
      </c>
      <c r="E132" s="70">
        <v>12</v>
      </c>
      <c r="F132" s="57">
        <v>359.28</v>
      </c>
      <c r="G132" s="58">
        <v>3480</v>
      </c>
      <c r="H132" s="58"/>
      <c r="I132" s="58"/>
      <c r="J132" s="58">
        <f t="shared" si="6"/>
        <v>3480</v>
      </c>
      <c r="K132" s="58">
        <f>IFERROR(VLOOKUP(B132,'[1]bajada sap'!$B:$F,5,0),0)</f>
        <v>1080</v>
      </c>
      <c r="L132" s="58">
        <f t="shared" si="5"/>
        <v>2400</v>
      </c>
      <c r="M132" t="s">
        <v>3085</v>
      </c>
    </row>
    <row r="133" ht="15.75" customHeight="1" spans="1:13">
      <c r="A133" s="29">
        <f t="shared" si="4"/>
        <v>0</v>
      </c>
      <c r="B133" s="54">
        <v>50340256</v>
      </c>
      <c r="C133" s="55" t="s">
        <v>271</v>
      </c>
      <c r="D133" s="56" t="s">
        <v>92</v>
      </c>
      <c r="E133" s="4"/>
      <c r="F133" s="57">
        <v>21825</v>
      </c>
      <c r="G133" s="58">
        <v>0</v>
      </c>
      <c r="H133" s="58"/>
      <c r="I133" s="58"/>
      <c r="J133" s="58">
        <f t="shared" si="6"/>
        <v>0</v>
      </c>
      <c r="K133" s="58">
        <f>IFERROR(VLOOKUP(B133,'[1]bajada sap'!$B:$F,5,0),0)</f>
        <v>0</v>
      </c>
      <c r="L133" s="58">
        <f t="shared" si="5"/>
        <v>0</v>
      </c>
    </row>
    <row r="134" ht="15.75" customHeight="1" spans="1:13">
      <c r="A134" s="29">
        <f t="shared" si="4"/>
        <v>0</v>
      </c>
      <c r="B134" s="54">
        <v>50491486</v>
      </c>
      <c r="C134" s="55" t="s">
        <v>374</v>
      </c>
      <c r="D134" s="56" t="s">
        <v>92</v>
      </c>
      <c r="E134" s="4"/>
      <c r="F134" s="57">
        <v>3842</v>
      </c>
      <c r="G134" s="58">
        <v>0</v>
      </c>
      <c r="H134" s="58"/>
      <c r="I134" s="58"/>
      <c r="J134" s="58">
        <f t="shared" si="6"/>
        <v>0</v>
      </c>
      <c r="K134" s="58">
        <f>IFERROR(VLOOKUP(B134,'[1]bajada sap'!$B:$F,5,0),0)</f>
        <v>0</v>
      </c>
      <c r="L134" s="58">
        <f t="shared" si="5"/>
        <v>0</v>
      </c>
    </row>
    <row r="135" ht="15.75" customHeight="1" spans="1:13">
      <c r="A135" s="29">
        <f t="shared" si="4"/>
        <v>0</v>
      </c>
      <c r="B135" s="54">
        <v>50144960</v>
      </c>
      <c r="C135" s="55" t="s">
        <v>264</v>
      </c>
      <c r="D135" s="56" t="s">
        <v>92</v>
      </c>
      <c r="E135" s="4"/>
      <c r="F135" s="57">
        <v>365</v>
      </c>
      <c r="G135" s="58">
        <v>0</v>
      </c>
      <c r="H135" s="58"/>
      <c r="I135" s="58"/>
      <c r="J135" s="58">
        <f t="shared" si="6"/>
        <v>0</v>
      </c>
      <c r="K135" s="58">
        <f>IFERROR(VLOOKUP(B135,'[1]bajada sap'!$B:$F,5,0),0)</f>
        <v>0</v>
      </c>
      <c r="L135" s="58">
        <f t="shared" si="5"/>
        <v>0</v>
      </c>
    </row>
    <row r="136" ht="15.75" customHeight="1" spans="1:13">
      <c r="A136" s="29">
        <f t="shared" si="4"/>
        <v>0</v>
      </c>
      <c r="B136" s="54">
        <v>50145205</v>
      </c>
      <c r="C136" s="55" t="s">
        <v>241</v>
      </c>
      <c r="D136" s="56" t="s">
        <v>92</v>
      </c>
      <c r="E136" s="4"/>
      <c r="F136" s="57">
        <v>22050</v>
      </c>
      <c r="G136" s="58">
        <v>0</v>
      </c>
      <c r="H136" s="58"/>
      <c r="I136" s="58"/>
      <c r="J136" s="58">
        <f t="shared" si="6"/>
        <v>0</v>
      </c>
      <c r="K136" s="58">
        <f>IFERROR(VLOOKUP(B136,'[1]bajada sap'!$B:$F,5,0),0)</f>
        <v>0</v>
      </c>
      <c r="L136" s="58">
        <f t="shared" si="5"/>
        <v>0</v>
      </c>
    </row>
    <row r="137" ht="15.75" customHeight="1" spans="1:13">
      <c r="A137" s="29">
        <f t="shared" ref="A137:A200" si="7">+IF(OR(G137&gt;0,J137&gt;0,K137&gt;0),1,0)</f>
        <v>0</v>
      </c>
      <c r="B137" s="54">
        <v>50144951</v>
      </c>
      <c r="C137" s="55" t="s">
        <v>267</v>
      </c>
      <c r="D137" s="56" t="s">
        <v>92</v>
      </c>
      <c r="E137" s="4"/>
      <c r="F137" s="57">
        <v>22050</v>
      </c>
      <c r="G137" s="58">
        <v>0</v>
      </c>
      <c r="H137" s="58"/>
      <c r="I137" s="58"/>
      <c r="J137" s="58">
        <f t="shared" si="6"/>
        <v>0</v>
      </c>
      <c r="K137" s="58">
        <f>IFERROR(VLOOKUP(B137,'[1]bajada sap'!$B:$F,5,0),0)</f>
        <v>0</v>
      </c>
      <c r="L137" s="58">
        <f t="shared" ref="L137:L200" si="8">J137-K137</f>
        <v>0</v>
      </c>
    </row>
    <row r="138" ht="15.75" customHeight="1" spans="1:13">
      <c r="A138" s="29">
        <f t="shared" si="7"/>
        <v>0</v>
      </c>
      <c r="B138" s="54">
        <v>50145381</v>
      </c>
      <c r="C138" s="55" t="s">
        <v>2854</v>
      </c>
      <c r="D138" s="56" t="s">
        <v>92</v>
      </c>
      <c r="E138" s="4"/>
      <c r="F138" s="57">
        <v>12731</v>
      </c>
      <c r="G138" s="58">
        <v>0</v>
      </c>
      <c r="H138" s="58"/>
      <c r="I138" s="58"/>
      <c r="J138" s="58">
        <f t="shared" si="6"/>
        <v>0</v>
      </c>
      <c r="K138" s="58">
        <f>IFERROR(VLOOKUP(B138,'[1]bajada sap'!$B:$F,5,0),0)</f>
        <v>0</v>
      </c>
      <c r="L138" s="58">
        <f t="shared" si="8"/>
        <v>0</v>
      </c>
    </row>
    <row r="139" ht="15.75" customHeight="1" spans="1:13">
      <c r="A139" s="29">
        <f t="shared" si="7"/>
        <v>1</v>
      </c>
      <c r="B139" s="54">
        <v>50843628</v>
      </c>
      <c r="C139" s="55" t="s">
        <v>3060</v>
      </c>
      <c r="D139" s="56" t="s">
        <v>92</v>
      </c>
      <c r="E139" s="4"/>
      <c r="F139" s="4"/>
      <c r="G139" s="58">
        <v>44010</v>
      </c>
      <c r="H139" s="58"/>
      <c r="I139" s="58"/>
      <c r="J139" s="58">
        <f t="shared" si="6"/>
        <v>44010</v>
      </c>
      <c r="K139" s="58">
        <f>IFERROR(VLOOKUP(B139,'[1]bajada sap'!$B:$F,5,0),0)</f>
        <v>44010</v>
      </c>
      <c r="L139" s="58">
        <f t="shared" si="8"/>
        <v>0</v>
      </c>
    </row>
    <row r="140" ht="15.75" customHeight="1" spans="1:13">
      <c r="A140" s="29">
        <f t="shared" si="7"/>
        <v>0</v>
      </c>
      <c r="B140" s="54">
        <v>50489210</v>
      </c>
      <c r="C140" s="55" t="s">
        <v>373</v>
      </c>
      <c r="D140" s="56" t="s">
        <v>92</v>
      </c>
      <c r="E140" s="4"/>
      <c r="F140" s="57">
        <v>650</v>
      </c>
      <c r="G140" s="58">
        <v>0</v>
      </c>
      <c r="H140" s="58"/>
      <c r="I140" s="58"/>
      <c r="J140" s="58">
        <f t="shared" si="6"/>
        <v>0</v>
      </c>
      <c r="K140" s="58">
        <f>IFERROR(VLOOKUP(B140,'[1]bajada sap'!$B:$F,5,0),0)</f>
        <v>0</v>
      </c>
      <c r="L140" s="58">
        <f t="shared" si="8"/>
        <v>0</v>
      </c>
    </row>
    <row r="141" ht="15.75" customHeight="1" spans="1:13">
      <c r="A141" s="29">
        <f t="shared" si="7"/>
        <v>0</v>
      </c>
      <c r="B141" s="54">
        <v>50458295</v>
      </c>
      <c r="C141" s="55" t="s">
        <v>370</v>
      </c>
      <c r="D141" s="56" t="s">
        <v>92</v>
      </c>
      <c r="E141" s="4"/>
      <c r="F141" s="57">
        <v>4800</v>
      </c>
      <c r="G141" s="58">
        <v>0</v>
      </c>
      <c r="H141" s="58"/>
      <c r="I141" s="58"/>
      <c r="J141" s="58">
        <f t="shared" si="6"/>
        <v>0</v>
      </c>
      <c r="K141" s="58">
        <f>IFERROR(VLOOKUP(B141,'[1]bajada sap'!$B:$F,5,0),0)</f>
        <v>0</v>
      </c>
      <c r="L141" s="58">
        <f t="shared" si="8"/>
        <v>0</v>
      </c>
    </row>
    <row r="142" ht="15.75" customHeight="1" spans="1:13">
      <c r="A142" s="29">
        <f t="shared" si="7"/>
        <v>0</v>
      </c>
      <c r="B142" s="54">
        <v>50795259</v>
      </c>
      <c r="C142" s="55" t="s">
        <v>551</v>
      </c>
      <c r="D142" s="56" t="s">
        <v>80</v>
      </c>
      <c r="E142" s="4"/>
      <c r="F142" s="57"/>
      <c r="G142" s="58">
        <v>0</v>
      </c>
      <c r="H142" s="58"/>
      <c r="I142" s="58"/>
      <c r="J142" s="58">
        <f t="shared" si="6"/>
        <v>0</v>
      </c>
      <c r="K142" s="58">
        <f>IFERROR(VLOOKUP(B142,'[1]bajada sap'!$B:$F,5,0),0)</f>
        <v>0</v>
      </c>
      <c r="L142" s="58">
        <f t="shared" si="8"/>
        <v>0</v>
      </c>
    </row>
    <row r="143" ht="15.75" customHeight="1" spans="1:13">
      <c r="A143" s="29">
        <f t="shared" si="7"/>
        <v>0</v>
      </c>
      <c r="B143" s="54">
        <v>50521128</v>
      </c>
      <c r="C143" s="55" t="s">
        <v>3094</v>
      </c>
      <c r="D143" s="56" t="s">
        <v>80</v>
      </c>
      <c r="E143" s="4"/>
      <c r="F143" s="57"/>
      <c r="G143" s="58">
        <v>0</v>
      </c>
      <c r="H143" s="58"/>
      <c r="I143" s="58"/>
      <c r="J143" s="58">
        <f t="shared" si="6"/>
        <v>0</v>
      </c>
      <c r="K143" s="58">
        <f>IFERROR(VLOOKUP(B143,'[1]bajada sap'!$B:$F,5,0),0)</f>
        <v>0</v>
      </c>
      <c r="L143" s="58">
        <f t="shared" si="8"/>
        <v>0</v>
      </c>
    </row>
    <row r="144" ht="15.75" customHeight="1" spans="1:13">
      <c r="A144" s="29">
        <f t="shared" si="7"/>
        <v>0</v>
      </c>
      <c r="B144" s="54">
        <v>50842150</v>
      </c>
      <c r="C144" s="55" t="s">
        <v>3040</v>
      </c>
      <c r="D144" s="56" t="s">
        <v>92</v>
      </c>
      <c r="E144" s="4"/>
      <c r="F144" s="4"/>
      <c r="G144" s="58">
        <v>0</v>
      </c>
      <c r="H144" s="58"/>
      <c r="I144" s="58"/>
      <c r="J144" s="58">
        <f t="shared" si="6"/>
        <v>0</v>
      </c>
      <c r="K144" s="58">
        <f>IFERROR(VLOOKUP(B144,'[1]bajada sap'!$B:$F,5,0),0)</f>
        <v>0</v>
      </c>
      <c r="L144" s="58">
        <f t="shared" si="8"/>
        <v>0</v>
      </c>
    </row>
    <row r="145" ht="15.75" customHeight="1" spans="1:12">
      <c r="A145" s="29">
        <f t="shared" si="7"/>
        <v>0</v>
      </c>
      <c r="B145" s="54">
        <v>40011070</v>
      </c>
      <c r="C145" s="55" t="s">
        <v>444</v>
      </c>
      <c r="D145" s="56" t="s">
        <v>80</v>
      </c>
      <c r="E145" s="4"/>
      <c r="F145" s="4">
        <v>1860</v>
      </c>
      <c r="G145" s="58">
        <v>0</v>
      </c>
      <c r="H145" s="58"/>
      <c r="I145" s="58"/>
      <c r="J145" s="58">
        <f t="shared" si="6"/>
        <v>0</v>
      </c>
      <c r="K145" s="58">
        <f>IFERROR(VLOOKUP(B145,'[1]bajada sap'!$B:$F,5,0),0)</f>
        <v>0</v>
      </c>
      <c r="L145" s="58">
        <f t="shared" si="8"/>
        <v>0</v>
      </c>
    </row>
    <row r="146" ht="15.75" customHeight="1" spans="1:12">
      <c r="A146" s="29">
        <f t="shared" si="7"/>
        <v>0</v>
      </c>
      <c r="B146" s="54">
        <v>40009150</v>
      </c>
      <c r="C146" s="55" t="s">
        <v>220</v>
      </c>
      <c r="D146" s="56" t="s">
        <v>80</v>
      </c>
      <c r="E146" s="4"/>
      <c r="F146" s="57">
        <v>2940</v>
      </c>
      <c r="G146" s="58">
        <v>0</v>
      </c>
      <c r="H146" s="58"/>
      <c r="I146" s="58"/>
      <c r="J146" s="58">
        <f t="shared" ref="J146:J209" si="9">+G146+H146-I146</f>
        <v>0</v>
      </c>
      <c r="K146" s="58">
        <f>IFERROR(VLOOKUP(B146,'[1]bajada sap'!$B:$F,5,0),0)</f>
        <v>0</v>
      </c>
      <c r="L146" s="58">
        <f t="shared" si="8"/>
        <v>0</v>
      </c>
    </row>
    <row r="147" ht="15.75" customHeight="1" spans="1:12">
      <c r="A147" s="29">
        <f t="shared" si="7"/>
        <v>0</v>
      </c>
      <c r="B147" s="54">
        <v>50760002</v>
      </c>
      <c r="C147" s="55" t="s">
        <v>1238</v>
      </c>
      <c r="D147" s="56" t="s">
        <v>92</v>
      </c>
      <c r="E147" s="4"/>
      <c r="F147" s="4"/>
      <c r="G147" s="58">
        <v>0</v>
      </c>
      <c r="H147" s="58"/>
      <c r="I147" s="58"/>
      <c r="J147" s="58">
        <f t="shared" si="9"/>
        <v>0</v>
      </c>
      <c r="K147" s="58">
        <f>IFERROR(VLOOKUP(B147,'[1]bajada sap'!$B:$F,5,0),0)</f>
        <v>0</v>
      </c>
      <c r="L147" s="58">
        <f t="shared" si="8"/>
        <v>0</v>
      </c>
    </row>
    <row r="148" ht="15.75" customHeight="1" spans="1:12">
      <c r="A148" s="29">
        <f t="shared" si="7"/>
        <v>0</v>
      </c>
      <c r="B148" s="54">
        <v>50795257</v>
      </c>
      <c r="C148" s="55" t="s">
        <v>556</v>
      </c>
      <c r="D148" s="56" t="s">
        <v>80</v>
      </c>
      <c r="E148" s="4"/>
      <c r="F148" s="57"/>
      <c r="G148" s="58">
        <v>0</v>
      </c>
      <c r="H148" s="58"/>
      <c r="I148" s="58"/>
      <c r="J148" s="58">
        <f t="shared" si="9"/>
        <v>0</v>
      </c>
      <c r="K148" s="58">
        <f>IFERROR(VLOOKUP(B148,'[1]bajada sap'!$B:$F,5,0),0)</f>
        <v>0</v>
      </c>
      <c r="L148" s="58">
        <f t="shared" si="8"/>
        <v>0</v>
      </c>
    </row>
    <row r="149" ht="15.75" customHeight="1" spans="1:12">
      <c r="A149" s="29">
        <f t="shared" si="7"/>
        <v>0</v>
      </c>
      <c r="B149" s="54">
        <v>40010080</v>
      </c>
      <c r="C149" s="55" t="s">
        <v>2297</v>
      </c>
      <c r="D149" s="56" t="s">
        <v>80</v>
      </c>
      <c r="E149" s="4"/>
      <c r="F149" s="4" t="s">
        <v>3095</v>
      </c>
      <c r="G149" s="58">
        <v>0</v>
      </c>
      <c r="H149" s="63"/>
      <c r="I149" s="58"/>
      <c r="J149" s="58">
        <f t="shared" si="9"/>
        <v>0</v>
      </c>
      <c r="K149" s="58">
        <f>IFERROR(VLOOKUP(B149,'[1]bajada sap'!$B:$F,5,0),0)</f>
        <v>0</v>
      </c>
      <c r="L149" s="58">
        <f t="shared" si="8"/>
        <v>0</v>
      </c>
    </row>
    <row r="150" ht="15.75" customHeight="1" spans="1:12">
      <c r="A150" s="29">
        <f t="shared" si="7"/>
        <v>1</v>
      </c>
      <c r="B150" s="54">
        <v>50144135</v>
      </c>
      <c r="C150" s="55" t="s">
        <v>2662</v>
      </c>
      <c r="D150" s="56" t="s">
        <v>92</v>
      </c>
      <c r="E150" s="4"/>
      <c r="F150" s="4"/>
      <c r="G150" s="58"/>
      <c r="H150" s="58"/>
      <c r="I150" s="58"/>
      <c r="J150" s="58">
        <f t="shared" si="9"/>
        <v>0</v>
      </c>
      <c r="K150" s="58">
        <f>IFERROR(VLOOKUP(B150,'[1]bajada sap'!$B:$F,5,0),0)</f>
        <v>5000</v>
      </c>
      <c r="L150" s="58">
        <f t="shared" si="8"/>
        <v>-5000</v>
      </c>
    </row>
    <row r="151" ht="15.75" customHeight="1" spans="1:12">
      <c r="A151" s="29">
        <f t="shared" si="7"/>
        <v>0</v>
      </c>
      <c r="B151" s="54">
        <v>50551883</v>
      </c>
      <c r="C151" s="55" t="s">
        <v>223</v>
      </c>
      <c r="D151" s="56" t="s">
        <v>92</v>
      </c>
      <c r="E151" s="4">
        <v>6</v>
      </c>
      <c r="F151" s="57">
        <v>360000</v>
      </c>
      <c r="G151" s="58">
        <v>0</v>
      </c>
      <c r="H151" s="58"/>
      <c r="I151" s="58"/>
      <c r="J151" s="58">
        <f t="shared" si="9"/>
        <v>0</v>
      </c>
      <c r="K151" s="58">
        <f>IFERROR(VLOOKUP(B151,'[1]bajada sap'!$B:$F,5,0),0)</f>
        <v>0</v>
      </c>
      <c r="L151" s="58">
        <f t="shared" si="8"/>
        <v>0</v>
      </c>
    </row>
    <row r="152" ht="15.75" customHeight="1" spans="1:12">
      <c r="A152" s="29">
        <f t="shared" si="7"/>
        <v>0</v>
      </c>
      <c r="B152" s="54">
        <v>50834015</v>
      </c>
      <c r="C152" s="55" t="s">
        <v>1624</v>
      </c>
      <c r="D152" s="56" t="s">
        <v>80</v>
      </c>
      <c r="E152" s="4"/>
      <c r="F152" s="4"/>
      <c r="G152" s="58">
        <v>0</v>
      </c>
      <c r="H152" s="58"/>
      <c r="I152" s="58"/>
      <c r="J152" s="58">
        <f t="shared" si="9"/>
        <v>0</v>
      </c>
      <c r="K152" s="58">
        <f>IFERROR(VLOOKUP(B152,'[1]bajada sap'!$B:$F,5,0),0)</f>
        <v>0</v>
      </c>
      <c r="L152" s="58">
        <f t="shared" si="8"/>
        <v>0</v>
      </c>
    </row>
    <row r="153" ht="15.75" customHeight="1" spans="1:12">
      <c r="A153" s="29">
        <f t="shared" si="7"/>
        <v>0</v>
      </c>
      <c r="B153" s="54">
        <v>40011229</v>
      </c>
      <c r="C153" s="55" t="s">
        <v>446</v>
      </c>
      <c r="D153" s="56" t="s">
        <v>80</v>
      </c>
      <c r="E153" s="4"/>
      <c r="F153" s="4">
        <v>1860</v>
      </c>
      <c r="G153" s="58">
        <v>0</v>
      </c>
      <c r="H153" s="58"/>
      <c r="I153" s="58"/>
      <c r="J153" s="58">
        <f t="shared" si="9"/>
        <v>0</v>
      </c>
      <c r="K153" s="58">
        <f>IFERROR(VLOOKUP(B153,'[1]bajada sap'!$B:$F,5,0),0)</f>
        <v>0</v>
      </c>
      <c r="L153" s="58">
        <f t="shared" si="8"/>
        <v>0</v>
      </c>
    </row>
    <row r="154" ht="15.75" customHeight="1" spans="1:12">
      <c r="A154" s="29">
        <f t="shared" si="7"/>
        <v>0</v>
      </c>
      <c r="B154" s="54">
        <v>40014003</v>
      </c>
      <c r="C154" s="55" t="s">
        <v>1223</v>
      </c>
      <c r="D154" s="56" t="s">
        <v>80</v>
      </c>
      <c r="E154" s="4"/>
      <c r="F154" s="4"/>
      <c r="G154" s="58">
        <v>0</v>
      </c>
      <c r="H154" s="58"/>
      <c r="I154" s="58"/>
      <c r="J154" s="58">
        <f t="shared" si="9"/>
        <v>0</v>
      </c>
      <c r="K154" s="58">
        <f>IFERROR(VLOOKUP(B154,'[1]bajada sap'!$B:$F,5,0),0)</f>
        <v>0</v>
      </c>
      <c r="L154" s="58">
        <f t="shared" si="8"/>
        <v>0</v>
      </c>
    </row>
    <row r="155" ht="15.75" customHeight="1" spans="1:12">
      <c r="A155" s="29">
        <f t="shared" si="7"/>
        <v>0</v>
      </c>
      <c r="B155" s="54">
        <v>40014002</v>
      </c>
      <c r="C155" s="55" t="s">
        <v>1215</v>
      </c>
      <c r="D155" s="56" t="s">
        <v>80</v>
      </c>
      <c r="E155" s="4"/>
      <c r="F155" s="4"/>
      <c r="G155" s="58">
        <v>0</v>
      </c>
      <c r="H155" s="58"/>
      <c r="I155" s="58"/>
      <c r="J155" s="58">
        <f t="shared" si="9"/>
        <v>0</v>
      </c>
      <c r="K155" s="58">
        <f>IFERROR(VLOOKUP(B155,'[1]bajada sap'!$B:$F,5,0),0)</f>
        <v>0</v>
      </c>
      <c r="L155" s="58">
        <f t="shared" si="8"/>
        <v>0</v>
      </c>
    </row>
    <row r="156" ht="15.75" customHeight="1" spans="1:12">
      <c r="A156" s="29">
        <f t="shared" si="7"/>
        <v>0</v>
      </c>
      <c r="B156" s="54">
        <v>40015053</v>
      </c>
      <c r="C156" s="55" t="s">
        <v>35</v>
      </c>
      <c r="D156" s="56" t="s">
        <v>80</v>
      </c>
      <c r="E156" s="4"/>
      <c r="F156" s="4"/>
      <c r="G156" s="58"/>
      <c r="H156" s="58"/>
      <c r="I156" s="58"/>
      <c r="J156" s="58">
        <f t="shared" si="9"/>
        <v>0</v>
      </c>
      <c r="K156" s="58">
        <f>IFERROR(VLOOKUP(B156,'[1]bajada sap'!$B:$F,5,0),0)</f>
        <v>0</v>
      </c>
      <c r="L156" s="58">
        <f t="shared" si="8"/>
        <v>0</v>
      </c>
    </row>
    <row r="157" ht="15.75" customHeight="1" spans="1:12">
      <c r="A157" s="29">
        <f t="shared" si="7"/>
        <v>1</v>
      </c>
      <c r="B157" s="60">
        <v>40015055</v>
      </c>
      <c r="C157" s="55" t="s">
        <v>2745</v>
      </c>
      <c r="D157" s="56" t="s">
        <v>80</v>
      </c>
      <c r="E157" s="4"/>
      <c r="F157" s="4"/>
      <c r="G157" s="58">
        <v>18558</v>
      </c>
      <c r="H157" s="58"/>
      <c r="I157" s="58">
        <v>3456</v>
      </c>
      <c r="J157" s="58">
        <f t="shared" si="9"/>
        <v>15102</v>
      </c>
      <c r="K157" s="58">
        <f>IFERROR(VLOOKUP(B157,'[1]bajada sap'!$B:$F,5,0),0)</f>
        <v>14868</v>
      </c>
      <c r="L157" s="58">
        <f t="shared" si="8"/>
        <v>234</v>
      </c>
    </row>
    <row r="158" ht="15.75" customHeight="1" spans="1:12">
      <c r="A158" s="29">
        <f t="shared" si="7"/>
        <v>0</v>
      </c>
      <c r="B158" s="54">
        <v>40011132</v>
      </c>
      <c r="C158" s="55" t="s">
        <v>445</v>
      </c>
      <c r="D158" s="56" t="s">
        <v>80</v>
      </c>
      <c r="E158" s="4"/>
      <c r="F158" s="4">
        <v>756</v>
      </c>
      <c r="G158" s="58">
        <v>0</v>
      </c>
      <c r="H158" s="58"/>
      <c r="I158" s="58"/>
      <c r="J158" s="58">
        <f t="shared" si="9"/>
        <v>0</v>
      </c>
      <c r="K158" s="58">
        <f>IFERROR(VLOOKUP(B158,'[1]bajada sap'!$B:$F,5,0),0)</f>
        <v>0</v>
      </c>
      <c r="L158" s="58">
        <f t="shared" si="8"/>
        <v>0</v>
      </c>
    </row>
    <row r="159" ht="15.75" customHeight="1" spans="1:12">
      <c r="A159" s="29">
        <f t="shared" si="7"/>
        <v>1</v>
      </c>
      <c r="B159" s="54">
        <v>40009544</v>
      </c>
      <c r="C159" s="55" t="s">
        <v>179</v>
      </c>
      <c r="D159" s="56" t="s">
        <v>80</v>
      </c>
      <c r="E159" s="4">
        <v>18</v>
      </c>
      <c r="F159" s="57">
        <v>2940</v>
      </c>
      <c r="G159" s="58">
        <v>2301</v>
      </c>
      <c r="H159" s="58"/>
      <c r="I159" s="58"/>
      <c r="J159" s="58">
        <f t="shared" si="9"/>
        <v>2301</v>
      </c>
      <c r="K159" s="58">
        <f>IFERROR(VLOOKUP(B159,'[1]bajada sap'!$B:$F,5,0),0)</f>
        <v>2301</v>
      </c>
      <c r="L159" s="58">
        <f t="shared" si="8"/>
        <v>0</v>
      </c>
    </row>
    <row r="160" ht="15.75" customHeight="1" spans="1:12">
      <c r="A160" s="29">
        <f t="shared" si="7"/>
        <v>0</v>
      </c>
      <c r="B160" s="54">
        <v>40009546</v>
      </c>
      <c r="C160" s="55" t="s">
        <v>174</v>
      </c>
      <c r="D160" s="56" t="s">
        <v>80</v>
      </c>
      <c r="E160" s="4">
        <v>32</v>
      </c>
      <c r="F160" s="57">
        <f>756</f>
        <v>756</v>
      </c>
      <c r="G160" s="58">
        <v>0</v>
      </c>
      <c r="H160" s="58"/>
      <c r="I160" s="58"/>
      <c r="J160" s="58">
        <f t="shared" si="9"/>
        <v>0</v>
      </c>
      <c r="K160" s="58">
        <f>IFERROR(VLOOKUP(B160,'[1]bajada sap'!$B:$F,5,0),0)</f>
        <v>0</v>
      </c>
      <c r="L160" s="58">
        <f t="shared" si="8"/>
        <v>0</v>
      </c>
    </row>
    <row r="161" ht="15.75" customHeight="1" spans="1:12">
      <c r="A161" s="29">
        <f t="shared" si="7"/>
        <v>0</v>
      </c>
      <c r="B161" s="54">
        <v>50531473</v>
      </c>
      <c r="C161" s="55" t="s">
        <v>1193</v>
      </c>
      <c r="D161" s="56" t="s">
        <v>92</v>
      </c>
      <c r="E161" s="4">
        <v>10</v>
      </c>
      <c r="F161" s="4">
        <v>1024000</v>
      </c>
      <c r="G161" s="58">
        <v>0</v>
      </c>
      <c r="H161" s="58"/>
      <c r="I161" s="58"/>
      <c r="J161" s="58">
        <f t="shared" si="9"/>
        <v>0</v>
      </c>
      <c r="K161" s="58">
        <f>IFERROR(VLOOKUP(B161,'[1]bajada sap'!$B:$F,5,0),0)</f>
        <v>0</v>
      </c>
      <c r="L161" s="58">
        <f t="shared" si="8"/>
        <v>0</v>
      </c>
    </row>
    <row r="162" ht="15.75" customHeight="1" spans="1:12">
      <c r="A162" s="29">
        <f t="shared" si="7"/>
        <v>0</v>
      </c>
      <c r="B162" s="54">
        <v>40014088</v>
      </c>
      <c r="C162" s="55" t="s">
        <v>1221</v>
      </c>
      <c r="D162" s="56" t="s">
        <v>80</v>
      </c>
      <c r="E162" s="4"/>
      <c r="F162" s="4"/>
      <c r="G162" s="58">
        <v>0</v>
      </c>
      <c r="H162" s="58"/>
      <c r="I162" s="58"/>
      <c r="J162" s="58">
        <f t="shared" si="9"/>
        <v>0</v>
      </c>
      <c r="K162" s="58">
        <f>IFERROR(VLOOKUP(B162,'[1]bajada sap'!$B:$F,5,0),0)</f>
        <v>0</v>
      </c>
      <c r="L162" s="58">
        <f t="shared" si="8"/>
        <v>0</v>
      </c>
    </row>
    <row r="163" ht="15.75" customHeight="1" spans="1:12">
      <c r="A163" s="29">
        <f t="shared" si="7"/>
        <v>0</v>
      </c>
      <c r="B163" s="54">
        <v>40014089</v>
      </c>
      <c r="C163" s="55" t="s">
        <v>1213</v>
      </c>
      <c r="D163" s="56" t="s">
        <v>80</v>
      </c>
      <c r="E163" s="4"/>
      <c r="F163" s="4"/>
      <c r="G163" s="58">
        <v>0</v>
      </c>
      <c r="H163" s="58"/>
      <c r="I163" s="58"/>
      <c r="J163" s="58">
        <f t="shared" si="9"/>
        <v>0</v>
      </c>
      <c r="K163" s="58">
        <f>IFERROR(VLOOKUP(B163,'[1]bajada sap'!$B:$F,5,0),0)</f>
        <v>0</v>
      </c>
      <c r="L163" s="58">
        <f t="shared" si="8"/>
        <v>0</v>
      </c>
    </row>
    <row r="164" ht="15.75" customHeight="1" spans="1:12">
      <c r="A164" s="29">
        <f t="shared" si="7"/>
        <v>0</v>
      </c>
      <c r="B164" s="54">
        <v>50505050</v>
      </c>
      <c r="C164" s="55" t="s">
        <v>3096</v>
      </c>
      <c r="D164" s="56" t="s">
        <v>92</v>
      </c>
      <c r="E164" s="4"/>
      <c r="F164" s="4"/>
      <c r="G164" s="58">
        <v>0</v>
      </c>
      <c r="H164" s="58"/>
      <c r="I164" s="58"/>
      <c r="J164" s="58">
        <f t="shared" si="9"/>
        <v>0</v>
      </c>
      <c r="K164" s="58">
        <f>IFERROR(VLOOKUP(B164,'[1]bajada sap'!$B:$F,5,0),0)</f>
        <v>0</v>
      </c>
      <c r="L164" s="58">
        <f t="shared" si="8"/>
        <v>0</v>
      </c>
    </row>
    <row r="165" customHeight="1" spans="1:12">
      <c r="A165" s="29">
        <f t="shared" si="7"/>
        <v>0</v>
      </c>
      <c r="B165" s="54">
        <v>50271740</v>
      </c>
      <c r="C165" s="55" t="s">
        <v>314</v>
      </c>
      <c r="D165" s="56" t="s">
        <v>92</v>
      </c>
      <c r="E165" s="4"/>
      <c r="F165" s="57">
        <v>16000</v>
      </c>
      <c r="G165" s="58">
        <v>0</v>
      </c>
      <c r="H165" s="58"/>
      <c r="I165" s="58"/>
      <c r="J165" s="58">
        <f t="shared" si="9"/>
        <v>0</v>
      </c>
      <c r="K165" s="58">
        <f>IFERROR(VLOOKUP(B165,'[1]bajada sap'!$B:$F,5,0),0)</f>
        <v>0</v>
      </c>
      <c r="L165" s="58">
        <f t="shared" si="8"/>
        <v>0</v>
      </c>
    </row>
    <row r="166" spans="1:12">
      <c r="A166" s="29">
        <f t="shared" si="7"/>
        <v>0</v>
      </c>
      <c r="B166" s="54">
        <v>50502627</v>
      </c>
      <c r="C166" s="55" t="s">
        <v>1003</v>
      </c>
      <c r="D166" s="56" t="s">
        <v>92</v>
      </c>
      <c r="E166" s="4"/>
      <c r="F166" s="4"/>
      <c r="G166" s="58">
        <v>0</v>
      </c>
      <c r="H166" s="58"/>
      <c r="I166" s="58"/>
      <c r="J166" s="58">
        <f t="shared" si="9"/>
        <v>0</v>
      </c>
      <c r="K166" s="58">
        <f>IFERROR(VLOOKUP(B166,'[1]bajada sap'!$B:$F,5,0),0)</f>
        <v>0</v>
      </c>
      <c r="L166" s="58">
        <f t="shared" si="8"/>
        <v>0</v>
      </c>
    </row>
    <row r="167" spans="1:12">
      <c r="A167" s="29">
        <f t="shared" si="7"/>
        <v>1</v>
      </c>
      <c r="B167" s="60">
        <v>50804929</v>
      </c>
      <c r="C167" s="55" t="s">
        <v>856</v>
      </c>
      <c r="D167" s="67" t="s">
        <v>962</v>
      </c>
      <c r="E167" s="4">
        <v>2</v>
      </c>
      <c r="F167" s="4">
        <v>504000</v>
      </c>
      <c r="G167" s="58">
        <v>8014900</v>
      </c>
      <c r="H167" s="68"/>
      <c r="I167" s="58">
        <v>445000</v>
      </c>
      <c r="J167" s="64">
        <f t="shared" si="9"/>
        <v>7569900</v>
      </c>
      <c r="K167" s="58">
        <f>IFERROR(VLOOKUP(B167,'[1]bajada sap'!$B:$F,5,0),0)</f>
        <v>2029900</v>
      </c>
      <c r="L167" s="58">
        <f t="shared" si="8"/>
        <v>5540000</v>
      </c>
    </row>
    <row r="168" spans="1:12">
      <c r="A168" s="29">
        <f t="shared" si="7"/>
        <v>0</v>
      </c>
      <c r="B168" s="54">
        <v>50802525</v>
      </c>
      <c r="C168" s="55" t="s">
        <v>801</v>
      </c>
      <c r="D168" s="56" t="s">
        <v>92</v>
      </c>
      <c r="E168" s="4"/>
      <c r="F168" s="4"/>
      <c r="G168" s="58">
        <v>0</v>
      </c>
      <c r="H168" s="58"/>
      <c r="I168" s="58"/>
      <c r="J168" s="58">
        <f t="shared" si="9"/>
        <v>0</v>
      </c>
      <c r="K168" s="58">
        <f>IFERROR(VLOOKUP(B168,'[1]bajada sap'!$B:$F,5,0),0)</f>
        <v>0</v>
      </c>
      <c r="L168" s="58">
        <f t="shared" si="8"/>
        <v>0</v>
      </c>
    </row>
    <row r="169" spans="1:12">
      <c r="A169" s="29">
        <f t="shared" si="7"/>
        <v>0</v>
      </c>
      <c r="B169" s="54">
        <v>50804928</v>
      </c>
      <c r="C169" s="55" t="s">
        <v>3097</v>
      </c>
      <c r="D169" s="56" t="s">
        <v>92</v>
      </c>
      <c r="E169" s="4"/>
      <c r="F169" s="4"/>
      <c r="G169" s="63">
        <v>0</v>
      </c>
      <c r="H169" s="63"/>
      <c r="I169" s="58"/>
      <c r="J169" s="58">
        <f t="shared" si="9"/>
        <v>0</v>
      </c>
      <c r="K169" s="58">
        <f>IFERROR(VLOOKUP(B169,'[1]bajada sap'!$B:$F,5,0),0)</f>
        <v>0</v>
      </c>
      <c r="L169" s="58">
        <f t="shared" si="8"/>
        <v>0</v>
      </c>
    </row>
    <row r="170" spans="1:12">
      <c r="A170" s="29">
        <f t="shared" si="7"/>
        <v>0</v>
      </c>
      <c r="B170" s="54">
        <v>50340253</v>
      </c>
      <c r="C170" s="55" t="s">
        <v>298</v>
      </c>
      <c r="D170" s="56" t="s">
        <v>92</v>
      </c>
      <c r="E170" s="4"/>
      <c r="F170" s="57">
        <v>24000</v>
      </c>
      <c r="G170" s="58">
        <v>0</v>
      </c>
      <c r="H170" s="58"/>
      <c r="I170" s="58"/>
      <c r="J170" s="58">
        <f t="shared" si="9"/>
        <v>0</v>
      </c>
      <c r="K170" s="58">
        <f>IFERROR(VLOOKUP(B170,'[1]bajada sap'!$B:$F,5,0),0)</f>
        <v>0</v>
      </c>
      <c r="L170" s="58">
        <f t="shared" si="8"/>
        <v>0</v>
      </c>
    </row>
    <row r="171" spans="1:12">
      <c r="A171" s="29">
        <f t="shared" si="7"/>
        <v>0</v>
      </c>
      <c r="B171" s="54">
        <v>50286736</v>
      </c>
      <c r="C171" s="55" t="s">
        <v>1771</v>
      </c>
      <c r="D171" s="56" t="s">
        <v>92</v>
      </c>
      <c r="E171" s="4"/>
      <c r="F171" s="4"/>
      <c r="G171" s="58">
        <v>0</v>
      </c>
      <c r="H171" s="58"/>
      <c r="I171" s="58"/>
      <c r="J171" s="58">
        <f t="shared" si="9"/>
        <v>0</v>
      </c>
      <c r="K171" s="58">
        <f>IFERROR(VLOOKUP(B171,'[1]bajada sap'!$B:$F,5,0),0)</f>
        <v>0</v>
      </c>
      <c r="L171" s="58">
        <f t="shared" si="8"/>
        <v>0</v>
      </c>
    </row>
    <row r="172" spans="1:12">
      <c r="A172" s="29">
        <f t="shared" si="7"/>
        <v>0</v>
      </c>
      <c r="B172" s="54">
        <v>50145377</v>
      </c>
      <c r="C172" s="55" t="s">
        <v>312</v>
      </c>
      <c r="D172" s="56" t="s">
        <v>92</v>
      </c>
      <c r="E172" s="4"/>
      <c r="F172" s="57">
        <v>24000</v>
      </c>
      <c r="G172" s="58">
        <v>0</v>
      </c>
      <c r="H172" s="58"/>
      <c r="I172" s="58"/>
      <c r="J172" s="58">
        <f t="shared" si="9"/>
        <v>0</v>
      </c>
      <c r="K172" s="58">
        <f>IFERROR(VLOOKUP(B172,'[1]bajada sap'!$B:$F,5,0),0)</f>
        <v>0</v>
      </c>
      <c r="L172" s="58">
        <f t="shared" si="8"/>
        <v>0</v>
      </c>
    </row>
    <row r="173" spans="1:12">
      <c r="A173" s="29">
        <f t="shared" si="7"/>
        <v>0</v>
      </c>
      <c r="B173" s="54">
        <v>50521126</v>
      </c>
      <c r="C173" s="55" t="s">
        <v>3098</v>
      </c>
      <c r="D173" s="56"/>
      <c r="E173" s="4"/>
      <c r="F173" s="57"/>
      <c r="G173" s="58">
        <v>0</v>
      </c>
      <c r="H173" s="58"/>
      <c r="I173" s="58"/>
      <c r="J173" s="58">
        <f t="shared" si="9"/>
        <v>0</v>
      </c>
      <c r="K173" s="58">
        <f>IFERROR(VLOOKUP(B173,'[1]bajada sap'!$B:$F,5,0),0)</f>
        <v>0</v>
      </c>
      <c r="L173" s="58">
        <f t="shared" si="8"/>
        <v>0</v>
      </c>
    </row>
    <row r="174" spans="1:12">
      <c r="A174" s="29">
        <f t="shared" si="7"/>
        <v>0</v>
      </c>
      <c r="B174" s="54">
        <v>40009148</v>
      </c>
      <c r="C174" s="55" t="s">
        <v>218</v>
      </c>
      <c r="D174" s="56" t="s">
        <v>80</v>
      </c>
      <c r="E174" s="4"/>
      <c r="F174" s="57">
        <v>756</v>
      </c>
      <c r="G174" s="58">
        <v>0</v>
      </c>
      <c r="H174" s="58"/>
      <c r="I174" s="58"/>
      <c r="J174" s="58">
        <f t="shared" si="9"/>
        <v>0</v>
      </c>
      <c r="K174" s="58">
        <f>IFERROR(VLOOKUP(B174,'[1]bajada sap'!$B:$F,5,0),0)</f>
        <v>0</v>
      </c>
      <c r="L174" s="58">
        <f t="shared" si="8"/>
        <v>0</v>
      </c>
    </row>
    <row r="175" spans="1:12">
      <c r="A175" s="29">
        <f t="shared" si="7"/>
        <v>0</v>
      </c>
      <c r="B175" s="54">
        <v>50834013</v>
      </c>
      <c r="C175" s="55" t="s">
        <v>1618</v>
      </c>
      <c r="D175" s="56" t="s">
        <v>80</v>
      </c>
      <c r="E175" s="4"/>
      <c r="F175" s="4"/>
      <c r="G175" s="58">
        <v>0</v>
      </c>
      <c r="H175" s="58"/>
      <c r="I175" s="58"/>
      <c r="J175" s="58">
        <f t="shared" si="9"/>
        <v>0</v>
      </c>
      <c r="K175" s="58">
        <f>IFERROR(VLOOKUP(B175,'[1]bajada sap'!$B:$F,5,0),0)</f>
        <v>0</v>
      </c>
      <c r="L175" s="58">
        <f t="shared" si="8"/>
        <v>0</v>
      </c>
    </row>
    <row r="176" spans="1:12">
      <c r="A176" s="29">
        <f t="shared" si="7"/>
        <v>0</v>
      </c>
      <c r="B176" s="54">
        <v>50834014</v>
      </c>
      <c r="C176" s="55" t="s">
        <v>1625</v>
      </c>
      <c r="D176" s="56" t="s">
        <v>80</v>
      </c>
      <c r="E176" s="4"/>
      <c r="F176" s="4"/>
      <c r="G176" s="58">
        <v>0</v>
      </c>
      <c r="H176" s="58"/>
      <c r="I176" s="58"/>
      <c r="J176" s="58">
        <f t="shared" si="9"/>
        <v>0</v>
      </c>
      <c r="K176" s="58">
        <f>IFERROR(VLOOKUP(B176,'[1]bajada sap'!$B:$F,5,0),0)</f>
        <v>0</v>
      </c>
      <c r="L176" s="58">
        <f t="shared" si="8"/>
        <v>0</v>
      </c>
    </row>
    <row r="177" spans="1:13">
      <c r="A177" s="29">
        <f t="shared" si="7"/>
        <v>1</v>
      </c>
      <c r="B177" s="54">
        <v>40010084</v>
      </c>
      <c r="C177" s="55" t="s">
        <v>81</v>
      </c>
      <c r="D177" s="56" t="s">
        <v>80</v>
      </c>
      <c r="E177" s="4">
        <v>3</v>
      </c>
      <c r="F177" s="57">
        <v>864</v>
      </c>
      <c r="G177" s="58">
        <v>6191</v>
      </c>
      <c r="H177" s="58"/>
      <c r="I177" s="58"/>
      <c r="J177" s="58">
        <f t="shared" si="9"/>
        <v>6191</v>
      </c>
      <c r="K177" s="58">
        <f>IFERROR(VLOOKUP(B177,'[1]bajada sap'!$B:$F,5,0),0)</f>
        <v>6191</v>
      </c>
      <c r="L177" s="58">
        <f t="shared" si="8"/>
        <v>0</v>
      </c>
      <c r="M177" t="s">
        <v>3087</v>
      </c>
    </row>
    <row r="178" spans="1:13">
      <c r="A178" s="29">
        <f t="shared" si="7"/>
        <v>1</v>
      </c>
      <c r="B178" s="54">
        <v>40010087</v>
      </c>
      <c r="C178" s="55" t="s">
        <v>387</v>
      </c>
      <c r="D178" s="56" t="s">
        <v>80</v>
      </c>
      <c r="E178" s="4"/>
      <c r="F178" s="57">
        <v>864</v>
      </c>
      <c r="G178" s="58">
        <v>12096</v>
      </c>
      <c r="H178" s="58"/>
      <c r="I178" s="58"/>
      <c r="J178" s="58">
        <f t="shared" si="9"/>
        <v>12096</v>
      </c>
      <c r="K178" s="58">
        <f>IFERROR(VLOOKUP(B178,'[1]bajada sap'!$B:$F,5,0),0)</f>
        <v>12096</v>
      </c>
      <c r="L178" s="58">
        <f t="shared" si="8"/>
        <v>0</v>
      </c>
    </row>
    <row r="179" spans="1:13">
      <c r="A179" s="29">
        <f t="shared" si="7"/>
        <v>0</v>
      </c>
      <c r="B179" s="54">
        <v>40007939</v>
      </c>
      <c r="C179" s="55" t="s">
        <v>1873</v>
      </c>
      <c r="D179" s="56" t="s">
        <v>80</v>
      </c>
      <c r="E179" s="4"/>
      <c r="F179" s="4"/>
      <c r="G179" s="58">
        <v>0</v>
      </c>
      <c r="H179" s="58"/>
      <c r="I179" s="58"/>
      <c r="J179" s="58">
        <f t="shared" si="9"/>
        <v>0</v>
      </c>
      <c r="K179" s="58">
        <f>IFERROR(VLOOKUP(B179,'[1]bajada sap'!$B:$F,5,0),0)</f>
        <v>0</v>
      </c>
      <c r="L179" s="58">
        <f t="shared" si="8"/>
        <v>0</v>
      </c>
      <c r="M179" t="s">
        <v>3099</v>
      </c>
    </row>
    <row r="180" spans="1:13">
      <c r="A180" s="29">
        <f t="shared" si="7"/>
        <v>0</v>
      </c>
      <c r="B180" s="54">
        <v>40015004</v>
      </c>
      <c r="C180" s="55" t="s">
        <v>2024</v>
      </c>
      <c r="D180" s="56" t="s">
        <v>80</v>
      </c>
      <c r="E180" s="4"/>
      <c r="F180" s="4"/>
      <c r="G180" s="58">
        <v>0</v>
      </c>
      <c r="H180" s="58"/>
      <c r="I180" s="58"/>
      <c r="J180" s="58">
        <f t="shared" si="9"/>
        <v>0</v>
      </c>
      <c r="K180" s="58">
        <f>IFERROR(VLOOKUP(B180,'[1]bajada sap'!$B:$F,5,0),0)</f>
        <v>0</v>
      </c>
      <c r="L180" s="58">
        <f t="shared" si="8"/>
        <v>0</v>
      </c>
    </row>
    <row r="181" spans="1:13">
      <c r="A181" s="29">
        <f t="shared" si="7"/>
        <v>0</v>
      </c>
      <c r="B181" s="54">
        <v>40015006</v>
      </c>
      <c r="C181" s="55" t="s">
        <v>2027</v>
      </c>
      <c r="D181" s="56" t="s">
        <v>80</v>
      </c>
      <c r="E181" s="4"/>
      <c r="F181" s="4"/>
      <c r="G181" s="58">
        <v>0</v>
      </c>
      <c r="H181" s="58"/>
      <c r="I181" s="58"/>
      <c r="J181" s="58">
        <f t="shared" si="9"/>
        <v>0</v>
      </c>
      <c r="K181" s="58">
        <f>IFERROR(VLOOKUP(B181,'[1]bajada sap'!$B:$F,5,0),0)</f>
        <v>0</v>
      </c>
      <c r="L181" s="58">
        <f t="shared" si="8"/>
        <v>0</v>
      </c>
    </row>
    <row r="182" spans="1:13">
      <c r="A182" s="29">
        <f t="shared" si="7"/>
        <v>1</v>
      </c>
      <c r="B182" s="54">
        <v>50143876</v>
      </c>
      <c r="C182" s="55" t="s">
        <v>2752</v>
      </c>
      <c r="D182" s="56" t="s">
        <v>92</v>
      </c>
      <c r="E182" s="4"/>
      <c r="F182" s="4"/>
      <c r="G182" s="58">
        <v>20000</v>
      </c>
      <c r="H182" s="58"/>
      <c r="I182" s="58"/>
      <c r="J182" s="58">
        <f t="shared" si="9"/>
        <v>20000</v>
      </c>
      <c r="K182" s="58">
        <f>IFERROR(VLOOKUP(B182,'[1]bajada sap'!$B:$F,5,0),0)</f>
        <v>20000</v>
      </c>
      <c r="L182" s="58">
        <f t="shared" si="8"/>
        <v>0</v>
      </c>
    </row>
    <row r="183" spans="1:13">
      <c r="A183" s="29">
        <f t="shared" si="7"/>
        <v>0</v>
      </c>
      <c r="B183" s="54">
        <v>50552276</v>
      </c>
      <c r="C183" s="55" t="s">
        <v>1192</v>
      </c>
      <c r="D183" s="56" t="s">
        <v>92</v>
      </c>
      <c r="E183" s="4"/>
      <c r="F183" s="4"/>
      <c r="G183" s="58">
        <v>0</v>
      </c>
      <c r="H183" s="58"/>
      <c r="I183" s="58"/>
      <c r="J183" s="58">
        <f t="shared" si="9"/>
        <v>0</v>
      </c>
      <c r="K183" s="58">
        <f>IFERROR(VLOOKUP(B183,'[1]bajada sap'!$B:$F,5,0),0)</f>
        <v>0</v>
      </c>
      <c r="L183" s="58">
        <f t="shared" si="8"/>
        <v>0</v>
      </c>
    </row>
    <row r="184" spans="1:13">
      <c r="A184" s="29">
        <f t="shared" si="7"/>
        <v>0</v>
      </c>
      <c r="B184" s="54">
        <v>50417410</v>
      </c>
      <c r="C184" s="55" t="s">
        <v>302</v>
      </c>
      <c r="D184" s="56" t="s">
        <v>92</v>
      </c>
      <c r="E184" s="4"/>
      <c r="F184" s="57">
        <v>30000</v>
      </c>
      <c r="G184" s="58">
        <v>0</v>
      </c>
      <c r="H184" s="58"/>
      <c r="I184" s="58"/>
      <c r="J184" s="58">
        <f t="shared" si="9"/>
        <v>0</v>
      </c>
      <c r="K184" s="58">
        <f>IFERROR(VLOOKUP(B184,'[1]bajada sap'!$B:$F,5,0),0)</f>
        <v>0</v>
      </c>
      <c r="L184" s="58">
        <f t="shared" si="8"/>
        <v>0</v>
      </c>
    </row>
    <row r="185" spans="1:13">
      <c r="A185" s="29">
        <f t="shared" si="7"/>
        <v>0</v>
      </c>
      <c r="B185" s="54">
        <v>50428207</v>
      </c>
      <c r="C185" s="55" t="s">
        <v>3100</v>
      </c>
      <c r="D185" s="56"/>
      <c r="E185" s="4"/>
      <c r="F185" s="57"/>
      <c r="G185" s="58">
        <v>0</v>
      </c>
      <c r="H185" s="58"/>
      <c r="I185" s="58"/>
      <c r="J185" s="58">
        <f t="shared" si="9"/>
        <v>0</v>
      </c>
      <c r="K185" s="58">
        <f>IFERROR(VLOOKUP(B185,'[1]bajada sap'!$B:$F,5,0),0)</f>
        <v>0</v>
      </c>
      <c r="L185" s="58">
        <f t="shared" si="8"/>
        <v>0</v>
      </c>
    </row>
    <row r="186" spans="1:13">
      <c r="A186" s="29">
        <f t="shared" si="7"/>
        <v>0</v>
      </c>
      <c r="B186" s="54">
        <v>50429168</v>
      </c>
      <c r="C186" s="55" t="s">
        <v>294</v>
      </c>
      <c r="D186" s="56" t="s">
        <v>92</v>
      </c>
      <c r="E186" s="4"/>
      <c r="F186" s="57">
        <v>30000</v>
      </c>
      <c r="G186" s="58">
        <v>0</v>
      </c>
      <c r="H186" s="58"/>
      <c r="I186" s="58"/>
      <c r="J186" s="58">
        <f t="shared" si="9"/>
        <v>0</v>
      </c>
      <c r="K186" s="58">
        <f>IFERROR(VLOOKUP(B186,'[1]bajada sap'!$B:$F,5,0),0)</f>
        <v>0</v>
      </c>
      <c r="L186" s="58">
        <f t="shared" si="8"/>
        <v>0</v>
      </c>
    </row>
    <row r="187" spans="1:13">
      <c r="A187" s="29">
        <f t="shared" si="7"/>
        <v>0</v>
      </c>
      <c r="B187" s="54">
        <v>50455770</v>
      </c>
      <c r="C187" s="55" t="s">
        <v>308</v>
      </c>
      <c r="D187" s="56" t="s">
        <v>92</v>
      </c>
      <c r="E187" s="4"/>
      <c r="F187" s="57">
        <v>30000</v>
      </c>
      <c r="G187" s="58">
        <v>0</v>
      </c>
      <c r="H187" s="58"/>
      <c r="I187" s="58"/>
      <c r="J187" s="58">
        <f t="shared" si="9"/>
        <v>0</v>
      </c>
      <c r="K187" s="58">
        <f>IFERROR(VLOOKUP(B187,'[1]bajada sap'!$B:$F,5,0),0)</f>
        <v>0</v>
      </c>
      <c r="L187" s="58">
        <f t="shared" si="8"/>
        <v>0</v>
      </c>
    </row>
    <row r="188" spans="1:13">
      <c r="A188" s="29">
        <f t="shared" si="7"/>
        <v>0</v>
      </c>
      <c r="B188" s="54">
        <v>50455772</v>
      </c>
      <c r="C188" s="55" t="s">
        <v>258</v>
      </c>
      <c r="D188" s="56" t="s">
        <v>92</v>
      </c>
      <c r="E188" s="4"/>
      <c r="F188" s="57">
        <v>30000</v>
      </c>
      <c r="G188" s="58">
        <v>0</v>
      </c>
      <c r="H188" s="58"/>
      <c r="I188" s="58"/>
      <c r="J188" s="58">
        <f t="shared" si="9"/>
        <v>0</v>
      </c>
      <c r="K188" s="58">
        <f>IFERROR(VLOOKUP(B188,'[1]bajada sap'!$B:$F,5,0),0)</f>
        <v>0</v>
      </c>
      <c r="L188" s="58">
        <f t="shared" si="8"/>
        <v>0</v>
      </c>
    </row>
    <row r="189" spans="1:13">
      <c r="A189" s="29">
        <f t="shared" si="7"/>
        <v>0</v>
      </c>
      <c r="B189" s="54">
        <v>50455865</v>
      </c>
      <c r="C189" s="55" t="s">
        <v>329</v>
      </c>
      <c r="D189" s="56" t="s">
        <v>82</v>
      </c>
      <c r="E189" s="4"/>
      <c r="F189" s="57">
        <v>440</v>
      </c>
      <c r="G189" s="58">
        <v>0</v>
      </c>
      <c r="H189" s="58"/>
      <c r="I189" s="58"/>
      <c r="J189" s="58">
        <f t="shared" si="9"/>
        <v>0</v>
      </c>
      <c r="K189" s="58">
        <f>IFERROR(VLOOKUP(B189,'[1]bajada sap'!$B:$F,5,0),0)</f>
        <v>0</v>
      </c>
      <c r="L189" s="58">
        <f t="shared" si="8"/>
        <v>0</v>
      </c>
    </row>
    <row r="190" spans="1:13">
      <c r="A190" s="29">
        <f t="shared" si="7"/>
        <v>0</v>
      </c>
      <c r="B190" s="54">
        <v>50417619</v>
      </c>
      <c r="C190" s="55" t="s">
        <v>328</v>
      </c>
      <c r="D190" s="56" t="s">
        <v>82</v>
      </c>
      <c r="E190" s="4"/>
      <c r="F190" s="57">
        <v>500</v>
      </c>
      <c r="G190" s="58">
        <v>0</v>
      </c>
      <c r="H190" s="58"/>
      <c r="I190" s="58"/>
      <c r="J190" s="58">
        <f t="shared" si="9"/>
        <v>0</v>
      </c>
      <c r="K190" s="58">
        <f>IFERROR(VLOOKUP(B190,'[1]bajada sap'!$B:$F,5,0),0)</f>
        <v>0</v>
      </c>
      <c r="L190" s="58">
        <f t="shared" si="8"/>
        <v>0</v>
      </c>
    </row>
    <row r="191" spans="1:13">
      <c r="A191" s="29">
        <f t="shared" si="7"/>
        <v>0</v>
      </c>
      <c r="B191" s="54">
        <v>50455985</v>
      </c>
      <c r="C191" s="55" t="s">
        <v>299</v>
      </c>
      <c r="D191" s="56" t="s">
        <v>92</v>
      </c>
      <c r="E191" s="4"/>
      <c r="F191" s="57">
        <v>30000</v>
      </c>
      <c r="G191" s="58">
        <v>0</v>
      </c>
      <c r="H191" s="58"/>
      <c r="I191" s="58"/>
      <c r="J191" s="58">
        <f t="shared" si="9"/>
        <v>0</v>
      </c>
      <c r="K191" s="58">
        <f>IFERROR(VLOOKUP(B191,'[1]bajada sap'!$B:$F,5,0),0)</f>
        <v>0</v>
      </c>
      <c r="L191" s="58">
        <f t="shared" si="8"/>
        <v>0</v>
      </c>
    </row>
    <row r="192" spans="1:13">
      <c r="A192" s="29">
        <f t="shared" si="7"/>
        <v>0</v>
      </c>
      <c r="B192" s="54">
        <v>50455988</v>
      </c>
      <c r="C192" s="55" t="s">
        <v>304</v>
      </c>
      <c r="D192" s="56" t="s">
        <v>92</v>
      </c>
      <c r="E192" s="4"/>
      <c r="F192" s="57">
        <v>30000</v>
      </c>
      <c r="G192" s="58">
        <v>0</v>
      </c>
      <c r="H192" s="58"/>
      <c r="I192" s="58"/>
      <c r="J192" s="58">
        <f t="shared" si="9"/>
        <v>0</v>
      </c>
      <c r="K192" s="58">
        <f>IFERROR(VLOOKUP(B192,'[1]bajada sap'!$B:$F,5,0),0)</f>
        <v>0</v>
      </c>
      <c r="L192" s="58">
        <f t="shared" si="8"/>
        <v>0</v>
      </c>
    </row>
    <row r="193" spans="1:12">
      <c r="A193" s="29">
        <f t="shared" si="7"/>
        <v>1</v>
      </c>
      <c r="B193" s="54">
        <v>50756639</v>
      </c>
      <c r="C193" s="55" t="s">
        <v>2659</v>
      </c>
      <c r="D193" s="56" t="s">
        <v>92</v>
      </c>
      <c r="E193" s="4"/>
      <c r="F193" s="4"/>
      <c r="G193" s="58">
        <v>6000</v>
      </c>
      <c r="H193" s="58"/>
      <c r="I193" s="58"/>
      <c r="J193" s="58">
        <f t="shared" si="9"/>
        <v>6000</v>
      </c>
      <c r="K193" s="58">
        <f>IFERROR(VLOOKUP(B193,'[1]bajada sap'!$B:$F,5,0),0)</f>
        <v>6000</v>
      </c>
      <c r="L193" s="58">
        <f t="shared" si="8"/>
        <v>0</v>
      </c>
    </row>
    <row r="194" spans="1:12">
      <c r="A194" s="29">
        <f t="shared" si="7"/>
        <v>0</v>
      </c>
      <c r="B194" s="54">
        <v>40011133</v>
      </c>
      <c r="C194" s="55" t="s">
        <v>634</v>
      </c>
      <c r="D194" s="56" t="s">
        <v>80</v>
      </c>
      <c r="E194" s="4">
        <v>6048</v>
      </c>
      <c r="F194" s="4">
        <v>864</v>
      </c>
      <c r="G194" s="58">
        <v>0</v>
      </c>
      <c r="H194" s="63"/>
      <c r="I194" s="58"/>
      <c r="J194" s="58">
        <f t="shared" si="9"/>
        <v>0</v>
      </c>
      <c r="K194" s="58">
        <f>IFERROR(VLOOKUP(B194,'[1]bajada sap'!$B:$F,5,0),0)</f>
        <v>0</v>
      </c>
      <c r="L194" s="58">
        <f t="shared" si="8"/>
        <v>0</v>
      </c>
    </row>
    <row r="195" spans="1:12">
      <c r="A195" s="29">
        <f t="shared" si="7"/>
        <v>0</v>
      </c>
      <c r="B195" s="59">
        <v>50851661</v>
      </c>
      <c r="C195" s="55" t="s">
        <v>2455</v>
      </c>
      <c r="D195" s="56"/>
      <c r="E195" s="4"/>
      <c r="F195" s="4"/>
      <c r="G195" s="58">
        <v>0</v>
      </c>
      <c r="H195" s="58"/>
      <c r="I195" s="58"/>
      <c r="J195" s="58">
        <f t="shared" si="9"/>
        <v>0</v>
      </c>
      <c r="K195" s="58">
        <f>IFERROR(VLOOKUP(B195,'[1]bajada sap'!$B:$F,5,0),0)</f>
        <v>0</v>
      </c>
      <c r="L195" s="58">
        <f t="shared" si="8"/>
        <v>0</v>
      </c>
    </row>
    <row r="196" spans="1:12">
      <c r="A196" s="29">
        <f t="shared" si="7"/>
        <v>0</v>
      </c>
      <c r="B196" s="54">
        <v>50789524</v>
      </c>
      <c r="C196" s="55" t="s">
        <v>561</v>
      </c>
      <c r="D196" s="56" t="s">
        <v>82</v>
      </c>
      <c r="E196" s="4"/>
      <c r="F196" s="57"/>
      <c r="G196" s="58">
        <v>0</v>
      </c>
      <c r="H196" s="58"/>
      <c r="I196" s="58"/>
      <c r="J196" s="58">
        <f t="shared" si="9"/>
        <v>0</v>
      </c>
      <c r="K196" s="58">
        <f>IFERROR(VLOOKUP(B196,'[1]bajada sap'!$B:$F,5,0),0)</f>
        <v>0</v>
      </c>
      <c r="L196" s="58">
        <f t="shared" si="8"/>
        <v>0</v>
      </c>
    </row>
    <row r="197" spans="1:12">
      <c r="A197" s="29">
        <f t="shared" si="7"/>
        <v>0</v>
      </c>
      <c r="B197" s="54">
        <v>50351518</v>
      </c>
      <c r="C197" s="55" t="s">
        <v>1047</v>
      </c>
      <c r="D197" s="56" t="s">
        <v>82</v>
      </c>
      <c r="E197" s="4"/>
      <c r="F197" s="4"/>
      <c r="G197" s="58">
        <v>0</v>
      </c>
      <c r="H197" s="58"/>
      <c r="I197" s="58"/>
      <c r="J197" s="58">
        <f t="shared" si="9"/>
        <v>0</v>
      </c>
      <c r="K197" s="58">
        <f>IFERROR(VLOOKUP(B197,'[1]bajada sap'!$B:$F,5,0),0)</f>
        <v>0</v>
      </c>
      <c r="L197" s="58">
        <f t="shared" si="8"/>
        <v>0</v>
      </c>
    </row>
    <row r="198" spans="1:12">
      <c r="A198" s="29">
        <f t="shared" si="7"/>
        <v>0</v>
      </c>
      <c r="B198" s="54">
        <v>50785688</v>
      </c>
      <c r="C198" s="55" t="s">
        <v>457</v>
      </c>
      <c r="D198" s="56" t="s">
        <v>82</v>
      </c>
      <c r="E198" s="4"/>
      <c r="F198" s="4">
        <v>462</v>
      </c>
      <c r="G198" s="58">
        <v>0</v>
      </c>
      <c r="H198" s="58"/>
      <c r="I198" s="58"/>
      <c r="J198" s="58">
        <f t="shared" si="9"/>
        <v>0</v>
      </c>
      <c r="K198" s="58">
        <f>IFERROR(VLOOKUP(B198,'[1]bajada sap'!$B:$F,5,0),0)</f>
        <v>0</v>
      </c>
      <c r="L198" s="58">
        <f t="shared" si="8"/>
        <v>0</v>
      </c>
    </row>
    <row r="199" spans="1:12">
      <c r="A199" s="29">
        <f t="shared" si="7"/>
        <v>0</v>
      </c>
      <c r="B199" s="54">
        <v>50513699</v>
      </c>
      <c r="C199" s="55" t="s">
        <v>338</v>
      </c>
      <c r="D199" s="56" t="s">
        <v>82</v>
      </c>
      <c r="E199" s="4"/>
      <c r="F199" s="57"/>
      <c r="G199" s="58">
        <v>0</v>
      </c>
      <c r="H199" s="58"/>
      <c r="I199" s="58"/>
      <c r="J199" s="58">
        <f t="shared" si="9"/>
        <v>0</v>
      </c>
      <c r="K199" s="58">
        <f>IFERROR(VLOOKUP(B199,'[1]bajada sap'!$B:$F,5,0),0)</f>
        <v>0</v>
      </c>
      <c r="L199" s="58">
        <f t="shared" si="8"/>
        <v>0</v>
      </c>
    </row>
    <row r="200" spans="1:12">
      <c r="A200" s="29">
        <f t="shared" si="7"/>
        <v>0</v>
      </c>
      <c r="B200" s="54">
        <v>50837269</v>
      </c>
      <c r="C200" s="55" t="s">
        <v>2138</v>
      </c>
      <c r="D200" s="56" t="s">
        <v>82</v>
      </c>
      <c r="E200" s="4"/>
      <c r="F200" s="4"/>
      <c r="G200" s="58">
        <v>0</v>
      </c>
      <c r="H200" s="58"/>
      <c r="I200" s="58"/>
      <c r="J200" s="58">
        <f t="shared" si="9"/>
        <v>0</v>
      </c>
      <c r="K200" s="58">
        <f>IFERROR(VLOOKUP(B200,'[1]bajada sap'!$B:$F,5,0),0)</f>
        <v>0</v>
      </c>
      <c r="L200" s="58">
        <f t="shared" si="8"/>
        <v>0</v>
      </c>
    </row>
    <row r="201" spans="1:12">
      <c r="A201" s="29">
        <f t="shared" ref="A201:A263" si="10">+IF(OR(G201&gt;0,J201&gt;0,K201&gt;0),1,0)</f>
        <v>0</v>
      </c>
      <c r="B201" s="54">
        <v>50501720</v>
      </c>
      <c r="C201" s="55" t="s">
        <v>247</v>
      </c>
      <c r="D201" s="56" t="s">
        <v>82</v>
      </c>
      <c r="E201" s="4"/>
      <c r="F201" s="57">
        <v>581</v>
      </c>
      <c r="G201" s="58">
        <v>0</v>
      </c>
      <c r="H201" s="58"/>
      <c r="I201" s="58"/>
      <c r="J201" s="58">
        <f t="shared" si="9"/>
        <v>0</v>
      </c>
      <c r="K201" s="58">
        <f>IFERROR(VLOOKUP(B201,'[1]bajada sap'!$B:$F,5,0),0)</f>
        <v>0</v>
      </c>
      <c r="L201" s="58">
        <f t="shared" ref="L201:L263" si="11">J201-K201</f>
        <v>0</v>
      </c>
    </row>
    <row r="202" spans="1:12">
      <c r="A202" s="29">
        <f t="shared" si="10"/>
        <v>0</v>
      </c>
      <c r="B202" s="54">
        <v>50498014</v>
      </c>
      <c r="C202" s="55" t="s">
        <v>440</v>
      </c>
      <c r="D202" s="56" t="s">
        <v>82</v>
      </c>
      <c r="E202" s="4"/>
      <c r="F202" s="4">
        <v>490.65</v>
      </c>
      <c r="G202" s="58">
        <v>0</v>
      </c>
      <c r="H202" s="58"/>
      <c r="I202" s="58"/>
      <c r="J202" s="58">
        <f t="shared" si="9"/>
        <v>0</v>
      </c>
      <c r="K202" s="58">
        <f>IFERROR(VLOOKUP(B202,'[1]bajada sap'!$B:$F,5,0),0)</f>
        <v>0</v>
      </c>
      <c r="L202" s="58">
        <f t="shared" si="11"/>
        <v>0</v>
      </c>
    </row>
    <row r="203" spans="1:12">
      <c r="A203" s="29">
        <f t="shared" si="10"/>
        <v>0</v>
      </c>
      <c r="B203" s="54">
        <v>50522164</v>
      </c>
      <c r="C203" s="55" t="s">
        <v>439</v>
      </c>
      <c r="D203" s="56" t="s">
        <v>82</v>
      </c>
      <c r="E203" s="4"/>
      <c r="F203" s="4">
        <v>420</v>
      </c>
      <c r="G203" s="58">
        <v>0</v>
      </c>
      <c r="H203" s="58"/>
      <c r="I203" s="58"/>
      <c r="J203" s="58">
        <f t="shared" si="9"/>
        <v>0</v>
      </c>
      <c r="K203" s="58">
        <f>IFERROR(VLOOKUP(B203,'[1]bajada sap'!$B:$F,5,0),0)</f>
        <v>0</v>
      </c>
      <c r="L203" s="58">
        <f t="shared" si="11"/>
        <v>0</v>
      </c>
    </row>
    <row r="204" spans="1:12">
      <c r="A204" s="29">
        <f t="shared" si="10"/>
        <v>0</v>
      </c>
      <c r="B204" s="54">
        <v>50486297</v>
      </c>
      <c r="C204" s="55" t="s">
        <v>441</v>
      </c>
      <c r="D204" s="56" t="s">
        <v>82</v>
      </c>
      <c r="E204" s="4"/>
      <c r="F204" s="4">
        <v>540</v>
      </c>
      <c r="G204" s="58">
        <v>0</v>
      </c>
      <c r="H204" s="58"/>
      <c r="I204" s="58"/>
      <c r="J204" s="58">
        <f t="shared" si="9"/>
        <v>0</v>
      </c>
      <c r="K204" s="58">
        <f>IFERROR(VLOOKUP(B204,'[1]bajada sap'!$B:$F,5,0),0)</f>
        <v>0</v>
      </c>
      <c r="L204" s="58">
        <f t="shared" si="11"/>
        <v>0</v>
      </c>
    </row>
    <row r="205" spans="1:12">
      <c r="A205" s="29">
        <f t="shared" si="10"/>
        <v>0</v>
      </c>
      <c r="B205" s="54">
        <v>50493262</v>
      </c>
      <c r="C205" s="55" t="s">
        <v>248</v>
      </c>
      <c r="D205" s="56" t="s">
        <v>82</v>
      </c>
      <c r="E205" s="4"/>
      <c r="F205" s="57">
        <v>674</v>
      </c>
      <c r="G205" s="58">
        <v>0</v>
      </c>
      <c r="H205" s="58"/>
      <c r="I205" s="58"/>
      <c r="J205" s="58">
        <f t="shared" si="9"/>
        <v>0</v>
      </c>
      <c r="K205" s="58">
        <f>IFERROR(VLOOKUP(B205,'[1]bajada sap'!$B:$F,5,0),0)</f>
        <v>0</v>
      </c>
      <c r="L205" s="58">
        <f t="shared" si="11"/>
        <v>0</v>
      </c>
    </row>
    <row r="206" spans="1:12">
      <c r="A206" s="29">
        <f t="shared" si="10"/>
        <v>0</v>
      </c>
      <c r="B206" s="54">
        <v>50510131</v>
      </c>
      <c r="C206" s="55" t="s">
        <v>725</v>
      </c>
      <c r="D206" s="56" t="s">
        <v>82</v>
      </c>
      <c r="E206" s="4"/>
      <c r="F206" s="4"/>
      <c r="G206" s="58">
        <v>0</v>
      </c>
      <c r="H206" s="58"/>
      <c r="I206" s="58"/>
      <c r="J206" s="58">
        <f t="shared" si="9"/>
        <v>0</v>
      </c>
      <c r="K206" s="58">
        <f>IFERROR(VLOOKUP(B206,'[1]bajada sap'!$B:$F,5,0),0)</f>
        <v>0</v>
      </c>
      <c r="L206" s="58">
        <f t="shared" si="11"/>
        <v>0</v>
      </c>
    </row>
    <row r="207" spans="1:12">
      <c r="A207" s="29">
        <f t="shared" si="10"/>
        <v>0</v>
      </c>
      <c r="B207" s="54">
        <v>50842176</v>
      </c>
      <c r="C207" s="55" t="s">
        <v>2207</v>
      </c>
      <c r="D207" s="56" t="s">
        <v>82</v>
      </c>
      <c r="E207" s="4"/>
      <c r="F207" s="4"/>
      <c r="G207" s="58">
        <v>0</v>
      </c>
      <c r="H207" s="58"/>
      <c r="I207" s="58"/>
      <c r="J207" s="58">
        <f t="shared" si="9"/>
        <v>0</v>
      </c>
      <c r="K207" s="58">
        <f>IFERROR(VLOOKUP(B207,'[1]bajada sap'!$B:$F,5,0),0)</f>
        <v>0</v>
      </c>
      <c r="L207" s="58">
        <f t="shared" si="11"/>
        <v>0</v>
      </c>
    </row>
    <row r="208" spans="1:12">
      <c r="A208" s="29">
        <f t="shared" si="10"/>
        <v>0</v>
      </c>
      <c r="B208" s="54">
        <v>50522168</v>
      </c>
      <c r="C208" s="55" t="s">
        <v>3101</v>
      </c>
      <c r="D208" s="56" t="s">
        <v>82</v>
      </c>
      <c r="E208" s="4"/>
      <c r="F208" s="71">
        <v>665.7</v>
      </c>
      <c r="G208" s="58">
        <v>0</v>
      </c>
      <c r="H208" s="58"/>
      <c r="I208" s="58"/>
      <c r="J208" s="58">
        <f t="shared" si="9"/>
        <v>0</v>
      </c>
      <c r="K208" s="58">
        <f>IFERROR(VLOOKUP(B208,'[1]bajada sap'!$B:$F,5,0),0)</f>
        <v>0</v>
      </c>
      <c r="L208" s="58">
        <f t="shared" si="11"/>
        <v>0</v>
      </c>
    </row>
    <row r="209" spans="1:12">
      <c r="A209" s="29">
        <f t="shared" si="10"/>
        <v>0</v>
      </c>
      <c r="B209" s="54">
        <v>50767484</v>
      </c>
      <c r="C209" s="55" t="s">
        <v>251</v>
      </c>
      <c r="D209" s="56" t="s">
        <v>82</v>
      </c>
      <c r="E209" s="4"/>
      <c r="F209" s="57">
        <v>145</v>
      </c>
      <c r="G209" s="58">
        <v>0</v>
      </c>
      <c r="H209" s="58"/>
      <c r="I209" s="58"/>
      <c r="J209" s="58">
        <f t="shared" si="9"/>
        <v>0</v>
      </c>
      <c r="K209" s="58">
        <f>IFERROR(VLOOKUP(B209,'[1]bajada sap'!$B:$F,5,0),0)</f>
        <v>0</v>
      </c>
      <c r="L209" s="58">
        <f t="shared" si="11"/>
        <v>0</v>
      </c>
    </row>
    <row r="210" spans="1:12">
      <c r="A210" s="29">
        <f t="shared" si="10"/>
        <v>0</v>
      </c>
      <c r="B210" s="54">
        <v>50493248</v>
      </c>
      <c r="C210" s="55" t="s">
        <v>437</v>
      </c>
      <c r="D210" s="56" t="s">
        <v>82</v>
      </c>
      <c r="E210" s="4"/>
      <c r="F210" s="4">
        <v>450</v>
      </c>
      <c r="G210" s="58">
        <v>0</v>
      </c>
      <c r="H210" s="58"/>
      <c r="I210" s="58"/>
      <c r="J210" s="58">
        <f t="shared" ref="J210:J272" si="12">+G210+H210-I210</f>
        <v>0</v>
      </c>
      <c r="K210" s="58">
        <f>IFERROR(VLOOKUP(B210,'[1]bajada sap'!$B:$F,5,0),0)</f>
        <v>0</v>
      </c>
      <c r="L210" s="58">
        <f t="shared" si="11"/>
        <v>0</v>
      </c>
    </row>
    <row r="211" spans="1:12">
      <c r="A211" s="29">
        <f t="shared" si="10"/>
        <v>0</v>
      </c>
      <c r="B211" s="54">
        <v>50809146</v>
      </c>
      <c r="C211" s="55" t="s">
        <v>1030</v>
      </c>
      <c r="D211" s="56" t="s">
        <v>82</v>
      </c>
      <c r="E211" s="4"/>
      <c r="F211" s="4"/>
      <c r="G211" s="58">
        <v>0</v>
      </c>
      <c r="H211" s="58"/>
      <c r="I211" s="58"/>
      <c r="J211" s="58">
        <f t="shared" si="12"/>
        <v>0</v>
      </c>
      <c r="K211" s="58">
        <f>IFERROR(VLOOKUP(B211,'[1]bajada sap'!$B:$F,5,0),0)</f>
        <v>0</v>
      </c>
      <c r="L211" s="58">
        <f t="shared" si="11"/>
        <v>0</v>
      </c>
    </row>
    <row r="212" spans="1:12">
      <c r="A212" s="29">
        <f t="shared" si="10"/>
        <v>0</v>
      </c>
      <c r="B212" s="54">
        <v>50522169</v>
      </c>
      <c r="C212" s="55" t="s">
        <v>250</v>
      </c>
      <c r="D212" s="56" t="s">
        <v>82</v>
      </c>
      <c r="E212" s="4"/>
      <c r="F212" s="57">
        <v>101</v>
      </c>
      <c r="G212" s="58">
        <v>0</v>
      </c>
      <c r="H212" s="58"/>
      <c r="I212" s="58"/>
      <c r="J212" s="58">
        <f t="shared" si="12"/>
        <v>0</v>
      </c>
      <c r="K212" s="58">
        <f>IFERROR(VLOOKUP(B212,'[1]bajada sap'!$B:$F,5,0),0)</f>
        <v>0</v>
      </c>
      <c r="L212" s="58">
        <f t="shared" si="11"/>
        <v>0</v>
      </c>
    </row>
    <row r="213" spans="1:12">
      <c r="A213" s="29">
        <f t="shared" si="10"/>
        <v>0</v>
      </c>
      <c r="B213" s="54">
        <v>50842177</v>
      </c>
      <c r="C213" s="55" t="s">
        <v>2196</v>
      </c>
      <c r="D213" s="56" t="s">
        <v>82</v>
      </c>
      <c r="E213" s="4"/>
      <c r="F213" s="4"/>
      <c r="G213" s="58">
        <v>0</v>
      </c>
      <c r="H213" s="58"/>
      <c r="I213" s="58"/>
      <c r="J213" s="58">
        <f t="shared" si="12"/>
        <v>0</v>
      </c>
      <c r="K213" s="58">
        <f>IFERROR(VLOOKUP(B213,'[1]bajada sap'!$B:$F,5,0),0)</f>
        <v>0</v>
      </c>
      <c r="L213" s="58">
        <f t="shared" si="11"/>
        <v>0</v>
      </c>
    </row>
    <row r="214" spans="1:12">
      <c r="A214" s="29">
        <f t="shared" si="10"/>
        <v>0</v>
      </c>
      <c r="B214" s="54">
        <v>50809147</v>
      </c>
      <c r="C214" s="55" t="s">
        <v>930</v>
      </c>
      <c r="D214" s="56" t="s">
        <v>82</v>
      </c>
      <c r="E214" s="4"/>
      <c r="F214" s="57">
        <v>456</v>
      </c>
      <c r="G214" s="58">
        <v>0</v>
      </c>
      <c r="H214" s="58"/>
      <c r="I214" s="61"/>
      <c r="J214" s="58">
        <f t="shared" si="12"/>
        <v>0</v>
      </c>
      <c r="K214" s="58">
        <f>IFERROR(VLOOKUP(B214,'[1]bajada sap'!$B:$F,5,0),0)</f>
        <v>0</v>
      </c>
      <c r="L214" s="58">
        <f t="shared" si="11"/>
        <v>0</v>
      </c>
    </row>
    <row r="215" spans="1:12">
      <c r="A215" s="29">
        <f t="shared" si="10"/>
        <v>0</v>
      </c>
      <c r="B215" s="54">
        <v>50419454</v>
      </c>
      <c r="C215" s="55" t="s">
        <v>438</v>
      </c>
      <c r="D215" s="56" t="s">
        <v>82</v>
      </c>
      <c r="E215" s="4"/>
      <c r="F215" s="4">
        <v>580</v>
      </c>
      <c r="G215" s="58">
        <v>0</v>
      </c>
      <c r="H215" s="58"/>
      <c r="I215" s="58"/>
      <c r="J215" s="58">
        <f t="shared" si="12"/>
        <v>0</v>
      </c>
      <c r="K215" s="58">
        <f>IFERROR(VLOOKUP(B215,'[1]bajada sap'!$B:$F,5,0),0)</f>
        <v>0</v>
      </c>
      <c r="L215" s="58">
        <f t="shared" si="11"/>
        <v>0</v>
      </c>
    </row>
    <row r="216" spans="1:12">
      <c r="A216" s="29">
        <f t="shared" si="10"/>
        <v>0</v>
      </c>
      <c r="B216" s="54">
        <v>50840366</v>
      </c>
      <c r="C216" s="55" t="s">
        <v>1920</v>
      </c>
      <c r="D216" s="56" t="s">
        <v>82</v>
      </c>
      <c r="E216" s="4"/>
      <c r="F216" s="4"/>
      <c r="G216" s="58">
        <v>0</v>
      </c>
      <c r="H216" s="58"/>
      <c r="I216" s="58"/>
      <c r="J216" s="58">
        <f t="shared" si="12"/>
        <v>0</v>
      </c>
      <c r="K216" s="58">
        <f>IFERROR(VLOOKUP(B216,'[1]bajada sap'!$B:$F,5,0),0)</f>
        <v>0</v>
      </c>
      <c r="L216" s="58">
        <f t="shared" si="11"/>
        <v>0</v>
      </c>
    </row>
    <row r="217" spans="1:12">
      <c r="A217" s="29">
        <f t="shared" si="10"/>
        <v>1</v>
      </c>
      <c r="B217" s="54">
        <v>50655374</v>
      </c>
      <c r="C217" s="55" t="s">
        <v>456</v>
      </c>
      <c r="D217" s="56" t="s">
        <v>82</v>
      </c>
      <c r="E217" s="4"/>
      <c r="F217" s="4">
        <v>767.55</v>
      </c>
      <c r="G217" s="58">
        <v>1999.9</v>
      </c>
      <c r="H217" s="58"/>
      <c r="I217" s="58"/>
      <c r="J217" s="58">
        <f t="shared" si="12"/>
        <v>1999.9</v>
      </c>
      <c r="K217" s="58">
        <f>IFERROR(VLOOKUP(B217,'[1]bajada sap'!$B:$F,5,0),0)</f>
        <v>0</v>
      </c>
      <c r="L217" s="58">
        <f t="shared" si="11"/>
        <v>1999.9</v>
      </c>
    </row>
    <row r="218" spans="1:12">
      <c r="A218" s="29">
        <f t="shared" si="10"/>
        <v>0</v>
      </c>
      <c r="B218" s="54">
        <v>50801001</v>
      </c>
      <c r="C218" s="55" t="s">
        <v>2222</v>
      </c>
      <c r="D218" s="56" t="s">
        <v>82</v>
      </c>
      <c r="E218" s="4"/>
      <c r="F218" s="4"/>
      <c r="G218" s="58">
        <v>0</v>
      </c>
      <c r="H218" s="58"/>
      <c r="I218" s="58"/>
      <c r="J218" s="58">
        <f t="shared" si="12"/>
        <v>0</v>
      </c>
      <c r="K218" s="58">
        <f>IFERROR(VLOOKUP(B218,'[1]bajada sap'!$B:$F,5,0),0)</f>
        <v>0</v>
      </c>
      <c r="L218" s="58">
        <f t="shared" si="11"/>
        <v>0</v>
      </c>
    </row>
    <row r="219" spans="1:12">
      <c r="A219" s="29">
        <f t="shared" si="10"/>
        <v>0</v>
      </c>
      <c r="B219" s="54">
        <v>50522176</v>
      </c>
      <c r="C219" s="55" t="s">
        <v>455</v>
      </c>
      <c r="D219" s="56" t="s">
        <v>82</v>
      </c>
      <c r="E219" s="4">
        <v>3</v>
      </c>
      <c r="F219" s="4">
        <v>303</v>
      </c>
      <c r="G219" s="58">
        <v>0</v>
      </c>
      <c r="H219" s="58"/>
      <c r="I219" s="58"/>
      <c r="J219" s="58">
        <f t="shared" si="12"/>
        <v>0</v>
      </c>
      <c r="K219" s="58">
        <f>IFERROR(VLOOKUP(B219,'[1]bajada sap'!$B:$F,5,0),0)</f>
        <v>0</v>
      </c>
      <c r="L219" s="58">
        <f t="shared" si="11"/>
        <v>0</v>
      </c>
    </row>
    <row r="220" spans="1:12">
      <c r="A220" s="29">
        <f t="shared" si="10"/>
        <v>0</v>
      </c>
      <c r="B220" s="54">
        <v>50776524</v>
      </c>
      <c r="C220" s="55" t="s">
        <v>689</v>
      </c>
      <c r="D220" s="56" t="s">
        <v>82</v>
      </c>
      <c r="E220" s="4"/>
      <c r="F220" s="4"/>
      <c r="G220" s="58">
        <v>0</v>
      </c>
      <c r="H220" s="58"/>
      <c r="I220" s="58"/>
      <c r="J220" s="58">
        <f t="shared" si="12"/>
        <v>0</v>
      </c>
      <c r="K220" s="58">
        <f>IFERROR(VLOOKUP(B220,'[1]bajada sap'!$B:$F,5,0),0)</f>
        <v>0</v>
      </c>
      <c r="L220" s="58">
        <f t="shared" si="11"/>
        <v>0</v>
      </c>
    </row>
    <row r="221" spans="1:12">
      <c r="A221" s="29">
        <f t="shared" si="10"/>
        <v>0</v>
      </c>
      <c r="B221" s="54">
        <v>50761569</v>
      </c>
      <c r="C221" s="55" t="s">
        <v>609</v>
      </c>
      <c r="D221" s="56" t="s">
        <v>82</v>
      </c>
      <c r="E221" s="4"/>
      <c r="F221" s="57"/>
      <c r="G221" s="58">
        <v>0</v>
      </c>
      <c r="H221" s="58"/>
      <c r="I221" s="58"/>
      <c r="J221" s="58">
        <f t="shared" si="12"/>
        <v>0</v>
      </c>
      <c r="K221" s="58">
        <f>IFERROR(VLOOKUP(B221,'[1]bajada sap'!$B:$F,5,0),0)</f>
        <v>0</v>
      </c>
      <c r="L221" s="58">
        <f t="shared" si="11"/>
        <v>0</v>
      </c>
    </row>
    <row r="222" spans="1:12">
      <c r="A222" s="29">
        <f t="shared" si="10"/>
        <v>0</v>
      </c>
      <c r="B222" s="54">
        <v>50501722</v>
      </c>
      <c r="C222" s="55" t="s">
        <v>253</v>
      </c>
      <c r="D222" s="56" t="s">
        <v>82</v>
      </c>
      <c r="E222" s="4"/>
      <c r="F222" s="57">
        <v>450</v>
      </c>
      <c r="G222" s="58">
        <v>0</v>
      </c>
      <c r="H222" s="58"/>
      <c r="I222" s="58"/>
      <c r="J222" s="58">
        <f t="shared" si="12"/>
        <v>0</v>
      </c>
      <c r="K222" s="58">
        <f>IFERROR(VLOOKUP(B222,'[1]bajada sap'!$B:$F,5,0),0)</f>
        <v>0</v>
      </c>
      <c r="L222" s="58">
        <f t="shared" si="11"/>
        <v>0</v>
      </c>
    </row>
    <row r="223" spans="1:12">
      <c r="A223" s="29">
        <f t="shared" si="10"/>
        <v>1</v>
      </c>
      <c r="B223" s="54">
        <v>50837237</v>
      </c>
      <c r="C223" s="55" t="s">
        <v>1747</v>
      </c>
      <c r="D223" s="56" t="s">
        <v>82</v>
      </c>
      <c r="E223" s="4"/>
      <c r="F223" s="4"/>
      <c r="G223" s="58">
        <v>1009.95</v>
      </c>
      <c r="H223" s="58"/>
      <c r="I223" s="58"/>
      <c r="J223" s="58">
        <f t="shared" si="12"/>
        <v>1009.95</v>
      </c>
      <c r="K223" s="58">
        <f>IFERROR(VLOOKUP(B223,'[1]bajada sap'!$B:$F,5,0),0)</f>
        <v>1009.95</v>
      </c>
      <c r="L223" s="58">
        <f t="shared" si="11"/>
        <v>0</v>
      </c>
    </row>
    <row r="224" spans="1:12">
      <c r="A224" s="29">
        <f t="shared" si="10"/>
        <v>0</v>
      </c>
      <c r="B224" s="54">
        <v>50809145</v>
      </c>
      <c r="C224" s="55" t="s">
        <v>946</v>
      </c>
      <c r="D224" s="56" t="s">
        <v>82</v>
      </c>
      <c r="E224" s="4"/>
      <c r="F224" s="4">
        <v>456</v>
      </c>
      <c r="G224" s="58">
        <v>0</v>
      </c>
      <c r="H224" s="58"/>
      <c r="I224" s="58"/>
      <c r="J224" s="58">
        <f t="shared" si="12"/>
        <v>0</v>
      </c>
      <c r="K224" s="58">
        <f>IFERROR(VLOOKUP(B224,'[1]bajada sap'!$B:$F,5,0),0)</f>
        <v>0</v>
      </c>
      <c r="L224" s="58">
        <f t="shared" si="11"/>
        <v>0</v>
      </c>
    </row>
    <row r="225" spans="1:13">
      <c r="A225" s="29">
        <f t="shared" si="10"/>
        <v>0</v>
      </c>
      <c r="B225" s="54">
        <v>50493261</v>
      </c>
      <c r="C225" s="55" t="s">
        <v>276</v>
      </c>
      <c r="D225" s="56" t="s">
        <v>82</v>
      </c>
      <c r="E225" s="4"/>
      <c r="F225" s="57">
        <v>168.6</v>
      </c>
      <c r="G225" s="58">
        <v>0</v>
      </c>
      <c r="H225" s="58"/>
      <c r="I225" s="58"/>
      <c r="J225" s="58">
        <f t="shared" si="12"/>
        <v>0</v>
      </c>
      <c r="K225" s="58">
        <f>IFERROR(VLOOKUP(B225,'[1]bajada sap'!$B:$F,5,0),0)</f>
        <v>0</v>
      </c>
      <c r="L225" s="58">
        <f t="shared" si="11"/>
        <v>0</v>
      </c>
    </row>
    <row r="226" spans="1:13">
      <c r="A226" s="29">
        <f t="shared" si="10"/>
        <v>0</v>
      </c>
      <c r="B226" s="54">
        <v>50477970</v>
      </c>
      <c r="C226" s="55" t="s">
        <v>280</v>
      </c>
      <c r="D226" s="56" t="s">
        <v>82</v>
      </c>
      <c r="E226" s="4"/>
      <c r="F226" s="57">
        <v>294.9</v>
      </c>
      <c r="G226" s="58">
        <v>0</v>
      </c>
      <c r="H226" s="58"/>
      <c r="I226" s="58"/>
      <c r="J226" s="58">
        <f t="shared" si="12"/>
        <v>0</v>
      </c>
      <c r="K226" s="58">
        <f>IFERROR(VLOOKUP(B226,'[1]bajada sap'!$B:$F,5,0),0)</f>
        <v>0</v>
      </c>
      <c r="L226" s="58">
        <f t="shared" si="11"/>
        <v>0</v>
      </c>
    </row>
    <row r="227" spans="1:13">
      <c r="A227" s="29">
        <f t="shared" si="10"/>
        <v>0</v>
      </c>
      <c r="B227" s="54">
        <v>50809152</v>
      </c>
      <c r="C227" s="55" t="s">
        <v>953</v>
      </c>
      <c r="D227" s="56" t="s">
        <v>82</v>
      </c>
      <c r="E227" s="4"/>
      <c r="F227" s="57">
        <v>199</v>
      </c>
      <c r="G227" s="58">
        <v>0</v>
      </c>
      <c r="H227" s="58"/>
      <c r="I227" s="58"/>
      <c r="J227" s="58">
        <f t="shared" si="12"/>
        <v>0</v>
      </c>
      <c r="K227" s="58">
        <f>IFERROR(VLOOKUP(B227,'[1]bajada sap'!$B:$F,5,0),0)</f>
        <v>0</v>
      </c>
      <c r="L227" s="58">
        <f t="shared" si="11"/>
        <v>0</v>
      </c>
    </row>
    <row r="228" spans="1:13">
      <c r="A228" s="29">
        <f t="shared" si="10"/>
        <v>0</v>
      </c>
      <c r="B228" s="54">
        <v>50829090</v>
      </c>
      <c r="C228" s="55" t="s">
        <v>1295</v>
      </c>
      <c r="D228" s="56" t="s">
        <v>82</v>
      </c>
      <c r="E228" s="4"/>
      <c r="F228" s="4"/>
      <c r="G228" s="58">
        <v>0</v>
      </c>
      <c r="H228" s="58"/>
      <c r="I228" s="58"/>
      <c r="J228" s="58">
        <f t="shared" si="12"/>
        <v>0</v>
      </c>
      <c r="K228" s="58">
        <f>IFERROR(VLOOKUP(B228,'[1]bajada sap'!$B:$F,5,0),0)</f>
        <v>0</v>
      </c>
      <c r="L228" s="58">
        <f t="shared" si="11"/>
        <v>0</v>
      </c>
    </row>
    <row r="229" spans="1:13">
      <c r="A229" s="29">
        <f t="shared" si="10"/>
        <v>1</v>
      </c>
      <c r="B229" s="54">
        <v>50837265</v>
      </c>
      <c r="C229" s="55" t="s">
        <v>25</v>
      </c>
      <c r="D229" s="56" t="s">
        <v>82</v>
      </c>
      <c r="E229" s="4"/>
      <c r="F229" s="4"/>
      <c r="G229" s="58">
        <v>2073.85</v>
      </c>
      <c r="H229" s="68"/>
      <c r="I229" s="58"/>
      <c r="J229" s="58">
        <f t="shared" si="12"/>
        <v>2073.85</v>
      </c>
      <c r="K229" s="58">
        <f>IFERROR(VLOOKUP(B229,'[1]bajada sap'!$B:$F,5,0),0)</f>
        <v>2073.85</v>
      </c>
      <c r="L229" s="58">
        <f t="shared" si="11"/>
        <v>0</v>
      </c>
    </row>
    <row r="230" spans="1:13">
      <c r="A230" s="29">
        <f t="shared" si="10"/>
        <v>0</v>
      </c>
      <c r="B230" s="54">
        <v>50839405</v>
      </c>
      <c r="C230" s="55" t="s">
        <v>1833</v>
      </c>
      <c r="D230" s="56" t="s">
        <v>82</v>
      </c>
      <c r="E230" s="4"/>
      <c r="F230" s="4"/>
      <c r="G230" s="58">
        <v>0</v>
      </c>
      <c r="H230" s="58"/>
      <c r="I230" s="58"/>
      <c r="J230" s="58">
        <f t="shared" si="12"/>
        <v>0</v>
      </c>
      <c r="K230" s="58">
        <f>IFERROR(VLOOKUP(B230,'[1]bajada sap'!$B:$F,5,0),0)</f>
        <v>0</v>
      </c>
      <c r="L230" s="58">
        <f t="shared" si="11"/>
        <v>0</v>
      </c>
    </row>
    <row r="231" spans="1:13">
      <c r="A231" s="29">
        <f t="shared" si="10"/>
        <v>0</v>
      </c>
      <c r="B231" s="54">
        <v>50794589</v>
      </c>
      <c r="C231" s="69" t="s">
        <v>594</v>
      </c>
      <c r="D231" s="56" t="s">
        <v>82</v>
      </c>
      <c r="E231" s="4"/>
      <c r="F231" s="57">
        <v>822.15</v>
      </c>
      <c r="G231" s="58">
        <v>0</v>
      </c>
      <c r="H231" s="58"/>
      <c r="I231" s="58"/>
      <c r="J231" s="58">
        <f t="shared" si="12"/>
        <v>0</v>
      </c>
      <c r="K231" s="58">
        <f>IFERROR(VLOOKUP(B231,'[1]bajada sap'!$B:$F,5,0),0)</f>
        <v>0</v>
      </c>
      <c r="L231" s="58">
        <f t="shared" si="11"/>
        <v>0</v>
      </c>
    </row>
    <row r="232" spans="1:13">
      <c r="A232" s="29">
        <f t="shared" si="10"/>
        <v>1</v>
      </c>
      <c r="B232" s="54">
        <v>50837267</v>
      </c>
      <c r="C232" s="55" t="s">
        <v>26</v>
      </c>
      <c r="D232" s="56" t="s">
        <v>82</v>
      </c>
      <c r="E232" s="4"/>
      <c r="F232" s="4"/>
      <c r="G232" s="58">
        <v>5099.29</v>
      </c>
      <c r="H232" s="58"/>
      <c r="I232" s="58"/>
      <c r="J232" s="58">
        <f t="shared" si="12"/>
        <v>5099.29</v>
      </c>
      <c r="K232" s="58">
        <f>IFERROR(VLOOKUP(B232,'[1]bajada sap'!$B:$F,5,0),0)</f>
        <v>5099.29</v>
      </c>
      <c r="L232" s="58">
        <f t="shared" si="11"/>
        <v>0</v>
      </c>
    </row>
    <row r="233" spans="1:13">
      <c r="A233" s="29">
        <f t="shared" si="10"/>
        <v>0</v>
      </c>
      <c r="B233" s="54">
        <v>50809148</v>
      </c>
      <c r="C233" s="69" t="s">
        <v>929</v>
      </c>
      <c r="D233" s="56" t="s">
        <v>82</v>
      </c>
      <c r="E233" s="4"/>
      <c r="F233" s="57"/>
      <c r="G233" s="58">
        <v>0</v>
      </c>
      <c r="H233" s="58"/>
      <c r="I233" s="58"/>
      <c r="J233" s="58">
        <f t="shared" si="12"/>
        <v>0</v>
      </c>
      <c r="K233" s="58">
        <f>IFERROR(VLOOKUP(B233,'[1]bajada sap'!$B:$F,5,0),0)</f>
        <v>0</v>
      </c>
      <c r="L233" s="58">
        <f t="shared" si="11"/>
        <v>0</v>
      </c>
    </row>
    <row r="234" spans="1:13">
      <c r="A234" s="29">
        <f t="shared" si="10"/>
        <v>0</v>
      </c>
      <c r="B234" s="54">
        <v>50813995</v>
      </c>
      <c r="C234" s="69" t="s">
        <v>960</v>
      </c>
      <c r="D234" s="56" t="s">
        <v>82</v>
      </c>
      <c r="E234" s="4"/>
      <c r="F234" s="57">
        <v>424</v>
      </c>
      <c r="G234" s="58">
        <v>0</v>
      </c>
      <c r="H234" s="58"/>
      <c r="I234" s="58"/>
      <c r="J234" s="58">
        <f t="shared" si="12"/>
        <v>0</v>
      </c>
      <c r="K234" s="58">
        <f>IFERROR(VLOOKUP(B234,'[1]bajada sap'!$B:$F,5,0),0)</f>
        <v>0</v>
      </c>
      <c r="L234" s="58">
        <f t="shared" si="11"/>
        <v>0</v>
      </c>
    </row>
    <row r="235" spans="1:13">
      <c r="A235" s="29">
        <f t="shared" si="10"/>
        <v>0</v>
      </c>
      <c r="B235" s="54">
        <v>50840086</v>
      </c>
      <c r="C235" s="55" t="s">
        <v>1813</v>
      </c>
      <c r="D235" s="56" t="s">
        <v>82</v>
      </c>
      <c r="E235" s="4"/>
      <c r="F235" s="4"/>
      <c r="G235" s="58">
        <v>0</v>
      </c>
      <c r="H235" s="58"/>
      <c r="I235" s="58"/>
      <c r="J235" s="58">
        <f t="shared" si="12"/>
        <v>0</v>
      </c>
      <c r="K235" s="58">
        <f>IFERROR(VLOOKUP(B235,'[1]bajada sap'!$B:$F,5,0),0)</f>
        <v>0</v>
      </c>
      <c r="L235" s="58">
        <f t="shared" si="11"/>
        <v>0</v>
      </c>
    </row>
    <row r="236" spans="1:13">
      <c r="A236" s="29">
        <f t="shared" si="10"/>
        <v>0</v>
      </c>
      <c r="B236" s="54">
        <v>50763072</v>
      </c>
      <c r="C236" s="55" t="s">
        <v>254</v>
      </c>
      <c r="D236" s="56" t="s">
        <v>82</v>
      </c>
      <c r="E236" s="4"/>
      <c r="F236" s="57">
        <v>716.8</v>
      </c>
      <c r="G236" s="58">
        <v>0</v>
      </c>
      <c r="H236" s="58"/>
      <c r="I236" s="58"/>
      <c r="J236" s="58">
        <f t="shared" si="12"/>
        <v>0</v>
      </c>
      <c r="K236" s="58">
        <f>IFERROR(VLOOKUP(B236,'[1]bajada sap'!$B:$F,5,0),0)</f>
        <v>0</v>
      </c>
      <c r="L236" s="58">
        <f t="shared" si="11"/>
        <v>0</v>
      </c>
    </row>
    <row r="237" spans="1:13">
      <c r="A237" s="29">
        <f t="shared" si="10"/>
        <v>1</v>
      </c>
      <c r="B237" s="54">
        <v>50145028</v>
      </c>
      <c r="C237" s="55" t="s">
        <v>23</v>
      </c>
      <c r="D237" s="56" t="s">
        <v>92</v>
      </c>
      <c r="E237" s="4"/>
      <c r="F237" s="57">
        <v>140</v>
      </c>
      <c r="G237" s="58">
        <v>972</v>
      </c>
      <c r="H237" s="58"/>
      <c r="I237" s="65"/>
      <c r="J237" s="58">
        <f t="shared" si="12"/>
        <v>972</v>
      </c>
      <c r="K237" s="58">
        <v>1620</v>
      </c>
      <c r="L237" s="58">
        <f t="shared" si="11"/>
        <v>-648</v>
      </c>
      <c r="M237" t="s">
        <v>3102</v>
      </c>
    </row>
    <row r="238" spans="1:13">
      <c r="A238" s="29">
        <f t="shared" si="10"/>
        <v>1</v>
      </c>
      <c r="B238" s="54">
        <v>50143893</v>
      </c>
      <c r="C238" s="55" t="s">
        <v>24</v>
      </c>
      <c r="D238" s="56" t="s">
        <v>82</v>
      </c>
      <c r="E238" s="4"/>
      <c r="F238" s="57">
        <v>660</v>
      </c>
      <c r="G238" s="58">
        <v>2640</v>
      </c>
      <c r="H238" s="58"/>
      <c r="I238" s="58"/>
      <c r="J238" s="58">
        <f t="shared" si="12"/>
        <v>2640</v>
      </c>
      <c r="K238" s="58">
        <f>IFERROR(VLOOKUP(B238,'[1]bajada sap'!$B:$F,5,0),0)</f>
        <v>3960</v>
      </c>
      <c r="L238" s="58">
        <f t="shared" si="11"/>
        <v>-1320</v>
      </c>
    </row>
    <row r="239" spans="1:13">
      <c r="A239" s="29">
        <f t="shared" si="10"/>
        <v>0</v>
      </c>
      <c r="B239" s="54">
        <v>50455993</v>
      </c>
      <c r="C239" s="55" t="s">
        <v>281</v>
      </c>
      <c r="D239" s="56" t="s">
        <v>82</v>
      </c>
      <c r="E239" s="4"/>
      <c r="F239" s="57">
        <v>435.424</v>
      </c>
      <c r="G239" s="58">
        <v>0</v>
      </c>
      <c r="H239" s="58"/>
      <c r="I239" s="58"/>
      <c r="J239" s="58">
        <f t="shared" si="12"/>
        <v>0</v>
      </c>
      <c r="K239" s="58">
        <f>IFERROR(VLOOKUP(B239,'[1]bajada sap'!$B:$F,5,0),0)</f>
        <v>0</v>
      </c>
      <c r="L239" s="58">
        <f t="shared" si="11"/>
        <v>0</v>
      </c>
    </row>
    <row r="240" spans="1:13">
      <c r="A240" s="29">
        <f t="shared" si="10"/>
        <v>0</v>
      </c>
      <c r="B240" s="54">
        <v>50455996</v>
      </c>
      <c r="C240" s="55" t="s">
        <v>279</v>
      </c>
      <c r="D240" s="56" t="s">
        <v>82</v>
      </c>
      <c r="E240" s="4"/>
      <c r="F240" s="57">
        <v>354.489</v>
      </c>
      <c r="G240" s="58">
        <v>0</v>
      </c>
      <c r="H240" s="58"/>
      <c r="I240" s="58"/>
      <c r="J240" s="58">
        <f t="shared" si="12"/>
        <v>0</v>
      </c>
      <c r="K240" s="58">
        <f>IFERROR(VLOOKUP(B240,'[1]bajada sap'!$B:$F,5,0),0)</f>
        <v>0</v>
      </c>
      <c r="L240" s="58">
        <f t="shared" si="11"/>
        <v>0</v>
      </c>
    </row>
    <row r="241" spans="1:12">
      <c r="A241" s="29">
        <f t="shared" si="10"/>
        <v>0</v>
      </c>
      <c r="B241" s="54">
        <v>50797537</v>
      </c>
      <c r="C241" s="55" t="s">
        <v>232</v>
      </c>
      <c r="D241" s="56" t="s">
        <v>82</v>
      </c>
      <c r="E241" s="4"/>
      <c r="F241" s="57">
        <v>330</v>
      </c>
      <c r="G241" s="58">
        <v>0</v>
      </c>
      <c r="H241" s="58"/>
      <c r="I241" s="58"/>
      <c r="J241" s="58">
        <f t="shared" si="12"/>
        <v>0</v>
      </c>
      <c r="K241" s="58">
        <f>IFERROR(VLOOKUP(B241,'[1]bajada sap'!$B:$F,5,0),0)</f>
        <v>0</v>
      </c>
      <c r="L241" s="58">
        <f t="shared" si="11"/>
        <v>0</v>
      </c>
    </row>
    <row r="242" spans="1:12">
      <c r="A242" s="29">
        <f t="shared" si="10"/>
        <v>0</v>
      </c>
      <c r="B242" s="54">
        <v>50369034</v>
      </c>
      <c r="C242" s="55" t="s">
        <v>322</v>
      </c>
      <c r="D242" s="56" t="s">
        <v>82</v>
      </c>
      <c r="E242" s="4"/>
      <c r="F242" s="57">
        <v>679</v>
      </c>
      <c r="G242" s="58">
        <v>0</v>
      </c>
      <c r="H242" s="58"/>
      <c r="I242" s="58"/>
      <c r="J242" s="58">
        <f t="shared" si="12"/>
        <v>0</v>
      </c>
      <c r="K242" s="58">
        <f>IFERROR(VLOOKUP(B242,'[1]bajada sap'!$B:$F,5,0),0)</f>
        <v>0</v>
      </c>
      <c r="L242" s="58">
        <f t="shared" si="11"/>
        <v>0</v>
      </c>
    </row>
    <row r="243" spans="1:12">
      <c r="A243" s="29">
        <f t="shared" si="10"/>
        <v>0</v>
      </c>
      <c r="B243" s="54">
        <v>50370788</v>
      </c>
      <c r="C243" s="55" t="s">
        <v>3103</v>
      </c>
      <c r="D243" s="56" t="s">
        <v>82</v>
      </c>
      <c r="E243" s="4"/>
      <c r="F243" s="57"/>
      <c r="G243" s="58">
        <v>0</v>
      </c>
      <c r="H243" s="58"/>
      <c r="I243" s="58"/>
      <c r="J243" s="58">
        <f t="shared" si="12"/>
        <v>0</v>
      </c>
      <c r="K243" s="58">
        <f>IFERROR(VLOOKUP(B243,'[1]bajada sap'!$B:$F,5,0),0)</f>
        <v>0</v>
      </c>
      <c r="L243" s="58">
        <f t="shared" si="11"/>
        <v>0</v>
      </c>
    </row>
    <row r="244" spans="1:12">
      <c r="A244" s="29">
        <f t="shared" si="10"/>
        <v>0</v>
      </c>
      <c r="B244" s="54">
        <v>50510331</v>
      </c>
      <c r="C244" s="55" t="s">
        <v>242</v>
      </c>
      <c r="D244" s="56" t="s">
        <v>82</v>
      </c>
      <c r="E244" s="4"/>
      <c r="F244" s="57">
        <v>818.6</v>
      </c>
      <c r="G244" s="58">
        <v>0</v>
      </c>
      <c r="H244" s="58"/>
      <c r="I244" s="58"/>
      <c r="J244" s="58">
        <f t="shared" si="12"/>
        <v>0</v>
      </c>
      <c r="K244" s="58">
        <f>IFERROR(VLOOKUP(B244,'[1]bajada sap'!$B:$F,5,0),0)</f>
        <v>0</v>
      </c>
      <c r="L244" s="58">
        <f t="shared" si="11"/>
        <v>0</v>
      </c>
    </row>
    <row r="245" spans="1:12">
      <c r="A245" s="29">
        <f t="shared" si="10"/>
        <v>0</v>
      </c>
      <c r="B245" s="54">
        <v>50455995</v>
      </c>
      <c r="C245" s="55" t="s">
        <v>284</v>
      </c>
      <c r="D245" s="56" t="s">
        <v>82</v>
      </c>
      <c r="E245" s="4"/>
      <c r="F245" s="57">
        <v>446</v>
      </c>
      <c r="G245" s="58">
        <v>0</v>
      </c>
      <c r="H245" s="58"/>
      <c r="I245" s="58"/>
      <c r="J245" s="58">
        <f t="shared" si="12"/>
        <v>0</v>
      </c>
      <c r="K245" s="58">
        <f>IFERROR(VLOOKUP(B245,'[1]bajada sap'!$B:$F,5,0),0)</f>
        <v>0</v>
      </c>
      <c r="L245" s="58">
        <f t="shared" si="11"/>
        <v>0</v>
      </c>
    </row>
    <row r="246" spans="1:12">
      <c r="A246" s="29">
        <f t="shared" si="10"/>
        <v>0</v>
      </c>
      <c r="B246" s="54">
        <v>50417515</v>
      </c>
      <c r="C246" s="55" t="s">
        <v>283</v>
      </c>
      <c r="D246" s="56" t="s">
        <v>82</v>
      </c>
      <c r="E246" s="4"/>
      <c r="F246" s="57">
        <v>175.8</v>
      </c>
      <c r="G246" s="58">
        <v>0</v>
      </c>
      <c r="H246" s="58"/>
      <c r="I246" s="58"/>
      <c r="J246" s="58">
        <f t="shared" si="12"/>
        <v>0</v>
      </c>
      <c r="K246" s="58">
        <f>IFERROR(VLOOKUP(B246,'[1]bajada sap'!$B:$F,5,0),0)</f>
        <v>0</v>
      </c>
      <c r="L246" s="58">
        <f t="shared" si="11"/>
        <v>0</v>
      </c>
    </row>
    <row r="247" spans="1:12">
      <c r="A247" s="29">
        <f t="shared" si="10"/>
        <v>0</v>
      </c>
      <c r="B247" s="54">
        <v>50853828</v>
      </c>
      <c r="C247" s="55" t="s">
        <v>2465</v>
      </c>
      <c r="D247" s="56" t="s">
        <v>82</v>
      </c>
      <c r="E247" s="4"/>
      <c r="F247" s="4"/>
      <c r="G247" s="58">
        <v>0</v>
      </c>
      <c r="H247" s="58"/>
      <c r="I247" s="58"/>
      <c r="J247" s="58">
        <f t="shared" si="12"/>
        <v>0</v>
      </c>
      <c r="K247" s="58">
        <f>IFERROR(VLOOKUP(B247,'[1]bajada sap'!$B:$F,5,0),0)</f>
        <v>0</v>
      </c>
      <c r="L247" s="58">
        <f t="shared" si="11"/>
        <v>0</v>
      </c>
    </row>
    <row r="248" spans="1:12">
      <c r="A248" s="29">
        <f t="shared" si="10"/>
        <v>0</v>
      </c>
      <c r="B248" s="54">
        <v>50498013</v>
      </c>
      <c r="C248" s="55" t="s">
        <v>595</v>
      </c>
      <c r="D248" s="56" t="s">
        <v>82</v>
      </c>
      <c r="E248" s="4"/>
      <c r="F248" s="57"/>
      <c r="G248" s="58">
        <v>0</v>
      </c>
      <c r="H248" s="58"/>
      <c r="I248" s="58"/>
      <c r="J248" s="58">
        <f t="shared" si="12"/>
        <v>0</v>
      </c>
      <c r="K248" s="58">
        <f>IFERROR(VLOOKUP(B248,'[1]bajada sap'!$B:$F,5,0),0)</f>
        <v>0</v>
      </c>
      <c r="L248" s="58">
        <f t="shared" si="11"/>
        <v>0</v>
      </c>
    </row>
    <row r="249" spans="1:12">
      <c r="A249" s="29">
        <f t="shared" si="10"/>
        <v>1</v>
      </c>
      <c r="B249" s="54">
        <v>50814629</v>
      </c>
      <c r="C249" s="55" t="s">
        <v>1226</v>
      </c>
      <c r="D249" s="56" t="s">
        <v>82</v>
      </c>
      <c r="E249" s="4"/>
      <c r="F249" s="4"/>
      <c r="G249" s="58">
        <v>1496.65</v>
      </c>
      <c r="H249" s="58"/>
      <c r="I249" s="72"/>
      <c r="J249" s="58">
        <f t="shared" si="12"/>
        <v>1496.65</v>
      </c>
      <c r="K249" s="58">
        <f>IFERROR(VLOOKUP(B249,'[1]bajada sap'!$B:$F,5,0),0)</f>
        <v>0</v>
      </c>
      <c r="L249" s="58">
        <f t="shared" si="11"/>
        <v>1496.65</v>
      </c>
    </row>
    <row r="250" spans="1:12">
      <c r="A250" s="29">
        <f t="shared" si="10"/>
        <v>0</v>
      </c>
      <c r="B250" s="54">
        <v>50772905</v>
      </c>
      <c r="C250" s="55" t="s">
        <v>611</v>
      </c>
      <c r="D250" s="56" t="s">
        <v>82</v>
      </c>
      <c r="E250" s="4"/>
      <c r="F250" s="4"/>
      <c r="G250" s="58">
        <v>0</v>
      </c>
      <c r="H250" s="58"/>
      <c r="I250" s="58"/>
      <c r="J250" s="58">
        <f t="shared" si="12"/>
        <v>0</v>
      </c>
      <c r="K250" s="58">
        <f>IFERROR(VLOOKUP(B250,'[1]bajada sap'!$B:$F,5,0),0)</f>
        <v>0</v>
      </c>
      <c r="L250" s="58">
        <f t="shared" si="11"/>
        <v>0</v>
      </c>
    </row>
    <row r="251" spans="1:12">
      <c r="A251" s="29">
        <f t="shared" si="10"/>
        <v>1</v>
      </c>
      <c r="B251" s="54">
        <v>50840810</v>
      </c>
      <c r="C251" s="55" t="s">
        <v>752</v>
      </c>
      <c r="D251" s="56" t="s">
        <v>82</v>
      </c>
      <c r="E251" s="4"/>
      <c r="F251" s="4"/>
      <c r="G251" s="58">
        <v>3179.1</v>
      </c>
      <c r="H251" s="58"/>
      <c r="I251" s="58"/>
      <c r="J251" s="58">
        <f t="shared" si="12"/>
        <v>3179.1</v>
      </c>
      <c r="K251" s="58">
        <f>IFERROR(VLOOKUP(B251,'[1]bajada sap'!$B:$F,5,0),0)</f>
        <v>3179.1</v>
      </c>
      <c r="L251" s="58">
        <f t="shared" si="11"/>
        <v>0</v>
      </c>
    </row>
    <row r="252" spans="1:12">
      <c r="A252" s="29">
        <f t="shared" si="10"/>
        <v>0</v>
      </c>
      <c r="B252" s="54">
        <v>50785753</v>
      </c>
      <c r="C252" s="55" t="s">
        <v>570</v>
      </c>
      <c r="D252" s="56" t="s">
        <v>82</v>
      </c>
      <c r="E252" s="4"/>
      <c r="F252" s="57">
        <v>356</v>
      </c>
      <c r="G252" s="58">
        <v>0</v>
      </c>
      <c r="H252" s="58"/>
      <c r="I252" s="58"/>
      <c r="J252" s="58">
        <f t="shared" si="12"/>
        <v>0</v>
      </c>
      <c r="K252" s="58">
        <f>IFERROR(VLOOKUP(B252,'[1]bajada sap'!$B:$F,5,0),0)</f>
        <v>0</v>
      </c>
      <c r="L252" s="58">
        <f t="shared" si="11"/>
        <v>0</v>
      </c>
    </row>
    <row r="253" spans="1:12">
      <c r="A253" s="29">
        <f t="shared" si="10"/>
        <v>0</v>
      </c>
      <c r="B253" s="54">
        <v>50280269</v>
      </c>
      <c r="C253" s="55" t="s">
        <v>352</v>
      </c>
      <c r="D253" s="56" t="s">
        <v>82</v>
      </c>
      <c r="E253" s="4"/>
      <c r="F253" s="4"/>
      <c r="G253" s="58">
        <v>0</v>
      </c>
      <c r="H253" s="58"/>
      <c r="I253" s="58"/>
      <c r="J253" s="58">
        <f t="shared" si="12"/>
        <v>0</v>
      </c>
      <c r="K253" s="58">
        <f>IFERROR(VLOOKUP(B253,'[1]bajada sap'!$B:$F,5,0),0)</f>
        <v>0</v>
      </c>
      <c r="L253" s="58">
        <f t="shared" si="11"/>
        <v>0</v>
      </c>
    </row>
    <row r="254" spans="1:12">
      <c r="A254" s="29">
        <f t="shared" si="10"/>
        <v>0</v>
      </c>
      <c r="B254" s="54">
        <v>50389784</v>
      </c>
      <c r="C254" s="55" t="s">
        <v>3104</v>
      </c>
      <c r="D254" s="56" t="s">
        <v>82</v>
      </c>
      <c r="E254" s="4"/>
      <c r="F254" s="57"/>
      <c r="G254" s="58">
        <v>0</v>
      </c>
      <c r="H254" s="58"/>
      <c r="I254" s="58"/>
      <c r="J254" s="58">
        <f t="shared" si="12"/>
        <v>0</v>
      </c>
      <c r="K254" s="58">
        <f>IFERROR(VLOOKUP(B254,'[1]bajada sap'!$B:$F,5,0),0)</f>
        <v>0</v>
      </c>
      <c r="L254" s="58">
        <f t="shared" si="11"/>
        <v>0</v>
      </c>
    </row>
    <row r="255" spans="1:12">
      <c r="A255" s="29">
        <f t="shared" si="10"/>
        <v>0</v>
      </c>
      <c r="B255" s="54">
        <v>50399163</v>
      </c>
      <c r="C255" s="55" t="s">
        <v>3105</v>
      </c>
      <c r="D255" s="56" t="s">
        <v>82</v>
      </c>
      <c r="E255" s="4"/>
      <c r="F255" s="57"/>
      <c r="G255" s="58">
        <v>0</v>
      </c>
      <c r="H255" s="58"/>
      <c r="I255" s="58"/>
      <c r="J255" s="58">
        <f t="shared" si="12"/>
        <v>0</v>
      </c>
      <c r="K255" s="58">
        <f>IFERROR(VLOOKUP(B255,'[1]bajada sap'!$B:$F,5,0),0)</f>
        <v>0</v>
      </c>
      <c r="L255" s="58">
        <f t="shared" si="11"/>
        <v>0</v>
      </c>
    </row>
    <row r="256" spans="1:12">
      <c r="A256" s="29">
        <f t="shared" si="10"/>
        <v>0</v>
      </c>
      <c r="B256" s="54">
        <v>50277308</v>
      </c>
      <c r="C256" s="55" t="s">
        <v>339</v>
      </c>
      <c r="D256" s="56" t="s">
        <v>82</v>
      </c>
      <c r="E256" s="4"/>
      <c r="F256" s="57">
        <v>179.1</v>
      </c>
      <c r="G256" s="58">
        <v>0</v>
      </c>
      <c r="H256" s="58"/>
      <c r="I256" s="58"/>
      <c r="J256" s="58">
        <f t="shared" si="12"/>
        <v>0</v>
      </c>
      <c r="K256" s="58">
        <f>IFERROR(VLOOKUP(B256,'[1]bajada sap'!$B:$F,5,0),0)</f>
        <v>0</v>
      </c>
      <c r="L256" s="58">
        <f t="shared" si="11"/>
        <v>0</v>
      </c>
    </row>
    <row r="257" spans="1:13">
      <c r="A257" s="29">
        <f t="shared" si="10"/>
        <v>0</v>
      </c>
      <c r="B257" s="54">
        <v>50385831</v>
      </c>
      <c r="C257" s="55" t="s">
        <v>3106</v>
      </c>
      <c r="D257" s="56" t="s">
        <v>82</v>
      </c>
      <c r="E257" s="4"/>
      <c r="F257" s="57"/>
      <c r="G257" s="58">
        <v>0</v>
      </c>
      <c r="H257" s="58"/>
      <c r="I257" s="58"/>
      <c r="J257" s="58">
        <f t="shared" si="12"/>
        <v>0</v>
      </c>
      <c r="K257" s="58">
        <f>IFERROR(VLOOKUP(B257,'[1]bajada sap'!$B:$F,5,0),0)</f>
        <v>0</v>
      </c>
      <c r="L257" s="58">
        <f t="shared" si="11"/>
        <v>0</v>
      </c>
    </row>
    <row r="258" spans="1:13">
      <c r="A258" s="29">
        <f t="shared" si="10"/>
        <v>0</v>
      </c>
      <c r="B258" s="54">
        <v>50409392</v>
      </c>
      <c r="C258" s="55" t="s">
        <v>277</v>
      </c>
      <c r="D258" s="56" t="s">
        <v>82</v>
      </c>
      <c r="E258" s="4"/>
      <c r="F258" s="57">
        <v>136.75</v>
      </c>
      <c r="G258" s="58">
        <v>0</v>
      </c>
      <c r="H258" s="58"/>
      <c r="I258" s="58"/>
      <c r="J258" s="58">
        <f t="shared" si="12"/>
        <v>0</v>
      </c>
      <c r="K258" s="58">
        <f>IFERROR(VLOOKUP(B258,'[1]bajada sap'!$B:$F,5,0),0)</f>
        <v>0</v>
      </c>
      <c r="L258" s="58">
        <f t="shared" si="11"/>
        <v>0</v>
      </c>
    </row>
    <row r="259" spans="1:13">
      <c r="A259" s="29">
        <f t="shared" si="10"/>
        <v>0</v>
      </c>
      <c r="B259" s="54">
        <v>50409393</v>
      </c>
      <c r="C259" s="55" t="s">
        <v>278</v>
      </c>
      <c r="D259" s="56" t="s">
        <v>82</v>
      </c>
      <c r="E259" s="4"/>
      <c r="F259" s="57">
        <v>402</v>
      </c>
      <c r="G259" s="58">
        <v>0</v>
      </c>
      <c r="H259" s="58"/>
      <c r="I259" s="58"/>
      <c r="J259" s="58">
        <f t="shared" si="12"/>
        <v>0</v>
      </c>
      <c r="K259" s="58">
        <f>IFERROR(VLOOKUP(B259,'[1]bajada sap'!$B:$F,5,0),0)</f>
        <v>0</v>
      </c>
      <c r="L259" s="58">
        <f t="shared" si="11"/>
        <v>0</v>
      </c>
    </row>
    <row r="260" spans="1:13">
      <c r="A260" s="29">
        <f t="shared" si="10"/>
        <v>0</v>
      </c>
      <c r="B260" s="54">
        <v>50145031</v>
      </c>
      <c r="C260" s="55" t="s">
        <v>282</v>
      </c>
      <c r="D260" s="56" t="s">
        <v>82</v>
      </c>
      <c r="E260" s="4"/>
      <c r="F260" s="57">
        <v>741.95</v>
      </c>
      <c r="G260" s="58">
        <v>0</v>
      </c>
      <c r="H260" s="58"/>
      <c r="I260" s="58"/>
      <c r="J260" s="58">
        <f t="shared" si="12"/>
        <v>0</v>
      </c>
      <c r="K260" s="58">
        <f>IFERROR(VLOOKUP(B260,'[1]bajada sap'!$B:$F,5,0),0)</f>
        <v>0</v>
      </c>
      <c r="L260" s="58">
        <f t="shared" si="11"/>
        <v>0</v>
      </c>
    </row>
    <row r="261" spans="1:13">
      <c r="A261" s="29">
        <f t="shared" si="10"/>
        <v>0</v>
      </c>
      <c r="B261" s="54">
        <v>50498273</v>
      </c>
      <c r="C261" s="55" t="s">
        <v>3107</v>
      </c>
      <c r="D261" s="56" t="s">
        <v>82</v>
      </c>
      <c r="E261" s="4"/>
      <c r="F261" s="57"/>
      <c r="G261" s="58">
        <v>0</v>
      </c>
      <c r="H261" s="58"/>
      <c r="I261" s="58"/>
      <c r="J261" s="58">
        <f t="shared" si="12"/>
        <v>0</v>
      </c>
      <c r="K261" s="58">
        <f>IFERROR(VLOOKUP(B261,'[1]bajada sap'!$B:$F,5,0),0)</f>
        <v>0</v>
      </c>
      <c r="L261" s="58">
        <f t="shared" si="11"/>
        <v>0</v>
      </c>
    </row>
    <row r="262" spans="1:13">
      <c r="A262" s="29">
        <f t="shared" si="10"/>
        <v>0</v>
      </c>
      <c r="B262" s="54">
        <v>50821968</v>
      </c>
      <c r="C262" s="55" t="s">
        <v>3108</v>
      </c>
      <c r="D262" s="56" t="s">
        <v>82</v>
      </c>
      <c r="E262" s="4"/>
      <c r="F262" s="4"/>
      <c r="G262" s="58">
        <v>0</v>
      </c>
      <c r="H262" s="58"/>
      <c r="I262" s="58"/>
      <c r="J262" s="58">
        <f t="shared" si="12"/>
        <v>0</v>
      </c>
      <c r="K262" s="58">
        <f>IFERROR(VLOOKUP(B262,'[1]bajada sap'!$B:$F,5,0),0)</f>
        <v>0</v>
      </c>
      <c r="L262" s="58">
        <f t="shared" si="11"/>
        <v>0</v>
      </c>
    </row>
    <row r="263" spans="1:13">
      <c r="A263" s="29">
        <f t="shared" si="10"/>
        <v>0</v>
      </c>
      <c r="B263" s="54">
        <v>50809144</v>
      </c>
      <c r="C263" s="55" t="s">
        <v>989</v>
      </c>
      <c r="D263" s="56" t="s">
        <v>82</v>
      </c>
      <c r="E263" s="4"/>
      <c r="F263" s="4"/>
      <c r="G263" s="58">
        <v>0</v>
      </c>
      <c r="H263" s="58"/>
      <c r="I263" s="58"/>
      <c r="J263" s="58">
        <f t="shared" si="12"/>
        <v>0</v>
      </c>
      <c r="K263" s="58">
        <f>IFERROR(VLOOKUP(B263,'[1]bajada sap'!$B:$F,5,0),0)</f>
        <v>0</v>
      </c>
      <c r="L263" s="58">
        <f t="shared" si="11"/>
        <v>0</v>
      </c>
    </row>
    <row r="264" spans="1:13">
      <c r="A264" s="29">
        <f t="shared" ref="A264:A327" si="13">+IF(OR(G264&gt;0,J264&gt;0,K264&gt;0),1,0)</f>
        <v>0</v>
      </c>
      <c r="B264" s="54">
        <v>50837236</v>
      </c>
      <c r="C264" s="55" t="s">
        <v>1992</v>
      </c>
      <c r="D264" s="56" t="s">
        <v>82</v>
      </c>
      <c r="E264" s="4"/>
      <c r="F264" s="4"/>
      <c r="G264" s="58">
        <v>0</v>
      </c>
      <c r="H264" s="58"/>
      <c r="I264" s="58"/>
      <c r="J264" s="58">
        <f t="shared" si="12"/>
        <v>0</v>
      </c>
      <c r="K264" s="58">
        <f>IFERROR(VLOOKUP(B264,'[1]bajada sap'!$B:$F,5,0),0)</f>
        <v>0</v>
      </c>
      <c r="L264" s="58">
        <f t="shared" ref="L264:L319" si="14">J264-K264</f>
        <v>0</v>
      </c>
    </row>
    <row r="265" spans="1:13">
      <c r="A265" s="29">
        <f t="shared" si="13"/>
        <v>1</v>
      </c>
      <c r="B265" s="54">
        <v>50821962</v>
      </c>
      <c r="C265" s="55" t="s">
        <v>2020</v>
      </c>
      <c r="D265" s="56" t="s">
        <v>82</v>
      </c>
      <c r="E265" s="4"/>
      <c r="F265" s="4"/>
      <c r="G265" s="58"/>
      <c r="H265" s="58"/>
      <c r="I265" s="58"/>
      <c r="J265" s="58">
        <f t="shared" si="12"/>
        <v>0</v>
      </c>
      <c r="K265" s="58">
        <f>IFERROR(VLOOKUP(B265,'[1]bajada sap'!$B:$F,5,0),0)</f>
        <v>3359.3</v>
      </c>
      <c r="L265" s="58">
        <f t="shared" si="14"/>
        <v>-3359.3</v>
      </c>
    </row>
    <row r="266" spans="1:13">
      <c r="A266" s="29">
        <f t="shared" si="13"/>
        <v>0</v>
      </c>
      <c r="B266" s="54">
        <v>50841696</v>
      </c>
      <c r="C266" s="55" t="s">
        <v>2494</v>
      </c>
      <c r="D266" s="56" t="s">
        <v>82</v>
      </c>
      <c r="E266" s="4"/>
      <c r="F266" s="4"/>
      <c r="G266" s="58">
        <v>0</v>
      </c>
      <c r="H266" s="58"/>
      <c r="I266" s="58"/>
      <c r="J266" s="58">
        <f t="shared" si="12"/>
        <v>0</v>
      </c>
      <c r="K266" s="58">
        <f>IFERROR(VLOOKUP(B266,'[1]bajada sap'!$B:$F,5,0),0)</f>
        <v>0</v>
      </c>
      <c r="L266" s="58">
        <f t="shared" si="14"/>
        <v>0</v>
      </c>
    </row>
    <row r="267" spans="1:13">
      <c r="A267" s="29">
        <f t="shared" si="13"/>
        <v>0</v>
      </c>
      <c r="B267" s="54">
        <v>50837238</v>
      </c>
      <c r="C267" s="55" t="s">
        <v>1976</v>
      </c>
      <c r="D267" s="56" t="s">
        <v>82</v>
      </c>
      <c r="E267" s="4"/>
      <c r="F267" s="4"/>
      <c r="G267" s="58">
        <v>0</v>
      </c>
      <c r="H267" s="58"/>
      <c r="I267" s="58"/>
      <c r="J267" s="58">
        <f t="shared" si="12"/>
        <v>0</v>
      </c>
      <c r="K267" s="58">
        <f>IFERROR(VLOOKUP(B267,'[1]bajada sap'!$B:$F,5,0),0)</f>
        <v>0</v>
      </c>
      <c r="L267" s="58">
        <f t="shared" si="14"/>
        <v>0</v>
      </c>
    </row>
    <row r="268" spans="1:13">
      <c r="A268" s="29">
        <f t="shared" si="13"/>
        <v>0</v>
      </c>
      <c r="B268" s="54">
        <v>50837239</v>
      </c>
      <c r="C268" s="55" t="s">
        <v>27</v>
      </c>
      <c r="D268" s="56" t="s">
        <v>82</v>
      </c>
      <c r="E268" s="4"/>
      <c r="F268" s="4"/>
      <c r="G268" s="58"/>
      <c r="H268" s="58"/>
      <c r="I268" s="58"/>
      <c r="J268" s="58">
        <f t="shared" si="12"/>
        <v>0</v>
      </c>
      <c r="K268" s="58">
        <f>IFERROR(VLOOKUP(B268,'[1]bajada sap'!$B:$F,5,0),0)</f>
        <v>0</v>
      </c>
      <c r="L268" s="58">
        <f t="shared" si="14"/>
        <v>0</v>
      </c>
      <c r="M268" t="s">
        <v>3109</v>
      </c>
    </row>
    <row r="269" spans="1:13">
      <c r="A269" s="29">
        <f t="shared" si="13"/>
        <v>0</v>
      </c>
      <c r="B269" s="54">
        <v>50834329</v>
      </c>
      <c r="C269" s="55" t="s">
        <v>1475</v>
      </c>
      <c r="D269" s="56" t="s">
        <v>82</v>
      </c>
      <c r="E269" s="4">
        <v>5</v>
      </c>
      <c r="F269" s="4"/>
      <c r="G269" s="58">
        <v>0</v>
      </c>
      <c r="H269" s="58"/>
      <c r="I269" s="58"/>
      <c r="J269" s="58">
        <f t="shared" si="12"/>
        <v>0</v>
      </c>
      <c r="K269" s="58">
        <f>IFERROR(VLOOKUP(B269,'[1]bajada sap'!$B:$F,5,0),0)</f>
        <v>0</v>
      </c>
      <c r="L269" s="58">
        <f t="shared" si="14"/>
        <v>0</v>
      </c>
    </row>
    <row r="270" spans="1:13">
      <c r="A270" s="29">
        <f t="shared" si="13"/>
        <v>0</v>
      </c>
      <c r="B270" s="54">
        <v>50843042</v>
      </c>
      <c r="C270" s="55" t="s">
        <v>2282</v>
      </c>
      <c r="D270" s="56" t="s">
        <v>82</v>
      </c>
      <c r="E270" s="4"/>
      <c r="F270" s="4"/>
      <c r="G270" s="58">
        <v>0</v>
      </c>
      <c r="H270" s="58"/>
      <c r="I270" s="58"/>
      <c r="J270" s="58">
        <f t="shared" si="12"/>
        <v>0</v>
      </c>
      <c r="K270" s="58">
        <f>IFERROR(VLOOKUP(B270,'[1]bajada sap'!$B:$F,5,0),0)</f>
        <v>0</v>
      </c>
      <c r="L270" s="58">
        <f t="shared" si="14"/>
        <v>0</v>
      </c>
    </row>
    <row r="271" spans="1:13">
      <c r="A271" s="29">
        <f t="shared" si="13"/>
        <v>0</v>
      </c>
      <c r="B271" s="54">
        <v>50840365</v>
      </c>
      <c r="C271" s="55" t="s">
        <v>1886</v>
      </c>
      <c r="D271" s="56" t="s">
        <v>82</v>
      </c>
      <c r="E271" s="4">
        <v>3954.65</v>
      </c>
      <c r="F271" s="4"/>
      <c r="G271" s="58">
        <v>0</v>
      </c>
      <c r="H271" s="58"/>
      <c r="I271" s="58"/>
      <c r="J271" s="58">
        <f t="shared" si="12"/>
        <v>0</v>
      </c>
      <c r="K271" s="58">
        <f>IFERROR(VLOOKUP(B271,'[1]bajada sap'!$B:$F,5,0),0)</f>
        <v>0</v>
      </c>
      <c r="L271" s="58">
        <f t="shared" si="14"/>
        <v>0</v>
      </c>
    </row>
    <row r="272" spans="1:13">
      <c r="A272" s="29">
        <f t="shared" si="13"/>
        <v>1</v>
      </c>
      <c r="B272" s="54">
        <v>50854127</v>
      </c>
      <c r="C272" s="55" t="s">
        <v>30</v>
      </c>
      <c r="D272" s="56" t="s">
        <v>82</v>
      </c>
      <c r="E272" s="4"/>
      <c r="F272" s="4"/>
      <c r="G272" s="58">
        <v>4625.7</v>
      </c>
      <c r="H272" s="58"/>
      <c r="I272" s="58"/>
      <c r="J272" s="58">
        <f t="shared" si="12"/>
        <v>4625.7</v>
      </c>
      <c r="K272" s="58">
        <f>IFERROR(VLOOKUP(B272,'[1]bajada sap'!$B:$F,5,0),0)</f>
        <v>4924.75</v>
      </c>
      <c r="L272" s="58">
        <f t="shared" si="14"/>
        <v>-299.05</v>
      </c>
    </row>
    <row r="273" spans="1:13">
      <c r="A273" s="29">
        <f t="shared" si="13"/>
        <v>1</v>
      </c>
      <c r="B273" s="54">
        <v>50837268</v>
      </c>
      <c r="C273" s="55" t="s">
        <v>2401</v>
      </c>
      <c r="D273" s="56" t="s">
        <v>82</v>
      </c>
      <c r="E273" s="4"/>
      <c r="F273" s="4"/>
      <c r="G273" s="58">
        <v>4042.9</v>
      </c>
      <c r="H273" s="58"/>
      <c r="I273" s="58"/>
      <c r="J273" s="58">
        <f t="shared" ref="J273:J336" si="15">+G273+H273-I273</f>
        <v>4042.9</v>
      </c>
      <c r="K273" s="58">
        <f>IFERROR(VLOOKUP(B273,'[1]bajada sap'!$B:$F,5,0),0)</f>
        <v>0</v>
      </c>
      <c r="L273" s="58">
        <f t="shared" si="14"/>
        <v>4042.9</v>
      </c>
    </row>
    <row r="274" spans="1:13">
      <c r="A274" s="29">
        <f t="shared" si="13"/>
        <v>0</v>
      </c>
      <c r="B274" s="54">
        <v>50814036</v>
      </c>
      <c r="C274" s="55" t="s">
        <v>986</v>
      </c>
      <c r="D274" s="56" t="s">
        <v>82</v>
      </c>
      <c r="E274" s="4"/>
      <c r="F274" s="4"/>
      <c r="G274" s="58">
        <v>0</v>
      </c>
      <c r="H274" s="58"/>
      <c r="I274" s="58"/>
      <c r="J274" s="58">
        <f t="shared" si="15"/>
        <v>0</v>
      </c>
      <c r="K274" s="58">
        <f>IFERROR(VLOOKUP(B274,'[1]bajada sap'!$B:$F,5,0),0)</f>
        <v>0</v>
      </c>
      <c r="L274" s="58">
        <f t="shared" si="14"/>
        <v>0</v>
      </c>
    </row>
    <row r="275" spans="1:13">
      <c r="A275" s="29">
        <f t="shared" si="13"/>
        <v>0</v>
      </c>
      <c r="B275" s="54">
        <v>50442233</v>
      </c>
      <c r="C275" s="55" t="s">
        <v>3110</v>
      </c>
      <c r="D275" s="56" t="s">
        <v>82</v>
      </c>
      <c r="E275" s="4"/>
      <c r="F275" s="57"/>
      <c r="G275" s="58">
        <v>0</v>
      </c>
      <c r="H275" s="58"/>
      <c r="I275" s="58"/>
      <c r="J275" s="58">
        <f t="shared" si="15"/>
        <v>0</v>
      </c>
      <c r="K275" s="58">
        <f>IFERROR(VLOOKUP(B275,'[1]bajada sap'!$B:$F,5,0),0)</f>
        <v>0</v>
      </c>
      <c r="L275" s="58">
        <f t="shared" si="14"/>
        <v>0</v>
      </c>
    </row>
    <row r="276" spans="1:13">
      <c r="A276" s="29">
        <f t="shared" si="13"/>
        <v>0</v>
      </c>
      <c r="B276" s="54">
        <v>50809143</v>
      </c>
      <c r="C276" s="55" t="s">
        <v>997</v>
      </c>
      <c r="D276" s="56" t="s">
        <v>82</v>
      </c>
      <c r="E276" s="4"/>
      <c r="F276" s="4"/>
      <c r="G276" s="58">
        <v>0</v>
      </c>
      <c r="H276" s="58"/>
      <c r="I276" s="58"/>
      <c r="J276" s="58">
        <f t="shared" si="15"/>
        <v>0</v>
      </c>
      <c r="K276" s="58">
        <f>IFERROR(VLOOKUP(B276,'[1]bajada sap'!$B:$F,5,0),0)</f>
        <v>0</v>
      </c>
      <c r="L276" s="58">
        <f t="shared" si="14"/>
        <v>0</v>
      </c>
    </row>
    <row r="277" spans="1:13">
      <c r="A277" s="29">
        <f t="shared" si="13"/>
        <v>0</v>
      </c>
      <c r="B277" s="54">
        <v>50550701</v>
      </c>
      <c r="C277" s="55" t="s">
        <v>244</v>
      </c>
      <c r="D277" s="56" t="s">
        <v>82</v>
      </c>
      <c r="E277" s="4"/>
      <c r="F277" s="57">
        <v>725</v>
      </c>
      <c r="G277" s="58">
        <v>0</v>
      </c>
      <c r="H277" s="58"/>
      <c r="I277" s="58"/>
      <c r="J277" s="58">
        <f t="shared" si="15"/>
        <v>0</v>
      </c>
      <c r="K277" s="58">
        <f>IFERROR(VLOOKUP(B277,'[1]bajada sap'!$B:$F,5,0),0)</f>
        <v>0</v>
      </c>
      <c r="L277" s="58">
        <f t="shared" si="14"/>
        <v>0</v>
      </c>
    </row>
    <row r="278" spans="1:13">
      <c r="A278" s="29">
        <f t="shared" si="13"/>
        <v>0</v>
      </c>
      <c r="B278" s="54">
        <v>50493867</v>
      </c>
      <c r="C278" s="55" t="s">
        <v>255</v>
      </c>
      <c r="D278" s="56" t="s">
        <v>82</v>
      </c>
      <c r="E278" s="4"/>
      <c r="F278" s="57">
        <v>399</v>
      </c>
      <c r="G278" s="58">
        <v>0</v>
      </c>
      <c r="H278" s="58"/>
      <c r="I278" s="58"/>
      <c r="J278" s="58">
        <f t="shared" si="15"/>
        <v>0</v>
      </c>
      <c r="K278" s="58">
        <f>IFERROR(VLOOKUP(B278,'[1]bajada sap'!$B:$F,5,0),0)</f>
        <v>0</v>
      </c>
      <c r="L278" s="58">
        <f t="shared" si="14"/>
        <v>0</v>
      </c>
    </row>
    <row r="279" spans="1:13">
      <c r="A279" s="29">
        <f t="shared" si="13"/>
        <v>1</v>
      </c>
      <c r="B279" s="54">
        <v>50851033</v>
      </c>
      <c r="C279" s="55" t="s">
        <v>29</v>
      </c>
      <c r="D279" s="56" t="s">
        <v>82</v>
      </c>
      <c r="E279" s="4"/>
      <c r="F279" s="4"/>
      <c r="G279" s="58">
        <v>2825.6</v>
      </c>
      <c r="H279" s="58"/>
      <c r="I279" s="58"/>
      <c r="J279" s="58">
        <f t="shared" si="15"/>
        <v>2825.6</v>
      </c>
      <c r="K279" s="58">
        <f>IFERROR(VLOOKUP(B279,'[1]bajada sap'!$B:$F,5,0),0)</f>
        <v>2825.6</v>
      </c>
      <c r="L279" s="58">
        <f t="shared" si="14"/>
        <v>0</v>
      </c>
      <c r="M279" t="s">
        <v>3087</v>
      </c>
    </row>
    <row r="280" spans="1:13">
      <c r="A280" s="29">
        <f t="shared" si="13"/>
        <v>1</v>
      </c>
      <c r="B280" s="54">
        <v>50837284</v>
      </c>
      <c r="C280" s="69" t="s">
        <v>28</v>
      </c>
      <c r="D280" s="56" t="s">
        <v>82</v>
      </c>
      <c r="E280" s="4">
        <v>3001.75</v>
      </c>
      <c r="F280" s="4"/>
      <c r="G280" s="58"/>
      <c r="H280" s="58"/>
      <c r="I280" s="58"/>
      <c r="J280" s="58">
        <f t="shared" si="15"/>
        <v>0</v>
      </c>
      <c r="K280" s="58">
        <f>IFERROR(VLOOKUP(B280,'[1]bajada sap'!$B:$F,5,0),0)</f>
        <v>2490.9</v>
      </c>
      <c r="L280" s="58">
        <f t="shared" si="14"/>
        <v>-2490.9</v>
      </c>
    </row>
    <row r="281" spans="1:13">
      <c r="A281" s="29">
        <f t="shared" si="13"/>
        <v>0</v>
      </c>
      <c r="B281" s="54">
        <v>50498271</v>
      </c>
      <c r="C281" s="55" t="s">
        <v>1025</v>
      </c>
      <c r="D281" s="56" t="s">
        <v>82</v>
      </c>
      <c r="E281" s="4"/>
      <c r="F281" s="4">
        <v>456</v>
      </c>
      <c r="G281" s="58">
        <v>0</v>
      </c>
      <c r="H281" s="58"/>
      <c r="I281" s="58"/>
      <c r="J281" s="58">
        <f t="shared" si="15"/>
        <v>0</v>
      </c>
      <c r="K281" s="58">
        <f>IFERROR(VLOOKUP(B281,'[1]bajada sap'!$B:$F,5,0),0)</f>
        <v>0</v>
      </c>
      <c r="L281" s="58">
        <f t="shared" si="14"/>
        <v>0</v>
      </c>
    </row>
    <row r="282" spans="1:13">
      <c r="A282" s="29">
        <f t="shared" si="13"/>
        <v>0</v>
      </c>
      <c r="B282" s="54">
        <v>50142551</v>
      </c>
      <c r="C282" s="55" t="s">
        <v>215</v>
      </c>
      <c r="D282" s="56" t="s">
        <v>92</v>
      </c>
      <c r="E282" s="4">
        <v>1</v>
      </c>
      <c r="F282" s="57">
        <v>25</v>
      </c>
      <c r="G282" s="58"/>
      <c r="H282" s="58"/>
      <c r="I282" s="58"/>
      <c r="J282" s="58">
        <f t="shared" si="15"/>
        <v>0</v>
      </c>
      <c r="K282" s="58">
        <f>IFERROR(VLOOKUP(B282,'[1]bajada sap'!$B:$F,5,0),0)</f>
        <v>0</v>
      </c>
      <c r="L282" s="58">
        <f t="shared" si="14"/>
        <v>0</v>
      </c>
    </row>
    <row r="283" spans="1:13">
      <c r="A283" s="29">
        <f t="shared" si="13"/>
        <v>1</v>
      </c>
      <c r="B283" s="54">
        <v>50142397</v>
      </c>
      <c r="C283" s="55" t="s">
        <v>557</v>
      </c>
      <c r="D283" s="56" t="s">
        <v>80</v>
      </c>
      <c r="E283" s="4"/>
      <c r="F283" s="57">
        <v>25</v>
      </c>
      <c r="G283" s="58">
        <v>225</v>
      </c>
      <c r="H283" s="58"/>
      <c r="I283" s="58"/>
      <c r="J283" s="58">
        <f t="shared" si="15"/>
        <v>225</v>
      </c>
      <c r="K283" s="58">
        <f>IFERROR(VLOOKUP(B283,'[1]bajada sap'!$B:$F,5,0),0)</f>
        <v>300</v>
      </c>
      <c r="L283" s="58">
        <f t="shared" si="14"/>
        <v>-75</v>
      </c>
    </row>
    <row r="284" spans="1:13">
      <c r="A284" s="29">
        <f t="shared" si="13"/>
        <v>0</v>
      </c>
      <c r="B284" s="54">
        <v>50142455</v>
      </c>
      <c r="C284" s="55" t="s">
        <v>560</v>
      </c>
      <c r="D284" s="56" t="s">
        <v>92</v>
      </c>
      <c r="E284" s="4">
        <v>1</v>
      </c>
      <c r="F284" s="57">
        <v>25</v>
      </c>
      <c r="G284" s="58">
        <v>0</v>
      </c>
      <c r="H284" s="58"/>
      <c r="I284" s="58"/>
      <c r="J284" s="58">
        <f t="shared" si="15"/>
        <v>0</v>
      </c>
      <c r="K284" s="58">
        <f>IFERROR(VLOOKUP(B284,'[1]bajada sap'!$B:$F,5,0),0)</f>
        <v>0</v>
      </c>
      <c r="L284" s="58">
        <f t="shared" si="14"/>
        <v>0</v>
      </c>
    </row>
    <row r="285" spans="1:13">
      <c r="A285" s="29">
        <f t="shared" si="13"/>
        <v>1</v>
      </c>
      <c r="B285" s="54">
        <v>50824293</v>
      </c>
      <c r="C285" s="55" t="s">
        <v>861</v>
      </c>
      <c r="D285" s="56" t="s">
        <v>92</v>
      </c>
      <c r="E285" s="4"/>
      <c r="F285" s="4"/>
      <c r="G285" s="58">
        <v>14510000</v>
      </c>
      <c r="H285" s="58"/>
      <c r="I285" s="58"/>
      <c r="J285" s="58">
        <f t="shared" si="15"/>
        <v>14510000</v>
      </c>
      <c r="K285" s="58">
        <f>IFERROR(VLOOKUP(B285,'[1]bajada sap'!$B:$F,5,0),0)</f>
        <v>8050000</v>
      </c>
      <c r="L285" s="58">
        <f t="shared" si="14"/>
        <v>6460000</v>
      </c>
    </row>
    <row r="286" spans="1:13">
      <c r="A286" s="29">
        <f t="shared" si="13"/>
        <v>1</v>
      </c>
      <c r="B286" s="54">
        <v>50501117</v>
      </c>
      <c r="C286" s="55" t="s">
        <v>1541</v>
      </c>
      <c r="D286" s="56" t="s">
        <v>80</v>
      </c>
      <c r="E286" s="4"/>
      <c r="F286" s="4"/>
      <c r="G286" s="58">
        <v>5.616</v>
      </c>
      <c r="H286" s="58"/>
      <c r="I286" s="63"/>
      <c r="J286" s="73">
        <f t="shared" si="15"/>
        <v>5.616</v>
      </c>
      <c r="K286" s="58">
        <f>IFERROR(VLOOKUP(B286,'[1]bajada sap'!$B:$F,5,0),0)</f>
        <v>5.616</v>
      </c>
      <c r="L286" s="58">
        <f t="shared" si="14"/>
        <v>0</v>
      </c>
      <c r="M286" t="s">
        <v>3111</v>
      </c>
    </row>
    <row r="287" spans="1:13">
      <c r="A287" s="29">
        <f t="shared" si="13"/>
        <v>1</v>
      </c>
      <c r="B287" s="54">
        <v>50400554</v>
      </c>
      <c r="C287" s="55" t="s">
        <v>1311</v>
      </c>
      <c r="D287" s="56" t="s">
        <v>80</v>
      </c>
      <c r="E287" s="4"/>
      <c r="F287" s="4"/>
      <c r="G287" s="58">
        <v>89.552</v>
      </c>
      <c r="H287" s="58"/>
      <c r="I287" s="58"/>
      <c r="J287" s="58">
        <f t="shared" si="15"/>
        <v>89.552</v>
      </c>
      <c r="K287" s="58">
        <f>IFERROR(VLOOKUP(B287,'[1]bajada sap'!$B:$F,5,0),0)</f>
        <v>89.552</v>
      </c>
      <c r="L287" s="58">
        <f t="shared" si="14"/>
        <v>0</v>
      </c>
    </row>
    <row r="288" spans="1:13">
      <c r="A288" s="29">
        <f t="shared" si="13"/>
        <v>0</v>
      </c>
      <c r="B288" s="54">
        <v>50540573</v>
      </c>
      <c r="C288" s="55" t="s">
        <v>197</v>
      </c>
      <c r="D288" s="56" t="s">
        <v>1949</v>
      </c>
      <c r="E288" s="4">
        <v>13</v>
      </c>
      <c r="F288" s="57">
        <v>750</v>
      </c>
      <c r="G288" s="58">
        <v>0</v>
      </c>
      <c r="H288" s="58"/>
      <c r="I288" s="58"/>
      <c r="J288" s="58">
        <f t="shared" si="15"/>
        <v>0</v>
      </c>
      <c r="K288" s="58">
        <f>IFERROR(VLOOKUP(B288,'[1]bajada sap'!$B:$F,5,0),0)</f>
        <v>0</v>
      </c>
      <c r="L288" s="58">
        <f t="shared" si="14"/>
        <v>0</v>
      </c>
    </row>
    <row r="289" spans="1:14">
      <c r="A289" s="29">
        <f t="shared" si="13"/>
        <v>0</v>
      </c>
      <c r="B289" s="54">
        <v>50409107</v>
      </c>
      <c r="C289" s="55" t="s">
        <v>2486</v>
      </c>
      <c r="D289" s="56" t="s">
        <v>82</v>
      </c>
      <c r="E289" s="4"/>
      <c r="F289" s="4"/>
      <c r="G289" s="58">
        <v>0</v>
      </c>
      <c r="H289" s="58"/>
      <c r="I289" s="58"/>
      <c r="J289" s="58">
        <f t="shared" si="15"/>
        <v>0</v>
      </c>
      <c r="K289" s="58">
        <f>IFERROR(VLOOKUP(B289,'[1]bajada sap'!$B:$F,5,0),0)</f>
        <v>0</v>
      </c>
      <c r="L289" s="58">
        <f t="shared" si="14"/>
        <v>0</v>
      </c>
    </row>
    <row r="290" spans="1:14">
      <c r="A290" s="29">
        <f t="shared" si="13"/>
        <v>1</v>
      </c>
      <c r="B290" s="54">
        <v>50144334</v>
      </c>
      <c r="C290" s="55" t="s">
        <v>426</v>
      </c>
      <c r="D290" s="56" t="s">
        <v>82</v>
      </c>
      <c r="E290" s="4">
        <v>9</v>
      </c>
      <c r="F290" s="57">
        <v>750</v>
      </c>
      <c r="G290" s="58">
        <v>2970</v>
      </c>
      <c r="H290" s="58"/>
      <c r="I290" s="58"/>
      <c r="J290" s="58">
        <f t="shared" si="15"/>
        <v>2970</v>
      </c>
      <c r="K290" s="58">
        <f>IFERROR(VLOOKUP(B290,'[1]bajada sap'!$B:$F,5,0),0)</f>
        <v>2970</v>
      </c>
      <c r="L290" s="58">
        <f t="shared" si="14"/>
        <v>0</v>
      </c>
    </row>
    <row r="291" spans="1:14">
      <c r="A291" s="29">
        <f t="shared" si="13"/>
        <v>0</v>
      </c>
      <c r="B291" s="54">
        <v>50328897</v>
      </c>
      <c r="C291" s="69" t="s">
        <v>1850</v>
      </c>
      <c r="D291" s="56" t="s">
        <v>82</v>
      </c>
      <c r="E291" s="4"/>
      <c r="F291" s="4"/>
      <c r="G291" s="58"/>
      <c r="H291" s="58"/>
      <c r="I291" s="58"/>
      <c r="J291" s="58">
        <f t="shared" si="15"/>
        <v>0</v>
      </c>
      <c r="K291" s="58">
        <f>IFERROR(VLOOKUP(B291,'[1]bajada sap'!$B:$F,5,0),0)</f>
        <v>0</v>
      </c>
      <c r="L291" s="58">
        <f t="shared" si="14"/>
        <v>0</v>
      </c>
    </row>
    <row r="292" spans="1:14">
      <c r="A292" s="29">
        <f t="shared" si="13"/>
        <v>1</v>
      </c>
      <c r="B292" s="54">
        <v>20016185</v>
      </c>
      <c r="C292" s="55" t="s">
        <v>285</v>
      </c>
      <c r="D292" s="56" t="s">
        <v>92</v>
      </c>
      <c r="E292" s="4">
        <v>1</v>
      </c>
      <c r="F292" s="57">
        <v>1000</v>
      </c>
      <c r="G292" s="58">
        <v>50000</v>
      </c>
      <c r="H292" s="58"/>
      <c r="I292" s="58"/>
      <c r="J292" s="58">
        <f t="shared" si="15"/>
        <v>50000</v>
      </c>
      <c r="K292" s="58">
        <f>IFERROR(VLOOKUP(B292,'[1]bajada sap'!$B:$F,5,0),0)</f>
        <v>50000</v>
      </c>
      <c r="L292" s="58">
        <f t="shared" si="14"/>
        <v>0</v>
      </c>
    </row>
    <row r="293" spans="1:14">
      <c r="A293" s="29">
        <f t="shared" si="13"/>
        <v>1</v>
      </c>
      <c r="B293" s="54">
        <v>50799770</v>
      </c>
      <c r="C293" s="55" t="s">
        <v>17</v>
      </c>
      <c r="D293" s="56" t="s">
        <v>92</v>
      </c>
      <c r="E293" s="4"/>
      <c r="F293" s="4">
        <v>500</v>
      </c>
      <c r="G293" s="58">
        <v>48100</v>
      </c>
      <c r="H293" s="58"/>
      <c r="I293" s="65"/>
      <c r="J293" s="58">
        <f t="shared" si="15"/>
        <v>48100</v>
      </c>
      <c r="K293" s="58">
        <v>20200</v>
      </c>
      <c r="L293" s="58">
        <f t="shared" si="14"/>
        <v>27900</v>
      </c>
      <c r="M293" t="s">
        <v>3112</v>
      </c>
    </row>
    <row r="294" spans="1:14">
      <c r="A294" s="29">
        <f t="shared" si="13"/>
        <v>1</v>
      </c>
      <c r="B294" s="54">
        <v>50144376</v>
      </c>
      <c r="C294" s="55" t="s">
        <v>19</v>
      </c>
      <c r="D294" s="56" t="s">
        <v>92</v>
      </c>
      <c r="E294" s="4"/>
      <c r="F294" s="57">
        <v>600</v>
      </c>
      <c r="G294" s="58">
        <v>58600</v>
      </c>
      <c r="H294" s="58"/>
      <c r="I294" s="58"/>
      <c r="J294" s="58">
        <f t="shared" si="15"/>
        <v>58600</v>
      </c>
      <c r="K294" s="58">
        <v>21000</v>
      </c>
      <c r="L294" s="58">
        <f t="shared" si="14"/>
        <v>37600</v>
      </c>
      <c r="M294" t="s">
        <v>3087</v>
      </c>
      <c r="N294" s="62"/>
    </row>
    <row r="295" spans="1:14">
      <c r="A295" s="29">
        <f t="shared" si="13"/>
        <v>1</v>
      </c>
      <c r="B295" s="54">
        <v>50272278</v>
      </c>
      <c r="C295" s="69" t="s">
        <v>21</v>
      </c>
      <c r="D295" s="56" t="s">
        <v>92</v>
      </c>
      <c r="E295" s="4"/>
      <c r="F295" s="74">
        <v>600</v>
      </c>
      <c r="G295" s="58">
        <v>55650</v>
      </c>
      <c r="H295" s="58"/>
      <c r="I295" s="65"/>
      <c r="J295" s="58">
        <f t="shared" si="15"/>
        <v>55650</v>
      </c>
      <c r="K295" s="58">
        <v>50400</v>
      </c>
      <c r="L295" s="58">
        <f t="shared" si="14"/>
        <v>5250</v>
      </c>
      <c r="M295" t="s">
        <v>3085</v>
      </c>
    </row>
    <row r="296" spans="1:14">
      <c r="A296" s="29">
        <f t="shared" si="13"/>
        <v>0</v>
      </c>
      <c r="B296" s="54">
        <v>50765894</v>
      </c>
      <c r="C296" s="55" t="s">
        <v>2153</v>
      </c>
      <c r="D296" s="56"/>
      <c r="E296" s="4"/>
      <c r="F296" s="4"/>
      <c r="G296" s="58">
        <v>0</v>
      </c>
      <c r="H296" s="58"/>
      <c r="I296" s="58"/>
      <c r="J296" s="58">
        <f t="shared" si="15"/>
        <v>0</v>
      </c>
      <c r="K296" s="58">
        <f>IFERROR(VLOOKUP(B296,'[1]bajada sap'!$B:$F,5,0),0)</f>
        <v>0</v>
      </c>
      <c r="L296" s="58">
        <f t="shared" si="14"/>
        <v>0</v>
      </c>
    </row>
    <row r="297" spans="1:14">
      <c r="A297" s="29">
        <f t="shared" si="13"/>
        <v>0</v>
      </c>
      <c r="B297" s="54">
        <v>50144246</v>
      </c>
      <c r="C297" s="55" t="s">
        <v>3113</v>
      </c>
      <c r="D297" s="56" t="s">
        <v>92</v>
      </c>
      <c r="E297" s="4"/>
      <c r="F297" s="4">
        <f>148+24+15+80</f>
        <v>267</v>
      </c>
      <c r="G297" s="58">
        <v>0</v>
      </c>
      <c r="H297" s="58"/>
      <c r="I297" s="58"/>
      <c r="J297" s="58">
        <f t="shared" si="15"/>
        <v>0</v>
      </c>
      <c r="K297" s="58">
        <f>IFERROR(VLOOKUP(B297,'[1]bajada sap'!$B:$F,5,0),0)</f>
        <v>0</v>
      </c>
      <c r="L297" s="58">
        <f t="shared" si="14"/>
        <v>0</v>
      </c>
    </row>
    <row r="298" spans="1:14">
      <c r="A298" s="29">
        <f t="shared" si="13"/>
        <v>0</v>
      </c>
      <c r="B298" s="54">
        <v>50409115</v>
      </c>
      <c r="C298" s="55" t="s">
        <v>2156</v>
      </c>
      <c r="D298" s="56"/>
      <c r="E298" s="4"/>
      <c r="F298" s="4"/>
      <c r="G298" s="58">
        <v>0</v>
      </c>
      <c r="H298" s="58"/>
      <c r="I298" s="58"/>
      <c r="J298" s="58">
        <f t="shared" si="15"/>
        <v>0</v>
      </c>
      <c r="K298" s="58">
        <f>IFERROR(VLOOKUP(B298,'[1]bajada sap'!$B:$F,5,0),0)</f>
        <v>0</v>
      </c>
      <c r="L298" s="58">
        <f t="shared" si="14"/>
        <v>0</v>
      </c>
    </row>
    <row r="299" spans="1:14">
      <c r="A299" s="29">
        <f t="shared" si="13"/>
        <v>0</v>
      </c>
      <c r="B299" s="54">
        <v>50502050</v>
      </c>
      <c r="C299" s="55" t="s">
        <v>1500</v>
      </c>
      <c r="D299" s="56" t="s">
        <v>82</v>
      </c>
      <c r="E299" s="4"/>
      <c r="F299" s="4"/>
      <c r="G299" s="58">
        <v>0</v>
      </c>
      <c r="H299" s="58"/>
      <c r="I299" s="58"/>
      <c r="J299" s="58">
        <f t="shared" si="15"/>
        <v>0</v>
      </c>
      <c r="K299" s="58">
        <f>IFERROR(VLOOKUP(B299,'[1]bajada sap'!$B:$F,5,0),0)</f>
        <v>0</v>
      </c>
      <c r="L299" s="58">
        <f t="shared" si="14"/>
        <v>0</v>
      </c>
    </row>
    <row r="300" spans="1:14">
      <c r="A300" s="29">
        <f t="shared" si="13"/>
        <v>0</v>
      </c>
      <c r="B300" s="54">
        <v>50169446</v>
      </c>
      <c r="C300" s="55" t="s">
        <v>1345</v>
      </c>
      <c r="D300" s="56" t="s">
        <v>82</v>
      </c>
      <c r="E300" s="4"/>
      <c r="F300" s="4"/>
      <c r="G300" s="58">
        <v>0</v>
      </c>
      <c r="H300" s="58"/>
      <c r="I300" s="58"/>
      <c r="J300" s="58">
        <f t="shared" si="15"/>
        <v>0</v>
      </c>
      <c r="K300" s="58">
        <f>IFERROR(VLOOKUP(B300,'[1]bajada sap'!$B:$F,5,0),0)</f>
        <v>0</v>
      </c>
      <c r="L300" s="58">
        <f t="shared" si="14"/>
        <v>0</v>
      </c>
    </row>
    <row r="301" spans="1:14">
      <c r="A301" s="29">
        <f t="shared" si="13"/>
        <v>0</v>
      </c>
      <c r="B301" s="54">
        <v>50437501</v>
      </c>
      <c r="C301" s="55" t="s">
        <v>2154</v>
      </c>
      <c r="D301" s="56"/>
      <c r="E301" s="4"/>
      <c r="F301" s="4"/>
      <c r="G301" s="58">
        <v>0</v>
      </c>
      <c r="H301" s="58"/>
      <c r="I301" s="58"/>
      <c r="J301" s="58">
        <f t="shared" si="15"/>
        <v>0</v>
      </c>
      <c r="K301" s="58">
        <f>IFERROR(VLOOKUP(B301,'[1]bajada sap'!$B:$F,5,0),0)</f>
        <v>0</v>
      </c>
      <c r="L301" s="58">
        <f t="shared" si="14"/>
        <v>0</v>
      </c>
    </row>
    <row r="302" spans="1:14">
      <c r="A302" s="29">
        <f t="shared" si="13"/>
        <v>0</v>
      </c>
      <c r="B302" s="54">
        <v>50171162</v>
      </c>
      <c r="C302" s="55" t="s">
        <v>741</v>
      </c>
      <c r="D302" s="56" t="s">
        <v>82</v>
      </c>
      <c r="E302" s="4"/>
      <c r="F302" s="57"/>
      <c r="G302" s="58">
        <v>0</v>
      </c>
      <c r="H302" s="58"/>
      <c r="I302" s="58"/>
      <c r="J302" s="58">
        <f t="shared" si="15"/>
        <v>0</v>
      </c>
      <c r="K302" s="58">
        <f>IFERROR(VLOOKUP(B302,'[1]bajada sap'!$B:$F,5,0),0)</f>
        <v>0</v>
      </c>
      <c r="L302" s="58">
        <f t="shared" si="14"/>
        <v>0</v>
      </c>
    </row>
    <row r="303" spans="1:14">
      <c r="A303" s="29">
        <f t="shared" si="13"/>
        <v>0</v>
      </c>
      <c r="B303" s="54">
        <v>50141521</v>
      </c>
      <c r="C303" s="55" t="s">
        <v>756</v>
      </c>
      <c r="D303" s="56" t="s">
        <v>82</v>
      </c>
      <c r="E303" s="4"/>
      <c r="F303" s="4"/>
      <c r="G303" s="58">
        <v>0</v>
      </c>
      <c r="H303" s="58"/>
      <c r="I303" s="58"/>
      <c r="J303" s="58">
        <f t="shared" si="15"/>
        <v>0</v>
      </c>
      <c r="K303" s="58">
        <f>IFERROR(VLOOKUP(B303,'[1]bajada sap'!$B:$F,5,0),0)</f>
        <v>0</v>
      </c>
      <c r="L303" s="58">
        <f t="shared" si="14"/>
        <v>0</v>
      </c>
    </row>
    <row r="304" spans="1:14">
      <c r="A304" s="29">
        <f t="shared" si="13"/>
        <v>0</v>
      </c>
      <c r="B304" s="54">
        <v>50142584</v>
      </c>
      <c r="C304" s="55" t="s">
        <v>846</v>
      </c>
      <c r="D304" s="56" t="s">
        <v>82</v>
      </c>
      <c r="E304" s="4"/>
      <c r="F304" s="4"/>
      <c r="G304" s="58">
        <v>0</v>
      </c>
      <c r="H304" s="63"/>
      <c r="I304" s="58"/>
      <c r="J304" s="58">
        <f t="shared" si="15"/>
        <v>0</v>
      </c>
      <c r="K304" s="58">
        <f>IFERROR(VLOOKUP(B304,'[1]bajada sap'!$B:$F,5,0),0)</f>
        <v>0</v>
      </c>
      <c r="L304" s="58">
        <f t="shared" si="14"/>
        <v>0</v>
      </c>
    </row>
    <row r="305" spans="1:13">
      <c r="A305" s="29">
        <f t="shared" si="13"/>
        <v>1</v>
      </c>
      <c r="B305" s="54">
        <v>50793278</v>
      </c>
      <c r="C305" s="55" t="s">
        <v>1086</v>
      </c>
      <c r="D305" s="56" t="s">
        <v>1087</v>
      </c>
      <c r="E305" s="4">
        <v>16</v>
      </c>
      <c r="F305" s="4">
        <v>1000</v>
      </c>
      <c r="G305" s="58">
        <v>160</v>
      </c>
      <c r="H305" s="58"/>
      <c r="I305" s="58"/>
      <c r="J305" s="58">
        <f t="shared" si="15"/>
        <v>160</v>
      </c>
      <c r="K305" s="58">
        <f>IFERROR(VLOOKUP(B305,'[1]bajada sap'!$B:$F,5,0),0)</f>
        <v>0</v>
      </c>
      <c r="L305" s="58">
        <f t="shared" si="14"/>
        <v>160</v>
      </c>
    </row>
    <row r="306" spans="1:13">
      <c r="A306" s="29">
        <f t="shared" si="13"/>
        <v>1</v>
      </c>
      <c r="B306" s="54">
        <v>50142373</v>
      </c>
      <c r="C306" s="55" t="s">
        <v>1130</v>
      </c>
      <c r="D306" s="56" t="s">
        <v>82</v>
      </c>
      <c r="E306" s="4"/>
      <c r="F306" s="4"/>
      <c r="G306" s="58">
        <v>800</v>
      </c>
      <c r="H306" s="58"/>
      <c r="I306" s="58"/>
      <c r="J306" s="58">
        <f t="shared" si="15"/>
        <v>800</v>
      </c>
      <c r="K306" s="58">
        <f>IFERROR(VLOOKUP(B306,'[1]bajada sap'!$B:$F,5,0),0)</f>
        <v>800</v>
      </c>
      <c r="L306" s="58">
        <f t="shared" si="14"/>
        <v>0</v>
      </c>
    </row>
    <row r="307" spans="1:13">
      <c r="A307" s="29">
        <f t="shared" si="13"/>
        <v>0</v>
      </c>
      <c r="B307" s="54">
        <v>50409111</v>
      </c>
      <c r="C307" s="55" t="s">
        <v>2487</v>
      </c>
      <c r="D307" s="56" t="s">
        <v>82</v>
      </c>
      <c r="E307" s="4"/>
      <c r="F307" s="4"/>
      <c r="G307" s="58">
        <v>0</v>
      </c>
      <c r="H307" s="58"/>
      <c r="I307" s="58"/>
      <c r="J307" s="58">
        <f t="shared" si="15"/>
        <v>0</v>
      </c>
      <c r="K307" s="58">
        <f>IFERROR(VLOOKUP(B307,'[1]bajada sap'!$B:$F,5,0),0)</f>
        <v>0</v>
      </c>
      <c r="L307" s="58">
        <f t="shared" si="14"/>
        <v>0</v>
      </c>
    </row>
    <row r="308" spans="1:13">
      <c r="A308" s="29">
        <f t="shared" si="13"/>
        <v>0</v>
      </c>
      <c r="B308" s="54">
        <v>50758307</v>
      </c>
      <c r="C308" s="55" t="s">
        <v>593</v>
      </c>
      <c r="D308" s="56" t="s">
        <v>92</v>
      </c>
      <c r="E308" s="4"/>
      <c r="F308" s="57">
        <v>9000</v>
      </c>
      <c r="G308" s="58">
        <v>0</v>
      </c>
      <c r="H308" s="58"/>
      <c r="I308" s="58"/>
      <c r="J308" s="58">
        <f t="shared" si="15"/>
        <v>0</v>
      </c>
      <c r="K308" s="58">
        <f>IFERROR(VLOOKUP(B308,'[1]bajada sap'!$B:$F,5,0),0)</f>
        <v>0</v>
      </c>
      <c r="L308" s="58">
        <f t="shared" si="14"/>
        <v>0</v>
      </c>
    </row>
    <row r="309" spans="1:13">
      <c r="A309" s="29">
        <f t="shared" si="13"/>
        <v>0</v>
      </c>
      <c r="B309" s="54">
        <v>20015620</v>
      </c>
      <c r="C309" s="55" t="s">
        <v>1255</v>
      </c>
      <c r="D309" s="56"/>
      <c r="E309" s="4"/>
      <c r="F309" s="4"/>
      <c r="G309" s="58">
        <v>0</v>
      </c>
      <c r="H309" s="58"/>
      <c r="I309" s="58"/>
      <c r="J309" s="58">
        <f t="shared" si="15"/>
        <v>0</v>
      </c>
      <c r="K309" s="58">
        <f>IFERROR(VLOOKUP(B309,'[1]bajada sap'!$B:$F,5,0),0)</f>
        <v>0</v>
      </c>
      <c r="L309" s="58">
        <f t="shared" si="14"/>
        <v>0</v>
      </c>
    </row>
    <row r="310" spans="1:13">
      <c r="A310" s="29">
        <f t="shared" si="13"/>
        <v>0</v>
      </c>
      <c r="B310" s="54">
        <v>20003859</v>
      </c>
      <c r="C310" s="55" t="s">
        <v>3114</v>
      </c>
      <c r="D310" s="56" t="s">
        <v>92</v>
      </c>
      <c r="E310" s="4"/>
      <c r="F310" s="57">
        <v>237</v>
      </c>
      <c r="G310" s="58">
        <v>0</v>
      </c>
      <c r="H310" s="58"/>
      <c r="I310" s="58"/>
      <c r="J310" s="58">
        <f t="shared" si="15"/>
        <v>0</v>
      </c>
      <c r="K310" s="58">
        <f>IFERROR(VLOOKUP(B310,'[1]bajada sap'!$B:$F,5,0),0)</f>
        <v>0</v>
      </c>
      <c r="L310" s="58">
        <f t="shared" si="14"/>
        <v>0</v>
      </c>
    </row>
    <row r="311" spans="1:13">
      <c r="A311" s="29">
        <f t="shared" si="13"/>
        <v>0</v>
      </c>
      <c r="B311" s="54">
        <v>50346258</v>
      </c>
      <c r="C311" s="55" t="s">
        <v>2489</v>
      </c>
      <c r="D311" s="56" t="s">
        <v>82</v>
      </c>
      <c r="E311" s="4"/>
      <c r="F311" s="4"/>
      <c r="G311" s="58">
        <v>0</v>
      </c>
      <c r="H311" s="58"/>
      <c r="I311" s="58"/>
      <c r="J311" s="58">
        <f t="shared" si="15"/>
        <v>0</v>
      </c>
      <c r="K311" s="58">
        <f>IFERROR(VLOOKUP(B311,'[1]bajada sap'!$B:$F,5,0),0)</f>
        <v>0</v>
      </c>
      <c r="L311" s="58">
        <f t="shared" si="14"/>
        <v>0</v>
      </c>
    </row>
    <row r="312" spans="1:13">
      <c r="A312" s="29">
        <f t="shared" si="13"/>
        <v>0</v>
      </c>
      <c r="B312" s="54">
        <v>50756640</v>
      </c>
      <c r="C312" s="55" t="s">
        <v>945</v>
      </c>
      <c r="D312" s="56" t="s">
        <v>92</v>
      </c>
      <c r="E312" s="4"/>
      <c r="F312" s="4"/>
      <c r="G312" s="58">
        <v>0</v>
      </c>
      <c r="H312" s="58"/>
      <c r="I312" s="58"/>
      <c r="J312" s="58">
        <f t="shared" si="15"/>
        <v>0</v>
      </c>
      <c r="K312" s="58">
        <f>IFERROR(VLOOKUP(B312,'[1]bajada sap'!$B:$F,5,0),0)</f>
        <v>0</v>
      </c>
      <c r="L312" s="58">
        <f t="shared" si="14"/>
        <v>0</v>
      </c>
    </row>
    <row r="313" spans="1:13">
      <c r="A313" s="29">
        <f t="shared" si="13"/>
        <v>1</v>
      </c>
      <c r="B313" s="54">
        <v>50143875</v>
      </c>
      <c r="C313" s="55" t="s">
        <v>713</v>
      </c>
      <c r="D313" s="56" t="s">
        <v>92</v>
      </c>
      <c r="E313" s="4"/>
      <c r="F313" s="4"/>
      <c r="G313" s="58">
        <v>18400</v>
      </c>
      <c r="H313" s="58"/>
      <c r="I313" s="58"/>
      <c r="J313" s="58">
        <f t="shared" si="15"/>
        <v>18400</v>
      </c>
      <c r="K313" s="58">
        <f>IFERROR(VLOOKUP(B313,'[1]bajada sap'!$B:$F,5,0),0)</f>
        <v>18400</v>
      </c>
      <c r="L313" s="58">
        <f t="shared" si="14"/>
        <v>0</v>
      </c>
    </row>
    <row r="314" spans="1:13">
      <c r="A314" s="29">
        <f t="shared" si="13"/>
        <v>1</v>
      </c>
      <c r="B314" s="54">
        <v>50142237</v>
      </c>
      <c r="C314" s="69" t="s">
        <v>617</v>
      </c>
      <c r="D314" s="56" t="s">
        <v>92</v>
      </c>
      <c r="E314" s="4">
        <v>1</v>
      </c>
      <c r="F314" s="4"/>
      <c r="G314" s="58">
        <v>96000</v>
      </c>
      <c r="H314" s="58"/>
      <c r="I314" s="65"/>
      <c r="J314" s="58">
        <f t="shared" si="15"/>
        <v>96000</v>
      </c>
      <c r="K314" s="58">
        <f>IFERROR(VLOOKUP(B314,'[1]bajada sap'!$B:$F,5,0),0)</f>
        <v>99000</v>
      </c>
      <c r="L314" s="58">
        <f t="shared" si="14"/>
        <v>-3000</v>
      </c>
    </row>
    <row r="315" spans="1:13">
      <c r="A315" s="29">
        <f t="shared" si="13"/>
        <v>1</v>
      </c>
      <c r="B315" s="54">
        <v>50266247</v>
      </c>
      <c r="C315" s="55" t="s">
        <v>3115</v>
      </c>
      <c r="D315" s="56" t="s">
        <v>92</v>
      </c>
      <c r="E315" s="4"/>
      <c r="F315" s="4"/>
      <c r="G315" s="58">
        <v>10000</v>
      </c>
      <c r="H315" s="58"/>
      <c r="I315" s="58"/>
      <c r="J315" s="58">
        <f t="shared" si="15"/>
        <v>10000</v>
      </c>
      <c r="K315" s="58">
        <f>IFERROR(VLOOKUP(B315,'[1]bajada sap'!$B:$F,5,0),0)</f>
        <v>10000</v>
      </c>
      <c r="L315" s="58">
        <f t="shared" si="14"/>
        <v>0</v>
      </c>
    </row>
    <row r="316" spans="1:13">
      <c r="A316" s="29">
        <f t="shared" si="13"/>
        <v>0</v>
      </c>
      <c r="B316" s="54">
        <v>50143894</v>
      </c>
      <c r="C316" s="55" t="s">
        <v>944</v>
      </c>
      <c r="D316" s="56" t="s">
        <v>92</v>
      </c>
      <c r="E316" s="4"/>
      <c r="F316" s="4"/>
      <c r="G316" s="58">
        <v>0</v>
      </c>
      <c r="H316" s="58"/>
      <c r="I316" s="58"/>
      <c r="J316" s="58">
        <f t="shared" si="15"/>
        <v>0</v>
      </c>
      <c r="K316" s="58">
        <f>IFERROR(VLOOKUP(B316,'[1]bajada sap'!$B:$F,5,0),0)</f>
        <v>0</v>
      </c>
      <c r="L316" s="58">
        <f t="shared" si="14"/>
        <v>0</v>
      </c>
    </row>
    <row r="317" spans="1:13">
      <c r="A317" s="29">
        <f t="shared" si="13"/>
        <v>0</v>
      </c>
      <c r="B317" s="54">
        <v>50145521</v>
      </c>
      <c r="C317" s="55" t="s">
        <v>436</v>
      </c>
      <c r="D317" s="56" t="s">
        <v>92</v>
      </c>
      <c r="E317" s="4"/>
      <c r="F317" s="57">
        <v>10000</v>
      </c>
      <c r="G317" s="58">
        <v>0</v>
      </c>
      <c r="H317" s="58"/>
      <c r="I317" s="58"/>
      <c r="J317" s="58">
        <f t="shared" si="15"/>
        <v>0</v>
      </c>
      <c r="K317" s="58">
        <f>IFERROR(VLOOKUP(B317,'[1]bajada sap'!$B:$F,5,0),0)</f>
        <v>0</v>
      </c>
      <c r="L317" s="58">
        <f t="shared" si="14"/>
        <v>0</v>
      </c>
    </row>
    <row r="318" spans="1:13">
      <c r="A318" s="29">
        <f t="shared" si="13"/>
        <v>0</v>
      </c>
      <c r="B318" s="54">
        <v>50141951</v>
      </c>
      <c r="C318" s="55" t="s">
        <v>1386</v>
      </c>
      <c r="D318" s="56" t="s">
        <v>82</v>
      </c>
      <c r="E318" s="4"/>
      <c r="F318" s="4"/>
      <c r="G318" s="58">
        <v>0</v>
      </c>
      <c r="H318" s="58"/>
      <c r="I318" s="58"/>
      <c r="J318" s="58">
        <f t="shared" si="15"/>
        <v>0</v>
      </c>
      <c r="K318" s="58">
        <f>IFERROR(VLOOKUP(B318,'[1]bajada sap'!$B:$F,5,0),0)</f>
        <v>0</v>
      </c>
      <c r="L318" s="58">
        <f t="shared" si="14"/>
        <v>0</v>
      </c>
    </row>
    <row r="319" spans="1:13">
      <c r="A319" s="29">
        <f t="shared" si="13"/>
        <v>1</v>
      </c>
      <c r="B319" s="54">
        <v>20016059</v>
      </c>
      <c r="C319" s="55" t="s">
        <v>1498</v>
      </c>
      <c r="D319" s="56" t="s">
        <v>92</v>
      </c>
      <c r="E319" s="4"/>
      <c r="F319" s="4"/>
      <c r="G319" s="58">
        <v>200</v>
      </c>
      <c r="H319" s="58"/>
      <c r="I319" s="58"/>
      <c r="J319" s="58">
        <f t="shared" si="15"/>
        <v>200</v>
      </c>
      <c r="K319" s="58">
        <f>IFERROR(VLOOKUP(B319,'[1]bajada sap'!$B:$F,5,0),0)</f>
        <v>200</v>
      </c>
      <c r="L319" s="58">
        <f t="shared" si="14"/>
        <v>0</v>
      </c>
      <c r="M319" t="s">
        <v>3085</v>
      </c>
    </row>
    <row r="320" spans="1:13">
      <c r="A320" s="29">
        <f t="shared" si="13"/>
        <v>0</v>
      </c>
      <c r="B320" s="54" t="s">
        <v>38</v>
      </c>
      <c r="C320" s="55" t="s">
        <v>39</v>
      </c>
      <c r="D320" s="56"/>
      <c r="E320" s="4"/>
      <c r="F320" s="4"/>
      <c r="G320" s="58"/>
      <c r="H320" s="58"/>
      <c r="I320" s="58"/>
      <c r="J320" s="58">
        <f t="shared" si="15"/>
        <v>0</v>
      </c>
      <c r="K320" s="58">
        <f>IFERROR(VLOOKUP(B320,'[1]bajada sap'!$B:$F,5,0),0)</f>
        <v>0</v>
      </c>
      <c r="L320" s="58"/>
    </row>
    <row r="321" spans="1:13">
      <c r="A321" s="29">
        <f t="shared" si="13"/>
        <v>0</v>
      </c>
      <c r="B321" s="54">
        <v>40004478</v>
      </c>
      <c r="C321" s="55" t="s">
        <v>183</v>
      </c>
      <c r="D321" s="56" t="s">
        <v>80</v>
      </c>
      <c r="E321" s="4"/>
      <c r="F321" s="57">
        <v>220.5</v>
      </c>
      <c r="G321" s="58">
        <v>0</v>
      </c>
      <c r="H321" s="58"/>
      <c r="I321" s="58"/>
      <c r="J321" s="58">
        <f t="shared" si="15"/>
        <v>0</v>
      </c>
      <c r="K321" s="58">
        <f>IFERROR(VLOOKUP(B321,'[1]bajada sap'!$B:$F,5,0),0)</f>
        <v>0</v>
      </c>
      <c r="L321" s="58">
        <f t="shared" ref="L321:L352" si="16">J321-K321</f>
        <v>0</v>
      </c>
    </row>
    <row r="322" spans="1:13">
      <c r="A322" s="29">
        <f t="shared" si="13"/>
        <v>0</v>
      </c>
      <c r="B322" s="54">
        <v>50505001</v>
      </c>
      <c r="C322" s="55" t="s">
        <v>990</v>
      </c>
      <c r="D322" s="56" t="s">
        <v>92</v>
      </c>
      <c r="E322" s="4"/>
      <c r="F322" s="4"/>
      <c r="G322" s="58">
        <v>0</v>
      </c>
      <c r="H322" s="58"/>
      <c r="I322" s="58"/>
      <c r="J322" s="58">
        <f t="shared" si="15"/>
        <v>0</v>
      </c>
      <c r="K322" s="58">
        <f>IFERROR(VLOOKUP(B322,'[1]bajada sap'!$B:$F,5,0),0)</f>
        <v>0</v>
      </c>
      <c r="L322" s="58">
        <f t="shared" si="16"/>
        <v>0</v>
      </c>
    </row>
    <row r="323" spans="1:13">
      <c r="A323" s="29">
        <f t="shared" si="13"/>
        <v>0</v>
      </c>
      <c r="B323" s="54">
        <v>50505002</v>
      </c>
      <c r="C323" s="55" t="s">
        <v>993</v>
      </c>
      <c r="D323" s="56" t="s">
        <v>92</v>
      </c>
      <c r="E323" s="4"/>
      <c r="F323" s="4"/>
      <c r="G323" s="58">
        <v>0</v>
      </c>
      <c r="H323" s="58"/>
      <c r="I323" s="58"/>
      <c r="J323" s="58">
        <f t="shared" si="15"/>
        <v>0</v>
      </c>
      <c r="K323" s="58">
        <f>IFERROR(VLOOKUP(B323,'[1]bajada sap'!$B:$F,5,0),0)</f>
        <v>0</v>
      </c>
      <c r="L323" s="58">
        <f t="shared" si="16"/>
        <v>0</v>
      </c>
    </row>
    <row r="324" spans="1:13">
      <c r="A324" s="29">
        <f t="shared" si="13"/>
        <v>1</v>
      </c>
      <c r="B324" s="54">
        <v>40004808</v>
      </c>
      <c r="C324" s="69" t="s">
        <v>91</v>
      </c>
      <c r="D324" s="56" t="s">
        <v>80</v>
      </c>
      <c r="E324" s="4"/>
      <c r="F324" s="4"/>
      <c r="G324" s="58">
        <v>7560</v>
      </c>
      <c r="H324" s="58"/>
      <c r="I324" s="58"/>
      <c r="J324" s="58">
        <f t="shared" si="15"/>
        <v>7560</v>
      </c>
      <c r="K324" s="58">
        <f>IFERROR(VLOOKUP(B324,'[1]bajada sap'!$B:$F,5,0),0)</f>
        <v>10260</v>
      </c>
      <c r="L324" s="58">
        <f t="shared" si="16"/>
        <v>-2700</v>
      </c>
      <c r="M324" t="s">
        <v>3087</v>
      </c>
    </row>
    <row r="325" spans="1:13">
      <c r="A325" s="29">
        <f t="shared" si="13"/>
        <v>0</v>
      </c>
      <c r="B325" s="54">
        <v>40004887</v>
      </c>
      <c r="C325" s="55" t="s">
        <v>272</v>
      </c>
      <c r="D325" s="56" t="s">
        <v>80</v>
      </c>
      <c r="E325" s="4">
        <v>1</v>
      </c>
      <c r="F325" s="57">
        <v>441</v>
      </c>
      <c r="G325" s="58">
        <v>0</v>
      </c>
      <c r="H325" s="58"/>
      <c r="I325" s="58"/>
      <c r="J325" s="58">
        <f t="shared" si="15"/>
        <v>0</v>
      </c>
      <c r="K325" s="58">
        <f>IFERROR(VLOOKUP(B325,'[1]bajada sap'!$B:$F,5,0),0)</f>
        <v>0</v>
      </c>
      <c r="L325" s="58">
        <f t="shared" si="16"/>
        <v>0</v>
      </c>
    </row>
    <row r="326" spans="1:13">
      <c r="A326" s="29">
        <f t="shared" si="13"/>
        <v>0</v>
      </c>
      <c r="B326" s="54">
        <v>40007616</v>
      </c>
      <c r="C326" s="55" t="s">
        <v>588</v>
      </c>
      <c r="D326" s="56" t="s">
        <v>80</v>
      </c>
      <c r="E326" s="4"/>
      <c r="F326" s="57"/>
      <c r="G326" s="58">
        <v>0</v>
      </c>
      <c r="H326" s="58"/>
      <c r="I326" s="58"/>
      <c r="J326" s="58">
        <f t="shared" si="15"/>
        <v>0</v>
      </c>
      <c r="K326" s="58">
        <f>IFERROR(VLOOKUP(B326,'[1]bajada sap'!$B:$F,5,0),0)</f>
        <v>0</v>
      </c>
      <c r="L326" s="58">
        <f t="shared" si="16"/>
        <v>0</v>
      </c>
    </row>
    <row r="327" spans="1:13">
      <c r="A327" s="29">
        <f t="shared" si="13"/>
        <v>1</v>
      </c>
      <c r="B327" s="54">
        <v>50397884</v>
      </c>
      <c r="C327" s="55" t="s">
        <v>1296</v>
      </c>
      <c r="D327" s="56" t="s">
        <v>80</v>
      </c>
      <c r="E327" s="4"/>
      <c r="F327" s="4"/>
      <c r="G327" s="58">
        <v>1440</v>
      </c>
      <c r="H327" s="58"/>
      <c r="I327" s="58"/>
      <c r="J327" s="58">
        <f t="shared" si="15"/>
        <v>1440</v>
      </c>
      <c r="K327" s="58">
        <f>IFERROR(VLOOKUP(B327,'[1]bajada sap'!$B:$F,5,0),0)</f>
        <v>1440</v>
      </c>
      <c r="L327" s="58">
        <f t="shared" si="16"/>
        <v>0</v>
      </c>
    </row>
    <row r="328" spans="1:13">
      <c r="A328" s="29">
        <f t="shared" ref="A328:A391" si="17">+IF(OR(G328&gt;0,J328&gt;0,K328&gt;0),1,0)</f>
        <v>0</v>
      </c>
      <c r="B328" s="54">
        <v>40006588</v>
      </c>
      <c r="C328" s="55" t="s">
        <v>600</v>
      </c>
      <c r="D328" s="56" t="s">
        <v>80</v>
      </c>
      <c r="E328" s="4"/>
      <c r="F328" s="57">
        <v>220.5</v>
      </c>
      <c r="G328" s="58">
        <v>0</v>
      </c>
      <c r="H328" s="58"/>
      <c r="I328" s="58"/>
      <c r="J328" s="58">
        <f t="shared" si="15"/>
        <v>0</v>
      </c>
      <c r="K328" s="58">
        <f>IFERROR(VLOOKUP(B328,'[1]bajada sap'!$B:$F,5,0),0)</f>
        <v>0</v>
      </c>
      <c r="L328" s="58">
        <f t="shared" si="16"/>
        <v>0</v>
      </c>
    </row>
    <row r="329" spans="1:13">
      <c r="A329" s="29">
        <f t="shared" si="17"/>
        <v>0</v>
      </c>
      <c r="B329" s="54">
        <v>40008217</v>
      </c>
      <c r="C329" s="55" t="s">
        <v>3116</v>
      </c>
      <c r="D329" s="56"/>
      <c r="E329" s="4"/>
      <c r="F329" s="57"/>
      <c r="G329" s="58">
        <v>0</v>
      </c>
      <c r="H329" s="58"/>
      <c r="I329" s="58"/>
      <c r="J329" s="58">
        <f t="shared" si="15"/>
        <v>0</v>
      </c>
      <c r="K329" s="58">
        <f>IFERROR(VLOOKUP(B329,'[1]bajada sap'!$B:$F,5,0),0)</f>
        <v>0</v>
      </c>
      <c r="L329" s="58">
        <f t="shared" si="16"/>
        <v>0</v>
      </c>
    </row>
    <row r="330" spans="1:13">
      <c r="A330" s="29">
        <f t="shared" si="17"/>
        <v>1</v>
      </c>
      <c r="B330" s="54">
        <v>50819321</v>
      </c>
      <c r="C330" s="55" t="s">
        <v>2647</v>
      </c>
      <c r="D330" s="56" t="s">
        <v>80</v>
      </c>
      <c r="E330" s="4"/>
      <c r="F330" s="4"/>
      <c r="G330" s="58">
        <v>840</v>
      </c>
      <c r="H330" s="58"/>
      <c r="I330" s="58"/>
      <c r="J330" s="58">
        <f t="shared" si="15"/>
        <v>840</v>
      </c>
      <c r="K330" s="58">
        <f>IFERROR(VLOOKUP(B330,'[1]bajada sap'!$B:$F,5,0),0)</f>
        <v>840</v>
      </c>
      <c r="L330" s="58">
        <f t="shared" si="16"/>
        <v>0</v>
      </c>
    </row>
    <row r="331" spans="1:13">
      <c r="A331" s="29">
        <f t="shared" si="17"/>
        <v>0</v>
      </c>
      <c r="B331" s="54">
        <v>40011096</v>
      </c>
      <c r="C331" s="55" t="s">
        <v>478</v>
      </c>
      <c r="D331" s="56" t="s">
        <v>80</v>
      </c>
      <c r="E331" s="4"/>
      <c r="F331" s="57">
        <v>1357</v>
      </c>
      <c r="G331" s="58">
        <v>0</v>
      </c>
      <c r="H331" s="58"/>
      <c r="I331" s="58"/>
      <c r="J331" s="58">
        <f t="shared" si="15"/>
        <v>0</v>
      </c>
      <c r="K331" s="58">
        <f>IFERROR(VLOOKUP(B331,'[1]bajada sap'!$B:$F,5,0),0)</f>
        <v>0</v>
      </c>
      <c r="L331" s="58">
        <f t="shared" si="16"/>
        <v>0</v>
      </c>
    </row>
    <row r="332" spans="1:13">
      <c r="A332" s="29">
        <f t="shared" si="17"/>
        <v>0</v>
      </c>
      <c r="B332" s="54">
        <v>40007938</v>
      </c>
      <c r="C332" s="55" t="s">
        <v>202</v>
      </c>
      <c r="D332" s="56" t="s">
        <v>80</v>
      </c>
      <c r="E332" s="4"/>
      <c r="F332" s="57">
        <v>3024</v>
      </c>
      <c r="G332" s="58">
        <v>0</v>
      </c>
      <c r="H332" s="58"/>
      <c r="I332" s="58"/>
      <c r="J332" s="58">
        <f t="shared" si="15"/>
        <v>0</v>
      </c>
      <c r="K332" s="58">
        <f>IFERROR(VLOOKUP(B332,'[1]bajada sap'!$B:$F,5,0),0)</f>
        <v>0</v>
      </c>
      <c r="L332" s="58">
        <f t="shared" si="16"/>
        <v>0</v>
      </c>
    </row>
    <row r="333" spans="1:13">
      <c r="A333" s="29">
        <f t="shared" si="17"/>
        <v>1</v>
      </c>
      <c r="B333" s="54">
        <v>50472696</v>
      </c>
      <c r="C333" s="55" t="s">
        <v>1308</v>
      </c>
      <c r="D333" s="56" t="s">
        <v>80</v>
      </c>
      <c r="E333" s="4"/>
      <c r="F333" s="4"/>
      <c r="G333" s="58">
        <v>735</v>
      </c>
      <c r="H333" s="58"/>
      <c r="I333" s="58"/>
      <c r="J333" s="58">
        <f t="shared" si="15"/>
        <v>735</v>
      </c>
      <c r="K333" s="58">
        <f>IFERROR(VLOOKUP(B333,'[1]bajada sap'!$B:$F,5,0),0)</f>
        <v>735</v>
      </c>
      <c r="L333" s="58">
        <f t="shared" si="16"/>
        <v>0</v>
      </c>
    </row>
    <row r="334" spans="1:13">
      <c r="A334" s="29">
        <f t="shared" si="17"/>
        <v>0</v>
      </c>
      <c r="B334" s="54">
        <v>50837633</v>
      </c>
      <c r="C334" s="55" t="s">
        <v>1901</v>
      </c>
      <c r="D334" s="56" t="s">
        <v>92</v>
      </c>
      <c r="E334" s="4"/>
      <c r="F334" s="4"/>
      <c r="G334" s="58">
        <v>0</v>
      </c>
      <c r="H334" s="58"/>
      <c r="I334" s="58"/>
      <c r="J334" s="58">
        <f t="shared" si="15"/>
        <v>0</v>
      </c>
      <c r="K334" s="58">
        <f>IFERROR(VLOOKUP(B334,'[1]bajada sap'!$B:$F,5,0),0)</f>
        <v>0</v>
      </c>
      <c r="L334" s="58">
        <f t="shared" si="16"/>
        <v>0</v>
      </c>
    </row>
    <row r="335" spans="1:13">
      <c r="A335" s="29">
        <f t="shared" si="17"/>
        <v>0</v>
      </c>
      <c r="B335" s="54">
        <v>50815429</v>
      </c>
      <c r="C335" s="55" t="s">
        <v>1607</v>
      </c>
      <c r="D335" s="56" t="s">
        <v>92</v>
      </c>
      <c r="E335" s="4"/>
      <c r="F335" s="4"/>
      <c r="G335" s="58">
        <v>0</v>
      </c>
      <c r="H335" s="58"/>
      <c r="I335" s="58"/>
      <c r="J335" s="58">
        <f t="shared" si="15"/>
        <v>0</v>
      </c>
      <c r="K335" s="58">
        <f>IFERROR(VLOOKUP(B335,'[1]bajada sap'!$B:$F,5,0),0)</f>
        <v>0</v>
      </c>
      <c r="L335" s="58">
        <f t="shared" si="16"/>
        <v>0</v>
      </c>
    </row>
    <row r="336" spans="1:13">
      <c r="A336" s="29">
        <f t="shared" si="17"/>
        <v>0</v>
      </c>
      <c r="B336" s="54">
        <v>40007014</v>
      </c>
      <c r="C336" s="55" t="s">
        <v>3117</v>
      </c>
      <c r="D336" s="56"/>
      <c r="E336" s="4"/>
      <c r="F336" s="57"/>
      <c r="G336" s="58">
        <v>0</v>
      </c>
      <c r="H336" s="58"/>
      <c r="I336" s="58"/>
      <c r="J336" s="58">
        <f t="shared" si="15"/>
        <v>0</v>
      </c>
      <c r="K336" s="58">
        <f>IFERROR(VLOOKUP(B336,'[1]bajada sap'!$B:$F,5,0),0)</f>
        <v>0</v>
      </c>
      <c r="L336" s="58">
        <f t="shared" si="16"/>
        <v>0</v>
      </c>
    </row>
    <row r="337" spans="1:13">
      <c r="A337" s="29">
        <f t="shared" si="17"/>
        <v>0</v>
      </c>
      <c r="B337" s="54">
        <v>40009543</v>
      </c>
      <c r="C337" s="55" t="s">
        <v>473</v>
      </c>
      <c r="D337" s="56" t="s">
        <v>80</v>
      </c>
      <c r="E337" s="4">
        <v>5</v>
      </c>
      <c r="F337" s="57">
        <v>1680</v>
      </c>
      <c r="G337" s="58">
        <v>0</v>
      </c>
      <c r="H337" s="58"/>
      <c r="I337" s="58"/>
      <c r="J337" s="58">
        <f t="shared" ref="J337:J400" si="18">+G337+H337-I337</f>
        <v>0</v>
      </c>
      <c r="K337" s="58">
        <f>IFERROR(VLOOKUP(B337,'[1]bajada sap'!$B:$F,5,0),0)</f>
        <v>0</v>
      </c>
      <c r="L337" s="58">
        <f t="shared" si="16"/>
        <v>0</v>
      </c>
    </row>
    <row r="338" spans="1:13">
      <c r="A338" s="29">
        <f t="shared" si="17"/>
        <v>1</v>
      </c>
      <c r="B338" s="54">
        <v>50819320</v>
      </c>
      <c r="C338" s="55" t="s">
        <v>2649</v>
      </c>
      <c r="D338" s="56" t="s">
        <v>80</v>
      </c>
      <c r="E338" s="4"/>
      <c r="F338" s="4"/>
      <c r="G338" s="58">
        <v>840</v>
      </c>
      <c r="H338" s="58"/>
      <c r="I338" s="58"/>
      <c r="J338" s="58">
        <f t="shared" si="18"/>
        <v>840</v>
      </c>
      <c r="K338" s="58">
        <f>IFERROR(VLOOKUP(B338,'[1]bajada sap'!$B:$F,5,0),0)</f>
        <v>840</v>
      </c>
      <c r="L338" s="58">
        <f t="shared" si="16"/>
        <v>0</v>
      </c>
    </row>
    <row r="339" spans="1:13">
      <c r="A339" s="29">
        <f t="shared" si="17"/>
        <v>1</v>
      </c>
      <c r="B339" s="54">
        <v>40010376</v>
      </c>
      <c r="C339" s="55" t="s">
        <v>84</v>
      </c>
      <c r="D339" s="56" t="s">
        <v>80</v>
      </c>
      <c r="E339" s="4"/>
      <c r="F339" s="57">
        <v>1344</v>
      </c>
      <c r="G339" s="58">
        <v>3913</v>
      </c>
      <c r="H339" s="58"/>
      <c r="I339" s="58"/>
      <c r="J339" s="58">
        <f t="shared" si="18"/>
        <v>3913</v>
      </c>
      <c r="K339" s="58">
        <f>IFERROR(VLOOKUP(B339,'[1]bajada sap'!$B:$F,5,0),0)</f>
        <v>3913</v>
      </c>
      <c r="L339" s="58">
        <f t="shared" si="16"/>
        <v>0</v>
      </c>
      <c r="M339" t="s">
        <v>3087</v>
      </c>
    </row>
    <row r="340" spans="1:13">
      <c r="A340" s="29">
        <f t="shared" si="17"/>
        <v>1</v>
      </c>
      <c r="B340" s="75">
        <v>40007941</v>
      </c>
      <c r="C340" s="55" t="s">
        <v>211</v>
      </c>
      <c r="D340" s="56" t="s">
        <v>80</v>
      </c>
      <c r="E340" s="4">
        <v>3</v>
      </c>
      <c r="F340" s="57">
        <v>756</v>
      </c>
      <c r="G340" s="58">
        <v>5400</v>
      </c>
      <c r="H340" s="58"/>
      <c r="I340" s="58"/>
      <c r="J340" s="58">
        <f t="shared" si="18"/>
        <v>5400</v>
      </c>
      <c r="K340" s="58">
        <f>IFERROR(VLOOKUP(B340,'[1]bajada sap'!$B:$F,5,0),0)</f>
        <v>5400</v>
      </c>
      <c r="L340" s="58">
        <f t="shared" si="16"/>
        <v>0</v>
      </c>
    </row>
    <row r="341" spans="1:13">
      <c r="A341" s="29">
        <f t="shared" si="17"/>
        <v>1</v>
      </c>
      <c r="B341" s="54">
        <v>50472692</v>
      </c>
      <c r="C341" s="55" t="s">
        <v>1304</v>
      </c>
      <c r="D341" s="56" t="s">
        <v>80</v>
      </c>
      <c r="E341" s="4"/>
      <c r="F341" s="4"/>
      <c r="G341" s="58">
        <v>546</v>
      </c>
      <c r="H341" s="58"/>
      <c r="I341" s="58"/>
      <c r="J341" s="58">
        <f t="shared" si="18"/>
        <v>546</v>
      </c>
      <c r="K341" s="58">
        <f>IFERROR(VLOOKUP(B341,'[1]bajada sap'!$B:$F,5,0),0)</f>
        <v>546</v>
      </c>
      <c r="L341" s="58">
        <f t="shared" si="16"/>
        <v>0</v>
      </c>
    </row>
    <row r="342" spans="1:13">
      <c r="A342" s="29">
        <f t="shared" si="17"/>
        <v>0</v>
      </c>
      <c r="B342" s="54">
        <v>50837632</v>
      </c>
      <c r="C342" s="55" t="s">
        <v>1897</v>
      </c>
      <c r="D342" s="56" t="s">
        <v>92</v>
      </c>
      <c r="E342" s="4"/>
      <c r="F342" s="4"/>
      <c r="G342" s="58">
        <v>0</v>
      </c>
      <c r="H342" s="58"/>
      <c r="I342" s="58"/>
      <c r="J342" s="58">
        <f t="shared" si="18"/>
        <v>0</v>
      </c>
      <c r="K342" s="58">
        <f>IFERROR(VLOOKUP(B342,'[1]bajada sap'!$B:$F,5,0),0)</f>
        <v>0</v>
      </c>
      <c r="L342" s="58">
        <f t="shared" si="16"/>
        <v>0</v>
      </c>
    </row>
    <row r="343" spans="1:13">
      <c r="A343" s="29">
        <f t="shared" si="17"/>
        <v>0</v>
      </c>
      <c r="B343" s="54">
        <v>40007015</v>
      </c>
      <c r="C343" s="55" t="s">
        <v>3118</v>
      </c>
      <c r="D343" s="56"/>
      <c r="E343" s="4"/>
      <c r="F343" s="57"/>
      <c r="G343" s="58">
        <v>0</v>
      </c>
      <c r="H343" s="58"/>
      <c r="I343" s="58"/>
      <c r="J343" s="58">
        <f t="shared" si="18"/>
        <v>0</v>
      </c>
      <c r="K343" s="58">
        <f>IFERROR(VLOOKUP(B343,'[1]bajada sap'!$B:$F,5,0),0)</f>
        <v>0</v>
      </c>
      <c r="L343" s="58">
        <f t="shared" si="16"/>
        <v>0</v>
      </c>
    </row>
    <row r="344" spans="1:13">
      <c r="A344" s="29">
        <f t="shared" si="17"/>
        <v>0</v>
      </c>
      <c r="B344" s="54">
        <v>40009541</v>
      </c>
      <c r="C344" s="55" t="s">
        <v>685</v>
      </c>
      <c r="D344" s="56" t="s">
        <v>80</v>
      </c>
      <c r="E344" s="4">
        <v>2</v>
      </c>
      <c r="F344" s="57">
        <v>1920</v>
      </c>
      <c r="G344" s="58">
        <v>0</v>
      </c>
      <c r="H344" s="58"/>
      <c r="I344" s="58"/>
      <c r="J344" s="58">
        <f t="shared" si="18"/>
        <v>0</v>
      </c>
      <c r="K344" s="58">
        <f>IFERROR(VLOOKUP(B344,'[1]bajada sap'!$B:$F,5,0),0)</f>
        <v>0</v>
      </c>
      <c r="L344" s="58">
        <f t="shared" si="16"/>
        <v>0</v>
      </c>
    </row>
    <row r="345" spans="1:13">
      <c r="A345" s="29">
        <f t="shared" si="17"/>
        <v>1</v>
      </c>
      <c r="B345" s="54">
        <v>40010083</v>
      </c>
      <c r="C345" s="55" t="s">
        <v>85</v>
      </c>
      <c r="D345" s="56" t="s">
        <v>80</v>
      </c>
      <c r="E345" s="4"/>
      <c r="F345" s="57">
        <v>4704</v>
      </c>
      <c r="G345" s="58">
        <v>448</v>
      </c>
      <c r="H345" s="58"/>
      <c r="I345" s="58"/>
      <c r="J345" s="58">
        <f t="shared" si="18"/>
        <v>448</v>
      </c>
      <c r="K345" s="58">
        <f>IFERROR(VLOOKUP(B345,'[1]bajada sap'!$B:$F,5,0),0)</f>
        <v>448</v>
      </c>
      <c r="L345" s="58">
        <f t="shared" si="16"/>
        <v>0</v>
      </c>
      <c r="M345" t="s">
        <v>3087</v>
      </c>
    </row>
    <row r="346" spans="1:13">
      <c r="A346" s="29">
        <f t="shared" si="17"/>
        <v>0</v>
      </c>
      <c r="B346" s="54">
        <v>40013720</v>
      </c>
      <c r="C346" s="55" t="s">
        <v>1028</v>
      </c>
      <c r="D346" s="56" t="s">
        <v>80</v>
      </c>
      <c r="E346" s="4">
        <v>1</v>
      </c>
      <c r="F346" s="4">
        <v>1827</v>
      </c>
      <c r="G346" s="58">
        <v>0</v>
      </c>
      <c r="H346" s="58"/>
      <c r="I346" s="58"/>
      <c r="J346" s="58">
        <f t="shared" si="18"/>
        <v>0</v>
      </c>
      <c r="K346" s="58">
        <f>IFERROR(VLOOKUP(B346,'[1]bajada sap'!$B:$F,5,0),0)</f>
        <v>0</v>
      </c>
      <c r="L346" s="58">
        <f t="shared" si="16"/>
        <v>0</v>
      </c>
    </row>
    <row r="347" spans="1:13">
      <c r="A347" s="29">
        <f t="shared" si="17"/>
        <v>0</v>
      </c>
      <c r="B347" s="54">
        <v>40007940</v>
      </c>
      <c r="C347" s="55" t="s">
        <v>477</v>
      </c>
      <c r="D347" s="56" t="s">
        <v>80</v>
      </c>
      <c r="E347" s="4"/>
      <c r="F347" s="57">
        <v>1374</v>
      </c>
      <c r="G347" s="58">
        <v>0</v>
      </c>
      <c r="H347" s="58"/>
      <c r="I347" s="58"/>
      <c r="J347" s="58">
        <f t="shared" si="18"/>
        <v>0</v>
      </c>
      <c r="K347" s="58">
        <f>IFERROR(VLOOKUP(B347,'[1]bajada sap'!$B:$F,5,0),0)</f>
        <v>0</v>
      </c>
      <c r="L347" s="58">
        <f t="shared" si="16"/>
        <v>0</v>
      </c>
    </row>
    <row r="348" spans="1:13">
      <c r="A348" s="29">
        <f t="shared" si="17"/>
        <v>0</v>
      </c>
      <c r="B348" s="54">
        <v>40013719</v>
      </c>
      <c r="C348" s="55" t="s">
        <v>1029</v>
      </c>
      <c r="D348" s="56" t="s">
        <v>80</v>
      </c>
      <c r="E348" s="4">
        <v>1</v>
      </c>
      <c r="F348" s="4">
        <v>2197</v>
      </c>
      <c r="G348" s="58">
        <v>0</v>
      </c>
      <c r="H348" s="58"/>
      <c r="I348" s="58"/>
      <c r="J348" s="58">
        <f t="shared" si="18"/>
        <v>0</v>
      </c>
      <c r="K348" s="58">
        <f>IFERROR(VLOOKUP(B348,'[1]bajada sap'!$B:$F,5,0),0)</f>
        <v>0</v>
      </c>
      <c r="L348" s="58">
        <f t="shared" si="16"/>
        <v>0</v>
      </c>
    </row>
    <row r="349" spans="1:13">
      <c r="A349" s="29">
        <f t="shared" si="17"/>
        <v>0</v>
      </c>
      <c r="B349" s="54">
        <v>40007857</v>
      </c>
      <c r="C349" s="55" t="s">
        <v>225</v>
      </c>
      <c r="D349" s="56" t="s">
        <v>80</v>
      </c>
      <c r="E349" s="4"/>
      <c r="F349" s="57">
        <v>4704</v>
      </c>
      <c r="G349" s="58"/>
      <c r="H349" s="58"/>
      <c r="I349" s="58"/>
      <c r="J349" s="58">
        <f t="shared" si="18"/>
        <v>0</v>
      </c>
      <c r="K349" s="58">
        <f>IFERROR(VLOOKUP(B349,'[1]bajada sap'!$B:$F,5,0),0)</f>
        <v>0</v>
      </c>
      <c r="L349" s="58">
        <f t="shared" si="16"/>
        <v>0</v>
      </c>
    </row>
    <row r="350" spans="1:13">
      <c r="A350" s="29">
        <f t="shared" si="17"/>
        <v>0</v>
      </c>
      <c r="B350" s="75">
        <v>40007942</v>
      </c>
      <c r="C350" s="55" t="s">
        <v>219</v>
      </c>
      <c r="D350" s="56" t="s">
        <v>80</v>
      </c>
      <c r="E350" s="4">
        <v>1</v>
      </c>
      <c r="F350" s="57">
        <v>4032</v>
      </c>
      <c r="G350" s="58">
        <v>0</v>
      </c>
      <c r="H350" s="58"/>
      <c r="I350" s="58"/>
      <c r="J350" s="58">
        <f t="shared" si="18"/>
        <v>0</v>
      </c>
      <c r="K350" s="58">
        <f>IFERROR(VLOOKUP(B350,'[1]bajada sap'!$B:$F,5,0),0)</f>
        <v>0</v>
      </c>
      <c r="L350" s="58">
        <f t="shared" si="16"/>
        <v>0</v>
      </c>
    </row>
    <row r="351" spans="1:13">
      <c r="A351" s="29">
        <f t="shared" si="17"/>
        <v>0</v>
      </c>
      <c r="B351" s="54">
        <v>40012526</v>
      </c>
      <c r="C351" s="55" t="s">
        <v>3119</v>
      </c>
      <c r="D351" s="56" t="s">
        <v>92</v>
      </c>
      <c r="E351" s="4"/>
      <c r="F351" s="4"/>
      <c r="G351" s="58">
        <v>0</v>
      </c>
      <c r="H351" s="58"/>
      <c r="I351" s="58"/>
      <c r="J351" s="58">
        <f t="shared" si="18"/>
        <v>0</v>
      </c>
      <c r="K351" s="58">
        <f>IFERROR(VLOOKUP(B351,'[1]bajada sap'!$B:$F,5,0),0)</f>
        <v>0</v>
      </c>
      <c r="L351" s="58">
        <f t="shared" si="16"/>
        <v>0</v>
      </c>
    </row>
    <row r="352" spans="1:13">
      <c r="A352" s="29">
        <f t="shared" si="17"/>
        <v>0</v>
      </c>
      <c r="B352" s="54">
        <v>40012525</v>
      </c>
      <c r="C352" s="55" t="s">
        <v>1007</v>
      </c>
      <c r="D352" s="56" t="s">
        <v>92</v>
      </c>
      <c r="E352" s="4"/>
      <c r="F352" s="4"/>
      <c r="G352" s="58">
        <v>0</v>
      </c>
      <c r="H352" s="58"/>
      <c r="I352" s="58"/>
      <c r="J352" s="58">
        <f t="shared" si="18"/>
        <v>0</v>
      </c>
      <c r="K352" s="58">
        <f>IFERROR(VLOOKUP(B352,'[1]bajada sap'!$B:$F,5,0),0)</f>
        <v>0</v>
      </c>
      <c r="L352" s="58">
        <f t="shared" si="16"/>
        <v>0</v>
      </c>
    </row>
    <row r="353" spans="1:13">
      <c r="A353" s="29">
        <f t="shared" si="17"/>
        <v>0</v>
      </c>
      <c r="B353" s="54">
        <v>40013313</v>
      </c>
      <c r="C353" s="55" t="s">
        <v>996</v>
      </c>
      <c r="D353" s="56" t="s">
        <v>80</v>
      </c>
      <c r="E353" s="4"/>
      <c r="F353" s="4"/>
      <c r="G353" s="58">
        <v>0</v>
      </c>
      <c r="H353" s="58"/>
      <c r="I353" s="58"/>
      <c r="J353" s="58">
        <f t="shared" si="18"/>
        <v>0</v>
      </c>
      <c r="K353" s="58">
        <f>IFERROR(VLOOKUP(B353,'[1]bajada sap'!$B:$F,5,0),0)</f>
        <v>0</v>
      </c>
      <c r="L353" s="58">
        <f t="shared" ref="L353:L384" si="19">J353-K353</f>
        <v>0</v>
      </c>
    </row>
    <row r="354" spans="1:13">
      <c r="A354" s="29">
        <f t="shared" si="17"/>
        <v>1</v>
      </c>
      <c r="B354" s="54">
        <v>50141533</v>
      </c>
      <c r="C354" s="55" t="s">
        <v>494</v>
      </c>
      <c r="D354" s="56" t="s">
        <v>82</v>
      </c>
      <c r="E354" s="4"/>
      <c r="F354" s="57">
        <v>1250</v>
      </c>
      <c r="G354" s="58">
        <v>8000</v>
      </c>
      <c r="H354" s="58"/>
      <c r="I354" s="58"/>
      <c r="J354" s="58"/>
      <c r="K354" s="58">
        <f>IFERROR(VLOOKUP(B354,'[1]bajada sap'!$B:$F,5,0),0)</f>
        <v>0</v>
      </c>
      <c r="L354" s="58">
        <f t="shared" si="19"/>
        <v>0</v>
      </c>
    </row>
    <row r="355" spans="1:13">
      <c r="A355" s="29">
        <f t="shared" si="17"/>
        <v>1</v>
      </c>
      <c r="B355" s="54">
        <v>50142281</v>
      </c>
      <c r="C355" s="55" t="s">
        <v>204</v>
      </c>
      <c r="D355" s="56" t="s">
        <v>82</v>
      </c>
      <c r="E355" s="4">
        <v>31</v>
      </c>
      <c r="F355" s="57">
        <v>450</v>
      </c>
      <c r="G355" s="58">
        <v>4950</v>
      </c>
      <c r="H355" s="58"/>
      <c r="I355" s="58"/>
      <c r="J355" s="58">
        <f t="shared" si="18"/>
        <v>4950</v>
      </c>
      <c r="K355" s="58">
        <f>IFERROR(VLOOKUP(B355,'[1]bajada sap'!$B:$F,5,0),0)</f>
        <v>4950</v>
      </c>
      <c r="L355" s="58">
        <f t="shared" si="19"/>
        <v>0</v>
      </c>
    </row>
    <row r="356" spans="1:13">
      <c r="A356" s="29">
        <f t="shared" si="17"/>
        <v>0</v>
      </c>
      <c r="B356" s="54">
        <v>20060993</v>
      </c>
      <c r="C356" s="55" t="s">
        <v>1037</v>
      </c>
      <c r="D356" s="56" t="s">
        <v>82</v>
      </c>
      <c r="E356" s="4"/>
      <c r="F356" s="4"/>
      <c r="G356" s="58">
        <v>0</v>
      </c>
      <c r="H356" s="58"/>
      <c r="I356" s="58"/>
      <c r="J356" s="58">
        <f t="shared" si="18"/>
        <v>0</v>
      </c>
      <c r="K356" s="58">
        <f>IFERROR(VLOOKUP(B356,'[1]bajada sap'!$B:$F,5,0),0)</f>
        <v>0</v>
      </c>
      <c r="L356" s="58">
        <f t="shared" si="19"/>
        <v>0</v>
      </c>
    </row>
    <row r="357" spans="1:13">
      <c r="A357" s="29">
        <f t="shared" si="17"/>
        <v>0</v>
      </c>
      <c r="B357" s="54">
        <v>50387529</v>
      </c>
      <c r="C357" s="55" t="s">
        <v>610</v>
      </c>
      <c r="D357" s="56" t="s">
        <v>82</v>
      </c>
      <c r="E357" s="4"/>
      <c r="F357" s="4"/>
      <c r="G357" s="58">
        <v>0</v>
      </c>
      <c r="H357" s="58"/>
      <c r="I357" s="58"/>
      <c r="J357" s="58">
        <f t="shared" si="18"/>
        <v>0</v>
      </c>
      <c r="K357" s="58">
        <f>IFERROR(VLOOKUP(B357,'[1]bajada sap'!$B:$F,5,0),0)</f>
        <v>0</v>
      </c>
      <c r="L357" s="58">
        <f t="shared" si="19"/>
        <v>0</v>
      </c>
    </row>
    <row r="358" spans="1:13">
      <c r="A358" s="29">
        <f t="shared" si="17"/>
        <v>0</v>
      </c>
      <c r="B358" s="54">
        <v>50858281</v>
      </c>
      <c r="C358" s="55" t="s">
        <v>2727</v>
      </c>
      <c r="D358" s="56" t="s">
        <v>505</v>
      </c>
      <c r="E358" s="4"/>
      <c r="F358" s="4"/>
      <c r="G358" s="58"/>
      <c r="H358" s="58"/>
      <c r="I358" s="58"/>
      <c r="J358" s="58">
        <f t="shared" si="18"/>
        <v>0</v>
      </c>
      <c r="K358" s="58">
        <f>IFERROR(VLOOKUP(B358,'[1]bajada sap'!$B:$F,5,0),0)</f>
        <v>0</v>
      </c>
      <c r="L358" s="58">
        <f t="shared" si="19"/>
        <v>0</v>
      </c>
    </row>
    <row r="359" spans="1:13">
      <c r="A359" s="29">
        <f t="shared" si="17"/>
        <v>0</v>
      </c>
      <c r="B359" s="54">
        <v>50858280</v>
      </c>
      <c r="C359" s="55" t="s">
        <v>2726</v>
      </c>
      <c r="D359" s="56" t="s">
        <v>505</v>
      </c>
      <c r="E359" s="4"/>
      <c r="F359" s="4"/>
      <c r="G359" s="58"/>
      <c r="H359" s="58"/>
      <c r="I359" s="58"/>
      <c r="J359" s="58">
        <f t="shared" si="18"/>
        <v>0</v>
      </c>
      <c r="K359" s="58">
        <f>IFERROR(VLOOKUP(B359,'[1]bajada sap'!$B:$F,5,0),0)</f>
        <v>0</v>
      </c>
      <c r="L359" s="58">
        <f t="shared" si="19"/>
        <v>0</v>
      </c>
    </row>
    <row r="360" spans="1:13">
      <c r="A360" s="29">
        <f t="shared" si="17"/>
        <v>1</v>
      </c>
      <c r="B360" s="54">
        <v>50145029</v>
      </c>
      <c r="C360" s="55" t="s">
        <v>705</v>
      </c>
      <c r="D360" s="56" t="s">
        <v>505</v>
      </c>
      <c r="E360" s="4"/>
      <c r="F360" s="4"/>
      <c r="G360" s="58">
        <v>24</v>
      </c>
      <c r="H360" s="58"/>
      <c r="I360" s="58"/>
      <c r="J360" s="58">
        <f t="shared" si="18"/>
        <v>24</v>
      </c>
      <c r="K360" s="58">
        <f>IFERROR(VLOOKUP(B360,'[1]bajada sap'!$B:$F,5,0),0)</f>
        <v>24</v>
      </c>
      <c r="L360" s="58">
        <f t="shared" si="19"/>
        <v>0</v>
      </c>
    </row>
    <row r="361" spans="1:13">
      <c r="A361" s="29">
        <f t="shared" si="17"/>
        <v>1</v>
      </c>
      <c r="B361" s="54">
        <v>50392045</v>
      </c>
      <c r="C361" s="55" t="s">
        <v>707</v>
      </c>
      <c r="D361" s="56" t="s">
        <v>505</v>
      </c>
      <c r="E361" s="4"/>
      <c r="F361" s="4"/>
      <c r="G361" s="58">
        <v>30</v>
      </c>
      <c r="H361" s="58"/>
      <c r="I361" s="58"/>
      <c r="J361" s="58">
        <f t="shared" si="18"/>
        <v>30</v>
      </c>
      <c r="K361" s="58">
        <f>IFERROR(VLOOKUP(B361,'[1]bajada sap'!$B:$F,5,0),0)</f>
        <v>30</v>
      </c>
      <c r="L361" s="58">
        <f t="shared" si="19"/>
        <v>0</v>
      </c>
    </row>
    <row r="362" spans="1:13">
      <c r="A362" s="29">
        <f t="shared" si="17"/>
        <v>1</v>
      </c>
      <c r="B362" s="54">
        <v>40011080</v>
      </c>
      <c r="C362" s="55" t="s">
        <v>420</v>
      </c>
      <c r="D362" s="56" t="s">
        <v>80</v>
      </c>
      <c r="E362" s="4"/>
      <c r="F362" s="57">
        <v>450</v>
      </c>
      <c r="G362" s="58">
        <v>23730</v>
      </c>
      <c r="H362" s="72"/>
      <c r="I362" s="58"/>
      <c r="J362" s="58">
        <f t="shared" si="18"/>
        <v>23730</v>
      </c>
      <c r="K362" s="58">
        <f>IFERROR(VLOOKUP(B362,'[1]bajada sap'!$B:$F,5,0),0)</f>
        <v>23730</v>
      </c>
      <c r="L362" s="58">
        <f t="shared" si="19"/>
        <v>0</v>
      </c>
    </row>
    <row r="363" spans="1:13">
      <c r="A363" s="29">
        <f t="shared" si="17"/>
        <v>0</v>
      </c>
      <c r="B363" s="54">
        <v>50811693</v>
      </c>
      <c r="C363" s="69" t="s">
        <v>1269</v>
      </c>
      <c r="D363" s="56" t="s">
        <v>92</v>
      </c>
      <c r="E363" s="4">
        <v>22</v>
      </c>
      <c r="F363" s="4"/>
      <c r="G363" s="58">
        <v>0</v>
      </c>
      <c r="H363" s="58"/>
      <c r="I363" s="58"/>
      <c r="J363" s="58">
        <f t="shared" si="18"/>
        <v>0</v>
      </c>
      <c r="K363" s="58">
        <f>IFERROR(VLOOKUP(B363,'[1]bajada sap'!$B:$F,5,0),0)</f>
        <v>0</v>
      </c>
      <c r="L363" s="58">
        <f t="shared" si="19"/>
        <v>0</v>
      </c>
    </row>
    <row r="364" spans="1:13">
      <c r="A364" s="29">
        <f t="shared" si="17"/>
        <v>1</v>
      </c>
      <c r="B364" s="60">
        <v>40011148</v>
      </c>
      <c r="C364" s="55" t="s">
        <v>86</v>
      </c>
      <c r="D364" s="56" t="s">
        <v>80</v>
      </c>
      <c r="E364" s="4"/>
      <c r="F364" s="4">
        <v>450</v>
      </c>
      <c r="G364" s="58">
        <v>13560</v>
      </c>
      <c r="H364" s="58"/>
      <c r="I364" s="58">
        <v>900</v>
      </c>
      <c r="J364" s="58">
        <f t="shared" si="18"/>
        <v>12660</v>
      </c>
      <c r="K364" s="58">
        <f>IFERROR(VLOOKUP(B364,'[1]bajada sap'!$B:$F,5,0),0)</f>
        <v>13560</v>
      </c>
      <c r="L364" s="58">
        <f t="shared" si="19"/>
        <v>-900</v>
      </c>
      <c r="M364" t="s">
        <v>3120</v>
      </c>
    </row>
    <row r="365" spans="1:13">
      <c r="A365" s="29">
        <f t="shared" si="17"/>
        <v>1</v>
      </c>
      <c r="B365" s="54">
        <v>50851663</v>
      </c>
      <c r="C365" s="55" t="s">
        <v>2526</v>
      </c>
      <c r="D365" s="56" t="s">
        <v>80</v>
      </c>
      <c r="E365" s="4"/>
      <c r="F365" s="4"/>
      <c r="G365" s="58">
        <v>1850</v>
      </c>
      <c r="H365" s="58"/>
      <c r="I365" s="58"/>
      <c r="J365" s="58">
        <f t="shared" si="18"/>
        <v>1850</v>
      </c>
      <c r="K365" s="58">
        <f>IFERROR(VLOOKUP(B365,'[1]bajada sap'!$B:$F,5,0),0)</f>
        <v>1850000</v>
      </c>
      <c r="L365" s="58">
        <f t="shared" si="19"/>
        <v>-1848150</v>
      </c>
    </row>
    <row r="366" spans="1:13">
      <c r="A366" s="29">
        <f t="shared" si="17"/>
        <v>0</v>
      </c>
      <c r="B366" s="54">
        <v>50145187</v>
      </c>
      <c r="C366" s="55" t="s">
        <v>465</v>
      </c>
      <c r="D366" s="56" t="s">
        <v>92</v>
      </c>
      <c r="E366" s="4">
        <v>16</v>
      </c>
      <c r="F366" s="4">
        <v>264000</v>
      </c>
      <c r="G366" s="58">
        <v>0</v>
      </c>
      <c r="H366" s="58"/>
      <c r="I366" s="58"/>
      <c r="J366" s="58">
        <f t="shared" si="18"/>
        <v>0</v>
      </c>
      <c r="K366" s="58">
        <f>IFERROR(VLOOKUP(B366,'[1]bajada sap'!$B:$F,5,0),0)</f>
        <v>0</v>
      </c>
      <c r="L366" s="58">
        <f t="shared" si="19"/>
        <v>0</v>
      </c>
    </row>
    <row r="367" spans="1:13">
      <c r="A367" s="29">
        <f t="shared" si="17"/>
        <v>0</v>
      </c>
      <c r="B367" s="54">
        <v>50818963</v>
      </c>
      <c r="C367" s="55" t="s">
        <v>1709</v>
      </c>
      <c r="D367" s="56" t="s">
        <v>92</v>
      </c>
      <c r="E367" s="4"/>
      <c r="F367" s="4"/>
      <c r="G367" s="58">
        <v>0</v>
      </c>
      <c r="H367" s="58"/>
      <c r="I367" s="58"/>
      <c r="J367" s="58">
        <f t="shared" si="18"/>
        <v>0</v>
      </c>
      <c r="K367" s="58">
        <f>IFERROR(VLOOKUP(B367,'[1]bajada sap'!$B:$F,5,0),0)</f>
        <v>0</v>
      </c>
      <c r="L367" s="58">
        <f t="shared" si="19"/>
        <v>0</v>
      </c>
    </row>
    <row r="368" spans="1:13">
      <c r="A368" s="29">
        <f t="shared" si="17"/>
        <v>1</v>
      </c>
      <c r="B368" s="54">
        <v>40011149</v>
      </c>
      <c r="C368" s="55" t="s">
        <v>37</v>
      </c>
      <c r="D368" s="56" t="s">
        <v>80</v>
      </c>
      <c r="E368" s="4"/>
      <c r="F368" s="4">
        <v>360</v>
      </c>
      <c r="G368" s="58">
        <v>12387</v>
      </c>
      <c r="H368" s="58"/>
      <c r="I368" s="58"/>
      <c r="J368" s="58">
        <f t="shared" si="18"/>
        <v>12387</v>
      </c>
      <c r="K368" s="58">
        <f>IFERROR(VLOOKUP(B368,'[1]bajada sap'!$B:$F,5,0),0)</f>
        <v>4347</v>
      </c>
      <c r="L368" s="58">
        <f t="shared" si="19"/>
        <v>8040</v>
      </c>
    </row>
    <row r="369" spans="1:12">
      <c r="A369" s="29">
        <f t="shared" si="17"/>
        <v>0</v>
      </c>
      <c r="B369" s="54">
        <v>50144200</v>
      </c>
      <c r="C369" s="55" t="s">
        <v>184</v>
      </c>
      <c r="D369" s="56" t="s">
        <v>92</v>
      </c>
      <c r="E369" s="4">
        <v>40</v>
      </c>
      <c r="F369" s="76">
        <v>264000</v>
      </c>
      <c r="G369" s="58">
        <v>0</v>
      </c>
      <c r="H369" s="58"/>
      <c r="I369" s="58"/>
      <c r="J369" s="58">
        <f t="shared" si="18"/>
        <v>0</v>
      </c>
      <c r="K369" s="58">
        <f>IFERROR(VLOOKUP(B369,'[1]bajada sap'!$B:$F,5,0),0)</f>
        <v>0</v>
      </c>
      <c r="L369" s="58">
        <f t="shared" si="19"/>
        <v>0</v>
      </c>
    </row>
    <row r="370" spans="1:12">
      <c r="A370" s="29">
        <f t="shared" si="17"/>
        <v>0</v>
      </c>
      <c r="B370" s="54">
        <v>50392470</v>
      </c>
      <c r="C370" s="55" t="s">
        <v>841</v>
      </c>
      <c r="D370" s="56" t="s">
        <v>92</v>
      </c>
      <c r="E370" s="4">
        <v>4</v>
      </c>
      <c r="F370" s="57">
        <v>264000</v>
      </c>
      <c r="G370" s="58">
        <v>0</v>
      </c>
      <c r="H370" s="58"/>
      <c r="I370" s="58"/>
      <c r="J370" s="58">
        <f t="shared" si="18"/>
        <v>0</v>
      </c>
      <c r="K370" s="58">
        <f>IFERROR(VLOOKUP(B370,'[1]bajada sap'!$B:$F,5,0),0)</f>
        <v>0</v>
      </c>
      <c r="L370" s="58">
        <f t="shared" si="19"/>
        <v>0</v>
      </c>
    </row>
    <row r="371" spans="1:12">
      <c r="A371" s="29">
        <f t="shared" si="17"/>
        <v>0</v>
      </c>
      <c r="B371" s="54">
        <v>50818960</v>
      </c>
      <c r="C371" s="55" t="s">
        <v>1167</v>
      </c>
      <c r="D371" s="56" t="s">
        <v>92</v>
      </c>
      <c r="E371" s="4">
        <v>5</v>
      </c>
      <c r="F371" s="4">
        <v>50000</v>
      </c>
      <c r="G371" s="58">
        <v>0</v>
      </c>
      <c r="H371" s="58"/>
      <c r="I371" s="58"/>
      <c r="J371" s="58">
        <f t="shared" si="18"/>
        <v>0</v>
      </c>
      <c r="K371" s="58">
        <f>IFERROR(VLOOKUP(B371,'[1]bajada sap'!$B:$F,5,0),0)</f>
        <v>0</v>
      </c>
      <c r="L371" s="58">
        <f t="shared" si="19"/>
        <v>0</v>
      </c>
    </row>
    <row r="372" spans="1:12">
      <c r="A372" s="29">
        <f t="shared" si="17"/>
        <v>0</v>
      </c>
      <c r="B372" s="54">
        <v>50340252</v>
      </c>
      <c r="C372" s="55" t="s">
        <v>246</v>
      </c>
      <c r="D372" s="56" t="s">
        <v>92</v>
      </c>
      <c r="E372" s="4"/>
      <c r="F372" s="57">
        <v>440000</v>
      </c>
      <c r="G372" s="58">
        <v>0</v>
      </c>
      <c r="H372" s="58"/>
      <c r="I372" s="58"/>
      <c r="J372" s="58">
        <f t="shared" si="18"/>
        <v>0</v>
      </c>
      <c r="K372" s="58">
        <f>IFERROR(VLOOKUP(B372,'[1]bajada sap'!$B:$F,5,0),0)</f>
        <v>0</v>
      </c>
      <c r="L372" s="58">
        <f t="shared" si="19"/>
        <v>0</v>
      </c>
    </row>
    <row r="373" spans="1:12">
      <c r="A373" s="29">
        <f t="shared" si="17"/>
        <v>0</v>
      </c>
      <c r="B373" s="54">
        <v>50382440</v>
      </c>
      <c r="C373" s="55" t="s">
        <v>273</v>
      </c>
      <c r="D373" s="56" t="s">
        <v>92</v>
      </c>
      <c r="E373" s="4"/>
      <c r="F373" s="57">
        <v>420000</v>
      </c>
      <c r="G373" s="58">
        <v>0</v>
      </c>
      <c r="H373" s="58"/>
      <c r="I373" s="58"/>
      <c r="J373" s="58">
        <f t="shared" si="18"/>
        <v>0</v>
      </c>
      <c r="K373" s="58">
        <f>IFERROR(VLOOKUP(B373,'[1]bajada sap'!$B:$F,5,0),0)</f>
        <v>0</v>
      </c>
      <c r="L373" s="58">
        <f t="shared" si="19"/>
        <v>0</v>
      </c>
    </row>
    <row r="374" spans="1:12">
      <c r="A374" s="29">
        <f t="shared" si="17"/>
        <v>1</v>
      </c>
      <c r="B374" s="54">
        <v>50852310</v>
      </c>
      <c r="C374" s="55" t="s">
        <v>2617</v>
      </c>
      <c r="D374" s="56" t="s">
        <v>92</v>
      </c>
      <c r="E374" s="4"/>
      <c r="F374" s="4"/>
      <c r="G374" s="58">
        <v>2020000</v>
      </c>
      <c r="H374" s="58"/>
      <c r="I374" s="58"/>
      <c r="J374" s="58">
        <f t="shared" si="18"/>
        <v>2020000</v>
      </c>
      <c r="K374" s="58">
        <f>IFERROR(VLOOKUP(B374,'[1]bajada sap'!$B:$F,5,0),0)</f>
        <v>2020000</v>
      </c>
      <c r="L374" s="58">
        <f t="shared" si="19"/>
        <v>0</v>
      </c>
    </row>
    <row r="375" spans="1:12">
      <c r="A375" s="29">
        <f t="shared" si="17"/>
        <v>0</v>
      </c>
      <c r="B375" s="54">
        <v>50507913</v>
      </c>
      <c r="C375" s="55" t="s">
        <v>407</v>
      </c>
      <c r="D375" s="56" t="s">
        <v>80</v>
      </c>
      <c r="E375" s="4"/>
      <c r="F375" s="57"/>
      <c r="G375" s="58">
        <v>0</v>
      </c>
      <c r="H375" s="58"/>
      <c r="I375" s="58"/>
      <c r="J375" s="58">
        <f t="shared" si="18"/>
        <v>0</v>
      </c>
      <c r="K375" s="58">
        <f>IFERROR(VLOOKUP(B375,'[1]bajada sap'!$B:$F,5,0),0)</f>
        <v>0</v>
      </c>
      <c r="L375" s="58">
        <f t="shared" si="19"/>
        <v>0</v>
      </c>
    </row>
    <row r="376" spans="1:12">
      <c r="A376" s="29">
        <f t="shared" si="17"/>
        <v>0</v>
      </c>
      <c r="B376" s="54">
        <v>50818948</v>
      </c>
      <c r="C376" s="55" t="s">
        <v>1173</v>
      </c>
      <c r="D376" s="56" t="s">
        <v>92</v>
      </c>
      <c r="E376" s="4"/>
      <c r="F376" s="4">
        <v>500000</v>
      </c>
      <c r="G376" s="58">
        <v>0</v>
      </c>
      <c r="H376" s="58"/>
      <c r="I376" s="58"/>
      <c r="J376" s="58">
        <f t="shared" si="18"/>
        <v>0</v>
      </c>
      <c r="K376" s="58">
        <f>IFERROR(VLOOKUP(B376,'[1]bajada sap'!$B:$F,5,0),0)</f>
        <v>0</v>
      </c>
      <c r="L376" s="58">
        <f t="shared" si="19"/>
        <v>0</v>
      </c>
    </row>
    <row r="377" spans="1:12">
      <c r="A377" s="29">
        <f t="shared" si="17"/>
        <v>1</v>
      </c>
      <c r="B377" s="54">
        <v>50143873</v>
      </c>
      <c r="C377" s="55" t="s">
        <v>406</v>
      </c>
      <c r="D377" s="56" t="s">
        <v>92</v>
      </c>
      <c r="E377" s="4">
        <v>9</v>
      </c>
      <c r="F377" s="57">
        <v>264000</v>
      </c>
      <c r="G377" s="58">
        <v>19712000</v>
      </c>
      <c r="H377" s="58"/>
      <c r="I377" s="58"/>
      <c r="J377" s="58">
        <f t="shared" si="18"/>
        <v>19712000</v>
      </c>
      <c r="K377" s="58">
        <f>IFERROR(VLOOKUP(B377,'[1]bajada sap'!$B:$F,5,0),0)</f>
        <v>19872800</v>
      </c>
      <c r="L377" s="58">
        <f t="shared" si="19"/>
        <v>-160800</v>
      </c>
    </row>
    <row r="378" spans="1:12">
      <c r="A378" s="29">
        <f t="shared" si="17"/>
        <v>0</v>
      </c>
      <c r="B378" s="54">
        <v>50821478</v>
      </c>
      <c r="C378" s="55" t="s">
        <v>1196</v>
      </c>
      <c r="D378" s="56" t="s">
        <v>92</v>
      </c>
      <c r="E378" s="4"/>
      <c r="F378" s="4"/>
      <c r="G378" s="58">
        <v>0</v>
      </c>
      <c r="H378" s="58"/>
      <c r="I378" s="58"/>
      <c r="J378" s="58">
        <f t="shared" si="18"/>
        <v>0</v>
      </c>
      <c r="K378" s="58">
        <f>IFERROR(VLOOKUP(B378,'[1]bajada sap'!$B:$F,5,0),0)</f>
        <v>0</v>
      </c>
      <c r="L378" s="58">
        <f t="shared" si="19"/>
        <v>0</v>
      </c>
    </row>
    <row r="379" spans="1:12">
      <c r="A379" s="29">
        <f t="shared" si="17"/>
        <v>0</v>
      </c>
      <c r="B379" s="54">
        <v>50337814</v>
      </c>
      <c r="C379" s="55" t="s">
        <v>669</v>
      </c>
      <c r="D379" s="56" t="s">
        <v>80</v>
      </c>
      <c r="E379" s="4">
        <v>19</v>
      </c>
      <c r="F379" s="4">
        <v>264</v>
      </c>
      <c r="G379" s="58"/>
      <c r="H379" s="58"/>
      <c r="I379" s="58"/>
      <c r="J379" s="58">
        <f t="shared" si="18"/>
        <v>0</v>
      </c>
      <c r="K379" s="58">
        <f>IFERROR(VLOOKUP(B379,'[1]bajada sap'!$B:$F,5,0),0)</f>
        <v>0</v>
      </c>
      <c r="L379" s="58">
        <f t="shared" si="19"/>
        <v>0</v>
      </c>
    </row>
    <row r="380" spans="1:12">
      <c r="A380" s="29">
        <f t="shared" si="17"/>
        <v>0</v>
      </c>
      <c r="B380" s="54">
        <v>50337816</v>
      </c>
      <c r="C380" s="55" t="s">
        <v>245</v>
      </c>
      <c r="D380" s="56" t="s">
        <v>80</v>
      </c>
      <c r="E380" s="4">
        <v>28</v>
      </c>
      <c r="F380" s="57">
        <v>264</v>
      </c>
      <c r="G380" s="58">
        <v>0</v>
      </c>
      <c r="H380" s="58"/>
      <c r="I380" s="58"/>
      <c r="J380" s="58">
        <f t="shared" si="18"/>
        <v>0</v>
      </c>
      <c r="K380" s="58">
        <f>IFERROR(VLOOKUP(B380,'[1]bajada sap'!$B:$F,5,0),0)</f>
        <v>0</v>
      </c>
      <c r="L380" s="58">
        <f t="shared" si="19"/>
        <v>0</v>
      </c>
    </row>
    <row r="381" spans="1:12">
      <c r="A381" s="29">
        <f t="shared" si="17"/>
        <v>0</v>
      </c>
      <c r="B381" s="54">
        <v>50821479</v>
      </c>
      <c r="C381" s="55" t="s">
        <v>1199</v>
      </c>
      <c r="D381" s="56" t="s">
        <v>92</v>
      </c>
      <c r="E381" s="4"/>
      <c r="F381" s="4"/>
      <c r="G381" s="58">
        <v>0</v>
      </c>
      <c r="H381" s="58"/>
      <c r="I381" s="58"/>
      <c r="J381" s="58">
        <f t="shared" si="18"/>
        <v>0</v>
      </c>
      <c r="K381" s="58">
        <f>IFERROR(VLOOKUP(B381,'[1]bajada sap'!$B:$F,5,0),0)</f>
        <v>0</v>
      </c>
      <c r="L381" s="58">
        <f t="shared" si="19"/>
        <v>0</v>
      </c>
    </row>
    <row r="382" spans="1:12">
      <c r="A382" s="29">
        <f t="shared" si="17"/>
        <v>0</v>
      </c>
      <c r="B382" s="54">
        <v>50815261</v>
      </c>
      <c r="C382" s="55" t="s">
        <v>3121</v>
      </c>
      <c r="D382" s="56" t="s">
        <v>92</v>
      </c>
      <c r="E382" s="4"/>
      <c r="F382" s="4">
        <v>320000</v>
      </c>
      <c r="G382" s="58">
        <v>0</v>
      </c>
      <c r="H382" s="58"/>
      <c r="I382" s="58"/>
      <c r="J382" s="58">
        <f t="shared" si="18"/>
        <v>0</v>
      </c>
      <c r="K382" s="58">
        <f>IFERROR(VLOOKUP(B382,'[1]bajada sap'!$B:$F,5,0),0)</f>
        <v>0</v>
      </c>
      <c r="L382" s="58">
        <f t="shared" si="19"/>
        <v>0</v>
      </c>
    </row>
    <row r="383" spans="1:12">
      <c r="A383" s="29">
        <f t="shared" si="17"/>
        <v>0</v>
      </c>
      <c r="B383" s="54">
        <v>50815214</v>
      </c>
      <c r="C383" s="55" t="s">
        <v>1111</v>
      </c>
      <c r="D383" s="56" t="s">
        <v>92</v>
      </c>
      <c r="E383" s="4"/>
      <c r="F383" s="4">
        <v>320000</v>
      </c>
      <c r="G383" s="58">
        <v>0</v>
      </c>
      <c r="H383" s="58"/>
      <c r="I383" s="58"/>
      <c r="J383" s="58">
        <f t="shared" si="18"/>
        <v>0</v>
      </c>
      <c r="K383" s="58">
        <f>IFERROR(VLOOKUP(B383,'[1]bajada sap'!$B:$F,5,0),0)</f>
        <v>0</v>
      </c>
      <c r="L383" s="58">
        <f t="shared" si="19"/>
        <v>0</v>
      </c>
    </row>
    <row r="384" spans="1:12">
      <c r="A384" s="29">
        <f t="shared" si="17"/>
        <v>0</v>
      </c>
      <c r="B384" s="54">
        <v>40008022</v>
      </c>
      <c r="C384" s="55" t="s">
        <v>190</v>
      </c>
      <c r="D384" s="56" t="s">
        <v>80</v>
      </c>
      <c r="E384" s="4"/>
      <c r="F384" s="57">
        <v>441</v>
      </c>
      <c r="G384" s="58">
        <v>0</v>
      </c>
      <c r="H384" s="58"/>
      <c r="I384" s="58"/>
      <c r="J384" s="58">
        <f t="shared" si="18"/>
        <v>0</v>
      </c>
      <c r="K384" s="58">
        <f>IFERROR(VLOOKUP(B384,'[1]bajada sap'!$B:$F,5,0),0)</f>
        <v>0</v>
      </c>
      <c r="L384" s="58">
        <f t="shared" si="19"/>
        <v>0</v>
      </c>
    </row>
    <row r="385" spans="1:13">
      <c r="A385" s="29">
        <f t="shared" si="17"/>
        <v>0</v>
      </c>
      <c r="B385" s="54">
        <v>40008024</v>
      </c>
      <c r="C385" s="55" t="s">
        <v>182</v>
      </c>
      <c r="D385" s="56" t="s">
        <v>80</v>
      </c>
      <c r="E385" s="4"/>
      <c r="F385" s="57">
        <v>441</v>
      </c>
      <c r="G385" s="58">
        <v>0</v>
      </c>
      <c r="H385" s="58"/>
      <c r="I385" s="58"/>
      <c r="J385" s="58">
        <f t="shared" si="18"/>
        <v>0</v>
      </c>
      <c r="K385" s="58">
        <f>IFERROR(VLOOKUP(B385,'[1]bajada sap'!$B:$F,5,0),0)</f>
        <v>0</v>
      </c>
      <c r="L385" s="58">
        <f t="shared" ref="L385:L416" si="20">J385-K385</f>
        <v>0</v>
      </c>
    </row>
    <row r="386" spans="1:13">
      <c r="A386" s="29">
        <f t="shared" si="17"/>
        <v>0</v>
      </c>
      <c r="B386" s="54">
        <v>50417413</v>
      </c>
      <c r="C386" s="55" t="s">
        <v>3122</v>
      </c>
      <c r="D386" s="56"/>
      <c r="E386" s="4"/>
      <c r="F386" s="57"/>
      <c r="G386" s="58">
        <v>0</v>
      </c>
      <c r="H386" s="58"/>
      <c r="I386" s="58"/>
      <c r="J386" s="58">
        <f t="shared" si="18"/>
        <v>0</v>
      </c>
      <c r="K386" s="58">
        <f>IFERROR(VLOOKUP(B386,'[1]bajada sap'!$B:$F,5,0),0)</f>
        <v>0</v>
      </c>
      <c r="L386" s="58">
        <f t="shared" si="20"/>
        <v>0</v>
      </c>
    </row>
    <row r="387" spans="1:13">
      <c r="A387" s="29">
        <f t="shared" si="17"/>
        <v>0</v>
      </c>
      <c r="B387" s="54">
        <v>50455861</v>
      </c>
      <c r="C387" s="55" t="s">
        <v>266</v>
      </c>
      <c r="D387" s="56" t="s">
        <v>92</v>
      </c>
      <c r="E387" s="4"/>
      <c r="F387" s="57">
        <v>253000</v>
      </c>
      <c r="G387" s="58">
        <v>0</v>
      </c>
      <c r="H387" s="58"/>
      <c r="I387" s="58"/>
      <c r="J387" s="58">
        <f t="shared" si="18"/>
        <v>0</v>
      </c>
      <c r="K387" s="58">
        <f>IFERROR(VLOOKUP(B387,'[1]bajada sap'!$B:$F,5,0),0)</f>
        <v>0</v>
      </c>
      <c r="L387" s="58">
        <f t="shared" si="20"/>
        <v>0</v>
      </c>
    </row>
    <row r="388" spans="1:13">
      <c r="A388" s="29">
        <f t="shared" si="17"/>
        <v>0</v>
      </c>
      <c r="B388" s="54">
        <v>50455863</v>
      </c>
      <c r="C388" s="55" t="s">
        <v>265</v>
      </c>
      <c r="D388" s="56" t="s">
        <v>92</v>
      </c>
      <c r="E388" s="4"/>
      <c r="F388" s="57">
        <v>286000</v>
      </c>
      <c r="G388" s="58">
        <v>0</v>
      </c>
      <c r="H388" s="58"/>
      <c r="I388" s="58"/>
      <c r="J388" s="58">
        <f t="shared" si="18"/>
        <v>0</v>
      </c>
      <c r="K388" s="58">
        <f>IFERROR(VLOOKUP(B388,'[1]bajada sap'!$B:$F,5,0),0)</f>
        <v>0</v>
      </c>
      <c r="L388" s="58">
        <f t="shared" si="20"/>
        <v>0</v>
      </c>
    </row>
    <row r="389" spans="1:13">
      <c r="A389" s="29">
        <f t="shared" si="17"/>
        <v>0</v>
      </c>
      <c r="B389" s="54">
        <v>40009151</v>
      </c>
      <c r="C389" s="55" t="s">
        <v>180</v>
      </c>
      <c r="D389" s="56" t="s">
        <v>80</v>
      </c>
      <c r="E389" s="4"/>
      <c r="F389" s="76" t="s">
        <v>3123</v>
      </c>
      <c r="G389" s="58">
        <v>0</v>
      </c>
      <c r="H389" s="58"/>
      <c r="I389" s="58"/>
      <c r="J389" s="58">
        <f t="shared" si="18"/>
        <v>0</v>
      </c>
      <c r="K389" s="58">
        <f>IFERROR(VLOOKUP(B389,'[1]bajada sap'!$B:$F,5,0),0)</f>
        <v>0</v>
      </c>
      <c r="L389" s="58">
        <f t="shared" si="20"/>
        <v>0</v>
      </c>
    </row>
    <row r="390" spans="1:13">
      <c r="A390" s="29">
        <f t="shared" si="17"/>
        <v>0</v>
      </c>
      <c r="B390" s="54">
        <v>50818947</v>
      </c>
      <c r="C390" s="55" t="s">
        <v>1174</v>
      </c>
      <c r="D390" s="56" t="s">
        <v>92</v>
      </c>
      <c r="E390" s="4">
        <v>4</v>
      </c>
      <c r="F390" s="4">
        <v>500000</v>
      </c>
      <c r="G390" s="58">
        <v>0</v>
      </c>
      <c r="H390" s="58"/>
      <c r="I390" s="58"/>
      <c r="J390" s="58">
        <f t="shared" si="18"/>
        <v>0</v>
      </c>
      <c r="K390" s="58">
        <f>IFERROR(VLOOKUP(B390,'[1]bajada sap'!$B:$F,5,0),0)</f>
        <v>0</v>
      </c>
      <c r="L390" s="58">
        <f t="shared" si="20"/>
        <v>0</v>
      </c>
    </row>
    <row r="391" spans="1:13">
      <c r="A391" s="29">
        <f t="shared" si="17"/>
        <v>0</v>
      </c>
      <c r="B391" s="54">
        <v>50486778</v>
      </c>
      <c r="C391" s="55" t="s">
        <v>787</v>
      </c>
      <c r="D391" s="56" t="s">
        <v>92</v>
      </c>
      <c r="E391" s="4"/>
      <c r="F391" s="4"/>
      <c r="G391" s="58">
        <v>0</v>
      </c>
      <c r="H391" s="58"/>
      <c r="I391" s="58"/>
      <c r="J391" s="58">
        <f t="shared" si="18"/>
        <v>0</v>
      </c>
      <c r="K391" s="58">
        <f>IFERROR(VLOOKUP(B391,'[1]bajada sap'!$B:$F,5,0),0)</f>
        <v>0</v>
      </c>
      <c r="L391" s="58">
        <f t="shared" si="20"/>
        <v>0</v>
      </c>
    </row>
    <row r="392" spans="1:13">
      <c r="A392" s="29">
        <f t="shared" ref="A392:A455" si="21">+IF(OR(G392&gt;0,J392&gt;0,K392&gt;0),1,0)</f>
        <v>1</v>
      </c>
      <c r="B392" s="60">
        <v>50470190</v>
      </c>
      <c r="C392" s="77" t="s">
        <v>12</v>
      </c>
      <c r="D392" s="56" t="s">
        <v>92</v>
      </c>
      <c r="E392" s="4">
        <v>64</v>
      </c>
      <c r="F392" s="74">
        <v>289800</v>
      </c>
      <c r="G392" s="78">
        <v>4057200</v>
      </c>
      <c r="H392" s="58">
        <v>9273600</v>
      </c>
      <c r="I392" s="65">
        <v>1738800</v>
      </c>
      <c r="J392" s="58">
        <f t="shared" si="18"/>
        <v>11592000</v>
      </c>
      <c r="K392" s="58">
        <f>IFERROR(VLOOKUP(B392,'[1]bajada sap'!$B:$F,5,0),0)</f>
        <v>0</v>
      </c>
      <c r="L392" s="58">
        <f t="shared" si="20"/>
        <v>11592000</v>
      </c>
      <c r="M392" t="s">
        <v>3087</v>
      </c>
    </row>
    <row r="393" spans="1:13">
      <c r="A393" s="29">
        <f t="shared" si="21"/>
        <v>0</v>
      </c>
      <c r="B393" s="54">
        <v>50820741</v>
      </c>
      <c r="C393" s="55" t="s">
        <v>1114</v>
      </c>
      <c r="D393" s="56" t="s">
        <v>92</v>
      </c>
      <c r="E393" s="4"/>
      <c r="F393" s="4"/>
      <c r="G393" s="58">
        <v>0</v>
      </c>
      <c r="H393" s="58"/>
      <c r="I393" s="58"/>
      <c r="J393" s="58">
        <f t="shared" si="18"/>
        <v>0</v>
      </c>
      <c r="K393" s="58">
        <f>IFERROR(VLOOKUP(B393,'[1]bajada sap'!$B:$F,5,0),0)</f>
        <v>0</v>
      </c>
      <c r="L393" s="58">
        <f t="shared" si="20"/>
        <v>0</v>
      </c>
    </row>
    <row r="394" spans="1:13">
      <c r="A394" s="29">
        <f t="shared" si="21"/>
        <v>1</v>
      </c>
      <c r="B394" s="54">
        <v>40011780</v>
      </c>
      <c r="C394" s="55" t="s">
        <v>584</v>
      </c>
      <c r="D394" s="56" t="s">
        <v>80</v>
      </c>
      <c r="E394" s="4"/>
      <c r="F394" s="57">
        <v>450</v>
      </c>
      <c r="G394" s="58">
        <v>4030</v>
      </c>
      <c r="H394" s="58"/>
      <c r="I394" s="58"/>
      <c r="J394" s="58">
        <f t="shared" si="18"/>
        <v>4030</v>
      </c>
      <c r="K394" s="58">
        <f>IFERROR(VLOOKUP(B394,'[1]bajada sap'!$B:$F,5,0),0)</f>
        <v>4030</v>
      </c>
      <c r="L394" s="58">
        <f t="shared" si="20"/>
        <v>0</v>
      </c>
    </row>
    <row r="395" spans="1:13">
      <c r="A395" s="29">
        <f t="shared" si="21"/>
        <v>0</v>
      </c>
      <c r="B395" s="54">
        <v>50315365</v>
      </c>
      <c r="C395" s="55" t="s">
        <v>584</v>
      </c>
      <c r="D395" s="56" t="s">
        <v>80</v>
      </c>
      <c r="E395" s="4"/>
      <c r="F395" s="4">
        <v>264</v>
      </c>
      <c r="G395" s="58">
        <v>0</v>
      </c>
      <c r="H395" s="58"/>
      <c r="I395" s="58"/>
      <c r="J395" s="58">
        <f t="shared" si="18"/>
        <v>0</v>
      </c>
      <c r="K395" s="58">
        <f>IFERROR(VLOOKUP(B395,'[1]bajada sap'!$B:$F,5,0),0)</f>
        <v>0</v>
      </c>
      <c r="L395" s="58">
        <f t="shared" si="20"/>
        <v>0</v>
      </c>
    </row>
    <row r="396" spans="1:13">
      <c r="A396" s="29">
        <f t="shared" si="21"/>
        <v>1</v>
      </c>
      <c r="B396" s="54">
        <v>40011588</v>
      </c>
      <c r="C396" s="69" t="s">
        <v>585</v>
      </c>
      <c r="D396" s="56" t="s">
        <v>80</v>
      </c>
      <c r="E396" s="4"/>
      <c r="F396" s="57">
        <v>450</v>
      </c>
      <c r="G396" s="58">
        <v>24610</v>
      </c>
      <c r="H396" s="58"/>
      <c r="I396" s="65"/>
      <c r="J396" s="58">
        <f t="shared" si="18"/>
        <v>24610</v>
      </c>
      <c r="K396" s="58">
        <f>IFERROR(VLOOKUP(B396,'[1]bajada sap'!$B:$F,5,0),0)</f>
        <v>12690</v>
      </c>
      <c r="L396" s="58">
        <f t="shared" si="20"/>
        <v>11920</v>
      </c>
    </row>
    <row r="397" spans="1:13">
      <c r="A397" s="29">
        <f t="shared" si="21"/>
        <v>0</v>
      </c>
      <c r="B397" s="54">
        <v>50818949</v>
      </c>
      <c r="C397" s="55" t="s">
        <v>1381</v>
      </c>
      <c r="D397" s="56" t="s">
        <v>92</v>
      </c>
      <c r="E397" s="4">
        <v>12</v>
      </c>
      <c r="F397" s="4"/>
      <c r="G397" s="58">
        <v>0</v>
      </c>
      <c r="H397" s="58"/>
      <c r="I397" s="58"/>
      <c r="J397" s="58">
        <f t="shared" si="18"/>
        <v>0</v>
      </c>
      <c r="K397" s="58">
        <f>IFERROR(VLOOKUP(B397,'[1]bajada sap'!$B:$F,5,0),0)</f>
        <v>0</v>
      </c>
      <c r="L397" s="58">
        <f t="shared" si="20"/>
        <v>0</v>
      </c>
    </row>
    <row r="398" spans="1:13">
      <c r="A398" s="29">
        <f t="shared" si="21"/>
        <v>1</v>
      </c>
      <c r="B398" s="54">
        <v>50802401</v>
      </c>
      <c r="C398" s="55" t="s">
        <v>13</v>
      </c>
      <c r="D398" s="56" t="s">
        <v>92</v>
      </c>
      <c r="E398" s="4">
        <v>130</v>
      </c>
      <c r="F398" s="74"/>
      <c r="G398" s="79">
        <v>37963800</v>
      </c>
      <c r="H398" s="58"/>
      <c r="I398" s="65"/>
      <c r="J398" s="58">
        <f t="shared" si="18"/>
        <v>37963800</v>
      </c>
      <c r="K398" s="58">
        <f>IFERROR(VLOOKUP(B398,'[1]bajada sap'!$B:$F,5,0),0)</f>
        <v>37963800</v>
      </c>
      <c r="L398" s="58">
        <f t="shared" si="20"/>
        <v>0</v>
      </c>
      <c r="M398" t="s">
        <v>3109</v>
      </c>
    </row>
    <row r="399" spans="1:13">
      <c r="A399" s="29">
        <f t="shared" si="21"/>
        <v>0</v>
      </c>
      <c r="B399" s="54">
        <v>50812974</v>
      </c>
      <c r="C399" s="66" t="s">
        <v>822</v>
      </c>
      <c r="D399" s="56" t="s">
        <v>92</v>
      </c>
      <c r="E399" s="4"/>
      <c r="F399" s="74">
        <v>289800</v>
      </c>
      <c r="G399" s="58">
        <v>0</v>
      </c>
      <c r="H399" s="58"/>
      <c r="I399" s="58"/>
      <c r="J399" s="58">
        <f t="shared" si="18"/>
        <v>0</v>
      </c>
      <c r="K399" s="58">
        <f>IFERROR(VLOOKUP(B399,'[1]bajada sap'!$B:$F,5,0),0)</f>
        <v>0</v>
      </c>
      <c r="L399" s="58">
        <f t="shared" si="20"/>
        <v>0</v>
      </c>
    </row>
    <row r="400" spans="1:13">
      <c r="A400" s="29">
        <f t="shared" si="21"/>
        <v>0</v>
      </c>
      <c r="B400" s="54">
        <v>50842183</v>
      </c>
      <c r="C400" s="55" t="s">
        <v>2202</v>
      </c>
      <c r="D400" s="56" t="s">
        <v>92</v>
      </c>
      <c r="E400" s="4"/>
      <c r="F400" s="4"/>
      <c r="G400" s="58">
        <v>0</v>
      </c>
      <c r="H400" s="58"/>
      <c r="I400" s="58"/>
      <c r="J400" s="58">
        <f t="shared" si="18"/>
        <v>0</v>
      </c>
      <c r="K400" s="58">
        <f>IFERROR(VLOOKUP(B400,'[1]bajada sap'!$B:$F,5,0),0)</f>
        <v>0</v>
      </c>
      <c r="L400" s="58">
        <f t="shared" si="20"/>
        <v>0</v>
      </c>
    </row>
    <row r="401" spans="1:19">
      <c r="A401" s="29">
        <f t="shared" si="21"/>
        <v>1</v>
      </c>
      <c r="B401" s="54">
        <v>50837509</v>
      </c>
      <c r="C401" s="55" t="s">
        <v>14</v>
      </c>
      <c r="D401" s="56" t="s">
        <v>92</v>
      </c>
      <c r="E401" s="4"/>
      <c r="F401" s="4"/>
      <c r="G401" s="58">
        <v>12751200</v>
      </c>
      <c r="H401" s="58"/>
      <c r="I401" s="65"/>
      <c r="J401" s="58">
        <f t="shared" ref="J401:J425" si="22">+G401+H401-I401</f>
        <v>12751200</v>
      </c>
      <c r="K401" s="58">
        <f>IFERROR(VLOOKUP(B401,'[1]bajada sap'!$B:$F,5,0),0)</f>
        <v>12751200</v>
      </c>
      <c r="L401" s="58">
        <f t="shared" si="20"/>
        <v>0</v>
      </c>
    </row>
    <row r="402" spans="1:19">
      <c r="A402" s="29">
        <f t="shared" si="21"/>
        <v>1</v>
      </c>
      <c r="B402" s="54">
        <v>50449101</v>
      </c>
      <c r="C402" s="55" t="s">
        <v>15</v>
      </c>
      <c r="D402" s="56" t="s">
        <v>92</v>
      </c>
      <c r="E402" s="4">
        <f>16-4-3</f>
        <v>9</v>
      </c>
      <c r="F402" s="57">
        <v>289800</v>
      </c>
      <c r="G402" s="58">
        <v>15069600</v>
      </c>
      <c r="H402" s="58"/>
      <c r="I402" s="65"/>
      <c r="J402" s="58">
        <f t="shared" si="22"/>
        <v>15069600</v>
      </c>
      <c r="K402" s="58">
        <f>IFERROR(VLOOKUP(B402,'[1]bajada sap'!$B:$F,5,0),0)</f>
        <v>0</v>
      </c>
      <c r="L402" s="58">
        <f t="shared" si="20"/>
        <v>15069600</v>
      </c>
    </row>
    <row r="403" spans="1:19">
      <c r="A403" s="29">
        <f t="shared" si="21"/>
        <v>0</v>
      </c>
      <c r="B403" s="54">
        <v>40011081</v>
      </c>
      <c r="C403" s="55" t="s">
        <v>646</v>
      </c>
      <c r="D403" s="56" t="s">
        <v>80</v>
      </c>
      <c r="E403" s="4"/>
      <c r="F403" s="4"/>
      <c r="G403" s="58">
        <v>0</v>
      </c>
      <c r="H403" s="58"/>
      <c r="I403" s="58"/>
      <c r="J403" s="58">
        <f t="shared" si="22"/>
        <v>0</v>
      </c>
      <c r="K403" s="58">
        <f>IFERROR(VLOOKUP(B403,'[1]bajada sap'!$B:$F,5,0),0)</f>
        <v>0</v>
      </c>
      <c r="L403" s="58">
        <f t="shared" si="20"/>
        <v>0</v>
      </c>
    </row>
    <row r="404" spans="1:19">
      <c r="A404" s="29">
        <f t="shared" si="21"/>
        <v>1</v>
      </c>
      <c r="B404" s="54">
        <v>40008023</v>
      </c>
      <c r="C404" s="55" t="s">
        <v>2551</v>
      </c>
      <c r="D404" s="56" t="s">
        <v>80</v>
      </c>
      <c r="E404" s="4"/>
      <c r="F404" s="4"/>
      <c r="G404" s="58"/>
      <c r="H404" s="58"/>
      <c r="I404" s="58"/>
      <c r="J404" s="58">
        <f t="shared" si="22"/>
        <v>0</v>
      </c>
      <c r="K404" s="58">
        <f>IFERROR(VLOOKUP(B404,'[1]bajada sap'!$B:$F,5,0),0)</f>
        <v>900</v>
      </c>
      <c r="L404" s="58">
        <f t="shared" si="20"/>
        <v>-900</v>
      </c>
    </row>
    <row r="405" spans="1:19">
      <c r="A405" s="29">
        <f t="shared" si="21"/>
        <v>0</v>
      </c>
      <c r="B405" s="54">
        <v>50270855</v>
      </c>
      <c r="C405" s="55" t="s">
        <v>740</v>
      </c>
      <c r="D405" s="56" t="s">
        <v>92</v>
      </c>
      <c r="E405" s="4"/>
      <c r="F405" s="4">
        <v>264000</v>
      </c>
      <c r="G405" s="58">
        <v>0</v>
      </c>
      <c r="H405" s="58"/>
      <c r="I405" s="58"/>
      <c r="J405" s="58">
        <f t="shared" si="22"/>
        <v>0</v>
      </c>
      <c r="K405" s="58">
        <f>IFERROR(VLOOKUP(B405,'[1]bajada sap'!$B:$F,5,0),0)</f>
        <v>0</v>
      </c>
      <c r="L405" s="58">
        <f t="shared" si="20"/>
        <v>0</v>
      </c>
    </row>
    <row r="406" spans="1:19">
      <c r="A406" s="29">
        <f t="shared" si="21"/>
        <v>1</v>
      </c>
      <c r="B406" s="54">
        <v>40011659</v>
      </c>
      <c r="C406" s="55" t="s">
        <v>89</v>
      </c>
      <c r="D406" s="56" t="s">
        <v>80</v>
      </c>
      <c r="E406" s="4"/>
      <c r="F406" s="4">
        <v>360</v>
      </c>
      <c r="G406" s="58">
        <v>10352</v>
      </c>
      <c r="H406" s="58"/>
      <c r="I406" s="65"/>
      <c r="J406" s="58">
        <f t="shared" si="22"/>
        <v>10352</v>
      </c>
      <c r="K406" s="58">
        <f>IFERROR(VLOOKUP(B406,'[1]bajada sap'!$B:$F,5,0),0)</f>
        <v>10352</v>
      </c>
      <c r="L406" s="58">
        <f t="shared" si="20"/>
        <v>0</v>
      </c>
      <c r="M406" t="s">
        <v>3087</v>
      </c>
    </row>
    <row r="407" spans="1:19">
      <c r="A407" s="29">
        <f t="shared" si="21"/>
        <v>1</v>
      </c>
      <c r="B407" s="54">
        <v>50515224</v>
      </c>
      <c r="C407" s="55" t="s">
        <v>186</v>
      </c>
      <c r="D407" s="56" t="s">
        <v>92</v>
      </c>
      <c r="E407" s="4">
        <v>4</v>
      </c>
      <c r="F407" s="57">
        <v>264000</v>
      </c>
      <c r="G407" s="58">
        <v>1056000</v>
      </c>
      <c r="H407" s="58"/>
      <c r="I407" s="58"/>
      <c r="J407" s="58">
        <f t="shared" si="22"/>
        <v>1056000</v>
      </c>
      <c r="K407" s="58">
        <f>IFERROR(VLOOKUP(B407,'[1]bajada sap'!$B:$F,5,0),0)</f>
        <v>1056000</v>
      </c>
      <c r="L407" s="58">
        <f t="shared" si="20"/>
        <v>0</v>
      </c>
    </row>
    <row r="408" spans="1:19">
      <c r="A408" s="29">
        <f t="shared" si="21"/>
        <v>0</v>
      </c>
      <c r="B408" s="54">
        <v>40015070</v>
      </c>
      <c r="C408" s="55" t="s">
        <v>1978</v>
      </c>
      <c r="D408" s="56"/>
      <c r="E408" s="4"/>
      <c r="F408" s="4"/>
      <c r="G408" s="58">
        <v>0</v>
      </c>
      <c r="H408" s="58"/>
      <c r="I408" s="58"/>
      <c r="J408" s="58">
        <f t="shared" si="22"/>
        <v>0</v>
      </c>
      <c r="K408" s="58">
        <f>IFERROR(VLOOKUP(B408,'[1]bajada sap'!$B:$F,5,0),0)</f>
        <v>0</v>
      </c>
      <c r="L408" s="58">
        <f t="shared" si="20"/>
        <v>0</v>
      </c>
    </row>
    <row r="409" spans="1:19">
      <c r="A409" s="29">
        <f t="shared" si="21"/>
        <v>0</v>
      </c>
      <c r="B409" s="54">
        <v>40011661</v>
      </c>
      <c r="C409" s="55" t="s">
        <v>608</v>
      </c>
      <c r="D409" s="56" t="s">
        <v>80</v>
      </c>
      <c r="E409" s="4"/>
      <c r="F409" s="57">
        <v>450</v>
      </c>
      <c r="G409" s="58">
        <v>0</v>
      </c>
      <c r="H409" s="58"/>
      <c r="I409" s="58"/>
      <c r="J409" s="58">
        <f t="shared" si="22"/>
        <v>0</v>
      </c>
      <c r="K409" s="58">
        <f>IFERROR(VLOOKUP(B409,'[1]bajada sap'!$B:$F,5,0),0)</f>
        <v>0</v>
      </c>
      <c r="L409" s="58">
        <f t="shared" si="20"/>
        <v>0</v>
      </c>
    </row>
    <row r="410" spans="1:19">
      <c r="A410" s="29">
        <f t="shared" si="21"/>
        <v>0</v>
      </c>
      <c r="B410" s="54">
        <v>40011660</v>
      </c>
      <c r="C410" s="55" t="s">
        <v>528</v>
      </c>
      <c r="D410" s="56" t="s">
        <v>80</v>
      </c>
      <c r="E410" s="4"/>
      <c r="F410" s="57">
        <v>450</v>
      </c>
      <c r="G410" s="58"/>
      <c r="H410" s="58"/>
      <c r="I410" s="58"/>
      <c r="J410" s="58">
        <f t="shared" si="22"/>
        <v>0</v>
      </c>
      <c r="K410" s="58">
        <f>IFERROR(VLOOKUP(B410,'[1]bajada sap'!$B:$F,5,0),0)</f>
        <v>0</v>
      </c>
      <c r="L410" s="58">
        <f t="shared" si="20"/>
        <v>0</v>
      </c>
    </row>
    <row r="411" spans="1:19">
      <c r="A411" s="29">
        <f t="shared" si="21"/>
        <v>0</v>
      </c>
      <c r="B411" s="54">
        <v>50818964</v>
      </c>
      <c r="C411" s="55" t="s">
        <v>1279</v>
      </c>
      <c r="D411" s="56" t="s">
        <v>92</v>
      </c>
      <c r="E411" s="4"/>
      <c r="F411" s="4"/>
      <c r="G411" s="58">
        <v>0</v>
      </c>
      <c r="H411" s="58"/>
      <c r="I411" s="58"/>
      <c r="J411" s="58">
        <f t="shared" si="22"/>
        <v>0</v>
      </c>
      <c r="K411" s="58">
        <f>IFERROR(VLOOKUP(B411,'[1]bajada sap'!$B:$F,5,0),0)</f>
        <v>0</v>
      </c>
      <c r="L411" s="58">
        <f t="shared" si="20"/>
        <v>0</v>
      </c>
    </row>
    <row r="412" customHeight="1" spans="1:19">
      <c r="A412" s="29">
        <f t="shared" si="21"/>
        <v>0</v>
      </c>
      <c r="B412" s="54">
        <v>50829091</v>
      </c>
      <c r="C412" s="55" t="s">
        <v>1380</v>
      </c>
      <c r="D412" s="56" t="s">
        <v>92</v>
      </c>
      <c r="E412" s="4">
        <v>7</v>
      </c>
      <c r="F412" s="4"/>
      <c r="G412" s="58">
        <v>0</v>
      </c>
      <c r="H412" s="58"/>
      <c r="I412" s="58"/>
      <c r="J412" s="58">
        <f t="shared" si="22"/>
        <v>0</v>
      </c>
      <c r="K412" s="58">
        <f>IFERROR(VLOOKUP(B412,'[1]bajada sap'!$B:$F,5,0),0)</f>
        <v>0</v>
      </c>
      <c r="L412" s="58">
        <f t="shared" si="20"/>
        <v>0</v>
      </c>
      <c r="R412" s="34"/>
      <c r="S412" s="62"/>
    </row>
    <row r="413" spans="1:19">
      <c r="A413" s="29">
        <f t="shared" si="21"/>
        <v>0</v>
      </c>
      <c r="B413" s="54">
        <v>50232060</v>
      </c>
      <c r="C413" s="55" t="s">
        <v>361</v>
      </c>
      <c r="D413" s="56" t="s">
        <v>92</v>
      </c>
      <c r="E413" s="4">
        <v>9</v>
      </c>
      <c r="F413" s="57"/>
      <c r="G413" s="58">
        <v>0</v>
      </c>
      <c r="H413" s="58"/>
      <c r="I413" s="58"/>
      <c r="J413" s="58">
        <f t="shared" si="22"/>
        <v>0</v>
      </c>
      <c r="K413" s="58">
        <f>IFERROR(VLOOKUP(B413,'[1]bajada sap'!$B:$F,5,0),0)</f>
        <v>0</v>
      </c>
      <c r="L413" s="58">
        <f t="shared" si="20"/>
        <v>0</v>
      </c>
    </row>
    <row r="414" spans="1:19">
      <c r="A414" s="29">
        <f t="shared" si="21"/>
        <v>0</v>
      </c>
      <c r="B414" s="54">
        <v>40003932</v>
      </c>
      <c r="C414" s="55" t="s">
        <v>361</v>
      </c>
      <c r="D414" s="56" t="s">
        <v>80</v>
      </c>
      <c r="E414" s="4"/>
      <c r="F414" s="57">
        <v>441</v>
      </c>
      <c r="G414" s="58">
        <v>0</v>
      </c>
      <c r="H414" s="58"/>
      <c r="I414" s="58"/>
      <c r="J414" s="58">
        <f t="shared" si="22"/>
        <v>0</v>
      </c>
      <c r="K414" s="58">
        <f>IFERROR(VLOOKUP(B414,'[1]bajada sap'!$B:$F,5,0),0)</f>
        <v>0</v>
      </c>
      <c r="L414" s="58">
        <f t="shared" si="20"/>
        <v>0</v>
      </c>
    </row>
    <row r="415" spans="1:19">
      <c r="A415" s="29">
        <f t="shared" si="21"/>
        <v>1</v>
      </c>
      <c r="B415" s="54">
        <v>50509889</v>
      </c>
      <c r="C415" s="55" t="s">
        <v>671</v>
      </c>
      <c r="D415" s="56" t="s">
        <v>92</v>
      </c>
      <c r="E415" s="4"/>
      <c r="F415" s="4">
        <v>264000</v>
      </c>
      <c r="G415" s="58">
        <v>3960000</v>
      </c>
      <c r="H415" s="58"/>
      <c r="I415" s="65"/>
      <c r="J415" s="58">
        <f t="shared" si="22"/>
        <v>3960000</v>
      </c>
      <c r="K415" s="58">
        <f>IFERROR(VLOOKUP(B415,'[1]bajada sap'!$B:$F,5,0),0)</f>
        <v>4752000</v>
      </c>
      <c r="L415" s="58">
        <f t="shared" si="20"/>
        <v>-792000</v>
      </c>
    </row>
    <row r="416" spans="1:19">
      <c r="A416" s="29">
        <f t="shared" si="21"/>
        <v>1</v>
      </c>
      <c r="B416" s="54">
        <v>50142350</v>
      </c>
      <c r="C416" s="55" t="s">
        <v>212</v>
      </c>
      <c r="D416" s="56" t="s">
        <v>82</v>
      </c>
      <c r="E416" s="4"/>
      <c r="F416" s="57">
        <v>734.5</v>
      </c>
      <c r="G416" s="58">
        <v>5386.5</v>
      </c>
      <c r="H416" s="68"/>
      <c r="I416" s="58"/>
      <c r="J416" s="58">
        <f t="shared" si="22"/>
        <v>5386.5</v>
      </c>
      <c r="K416" s="58">
        <f>IFERROR(VLOOKUP(B416,'[1]bajada sap'!$B:$F,5,0),0)</f>
        <v>5386.5</v>
      </c>
      <c r="L416" s="58">
        <f t="shared" si="20"/>
        <v>0</v>
      </c>
      <c r="M416" t="s">
        <v>3087</v>
      </c>
    </row>
    <row r="417" spans="1:12">
      <c r="A417" s="29">
        <f t="shared" si="21"/>
        <v>1</v>
      </c>
      <c r="B417" s="54">
        <v>50142327</v>
      </c>
      <c r="C417" s="69" t="s">
        <v>256</v>
      </c>
      <c r="D417" s="56" t="s">
        <v>82</v>
      </c>
      <c r="E417" s="4">
        <v>153</v>
      </c>
      <c r="F417" s="57">
        <v>681</v>
      </c>
      <c r="G417" s="58">
        <v>49100.1</v>
      </c>
      <c r="H417" s="58"/>
      <c r="I417" s="58"/>
      <c r="J417" s="58">
        <f t="shared" si="22"/>
        <v>49100.1</v>
      </c>
      <c r="K417" s="58">
        <f>IFERROR(VLOOKUP(B417,'[1]bajada sap'!$B:$F,5,0),0)</f>
        <v>30032.1</v>
      </c>
      <c r="L417" s="58">
        <f t="shared" ref="L417:L422" si="23">J417-K417</f>
        <v>19068</v>
      </c>
    </row>
    <row r="418" spans="1:12">
      <c r="A418" s="29">
        <f t="shared" si="21"/>
        <v>1</v>
      </c>
      <c r="B418" s="54">
        <v>50142334</v>
      </c>
      <c r="C418" s="69" t="s">
        <v>257</v>
      </c>
      <c r="D418" s="56" t="s">
        <v>82</v>
      </c>
      <c r="E418" s="4">
        <v>143</v>
      </c>
      <c r="F418" s="57">
        <v>681</v>
      </c>
      <c r="G418" s="58">
        <v>56863.5</v>
      </c>
      <c r="H418" s="58"/>
      <c r="I418" s="58"/>
      <c r="J418" s="58">
        <f t="shared" si="22"/>
        <v>56863.5</v>
      </c>
      <c r="K418" s="58">
        <f>IFERROR(VLOOKUP(B418,'[1]bajada sap'!$B:$F,5,0),0)</f>
        <v>37795.5</v>
      </c>
      <c r="L418" s="58">
        <f t="shared" si="23"/>
        <v>19068</v>
      </c>
    </row>
    <row r="419" spans="1:12">
      <c r="A419" s="29">
        <f t="shared" si="21"/>
        <v>1</v>
      </c>
      <c r="B419" s="54">
        <v>50145012</v>
      </c>
      <c r="C419" s="55" t="s">
        <v>504</v>
      </c>
      <c r="D419" s="56" t="s">
        <v>505</v>
      </c>
      <c r="E419" s="4"/>
      <c r="F419" s="57"/>
      <c r="G419" s="58">
        <v>30</v>
      </c>
      <c r="H419" s="58"/>
      <c r="I419" s="58"/>
      <c r="J419" s="58">
        <f t="shared" si="22"/>
        <v>30</v>
      </c>
      <c r="K419" s="58">
        <f>IFERROR(VLOOKUP(B419,'[1]bajada sap'!$B:$F,5,0),0)</f>
        <v>30</v>
      </c>
      <c r="L419" s="58">
        <f t="shared" si="23"/>
        <v>0</v>
      </c>
    </row>
    <row r="420" spans="1:12">
      <c r="A420" s="29">
        <f t="shared" si="21"/>
        <v>0</v>
      </c>
      <c r="B420" s="54">
        <v>50858259</v>
      </c>
      <c r="C420" s="55" t="s">
        <v>2724</v>
      </c>
      <c r="D420" s="56" t="s">
        <v>505</v>
      </c>
      <c r="E420" s="4"/>
      <c r="F420" s="4"/>
      <c r="G420" s="58"/>
      <c r="H420" s="58"/>
      <c r="I420" s="58"/>
      <c r="J420" s="58">
        <f t="shared" si="22"/>
        <v>0</v>
      </c>
      <c r="K420" s="58">
        <f>IFERROR(VLOOKUP(B420,'[1]bajada sap'!$B:$F,5,0),0)</f>
        <v>0</v>
      </c>
      <c r="L420" s="58">
        <f t="shared" si="23"/>
        <v>0</v>
      </c>
    </row>
    <row r="421" spans="1:12">
      <c r="A421" s="29">
        <f t="shared" si="21"/>
        <v>1</v>
      </c>
      <c r="B421" s="54">
        <v>50392046</v>
      </c>
      <c r="C421" s="55" t="s">
        <v>509</v>
      </c>
      <c r="D421" s="56" t="s">
        <v>505</v>
      </c>
      <c r="E421" s="4"/>
      <c r="F421" s="57"/>
      <c r="G421" s="58">
        <v>36</v>
      </c>
      <c r="H421" s="58"/>
      <c r="I421" s="58"/>
      <c r="J421" s="58">
        <f t="shared" si="22"/>
        <v>36</v>
      </c>
      <c r="K421" s="58">
        <f>IFERROR(VLOOKUP(B421,'[1]bajada sap'!$B:$F,5,0),0)</f>
        <v>36</v>
      </c>
      <c r="L421" s="58">
        <f t="shared" si="23"/>
        <v>0</v>
      </c>
    </row>
    <row r="422" spans="1:12">
      <c r="A422" s="29">
        <f t="shared" si="21"/>
        <v>0</v>
      </c>
      <c r="B422" s="54">
        <v>50772940</v>
      </c>
      <c r="C422" s="55" t="s">
        <v>2155</v>
      </c>
      <c r="D422" s="56"/>
      <c r="E422" s="4"/>
      <c r="F422" s="4"/>
      <c r="G422" s="58">
        <v>0</v>
      </c>
      <c r="H422" s="58"/>
      <c r="I422" s="58"/>
      <c r="J422" s="58">
        <f t="shared" si="22"/>
        <v>0</v>
      </c>
      <c r="K422" s="58">
        <f>IFERROR(VLOOKUP(B422,'[1]bajada sap'!$B:$F,5,0),0)</f>
        <v>0</v>
      </c>
      <c r="L422" s="58">
        <f t="shared" si="23"/>
        <v>0</v>
      </c>
    </row>
    <row r="423" spans="1:12">
      <c r="A423" s="29">
        <f t="shared" si="21"/>
        <v>1</v>
      </c>
      <c r="B423" s="54">
        <v>50858408</v>
      </c>
      <c r="C423" s="55" t="s">
        <v>2795</v>
      </c>
      <c r="D423" s="56" t="s">
        <v>92</v>
      </c>
      <c r="E423" s="4"/>
      <c r="F423" s="4"/>
      <c r="G423" s="58">
        <v>4750000</v>
      </c>
      <c r="H423" s="58"/>
      <c r="I423" s="58"/>
      <c r="J423" s="58">
        <f t="shared" si="22"/>
        <v>4750000</v>
      </c>
      <c r="K423" s="58">
        <f>IFERROR(VLOOKUP(B423,'[1]bajada sap'!$B:$F,5,0),0)</f>
        <v>0</v>
      </c>
      <c r="L423" s="58"/>
    </row>
    <row r="424" spans="1:12">
      <c r="A424" s="29">
        <f t="shared" si="21"/>
        <v>1</v>
      </c>
      <c r="B424" s="54">
        <v>50858407</v>
      </c>
      <c r="C424" s="55" t="s">
        <v>2798</v>
      </c>
      <c r="D424" s="56" t="s">
        <v>92</v>
      </c>
      <c r="E424" s="4"/>
      <c r="F424" s="4"/>
      <c r="G424" s="58">
        <v>5135000</v>
      </c>
      <c r="H424" s="58"/>
      <c r="I424" s="58"/>
      <c r="J424" s="58">
        <f t="shared" si="22"/>
        <v>5135000</v>
      </c>
      <c r="K424" s="58">
        <f>IFERROR(VLOOKUP(B424,'[1]bajada sap'!$B:$F,5,0),0)</f>
        <v>0</v>
      </c>
      <c r="L424" s="58"/>
    </row>
    <row r="425" spans="1:12">
      <c r="A425" s="29">
        <f t="shared" si="21"/>
        <v>1</v>
      </c>
      <c r="B425" s="54">
        <v>50373636</v>
      </c>
      <c r="C425" s="55" t="s">
        <v>2813</v>
      </c>
      <c r="D425" s="56"/>
      <c r="E425" s="4"/>
      <c r="F425" s="4"/>
      <c r="G425" s="58"/>
      <c r="H425" s="58">
        <v>75</v>
      </c>
      <c r="I425" s="58"/>
      <c r="J425" s="58">
        <f t="shared" si="22"/>
        <v>75</v>
      </c>
      <c r="K425" s="58">
        <f>IFERROR(VLOOKUP(B425,'[1]bajada sap'!$B:$F,5,0),0)</f>
        <v>0</v>
      </c>
      <c r="L425" s="58"/>
    </row>
    <row r="426" spans="1:12">
      <c r="A426" s="29">
        <f t="shared" si="21"/>
        <v>0</v>
      </c>
      <c r="B426" s="54"/>
      <c r="C426" s="55"/>
      <c r="D426" s="56"/>
      <c r="E426" s="4"/>
      <c r="F426" s="4"/>
      <c r="G426" s="58"/>
      <c r="H426" s="58"/>
      <c r="I426" s="58"/>
      <c r="J426" s="58"/>
      <c r="K426" s="58">
        <f>IFERROR(VLOOKUP(B426,'[1]bajada sap'!$B:$F,5,0),0)</f>
        <v>0</v>
      </c>
      <c r="L426" s="58"/>
    </row>
    <row r="427" spans="1:12">
      <c r="A427" s="29">
        <f t="shared" si="21"/>
        <v>0</v>
      </c>
      <c r="B427" s="54"/>
      <c r="C427" s="55"/>
      <c r="D427" s="56"/>
      <c r="E427" s="4"/>
      <c r="F427" s="4"/>
      <c r="G427" s="58"/>
      <c r="H427" s="58"/>
      <c r="I427" s="58"/>
      <c r="J427" s="58"/>
      <c r="K427" s="58">
        <f>IFERROR(VLOOKUP(B427,'[1]bajada sap'!$B:$F,5,0),0)</f>
        <v>0</v>
      </c>
      <c r="L427" s="58"/>
    </row>
    <row r="428" spans="1:12">
      <c r="A428" s="29">
        <f t="shared" si="21"/>
        <v>0</v>
      </c>
      <c r="B428" s="54"/>
      <c r="C428" s="55"/>
      <c r="D428" s="56"/>
      <c r="E428" s="4"/>
      <c r="F428" s="4"/>
      <c r="G428" s="58"/>
      <c r="H428" s="58"/>
      <c r="I428" s="58"/>
      <c r="J428" s="58"/>
      <c r="K428" s="58">
        <f>IFERROR(VLOOKUP(B428,'[1]bajada sap'!$B:$F,5,0),0)</f>
        <v>0</v>
      </c>
      <c r="L428" s="58"/>
    </row>
    <row r="429" spans="1:12">
      <c r="A429" s="29">
        <f t="shared" si="21"/>
        <v>0</v>
      </c>
      <c r="B429" s="54"/>
      <c r="C429" s="55"/>
      <c r="D429" s="56"/>
      <c r="E429" s="4"/>
      <c r="F429" s="4"/>
      <c r="G429" s="58"/>
      <c r="H429" s="58"/>
      <c r="I429" s="58"/>
      <c r="J429" s="58"/>
      <c r="K429" s="58">
        <f>IFERROR(VLOOKUP(B429,'[1]bajada sap'!$B:$F,5,0),0)</f>
        <v>0</v>
      </c>
      <c r="L429" s="58"/>
    </row>
    <row r="430" spans="1:12">
      <c r="A430" s="29">
        <f t="shared" si="21"/>
        <v>0</v>
      </c>
      <c r="B430" s="54"/>
      <c r="C430" s="55"/>
      <c r="D430" s="56"/>
      <c r="E430" s="4"/>
      <c r="F430" s="4"/>
      <c r="G430" s="58"/>
      <c r="H430" s="58"/>
      <c r="I430" s="58"/>
      <c r="J430" s="58"/>
      <c r="K430" s="58">
        <f>IFERROR(VLOOKUP(B430,'[1]bajada sap'!$B:$F,5,0),0)</f>
        <v>0</v>
      </c>
      <c r="L430" s="58"/>
    </row>
    <row r="431" spans="1:12">
      <c r="A431" s="29">
        <f t="shared" si="21"/>
        <v>0</v>
      </c>
      <c r="B431" s="54"/>
      <c r="C431" s="55"/>
      <c r="D431" s="56"/>
      <c r="E431" s="4"/>
      <c r="F431" s="4"/>
      <c r="G431" s="58"/>
      <c r="H431" s="58"/>
      <c r="I431" s="58"/>
      <c r="J431" s="58"/>
      <c r="K431" s="58">
        <f>IFERROR(VLOOKUP(B431,'[1]bajada sap'!$B:$F,5,0),0)</f>
        <v>0</v>
      </c>
      <c r="L431" s="58"/>
    </row>
    <row r="432" spans="1:12">
      <c r="A432" s="29">
        <f t="shared" si="21"/>
        <v>0</v>
      </c>
      <c r="B432" s="54"/>
      <c r="C432" s="55"/>
      <c r="D432" s="56"/>
      <c r="E432" s="4"/>
      <c r="F432" s="4"/>
      <c r="G432" s="58"/>
      <c r="H432" s="58"/>
      <c r="I432" s="58"/>
      <c r="J432" s="58"/>
      <c r="K432" s="58">
        <f>IFERROR(VLOOKUP(B432,'[1]bajada sap'!$B:$F,5,0),0)</f>
        <v>0</v>
      </c>
      <c r="L432" s="58"/>
    </row>
    <row r="433" spans="1:12">
      <c r="A433" s="29">
        <f t="shared" si="21"/>
        <v>0</v>
      </c>
      <c r="B433" s="54"/>
      <c r="C433" s="55"/>
      <c r="D433" s="56"/>
      <c r="E433" s="4"/>
      <c r="F433" s="4"/>
      <c r="G433" s="58"/>
      <c r="H433" s="58"/>
      <c r="I433" s="58"/>
      <c r="J433" s="58"/>
      <c r="K433" s="58">
        <f>IFERROR(VLOOKUP(B433,'[1]bajada sap'!$B:$F,5,0),0)</f>
        <v>0</v>
      </c>
      <c r="L433" s="58"/>
    </row>
    <row r="434" spans="1:12">
      <c r="A434" s="29">
        <f t="shared" si="21"/>
        <v>0</v>
      </c>
      <c r="B434" s="54"/>
      <c r="C434" s="55"/>
      <c r="D434" s="56"/>
      <c r="E434" s="4"/>
      <c r="F434" s="4"/>
      <c r="G434" s="58"/>
      <c r="H434" s="58"/>
      <c r="I434" s="58"/>
      <c r="J434" s="58"/>
      <c r="K434" s="58">
        <f>IFERROR(VLOOKUP(B434,'[1]bajada sap'!$B:$F,5,0),0)</f>
        <v>0</v>
      </c>
      <c r="L434" s="58"/>
    </row>
    <row r="435" spans="1:12">
      <c r="A435" s="29">
        <f t="shared" si="21"/>
        <v>0</v>
      </c>
      <c r="B435" s="54"/>
      <c r="C435" s="55"/>
      <c r="D435" s="56"/>
      <c r="E435" s="4"/>
      <c r="F435" s="4"/>
      <c r="G435" s="58"/>
      <c r="H435" s="58"/>
      <c r="I435" s="58"/>
      <c r="J435" s="58"/>
      <c r="K435" s="58">
        <f>IFERROR(VLOOKUP(B435,'[1]bajada sap'!$B:$F,5,0),0)</f>
        <v>0</v>
      </c>
      <c r="L435" s="58"/>
    </row>
    <row r="436" spans="1:12">
      <c r="A436" s="29">
        <f t="shared" si="21"/>
        <v>0</v>
      </c>
      <c r="B436" s="54"/>
      <c r="C436" s="55"/>
      <c r="D436" s="56"/>
      <c r="E436" s="4"/>
      <c r="F436" s="4"/>
      <c r="G436" s="58"/>
      <c r="H436" s="58"/>
      <c r="I436" s="58"/>
      <c r="J436" s="58"/>
      <c r="K436" s="58">
        <f>IFERROR(VLOOKUP(B436,'[1]bajada sap'!$B:$F,5,0),0)</f>
        <v>0</v>
      </c>
      <c r="L436" s="58"/>
    </row>
    <row r="437" spans="1:12">
      <c r="A437" s="29">
        <f t="shared" si="21"/>
        <v>0</v>
      </c>
    </row>
    <row r="438" spans="1:12">
      <c r="A438" s="29">
        <f t="shared" si="21"/>
        <v>0</v>
      </c>
    </row>
    <row r="439" spans="1:12">
      <c r="A439" s="29">
        <f t="shared" si="21"/>
        <v>0</v>
      </c>
    </row>
    <row r="440" spans="1:12">
      <c r="A440" s="29">
        <f t="shared" si="21"/>
        <v>0</v>
      </c>
    </row>
    <row r="441" spans="1:12">
      <c r="A441" s="29">
        <f t="shared" si="21"/>
        <v>0</v>
      </c>
    </row>
    <row r="442" spans="1:12">
      <c r="A442" s="29">
        <f t="shared" si="21"/>
        <v>0</v>
      </c>
    </row>
    <row r="443" spans="1:12">
      <c r="A443" s="29">
        <f t="shared" si="21"/>
        <v>0</v>
      </c>
    </row>
    <row r="444" spans="1:12">
      <c r="A444" s="29">
        <f t="shared" si="21"/>
        <v>0</v>
      </c>
    </row>
    <row r="445" spans="1:12">
      <c r="A445" s="29">
        <f t="shared" si="21"/>
        <v>0</v>
      </c>
    </row>
    <row r="446" spans="1:12">
      <c r="A446" s="29">
        <f t="shared" si="21"/>
        <v>0</v>
      </c>
    </row>
    <row r="447" spans="1:12">
      <c r="A447" s="29">
        <f t="shared" si="21"/>
        <v>0</v>
      </c>
    </row>
    <row r="448" spans="1:12">
      <c r="A448" s="29">
        <f t="shared" si="21"/>
        <v>0</v>
      </c>
    </row>
    <row r="449" spans="1:1">
      <c r="A449" s="29">
        <f t="shared" si="21"/>
        <v>0</v>
      </c>
    </row>
    <row r="450" spans="1:1">
      <c r="A450" s="29">
        <f t="shared" si="21"/>
        <v>0</v>
      </c>
    </row>
    <row r="451" spans="1:1">
      <c r="A451" s="29">
        <f t="shared" si="21"/>
        <v>0</v>
      </c>
    </row>
    <row r="452" spans="1:1">
      <c r="A452" s="29">
        <f t="shared" si="21"/>
        <v>0</v>
      </c>
    </row>
    <row r="453" spans="1:1">
      <c r="A453" s="29">
        <f t="shared" si="21"/>
        <v>0</v>
      </c>
    </row>
    <row r="454" spans="1:1">
      <c r="A454" s="29">
        <f t="shared" si="21"/>
        <v>0</v>
      </c>
    </row>
    <row r="455" spans="1:1">
      <c r="A455" s="29">
        <f t="shared" si="21"/>
        <v>0</v>
      </c>
    </row>
    <row r="456" spans="1:1">
      <c r="A456" s="29">
        <f t="shared" ref="A456:A519" si="24">+IF(OR(G456&gt;0,J456&gt;0,K456&gt;0),1,0)</f>
        <v>0</v>
      </c>
    </row>
    <row r="457" spans="1:1">
      <c r="A457" s="29">
        <f t="shared" si="24"/>
        <v>0</v>
      </c>
    </row>
    <row r="458" spans="1:1">
      <c r="A458" s="29">
        <f t="shared" si="24"/>
        <v>0</v>
      </c>
    </row>
    <row r="459" spans="1:1">
      <c r="A459" s="29">
        <f t="shared" si="24"/>
        <v>0</v>
      </c>
    </row>
    <row r="460" spans="1:1">
      <c r="A460" s="29">
        <f t="shared" si="24"/>
        <v>0</v>
      </c>
    </row>
    <row r="461" spans="1:1">
      <c r="A461" s="29">
        <f t="shared" si="24"/>
        <v>0</v>
      </c>
    </row>
    <row r="462" spans="1:1">
      <c r="A462" s="29">
        <f t="shared" si="24"/>
        <v>0</v>
      </c>
    </row>
    <row r="463" spans="1:1">
      <c r="A463" s="29">
        <f t="shared" si="24"/>
        <v>0</v>
      </c>
    </row>
    <row r="464" spans="1:1">
      <c r="A464" s="29">
        <f t="shared" si="24"/>
        <v>0</v>
      </c>
    </row>
    <row r="465" spans="1:1">
      <c r="A465" s="29">
        <f t="shared" si="24"/>
        <v>0</v>
      </c>
    </row>
    <row r="466" spans="1:1">
      <c r="A466" s="29">
        <f t="shared" si="24"/>
        <v>0</v>
      </c>
    </row>
    <row r="467" spans="1:1">
      <c r="A467" s="29">
        <f t="shared" si="24"/>
        <v>0</v>
      </c>
    </row>
    <row r="468" spans="1:1">
      <c r="A468" s="29">
        <f t="shared" si="24"/>
        <v>0</v>
      </c>
    </row>
    <row r="469" spans="1:1">
      <c r="A469" s="29">
        <f t="shared" si="24"/>
        <v>0</v>
      </c>
    </row>
    <row r="470" spans="1:1">
      <c r="A470" s="29">
        <f t="shared" si="24"/>
        <v>0</v>
      </c>
    </row>
    <row r="471" spans="1:1">
      <c r="A471" s="29">
        <f t="shared" si="24"/>
        <v>0</v>
      </c>
    </row>
    <row r="472" spans="1:1">
      <c r="A472" s="29">
        <f t="shared" si="24"/>
        <v>0</v>
      </c>
    </row>
    <row r="473" spans="1:1">
      <c r="A473" s="29">
        <f t="shared" si="24"/>
        <v>0</v>
      </c>
    </row>
    <row r="474" spans="1:1">
      <c r="A474" s="29">
        <f t="shared" si="24"/>
        <v>0</v>
      </c>
    </row>
    <row r="475" spans="1:1">
      <c r="A475" s="29">
        <f t="shared" si="24"/>
        <v>0</v>
      </c>
    </row>
    <row r="476" spans="1:1">
      <c r="A476" s="29">
        <f t="shared" si="24"/>
        <v>0</v>
      </c>
    </row>
    <row r="477" spans="1:1">
      <c r="A477" s="29">
        <f t="shared" si="24"/>
        <v>0</v>
      </c>
    </row>
    <row r="478" spans="1:1">
      <c r="A478" s="29">
        <f t="shared" si="24"/>
        <v>0</v>
      </c>
    </row>
    <row r="479" spans="1:1">
      <c r="A479" s="29">
        <f t="shared" si="24"/>
        <v>0</v>
      </c>
    </row>
    <row r="480" spans="1:1">
      <c r="A480" s="29">
        <f t="shared" si="24"/>
        <v>0</v>
      </c>
    </row>
    <row r="481" spans="1:1">
      <c r="A481" s="29">
        <f t="shared" si="24"/>
        <v>0</v>
      </c>
    </row>
    <row r="482" spans="1:1">
      <c r="A482" s="29">
        <f t="shared" si="24"/>
        <v>0</v>
      </c>
    </row>
    <row r="483" spans="1:1">
      <c r="A483" s="29">
        <f t="shared" si="24"/>
        <v>0</v>
      </c>
    </row>
    <row r="484" spans="1:1">
      <c r="A484" s="29">
        <f t="shared" si="24"/>
        <v>0</v>
      </c>
    </row>
    <row r="485" spans="1:1">
      <c r="A485" s="29">
        <f t="shared" si="24"/>
        <v>0</v>
      </c>
    </row>
    <row r="486" spans="1:1">
      <c r="A486" s="29">
        <f t="shared" si="24"/>
        <v>0</v>
      </c>
    </row>
    <row r="487" spans="1:1">
      <c r="A487" s="29">
        <f t="shared" si="24"/>
        <v>0</v>
      </c>
    </row>
    <row r="488" spans="1:1">
      <c r="A488" s="29">
        <f t="shared" si="24"/>
        <v>0</v>
      </c>
    </row>
    <row r="489" spans="1:1">
      <c r="A489" s="29">
        <f t="shared" si="24"/>
        <v>0</v>
      </c>
    </row>
    <row r="490" spans="1:1">
      <c r="A490" s="29">
        <f t="shared" si="24"/>
        <v>0</v>
      </c>
    </row>
    <row r="491" spans="1:1">
      <c r="A491" s="29">
        <f t="shared" si="24"/>
        <v>0</v>
      </c>
    </row>
    <row r="492" spans="1:1">
      <c r="A492" s="29">
        <f t="shared" si="24"/>
        <v>0</v>
      </c>
    </row>
    <row r="493" spans="1:1">
      <c r="A493" s="29">
        <f t="shared" si="24"/>
        <v>0</v>
      </c>
    </row>
    <row r="494" spans="1:1">
      <c r="A494" s="29">
        <f t="shared" si="24"/>
        <v>0</v>
      </c>
    </row>
    <row r="495" spans="1:1">
      <c r="A495" s="29">
        <f t="shared" si="24"/>
        <v>0</v>
      </c>
    </row>
    <row r="496" spans="1:1">
      <c r="A496" s="29">
        <f t="shared" si="24"/>
        <v>0</v>
      </c>
    </row>
    <row r="497" spans="1:1">
      <c r="A497" s="29">
        <f t="shared" si="24"/>
        <v>0</v>
      </c>
    </row>
    <row r="498" spans="1:1">
      <c r="A498" s="29">
        <f t="shared" si="24"/>
        <v>0</v>
      </c>
    </row>
    <row r="499" spans="1:1">
      <c r="A499" s="29">
        <f t="shared" si="24"/>
        <v>0</v>
      </c>
    </row>
    <row r="500" spans="1:1">
      <c r="A500" s="29">
        <f t="shared" si="24"/>
        <v>0</v>
      </c>
    </row>
    <row r="501" spans="1:1">
      <c r="A501" s="29">
        <f t="shared" si="24"/>
        <v>0</v>
      </c>
    </row>
    <row r="502" spans="1:1">
      <c r="A502" s="29">
        <f t="shared" si="24"/>
        <v>0</v>
      </c>
    </row>
    <row r="503" spans="1:1">
      <c r="A503" s="29">
        <f t="shared" si="24"/>
        <v>0</v>
      </c>
    </row>
    <row r="504" spans="1:1">
      <c r="A504" s="29">
        <f t="shared" si="24"/>
        <v>0</v>
      </c>
    </row>
    <row r="505" spans="1:1">
      <c r="A505" s="29">
        <f t="shared" si="24"/>
        <v>0</v>
      </c>
    </row>
    <row r="506" spans="1:1">
      <c r="A506" s="29">
        <f t="shared" si="24"/>
        <v>0</v>
      </c>
    </row>
    <row r="507" spans="1:1">
      <c r="A507" s="29">
        <f t="shared" si="24"/>
        <v>0</v>
      </c>
    </row>
    <row r="508" spans="1:1">
      <c r="A508" s="29">
        <f t="shared" si="24"/>
        <v>0</v>
      </c>
    </row>
    <row r="509" spans="1:1">
      <c r="A509" s="29">
        <f t="shared" si="24"/>
        <v>0</v>
      </c>
    </row>
    <row r="510" spans="1:1">
      <c r="A510" s="29">
        <f t="shared" si="24"/>
        <v>0</v>
      </c>
    </row>
    <row r="511" spans="1:1">
      <c r="A511" s="29">
        <f t="shared" si="24"/>
        <v>0</v>
      </c>
    </row>
    <row r="512" spans="1:1">
      <c r="A512" s="29">
        <f t="shared" si="24"/>
        <v>0</v>
      </c>
    </row>
    <row r="513" spans="1:1">
      <c r="A513" s="29">
        <f t="shared" si="24"/>
        <v>0</v>
      </c>
    </row>
    <row r="514" spans="1:1">
      <c r="A514" s="29">
        <f t="shared" si="24"/>
        <v>0</v>
      </c>
    </row>
    <row r="515" spans="1:1">
      <c r="A515" s="29">
        <f t="shared" si="24"/>
        <v>0</v>
      </c>
    </row>
    <row r="516" spans="1:1">
      <c r="A516" s="29">
        <f t="shared" si="24"/>
        <v>0</v>
      </c>
    </row>
    <row r="517" spans="1:1">
      <c r="A517" s="29">
        <f t="shared" si="24"/>
        <v>0</v>
      </c>
    </row>
    <row r="518" spans="1:1">
      <c r="A518" s="29">
        <f t="shared" si="24"/>
        <v>0</v>
      </c>
    </row>
    <row r="519" spans="1:1">
      <c r="A519" s="29">
        <f t="shared" si="24"/>
        <v>0</v>
      </c>
    </row>
    <row r="520" spans="1:1">
      <c r="A520" s="29">
        <f t="shared" ref="A520:A583" si="25">+IF(OR(G520&gt;0,J520&gt;0,K520&gt;0),1,0)</f>
        <v>0</v>
      </c>
    </row>
    <row r="521" spans="1:1">
      <c r="A521" s="29">
        <f t="shared" si="25"/>
        <v>0</v>
      </c>
    </row>
    <row r="522" spans="1:1">
      <c r="A522" s="29">
        <f t="shared" si="25"/>
        <v>0</v>
      </c>
    </row>
    <row r="523" spans="1:1">
      <c r="A523" s="29">
        <f t="shared" si="25"/>
        <v>0</v>
      </c>
    </row>
    <row r="524" spans="1:1">
      <c r="A524" s="29">
        <f t="shared" si="25"/>
        <v>0</v>
      </c>
    </row>
    <row r="525" spans="1:1">
      <c r="A525" s="29">
        <f t="shared" si="25"/>
        <v>0</v>
      </c>
    </row>
    <row r="526" spans="1:1">
      <c r="A526" s="29">
        <f t="shared" si="25"/>
        <v>0</v>
      </c>
    </row>
    <row r="527" spans="1:1">
      <c r="A527" s="29">
        <f t="shared" si="25"/>
        <v>0</v>
      </c>
    </row>
    <row r="528" spans="1:1">
      <c r="A528" s="29">
        <f t="shared" si="25"/>
        <v>0</v>
      </c>
    </row>
    <row r="529" spans="1:1">
      <c r="A529" s="29">
        <f t="shared" si="25"/>
        <v>0</v>
      </c>
    </row>
    <row r="530" spans="1:1">
      <c r="A530" s="29">
        <f t="shared" si="25"/>
        <v>0</v>
      </c>
    </row>
    <row r="531" spans="1:1">
      <c r="A531" s="29">
        <f t="shared" si="25"/>
        <v>0</v>
      </c>
    </row>
    <row r="532" spans="1:1">
      <c r="A532" s="29">
        <f t="shared" si="25"/>
        <v>0</v>
      </c>
    </row>
    <row r="533" spans="1:1">
      <c r="A533" s="29">
        <f t="shared" si="25"/>
        <v>0</v>
      </c>
    </row>
    <row r="534" spans="1:1">
      <c r="A534" s="29">
        <f t="shared" si="25"/>
        <v>0</v>
      </c>
    </row>
    <row r="535" spans="1:1">
      <c r="A535" s="29">
        <f t="shared" si="25"/>
        <v>0</v>
      </c>
    </row>
    <row r="536" spans="1:1">
      <c r="A536" s="29">
        <f t="shared" si="25"/>
        <v>0</v>
      </c>
    </row>
    <row r="537" spans="1:1">
      <c r="A537" s="29">
        <f t="shared" si="25"/>
        <v>0</v>
      </c>
    </row>
    <row r="538" spans="1:1">
      <c r="A538" s="29">
        <f t="shared" si="25"/>
        <v>0</v>
      </c>
    </row>
    <row r="539" spans="1:1">
      <c r="A539" s="29">
        <f t="shared" si="25"/>
        <v>0</v>
      </c>
    </row>
    <row r="540" spans="1:1">
      <c r="A540" s="29">
        <f t="shared" si="25"/>
        <v>0</v>
      </c>
    </row>
    <row r="541" spans="1:1">
      <c r="A541" s="29">
        <f t="shared" si="25"/>
        <v>0</v>
      </c>
    </row>
    <row r="542" spans="1:1">
      <c r="A542" s="29">
        <f t="shared" si="25"/>
        <v>0</v>
      </c>
    </row>
    <row r="543" spans="1:1">
      <c r="A543" s="29">
        <f t="shared" si="25"/>
        <v>0</v>
      </c>
    </row>
    <row r="544" spans="1:1">
      <c r="A544" s="29">
        <f t="shared" si="25"/>
        <v>0</v>
      </c>
    </row>
    <row r="545" spans="1:1">
      <c r="A545" s="29">
        <f t="shared" si="25"/>
        <v>0</v>
      </c>
    </row>
    <row r="546" spans="1:1">
      <c r="A546" s="29">
        <f t="shared" si="25"/>
        <v>0</v>
      </c>
    </row>
    <row r="547" spans="1:1">
      <c r="A547" s="29">
        <f t="shared" si="25"/>
        <v>0</v>
      </c>
    </row>
    <row r="548" spans="1:1">
      <c r="A548" s="29">
        <f t="shared" si="25"/>
        <v>0</v>
      </c>
    </row>
    <row r="549" spans="1:1">
      <c r="A549" s="29">
        <f t="shared" si="25"/>
        <v>0</v>
      </c>
    </row>
    <row r="550" spans="1:1">
      <c r="A550" s="29">
        <f t="shared" si="25"/>
        <v>0</v>
      </c>
    </row>
    <row r="551" spans="1:1">
      <c r="A551" s="29">
        <f t="shared" si="25"/>
        <v>0</v>
      </c>
    </row>
    <row r="552" spans="1:1">
      <c r="A552" s="29">
        <f t="shared" si="25"/>
        <v>0</v>
      </c>
    </row>
    <row r="553" spans="1:1">
      <c r="A553" s="29">
        <f t="shared" si="25"/>
        <v>0</v>
      </c>
    </row>
    <row r="554" spans="1:1">
      <c r="A554" s="29">
        <f t="shared" si="25"/>
        <v>0</v>
      </c>
    </row>
    <row r="555" spans="1:1">
      <c r="A555" s="29">
        <f t="shared" si="25"/>
        <v>0</v>
      </c>
    </row>
    <row r="556" spans="1:1">
      <c r="A556" s="29">
        <f t="shared" si="25"/>
        <v>0</v>
      </c>
    </row>
    <row r="557" spans="1:1">
      <c r="A557" s="29">
        <f t="shared" si="25"/>
        <v>0</v>
      </c>
    </row>
    <row r="558" spans="1:1">
      <c r="A558" s="29">
        <f t="shared" si="25"/>
        <v>0</v>
      </c>
    </row>
    <row r="559" spans="1:1">
      <c r="A559" s="29">
        <f t="shared" si="25"/>
        <v>0</v>
      </c>
    </row>
    <row r="560" spans="1:1">
      <c r="A560" s="29">
        <f t="shared" si="25"/>
        <v>0</v>
      </c>
    </row>
    <row r="561" spans="1:1">
      <c r="A561" s="29">
        <f t="shared" si="25"/>
        <v>0</v>
      </c>
    </row>
    <row r="562" spans="1:1">
      <c r="A562" s="29">
        <f t="shared" si="25"/>
        <v>0</v>
      </c>
    </row>
    <row r="563" spans="1:1">
      <c r="A563" s="29">
        <f t="shared" si="25"/>
        <v>0</v>
      </c>
    </row>
    <row r="564" spans="1:1">
      <c r="A564" s="29">
        <f t="shared" si="25"/>
        <v>0</v>
      </c>
    </row>
    <row r="565" spans="1:1">
      <c r="A565" s="29">
        <f t="shared" si="25"/>
        <v>0</v>
      </c>
    </row>
    <row r="566" spans="1:1">
      <c r="A566" s="29">
        <f t="shared" si="25"/>
        <v>0</v>
      </c>
    </row>
    <row r="567" spans="1:1">
      <c r="A567" s="29">
        <f t="shared" si="25"/>
        <v>0</v>
      </c>
    </row>
    <row r="568" spans="1:1">
      <c r="A568" s="29">
        <f t="shared" si="25"/>
        <v>0</v>
      </c>
    </row>
    <row r="569" spans="1:1">
      <c r="A569" s="29">
        <f t="shared" si="25"/>
        <v>0</v>
      </c>
    </row>
    <row r="570" spans="1:1">
      <c r="A570" s="29">
        <f t="shared" si="25"/>
        <v>0</v>
      </c>
    </row>
    <row r="571" spans="1:1">
      <c r="A571" s="29">
        <f t="shared" si="25"/>
        <v>0</v>
      </c>
    </row>
    <row r="572" spans="1:1">
      <c r="A572" s="29">
        <f t="shared" si="25"/>
        <v>0</v>
      </c>
    </row>
    <row r="573" spans="1:1">
      <c r="A573" s="29">
        <f t="shared" si="25"/>
        <v>0</v>
      </c>
    </row>
    <row r="574" spans="1:1">
      <c r="A574" s="29">
        <f t="shared" si="25"/>
        <v>0</v>
      </c>
    </row>
    <row r="575" spans="1:1">
      <c r="A575" s="29">
        <f t="shared" si="25"/>
        <v>0</v>
      </c>
    </row>
    <row r="576" spans="1:1">
      <c r="A576" s="29">
        <f t="shared" si="25"/>
        <v>0</v>
      </c>
    </row>
    <row r="577" spans="1:1">
      <c r="A577" s="29">
        <f t="shared" si="25"/>
        <v>0</v>
      </c>
    </row>
    <row r="578" spans="1:1">
      <c r="A578" s="29">
        <f t="shared" si="25"/>
        <v>0</v>
      </c>
    </row>
    <row r="579" spans="1:1">
      <c r="A579" s="29">
        <f t="shared" si="25"/>
        <v>0</v>
      </c>
    </row>
    <row r="580" spans="1:1">
      <c r="A580" s="29">
        <f t="shared" si="25"/>
        <v>0</v>
      </c>
    </row>
    <row r="581" spans="1:1">
      <c r="A581" s="29">
        <f t="shared" si="25"/>
        <v>0</v>
      </c>
    </row>
    <row r="582" spans="1:1">
      <c r="A582" s="29">
        <f t="shared" si="25"/>
        <v>0</v>
      </c>
    </row>
    <row r="583" spans="1:1">
      <c r="A583" s="29">
        <f t="shared" si="25"/>
        <v>0</v>
      </c>
    </row>
    <row r="584" spans="1:1">
      <c r="A584" s="29">
        <f t="shared" ref="A584:A647" si="26">+IF(OR(G584&gt;0,J584&gt;0,K584&gt;0),1,0)</f>
        <v>0</v>
      </c>
    </row>
    <row r="585" spans="1:1">
      <c r="A585" s="29">
        <f t="shared" si="26"/>
        <v>0</v>
      </c>
    </row>
    <row r="586" spans="1:1">
      <c r="A586" s="29">
        <f t="shared" si="26"/>
        <v>0</v>
      </c>
    </row>
    <row r="587" spans="1:1">
      <c r="A587" s="29">
        <f t="shared" si="26"/>
        <v>0</v>
      </c>
    </row>
    <row r="588" spans="1:1">
      <c r="A588" s="29">
        <f t="shared" si="26"/>
        <v>0</v>
      </c>
    </row>
    <row r="589" spans="1:1">
      <c r="A589" s="29">
        <f t="shared" si="26"/>
        <v>0</v>
      </c>
    </row>
    <row r="590" spans="1:1">
      <c r="A590" s="29">
        <f t="shared" si="26"/>
        <v>0</v>
      </c>
    </row>
    <row r="591" spans="1:1">
      <c r="A591" s="29">
        <f t="shared" si="26"/>
        <v>0</v>
      </c>
    </row>
    <row r="592" spans="1:1">
      <c r="A592" s="29">
        <f t="shared" si="26"/>
        <v>0</v>
      </c>
    </row>
    <row r="593" spans="1:1">
      <c r="A593" s="29">
        <f t="shared" si="26"/>
        <v>0</v>
      </c>
    </row>
    <row r="594" spans="1:1">
      <c r="A594" s="29">
        <f t="shared" si="26"/>
        <v>0</v>
      </c>
    </row>
    <row r="595" spans="1:1">
      <c r="A595" s="29">
        <f t="shared" si="26"/>
        <v>0</v>
      </c>
    </row>
    <row r="596" spans="1:1">
      <c r="A596" s="29">
        <f t="shared" si="26"/>
        <v>0</v>
      </c>
    </row>
    <row r="597" spans="1:1">
      <c r="A597" s="29">
        <f t="shared" si="26"/>
        <v>0</v>
      </c>
    </row>
    <row r="598" spans="1:1">
      <c r="A598" s="29">
        <f t="shared" si="26"/>
        <v>0</v>
      </c>
    </row>
    <row r="599" spans="1:1">
      <c r="A599" s="29">
        <f t="shared" si="26"/>
        <v>0</v>
      </c>
    </row>
    <row r="600" spans="1:1">
      <c r="A600" s="29">
        <f t="shared" si="26"/>
        <v>0</v>
      </c>
    </row>
    <row r="601" spans="1:1">
      <c r="A601" s="29">
        <f t="shared" si="26"/>
        <v>0</v>
      </c>
    </row>
    <row r="602" spans="1:1">
      <c r="A602" s="29">
        <f t="shared" si="26"/>
        <v>0</v>
      </c>
    </row>
    <row r="603" spans="1:1">
      <c r="A603" s="29">
        <f t="shared" si="26"/>
        <v>0</v>
      </c>
    </row>
    <row r="604" spans="1:1">
      <c r="A604" s="29">
        <f t="shared" si="26"/>
        <v>0</v>
      </c>
    </row>
    <row r="605" spans="1:1">
      <c r="A605" s="29">
        <f t="shared" si="26"/>
        <v>0</v>
      </c>
    </row>
    <row r="606" spans="1:1">
      <c r="A606" s="29">
        <f t="shared" si="26"/>
        <v>0</v>
      </c>
    </row>
    <row r="607" spans="1:1">
      <c r="A607" s="29">
        <f t="shared" si="26"/>
        <v>0</v>
      </c>
    </row>
    <row r="608" spans="1:1">
      <c r="A608" s="29">
        <f t="shared" si="26"/>
        <v>0</v>
      </c>
    </row>
    <row r="609" spans="1:1">
      <c r="A609" s="29">
        <f t="shared" si="26"/>
        <v>0</v>
      </c>
    </row>
    <row r="610" spans="1:1">
      <c r="A610" s="29">
        <f t="shared" si="26"/>
        <v>0</v>
      </c>
    </row>
    <row r="611" spans="1:1">
      <c r="A611" s="29">
        <f t="shared" si="26"/>
        <v>0</v>
      </c>
    </row>
    <row r="612" spans="1:1">
      <c r="A612" s="29">
        <f t="shared" si="26"/>
        <v>0</v>
      </c>
    </row>
    <row r="613" spans="1:1">
      <c r="A613" s="29">
        <f t="shared" si="26"/>
        <v>0</v>
      </c>
    </row>
    <row r="614" spans="1:1">
      <c r="A614" s="29">
        <f t="shared" si="26"/>
        <v>0</v>
      </c>
    </row>
    <row r="615" spans="1:1">
      <c r="A615" s="29">
        <f t="shared" si="26"/>
        <v>0</v>
      </c>
    </row>
    <row r="616" spans="1:1">
      <c r="A616" s="29">
        <f t="shared" si="26"/>
        <v>0</v>
      </c>
    </row>
    <row r="617" spans="1:1">
      <c r="A617" s="29">
        <f t="shared" si="26"/>
        <v>0</v>
      </c>
    </row>
    <row r="618" spans="1:1">
      <c r="A618" s="29">
        <f t="shared" si="26"/>
        <v>0</v>
      </c>
    </row>
    <row r="619" spans="1:1">
      <c r="A619" s="29">
        <f t="shared" si="26"/>
        <v>0</v>
      </c>
    </row>
    <row r="620" spans="1:1">
      <c r="A620" s="29">
        <f t="shared" si="26"/>
        <v>0</v>
      </c>
    </row>
    <row r="621" spans="1:1">
      <c r="A621" s="29">
        <f t="shared" si="26"/>
        <v>0</v>
      </c>
    </row>
    <row r="622" spans="1:1">
      <c r="A622" s="29">
        <f t="shared" si="26"/>
        <v>0</v>
      </c>
    </row>
    <row r="623" spans="1:1">
      <c r="A623" s="29">
        <f t="shared" si="26"/>
        <v>0</v>
      </c>
    </row>
    <row r="624" spans="1:1">
      <c r="A624" s="29">
        <f t="shared" si="26"/>
        <v>0</v>
      </c>
    </row>
    <row r="625" spans="1:1">
      <c r="A625" s="29">
        <f t="shared" si="26"/>
        <v>0</v>
      </c>
    </row>
    <row r="626" spans="1:1">
      <c r="A626" s="29">
        <f t="shared" si="26"/>
        <v>0</v>
      </c>
    </row>
    <row r="627" spans="1:1">
      <c r="A627" s="29">
        <f t="shared" si="26"/>
        <v>0</v>
      </c>
    </row>
    <row r="628" spans="1:1">
      <c r="A628" s="29">
        <f t="shared" si="26"/>
        <v>0</v>
      </c>
    </row>
    <row r="629" spans="1:1">
      <c r="A629" s="29">
        <f t="shared" si="26"/>
        <v>0</v>
      </c>
    </row>
    <row r="630" spans="1:1">
      <c r="A630" s="29">
        <f t="shared" si="26"/>
        <v>0</v>
      </c>
    </row>
    <row r="631" spans="1:1">
      <c r="A631" s="29">
        <f t="shared" si="26"/>
        <v>0</v>
      </c>
    </row>
    <row r="632" spans="1:1">
      <c r="A632" s="29">
        <f t="shared" si="26"/>
        <v>0</v>
      </c>
    </row>
    <row r="633" spans="1:1">
      <c r="A633" s="29">
        <f t="shared" si="26"/>
        <v>0</v>
      </c>
    </row>
    <row r="634" spans="1:1">
      <c r="A634" s="29">
        <f t="shared" si="26"/>
        <v>0</v>
      </c>
    </row>
    <row r="635" spans="1:1">
      <c r="A635" s="29">
        <f t="shared" si="26"/>
        <v>0</v>
      </c>
    </row>
    <row r="636" spans="1:1">
      <c r="A636" s="29">
        <f t="shared" si="26"/>
        <v>0</v>
      </c>
    </row>
    <row r="637" spans="1:1">
      <c r="A637" s="29">
        <f t="shared" si="26"/>
        <v>0</v>
      </c>
    </row>
    <row r="638" spans="1:1">
      <c r="A638" s="29">
        <f t="shared" si="26"/>
        <v>0</v>
      </c>
    </row>
    <row r="639" spans="1:1">
      <c r="A639" s="29">
        <f t="shared" si="26"/>
        <v>0</v>
      </c>
    </row>
    <row r="640" spans="1:1">
      <c r="A640" s="29">
        <f t="shared" si="26"/>
        <v>0</v>
      </c>
    </row>
    <row r="641" spans="1:1">
      <c r="A641" s="29">
        <f t="shared" si="26"/>
        <v>0</v>
      </c>
    </row>
    <row r="642" spans="1:1">
      <c r="A642" s="29">
        <f t="shared" si="26"/>
        <v>0</v>
      </c>
    </row>
    <row r="643" spans="1:1">
      <c r="A643" s="29">
        <f t="shared" si="26"/>
        <v>0</v>
      </c>
    </row>
    <row r="644" spans="1:1">
      <c r="A644" s="29">
        <f t="shared" si="26"/>
        <v>0</v>
      </c>
    </row>
    <row r="645" spans="1:1">
      <c r="A645" s="29">
        <f t="shared" si="26"/>
        <v>0</v>
      </c>
    </row>
    <row r="646" spans="1:1">
      <c r="A646" s="29">
        <f t="shared" si="26"/>
        <v>0</v>
      </c>
    </row>
    <row r="647" spans="1:1">
      <c r="A647" s="29">
        <f t="shared" si="26"/>
        <v>0</v>
      </c>
    </row>
    <row r="648" spans="1:1">
      <c r="A648" s="29">
        <f t="shared" ref="A648:A711" si="27">+IF(OR(G648&gt;0,J648&gt;0,K648&gt;0),1,0)</f>
        <v>0</v>
      </c>
    </row>
    <row r="649" spans="1:1">
      <c r="A649" s="29">
        <f t="shared" si="27"/>
        <v>0</v>
      </c>
    </row>
    <row r="650" spans="1:1">
      <c r="A650" s="29">
        <f t="shared" si="27"/>
        <v>0</v>
      </c>
    </row>
    <row r="651" spans="1:1">
      <c r="A651" s="29">
        <f t="shared" si="27"/>
        <v>0</v>
      </c>
    </row>
    <row r="652" spans="1:1">
      <c r="A652" s="29">
        <f t="shared" si="27"/>
        <v>0</v>
      </c>
    </row>
    <row r="653" spans="1:1">
      <c r="A653" s="29">
        <f t="shared" si="27"/>
        <v>0</v>
      </c>
    </row>
    <row r="654" spans="1:1">
      <c r="A654" s="29">
        <f t="shared" si="27"/>
        <v>0</v>
      </c>
    </row>
    <row r="655" spans="1:1">
      <c r="A655" s="29">
        <f t="shared" si="27"/>
        <v>0</v>
      </c>
    </row>
    <row r="656" spans="1:1">
      <c r="A656" s="29">
        <f t="shared" si="27"/>
        <v>0</v>
      </c>
    </row>
    <row r="657" spans="1:1">
      <c r="A657" s="29">
        <f t="shared" si="27"/>
        <v>0</v>
      </c>
    </row>
    <row r="658" spans="1:1">
      <c r="A658" s="29">
        <f t="shared" si="27"/>
        <v>0</v>
      </c>
    </row>
    <row r="659" spans="1:1">
      <c r="A659" s="29">
        <f t="shared" si="27"/>
        <v>0</v>
      </c>
    </row>
    <row r="660" spans="1:1">
      <c r="A660" s="29">
        <f t="shared" si="27"/>
        <v>0</v>
      </c>
    </row>
    <row r="661" spans="1:1">
      <c r="A661" s="29">
        <f t="shared" si="27"/>
        <v>0</v>
      </c>
    </row>
    <row r="662" spans="1:1">
      <c r="A662" s="29">
        <f t="shared" si="27"/>
        <v>0</v>
      </c>
    </row>
    <row r="663" spans="1:1">
      <c r="A663" s="29">
        <f t="shared" si="27"/>
        <v>0</v>
      </c>
    </row>
    <row r="664" spans="1:1">
      <c r="A664" s="29">
        <f t="shared" si="27"/>
        <v>0</v>
      </c>
    </row>
    <row r="665" spans="1:1">
      <c r="A665" s="29">
        <f t="shared" si="27"/>
        <v>0</v>
      </c>
    </row>
    <row r="666" spans="1:1">
      <c r="A666" s="29">
        <f t="shared" si="27"/>
        <v>0</v>
      </c>
    </row>
    <row r="667" spans="1:1">
      <c r="A667" s="29">
        <f t="shared" si="27"/>
        <v>0</v>
      </c>
    </row>
    <row r="668" spans="1:1">
      <c r="A668" s="29">
        <f t="shared" si="27"/>
        <v>0</v>
      </c>
    </row>
    <row r="669" spans="1:1">
      <c r="A669" s="29">
        <f t="shared" si="27"/>
        <v>0</v>
      </c>
    </row>
    <row r="670" spans="1:1">
      <c r="A670" s="29">
        <f t="shared" si="27"/>
        <v>0</v>
      </c>
    </row>
    <row r="671" spans="1:1">
      <c r="A671" s="29">
        <f t="shared" si="27"/>
        <v>0</v>
      </c>
    </row>
    <row r="672" spans="1:1">
      <c r="A672" s="29">
        <f t="shared" si="27"/>
        <v>0</v>
      </c>
    </row>
    <row r="673" spans="1:1">
      <c r="A673" s="29">
        <f t="shared" si="27"/>
        <v>0</v>
      </c>
    </row>
    <row r="674" spans="1:1">
      <c r="A674" s="29">
        <f t="shared" si="27"/>
        <v>0</v>
      </c>
    </row>
    <row r="675" spans="1:1">
      <c r="A675" s="29">
        <f t="shared" si="27"/>
        <v>0</v>
      </c>
    </row>
    <row r="676" spans="1:1">
      <c r="A676" s="29">
        <f t="shared" si="27"/>
        <v>0</v>
      </c>
    </row>
    <row r="677" spans="1:1">
      <c r="A677" s="29">
        <f t="shared" si="27"/>
        <v>0</v>
      </c>
    </row>
    <row r="678" spans="1:1">
      <c r="A678" s="29">
        <f t="shared" si="27"/>
        <v>0</v>
      </c>
    </row>
    <row r="679" spans="1:1">
      <c r="A679" s="29">
        <f t="shared" si="27"/>
        <v>0</v>
      </c>
    </row>
    <row r="680" spans="1:1">
      <c r="A680" s="29">
        <f t="shared" si="27"/>
        <v>0</v>
      </c>
    </row>
    <row r="681" spans="1:1">
      <c r="A681" s="29">
        <f t="shared" si="27"/>
        <v>0</v>
      </c>
    </row>
    <row r="682" spans="1:1">
      <c r="A682" s="29">
        <f t="shared" si="27"/>
        <v>0</v>
      </c>
    </row>
    <row r="683" spans="1:1">
      <c r="A683" s="29">
        <f t="shared" si="27"/>
        <v>0</v>
      </c>
    </row>
    <row r="684" spans="1:1">
      <c r="A684" s="29">
        <f t="shared" si="27"/>
        <v>0</v>
      </c>
    </row>
    <row r="685" spans="1:1">
      <c r="A685" s="29">
        <f t="shared" si="27"/>
        <v>0</v>
      </c>
    </row>
    <row r="686" spans="1:1">
      <c r="A686" s="29">
        <f t="shared" si="27"/>
        <v>0</v>
      </c>
    </row>
    <row r="687" spans="1:1">
      <c r="A687" s="29">
        <f t="shared" si="27"/>
        <v>0</v>
      </c>
    </row>
    <row r="688" spans="1:1">
      <c r="A688" s="29">
        <f t="shared" si="27"/>
        <v>0</v>
      </c>
    </row>
    <row r="689" spans="1:1">
      <c r="A689" s="29">
        <f t="shared" si="27"/>
        <v>0</v>
      </c>
    </row>
    <row r="690" spans="1:1">
      <c r="A690" s="29">
        <f t="shared" si="27"/>
        <v>0</v>
      </c>
    </row>
    <row r="691" spans="1:1">
      <c r="A691" s="29">
        <f t="shared" si="27"/>
        <v>0</v>
      </c>
    </row>
    <row r="692" spans="1:1">
      <c r="A692" s="29">
        <f t="shared" si="27"/>
        <v>0</v>
      </c>
    </row>
    <row r="693" spans="1:1">
      <c r="A693" s="29">
        <f t="shared" si="27"/>
        <v>0</v>
      </c>
    </row>
    <row r="694" spans="1:1">
      <c r="A694" s="29">
        <f t="shared" si="27"/>
        <v>0</v>
      </c>
    </row>
    <row r="695" spans="1:1">
      <c r="A695" s="29">
        <f t="shared" si="27"/>
        <v>0</v>
      </c>
    </row>
    <row r="696" spans="1:1">
      <c r="A696" s="29">
        <f t="shared" si="27"/>
        <v>0</v>
      </c>
    </row>
    <row r="697" spans="1:1">
      <c r="A697" s="29">
        <f t="shared" si="27"/>
        <v>0</v>
      </c>
    </row>
    <row r="698" spans="1:1">
      <c r="A698" s="29">
        <f t="shared" si="27"/>
        <v>0</v>
      </c>
    </row>
    <row r="699" spans="1:1">
      <c r="A699" s="29">
        <f t="shared" si="27"/>
        <v>0</v>
      </c>
    </row>
    <row r="700" spans="1:1">
      <c r="A700" s="29">
        <f t="shared" si="27"/>
        <v>0</v>
      </c>
    </row>
    <row r="701" spans="1:1">
      <c r="A701" s="29">
        <f t="shared" si="27"/>
        <v>0</v>
      </c>
    </row>
    <row r="702" spans="1:1">
      <c r="A702" s="29">
        <f t="shared" si="27"/>
        <v>0</v>
      </c>
    </row>
    <row r="703" spans="1:1">
      <c r="A703" s="29">
        <f t="shared" si="27"/>
        <v>0</v>
      </c>
    </row>
    <row r="704" spans="1:1">
      <c r="A704" s="29">
        <f t="shared" si="27"/>
        <v>0</v>
      </c>
    </row>
    <row r="705" spans="1:1">
      <c r="A705" s="29">
        <f t="shared" si="27"/>
        <v>0</v>
      </c>
    </row>
    <row r="706" spans="1:1">
      <c r="A706" s="29">
        <f t="shared" si="27"/>
        <v>0</v>
      </c>
    </row>
    <row r="707" spans="1:1">
      <c r="A707" s="29">
        <f t="shared" si="27"/>
        <v>0</v>
      </c>
    </row>
    <row r="708" spans="1:1">
      <c r="A708" s="29">
        <f t="shared" si="27"/>
        <v>0</v>
      </c>
    </row>
    <row r="709" spans="1:1">
      <c r="A709" s="29">
        <f t="shared" si="27"/>
        <v>0</v>
      </c>
    </row>
    <row r="710" spans="1:1">
      <c r="A710" s="29">
        <f t="shared" si="27"/>
        <v>0</v>
      </c>
    </row>
    <row r="711" spans="1:1">
      <c r="A711" s="29">
        <f t="shared" si="27"/>
        <v>0</v>
      </c>
    </row>
    <row r="712" spans="1:1">
      <c r="A712" s="29">
        <f t="shared" ref="A712:A775" si="28">+IF(OR(G712&gt;0,J712&gt;0,K712&gt;0),1,0)</f>
        <v>0</v>
      </c>
    </row>
    <row r="713" spans="1:1">
      <c r="A713" s="29">
        <f t="shared" si="28"/>
        <v>0</v>
      </c>
    </row>
    <row r="714" spans="1:1">
      <c r="A714" s="29">
        <f t="shared" si="28"/>
        <v>0</v>
      </c>
    </row>
    <row r="715" spans="1:1">
      <c r="A715" s="29">
        <f t="shared" si="28"/>
        <v>0</v>
      </c>
    </row>
    <row r="716" spans="1:1">
      <c r="A716" s="29">
        <f t="shared" si="28"/>
        <v>0</v>
      </c>
    </row>
    <row r="717" spans="1:1">
      <c r="A717" s="29">
        <f t="shared" si="28"/>
        <v>0</v>
      </c>
    </row>
    <row r="718" spans="1:1">
      <c r="A718" s="29">
        <f t="shared" si="28"/>
        <v>0</v>
      </c>
    </row>
    <row r="719" spans="1:1">
      <c r="A719" s="29">
        <f t="shared" si="28"/>
        <v>0</v>
      </c>
    </row>
    <row r="720" spans="1:1">
      <c r="A720" s="29">
        <f t="shared" si="28"/>
        <v>0</v>
      </c>
    </row>
    <row r="721" spans="1:1">
      <c r="A721" s="29">
        <f t="shared" si="28"/>
        <v>0</v>
      </c>
    </row>
    <row r="722" spans="1:1">
      <c r="A722" s="29">
        <f t="shared" si="28"/>
        <v>0</v>
      </c>
    </row>
    <row r="723" spans="1:1">
      <c r="A723" s="29">
        <f t="shared" si="28"/>
        <v>0</v>
      </c>
    </row>
    <row r="724" spans="1:1">
      <c r="A724" s="29">
        <f t="shared" si="28"/>
        <v>0</v>
      </c>
    </row>
    <row r="725" spans="1:1">
      <c r="A725" s="29">
        <f t="shared" si="28"/>
        <v>0</v>
      </c>
    </row>
    <row r="726" spans="1:1">
      <c r="A726" s="29">
        <f t="shared" si="28"/>
        <v>0</v>
      </c>
    </row>
    <row r="727" spans="1:1">
      <c r="A727" s="29">
        <f t="shared" si="28"/>
        <v>0</v>
      </c>
    </row>
    <row r="728" spans="1:1">
      <c r="A728" s="29">
        <f t="shared" si="28"/>
        <v>0</v>
      </c>
    </row>
    <row r="729" spans="1:1">
      <c r="A729" s="29">
        <f t="shared" si="28"/>
        <v>0</v>
      </c>
    </row>
    <row r="730" spans="1:1">
      <c r="A730" s="29">
        <f t="shared" si="28"/>
        <v>0</v>
      </c>
    </row>
    <row r="731" spans="1:1">
      <c r="A731" s="29">
        <f t="shared" si="28"/>
        <v>0</v>
      </c>
    </row>
    <row r="732" spans="1:1">
      <c r="A732" s="29">
        <f t="shared" si="28"/>
        <v>0</v>
      </c>
    </row>
    <row r="733" spans="1:1">
      <c r="A733" s="29">
        <f t="shared" si="28"/>
        <v>0</v>
      </c>
    </row>
    <row r="734" spans="1:1">
      <c r="A734" s="29">
        <f t="shared" si="28"/>
        <v>0</v>
      </c>
    </row>
    <row r="735" spans="1:1">
      <c r="A735" s="29">
        <f t="shared" si="28"/>
        <v>0</v>
      </c>
    </row>
    <row r="736" spans="1:1">
      <c r="A736" s="29">
        <f t="shared" si="28"/>
        <v>0</v>
      </c>
    </row>
    <row r="737" spans="1:1">
      <c r="A737" s="29">
        <f t="shared" si="28"/>
        <v>0</v>
      </c>
    </row>
    <row r="738" spans="1:1">
      <c r="A738" s="29">
        <f t="shared" si="28"/>
        <v>0</v>
      </c>
    </row>
    <row r="739" spans="1:1">
      <c r="A739" s="29">
        <f t="shared" si="28"/>
        <v>0</v>
      </c>
    </row>
    <row r="740" spans="1:1">
      <c r="A740" s="29">
        <f t="shared" si="28"/>
        <v>0</v>
      </c>
    </row>
    <row r="741" spans="1:1">
      <c r="A741" s="29">
        <f t="shared" si="28"/>
        <v>0</v>
      </c>
    </row>
    <row r="742" spans="1:1">
      <c r="A742" s="29">
        <f t="shared" si="28"/>
        <v>0</v>
      </c>
    </row>
    <row r="743" spans="1:1">
      <c r="A743" s="29">
        <f t="shared" si="28"/>
        <v>0</v>
      </c>
    </row>
    <row r="744" spans="1:1">
      <c r="A744" s="29">
        <f t="shared" si="28"/>
        <v>0</v>
      </c>
    </row>
    <row r="745" spans="1:1">
      <c r="A745" s="29">
        <f t="shared" si="28"/>
        <v>0</v>
      </c>
    </row>
    <row r="746" spans="1:1">
      <c r="A746" s="29">
        <f t="shared" si="28"/>
        <v>0</v>
      </c>
    </row>
    <row r="747" spans="1:1">
      <c r="A747" s="29">
        <f t="shared" si="28"/>
        <v>0</v>
      </c>
    </row>
    <row r="748" spans="1:1">
      <c r="A748" s="29">
        <f t="shared" si="28"/>
        <v>0</v>
      </c>
    </row>
    <row r="749" spans="1:1">
      <c r="A749" s="29">
        <f t="shared" si="28"/>
        <v>0</v>
      </c>
    </row>
    <row r="750" spans="1:1">
      <c r="A750" s="29">
        <f t="shared" si="28"/>
        <v>0</v>
      </c>
    </row>
    <row r="751" spans="1:1">
      <c r="A751" s="29">
        <f t="shared" si="28"/>
        <v>0</v>
      </c>
    </row>
    <row r="752" spans="1:1">
      <c r="A752" s="29">
        <f t="shared" si="28"/>
        <v>0</v>
      </c>
    </row>
    <row r="753" spans="1:1">
      <c r="A753" s="29">
        <f t="shared" si="28"/>
        <v>0</v>
      </c>
    </row>
    <row r="754" spans="1:1">
      <c r="A754" s="29">
        <f t="shared" si="28"/>
        <v>0</v>
      </c>
    </row>
    <row r="755" spans="1:1">
      <c r="A755" s="29">
        <f t="shared" si="28"/>
        <v>0</v>
      </c>
    </row>
    <row r="756" spans="1:1">
      <c r="A756" s="29">
        <f t="shared" si="28"/>
        <v>0</v>
      </c>
    </row>
    <row r="757" spans="1:1">
      <c r="A757" s="29">
        <f t="shared" si="28"/>
        <v>0</v>
      </c>
    </row>
    <row r="758" spans="1:1">
      <c r="A758" s="29">
        <f t="shared" si="28"/>
        <v>0</v>
      </c>
    </row>
    <row r="759" spans="1:1">
      <c r="A759" s="29">
        <f t="shared" si="28"/>
        <v>0</v>
      </c>
    </row>
    <row r="760" spans="1:1">
      <c r="A760" s="29">
        <f t="shared" si="28"/>
        <v>0</v>
      </c>
    </row>
    <row r="761" spans="1:1">
      <c r="A761" s="29">
        <f t="shared" si="28"/>
        <v>0</v>
      </c>
    </row>
    <row r="762" spans="1:1">
      <c r="A762" s="29">
        <f t="shared" si="28"/>
        <v>0</v>
      </c>
    </row>
    <row r="763" spans="1:1">
      <c r="A763" s="29">
        <f t="shared" si="28"/>
        <v>0</v>
      </c>
    </row>
    <row r="764" spans="1:1">
      <c r="A764" s="29">
        <f t="shared" si="28"/>
        <v>0</v>
      </c>
    </row>
    <row r="765" spans="1:1">
      <c r="A765" s="29">
        <f t="shared" si="28"/>
        <v>0</v>
      </c>
    </row>
    <row r="766" spans="1:1">
      <c r="A766" s="29">
        <f t="shared" si="28"/>
        <v>0</v>
      </c>
    </row>
    <row r="767" spans="1:1">
      <c r="A767" s="29">
        <f t="shared" si="28"/>
        <v>0</v>
      </c>
    </row>
    <row r="768" spans="1:1">
      <c r="A768" s="29">
        <f t="shared" si="28"/>
        <v>0</v>
      </c>
    </row>
    <row r="769" spans="1:1">
      <c r="A769" s="29">
        <f t="shared" si="28"/>
        <v>0</v>
      </c>
    </row>
    <row r="770" spans="1:1">
      <c r="A770" s="29">
        <f t="shared" si="28"/>
        <v>0</v>
      </c>
    </row>
    <row r="771" spans="1:1">
      <c r="A771" s="29">
        <f t="shared" si="28"/>
        <v>0</v>
      </c>
    </row>
    <row r="772" spans="1:1">
      <c r="A772" s="29">
        <f t="shared" si="28"/>
        <v>0</v>
      </c>
    </row>
    <row r="773" spans="1:1">
      <c r="A773" s="29">
        <f t="shared" si="28"/>
        <v>0</v>
      </c>
    </row>
    <row r="774" spans="1:1">
      <c r="A774" s="29">
        <f t="shared" si="28"/>
        <v>0</v>
      </c>
    </row>
    <row r="775" spans="1:1">
      <c r="A775" s="29">
        <f t="shared" si="28"/>
        <v>0</v>
      </c>
    </row>
    <row r="776" spans="1:1">
      <c r="A776" s="29">
        <f t="shared" ref="A776:A784" si="29">+IF(OR(G776&gt;0,J776&gt;0,K776&gt;0),1,0)</f>
        <v>0</v>
      </c>
    </row>
    <row r="777" spans="1:1">
      <c r="A777" s="29">
        <f t="shared" si="29"/>
        <v>0</v>
      </c>
    </row>
    <row r="778" spans="1:1">
      <c r="A778" s="29">
        <f t="shared" si="29"/>
        <v>0</v>
      </c>
    </row>
    <row r="779" spans="1:1">
      <c r="A779" s="29">
        <f t="shared" si="29"/>
        <v>0</v>
      </c>
    </row>
    <row r="780" spans="1:1">
      <c r="A780" s="29">
        <f t="shared" si="29"/>
        <v>0</v>
      </c>
    </row>
    <row r="781" spans="1:1">
      <c r="A781" s="29">
        <f t="shared" si="29"/>
        <v>0</v>
      </c>
    </row>
    <row r="782" spans="1:1">
      <c r="A782" s="29">
        <f t="shared" si="29"/>
        <v>0</v>
      </c>
    </row>
    <row r="783" spans="1:1">
      <c r="A783" s="29">
        <f t="shared" si="29"/>
        <v>0</v>
      </c>
    </row>
    <row r="784" spans="1:1">
      <c r="A784" s="29">
        <f t="shared" si="29"/>
        <v>0</v>
      </c>
    </row>
    <row r="1923" spans="17:17">
      <c r="Q1923" t="s">
        <v>533</v>
      </c>
    </row>
    <row r="1924" spans="17:17">
      <c r="Q1924" t="s">
        <v>533</v>
      </c>
    </row>
    <row r="1925" spans="17:17">
      <c r="Q1925" t="s">
        <v>533</v>
      </c>
    </row>
    <row r="1926" spans="17:17">
      <c r="Q1926" t="s">
        <v>533</v>
      </c>
    </row>
  </sheetData>
  <autoFilter xmlns:etc="http://www.wps.cn/officeDocument/2017/etCustomData" ref="A8:Q784" etc:filterBottomFollowUsedRange="0">
    <sortState ref="A8:Q784">
      <sortCondition ref="C8:C784"/>
    </sortState>
    <extLst/>
  </autoFilter>
  <sortState ref="B9:J354">
    <sortCondition ref="C9:C354"/>
  </sortState>
  <mergeCells count="5">
    <mergeCell ref="C6:C7"/>
    <mergeCell ref="D6:G7"/>
    <mergeCell ref="B1:L4"/>
    <mergeCell ref="H6:J7"/>
    <mergeCell ref="K6:L7"/>
  </mergeCells>
  <conditionalFormatting sqref="I27">
    <cfRule type="expression" dxfId="0" priority="17">
      <formula>FILA()=CELDA("fila")</formula>
    </cfRule>
  </conditionalFormatting>
  <conditionalFormatting sqref="B135">
    <cfRule type="duplicateValues" dxfId="1" priority="68"/>
  </conditionalFormatting>
  <conditionalFormatting sqref="B140">
    <cfRule type="duplicateValues" dxfId="1" priority="35"/>
  </conditionalFormatting>
  <conditionalFormatting sqref="B142">
    <cfRule type="cellIs" dxfId="6" priority="66" operator="equal">
      <formula>"PÑ9"</formula>
    </cfRule>
  </conditionalFormatting>
  <conditionalFormatting sqref="B143">
    <cfRule type="duplicateValues" dxfId="1" priority="64"/>
  </conditionalFormatting>
  <conditionalFormatting sqref="B144">
    <cfRule type="duplicateValues" dxfId="1" priority="65"/>
  </conditionalFormatting>
  <conditionalFormatting sqref="B145">
    <cfRule type="duplicateValues" dxfId="1" priority="63"/>
  </conditionalFormatting>
  <conditionalFormatting sqref="B162">
    <cfRule type="duplicateValues" dxfId="1" priority="60"/>
  </conditionalFormatting>
  <conditionalFormatting sqref="B182">
    <cfRule type="duplicateValues" dxfId="1" priority="39"/>
  </conditionalFormatting>
  <conditionalFormatting sqref="B190">
    <cfRule type="duplicateValues" dxfId="1" priority="59"/>
  </conditionalFormatting>
  <conditionalFormatting sqref="B197">
    <cfRule type="duplicateValues" dxfId="1" priority="57"/>
  </conditionalFormatting>
  <conditionalFormatting sqref="B204">
    <cfRule type="duplicateValues" dxfId="1" priority="31"/>
  </conditionalFormatting>
  <conditionalFormatting sqref="B206">
    <cfRule type="duplicateValues" dxfId="1" priority="56"/>
  </conditionalFormatting>
  <conditionalFormatting sqref="B208">
    <cfRule type="duplicateValues" dxfId="1" priority="55"/>
  </conditionalFormatting>
  <conditionalFormatting sqref="B209">
    <cfRule type="duplicateValues" dxfId="1" priority="54"/>
  </conditionalFormatting>
  <conditionalFormatting sqref="B211">
    <cfRule type="duplicateValues" dxfId="1" priority="53"/>
  </conditionalFormatting>
  <conditionalFormatting sqref="B212">
    <cfRule type="duplicateValues" dxfId="1" priority="52"/>
  </conditionalFormatting>
  <conditionalFormatting sqref="B213">
    <cfRule type="duplicateValues" dxfId="1" priority="2140"/>
  </conditionalFormatting>
  <conditionalFormatting sqref="B214">
    <cfRule type="duplicateValues" dxfId="1" priority="50"/>
  </conditionalFormatting>
  <conditionalFormatting sqref="B215">
    <cfRule type="duplicateValues" dxfId="1" priority="49"/>
  </conditionalFormatting>
  <conditionalFormatting sqref="B216">
    <cfRule type="duplicateValues" dxfId="1" priority="48"/>
  </conditionalFormatting>
  <conditionalFormatting sqref="B217">
    <cfRule type="duplicateValues" dxfId="1" priority="47"/>
  </conditionalFormatting>
  <conditionalFormatting sqref="B222">
    <cfRule type="duplicateValues" dxfId="1" priority="46"/>
  </conditionalFormatting>
  <conditionalFormatting sqref="B226">
    <cfRule type="duplicateValues" dxfId="1" priority="45"/>
  </conditionalFormatting>
  <conditionalFormatting sqref="B231">
    <cfRule type="duplicateValues" dxfId="1" priority="44"/>
  </conditionalFormatting>
  <conditionalFormatting sqref="B246">
    <cfRule type="duplicateValues" dxfId="1" priority="42"/>
  </conditionalFormatting>
  <conditionalFormatting sqref="I311">
    <cfRule type="expression" dxfId="0" priority="24">
      <formula>FILA()=CELDA("fila")</formula>
    </cfRule>
  </conditionalFormatting>
  <conditionalFormatting sqref="B315">
    <cfRule type="duplicateValues" dxfId="1" priority="11"/>
  </conditionalFormatting>
  <conditionalFormatting sqref="B315:C315">
    <cfRule type="expression" dxfId="0" priority="10">
      <formula>FILA()=CELDA("fila")</formula>
    </cfRule>
  </conditionalFormatting>
  <conditionalFormatting sqref="B330">
    <cfRule type="duplicateValues" dxfId="1" priority="9"/>
  </conditionalFormatting>
  <conditionalFormatting sqref="B330:C330">
    <cfRule type="expression" dxfId="0" priority="8">
      <formula>FILA()=CELDA("fila")</formula>
    </cfRule>
  </conditionalFormatting>
  <conditionalFormatting sqref="C333">
    <cfRule type="expression" dxfId="0" priority="25">
      <formula>FILA()=CELDA("fila")</formula>
    </cfRule>
  </conditionalFormatting>
  <conditionalFormatting sqref="C344">
    <cfRule type="expression" dxfId="0" priority="21">
      <formula>FILA()=CELDA("fila")</formula>
    </cfRule>
  </conditionalFormatting>
  <conditionalFormatting sqref="G349">
    <cfRule type="expression" dxfId="0" priority="20">
      <formula>FILA()=CELDA("fila")</formula>
    </cfRule>
  </conditionalFormatting>
  <conditionalFormatting sqref="C373">
    <cfRule type="expression" dxfId="0" priority="18">
      <formula>FILA()=CELDA("fila")</formula>
    </cfRule>
  </conditionalFormatting>
  <conditionalFormatting sqref="G398">
    <cfRule type="expression" dxfId="0" priority="1">
      <formula>FILA()=CELDA("fila")</formula>
    </cfRule>
  </conditionalFormatting>
  <conditionalFormatting sqref="B9:B157">
    <cfRule type="duplicateValues" dxfId="1" priority="2813"/>
  </conditionalFormatting>
  <conditionalFormatting sqref="B122:B134">
    <cfRule type="duplicateValues" dxfId="1" priority="70"/>
  </conditionalFormatting>
  <conditionalFormatting sqref="B136:B138">
    <cfRule type="duplicateValues" dxfId="1" priority="67"/>
  </conditionalFormatting>
  <conditionalFormatting sqref="B146:B153">
    <cfRule type="duplicateValues" dxfId="1" priority="69"/>
  </conditionalFormatting>
  <conditionalFormatting sqref="B160:B161">
    <cfRule type="duplicateValues" dxfId="1" priority="2718"/>
  </conditionalFormatting>
  <conditionalFormatting sqref="B163:B181">
    <cfRule type="duplicateValues" dxfId="1" priority="2850"/>
  </conditionalFormatting>
  <conditionalFormatting sqref="B191:B196">
    <cfRule type="duplicateValues" dxfId="1" priority="58"/>
  </conditionalFormatting>
  <conditionalFormatting sqref="B236:B238">
    <cfRule type="duplicateValues" dxfId="1" priority="43"/>
  </conditionalFormatting>
  <conditionalFormatting sqref="B240:B242">
    <cfRule type="duplicateValues" dxfId="1" priority="41"/>
  </conditionalFormatting>
  <conditionalFormatting sqref="B243:B245">
    <cfRule type="duplicateValues" dxfId="1" priority="2423"/>
  </conditionalFormatting>
  <conditionalFormatting sqref="B333:B334">
    <cfRule type="expression" dxfId="0" priority="6">
      <formula>FILA()=CELDA("fila")</formula>
    </cfRule>
    <cfRule type="duplicateValues" dxfId="1" priority="7"/>
  </conditionalFormatting>
  <conditionalFormatting sqref="B388:B416;B418:B424;B9:B386;B426:B436">
    <cfRule type="duplicateValues" dxfId="1" priority="2871"/>
  </conditionalFormatting>
  <conditionalFormatting sqref="B9:C63;D9:D270;J9:K436;B34:B157;C64;B65:C155;C156;B157:C259;E221:I231;B270:B286">
    <cfRule type="expression" dxfId="0" priority="14">
      <formula>FILA()=CELDA("fila")</formula>
    </cfRule>
  </conditionalFormatting>
  <conditionalFormatting sqref="E9:I25;E26:H26;E27:G27;E28:I64;E65:G65;I65;E66:H66;E67:I88;E89:G90;E91:I96;E97:G97;I97;E98:I131;E132:H132;E133:I152;E153:G153;I153;E154:I157;E158:G158;I158;E159:I193;E194:H194;E195:I210;E211:G211;I211;E212:I218;E219:G219;I219;E220:H220;E232:G232;I232;E233:I236;E237:H237;E238:I266;C260;B261:C266;B268:C269;E269:I269;C270;E270:H270;C271:I271;C283:I283">
    <cfRule type="expression" dxfId="0" priority="37">
      <formula>FILA()=CELDA("fila")</formula>
    </cfRule>
  </conditionalFormatting>
  <conditionalFormatting sqref="B154:B155;B157:B159">
    <cfRule type="duplicateValues" dxfId="1" priority="62"/>
  </conditionalFormatting>
  <conditionalFormatting sqref="B198:B203;B205">
    <cfRule type="duplicateValues" dxfId="1" priority="73"/>
  </conditionalFormatting>
  <conditionalFormatting sqref="C267;E267:H268;C272:H272;E281:G281;I281;E282:I282;C284:C286">
    <cfRule type="expression" dxfId="0" priority="36">
      <formula>FILA()=CELDA("fila")</formula>
    </cfRule>
  </conditionalFormatting>
  <conditionalFormatting sqref="C273:I280;D386:D388">
    <cfRule type="expression" dxfId="0" priority="5">
      <formula>FILA()=CELDA("fila")</formula>
    </cfRule>
  </conditionalFormatting>
  <conditionalFormatting sqref="C281:D282;D284:D299;D301:D305;D307:D311;D313:D326;D329:D350;D352:D371;D373:D382;D392:D405;D407;D409:D436">
    <cfRule type="expression" dxfId="0" priority="3">
      <formula>FILA()=CELDA("fila")</formula>
    </cfRule>
  </conditionalFormatting>
  <conditionalFormatting sqref="B304:C305">
    <cfRule type="expression" dxfId="0" priority="12">
      <formula>FILA()=CELDA("fila")</formula>
    </cfRule>
  </conditionalFormatting>
  <pageMargins left="0.25" right="0.25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8">
    <tabColor theme="5"/>
  </sheetPr>
  <dimension ref="B5:N295"/>
  <sheetViews>
    <sheetView showGridLines="0" topLeftCell="A248" workbookViewId="0">
      <selection activeCell="G7" sqref="G7"/>
    </sheetView>
  </sheetViews>
  <sheetFormatPr defaultColWidth="10.7619047619048" defaultRowHeight="15"/>
  <cols>
    <col min="1" max="1" width="4.03809523809524" customWidth="1"/>
    <col min="2" max="2" width="23.9428571428571" customWidth="1"/>
    <col min="3" max="3" width="17.4857142857143" customWidth="1"/>
    <col min="4" max="4" width="18.2952380952381" customWidth="1"/>
    <col min="5" max="5" width="22.3238095238095" customWidth="1"/>
    <col min="6" max="6" width="3.62857142857143" customWidth="1"/>
    <col min="7" max="7" width="17.0857142857143" customWidth="1"/>
    <col min="8" max="8" width="19.9047619047619" customWidth="1"/>
    <col min="9" max="9" width="18.9619047619048" customWidth="1"/>
    <col min="10" max="10" width="11.5619047619048" customWidth="1"/>
    <col min="11" max="11" width="11.9714285714286" customWidth="1"/>
  </cols>
  <sheetData>
    <row r="5" ht="30" spans="2:9">
      <c r="B5" s="1" t="s">
        <v>3124</v>
      </c>
      <c r="C5" s="2" t="s">
        <v>3125</v>
      </c>
      <c r="D5" s="3" t="s">
        <v>3126</v>
      </c>
      <c r="E5" s="3" t="s">
        <v>3127</v>
      </c>
      <c r="G5" s="3" t="s">
        <v>3128</v>
      </c>
    </row>
    <row r="6" spans="2:9">
      <c r="B6" s="4" t="s">
        <v>3129</v>
      </c>
      <c r="C6" s="5"/>
      <c r="D6" s="6"/>
      <c r="E6" s="7"/>
      <c r="G6" s="4"/>
    </row>
    <row r="7" spans="2:9">
      <c r="B7" s="4" t="s">
        <v>3130</v>
      </c>
      <c r="C7" s="6"/>
      <c r="D7" s="4"/>
      <c r="E7" s="7"/>
      <c r="G7" s="4"/>
    </row>
    <row r="8" spans="2:9">
      <c r="B8" s="4" t="s">
        <v>3131</v>
      </c>
      <c r="C8" s="6"/>
      <c r="D8" s="6"/>
      <c r="E8" s="4"/>
      <c r="G8" s="4"/>
    </row>
    <row r="9" ht="15.75"/>
    <row r="10" customHeight="1" spans="2:9">
      <c r="B10" s="8" t="s">
        <v>3132</v>
      </c>
      <c r="C10" s="9"/>
      <c r="D10" s="9"/>
      <c r="E10" s="9"/>
      <c r="F10" s="9"/>
      <c r="G10" s="9"/>
      <c r="H10" s="9"/>
      <c r="I10" s="9"/>
    </row>
    <row r="11" customHeight="1" spans="2:9">
      <c r="B11" s="10"/>
      <c r="C11" s="11"/>
      <c r="D11" s="11"/>
      <c r="E11" s="11"/>
      <c r="F11" s="11"/>
      <c r="G11" s="11"/>
      <c r="H11" s="11"/>
      <c r="I11" s="11"/>
    </row>
    <row r="12" customHeight="1" spans="2:9">
      <c r="B12" s="12"/>
      <c r="C12" s="13"/>
      <c r="D12" s="13"/>
      <c r="E12" s="13"/>
      <c r="F12" s="13"/>
      <c r="G12" s="13"/>
      <c r="H12" s="13"/>
      <c r="I12" s="13"/>
    </row>
    <row r="13" spans="2:9">
      <c r="B13" s="14" t="s">
        <v>3133</v>
      </c>
      <c r="C13" s="15" t="s">
        <v>3134</v>
      </c>
      <c r="D13" s="16" t="s">
        <v>3135</v>
      </c>
      <c r="E13" s="16" t="s">
        <v>3136</v>
      </c>
      <c r="F13" s="17"/>
      <c r="G13" s="18" t="s">
        <v>3137</v>
      </c>
      <c r="H13" s="19" t="s">
        <v>3138</v>
      </c>
      <c r="I13" s="19" t="s">
        <v>3139</v>
      </c>
    </row>
    <row r="14" spans="2:9">
      <c r="B14" s="20">
        <v>45510</v>
      </c>
      <c r="C14" s="21"/>
      <c r="D14" s="22"/>
      <c r="E14" s="22"/>
      <c r="F14" s="23"/>
      <c r="G14" s="23"/>
      <c r="H14" s="5">
        <v>10500</v>
      </c>
      <c r="I14" s="24"/>
    </row>
    <row r="15" spans="2:9">
      <c r="B15" s="20">
        <v>45511</v>
      </c>
      <c r="C15" s="21"/>
      <c r="D15" s="22"/>
      <c r="E15" s="22"/>
      <c r="F15" s="23"/>
      <c r="G15" s="25">
        <v>3500</v>
      </c>
      <c r="H15" s="5">
        <v>8400</v>
      </c>
      <c r="I15" s="24"/>
    </row>
    <row r="16" spans="2:9">
      <c r="B16" s="20">
        <v>45512</v>
      </c>
      <c r="C16" s="21"/>
      <c r="D16" s="22"/>
      <c r="E16" s="22"/>
      <c r="F16" s="23"/>
      <c r="G16" s="25">
        <v>10500</v>
      </c>
      <c r="H16" s="24"/>
      <c r="I16" s="24"/>
    </row>
    <row r="17" spans="2:9">
      <c r="B17" s="20">
        <v>45513</v>
      </c>
      <c r="C17" s="21"/>
      <c r="D17" s="25"/>
      <c r="E17" s="25"/>
      <c r="F17" s="23"/>
      <c r="G17" s="25">
        <v>6300</v>
      </c>
      <c r="H17" s="23"/>
      <c r="I17" s="23"/>
    </row>
    <row r="18" spans="2:9">
      <c r="B18" s="20">
        <v>45516</v>
      </c>
      <c r="C18" s="21">
        <v>7500</v>
      </c>
      <c r="D18" s="25"/>
      <c r="E18" s="25">
        <v>5000</v>
      </c>
      <c r="F18" s="23"/>
      <c r="G18" s="25"/>
      <c r="H18" s="23"/>
      <c r="I18" s="23"/>
    </row>
    <row r="19" spans="2:9">
      <c r="B19" s="20">
        <v>45517</v>
      </c>
      <c r="C19" s="21"/>
      <c r="D19" s="22"/>
      <c r="E19" s="22">
        <v>5000</v>
      </c>
      <c r="F19" s="4"/>
      <c r="G19" s="4"/>
      <c r="H19" s="4"/>
      <c r="I19" s="4"/>
    </row>
    <row r="20" spans="2:9">
      <c r="B20" s="20">
        <v>45523</v>
      </c>
      <c r="C20" s="21">
        <v>5000</v>
      </c>
      <c r="D20" s="22"/>
      <c r="E20" s="22"/>
      <c r="F20" s="4"/>
      <c r="G20" s="4"/>
      <c r="H20" s="4"/>
      <c r="I20" s="4"/>
    </row>
    <row r="21" spans="2:9">
      <c r="B21" s="20">
        <v>45525</v>
      </c>
      <c r="C21" s="21">
        <v>9500</v>
      </c>
      <c r="D21" s="22"/>
      <c r="E21" s="22"/>
      <c r="F21" s="4"/>
      <c r="G21" s="4"/>
      <c r="H21" s="4"/>
      <c r="I21" s="4"/>
    </row>
    <row r="22" spans="2:9">
      <c r="B22" s="20">
        <v>45526</v>
      </c>
      <c r="C22" s="21"/>
      <c r="D22" s="22">
        <v>5500</v>
      </c>
      <c r="E22" s="22"/>
      <c r="F22" s="4"/>
      <c r="G22" s="4"/>
      <c r="H22" s="4"/>
      <c r="I22" s="4"/>
    </row>
    <row r="23" spans="2:9">
      <c r="B23" s="20">
        <v>45527</v>
      </c>
      <c r="C23" s="25">
        <v>4000</v>
      </c>
      <c r="D23" s="22"/>
      <c r="E23" s="22">
        <v>2500</v>
      </c>
      <c r="F23" s="4"/>
      <c r="G23" s="4"/>
      <c r="H23" s="4"/>
      <c r="I23" s="4"/>
    </row>
    <row r="24" spans="2:9">
      <c r="B24" s="20">
        <v>45531</v>
      </c>
      <c r="C24" s="25">
        <v>8000</v>
      </c>
      <c r="D24" s="22"/>
      <c r="E24" s="22"/>
      <c r="F24" s="4"/>
      <c r="G24" s="4"/>
      <c r="H24" s="4"/>
      <c r="I24" s="4"/>
    </row>
    <row r="25" spans="2:9">
      <c r="B25" s="20">
        <v>45532</v>
      </c>
      <c r="C25" s="25">
        <v>7000</v>
      </c>
      <c r="D25" s="22"/>
      <c r="E25" s="22"/>
      <c r="F25" s="4"/>
      <c r="G25" s="4"/>
      <c r="H25" s="4"/>
      <c r="I25" s="4"/>
    </row>
    <row r="26" spans="2:9">
      <c r="B26" s="20">
        <v>45533</v>
      </c>
      <c r="C26" s="25">
        <v>8500</v>
      </c>
      <c r="D26" s="22"/>
      <c r="E26" s="22"/>
      <c r="F26" s="4"/>
      <c r="G26" s="4"/>
      <c r="H26" s="4"/>
      <c r="I26" s="4"/>
    </row>
    <row r="27" spans="2:9">
      <c r="B27" s="20">
        <v>45537</v>
      </c>
      <c r="C27" s="25">
        <v>8000</v>
      </c>
      <c r="D27" s="22"/>
      <c r="E27" s="22"/>
      <c r="F27" s="4"/>
      <c r="G27" s="4"/>
      <c r="H27" s="4"/>
      <c r="I27" s="4"/>
    </row>
    <row r="28" spans="2:9">
      <c r="B28" s="20">
        <v>45538</v>
      </c>
      <c r="C28" s="25">
        <v>11000</v>
      </c>
      <c r="D28" s="22"/>
      <c r="E28" s="22">
        <v>0</v>
      </c>
      <c r="F28" s="4"/>
      <c r="G28" s="4"/>
      <c r="H28" s="4"/>
      <c r="I28" s="4"/>
    </row>
    <row r="29" spans="2:9">
      <c r="B29" s="20">
        <v>45539</v>
      </c>
      <c r="C29" s="25">
        <v>15000</v>
      </c>
      <c r="D29" s="22"/>
      <c r="E29" s="22"/>
      <c r="F29" s="4"/>
      <c r="G29" s="4"/>
      <c r="H29" s="4"/>
      <c r="I29" s="4"/>
    </row>
    <row r="30" spans="2:9">
      <c r="B30" s="20">
        <v>45541</v>
      </c>
      <c r="C30" s="25">
        <f>24*250</f>
        <v>6000</v>
      </c>
      <c r="D30" s="22"/>
      <c r="E30" s="22"/>
      <c r="F30" s="4"/>
      <c r="G30" s="4"/>
      <c r="H30" s="4">
        <f>12*300</f>
        <v>3600</v>
      </c>
      <c r="I30" s="4"/>
    </row>
    <row r="31" spans="2:9">
      <c r="B31" s="20">
        <v>45545</v>
      </c>
      <c r="C31" s="25"/>
      <c r="D31" s="22"/>
      <c r="E31" s="22"/>
      <c r="F31" s="4"/>
      <c r="G31" s="4"/>
      <c r="H31" s="4">
        <f>14*300</f>
        <v>4200</v>
      </c>
      <c r="I31" s="4"/>
    </row>
    <row r="32" spans="2:9">
      <c r="B32" s="20">
        <v>45547</v>
      </c>
      <c r="C32" s="25">
        <f>8*500</f>
        <v>4000</v>
      </c>
      <c r="D32" s="22"/>
      <c r="E32" s="22"/>
      <c r="F32" s="4"/>
      <c r="G32" s="4"/>
      <c r="H32" s="4">
        <f>22*300</f>
        <v>6600</v>
      </c>
      <c r="I32" s="4"/>
    </row>
    <row r="33" spans="2:9">
      <c r="B33" s="20">
        <v>45548</v>
      </c>
      <c r="C33" s="25">
        <f>16*500</f>
        <v>8000</v>
      </c>
      <c r="D33" s="22"/>
      <c r="E33" s="22"/>
      <c r="F33" s="4"/>
      <c r="G33" s="4"/>
      <c r="H33" s="4"/>
      <c r="I33" s="4"/>
    </row>
    <row r="34" spans="2:9">
      <c r="B34" s="20">
        <v>45551</v>
      </c>
      <c r="C34" s="25">
        <v>5500</v>
      </c>
      <c r="D34" s="22"/>
      <c r="E34" s="22"/>
      <c r="F34" s="4"/>
      <c r="G34" s="4">
        <v>5100</v>
      </c>
      <c r="H34" s="4"/>
      <c r="I34" s="4"/>
    </row>
    <row r="35" spans="2:9">
      <c r="B35" s="20">
        <v>45552</v>
      </c>
      <c r="C35" s="25"/>
      <c r="D35" s="22"/>
      <c r="E35" s="22"/>
      <c r="F35" s="4"/>
      <c r="G35" s="4">
        <v>9600</v>
      </c>
      <c r="H35" s="4"/>
      <c r="I35" s="4"/>
    </row>
    <row r="36" spans="2:9">
      <c r="B36" s="20">
        <v>45553</v>
      </c>
      <c r="C36" s="25"/>
      <c r="D36" s="22">
        <v>9500</v>
      </c>
      <c r="E36" s="22"/>
      <c r="F36" s="4"/>
      <c r="G36" s="4">
        <v>2100</v>
      </c>
      <c r="H36" s="4"/>
      <c r="I36" s="4"/>
    </row>
    <row r="37" spans="2:9">
      <c r="B37" s="20">
        <v>45554</v>
      </c>
      <c r="C37" s="25"/>
      <c r="D37" s="22">
        <v>9500</v>
      </c>
      <c r="E37" s="22"/>
      <c r="F37" s="4"/>
      <c r="G37" s="4"/>
      <c r="H37" s="4">
        <v>1750</v>
      </c>
      <c r="I37" s="4"/>
    </row>
    <row r="38" spans="2:9">
      <c r="B38" s="20">
        <v>45555</v>
      </c>
      <c r="C38" s="25">
        <v>2500</v>
      </c>
      <c r="D38" s="22">
        <v>5500</v>
      </c>
      <c r="E38" s="22"/>
      <c r="F38" s="4"/>
      <c r="G38" s="4"/>
      <c r="H38" s="4">
        <v>3600</v>
      </c>
      <c r="I38" s="4"/>
    </row>
    <row r="39" spans="2:9">
      <c r="B39" s="20">
        <v>45558</v>
      </c>
      <c r="C39" s="25">
        <v>6000</v>
      </c>
      <c r="D39" s="22"/>
      <c r="E39" s="22"/>
      <c r="F39" s="4"/>
      <c r="G39" s="4"/>
      <c r="H39" s="4">
        <v>4200</v>
      </c>
      <c r="I39" s="4"/>
    </row>
    <row r="40" spans="2:9">
      <c r="B40" s="20">
        <v>45560</v>
      </c>
      <c r="C40" s="25">
        <v>6000</v>
      </c>
      <c r="D40" s="22"/>
      <c r="E40" s="22"/>
      <c r="F40" s="4"/>
      <c r="G40" s="4">
        <v>8400</v>
      </c>
      <c r="H40" s="4"/>
      <c r="I40" s="4"/>
    </row>
    <row r="41" spans="2:9">
      <c r="B41" s="20">
        <v>45561</v>
      </c>
      <c r="C41" s="25">
        <v>13000</v>
      </c>
      <c r="D41" s="22"/>
      <c r="E41" s="22"/>
      <c r="F41" s="4"/>
      <c r="G41" s="4"/>
      <c r="H41" s="4"/>
      <c r="I41" s="4"/>
    </row>
    <row r="42" spans="2:9">
      <c r="B42" s="20">
        <v>45562</v>
      </c>
      <c r="C42" s="25">
        <v>6000</v>
      </c>
      <c r="D42" s="22"/>
      <c r="E42" s="22"/>
      <c r="F42" s="4"/>
      <c r="G42" s="4"/>
      <c r="H42" s="4"/>
      <c r="I42" s="4"/>
    </row>
    <row r="43" spans="2:9">
      <c r="B43" s="20">
        <v>45563</v>
      </c>
      <c r="C43" s="25">
        <v>12000</v>
      </c>
      <c r="D43" s="22"/>
      <c r="E43" s="22"/>
      <c r="F43" s="4"/>
      <c r="G43" s="4"/>
      <c r="H43" s="4"/>
      <c r="I43" s="4"/>
    </row>
    <row r="44" spans="2:9">
      <c r="B44" s="20">
        <v>45566</v>
      </c>
      <c r="C44" s="25">
        <v>2000</v>
      </c>
      <c r="D44" s="22"/>
      <c r="E44" s="22"/>
      <c r="F44" s="4"/>
      <c r="G44" s="4"/>
      <c r="H44" s="4"/>
      <c r="I44" s="4"/>
    </row>
    <row r="45" spans="2:9">
      <c r="B45" s="20">
        <v>45567</v>
      </c>
      <c r="C45" s="25">
        <v>7000</v>
      </c>
      <c r="D45" s="22"/>
      <c r="E45" s="22"/>
      <c r="F45" s="4"/>
      <c r="G45" s="4"/>
      <c r="H45" s="4"/>
      <c r="I45" s="4"/>
    </row>
    <row r="46" spans="2:9">
      <c r="B46" s="20">
        <v>45568</v>
      </c>
      <c r="C46" s="25">
        <v>10500</v>
      </c>
      <c r="D46" s="22"/>
      <c r="E46" s="22"/>
      <c r="F46" s="4"/>
      <c r="G46" s="4"/>
      <c r="H46" s="4"/>
      <c r="I46" s="4"/>
    </row>
    <row r="47" spans="2:9">
      <c r="B47" s="20">
        <v>45569</v>
      </c>
      <c r="C47" s="25">
        <v>8500</v>
      </c>
      <c r="D47" s="22"/>
      <c r="E47" s="22"/>
      <c r="F47" s="4"/>
      <c r="G47" s="4"/>
      <c r="H47" s="4"/>
      <c r="I47" s="4"/>
    </row>
    <row r="48" spans="2:9">
      <c r="B48" s="20">
        <v>45570</v>
      </c>
      <c r="C48" s="25">
        <v>7000</v>
      </c>
      <c r="D48" s="22"/>
      <c r="E48" s="22"/>
      <c r="F48" s="4"/>
      <c r="G48" s="4"/>
      <c r="H48" s="4"/>
      <c r="I48" s="4"/>
    </row>
    <row r="49" spans="2:14">
      <c r="B49" s="20">
        <v>45572</v>
      </c>
      <c r="C49" s="25">
        <v>11000</v>
      </c>
      <c r="D49" s="22"/>
      <c r="E49" s="22"/>
      <c r="F49" s="4"/>
      <c r="G49" s="4"/>
      <c r="H49" s="4"/>
      <c r="I49" s="4"/>
    </row>
    <row r="50" spans="2:14">
      <c r="B50" s="20">
        <v>45573</v>
      </c>
      <c r="C50" s="25">
        <v>5000</v>
      </c>
      <c r="D50" s="22"/>
      <c r="E50" s="22">
        <v>5000</v>
      </c>
      <c r="F50" s="4"/>
      <c r="G50" s="4"/>
      <c r="H50" s="4"/>
      <c r="I50" s="4"/>
    </row>
    <row r="51" spans="2:14">
      <c r="B51" s="20">
        <v>45577</v>
      </c>
      <c r="C51" s="25">
        <v>5500</v>
      </c>
      <c r="D51" s="22"/>
      <c r="E51" s="22">
        <v>3000</v>
      </c>
      <c r="F51" s="4"/>
      <c r="G51" s="4"/>
      <c r="H51" s="4"/>
      <c r="I51" s="4"/>
    </row>
    <row r="52" spans="2:14">
      <c r="B52" s="20">
        <v>45579</v>
      </c>
      <c r="D52" s="22"/>
      <c r="E52" s="22"/>
      <c r="F52" s="4"/>
      <c r="G52" s="4">
        <v>6300</v>
      </c>
      <c r="H52" s="4"/>
      <c r="I52" s="4"/>
    </row>
    <row r="53" spans="2:14">
      <c r="B53" s="20">
        <v>45580</v>
      </c>
      <c r="C53" s="25">
        <v>3000</v>
      </c>
      <c r="D53" s="22"/>
      <c r="E53" s="22"/>
      <c r="F53" s="4"/>
      <c r="G53" s="4">
        <v>5400</v>
      </c>
      <c r="H53" s="4"/>
      <c r="I53" s="4"/>
    </row>
    <row r="54" spans="2:14">
      <c r="B54" s="20">
        <v>45581</v>
      </c>
      <c r="C54" s="25">
        <v>10000</v>
      </c>
      <c r="D54" s="22"/>
      <c r="E54" s="22"/>
      <c r="F54" s="4"/>
      <c r="G54" s="4"/>
      <c r="H54" s="4"/>
      <c r="I54" s="4"/>
    </row>
    <row r="55" spans="2:14">
      <c r="B55" s="20">
        <v>45582</v>
      </c>
      <c r="C55" s="25">
        <v>11500</v>
      </c>
      <c r="D55" s="22"/>
      <c r="E55" s="22"/>
      <c r="F55" s="4"/>
      <c r="G55" s="4"/>
      <c r="H55" s="4"/>
      <c r="I55" s="4"/>
    </row>
    <row r="56" spans="2:14">
      <c r="B56" s="20">
        <v>45583</v>
      </c>
      <c r="C56" s="25">
        <v>11000</v>
      </c>
      <c r="D56" s="22"/>
      <c r="E56" s="22"/>
      <c r="F56" s="4"/>
      <c r="G56" s="4"/>
      <c r="H56" s="4"/>
      <c r="I56" s="4"/>
    </row>
    <row r="57" spans="2:14">
      <c r="B57" s="20">
        <v>45586</v>
      </c>
      <c r="C57" s="25">
        <v>8500</v>
      </c>
      <c r="D57" s="22"/>
      <c r="E57" s="22"/>
      <c r="F57" s="4"/>
      <c r="G57" s="4"/>
      <c r="H57" s="4"/>
      <c r="I57" s="4"/>
      <c r="K57" s="26"/>
      <c r="L57" s="26"/>
      <c r="M57" s="26"/>
      <c r="N57" s="26"/>
    </row>
    <row r="58" spans="2:14">
      <c r="B58" s="20">
        <v>45587</v>
      </c>
      <c r="C58" s="25">
        <v>10000</v>
      </c>
      <c r="D58" s="25"/>
      <c r="E58" s="22"/>
      <c r="F58" s="4"/>
      <c r="G58" s="4"/>
      <c r="H58" s="4"/>
      <c r="I58" s="4"/>
      <c r="K58" s="27">
        <v>45586</v>
      </c>
      <c r="L58" s="28">
        <v>5000</v>
      </c>
      <c r="M58" s="29">
        <v>10</v>
      </c>
      <c r="N58" s="29">
        <v>119</v>
      </c>
    </row>
    <row r="59" spans="2:14">
      <c r="B59" s="20">
        <v>45589</v>
      </c>
      <c r="C59" s="25"/>
      <c r="D59" s="22"/>
      <c r="E59" s="22"/>
      <c r="F59" s="4"/>
      <c r="G59" s="4">
        <v>10150</v>
      </c>
      <c r="H59" s="4"/>
      <c r="I59" s="4"/>
      <c r="K59" s="27">
        <v>45587</v>
      </c>
      <c r="L59" s="28">
        <v>5000</v>
      </c>
      <c r="M59" s="29">
        <v>10</v>
      </c>
      <c r="N59" s="29">
        <v>119</v>
      </c>
    </row>
    <row r="60" spans="2:14">
      <c r="B60" s="20">
        <v>45590</v>
      </c>
      <c r="C60" s="25"/>
      <c r="D60" s="22"/>
      <c r="E60" s="22"/>
      <c r="F60" s="4"/>
      <c r="G60" s="4">
        <v>2800</v>
      </c>
      <c r="H60" s="4">
        <v>7350</v>
      </c>
      <c r="I60" s="4"/>
      <c r="K60" s="27">
        <v>45588</v>
      </c>
      <c r="L60" s="28">
        <v>5000</v>
      </c>
      <c r="M60" s="29">
        <v>10</v>
      </c>
      <c r="N60" s="29">
        <v>119</v>
      </c>
    </row>
    <row r="61" spans="2:14">
      <c r="B61" s="20">
        <v>45593</v>
      </c>
      <c r="C61" s="25">
        <v>11500</v>
      </c>
      <c r="D61" s="22"/>
      <c r="E61" s="22"/>
      <c r="F61" s="4"/>
      <c r="G61" s="4"/>
      <c r="H61" s="4">
        <v>1200</v>
      </c>
      <c r="I61" s="4"/>
      <c r="K61" s="27">
        <v>45589</v>
      </c>
      <c r="L61" s="28">
        <v>4200</v>
      </c>
      <c r="M61" s="29">
        <v>12</v>
      </c>
      <c r="N61" s="29">
        <v>119</v>
      </c>
    </row>
    <row r="62" spans="2:14">
      <c r="B62" s="20">
        <v>45594</v>
      </c>
      <c r="C62" s="25">
        <v>10500</v>
      </c>
      <c r="D62" s="22"/>
      <c r="E62" s="22"/>
      <c r="F62" s="4"/>
      <c r="G62" s="4"/>
      <c r="H62" s="4"/>
      <c r="I62" s="4"/>
      <c r="K62" s="27">
        <v>45590</v>
      </c>
      <c r="L62" s="28">
        <v>4200</v>
      </c>
      <c r="M62" s="29">
        <v>12</v>
      </c>
      <c r="N62" s="29">
        <v>116</v>
      </c>
    </row>
    <row r="63" spans="2:14">
      <c r="B63" s="20">
        <v>45595</v>
      </c>
      <c r="C63" s="25">
        <v>11000</v>
      </c>
      <c r="D63" s="22"/>
      <c r="E63" s="22"/>
      <c r="F63" s="4"/>
      <c r="G63" s="4"/>
      <c r="H63" s="4"/>
      <c r="I63" s="4"/>
      <c r="K63" s="27">
        <v>45593</v>
      </c>
      <c r="L63" s="28">
        <v>4200</v>
      </c>
      <c r="M63" s="29">
        <v>12</v>
      </c>
      <c r="N63" s="29">
        <v>116</v>
      </c>
    </row>
    <row r="64" spans="2:14">
      <c r="B64" s="20">
        <v>45597</v>
      </c>
      <c r="C64" s="25">
        <v>11000</v>
      </c>
      <c r="D64" s="22"/>
      <c r="E64" s="22"/>
      <c r="F64" s="4"/>
      <c r="G64" s="4"/>
      <c r="H64" s="4"/>
      <c r="I64" s="4"/>
      <c r="K64" s="27">
        <v>45594</v>
      </c>
      <c r="L64" s="28">
        <v>3000</v>
      </c>
      <c r="M64" s="29">
        <v>6</v>
      </c>
      <c r="N64" s="29">
        <v>119</v>
      </c>
    </row>
    <row r="65" spans="2:14">
      <c r="B65" s="20">
        <v>45600</v>
      </c>
      <c r="C65" s="25">
        <v>11000</v>
      </c>
      <c r="D65" s="22">
        <v>2500</v>
      </c>
      <c r="E65" s="22"/>
      <c r="F65" s="4"/>
      <c r="G65" s="4"/>
      <c r="H65" s="4"/>
      <c r="I65" s="4"/>
      <c r="K65" s="27">
        <v>45595</v>
      </c>
      <c r="L65" s="28">
        <v>7000</v>
      </c>
      <c r="M65" s="29">
        <v>14</v>
      </c>
      <c r="N65" s="29">
        <v>119</v>
      </c>
    </row>
    <row r="66" spans="2:14">
      <c r="B66" s="20">
        <v>45601</v>
      </c>
      <c r="C66" s="25"/>
      <c r="D66" s="22">
        <v>10500</v>
      </c>
      <c r="E66" s="22"/>
      <c r="F66" s="4"/>
      <c r="G66" s="4"/>
      <c r="H66" s="4"/>
      <c r="I66" s="4"/>
      <c r="K66" s="27">
        <v>45601</v>
      </c>
      <c r="L66" s="28">
        <v>5000</v>
      </c>
      <c r="M66" s="29">
        <v>10</v>
      </c>
      <c r="N66" s="29">
        <v>119</v>
      </c>
    </row>
    <row r="67" spans="2:14">
      <c r="B67" s="20">
        <v>45607</v>
      </c>
      <c r="C67" s="25">
        <v>10000</v>
      </c>
      <c r="D67" s="22"/>
      <c r="E67" s="22"/>
      <c r="F67" s="4"/>
      <c r="G67" s="4"/>
      <c r="H67" s="4"/>
      <c r="I67" s="4"/>
      <c r="K67" s="27">
        <v>45602</v>
      </c>
      <c r="L67" s="28">
        <v>5000</v>
      </c>
      <c r="M67" s="29">
        <v>10</v>
      </c>
      <c r="N67" s="29">
        <v>119</v>
      </c>
    </row>
    <row r="68" spans="2:14">
      <c r="B68" s="20">
        <v>45610</v>
      </c>
      <c r="C68" s="25"/>
      <c r="D68" s="22"/>
      <c r="E68" s="22"/>
      <c r="F68" s="4"/>
      <c r="G68" s="4">
        <v>8400</v>
      </c>
      <c r="H68" s="4"/>
      <c r="I68" s="4"/>
      <c r="K68" s="27">
        <v>45604</v>
      </c>
      <c r="L68" s="28">
        <v>5000</v>
      </c>
      <c r="M68" s="29">
        <v>10</v>
      </c>
      <c r="N68" s="29">
        <v>119</v>
      </c>
    </row>
    <row r="69" spans="2:14">
      <c r="B69" s="20">
        <v>45615</v>
      </c>
      <c r="C69" s="25">
        <v>11000</v>
      </c>
      <c r="D69" s="22"/>
      <c r="E69" s="22"/>
      <c r="F69" s="4"/>
      <c r="G69" s="4"/>
      <c r="H69" s="4"/>
      <c r="I69" s="4"/>
      <c r="K69" s="27">
        <v>45607</v>
      </c>
      <c r="L69" s="28">
        <v>6000</v>
      </c>
      <c r="M69" s="29">
        <v>12</v>
      </c>
      <c r="N69" s="29">
        <v>116</v>
      </c>
    </row>
    <row r="70" spans="2:14">
      <c r="B70" s="20">
        <v>45616</v>
      </c>
      <c r="C70" s="25">
        <v>12000</v>
      </c>
      <c r="D70" s="22"/>
      <c r="E70" s="22"/>
      <c r="F70" s="4"/>
      <c r="G70" s="4"/>
      <c r="H70" s="4"/>
      <c r="I70" s="4"/>
      <c r="K70" s="27">
        <v>45610</v>
      </c>
      <c r="L70" s="28">
        <v>4200</v>
      </c>
      <c r="M70" s="29">
        <v>12</v>
      </c>
      <c r="N70" s="29">
        <v>119</v>
      </c>
    </row>
    <row r="71" spans="2:14">
      <c r="B71" s="20">
        <v>45617</v>
      </c>
      <c r="C71" s="25">
        <v>12000</v>
      </c>
      <c r="D71" s="22"/>
      <c r="E71" s="22"/>
      <c r="F71" s="4"/>
      <c r="G71" s="4"/>
      <c r="H71" s="4"/>
      <c r="I71" s="4"/>
      <c r="K71" s="27">
        <v>45611</v>
      </c>
      <c r="L71" s="28">
        <v>4200</v>
      </c>
      <c r="M71" s="29">
        <v>12</v>
      </c>
      <c r="N71" s="29">
        <v>119</v>
      </c>
    </row>
    <row r="72" spans="2:14">
      <c r="B72" s="20">
        <v>45618</v>
      </c>
      <c r="C72" s="25"/>
      <c r="D72" s="22"/>
      <c r="E72" s="22">
        <v>13000</v>
      </c>
      <c r="F72" s="4"/>
      <c r="G72" s="4"/>
      <c r="H72" s="4"/>
      <c r="I72" s="4"/>
      <c r="K72" s="27">
        <v>45615</v>
      </c>
      <c r="L72" s="28">
        <v>5500</v>
      </c>
      <c r="M72" s="29">
        <v>11</v>
      </c>
      <c r="N72" s="29">
        <v>119</v>
      </c>
    </row>
    <row r="73" spans="2:14">
      <c r="B73" s="20">
        <v>45621</v>
      </c>
      <c r="C73" s="25">
        <v>6000</v>
      </c>
      <c r="D73" s="22"/>
      <c r="E73" s="22"/>
      <c r="F73" s="4"/>
      <c r="G73" s="4"/>
      <c r="H73" s="4">
        <v>4200</v>
      </c>
      <c r="I73" s="4"/>
      <c r="K73" s="27">
        <v>45616</v>
      </c>
      <c r="L73" s="28">
        <v>5500</v>
      </c>
      <c r="M73" s="29">
        <v>11</v>
      </c>
      <c r="N73" s="29">
        <v>119</v>
      </c>
    </row>
    <row r="74" spans="2:14">
      <c r="B74" s="20">
        <v>45622</v>
      </c>
      <c r="C74" s="25"/>
      <c r="D74" s="22"/>
      <c r="E74" s="22"/>
      <c r="F74" s="4"/>
      <c r="G74" s="4">
        <v>4200</v>
      </c>
      <c r="H74" s="4">
        <v>4200</v>
      </c>
      <c r="I74" s="4"/>
      <c r="K74" s="29" t="s">
        <v>78</v>
      </c>
      <c r="L74" s="28">
        <f>SUM(L58:L73)</f>
        <v>78000</v>
      </c>
      <c r="M74" s="29">
        <f>SUM(M58:M73)</f>
        <v>174</v>
      </c>
      <c r="N74" s="29"/>
    </row>
    <row r="75" spans="2:14">
      <c r="B75" s="20">
        <v>45623</v>
      </c>
      <c r="C75" s="25">
        <v>3500</v>
      </c>
      <c r="D75" s="22"/>
      <c r="E75" s="22"/>
      <c r="F75" s="4"/>
      <c r="G75" s="4">
        <v>7500</v>
      </c>
      <c r="H75" s="4"/>
      <c r="I75" s="4"/>
    </row>
    <row r="76" spans="2:14">
      <c r="B76" s="20">
        <v>45624</v>
      </c>
      <c r="C76" s="25"/>
      <c r="D76" s="22"/>
      <c r="E76" s="22"/>
      <c r="F76" s="4"/>
      <c r="G76" s="4"/>
      <c r="H76" s="4"/>
      <c r="I76" s="4"/>
    </row>
    <row r="77" spans="2:14">
      <c r="B77" s="20">
        <v>45625</v>
      </c>
      <c r="C77" s="25">
        <v>12000</v>
      </c>
      <c r="D77" s="22"/>
      <c r="E77" s="22"/>
      <c r="F77" s="4"/>
      <c r="G77" s="4"/>
      <c r="H77" s="4"/>
      <c r="I77" s="4"/>
    </row>
    <row r="78" spans="2:14">
      <c r="B78" s="20">
        <v>45628</v>
      </c>
      <c r="C78" s="25">
        <v>12000</v>
      </c>
      <c r="D78" s="22"/>
      <c r="E78" s="22"/>
      <c r="F78" s="4"/>
      <c r="G78" s="4"/>
      <c r="H78" s="4"/>
      <c r="I78" s="4"/>
    </row>
    <row r="79" spans="2:14">
      <c r="B79" s="20">
        <v>45631</v>
      </c>
      <c r="C79" s="25">
        <v>12000</v>
      </c>
      <c r="D79" s="22"/>
      <c r="E79" s="22"/>
      <c r="F79" s="4"/>
      <c r="G79" s="4"/>
      <c r="H79" s="4"/>
      <c r="I79" s="4"/>
    </row>
    <row r="80" spans="2:14">
      <c r="B80" s="20">
        <v>45632</v>
      </c>
      <c r="C80" s="25">
        <v>12000</v>
      </c>
      <c r="D80" s="22"/>
      <c r="E80" s="22"/>
      <c r="F80" s="4"/>
      <c r="G80" s="4"/>
      <c r="H80" s="4"/>
      <c r="I80" s="4"/>
    </row>
    <row r="81" spans="2:9">
      <c r="B81" s="20">
        <v>45635</v>
      </c>
      <c r="C81" s="25">
        <v>12000</v>
      </c>
      <c r="D81" s="22"/>
      <c r="E81" s="22"/>
      <c r="F81" s="4"/>
      <c r="G81" s="4"/>
      <c r="H81" s="4"/>
      <c r="I81" s="4"/>
    </row>
    <row r="82" spans="2:9">
      <c r="B82" s="20">
        <v>45637</v>
      </c>
      <c r="C82" s="25">
        <v>12000</v>
      </c>
      <c r="D82" s="22"/>
      <c r="E82" s="22"/>
      <c r="F82" s="4"/>
      <c r="G82" s="4"/>
      <c r="H82" s="4"/>
      <c r="I82" s="4"/>
    </row>
    <row r="83" spans="2:9">
      <c r="B83" s="20">
        <v>45644</v>
      </c>
      <c r="C83" s="25">
        <v>8000</v>
      </c>
      <c r="D83" s="22"/>
      <c r="E83" s="22"/>
      <c r="F83" s="4"/>
      <c r="G83" s="4"/>
      <c r="H83" s="4"/>
      <c r="I83" s="4"/>
    </row>
    <row r="84" spans="2:9">
      <c r="B84" s="20">
        <v>45645</v>
      </c>
      <c r="C84" s="25">
        <v>12000</v>
      </c>
      <c r="D84" s="22"/>
      <c r="E84" s="22"/>
      <c r="F84" s="4"/>
      <c r="G84" s="4"/>
      <c r="H84" s="4"/>
      <c r="I84" s="4"/>
    </row>
    <row r="85" spans="2:9">
      <c r="B85" s="20">
        <v>45646</v>
      </c>
      <c r="C85" s="25">
        <v>12000</v>
      </c>
      <c r="D85" s="22"/>
      <c r="E85" s="22"/>
      <c r="F85" s="4"/>
      <c r="G85" s="4"/>
      <c r="H85" s="4"/>
      <c r="I85" s="4"/>
    </row>
    <row r="86" spans="2:9">
      <c r="B86" s="20">
        <v>45649</v>
      </c>
      <c r="C86" s="25">
        <v>12000</v>
      </c>
      <c r="D86" s="22"/>
      <c r="E86" s="22"/>
      <c r="F86" s="4"/>
      <c r="G86" s="4"/>
      <c r="H86" s="4"/>
      <c r="I86" s="4"/>
    </row>
    <row r="87" spans="2:9">
      <c r="B87" s="20">
        <v>45650</v>
      </c>
      <c r="C87" s="25">
        <v>12000</v>
      </c>
      <c r="D87" s="22"/>
      <c r="E87" s="22"/>
      <c r="F87" s="4"/>
      <c r="G87" s="4"/>
      <c r="H87" s="4"/>
      <c r="I87" s="4"/>
    </row>
    <row r="88" spans="2:9">
      <c r="B88" s="20">
        <v>45652</v>
      </c>
      <c r="C88" s="25">
        <v>12000</v>
      </c>
      <c r="D88" s="22"/>
      <c r="E88" s="22"/>
      <c r="F88" s="4"/>
      <c r="G88" s="4"/>
      <c r="H88" s="4"/>
      <c r="I88" s="4"/>
    </row>
    <row r="89" spans="2:9">
      <c r="B89" s="20">
        <v>45653</v>
      </c>
      <c r="C89" s="25">
        <v>12000</v>
      </c>
      <c r="D89" s="22"/>
      <c r="E89" s="22"/>
      <c r="F89" s="4"/>
      <c r="G89" s="4"/>
      <c r="H89" s="4"/>
      <c r="I89" s="4"/>
    </row>
    <row r="90" spans="2:9">
      <c r="B90" s="20">
        <v>45654</v>
      </c>
      <c r="C90" s="25">
        <v>13000</v>
      </c>
      <c r="D90" s="22"/>
      <c r="E90" s="22"/>
      <c r="F90" s="4"/>
      <c r="G90" s="4"/>
      <c r="H90" s="4"/>
      <c r="I90" s="4"/>
    </row>
    <row r="91" spans="2:9">
      <c r="B91" s="20">
        <v>45656</v>
      </c>
      <c r="C91" s="25">
        <v>13000</v>
      </c>
      <c r="D91" s="22"/>
      <c r="E91" s="22"/>
      <c r="F91" s="4"/>
      <c r="G91" s="4"/>
      <c r="H91" s="4"/>
      <c r="I91" s="4"/>
    </row>
    <row r="92" spans="2:9">
      <c r="B92" s="20">
        <v>45657</v>
      </c>
      <c r="C92" s="25">
        <v>7000</v>
      </c>
      <c r="D92" s="22"/>
      <c r="E92" s="22"/>
      <c r="F92" s="4"/>
      <c r="G92" s="4"/>
      <c r="H92" s="4"/>
      <c r="I92" s="4"/>
    </row>
    <row r="93" spans="2:9">
      <c r="B93" s="20">
        <v>45659</v>
      </c>
      <c r="C93" s="25">
        <v>12500</v>
      </c>
      <c r="D93" s="22"/>
      <c r="E93" s="22"/>
      <c r="F93" s="4"/>
      <c r="G93" s="4"/>
      <c r="H93" s="4"/>
      <c r="I93" s="4"/>
    </row>
    <row r="94" spans="2:9">
      <c r="B94" s="20">
        <v>45660</v>
      </c>
      <c r="C94" s="25">
        <v>13000</v>
      </c>
      <c r="D94" s="22"/>
      <c r="E94" s="22"/>
      <c r="F94" s="4"/>
      <c r="G94" s="4"/>
      <c r="H94" s="4"/>
      <c r="I94" s="4"/>
    </row>
    <row r="95" spans="2:9">
      <c r="B95" s="20">
        <v>45297</v>
      </c>
      <c r="C95" s="25">
        <v>13000</v>
      </c>
      <c r="D95" s="22"/>
      <c r="E95" s="22"/>
      <c r="F95" s="4"/>
      <c r="G95" s="4"/>
      <c r="H95" s="4"/>
      <c r="I95" s="4"/>
    </row>
    <row r="96" spans="2:9">
      <c r="B96" s="20">
        <v>45664</v>
      </c>
      <c r="C96" s="25">
        <v>13000</v>
      </c>
      <c r="D96" s="22"/>
      <c r="E96" s="22"/>
      <c r="F96" s="4"/>
      <c r="G96" s="4"/>
      <c r="H96" s="4"/>
      <c r="I96" s="4"/>
    </row>
    <row r="97" spans="2:9">
      <c r="B97" s="20">
        <v>45665</v>
      </c>
      <c r="C97" s="25"/>
      <c r="D97" s="22"/>
      <c r="E97" s="22"/>
      <c r="F97" s="4"/>
      <c r="G97" s="4">
        <v>8400</v>
      </c>
      <c r="H97" s="4"/>
      <c r="I97" s="4"/>
    </row>
    <row r="98" spans="2:9">
      <c r="B98" s="20">
        <v>45666</v>
      </c>
      <c r="C98" s="25">
        <v>5000</v>
      </c>
      <c r="D98" s="22"/>
      <c r="E98" s="22"/>
      <c r="F98" s="4"/>
      <c r="G98" s="4">
        <v>4200</v>
      </c>
      <c r="H98" s="4"/>
      <c r="I98" s="4"/>
    </row>
    <row r="99" spans="2:9">
      <c r="B99" s="20">
        <v>45667</v>
      </c>
      <c r="C99" s="25">
        <v>2000</v>
      </c>
      <c r="D99" s="22"/>
      <c r="E99" s="22"/>
      <c r="F99" s="4"/>
      <c r="G99" s="4"/>
      <c r="H99" s="4">
        <f>30*350</f>
        <v>10500</v>
      </c>
      <c r="I99" s="4"/>
    </row>
    <row r="100" spans="2:9">
      <c r="B100" s="20">
        <v>45670</v>
      </c>
      <c r="C100" s="25"/>
      <c r="D100" s="22"/>
      <c r="E100" s="22"/>
      <c r="F100" s="4"/>
      <c r="G100" s="4">
        <v>4200</v>
      </c>
      <c r="H100" s="4"/>
      <c r="I100" s="4"/>
    </row>
    <row r="101" spans="2:9">
      <c r="B101" s="20">
        <v>45671</v>
      </c>
      <c r="C101" s="25">
        <v>5000</v>
      </c>
      <c r="D101" s="22"/>
      <c r="E101" s="22"/>
      <c r="F101" s="4"/>
      <c r="G101" s="4">
        <v>4200</v>
      </c>
      <c r="H101" s="4"/>
      <c r="I101" s="4"/>
    </row>
    <row r="102" spans="2:9">
      <c r="B102" s="20">
        <v>45672</v>
      </c>
      <c r="C102" s="25">
        <v>13000</v>
      </c>
      <c r="D102" s="22"/>
      <c r="E102" s="22"/>
      <c r="F102" s="4"/>
      <c r="G102" s="4"/>
      <c r="H102" s="4"/>
      <c r="I102" s="4"/>
    </row>
    <row r="103" spans="2:9">
      <c r="B103" s="20">
        <v>45673</v>
      </c>
      <c r="C103" s="25">
        <v>12500</v>
      </c>
      <c r="D103" s="22"/>
      <c r="E103" s="22"/>
      <c r="F103" s="4"/>
      <c r="G103" s="4"/>
      <c r="H103" s="4"/>
      <c r="I103" s="4"/>
    </row>
    <row r="104" spans="2:9">
      <c r="B104" s="20">
        <v>45674</v>
      </c>
      <c r="C104" s="25">
        <v>12000</v>
      </c>
      <c r="D104" s="22"/>
      <c r="E104" s="22"/>
      <c r="F104" s="4"/>
      <c r="G104" s="4"/>
      <c r="H104" s="4"/>
      <c r="I104" s="4"/>
    </row>
    <row r="105" spans="2:9">
      <c r="B105" s="20">
        <v>45677</v>
      </c>
      <c r="C105" s="25">
        <v>13000</v>
      </c>
      <c r="D105" s="22"/>
      <c r="E105" s="22"/>
      <c r="F105" s="4"/>
      <c r="G105" s="4"/>
      <c r="H105" s="4"/>
      <c r="I105" s="4"/>
    </row>
    <row r="106" spans="2:9">
      <c r="B106" s="20">
        <v>45680</v>
      </c>
      <c r="C106" s="25">
        <v>10000</v>
      </c>
      <c r="D106" s="22"/>
      <c r="E106" s="22"/>
      <c r="F106" s="4"/>
      <c r="G106" s="4"/>
      <c r="H106" s="4"/>
      <c r="I106" s="4"/>
    </row>
    <row r="107" spans="2:9">
      <c r="B107" s="20">
        <v>45681</v>
      </c>
      <c r="C107" s="25">
        <v>12500</v>
      </c>
      <c r="D107" s="22"/>
      <c r="E107" s="22"/>
      <c r="F107" s="4"/>
      <c r="G107" s="4"/>
      <c r="H107" s="4"/>
      <c r="I107" s="4"/>
    </row>
    <row r="108" spans="2:9">
      <c r="B108" s="20">
        <v>45684</v>
      </c>
      <c r="C108" s="25">
        <v>12500</v>
      </c>
      <c r="D108" s="22"/>
      <c r="E108" s="22"/>
      <c r="F108" s="4"/>
      <c r="G108" s="4"/>
      <c r="H108" s="4"/>
      <c r="I108" s="4"/>
    </row>
    <row r="109" spans="2:9">
      <c r="B109" s="20">
        <v>45685</v>
      </c>
      <c r="C109" s="25">
        <v>8000</v>
      </c>
      <c r="D109" s="22"/>
      <c r="E109" s="22"/>
      <c r="F109" s="4"/>
      <c r="G109" s="4">
        <v>2500</v>
      </c>
      <c r="H109" s="4"/>
      <c r="I109" s="4"/>
    </row>
    <row r="110" spans="2:9">
      <c r="B110" s="20">
        <v>45686</v>
      </c>
      <c r="C110" s="25"/>
      <c r="D110" s="22"/>
      <c r="E110" s="22"/>
      <c r="F110" s="4"/>
      <c r="G110" s="4">
        <f>16*500</f>
        <v>8000</v>
      </c>
      <c r="H110" s="4"/>
      <c r="I110" s="4"/>
    </row>
    <row r="111" spans="2:9">
      <c r="B111" s="20">
        <v>45688</v>
      </c>
      <c r="C111" s="25">
        <v>6000</v>
      </c>
      <c r="D111" s="22"/>
      <c r="E111" s="22"/>
      <c r="F111" s="4"/>
      <c r="G111" s="4">
        <v>5000</v>
      </c>
      <c r="H111" s="4"/>
      <c r="I111" s="4"/>
    </row>
    <row r="112" spans="2:9">
      <c r="B112" s="20">
        <v>45692</v>
      </c>
      <c r="C112" s="25">
        <v>12500</v>
      </c>
      <c r="D112" s="22"/>
      <c r="E112" s="22"/>
      <c r="F112" s="4"/>
      <c r="G112" s="4"/>
      <c r="H112" s="4"/>
      <c r="I112" s="4"/>
    </row>
    <row r="113" spans="2:9">
      <c r="B113" s="20">
        <v>45693</v>
      </c>
      <c r="C113" s="25">
        <v>9500</v>
      </c>
      <c r="D113" s="22"/>
      <c r="E113" s="22"/>
      <c r="F113" s="4"/>
      <c r="G113" s="4">
        <v>3000</v>
      </c>
      <c r="H113" s="4"/>
      <c r="I113" s="4"/>
    </row>
    <row r="114" spans="2:9">
      <c r="B114" s="20">
        <v>45694</v>
      </c>
      <c r="C114" s="25">
        <v>7500</v>
      </c>
      <c r="D114" s="22"/>
      <c r="E114" s="22"/>
      <c r="F114" s="4"/>
      <c r="G114" s="4"/>
      <c r="H114" s="4"/>
      <c r="I114" s="4"/>
    </row>
    <row r="115" spans="2:9">
      <c r="B115" s="20">
        <v>45698</v>
      </c>
      <c r="C115" s="25">
        <v>12000</v>
      </c>
      <c r="D115" s="22"/>
      <c r="E115" s="22"/>
      <c r="F115" s="4"/>
      <c r="G115" s="4"/>
      <c r="H115" s="4"/>
      <c r="I115" s="4"/>
    </row>
    <row r="116" spans="2:9">
      <c r="B116" s="20">
        <v>45699</v>
      </c>
      <c r="C116" s="25"/>
      <c r="D116" s="22"/>
      <c r="E116" s="22"/>
      <c r="F116" s="4"/>
      <c r="G116" s="4">
        <v>13000</v>
      </c>
      <c r="H116" s="4"/>
      <c r="I116" s="4"/>
    </row>
    <row r="117" spans="2:9">
      <c r="B117" s="20">
        <v>45700</v>
      </c>
      <c r="C117" s="25"/>
      <c r="D117" s="22"/>
      <c r="E117" s="22"/>
      <c r="F117" s="4"/>
      <c r="G117" s="4">
        <v>13000</v>
      </c>
      <c r="H117" s="4"/>
      <c r="I117" s="4"/>
    </row>
    <row r="118" spans="2:9">
      <c r="B118" s="20">
        <v>45701</v>
      </c>
      <c r="C118" s="25">
        <v>13000</v>
      </c>
      <c r="D118" s="22"/>
      <c r="E118" s="22"/>
      <c r="F118" s="4"/>
      <c r="G118" s="4"/>
      <c r="H118" s="4"/>
      <c r="I118" s="4"/>
    </row>
    <row r="119" spans="2:9">
      <c r="B119" s="20">
        <v>45702</v>
      </c>
      <c r="C119" s="25">
        <v>7000</v>
      </c>
      <c r="D119" s="22"/>
      <c r="E119" s="22"/>
      <c r="F119" s="4"/>
      <c r="G119" s="4"/>
      <c r="H119" s="4"/>
      <c r="I119" s="4"/>
    </row>
    <row r="120" spans="2:9">
      <c r="B120" s="20">
        <v>45705</v>
      </c>
      <c r="C120" s="25">
        <v>7000</v>
      </c>
      <c r="D120" s="22"/>
      <c r="E120" s="22"/>
      <c r="F120" s="4"/>
      <c r="G120" s="4"/>
      <c r="H120" s="4"/>
      <c r="I120" s="4"/>
    </row>
    <row r="121" spans="2:9">
      <c r="B121" s="20">
        <v>45707</v>
      </c>
      <c r="C121" s="25">
        <v>12500</v>
      </c>
      <c r="D121" s="22"/>
      <c r="E121" s="22"/>
      <c r="F121" s="4"/>
      <c r="G121" s="4"/>
      <c r="H121" s="4"/>
      <c r="I121" s="4"/>
    </row>
    <row r="122" spans="2:9">
      <c r="B122" s="20">
        <v>45708</v>
      </c>
      <c r="C122" s="25">
        <v>13000</v>
      </c>
      <c r="D122" s="22"/>
      <c r="E122" s="22"/>
      <c r="F122" s="4"/>
      <c r="G122" s="4"/>
      <c r="H122" s="4"/>
      <c r="I122" s="4"/>
    </row>
    <row r="123" spans="2:9">
      <c r="B123" s="20">
        <v>45709</v>
      </c>
      <c r="C123" s="25">
        <v>6000</v>
      </c>
      <c r="D123" s="22"/>
      <c r="E123" s="22"/>
      <c r="F123" s="4"/>
      <c r="G123" s="4">
        <v>6000</v>
      </c>
      <c r="H123" s="4"/>
      <c r="I123" s="4"/>
    </row>
    <row r="124" spans="2:9">
      <c r="B124" s="20">
        <v>45712</v>
      </c>
      <c r="C124" s="25">
        <v>12000</v>
      </c>
      <c r="D124" s="22"/>
      <c r="E124" s="22"/>
      <c r="F124" s="4"/>
      <c r="G124" s="4"/>
      <c r="H124" s="4"/>
      <c r="I124" s="4"/>
    </row>
    <row r="125" spans="2:9">
      <c r="B125" s="20">
        <v>45713</v>
      </c>
      <c r="C125" s="25">
        <v>12000</v>
      </c>
      <c r="D125" s="22"/>
      <c r="E125" s="22"/>
      <c r="F125" s="4"/>
      <c r="G125" s="4"/>
      <c r="H125" s="4"/>
      <c r="I125" s="4"/>
    </row>
    <row r="126" spans="2:9">
      <c r="B126" s="20">
        <v>45714</v>
      </c>
      <c r="C126" s="25">
        <v>12000</v>
      </c>
      <c r="D126" s="22"/>
      <c r="E126" s="22"/>
      <c r="F126" s="4"/>
      <c r="G126" s="4"/>
      <c r="H126" s="4"/>
      <c r="I126" s="4"/>
    </row>
    <row r="127" spans="2:9">
      <c r="B127" s="20">
        <v>45715</v>
      </c>
      <c r="C127" s="25">
        <v>13000</v>
      </c>
      <c r="D127" s="22"/>
      <c r="E127" s="22"/>
      <c r="F127" s="4"/>
      <c r="G127" s="4"/>
      <c r="H127" s="4"/>
      <c r="I127" s="4"/>
    </row>
    <row r="128" spans="2:9">
      <c r="B128" s="20">
        <v>45716</v>
      </c>
      <c r="C128" s="25">
        <v>12000</v>
      </c>
      <c r="D128" s="22"/>
      <c r="E128" s="22"/>
      <c r="F128" s="4"/>
      <c r="G128" s="4"/>
      <c r="H128" s="4"/>
      <c r="I128" s="4"/>
    </row>
    <row r="129" spans="2:9">
      <c r="B129" s="20">
        <v>45720</v>
      </c>
      <c r="C129" s="25">
        <v>12000</v>
      </c>
      <c r="D129" s="22"/>
      <c r="E129" s="22"/>
      <c r="F129" s="4"/>
      <c r="G129" s="4"/>
      <c r="H129" s="4"/>
      <c r="I129" s="4"/>
    </row>
    <row r="130" spans="2:9">
      <c r="B130" s="20">
        <v>45721</v>
      </c>
      <c r="C130" s="25">
        <v>5000</v>
      </c>
      <c r="D130" s="22"/>
      <c r="E130" s="22"/>
      <c r="F130" s="4"/>
      <c r="G130" s="4"/>
      <c r="H130" s="4"/>
      <c r="I130" s="4"/>
    </row>
    <row r="131" spans="2:9">
      <c r="B131" s="20">
        <v>45723</v>
      </c>
      <c r="C131" s="25">
        <v>13500</v>
      </c>
      <c r="D131" s="22"/>
      <c r="E131" s="22"/>
      <c r="F131" s="4"/>
      <c r="G131" s="4"/>
      <c r="H131" s="4"/>
      <c r="I131" s="4"/>
    </row>
    <row r="132" spans="2:9">
      <c r="B132" s="20">
        <v>45726</v>
      </c>
      <c r="C132" s="25">
        <v>13500</v>
      </c>
      <c r="D132" s="22"/>
      <c r="E132" s="22"/>
      <c r="F132" s="4"/>
      <c r="G132" s="4"/>
      <c r="H132" s="4"/>
      <c r="I132" s="4"/>
    </row>
    <row r="133" spans="2:9">
      <c r="B133" s="20">
        <v>45727</v>
      </c>
      <c r="C133" s="25">
        <v>12500</v>
      </c>
      <c r="D133" s="22"/>
      <c r="E133" s="22"/>
      <c r="F133" s="4"/>
      <c r="G133" s="4"/>
      <c r="H133" s="4"/>
      <c r="I133" s="4"/>
    </row>
    <row r="134" spans="2:9">
      <c r="B134" s="20">
        <v>45728</v>
      </c>
      <c r="C134" s="25">
        <v>12500</v>
      </c>
      <c r="D134" s="22"/>
      <c r="E134" s="22"/>
      <c r="F134" s="4"/>
      <c r="G134" s="4"/>
      <c r="H134" s="4"/>
      <c r="I134" s="4"/>
    </row>
    <row r="135" spans="2:9">
      <c r="B135" s="20">
        <v>45701</v>
      </c>
      <c r="C135" s="25">
        <v>7000</v>
      </c>
      <c r="D135" s="22"/>
      <c r="E135" s="22"/>
      <c r="F135" s="4"/>
      <c r="G135" s="4"/>
      <c r="H135" s="4"/>
      <c r="I135" s="4"/>
    </row>
    <row r="136" spans="2:9">
      <c r="B136" s="20">
        <v>45702</v>
      </c>
      <c r="C136" s="25">
        <v>12500</v>
      </c>
      <c r="D136" s="22"/>
      <c r="E136" s="22"/>
      <c r="F136" s="4"/>
      <c r="G136" s="4"/>
      <c r="H136" s="4"/>
      <c r="I136" s="4"/>
    </row>
    <row r="137" spans="2:9">
      <c r="B137" s="20">
        <v>45703</v>
      </c>
      <c r="C137" s="25">
        <v>13000</v>
      </c>
      <c r="D137" s="22"/>
      <c r="E137" s="22"/>
      <c r="F137" s="4"/>
      <c r="G137" s="4"/>
      <c r="H137" s="4"/>
      <c r="I137" s="4"/>
    </row>
    <row r="138" spans="2:9">
      <c r="B138" s="20">
        <v>45705</v>
      </c>
      <c r="C138" s="25">
        <v>13000</v>
      </c>
      <c r="D138" s="22"/>
      <c r="E138" s="22"/>
      <c r="F138" s="4"/>
      <c r="G138" s="4"/>
      <c r="H138" s="4"/>
      <c r="I138" s="4"/>
    </row>
    <row r="139" spans="2:9">
      <c r="B139" s="20">
        <v>45705</v>
      </c>
      <c r="C139" s="25">
        <v>12500</v>
      </c>
      <c r="D139" s="22"/>
      <c r="E139" s="22"/>
      <c r="F139" s="4"/>
      <c r="G139" s="4"/>
      <c r="H139" s="4"/>
      <c r="I139" s="4"/>
    </row>
    <row r="140" spans="2:9">
      <c r="B140" s="20">
        <v>45736</v>
      </c>
      <c r="C140" s="25">
        <v>13000</v>
      </c>
      <c r="D140" s="22"/>
      <c r="E140" s="22"/>
      <c r="F140" s="4"/>
      <c r="G140" s="4"/>
      <c r="H140" s="4"/>
      <c r="I140" s="4"/>
    </row>
    <row r="141" spans="2:9">
      <c r="B141" s="20">
        <v>46106</v>
      </c>
      <c r="C141" s="25">
        <v>13000</v>
      </c>
      <c r="D141" s="22"/>
      <c r="E141" s="22"/>
      <c r="F141" s="4"/>
      <c r="G141" s="4"/>
      <c r="H141" s="4"/>
      <c r="I141" s="4"/>
    </row>
    <row r="142" spans="2:9">
      <c r="B142" s="20">
        <v>45742</v>
      </c>
      <c r="C142" s="25">
        <v>13000</v>
      </c>
      <c r="D142" s="22"/>
      <c r="E142" s="22"/>
      <c r="F142" s="4"/>
      <c r="G142" s="4"/>
      <c r="H142" s="4"/>
      <c r="I142" s="4"/>
    </row>
    <row r="143" spans="2:9">
      <c r="B143" s="30">
        <v>45743</v>
      </c>
      <c r="C143" s="31">
        <v>12500</v>
      </c>
      <c r="D143" s="32"/>
      <c r="E143" s="32"/>
      <c r="F143" s="33"/>
      <c r="G143" s="33"/>
      <c r="H143" s="33"/>
      <c r="I143" s="33"/>
    </row>
    <row r="144" spans="2:9">
      <c r="B144" s="20">
        <v>45688</v>
      </c>
      <c r="C144" s="25">
        <v>12500</v>
      </c>
      <c r="D144" s="22"/>
      <c r="E144" s="22"/>
      <c r="F144" s="4"/>
      <c r="G144" s="4"/>
      <c r="H144" s="4"/>
      <c r="I144" s="4"/>
    </row>
    <row r="145" spans="2:9">
      <c r="B145" s="20">
        <v>45748</v>
      </c>
      <c r="C145" s="25">
        <v>6000</v>
      </c>
      <c r="D145" s="22"/>
      <c r="E145" s="22"/>
      <c r="F145" s="4"/>
      <c r="G145" s="4">
        <v>5500</v>
      </c>
      <c r="H145" s="4"/>
      <c r="I145" s="4"/>
    </row>
    <row r="146" spans="2:9">
      <c r="B146" s="20">
        <v>45749</v>
      </c>
      <c r="C146" s="25">
        <v>12500</v>
      </c>
      <c r="D146" s="22"/>
      <c r="E146" s="22"/>
      <c r="F146" s="4"/>
      <c r="G146" s="4"/>
      <c r="H146" s="4"/>
      <c r="I146" s="4"/>
    </row>
    <row r="147" spans="2:9">
      <c r="B147" s="20">
        <v>45750</v>
      </c>
      <c r="C147" s="25">
        <v>5000</v>
      </c>
      <c r="D147" s="22"/>
      <c r="E147" s="22"/>
      <c r="F147" s="4"/>
      <c r="G147" s="4"/>
      <c r="H147" s="4"/>
      <c r="I147" s="4"/>
    </row>
    <row r="148" spans="2:9">
      <c r="B148" s="20">
        <v>45758</v>
      </c>
      <c r="C148" s="25">
        <v>13000</v>
      </c>
      <c r="D148" s="22"/>
      <c r="E148" s="22"/>
      <c r="F148" s="4"/>
      <c r="G148" s="4"/>
      <c r="H148" s="4"/>
      <c r="I148" s="4"/>
    </row>
    <row r="149" spans="2:9">
      <c r="B149" s="20">
        <v>45759</v>
      </c>
      <c r="C149" s="25">
        <v>13500</v>
      </c>
      <c r="D149" s="22"/>
      <c r="E149" s="22"/>
      <c r="F149" s="4"/>
      <c r="G149" s="4"/>
      <c r="H149" s="4"/>
      <c r="I149" s="4"/>
    </row>
    <row r="150" spans="2:9">
      <c r="B150" s="20">
        <v>45761</v>
      </c>
      <c r="C150" s="25">
        <v>13000</v>
      </c>
      <c r="D150" s="22"/>
      <c r="E150" s="22"/>
      <c r="F150" s="4"/>
      <c r="G150" s="4"/>
      <c r="H150" s="4"/>
      <c r="I150" s="4"/>
    </row>
    <row r="151" spans="2:9">
      <c r="B151" s="20">
        <v>46127</v>
      </c>
      <c r="C151" s="25">
        <v>13000</v>
      </c>
      <c r="D151" s="22"/>
      <c r="E151" s="22"/>
      <c r="F151" s="4"/>
      <c r="G151" s="4"/>
      <c r="H151" s="4"/>
      <c r="I151" s="4"/>
    </row>
    <row r="152" spans="2:9">
      <c r="B152" s="20">
        <v>45763</v>
      </c>
      <c r="C152" s="25">
        <v>7000</v>
      </c>
      <c r="D152" s="22"/>
      <c r="E152" s="22"/>
      <c r="F152" s="4"/>
      <c r="G152" s="4">
        <v>5500</v>
      </c>
      <c r="H152" s="4"/>
      <c r="I152" s="4"/>
    </row>
    <row r="153" spans="2:9">
      <c r="B153" s="20">
        <v>45775</v>
      </c>
      <c r="C153" s="25">
        <v>13000</v>
      </c>
      <c r="D153" s="22"/>
      <c r="E153" s="22"/>
      <c r="F153" s="4"/>
      <c r="G153" s="4"/>
      <c r="H153" s="4"/>
      <c r="I153" s="4"/>
    </row>
    <row r="154" spans="2:9">
      <c r="B154" s="20">
        <v>45776</v>
      </c>
      <c r="C154" s="25">
        <v>13000</v>
      </c>
      <c r="D154" s="22"/>
      <c r="E154" s="22"/>
      <c r="F154" s="4"/>
      <c r="G154" s="4"/>
      <c r="H154" s="4"/>
      <c r="I154" s="4"/>
    </row>
    <row r="155" spans="2:9">
      <c r="B155" s="20">
        <v>45779</v>
      </c>
      <c r="C155" s="25">
        <v>13000</v>
      </c>
      <c r="D155" s="22"/>
      <c r="E155" s="22"/>
      <c r="F155" s="4"/>
      <c r="G155" s="4"/>
      <c r="H155" s="4"/>
      <c r="I155" s="4"/>
    </row>
    <row r="156" spans="2:9">
      <c r="B156" s="20">
        <v>45782</v>
      </c>
      <c r="C156" s="25">
        <v>13000</v>
      </c>
      <c r="D156" s="22"/>
      <c r="E156" s="22"/>
      <c r="F156" s="4"/>
      <c r="G156" s="4"/>
      <c r="H156" s="4"/>
      <c r="I156" s="4"/>
    </row>
    <row r="157" spans="2:9">
      <c r="B157" s="20">
        <v>45814</v>
      </c>
      <c r="C157" s="25">
        <v>13000</v>
      </c>
      <c r="D157" s="22"/>
      <c r="E157" s="22"/>
      <c r="F157" s="4"/>
      <c r="G157" s="4"/>
      <c r="H157" s="4"/>
      <c r="I157" s="4"/>
    </row>
    <row r="158" spans="2:9">
      <c r="B158" s="20">
        <v>45784</v>
      </c>
      <c r="C158" s="25">
        <v>13000</v>
      </c>
      <c r="D158" s="22"/>
      <c r="E158" s="22"/>
      <c r="F158" s="4"/>
      <c r="G158" s="4"/>
      <c r="H158" s="4"/>
      <c r="I158" s="4"/>
    </row>
    <row r="159" spans="2:9">
      <c r="B159" s="20">
        <v>45785</v>
      </c>
      <c r="C159" s="25"/>
      <c r="D159" s="22"/>
      <c r="E159" s="22"/>
      <c r="F159" s="4"/>
      <c r="G159" s="4">
        <v>13000</v>
      </c>
      <c r="H159" s="4"/>
      <c r="I159" s="4"/>
    </row>
    <row r="160" spans="2:9">
      <c r="B160" s="20">
        <v>45786</v>
      </c>
      <c r="C160" s="25"/>
      <c r="D160" s="22"/>
      <c r="E160" s="22"/>
      <c r="F160" s="4"/>
      <c r="G160" s="4">
        <v>13000</v>
      </c>
      <c r="H160" s="4"/>
      <c r="I160" s="4"/>
    </row>
    <row r="161" spans="2:9">
      <c r="B161" s="20">
        <v>45789</v>
      </c>
      <c r="C161" s="25">
        <f>24*250</f>
        <v>6000</v>
      </c>
      <c r="D161" s="22"/>
      <c r="E161" s="22"/>
      <c r="F161" s="4"/>
      <c r="G161" s="4">
        <f>28*250</f>
        <v>7000</v>
      </c>
      <c r="H161" s="4"/>
      <c r="I161" s="4"/>
    </row>
    <row r="162" spans="2:9">
      <c r="B162" s="20">
        <v>45790</v>
      </c>
      <c r="C162" s="25">
        <f>28*250</f>
        <v>7000</v>
      </c>
      <c r="D162" s="22"/>
      <c r="E162" s="22"/>
      <c r="F162" s="4"/>
      <c r="G162" s="4">
        <f>24*250</f>
        <v>6000</v>
      </c>
      <c r="H162" s="4"/>
      <c r="I162" s="4"/>
    </row>
    <row r="163" spans="2:9">
      <c r="B163" s="20">
        <v>45793</v>
      </c>
      <c r="C163" s="25">
        <v>13000</v>
      </c>
      <c r="D163" s="22"/>
      <c r="E163" s="22"/>
      <c r="F163" s="4"/>
      <c r="G163" s="4"/>
      <c r="H163" s="4"/>
      <c r="I163" s="4"/>
    </row>
    <row r="164" spans="2:9">
      <c r="B164" s="20">
        <v>45794</v>
      </c>
      <c r="C164" s="25">
        <v>7000</v>
      </c>
      <c r="D164" s="22"/>
      <c r="E164" s="22"/>
      <c r="F164" s="4"/>
      <c r="G164" s="4">
        <v>6000</v>
      </c>
      <c r="H164" s="4"/>
      <c r="I164" s="4"/>
    </row>
    <row r="165" spans="2:9">
      <c r="B165" s="20">
        <v>45804</v>
      </c>
      <c r="C165" s="25">
        <v>13000</v>
      </c>
      <c r="D165" s="22"/>
      <c r="E165" s="22"/>
      <c r="F165" s="4"/>
      <c r="G165" s="4"/>
      <c r="H165" s="4"/>
      <c r="I165" s="4"/>
    </row>
    <row r="166" spans="2:9">
      <c r="B166" s="20">
        <v>45805</v>
      </c>
      <c r="C166" s="25">
        <f>62*250</f>
        <v>15500</v>
      </c>
      <c r="D166" s="22"/>
      <c r="E166" s="22"/>
      <c r="F166" s="4"/>
      <c r="G166" s="4"/>
      <c r="H166" s="4"/>
      <c r="I166" s="4"/>
    </row>
    <row r="167" spans="2:9">
      <c r="B167" s="20">
        <v>45806</v>
      </c>
      <c r="C167" s="25">
        <f>20*250</f>
        <v>5000</v>
      </c>
      <c r="D167" s="22"/>
      <c r="E167" s="22"/>
      <c r="F167" s="4"/>
      <c r="G167" s="4">
        <f>(24+8)*250</f>
        <v>8000</v>
      </c>
      <c r="H167" s="4"/>
      <c r="I167" s="4"/>
    </row>
    <row r="168" spans="2:9">
      <c r="B168" s="20">
        <v>45812</v>
      </c>
      <c r="C168" s="25">
        <v>8000</v>
      </c>
      <c r="D168" s="22"/>
      <c r="E168" s="22"/>
      <c r="F168" s="4"/>
      <c r="G168" s="4"/>
      <c r="H168" s="4"/>
      <c r="I168" s="4"/>
    </row>
    <row r="169" spans="2:9">
      <c r="B169" s="20">
        <v>45820</v>
      </c>
      <c r="C169" s="25">
        <v>13000</v>
      </c>
      <c r="D169" s="22"/>
      <c r="E169" s="22"/>
      <c r="F169" s="4"/>
      <c r="G169" s="4"/>
      <c r="H169" s="4"/>
      <c r="I169" s="4"/>
    </row>
    <row r="170" spans="2:9">
      <c r="B170" s="20">
        <v>45821</v>
      </c>
      <c r="C170" s="25">
        <v>13000</v>
      </c>
      <c r="D170" s="22"/>
      <c r="E170" s="22"/>
      <c r="F170" s="4"/>
      <c r="G170" s="4"/>
      <c r="H170" s="4"/>
      <c r="I170" s="4"/>
    </row>
    <row r="171" spans="2:9">
      <c r="B171" s="20">
        <v>45825</v>
      </c>
      <c r="C171" s="25">
        <v>13000</v>
      </c>
      <c r="D171" s="22"/>
      <c r="E171" s="22"/>
      <c r="F171" s="4"/>
      <c r="G171" s="4"/>
      <c r="H171" s="4"/>
      <c r="I171" s="4"/>
    </row>
    <row r="172" spans="2:9">
      <c r="B172" s="20">
        <v>45826</v>
      </c>
      <c r="C172" s="25">
        <v>13000</v>
      </c>
      <c r="D172" s="22"/>
      <c r="E172" s="22"/>
      <c r="F172" s="4"/>
      <c r="G172" s="4"/>
      <c r="H172" s="4"/>
      <c r="I172" s="4"/>
    </row>
    <row r="173" spans="2:9">
      <c r="B173" s="20">
        <v>45828</v>
      </c>
      <c r="C173" s="25">
        <v>6000</v>
      </c>
      <c r="D173" s="22"/>
      <c r="E173" s="22"/>
      <c r="F173" s="4"/>
      <c r="G173" s="4">
        <v>6000</v>
      </c>
      <c r="H173" s="4"/>
      <c r="I173" s="4"/>
    </row>
    <row r="174" spans="2:9">
      <c r="B174" s="20">
        <v>45829</v>
      </c>
      <c r="C174" s="25">
        <v>6000</v>
      </c>
      <c r="D174" s="22"/>
      <c r="E174" s="22"/>
      <c r="F174" s="4"/>
      <c r="G174" s="4"/>
      <c r="H174" s="4"/>
      <c r="I174" s="4"/>
    </row>
    <row r="175" spans="2:9">
      <c r="B175" s="20">
        <v>45834</v>
      </c>
      <c r="C175" s="25">
        <v>14000</v>
      </c>
      <c r="D175" s="22"/>
      <c r="E175" s="22"/>
      <c r="F175" s="4"/>
      <c r="G175" s="4"/>
      <c r="H175" s="4"/>
      <c r="I175" s="4"/>
    </row>
    <row r="176" spans="2:9">
      <c r="B176" s="20">
        <v>45834</v>
      </c>
      <c r="C176" s="25">
        <v>13000</v>
      </c>
      <c r="D176" s="22"/>
      <c r="E176" s="22"/>
      <c r="F176" s="4"/>
      <c r="G176" s="4"/>
      <c r="H176" s="4"/>
      <c r="I176" s="4"/>
    </row>
    <row r="177" spans="2:9">
      <c r="B177" s="20">
        <v>45841</v>
      </c>
      <c r="C177" s="25">
        <v>13000</v>
      </c>
      <c r="D177" s="22"/>
      <c r="E177" s="22"/>
      <c r="F177" s="4"/>
      <c r="G177" s="4"/>
      <c r="H177" s="4"/>
      <c r="I177" s="4"/>
    </row>
    <row r="178" spans="2:9">
      <c r="B178" s="20">
        <v>45842</v>
      </c>
      <c r="C178" s="25">
        <v>6000</v>
      </c>
      <c r="D178" s="22"/>
      <c r="E178" s="22"/>
      <c r="F178" s="4"/>
      <c r="G178" s="4"/>
      <c r="H178" s="4"/>
      <c r="I178" s="4"/>
    </row>
    <row r="179" spans="2:9">
      <c r="B179" s="20">
        <v>45846</v>
      </c>
      <c r="C179" s="25">
        <v>7000</v>
      </c>
      <c r="D179" s="22"/>
      <c r="E179" s="22"/>
      <c r="F179" s="4"/>
      <c r="G179" s="4"/>
      <c r="H179" s="4"/>
      <c r="I179" s="4"/>
    </row>
    <row r="180" spans="2:9">
      <c r="B180" s="20">
        <v>45847</v>
      </c>
      <c r="C180" s="25">
        <f>26*300</f>
        <v>7800</v>
      </c>
      <c r="D180" s="22"/>
      <c r="E180" s="22"/>
      <c r="F180" s="4"/>
      <c r="G180" s="4"/>
      <c r="H180" s="4"/>
      <c r="I180" s="4"/>
    </row>
    <row r="181" spans="2:9">
      <c r="B181" s="20">
        <v>45848</v>
      </c>
      <c r="C181" s="25">
        <f>30*300</f>
        <v>9000</v>
      </c>
      <c r="D181" s="22"/>
      <c r="E181" s="22"/>
      <c r="F181" s="4"/>
      <c r="G181" s="4"/>
      <c r="H181" s="4"/>
      <c r="I181" s="4"/>
    </row>
    <row r="182" spans="2:9">
      <c r="B182" s="20">
        <v>45849</v>
      </c>
      <c r="C182" s="25">
        <f>28*300+14*250</f>
        <v>11900</v>
      </c>
      <c r="D182" s="22"/>
      <c r="E182" s="22"/>
      <c r="F182" s="4"/>
      <c r="G182" s="4">
        <f>10*250</f>
        <v>2500</v>
      </c>
      <c r="H182" s="4"/>
      <c r="I182" s="4"/>
    </row>
    <row r="183" spans="2:9">
      <c r="B183" s="20">
        <v>45850</v>
      </c>
      <c r="C183" s="25"/>
      <c r="D183" s="22"/>
      <c r="E183" s="22"/>
      <c r="F183" s="4"/>
      <c r="G183" s="4">
        <f>20*300</f>
        <v>6000</v>
      </c>
      <c r="H183" s="4"/>
      <c r="I183" s="4"/>
    </row>
    <row r="184" spans="2:9">
      <c r="B184" s="20">
        <v>45852</v>
      </c>
      <c r="C184" s="25">
        <f>28*300</f>
        <v>8400</v>
      </c>
      <c r="D184" s="22"/>
      <c r="E184" s="22"/>
      <c r="F184" s="4"/>
      <c r="G184" s="4">
        <f>28*300</f>
        <v>8400</v>
      </c>
      <c r="H184" s="4"/>
      <c r="I184" s="4"/>
    </row>
    <row r="185" spans="2:9">
      <c r="B185" s="20">
        <v>45853</v>
      </c>
      <c r="C185" s="25">
        <f>20*300</f>
        <v>6000</v>
      </c>
      <c r="D185" s="22"/>
      <c r="E185" s="22"/>
      <c r="F185" s="4"/>
      <c r="G185" s="4"/>
      <c r="H185" s="4"/>
      <c r="I185" s="4"/>
    </row>
    <row r="186" spans="2:9">
      <c r="B186" s="20">
        <v>45855</v>
      </c>
      <c r="C186" s="25">
        <v>15600</v>
      </c>
      <c r="D186" s="22"/>
      <c r="E186" s="22"/>
      <c r="F186" s="4"/>
      <c r="G186" s="4"/>
      <c r="H186" s="4"/>
      <c r="I186" s="4"/>
    </row>
    <row r="187" spans="2:9">
      <c r="B187" s="20">
        <v>45856</v>
      </c>
      <c r="C187" s="25">
        <f>15600</f>
        <v>15600</v>
      </c>
      <c r="D187" s="22"/>
      <c r="E187" s="22"/>
      <c r="F187" s="4"/>
      <c r="G187" s="4"/>
      <c r="H187" s="4"/>
      <c r="I187" s="4"/>
    </row>
    <row r="188" spans="2:9">
      <c r="B188" s="20">
        <v>45859</v>
      </c>
      <c r="C188" s="25">
        <f>(20+30)*300</f>
        <v>15000</v>
      </c>
      <c r="D188" s="22"/>
      <c r="E188" s="22"/>
      <c r="F188" s="4"/>
      <c r="G188" s="4"/>
      <c r="H188" s="4"/>
      <c r="I188" s="4"/>
    </row>
    <row r="189" spans="2:9">
      <c r="B189" s="20">
        <v>45866</v>
      </c>
      <c r="C189" s="25">
        <v>15000</v>
      </c>
      <c r="D189" s="22"/>
      <c r="E189" s="22"/>
      <c r="F189" s="4"/>
      <c r="G189" s="4"/>
      <c r="H189" s="4"/>
      <c r="I189" s="4"/>
    </row>
    <row r="190" spans="2:9">
      <c r="B190" s="20">
        <v>45867</v>
      </c>
      <c r="C190" s="25">
        <v>15000</v>
      </c>
      <c r="D190" s="22"/>
      <c r="E190" s="22"/>
      <c r="F190" s="4"/>
      <c r="G190" s="4"/>
      <c r="H190" s="4"/>
      <c r="I190" s="4"/>
    </row>
    <row r="191" spans="2:9">
      <c r="B191" s="20">
        <v>45873</v>
      </c>
      <c r="C191" s="25">
        <v>15000</v>
      </c>
      <c r="D191" s="22"/>
      <c r="E191" s="22"/>
      <c r="F191" s="4"/>
      <c r="G191" s="4"/>
      <c r="H191" s="4"/>
      <c r="I191" s="4"/>
    </row>
    <row r="192" spans="2:9">
      <c r="B192" s="20">
        <v>45874</v>
      </c>
      <c r="C192" s="25">
        <f>24*300</f>
        <v>7200</v>
      </c>
      <c r="D192" s="22"/>
      <c r="E192" s="22"/>
      <c r="F192" s="4"/>
      <c r="G192" s="4">
        <f>24*300</f>
        <v>7200</v>
      </c>
      <c r="H192" s="4"/>
      <c r="I192" s="4"/>
    </row>
    <row r="193" spans="2:9">
      <c r="B193" s="20">
        <v>45875</v>
      </c>
      <c r="C193" s="25">
        <f>24*300</f>
        <v>7200</v>
      </c>
      <c r="D193" s="22"/>
      <c r="E193" s="22"/>
      <c r="F193" s="4"/>
      <c r="G193" s="4">
        <f>24*300</f>
        <v>7200</v>
      </c>
      <c r="H193" s="4"/>
      <c r="I193" s="4"/>
    </row>
    <row r="194" spans="2:9">
      <c r="B194" s="20">
        <v>45876</v>
      </c>
      <c r="C194" s="25">
        <f>300*16</f>
        <v>4800</v>
      </c>
      <c r="D194" s="22"/>
      <c r="E194" s="22"/>
      <c r="F194" s="4"/>
      <c r="G194" s="4">
        <f>44*300</f>
        <v>13200</v>
      </c>
      <c r="H194" s="4"/>
      <c r="I194" s="4"/>
    </row>
    <row r="195" spans="2:9">
      <c r="B195" s="20">
        <v>45877</v>
      </c>
      <c r="C195" s="25">
        <f>15000</f>
        <v>15000</v>
      </c>
      <c r="D195" s="22"/>
      <c r="E195" s="22"/>
      <c r="F195" s="4"/>
      <c r="G195" s="4"/>
      <c r="H195" s="4"/>
      <c r="I195" s="4"/>
    </row>
    <row r="196" spans="2:9">
      <c r="B196" s="20">
        <v>45880</v>
      </c>
      <c r="C196" s="25">
        <v>15000</v>
      </c>
      <c r="D196" s="22"/>
      <c r="E196" s="22"/>
      <c r="F196" s="4"/>
      <c r="G196" s="4"/>
      <c r="H196" s="4"/>
      <c r="I196" s="4"/>
    </row>
    <row r="197" spans="2:9">
      <c r="B197" s="20">
        <v>45881</v>
      </c>
      <c r="C197" s="25">
        <v>15000</v>
      </c>
      <c r="D197" s="22"/>
      <c r="E197" s="22"/>
      <c r="F197" s="4"/>
      <c r="G197" s="4"/>
      <c r="H197" s="4"/>
      <c r="I197" s="4"/>
    </row>
    <row r="198" spans="2:9">
      <c r="B198" s="20">
        <v>45882</v>
      </c>
      <c r="C198" s="25">
        <f>16800</f>
        <v>16800</v>
      </c>
      <c r="D198" s="22"/>
      <c r="E198" s="22"/>
      <c r="F198" s="4"/>
      <c r="G198" s="4"/>
      <c r="H198" s="4"/>
      <c r="I198" s="4"/>
    </row>
    <row r="199" spans="2:9">
      <c r="B199" s="20">
        <v>45883</v>
      </c>
      <c r="C199" s="25">
        <f>28*2*300</f>
        <v>16800</v>
      </c>
      <c r="D199" s="22"/>
      <c r="E199" s="22"/>
      <c r="F199" s="4"/>
      <c r="G199" s="4"/>
      <c r="H199" s="4"/>
      <c r="I199" s="4"/>
    </row>
    <row r="200" spans="2:9">
      <c r="B200" s="20">
        <v>45884</v>
      </c>
      <c r="C200" s="25">
        <v>16800</v>
      </c>
      <c r="D200" s="22"/>
      <c r="E200" s="22"/>
      <c r="F200" s="4"/>
      <c r="G200" s="4"/>
      <c r="H200" s="4"/>
      <c r="I200" s="4"/>
    </row>
    <row r="201" spans="2:9">
      <c r="B201" s="20">
        <v>45890</v>
      </c>
      <c r="C201" s="25">
        <v>15600</v>
      </c>
      <c r="D201" s="22"/>
      <c r="E201" s="22"/>
      <c r="F201" s="4"/>
      <c r="G201" s="4"/>
      <c r="H201" s="4"/>
      <c r="I201" s="4"/>
    </row>
    <row r="202" spans="2:9">
      <c r="B202" s="20">
        <v>45892</v>
      </c>
      <c r="C202" s="25">
        <v>13200</v>
      </c>
      <c r="D202" s="22"/>
      <c r="E202" s="22"/>
      <c r="F202" s="4"/>
      <c r="G202" s="4"/>
      <c r="H202" s="4"/>
      <c r="I202" s="4"/>
    </row>
    <row r="203" spans="2:9">
      <c r="B203" s="20">
        <v>45895</v>
      </c>
      <c r="C203" s="25">
        <f>26*300</f>
        <v>7800</v>
      </c>
      <c r="D203" s="22"/>
      <c r="E203" s="22"/>
      <c r="F203" s="4"/>
      <c r="G203" s="4"/>
      <c r="H203" s="4"/>
      <c r="I203" s="4"/>
    </row>
    <row r="204" spans="2:9">
      <c r="B204" s="20">
        <v>45898</v>
      </c>
      <c r="C204" s="25">
        <f>60*300</f>
        <v>18000</v>
      </c>
      <c r="D204" s="22"/>
      <c r="E204" s="22"/>
      <c r="F204" s="4"/>
      <c r="G204" s="4"/>
      <c r="H204" s="4"/>
      <c r="I204" s="4"/>
    </row>
    <row r="205" spans="2:9">
      <c r="B205" s="20">
        <v>45902</v>
      </c>
      <c r="C205" s="25"/>
      <c r="D205" s="22"/>
      <c r="E205" s="22"/>
      <c r="F205" s="4"/>
      <c r="G205" s="4">
        <f>28*600</f>
        <v>16800</v>
      </c>
      <c r="H205" s="4"/>
      <c r="I205" s="4"/>
    </row>
    <row r="206" spans="2:9">
      <c r="B206" s="20">
        <v>45903</v>
      </c>
      <c r="C206" s="25">
        <f>28*300</f>
        <v>8400</v>
      </c>
      <c r="D206" s="22"/>
      <c r="E206" s="22"/>
      <c r="F206" s="4"/>
      <c r="G206" s="4">
        <f>28*300</f>
        <v>8400</v>
      </c>
      <c r="H206" s="4"/>
      <c r="I206" s="4"/>
    </row>
    <row r="207" spans="2:9">
      <c r="B207" s="20">
        <v>45904</v>
      </c>
      <c r="C207" s="25">
        <f>32*300</f>
        <v>9600</v>
      </c>
      <c r="D207" s="22"/>
      <c r="E207" s="22"/>
      <c r="F207" s="4"/>
      <c r="G207" s="4">
        <f>28*300</f>
        <v>8400</v>
      </c>
      <c r="H207" s="4"/>
      <c r="I207" s="4"/>
    </row>
    <row r="208" spans="2:9">
      <c r="B208" s="20">
        <v>45905</v>
      </c>
      <c r="C208" s="25">
        <f>24*300</f>
        <v>7200</v>
      </c>
      <c r="D208" s="22"/>
      <c r="E208" s="22"/>
      <c r="F208" s="4"/>
      <c r="G208" s="4">
        <f>16*600</f>
        <v>9600</v>
      </c>
      <c r="H208" s="4"/>
      <c r="I208" s="4"/>
    </row>
    <row r="209" spans="2:11">
      <c r="B209" s="20">
        <v>45908</v>
      </c>
      <c r="C209" s="25">
        <f>24*300</f>
        <v>7200</v>
      </c>
      <c r="D209" s="22"/>
      <c r="E209" s="22"/>
      <c r="F209" s="4"/>
      <c r="G209" s="4">
        <f>16*600</f>
        <v>9600</v>
      </c>
      <c r="H209" s="4"/>
      <c r="I209" s="4"/>
    </row>
    <row r="210" spans="2:11">
      <c r="B210" s="20">
        <v>37509</v>
      </c>
      <c r="C210" s="25">
        <f>14*600</f>
        <v>8400</v>
      </c>
      <c r="D210" s="22"/>
      <c r="E210" s="22"/>
      <c r="F210" s="4"/>
      <c r="G210" s="4"/>
      <c r="H210" s="4"/>
      <c r="I210" s="4"/>
    </row>
    <row r="211" spans="2:11">
      <c r="B211" s="20">
        <v>45911</v>
      </c>
      <c r="C211" s="25">
        <f>16800</f>
        <v>16800</v>
      </c>
      <c r="D211" s="22"/>
      <c r="E211" s="22"/>
      <c r="F211" s="4"/>
      <c r="G211" s="4"/>
      <c r="H211" s="4"/>
      <c r="I211" s="4"/>
    </row>
    <row r="212" spans="2:11">
      <c r="B212" s="20">
        <v>45912</v>
      </c>
      <c r="C212" s="25">
        <f>16800</f>
        <v>16800</v>
      </c>
      <c r="D212" s="22"/>
      <c r="E212" s="22"/>
      <c r="F212" s="4"/>
      <c r="G212" s="4"/>
      <c r="H212" s="4"/>
      <c r="I212" s="4"/>
    </row>
    <row r="213" spans="2:11">
      <c r="B213" s="20">
        <v>45913</v>
      </c>
      <c r="C213" s="25">
        <v>8400</v>
      </c>
      <c r="D213" s="22"/>
      <c r="E213" s="22"/>
      <c r="F213" s="4"/>
      <c r="G213" s="4"/>
      <c r="H213" s="4"/>
      <c r="I213" s="4"/>
    </row>
    <row r="214" spans="2:11">
      <c r="B214" s="20">
        <v>45915</v>
      </c>
      <c r="C214" s="25">
        <v>16800</v>
      </c>
      <c r="D214" s="22"/>
      <c r="E214" s="22"/>
      <c r="F214" s="4"/>
      <c r="G214" s="4"/>
      <c r="H214" s="4"/>
      <c r="I214" s="4"/>
    </row>
    <row r="215" spans="2:11">
      <c r="B215" s="20">
        <v>45919</v>
      </c>
      <c r="C215" s="25">
        <v>16800</v>
      </c>
      <c r="D215" s="22"/>
      <c r="E215" s="22"/>
      <c r="F215" s="4"/>
      <c r="G215" s="4"/>
      <c r="H215" s="4"/>
      <c r="I215" s="4"/>
    </row>
    <row r="216" spans="2:11">
      <c r="B216" s="20">
        <v>45922</v>
      </c>
      <c r="C216" s="25">
        <f>60*300</f>
        <v>18000</v>
      </c>
      <c r="D216" s="22"/>
      <c r="E216" s="22"/>
      <c r="F216" s="4"/>
      <c r="G216" s="4"/>
      <c r="H216" s="4"/>
      <c r="I216" s="4"/>
    </row>
    <row r="217" spans="2:11">
      <c r="B217" s="20">
        <v>45923</v>
      </c>
      <c r="C217" s="25">
        <v>18000</v>
      </c>
      <c r="D217" s="22"/>
      <c r="E217" s="22"/>
      <c r="F217" s="4"/>
      <c r="G217" s="4"/>
      <c r="H217" s="4"/>
      <c r="I217" s="4"/>
    </row>
    <row r="218" spans="2:11">
      <c r="B218" s="20">
        <v>45924</v>
      </c>
      <c r="C218" s="25">
        <v>18000</v>
      </c>
      <c r="D218" s="22"/>
      <c r="E218" s="22"/>
      <c r="F218" s="4"/>
      <c r="G218" s="4"/>
      <c r="H218" s="4"/>
      <c r="I218" s="4"/>
    </row>
    <row r="219" spans="2:11">
      <c r="B219" s="20">
        <v>45926</v>
      </c>
      <c r="C219" s="25">
        <v>18000</v>
      </c>
      <c r="D219" s="22"/>
      <c r="E219" s="22"/>
      <c r="F219" s="4"/>
      <c r="G219" s="4"/>
      <c r="H219" s="4"/>
      <c r="I219" s="4"/>
    </row>
    <row r="220" spans="2:11">
      <c r="B220" s="20">
        <v>45927</v>
      </c>
      <c r="C220" s="25">
        <v>9000</v>
      </c>
      <c r="D220" s="22"/>
      <c r="E220" s="22"/>
      <c r="F220" s="4"/>
      <c r="G220" s="4"/>
      <c r="H220" s="4">
        <v>9000</v>
      </c>
      <c r="I220" s="4"/>
    </row>
    <row r="221" spans="2:11">
      <c r="B221" s="20">
        <v>45930</v>
      </c>
      <c r="C221" s="25">
        <v>18000</v>
      </c>
      <c r="D221" s="22"/>
      <c r="E221" s="22"/>
      <c r="F221" s="4"/>
      <c r="G221" s="4"/>
      <c r="H221" s="4"/>
      <c r="I221" s="4"/>
    </row>
    <row r="222" spans="2:11">
      <c r="B222" s="20">
        <v>45931</v>
      </c>
      <c r="C222" s="25">
        <v>18000</v>
      </c>
      <c r="D222" s="22"/>
      <c r="E222" s="22"/>
      <c r="F222" s="4"/>
      <c r="G222" s="4"/>
      <c r="H222" s="4"/>
      <c r="I222" s="4"/>
    </row>
    <row r="223" spans="2:11">
      <c r="B223" s="20">
        <v>45932</v>
      </c>
      <c r="C223" s="25">
        <v>18000</v>
      </c>
      <c r="D223" s="22"/>
      <c r="E223" s="22"/>
      <c r="F223" s="4"/>
      <c r="G223" s="4"/>
      <c r="H223" s="4"/>
      <c r="I223" s="4"/>
    </row>
    <row r="224" spans="2:11">
      <c r="B224" s="20">
        <v>45936</v>
      </c>
      <c r="C224" s="25">
        <f>26*300*2</f>
        <v>15600</v>
      </c>
      <c r="D224" s="22"/>
      <c r="E224" s="22"/>
      <c r="F224" s="4"/>
      <c r="G224" s="4"/>
      <c r="H224" s="4"/>
      <c r="I224" s="4"/>
      <c r="K224" s="34"/>
    </row>
    <row r="225" spans="2:9">
      <c r="B225" s="20">
        <v>45937</v>
      </c>
      <c r="C225" s="25">
        <f>26*300*2+5000</f>
        <v>20600</v>
      </c>
      <c r="D225" s="22"/>
      <c r="E225" s="22"/>
      <c r="F225" s="4"/>
      <c r="G225" s="4"/>
      <c r="H225" s="4"/>
      <c r="I225" s="4"/>
    </row>
    <row r="226" spans="2:9">
      <c r="B226" s="20">
        <v>45938</v>
      </c>
      <c r="C226" s="25">
        <f>24*300+5000</f>
        <v>12200</v>
      </c>
      <c r="D226" s="22"/>
      <c r="E226" s="22"/>
      <c r="F226" s="4"/>
      <c r="G226" s="4"/>
      <c r="H226" s="4"/>
      <c r="I226" s="4"/>
    </row>
    <row r="227" spans="2:9">
      <c r="B227" s="20">
        <v>45940</v>
      </c>
      <c r="C227" s="25">
        <f>16*300+16*300</f>
        <v>9600</v>
      </c>
      <c r="D227" s="22">
        <f>28*300</f>
        <v>8400</v>
      </c>
      <c r="E227" s="22"/>
      <c r="F227" s="4"/>
      <c r="G227" s="4"/>
      <c r="H227" s="4"/>
      <c r="I227" s="4"/>
    </row>
    <row r="228" spans="2:9">
      <c r="B228" s="20">
        <v>45943</v>
      </c>
      <c r="C228" s="25">
        <f>9000</f>
        <v>9000</v>
      </c>
      <c r="D228" s="22">
        <v>1200</v>
      </c>
      <c r="E228" s="22"/>
      <c r="F228" s="4"/>
      <c r="G228" s="4"/>
      <c r="H228" s="4"/>
      <c r="I228" s="4"/>
    </row>
    <row r="229" spans="2:9">
      <c r="B229" s="20">
        <v>45944</v>
      </c>
      <c r="C229" s="25">
        <f>28*300</f>
        <v>8400</v>
      </c>
      <c r="D229" s="22">
        <v>7200</v>
      </c>
      <c r="E229" s="22"/>
      <c r="F229" s="4"/>
      <c r="G229" s="4"/>
      <c r="H229" s="4"/>
      <c r="I229" s="4"/>
    </row>
    <row r="230" spans="2:9">
      <c r="B230" s="20">
        <v>45945</v>
      </c>
      <c r="C230" s="25">
        <v>18000</v>
      </c>
      <c r="D230" s="22"/>
      <c r="E230" s="22"/>
      <c r="F230" s="4"/>
      <c r="G230" s="4"/>
      <c r="H230" s="4"/>
      <c r="I230" s="4"/>
    </row>
    <row r="231" spans="2:9">
      <c r="B231" s="20">
        <v>45946</v>
      </c>
      <c r="C231" s="25"/>
      <c r="D231" s="22">
        <v>18000</v>
      </c>
      <c r="E231" s="22"/>
      <c r="F231" s="4"/>
      <c r="G231" s="4"/>
      <c r="H231" s="4"/>
      <c r="I231" s="4"/>
    </row>
    <row r="232" spans="2:9">
      <c r="B232" s="20">
        <v>45582</v>
      </c>
      <c r="C232" s="25">
        <v>9000</v>
      </c>
      <c r="D232" s="22">
        <v>6600</v>
      </c>
      <c r="E232" s="22"/>
      <c r="F232" s="4"/>
      <c r="G232" s="4"/>
      <c r="H232" s="4"/>
      <c r="I232" s="4"/>
    </row>
    <row r="233" spans="2:9">
      <c r="B233" s="20">
        <v>45950</v>
      </c>
      <c r="C233" s="25">
        <v>18000</v>
      </c>
      <c r="D233" s="22"/>
      <c r="E233" s="22"/>
      <c r="F233" s="4"/>
      <c r="G233" s="4"/>
      <c r="H233" s="4"/>
      <c r="I233" s="4"/>
    </row>
    <row r="234" spans="2:9">
      <c r="B234" s="35">
        <v>45951</v>
      </c>
      <c r="C234" s="25">
        <f>26*300</f>
        <v>7800</v>
      </c>
      <c r="D234" s="22">
        <v>7800</v>
      </c>
      <c r="E234" s="22"/>
      <c r="G234" s="4"/>
      <c r="H234" s="4"/>
      <c r="I234" s="4"/>
    </row>
    <row r="235" spans="2:9">
      <c r="B235" s="35">
        <v>45954</v>
      </c>
      <c r="C235" s="25">
        <v>6000</v>
      </c>
      <c r="D235" s="22"/>
      <c r="E235" s="22"/>
      <c r="G235" s="4"/>
      <c r="H235" s="4"/>
      <c r="I235" s="4"/>
    </row>
    <row r="236" spans="2:9">
      <c r="B236" s="35">
        <v>45955</v>
      </c>
      <c r="C236" s="25">
        <v>18000</v>
      </c>
      <c r="D236" s="22"/>
      <c r="E236" s="22"/>
      <c r="G236" s="4"/>
      <c r="H236" s="4"/>
      <c r="I236" s="4"/>
    </row>
    <row r="237" spans="2:9">
      <c r="B237" s="35">
        <v>45957</v>
      </c>
      <c r="C237" s="25">
        <f>26*600</f>
        <v>15600</v>
      </c>
      <c r="D237" s="22"/>
      <c r="E237" s="22"/>
      <c r="G237" s="4"/>
      <c r="H237" s="4"/>
      <c r="I237" s="4"/>
    </row>
    <row r="238" spans="2:9">
      <c r="B238" s="35">
        <v>45958</v>
      </c>
      <c r="C238" s="25">
        <f>24*300</f>
        <v>7200</v>
      </c>
      <c r="D238" s="22">
        <v>8400</v>
      </c>
      <c r="E238" s="22"/>
      <c r="G238" s="4"/>
      <c r="H238" s="4"/>
      <c r="I238" s="4"/>
    </row>
    <row r="239" spans="2:9">
      <c r="B239" s="35">
        <v>45959</v>
      </c>
      <c r="C239" s="25">
        <f>50*300</f>
        <v>15000</v>
      </c>
      <c r="D239" s="22"/>
      <c r="E239" s="22">
        <f>20*300</f>
        <v>6000</v>
      </c>
      <c r="G239" s="4"/>
      <c r="H239" s="4"/>
      <c r="I239" s="4"/>
    </row>
    <row r="240" spans="2:9">
      <c r="B240" s="35">
        <v>45964</v>
      </c>
      <c r="C240" s="25">
        <f>52*300</f>
        <v>15600</v>
      </c>
      <c r="D240" s="22"/>
      <c r="E240" s="22"/>
      <c r="G240" s="4"/>
      <c r="H240" s="4"/>
      <c r="I240" s="4"/>
    </row>
    <row r="241" spans="2:9">
      <c r="B241" s="35">
        <v>45965</v>
      </c>
      <c r="C241" s="25"/>
      <c r="D241" s="22"/>
      <c r="E241" s="22">
        <v>15600</v>
      </c>
      <c r="G241" s="4"/>
      <c r="H241" s="4"/>
      <c r="I241" s="4"/>
    </row>
    <row r="242" spans="2:9">
      <c r="B242" s="35">
        <v>45966</v>
      </c>
      <c r="C242" s="25">
        <f>(26+26)*300</f>
        <v>15600</v>
      </c>
      <c r="D242" s="22"/>
      <c r="E242" s="22"/>
      <c r="G242" s="4"/>
      <c r="H242" s="4"/>
      <c r="I242" s="4"/>
    </row>
    <row r="243" spans="2:9">
      <c r="B243" s="35">
        <v>45967</v>
      </c>
      <c r="C243" s="25">
        <v>15600</v>
      </c>
      <c r="D243" s="22"/>
      <c r="E243" s="22"/>
      <c r="G243" s="4"/>
      <c r="H243" s="4"/>
      <c r="I243" s="4"/>
    </row>
    <row r="244" spans="2:9">
      <c r="B244" s="35">
        <v>45968</v>
      </c>
      <c r="C244" s="25">
        <v>15600</v>
      </c>
      <c r="D244" s="22"/>
      <c r="E244" s="22"/>
      <c r="G244" s="4"/>
      <c r="H244" s="4"/>
      <c r="I244" s="4"/>
    </row>
    <row r="245" spans="2:9">
      <c r="B245" s="35">
        <v>45971</v>
      </c>
      <c r="C245" s="25"/>
      <c r="D245" s="22"/>
      <c r="E245" s="22">
        <v>15600</v>
      </c>
      <c r="G245" s="4"/>
      <c r="H245" s="4"/>
      <c r="I245" s="4"/>
    </row>
    <row r="246" spans="2:9">
      <c r="B246" s="35">
        <v>45972</v>
      </c>
      <c r="C246" s="25">
        <v>15600</v>
      </c>
      <c r="D246" s="22"/>
      <c r="E246" s="22"/>
      <c r="G246" s="4"/>
      <c r="H246" s="4"/>
      <c r="I246" s="4"/>
    </row>
    <row r="247" spans="2:9">
      <c r="B247" s="35">
        <v>45973</v>
      </c>
      <c r="C247" s="25">
        <v>15600</v>
      </c>
      <c r="D247" s="22"/>
      <c r="E247" s="22"/>
      <c r="G247" s="4"/>
      <c r="H247" s="4"/>
      <c r="I247" s="4"/>
    </row>
    <row r="248" spans="2:9">
      <c r="B248" s="35">
        <v>45974</v>
      </c>
      <c r="C248" s="25"/>
      <c r="D248" s="22"/>
      <c r="E248" s="22">
        <v>15600</v>
      </c>
      <c r="G248" s="4"/>
      <c r="H248" s="4"/>
      <c r="I248" s="4"/>
    </row>
    <row r="249" spans="2:9">
      <c r="B249" s="35">
        <v>45978</v>
      </c>
      <c r="C249" s="25">
        <v>15600</v>
      </c>
      <c r="D249" s="22"/>
      <c r="E249" s="22"/>
      <c r="G249" s="4"/>
      <c r="H249" s="4"/>
      <c r="I249" s="4"/>
    </row>
    <row r="250" spans="2:9">
      <c r="B250" s="35">
        <v>45979</v>
      </c>
      <c r="C250" s="25">
        <v>15600</v>
      </c>
      <c r="D250" s="22"/>
      <c r="E250" s="22"/>
      <c r="G250" s="4"/>
      <c r="H250" s="4"/>
      <c r="I250" s="4"/>
    </row>
    <row r="251" spans="2:9">
      <c r="B251" s="35">
        <v>45980</v>
      </c>
      <c r="C251" s="25">
        <v>15600</v>
      </c>
      <c r="D251" s="22"/>
      <c r="E251" s="22"/>
      <c r="G251" s="4"/>
      <c r="H251" s="4"/>
      <c r="I251" s="4"/>
    </row>
    <row r="252" spans="2:9">
      <c r="B252" s="35">
        <v>45981</v>
      </c>
      <c r="C252" s="25">
        <f>52*300</f>
        <v>15600</v>
      </c>
      <c r="D252" s="22"/>
      <c r="E252" s="22"/>
      <c r="G252" s="4"/>
      <c r="H252" s="4"/>
      <c r="I252" s="4"/>
    </row>
    <row r="253" spans="2:9">
      <c r="B253" s="35">
        <v>45982</v>
      </c>
      <c r="C253" s="25">
        <v>15600</v>
      </c>
      <c r="D253" s="22"/>
      <c r="E253" s="22"/>
      <c r="G253" s="4"/>
      <c r="H253" s="4"/>
      <c r="I253" s="4"/>
    </row>
    <row r="254" spans="2:9">
      <c r="B254" s="35">
        <v>45985</v>
      </c>
      <c r="C254" s="25">
        <f>24*300</f>
        <v>7200</v>
      </c>
      <c r="D254" s="22">
        <f>24*300</f>
        <v>7200</v>
      </c>
      <c r="E254" s="22">
        <f>16*300</f>
        <v>4800</v>
      </c>
      <c r="G254" s="4"/>
      <c r="H254" s="4"/>
      <c r="I254" s="4"/>
    </row>
    <row r="255" spans="2:9">
      <c r="B255" s="35">
        <v>45986</v>
      </c>
      <c r="C255" s="25">
        <f>24*300</f>
        <v>7200</v>
      </c>
      <c r="D255" s="22"/>
      <c r="E255" s="22"/>
      <c r="G255" s="4"/>
      <c r="H255" s="4"/>
      <c r="I255" s="4"/>
    </row>
    <row r="256" spans="2:9">
      <c r="B256" s="35">
        <v>45987</v>
      </c>
      <c r="C256" s="25">
        <v>15600</v>
      </c>
      <c r="D256" s="22"/>
      <c r="E256" s="22"/>
      <c r="G256" s="4"/>
      <c r="H256" s="4"/>
      <c r="I256" s="4"/>
    </row>
    <row r="257" spans="2:9">
      <c r="B257" s="35">
        <v>45992</v>
      </c>
      <c r="C257" s="25">
        <f>50*300</f>
        <v>15000</v>
      </c>
      <c r="D257" s="22"/>
      <c r="E257" s="22"/>
      <c r="G257" s="4"/>
      <c r="H257" s="4"/>
      <c r="I257" s="4"/>
    </row>
    <row r="258" spans="2:9">
      <c r="B258" s="35"/>
      <c r="C258" s="25"/>
      <c r="D258" s="22"/>
      <c r="E258" s="22"/>
      <c r="G258" s="4"/>
      <c r="H258" s="4"/>
      <c r="I258" s="4"/>
    </row>
    <row r="259" spans="2:9">
      <c r="B259" s="35"/>
      <c r="C259" s="25"/>
      <c r="D259" s="22"/>
      <c r="E259" s="22"/>
      <c r="G259" s="4"/>
      <c r="H259" s="4"/>
      <c r="I259" s="4"/>
    </row>
    <row r="260" spans="2:9">
      <c r="B260" s="35"/>
      <c r="C260" s="25"/>
      <c r="D260" s="22"/>
      <c r="E260" s="22"/>
      <c r="G260" s="4"/>
      <c r="H260" s="4"/>
      <c r="I260" s="4"/>
    </row>
    <row r="261" spans="2:9">
      <c r="B261" s="35"/>
      <c r="C261" s="25"/>
      <c r="D261" s="22"/>
      <c r="E261" s="22"/>
      <c r="G261" s="4"/>
      <c r="H261" s="4"/>
      <c r="I261" s="4"/>
    </row>
    <row r="262" spans="2:9">
      <c r="B262" s="35"/>
      <c r="C262" s="25"/>
      <c r="D262" s="22"/>
      <c r="E262" s="22"/>
      <c r="G262" s="4"/>
      <c r="H262" s="4"/>
      <c r="I262" s="4"/>
    </row>
    <row r="263" spans="2:9">
      <c r="B263" s="35"/>
      <c r="C263" s="25"/>
      <c r="D263" s="22"/>
      <c r="E263" s="22"/>
      <c r="G263" s="4"/>
      <c r="H263" s="4"/>
      <c r="I263" s="4"/>
    </row>
    <row r="264" spans="2:9">
      <c r="B264" s="35"/>
      <c r="C264" s="25"/>
      <c r="D264" s="22"/>
      <c r="E264" s="22"/>
      <c r="G264" s="4"/>
      <c r="H264" s="4"/>
      <c r="I264" s="4"/>
    </row>
    <row r="265" spans="2:9">
      <c r="B265" s="35"/>
      <c r="C265" s="25"/>
      <c r="D265" s="22"/>
      <c r="E265" s="22"/>
      <c r="G265" s="4"/>
      <c r="H265" s="4"/>
      <c r="I265" s="4"/>
    </row>
    <row r="266" spans="2:9">
      <c r="B266" s="35"/>
      <c r="C266" s="25"/>
      <c r="D266" s="22"/>
      <c r="E266" s="22"/>
      <c r="G266" s="4"/>
      <c r="H266" s="4"/>
      <c r="I266" s="4"/>
    </row>
    <row r="267" spans="2:9">
      <c r="B267" s="35"/>
      <c r="C267" s="25"/>
      <c r="D267" s="22"/>
      <c r="E267" s="22"/>
      <c r="G267" s="4"/>
      <c r="H267" s="4"/>
      <c r="I267" s="4"/>
    </row>
    <row r="268" spans="2:9">
      <c r="B268" s="35"/>
      <c r="C268" s="25"/>
      <c r="D268" s="22"/>
      <c r="E268" s="22"/>
      <c r="G268" s="4"/>
      <c r="H268" s="4"/>
      <c r="I268" s="4"/>
    </row>
    <row r="269" spans="2:9">
      <c r="B269" s="35"/>
      <c r="C269" s="25"/>
      <c r="D269" s="22"/>
      <c r="E269" s="22"/>
      <c r="G269" s="4"/>
      <c r="H269" s="4"/>
      <c r="I269" s="4"/>
    </row>
    <row r="270" spans="2:9">
      <c r="B270" s="35"/>
      <c r="C270" s="25"/>
      <c r="D270" s="22"/>
      <c r="E270" s="22"/>
      <c r="G270" s="4"/>
      <c r="H270" s="4"/>
      <c r="I270" s="4"/>
    </row>
    <row r="271" spans="2:9">
      <c r="B271" s="35"/>
      <c r="C271" s="25"/>
      <c r="D271" s="22"/>
      <c r="E271" s="22"/>
      <c r="G271" s="4"/>
      <c r="H271" s="4"/>
      <c r="I271" s="4"/>
    </row>
    <row r="272" spans="2:9">
      <c r="B272" s="35"/>
      <c r="C272" s="25"/>
      <c r="D272" s="22"/>
      <c r="E272" s="22"/>
      <c r="G272" s="4"/>
      <c r="H272" s="4"/>
      <c r="I272" s="4"/>
    </row>
    <row r="273" spans="2:9">
      <c r="B273" s="35"/>
      <c r="C273" s="25"/>
      <c r="D273" s="22"/>
      <c r="E273" s="22"/>
      <c r="G273" s="4"/>
      <c r="H273" s="4"/>
      <c r="I273" s="4"/>
    </row>
    <row r="274" spans="2:9">
      <c r="B274" s="35"/>
      <c r="C274" s="25"/>
      <c r="D274" s="22"/>
      <c r="E274" s="22"/>
      <c r="G274" s="4"/>
      <c r="H274" s="4"/>
      <c r="I274" s="4"/>
    </row>
    <row r="275" spans="2:9">
      <c r="B275" s="35"/>
      <c r="C275" s="25"/>
      <c r="D275" s="22"/>
      <c r="E275" s="22"/>
      <c r="G275" s="4"/>
      <c r="H275" s="4"/>
      <c r="I275" s="4"/>
    </row>
    <row r="276" spans="2:9">
      <c r="B276" s="35"/>
      <c r="C276" s="25"/>
      <c r="D276" s="22"/>
      <c r="E276" s="22"/>
      <c r="G276" s="4"/>
      <c r="H276" s="4"/>
      <c r="I276" s="4"/>
    </row>
    <row r="277" spans="2:9">
      <c r="B277" s="35"/>
      <c r="C277" s="25"/>
      <c r="D277" s="22"/>
      <c r="E277" s="22"/>
      <c r="G277" s="4"/>
      <c r="H277" s="4"/>
      <c r="I277" s="4"/>
    </row>
    <row r="278" spans="2:9">
      <c r="B278" s="35"/>
      <c r="C278" s="25"/>
      <c r="D278" s="22"/>
      <c r="E278" s="22"/>
      <c r="G278" s="4"/>
      <c r="H278" s="4"/>
      <c r="I278" s="4"/>
    </row>
    <row r="279" spans="2:9">
      <c r="B279" s="35"/>
      <c r="C279" s="25"/>
      <c r="D279" s="22"/>
      <c r="E279" s="22"/>
      <c r="G279" s="4"/>
      <c r="H279" s="4"/>
      <c r="I279" s="4"/>
    </row>
    <row r="280" spans="2:9">
      <c r="B280" s="35"/>
      <c r="C280" s="25"/>
      <c r="D280" s="22"/>
      <c r="E280" s="22"/>
      <c r="G280" s="4"/>
      <c r="H280" s="4"/>
      <c r="I280" s="4"/>
    </row>
    <row r="281" spans="2:9">
      <c r="B281" s="35"/>
      <c r="C281" s="25"/>
      <c r="D281" s="22"/>
      <c r="E281" s="22"/>
      <c r="G281" s="4"/>
      <c r="H281" s="4"/>
      <c r="I281" s="4"/>
    </row>
    <row r="282" spans="2:9">
      <c r="B282" s="35"/>
      <c r="C282" s="25"/>
      <c r="D282" s="22"/>
      <c r="E282" s="22"/>
      <c r="G282" s="4"/>
      <c r="H282" s="4"/>
      <c r="I282" s="4"/>
    </row>
    <row r="283" spans="2:9">
      <c r="B283" s="35"/>
      <c r="C283" s="25"/>
      <c r="D283" s="22"/>
      <c r="E283" s="22"/>
      <c r="G283" s="4"/>
      <c r="H283" s="4"/>
      <c r="I283" s="4"/>
    </row>
    <row r="284" spans="2:9">
      <c r="B284" s="35"/>
      <c r="C284" s="25"/>
      <c r="D284" s="22"/>
      <c r="E284" s="22"/>
      <c r="G284" s="4"/>
      <c r="H284" s="4"/>
      <c r="I284" s="4"/>
    </row>
    <row r="285" spans="2:9">
      <c r="B285" s="35"/>
      <c r="C285" s="25"/>
      <c r="D285" s="22"/>
      <c r="E285" s="22"/>
      <c r="G285" s="4"/>
      <c r="H285" s="4"/>
      <c r="I285" s="4"/>
    </row>
    <row r="286" spans="2:9">
      <c r="B286" s="35"/>
      <c r="C286" s="25"/>
      <c r="D286" s="22"/>
      <c r="E286" s="22"/>
      <c r="G286" s="4"/>
      <c r="H286" s="4"/>
      <c r="I286" s="4"/>
    </row>
    <row r="287" spans="2:9">
      <c r="B287" s="35"/>
      <c r="C287" s="25"/>
      <c r="D287" s="22"/>
      <c r="E287" s="22"/>
      <c r="G287" s="4"/>
      <c r="H287" s="4"/>
      <c r="I287" s="4"/>
    </row>
    <row r="288" spans="2:9">
      <c r="B288" s="35"/>
      <c r="C288" s="25"/>
      <c r="D288" s="22"/>
      <c r="E288" s="22"/>
      <c r="G288" s="4"/>
      <c r="H288" s="4"/>
      <c r="I288" s="4"/>
    </row>
    <row r="289" spans="3:9">
      <c r="C289" s="25">
        <f>SUM(C216:C233)</f>
        <v>255400</v>
      </c>
      <c r="D289" s="25">
        <f>SUM(D216:D233)</f>
        <v>41400</v>
      </c>
      <c r="E289" s="25">
        <f>SUM(E216:E233)</f>
        <v>0</v>
      </c>
      <c r="G289" s="25">
        <f>SUM(G216:G233)</f>
        <v>0</v>
      </c>
      <c r="H289" s="25">
        <f>SUM(H216:H233)</f>
        <v>9000</v>
      </c>
      <c r="I289" s="25">
        <f>SUM(I216:I233)</f>
        <v>0</v>
      </c>
    </row>
    <row r="290" spans="3:9">
      <c r="C290" s="25"/>
      <c r="D290" s="25"/>
      <c r="E290" s="25"/>
      <c r="G290" s="25"/>
      <c r="H290" s="25"/>
      <c r="I290" s="25"/>
    </row>
    <row r="291" spans="3:9">
      <c r="C291" s="25">
        <f>+C289/600</f>
        <v>425.666666666667</v>
      </c>
      <c r="D291" s="25">
        <f>+D289/600</f>
        <v>69</v>
      </c>
      <c r="E291" s="25">
        <f>+E289/600</f>
        <v>0</v>
      </c>
      <c r="G291" s="4">
        <f>+G289/600</f>
        <v>0</v>
      </c>
      <c r="H291" s="4">
        <f>+H289/600</f>
        <v>15</v>
      </c>
      <c r="I291" s="4">
        <f>+I289/600</f>
        <v>0</v>
      </c>
    </row>
    <row r="292" spans="3:9">
      <c r="C292" s="25">
        <f>+SUM(C291:E291,G291:I291)</f>
        <v>509.666666666667</v>
      </c>
    </row>
    <row r="293" spans="3:9">
      <c r="C293" s="36"/>
    </row>
    <row r="294" spans="3:9">
      <c r="C294" s="36"/>
    </row>
    <row r="295" spans="3:9">
      <c r="C295" s="37"/>
    </row>
  </sheetData>
  <mergeCells count="1">
    <mergeCell ref="B10:I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Hoja1</vt:lpstr>
      <vt:lpstr>Hoja4</vt:lpstr>
      <vt:lpstr>Hoja3</vt:lpstr>
      <vt:lpstr>Hoja2</vt:lpstr>
      <vt:lpstr>Entrada</vt:lpstr>
      <vt:lpstr>Salida</vt:lpstr>
      <vt:lpstr>Stock Diario</vt:lpstr>
      <vt:lpstr>REPR. INTERLAYERS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Caballero</dc:creator>
  <cp:lastModifiedBy>Ever Caballero</cp:lastModifiedBy>
  <dcterms:created xsi:type="dcterms:W3CDTF">2024-10-07T21:20:00Z</dcterms:created>
  <cp:lastPrinted>2025-11-18T17:29:00Z</cp:lastPrinted>
  <dcterms:modified xsi:type="dcterms:W3CDTF">2026-05-18T12:34:44Z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D4B360E30E514D9CA8DCC10EF4E85B3D_12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